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9E5AF74-0E5E-4FB0-87ED-A7AD18B9D7E3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golose'!$A$7:$AI$228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9" i="6" l="1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T156" i="6" s="1"/>
  <c r="S8" i="6"/>
  <c r="AD8" i="6"/>
  <c r="AE8" i="6"/>
  <c r="AF8" i="6"/>
  <c r="AG8" i="6"/>
  <c r="AH8" i="6"/>
  <c r="AI8" i="6"/>
  <c r="T104" i="6" l="1"/>
  <c r="T222" i="6"/>
  <c r="T74" i="6"/>
  <c r="T60" i="6"/>
  <c r="T148" i="6"/>
  <c r="T96" i="6"/>
  <c r="T223" i="6"/>
  <c r="T143" i="6"/>
  <c r="T120" i="6"/>
  <c r="T213" i="6"/>
  <c r="T209" i="6"/>
  <c r="T205" i="6"/>
  <c r="T197" i="6"/>
  <c r="T193" i="6"/>
  <c r="T189" i="6"/>
  <c r="T185" i="6"/>
  <c r="T181" i="6"/>
  <c r="T177" i="6"/>
  <c r="T173" i="6"/>
  <c r="T136" i="6"/>
  <c r="T217" i="6"/>
  <c r="T201" i="6"/>
  <c r="T228" i="6"/>
  <c r="T227" i="6"/>
  <c r="T226" i="6"/>
  <c r="T225" i="6"/>
  <c r="T224" i="6"/>
  <c r="T155" i="6"/>
  <c r="T132" i="6"/>
  <c r="T127" i="6"/>
  <c r="T118" i="6"/>
  <c r="T218" i="6"/>
  <c r="T214" i="6"/>
  <c r="T210" i="6"/>
  <c r="T206" i="6"/>
  <c r="T202" i="6"/>
  <c r="T198" i="6"/>
  <c r="T194" i="6"/>
  <c r="T190" i="6"/>
  <c r="T186" i="6"/>
  <c r="T182" i="6"/>
  <c r="T178" i="6"/>
  <c r="T174" i="6"/>
  <c r="T170" i="6"/>
  <c r="T164" i="6"/>
  <c r="T161" i="6"/>
  <c r="T112" i="6"/>
  <c r="T144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115" i="6"/>
  <c r="T153" i="6"/>
  <c r="T169" i="6"/>
  <c r="T91" i="6"/>
  <c r="T98" i="6"/>
  <c r="T106" i="6"/>
  <c r="T126" i="6"/>
  <c r="T134" i="6"/>
  <c r="T142" i="6"/>
  <c r="T152" i="6"/>
  <c r="T168" i="6"/>
  <c r="T93" i="6"/>
  <c r="T119" i="6"/>
  <c r="T151" i="6"/>
  <c r="T167" i="6"/>
  <c r="T103" i="6"/>
  <c r="T125" i="6"/>
  <c r="T133" i="6"/>
  <c r="T141" i="6"/>
  <c r="T150" i="6"/>
  <c r="T166" i="6"/>
  <c r="T63" i="6"/>
  <c r="T111" i="6"/>
  <c r="T149" i="6"/>
  <c r="T165" i="6"/>
  <c r="T88" i="6"/>
  <c r="T100" i="6"/>
  <c r="T108" i="6"/>
  <c r="T114" i="6"/>
  <c r="T77" i="6"/>
  <c r="T163" i="6"/>
  <c r="T55" i="6"/>
  <c r="T105" i="6"/>
  <c r="T123" i="6"/>
  <c r="T131" i="6"/>
  <c r="T139" i="6"/>
  <c r="T147" i="6"/>
  <c r="T162" i="6"/>
  <c r="T83" i="6"/>
  <c r="T90" i="6"/>
  <c r="T102" i="6"/>
  <c r="T110" i="6"/>
  <c r="T122" i="6"/>
  <c r="T130" i="6"/>
  <c r="T138" i="6"/>
  <c r="T146" i="6"/>
  <c r="T160" i="6"/>
  <c r="T113" i="6"/>
  <c r="T159" i="6"/>
  <c r="T72" i="6"/>
  <c r="T99" i="6"/>
  <c r="T107" i="6"/>
  <c r="T129" i="6"/>
  <c r="T137" i="6"/>
  <c r="T145" i="6"/>
  <c r="T158" i="6"/>
  <c r="T116" i="6"/>
  <c r="T121" i="6"/>
  <c r="T157" i="6"/>
  <c r="T175" i="6"/>
  <c r="T171" i="6"/>
  <c r="T101" i="6"/>
  <c r="T215" i="6"/>
  <c r="T195" i="6"/>
  <c r="T191" i="6"/>
  <c r="T187" i="6"/>
  <c r="T140" i="6"/>
  <c r="T135" i="6"/>
  <c r="T183" i="6"/>
  <c r="T179" i="6"/>
  <c r="T220" i="6"/>
  <c r="T154" i="6"/>
  <c r="T128" i="6"/>
  <c r="T219" i="6"/>
  <c r="T211" i="6"/>
  <c r="T207" i="6"/>
  <c r="T203" i="6"/>
  <c r="T199" i="6"/>
  <c r="T109" i="6"/>
  <c r="T221" i="6"/>
  <c r="T216" i="6"/>
  <c r="T212" i="6"/>
  <c r="T208" i="6"/>
  <c r="T204" i="6"/>
  <c r="T200" i="6"/>
  <c r="T196" i="6"/>
  <c r="T192" i="6"/>
  <c r="T188" i="6"/>
  <c r="T184" i="6"/>
  <c r="T180" i="6"/>
  <c r="T176" i="6"/>
  <c r="T172" i="6"/>
  <c r="T117" i="6"/>
  <c r="T124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120" i="6"/>
  <c r="U127" i="6"/>
  <c r="U135" i="6"/>
  <c r="U143" i="6"/>
  <c r="U154" i="6"/>
  <c r="U115" i="6"/>
  <c r="U153" i="6"/>
  <c r="U169" i="6"/>
  <c r="U126" i="6"/>
  <c r="U134" i="6"/>
  <c r="U142" i="6"/>
  <c r="U152" i="6"/>
  <c r="U168" i="6"/>
  <c r="U119" i="6"/>
  <c r="U151" i="6"/>
  <c r="U167" i="6"/>
  <c r="U86" i="6"/>
  <c r="U125" i="6"/>
  <c r="U133" i="6"/>
  <c r="U141" i="6"/>
  <c r="U150" i="6"/>
  <c r="U166" i="6"/>
  <c r="U88" i="6"/>
  <c r="U118" i="6"/>
  <c r="U124" i="6"/>
  <c r="U132" i="6"/>
  <c r="U140" i="6"/>
  <c r="U148" i="6"/>
  <c r="U164" i="6"/>
  <c r="U163" i="6"/>
  <c r="U83" i="6"/>
  <c r="U117" i="6"/>
  <c r="U161" i="6"/>
  <c r="U94" i="6"/>
  <c r="U122" i="6"/>
  <c r="U130" i="6"/>
  <c r="U138" i="6"/>
  <c r="U146" i="6"/>
  <c r="U160" i="6"/>
  <c r="U159" i="6"/>
  <c r="U72" i="6"/>
  <c r="U85" i="6"/>
  <c r="U129" i="6"/>
  <c r="U137" i="6"/>
  <c r="U145" i="6"/>
  <c r="U158" i="6"/>
  <c r="U157" i="6"/>
  <c r="U222" i="6"/>
  <c r="U201" i="6"/>
  <c r="U131" i="6"/>
  <c r="U215" i="6"/>
  <c r="U209" i="6"/>
  <c r="U165" i="6"/>
  <c r="U172" i="6"/>
  <c r="U176" i="6"/>
  <c r="U180" i="6"/>
  <c r="U184" i="6"/>
  <c r="U188" i="6"/>
  <c r="U192" i="6"/>
  <c r="U196" i="6"/>
  <c r="U200" i="6"/>
  <c r="U204" i="6"/>
  <c r="U208" i="6"/>
  <c r="U212" i="6"/>
  <c r="U216" i="6"/>
  <c r="U221" i="6"/>
  <c r="U121" i="6"/>
  <c r="U162" i="6"/>
  <c r="U139" i="6"/>
  <c r="U217" i="6"/>
  <c r="U128" i="6"/>
  <c r="U220" i="6"/>
  <c r="U147" i="6"/>
  <c r="U177" i="6"/>
  <c r="U171" i="6"/>
  <c r="U175" i="6"/>
  <c r="U179" i="6"/>
  <c r="U183" i="6"/>
  <c r="U187" i="6"/>
  <c r="U191" i="6"/>
  <c r="U195" i="6"/>
  <c r="U199" i="6"/>
  <c r="U203" i="6"/>
  <c r="U207" i="6"/>
  <c r="U211" i="6"/>
  <c r="U173" i="6"/>
  <c r="U193" i="6"/>
  <c r="U205" i="6"/>
  <c r="U116" i="6"/>
  <c r="U123" i="6"/>
  <c r="U149" i="6"/>
  <c r="U156" i="6"/>
  <c r="U219" i="6"/>
  <c r="U223" i="6"/>
  <c r="U144" i="6"/>
  <c r="U170" i="6"/>
  <c r="U174" i="6"/>
  <c r="U178" i="6"/>
  <c r="U182" i="6"/>
  <c r="U186" i="6"/>
  <c r="U190" i="6"/>
  <c r="U194" i="6"/>
  <c r="U198" i="6"/>
  <c r="U202" i="6"/>
  <c r="U206" i="6"/>
  <c r="U210" i="6"/>
  <c r="U214" i="6"/>
  <c r="U218" i="6"/>
  <c r="U189" i="6"/>
  <c r="U78" i="6"/>
  <c r="U225" i="6"/>
  <c r="U227" i="6"/>
  <c r="U185" i="6"/>
  <c r="U197" i="6"/>
  <c r="U155" i="6"/>
  <c r="U224" i="6"/>
  <c r="U226" i="6"/>
  <c r="U228" i="6"/>
  <c r="U136" i="6"/>
  <c r="U181" i="6"/>
  <c r="U213" i="6"/>
  <c r="T5" i="6"/>
  <c r="U8" i="6"/>
  <c r="U11" i="6"/>
  <c r="V7" i="6"/>
  <c r="U12" i="6"/>
  <c r="U10" i="6"/>
  <c r="U9" i="6"/>
  <c r="H4" i="6"/>
  <c r="H3" i="6"/>
  <c r="E5" i="6"/>
  <c r="F5" i="6"/>
  <c r="G5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55" i="6"/>
  <c r="V127" i="6"/>
  <c r="V135" i="6"/>
  <c r="V143" i="6"/>
  <c r="V154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153" i="6"/>
  <c r="V169" i="6"/>
  <c r="V126" i="6"/>
  <c r="V134" i="6"/>
  <c r="V142" i="6"/>
  <c r="V152" i="6"/>
  <c r="V168" i="6"/>
  <c r="V151" i="6"/>
  <c r="V167" i="6"/>
  <c r="V149" i="6"/>
  <c r="V165" i="6"/>
  <c r="V124" i="6"/>
  <c r="V132" i="6"/>
  <c r="V140" i="6"/>
  <c r="V148" i="6"/>
  <c r="V164" i="6"/>
  <c r="V97" i="6"/>
  <c r="V123" i="6"/>
  <c r="V131" i="6"/>
  <c r="V139" i="6"/>
  <c r="V147" i="6"/>
  <c r="V162" i="6"/>
  <c r="V161" i="6"/>
  <c r="V122" i="6"/>
  <c r="V130" i="6"/>
  <c r="V138" i="6"/>
  <c r="V146" i="6"/>
  <c r="V160" i="6"/>
  <c r="V159" i="6"/>
  <c r="V150" i="6"/>
  <c r="V145" i="6"/>
  <c r="V157" i="6"/>
  <c r="V225" i="6"/>
  <c r="V223" i="6"/>
  <c r="V133" i="6"/>
  <c r="V128" i="6"/>
  <c r="V227" i="6"/>
  <c r="V137" i="6"/>
  <c r="V156" i="6"/>
  <c r="V224" i="6"/>
  <c r="V125" i="6"/>
  <c r="V144" i="6"/>
  <c r="V158" i="6"/>
  <c r="V226" i="6"/>
  <c r="V166" i="6"/>
  <c r="V136" i="6"/>
  <c r="V129" i="6"/>
  <c r="V141" i="6"/>
  <c r="V163" i="6"/>
  <c r="V228" i="6"/>
  <c r="V9" i="6"/>
  <c r="V11" i="6"/>
  <c r="V8" i="6"/>
  <c r="V10" i="6"/>
  <c r="W7" i="6"/>
  <c r="V12" i="6"/>
  <c r="U5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128" i="6"/>
  <c r="W136" i="6"/>
  <c r="W144" i="6"/>
  <c r="W156" i="6"/>
  <c r="W120" i="6"/>
  <c r="W155" i="6"/>
  <c r="W98" i="6"/>
  <c r="W106" i="6"/>
  <c r="W115" i="6"/>
  <c r="W127" i="6"/>
  <c r="W135" i="6"/>
  <c r="W143" i="6"/>
  <c r="W154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153" i="6"/>
  <c r="W169" i="6"/>
  <c r="W103" i="6"/>
  <c r="W119" i="6"/>
  <c r="W126" i="6"/>
  <c r="W134" i="6"/>
  <c r="W142" i="6"/>
  <c r="W152" i="6"/>
  <c r="W168" i="6"/>
  <c r="W111" i="6"/>
  <c r="W100" i="6"/>
  <c r="W108" i="6"/>
  <c r="W114" i="6"/>
  <c r="W125" i="6"/>
  <c r="W133" i="6"/>
  <c r="W141" i="6"/>
  <c r="W150" i="6"/>
  <c r="W166" i="6"/>
  <c r="W118" i="6"/>
  <c r="W149" i="6"/>
  <c r="W105" i="6"/>
  <c r="W163" i="6"/>
  <c r="W102" i="6"/>
  <c r="W110" i="6"/>
  <c r="W117" i="6"/>
  <c r="W123" i="6"/>
  <c r="W131" i="6"/>
  <c r="W139" i="6"/>
  <c r="W147" i="6"/>
  <c r="W162" i="6"/>
  <c r="W94" i="6"/>
  <c r="W113" i="6"/>
  <c r="W161" i="6"/>
  <c r="W99" i="6"/>
  <c r="W107" i="6"/>
  <c r="W122" i="6"/>
  <c r="W130" i="6"/>
  <c r="W138" i="6"/>
  <c r="W146" i="6"/>
  <c r="W160" i="6"/>
  <c r="W124" i="6"/>
  <c r="W227" i="6"/>
  <c r="W145" i="6"/>
  <c r="W157" i="6"/>
  <c r="W148" i="6"/>
  <c r="W165" i="6"/>
  <c r="W226" i="6"/>
  <c r="W121" i="6"/>
  <c r="W159" i="6"/>
  <c r="W225" i="6"/>
  <c r="W140" i="6"/>
  <c r="W116" i="6"/>
  <c r="W137" i="6"/>
  <c r="W151" i="6"/>
  <c r="W164" i="6"/>
  <c r="W167" i="6"/>
  <c r="W228" i="6"/>
  <c r="W132" i="6"/>
  <c r="W158" i="6"/>
  <c r="W104" i="6"/>
  <c r="W129" i="6"/>
  <c r="W224" i="6"/>
  <c r="V5" i="6"/>
  <c r="W11" i="6"/>
  <c r="W10" i="6"/>
  <c r="W12" i="6"/>
  <c r="W8" i="6"/>
  <c r="X7" i="6"/>
  <c r="W9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57" i="6"/>
  <c r="X156" i="6"/>
  <c r="X155" i="6"/>
  <c r="X154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153" i="6"/>
  <c r="X169" i="6"/>
  <c r="X151" i="6"/>
  <c r="X167" i="6"/>
  <c r="X150" i="6"/>
  <c r="X148" i="6"/>
  <c r="X164" i="6"/>
  <c r="X163" i="6"/>
  <c r="X161" i="6"/>
  <c r="X223" i="6"/>
  <c r="X224" i="6"/>
  <c r="X225" i="6"/>
  <c r="X226" i="6"/>
  <c r="X227" i="6"/>
  <c r="X228" i="6"/>
  <c r="X222" i="6"/>
  <c r="X152" i="6"/>
  <c r="X221" i="6"/>
  <c r="X220" i="6"/>
  <c r="X162" i="6"/>
  <c r="X165" i="6"/>
  <c r="X168" i="6"/>
  <c r="X166" i="6"/>
  <c r="X159" i="6"/>
  <c r="X149" i="6"/>
  <c r="X160" i="6"/>
  <c r="X158" i="6"/>
  <c r="X12" i="6"/>
  <c r="X10" i="6"/>
  <c r="X11" i="6"/>
  <c r="X8" i="6"/>
  <c r="X9" i="6"/>
  <c r="Y7" i="6"/>
  <c r="W5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79" i="6"/>
  <c r="Y96" i="6"/>
  <c r="Y53" i="6"/>
  <c r="Y58" i="6"/>
  <c r="Y66" i="6"/>
  <c r="Y69" i="6"/>
  <c r="Y84" i="6"/>
  <c r="Y80" i="6"/>
  <c r="Y73" i="6"/>
  <c r="Y95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63" i="6"/>
  <c r="Y55" i="6"/>
  <c r="Y83" i="6"/>
  <c r="Y94" i="6"/>
  <c r="Y223" i="6"/>
  <c r="Y224" i="6"/>
  <c r="Y225" i="6"/>
  <c r="Y226" i="6"/>
  <c r="Y227" i="6"/>
  <c r="Y228" i="6"/>
  <c r="Y222" i="6"/>
  <c r="Y218" i="6"/>
  <c r="Y220" i="6"/>
  <c r="Y219" i="6"/>
  <c r="Y221" i="6"/>
  <c r="Y89" i="6"/>
  <c r="Y78" i="6"/>
  <c r="Y12" i="6"/>
  <c r="Y10" i="6"/>
  <c r="Y9" i="6"/>
  <c r="Y11" i="6"/>
  <c r="Y8" i="6"/>
  <c r="Z7" i="6"/>
  <c r="X5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58" i="6"/>
  <c r="Z112" i="6"/>
  <c r="Z128" i="6"/>
  <c r="Z136" i="6"/>
  <c r="Z144" i="6"/>
  <c r="Z157" i="6"/>
  <c r="Z84" i="6"/>
  <c r="Z91" i="6"/>
  <c r="Z120" i="6"/>
  <c r="Z156" i="6"/>
  <c r="Z69" i="6"/>
  <c r="Z115" i="6"/>
  <c r="Z127" i="6"/>
  <c r="Z135" i="6"/>
  <c r="Z143" i="6"/>
  <c r="Z155" i="6"/>
  <c r="Z154" i="6"/>
  <c r="Z73" i="6"/>
  <c r="Z95" i="6"/>
  <c r="Z111" i="6"/>
  <c r="Z152" i="6"/>
  <c r="Z75" i="6"/>
  <c r="Z114" i="6"/>
  <c r="Z125" i="6"/>
  <c r="Z133" i="6"/>
  <c r="Z141" i="6"/>
  <c r="Z151" i="6"/>
  <c r="Z124" i="6"/>
  <c r="Z132" i="6"/>
  <c r="Z140" i="6"/>
  <c r="Z149" i="6"/>
  <c r="Z92" i="6"/>
  <c r="Z148" i="6"/>
  <c r="Z164" i="6"/>
  <c r="Z110" i="6"/>
  <c r="Z117" i="6"/>
  <c r="Z123" i="6"/>
  <c r="Z131" i="6"/>
  <c r="Z139" i="6"/>
  <c r="Z147" i="6"/>
  <c r="Z70" i="6"/>
  <c r="Z113" i="6"/>
  <c r="Z162" i="6"/>
  <c r="Z166" i="6"/>
  <c r="Z177" i="6"/>
  <c r="Z138" i="6"/>
  <c r="Z150" i="6"/>
  <c r="Z206" i="6"/>
  <c r="Z126" i="6"/>
  <c r="Z223" i="6"/>
  <c r="Z224" i="6"/>
  <c r="Z225" i="6"/>
  <c r="Z226" i="6"/>
  <c r="Z227" i="6"/>
  <c r="Z228" i="6"/>
  <c r="Z212" i="6"/>
  <c r="Z216" i="6"/>
  <c r="Z186" i="6"/>
  <c r="Z163" i="6"/>
  <c r="Z209" i="6"/>
  <c r="Z119" i="6"/>
  <c r="Z145" i="6"/>
  <c r="Z172" i="6"/>
  <c r="Z176" i="6"/>
  <c r="Z180" i="6"/>
  <c r="Z184" i="6"/>
  <c r="Z188" i="6"/>
  <c r="Z192" i="6"/>
  <c r="Z196" i="6"/>
  <c r="Z200" i="6"/>
  <c r="Z204" i="6"/>
  <c r="Z208" i="6"/>
  <c r="Z222" i="6"/>
  <c r="Z221" i="6"/>
  <c r="Z210" i="6"/>
  <c r="Z193" i="6"/>
  <c r="Z178" i="6"/>
  <c r="Z190" i="6"/>
  <c r="Z202" i="6"/>
  <c r="Z129" i="6"/>
  <c r="Z201" i="6"/>
  <c r="Z121" i="6"/>
  <c r="Z165" i="6"/>
  <c r="Z168" i="6"/>
  <c r="Z198" i="6"/>
  <c r="Z142" i="6"/>
  <c r="Z159" i="6"/>
  <c r="Z130" i="6"/>
  <c r="Z171" i="6"/>
  <c r="Z175" i="6"/>
  <c r="Z179" i="6"/>
  <c r="Z183" i="6"/>
  <c r="Z187" i="6"/>
  <c r="Z191" i="6"/>
  <c r="Z195" i="6"/>
  <c r="Z199" i="6"/>
  <c r="Z203" i="6"/>
  <c r="Z207" i="6"/>
  <c r="Z211" i="6"/>
  <c r="Z215" i="6"/>
  <c r="Z220" i="6"/>
  <c r="Z174" i="6"/>
  <c r="Z189" i="6"/>
  <c r="Z146" i="6"/>
  <c r="Z217" i="6"/>
  <c r="Z116" i="6"/>
  <c r="Z137" i="6"/>
  <c r="Z161" i="6"/>
  <c r="Z219" i="6"/>
  <c r="Z167" i="6"/>
  <c r="Z118" i="6"/>
  <c r="Z153" i="6"/>
  <c r="Z170" i="6"/>
  <c r="Z182" i="6"/>
  <c r="Z194" i="6"/>
  <c r="Z214" i="6"/>
  <c r="Z160" i="6"/>
  <c r="Z185" i="6"/>
  <c r="Z197" i="6"/>
  <c r="Z205" i="6"/>
  <c r="Z213" i="6"/>
  <c r="Z134" i="6"/>
  <c r="Z218" i="6"/>
  <c r="Z173" i="6"/>
  <c r="Z181" i="6"/>
  <c r="Z89" i="6"/>
  <c r="Z122" i="6"/>
  <c r="Z169" i="6"/>
  <c r="Z8" i="6"/>
  <c r="Z10" i="6"/>
  <c r="AA7" i="6"/>
  <c r="Z11" i="6"/>
  <c r="Z9" i="6"/>
  <c r="Z12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89" i="6"/>
  <c r="AA121" i="6"/>
  <c r="AA129" i="6"/>
  <c r="AA137" i="6"/>
  <c r="AA145" i="6"/>
  <c r="AA159" i="6"/>
  <c r="AA158" i="6"/>
  <c r="AA128" i="6"/>
  <c r="AA136" i="6"/>
  <c r="AA144" i="6"/>
  <c r="AA157" i="6"/>
  <c r="AA84" i="6"/>
  <c r="AA120" i="6"/>
  <c r="AA156" i="6"/>
  <c r="AA127" i="6"/>
  <c r="AA135" i="6"/>
  <c r="AA143" i="6"/>
  <c r="AA155" i="6"/>
  <c r="AA86" i="6"/>
  <c r="AA73" i="6"/>
  <c r="AA95" i="6"/>
  <c r="AA119" i="6"/>
  <c r="AA126" i="6"/>
  <c r="AA134" i="6"/>
  <c r="AA142" i="6"/>
  <c r="AA153" i="6"/>
  <c r="AA152" i="6"/>
  <c r="AA79" i="6"/>
  <c r="AA118" i="6"/>
  <c r="AA150" i="6"/>
  <c r="AA124" i="6"/>
  <c r="AA132" i="6"/>
  <c r="AA140" i="6"/>
  <c r="AA149" i="6"/>
  <c r="AA165" i="6"/>
  <c r="AA148" i="6"/>
  <c r="AA117" i="6"/>
  <c r="AA123" i="6"/>
  <c r="AA131" i="6"/>
  <c r="AA139" i="6"/>
  <c r="AA147" i="6"/>
  <c r="AA163" i="6"/>
  <c r="AA96" i="6"/>
  <c r="AA160" i="6"/>
  <c r="AA169" i="6"/>
  <c r="AA173" i="6"/>
  <c r="AA177" i="6"/>
  <c r="AA181" i="6"/>
  <c r="AA185" i="6"/>
  <c r="AA189" i="6"/>
  <c r="AA193" i="6"/>
  <c r="AA197" i="6"/>
  <c r="AA201" i="6"/>
  <c r="AA205" i="6"/>
  <c r="AA209" i="6"/>
  <c r="AA213" i="6"/>
  <c r="AA217" i="6"/>
  <c r="AA199" i="6"/>
  <c r="AA166" i="6"/>
  <c r="AA138" i="6"/>
  <c r="AA223" i="6"/>
  <c r="AA225" i="6"/>
  <c r="AA227" i="6"/>
  <c r="AA191" i="6"/>
  <c r="AA203" i="6"/>
  <c r="AA220" i="6"/>
  <c r="AA224" i="6"/>
  <c r="AA226" i="6"/>
  <c r="AA228" i="6"/>
  <c r="AA179" i="6"/>
  <c r="AA133" i="6"/>
  <c r="AA154" i="6"/>
  <c r="AA172" i="6"/>
  <c r="AA176" i="6"/>
  <c r="AA180" i="6"/>
  <c r="AA184" i="6"/>
  <c r="AA188" i="6"/>
  <c r="AA192" i="6"/>
  <c r="AA196" i="6"/>
  <c r="AA200" i="6"/>
  <c r="AA204" i="6"/>
  <c r="AA208" i="6"/>
  <c r="AA212" i="6"/>
  <c r="AA216" i="6"/>
  <c r="AA222" i="6"/>
  <c r="AA221" i="6"/>
  <c r="AA195" i="6"/>
  <c r="AA211" i="6"/>
  <c r="AA167" i="6"/>
  <c r="AA162" i="6"/>
  <c r="AA187" i="6"/>
  <c r="AA168" i="6"/>
  <c r="AA207" i="6"/>
  <c r="AA130" i="6"/>
  <c r="AA171" i="6"/>
  <c r="AA175" i="6"/>
  <c r="AA183" i="6"/>
  <c r="AA215" i="6"/>
  <c r="AA125" i="6"/>
  <c r="AA151" i="6"/>
  <c r="AA161" i="6"/>
  <c r="AA164" i="6"/>
  <c r="AA219" i="6"/>
  <c r="AA146" i="6"/>
  <c r="AA170" i="6"/>
  <c r="AA174" i="6"/>
  <c r="AA178" i="6"/>
  <c r="AA182" i="6"/>
  <c r="AA186" i="6"/>
  <c r="AA190" i="6"/>
  <c r="AA194" i="6"/>
  <c r="AA198" i="6"/>
  <c r="AA202" i="6"/>
  <c r="AA206" i="6"/>
  <c r="AA210" i="6"/>
  <c r="AA214" i="6"/>
  <c r="AA218" i="6"/>
  <c r="AA122" i="6"/>
  <c r="AA87" i="6"/>
  <c r="AA141" i="6"/>
  <c r="Z5" i="6"/>
  <c r="AA9" i="6"/>
  <c r="AA12" i="6"/>
  <c r="AA8" i="6"/>
  <c r="AB7" i="6"/>
  <c r="AA10" i="6"/>
  <c r="AA11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16" i="6"/>
  <c r="AB160" i="6"/>
  <c r="AB101" i="6"/>
  <c r="AB109" i="6"/>
  <c r="AB121" i="6"/>
  <c r="AB129" i="6"/>
  <c r="AB137" i="6"/>
  <c r="AB145" i="6"/>
  <c r="AB159" i="6"/>
  <c r="AB112" i="6"/>
  <c r="AB158" i="6"/>
  <c r="AB98" i="6"/>
  <c r="AB106" i="6"/>
  <c r="AB128" i="6"/>
  <c r="AB136" i="6"/>
  <c r="AB144" i="6"/>
  <c r="AB157" i="6"/>
  <c r="AB67" i="6"/>
  <c r="AB69" i="6"/>
  <c r="AB84" i="6"/>
  <c r="AB115" i="6"/>
  <c r="AB120" i="6"/>
  <c r="AB156" i="6"/>
  <c r="AB103" i="6"/>
  <c r="AB63" i="6"/>
  <c r="AB154" i="6"/>
  <c r="AB100" i="6"/>
  <c r="AB108" i="6"/>
  <c r="AB111" i="6"/>
  <c r="AB119" i="6"/>
  <c r="AB126" i="6"/>
  <c r="AB134" i="6"/>
  <c r="AB142" i="6"/>
  <c r="AB153" i="6"/>
  <c r="AB55" i="6"/>
  <c r="AB79" i="6"/>
  <c r="AB81" i="6"/>
  <c r="AB90" i="6"/>
  <c r="AB97" i="6"/>
  <c r="AB105" i="6"/>
  <c r="AB125" i="6"/>
  <c r="AB133" i="6"/>
  <c r="AB141" i="6"/>
  <c r="AB151" i="6"/>
  <c r="AB118" i="6"/>
  <c r="AB150" i="6"/>
  <c r="AB166" i="6"/>
  <c r="AB102" i="6"/>
  <c r="AB124" i="6"/>
  <c r="AB132" i="6"/>
  <c r="AB140" i="6"/>
  <c r="AB149" i="6"/>
  <c r="AB66" i="6"/>
  <c r="AB110" i="6"/>
  <c r="AB148" i="6"/>
  <c r="AB164" i="6"/>
  <c r="AB113" i="6"/>
  <c r="AB163" i="6"/>
  <c r="AB169" i="6"/>
  <c r="AB173" i="6"/>
  <c r="AB177" i="6"/>
  <c r="AB181" i="6"/>
  <c r="AB185" i="6"/>
  <c r="AB189" i="6"/>
  <c r="AB193" i="6"/>
  <c r="AB197" i="6"/>
  <c r="AB201" i="6"/>
  <c r="AB205" i="6"/>
  <c r="AB209" i="6"/>
  <c r="AB213" i="6"/>
  <c r="AB217" i="6"/>
  <c r="AB117" i="6"/>
  <c r="AB131" i="6"/>
  <c r="AB184" i="6"/>
  <c r="AB188" i="6"/>
  <c r="AB192" i="6"/>
  <c r="AB196" i="6"/>
  <c r="AB216" i="6"/>
  <c r="AB221" i="6"/>
  <c r="AB155" i="6"/>
  <c r="AB107" i="6"/>
  <c r="AB138" i="6"/>
  <c r="AB152" i="6"/>
  <c r="AB200" i="6"/>
  <c r="AB204" i="6"/>
  <c r="AB219" i="6"/>
  <c r="AB74" i="6"/>
  <c r="AB223" i="6"/>
  <c r="AB224" i="6"/>
  <c r="AB225" i="6"/>
  <c r="AB226" i="6"/>
  <c r="AB227" i="6"/>
  <c r="AB228" i="6"/>
  <c r="AB172" i="6"/>
  <c r="AB176" i="6"/>
  <c r="AB208" i="6"/>
  <c r="AB212" i="6"/>
  <c r="AB222" i="6"/>
  <c r="AB127" i="6"/>
  <c r="AB135" i="6"/>
  <c r="AB180" i="6"/>
  <c r="AB99" i="6"/>
  <c r="AB147" i="6"/>
  <c r="AB162" i="6"/>
  <c r="AB165" i="6"/>
  <c r="AB218" i="6"/>
  <c r="AB168" i="6"/>
  <c r="AB114" i="6"/>
  <c r="AB123" i="6"/>
  <c r="AB130" i="6"/>
  <c r="AB171" i="6"/>
  <c r="AB175" i="6"/>
  <c r="AB179" i="6"/>
  <c r="AB183" i="6"/>
  <c r="AB187" i="6"/>
  <c r="AB191" i="6"/>
  <c r="AB195" i="6"/>
  <c r="AB199" i="6"/>
  <c r="AB203" i="6"/>
  <c r="AB207" i="6"/>
  <c r="AB211" i="6"/>
  <c r="AB215" i="6"/>
  <c r="AB220" i="6"/>
  <c r="AB122" i="6"/>
  <c r="AB143" i="6"/>
  <c r="AB161" i="6"/>
  <c r="AB58" i="6"/>
  <c r="AB139" i="6"/>
  <c r="AB167" i="6"/>
  <c r="AB214" i="6"/>
  <c r="AB104" i="6"/>
  <c r="AB146" i="6"/>
  <c r="AB170" i="6"/>
  <c r="AB174" i="6"/>
  <c r="AB178" i="6"/>
  <c r="AB182" i="6"/>
  <c r="AB186" i="6"/>
  <c r="AB190" i="6"/>
  <c r="AB194" i="6"/>
  <c r="AB198" i="6"/>
  <c r="AB202" i="6"/>
  <c r="AB206" i="6"/>
  <c r="AB210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<sst xmlns="http://schemas.openxmlformats.org/spreadsheetml/2006/main" count="2177" uniqueCount="993">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</sst>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8" fillId="12" borderId="0" xfId="8" applyFont="1" applyFill="1" applyAlignment="1">
      <alignment horizontal="center" wrapText="1"/>
    </xf>
    <xf numFmtId="0" fontId="8" fillId="12" borderId="0" xfId="8" applyFont="1" applyFill="1" applyAlignment="1">
      <alignment wrapText="1"/>
    </xf>
    <xf numFmtId="0" fontId="14" fillId="12" borderId="0" xfId="0" applyFont="1" applyFill="1" applyAlignment="1">
      <alignment horizontal="center"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AI437"/>
  <sheetViews>
    <sheetView tabSelected="1" zoomScale="110" zoomScaleNormal="110" workbookViewId="0">
      <pane ySplit="7" topLeftCell="A23" activePane="bottomLeft" state="frozen"/>
      <selection pane="bottomLeft" activeCell="A23" sqref="A23:XFD23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49</v>
      </c>
      <c r="F3" s="7">
        <f>+AD6</f>
        <v>52</v>
      </c>
      <c r="G3" s="7">
        <f>+AF6</f>
        <v>39</v>
      </c>
      <c r="H3" s="7">
        <f>+E3-G3</f>
        <v>10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67</v>
      </c>
      <c r="G4" s="9">
        <f>+AG6</f>
        <v>49</v>
      </c>
      <c r="H4" s="7">
        <f>+E4-G4</f>
        <v>92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190</v>
      </c>
      <c r="F5" s="11">
        <f>+F3+F4</f>
        <v>119</v>
      </c>
      <c r="G5" s="11">
        <f>+G3+G4</f>
        <v>88</v>
      </c>
      <c r="H5" s="11">
        <f>+H3+H4</f>
        <v>102</v>
      </c>
      <c r="I5" s="25" t="s">
        <v>43</v>
      </c>
      <c r="J5" s="12"/>
      <c r="K5" s="12"/>
      <c r="N5" s="13"/>
      <c r="R5" s="12"/>
      <c r="S5" s="12">
        <f t="shared" ref="S5:AB5" si="0">SUM(S8:S1879)</f>
        <v>23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SUM(AD8:AD1878)</f>
        <v>52</v>
      </c>
      <c r="AE6" s="2">
        <f t="shared" si="1"/>
        <v>67</v>
      </c>
      <c r="AF6" s="2">
        <f t="shared" si="1"/>
        <v>39</v>
      </c>
      <c r="AG6" s="2">
        <f t="shared" si="1"/>
        <v>49</v>
      </c>
      <c r="AH6" s="2">
        <f t="shared" si="1"/>
        <v>49</v>
      </c>
      <c r="AI6" s="2">
        <f t="shared" si="1"/>
        <v>141</v>
      </c>
    </row>
    <row r="7" spans="1:35" s="27" customFormat="1" ht="14.25" customHeight="1" x14ac:dyDescent="0.25">
      <c r="A7" s="37" t="s">
        <v>707</v>
      </c>
      <c r="B7" s="37" t="s">
        <v>704</v>
      </c>
      <c r="C7" s="37" t="s">
        <v>705</v>
      </c>
      <c r="D7" s="38" t="s">
        <v>13</v>
      </c>
      <c r="E7" s="38" t="s">
        <v>25</v>
      </c>
      <c r="F7" s="38" t="s">
        <v>14</v>
      </c>
      <c r="G7" s="38" t="s">
        <v>20</v>
      </c>
      <c r="H7" s="38" t="s">
        <v>45</v>
      </c>
      <c r="I7" s="37" t="s">
        <v>11</v>
      </c>
      <c r="J7" s="37" t="s">
        <v>42</v>
      </c>
      <c r="K7" s="37" t="s">
        <v>863</v>
      </c>
      <c r="L7" s="37" t="s">
        <v>19</v>
      </c>
      <c r="M7" s="38" t="s">
        <v>706</v>
      </c>
      <c r="N7" s="39" t="s">
        <v>0</v>
      </c>
      <c r="O7" s="38" t="s">
        <v>1</v>
      </c>
      <c r="P7" s="38" t="s">
        <v>2</v>
      </c>
      <c r="Q7" s="38" t="s">
        <v>958</v>
      </c>
      <c r="R7" s="26"/>
      <c r="S7" s="26">
        <v>1</v>
      </c>
      <c r="T7" s="26">
        <f>+S7+1</f>
        <v>2</v>
      </c>
      <c r="U7" s="26">
        <f t="shared" ref="U7:AB7" si="2">+T7+1</f>
        <v>3</v>
      </c>
      <c r="V7" s="26">
        <f t="shared" si="2"/>
        <v>4</v>
      </c>
      <c r="W7" s="26">
        <f t="shared" si="2"/>
        <v>5</v>
      </c>
      <c r="X7" s="26">
        <f t="shared" si="2"/>
        <v>6</v>
      </c>
      <c r="Y7" s="26">
        <f t="shared" si="2"/>
        <v>7</v>
      </c>
      <c r="Z7" s="26">
        <f t="shared" si="2"/>
        <v>8</v>
      </c>
      <c r="AA7" s="26">
        <f t="shared" si="2"/>
        <v>9</v>
      </c>
      <c r="AB7" s="26">
        <f t="shared" si="2"/>
        <v>10</v>
      </c>
      <c r="AC7" s="26"/>
      <c r="AD7" s="26" t="s">
        <v>23</v>
      </c>
      <c r="AE7" s="26" t="s">
        <v>24</v>
      </c>
      <c r="AF7" s="26" t="s">
        <v>4</v>
      </c>
      <c r="AG7" s="26" t="s">
        <v>5</v>
      </c>
      <c r="AH7" s="26" t="s">
        <v>6</v>
      </c>
      <c r="AI7" s="26" t="s">
        <v>7</v>
      </c>
    </row>
    <row r="8" spans="1:35" ht="14.25" customHeight="1" x14ac:dyDescent="0.25">
      <c r="A8" s="34">
        <v>0</v>
      </c>
      <c r="B8" s="34">
        <v>1</v>
      </c>
      <c r="C8" s="34">
        <v>1</v>
      </c>
      <c r="D8" s="35" t="s">
        <v>453</v>
      </c>
      <c r="E8" s="35" t="s">
        <v>260</v>
      </c>
      <c r="F8" s="35" t="s">
        <v>472</v>
      </c>
      <c r="G8" s="35" t="s">
        <v>96</v>
      </c>
      <c r="H8" s="35" t="s">
        <v>165</v>
      </c>
      <c r="I8" s="34" t="s">
        <v>454</v>
      </c>
      <c r="J8" s="34">
        <v>3</v>
      </c>
      <c r="K8" s="34" t="s">
        <v>323</v>
      </c>
      <c r="L8" s="34">
        <v>205</v>
      </c>
      <c r="M8" s="35" t="s">
        <v>878</v>
      </c>
      <c r="N8" s="35" t="s">
        <v>899</v>
      </c>
      <c r="O8" s="36"/>
      <c r="P8" s="36"/>
      <c r="Q8" s="35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0</v>
      </c>
      <c r="AF8" s="2">
        <f t="shared" ref="AF8:AF71" si="3">+O8*P8*(1-A8)</f>
        <v>0</v>
      </c>
      <c r="AG8" s="2">
        <f t="shared" ref="AG8:AG71" si="4">O8*(1-P8)*(1-A8)</f>
        <v>0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659</v>
      </c>
      <c r="E9" s="32" t="s">
        <v>260</v>
      </c>
      <c r="F9" s="32" t="s">
        <v>660</v>
      </c>
      <c r="G9" s="32" t="s">
        <v>93</v>
      </c>
      <c r="H9" s="32" t="s">
        <v>165</v>
      </c>
      <c r="I9" s="31" t="s">
        <v>661</v>
      </c>
      <c r="J9" s="31">
        <v>8</v>
      </c>
      <c r="K9" s="31" t="s">
        <v>328</v>
      </c>
      <c r="L9" s="31" t="s">
        <v>40</v>
      </c>
      <c r="M9" s="32" t="s">
        <v>40</v>
      </c>
      <c r="N9" s="32" t="s">
        <v>895</v>
      </c>
      <c r="O9" s="33">
        <v>1</v>
      </c>
      <c r="P9" s="33">
        <v>1</v>
      </c>
      <c r="Q9" s="32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8">
        <v>0</v>
      </c>
      <c r="B10" s="28">
        <v>1</v>
      </c>
      <c r="C10" s="28">
        <v>1</v>
      </c>
      <c r="D10" s="29" t="s">
        <v>250</v>
      </c>
      <c r="E10" s="29" t="s">
        <v>260</v>
      </c>
      <c r="F10" s="29" t="s">
        <v>207</v>
      </c>
      <c r="G10" s="29" t="s">
        <v>313</v>
      </c>
      <c r="H10" s="29" t="s">
        <v>165</v>
      </c>
      <c r="I10" s="28" t="s">
        <v>208</v>
      </c>
      <c r="J10" s="28">
        <v>6</v>
      </c>
      <c r="K10" s="28" t="s">
        <v>327</v>
      </c>
      <c r="L10" s="28" t="s">
        <v>40</v>
      </c>
      <c r="M10" s="29" t="s">
        <v>40</v>
      </c>
      <c r="N10" s="29"/>
      <c r="O10" s="30"/>
      <c r="P10" s="30">
        <v>1</v>
      </c>
      <c r="Q10" s="29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0</v>
      </c>
      <c r="AE10" s="2">
        <f>O10*(1-P10)</f>
        <v>0</v>
      </c>
      <c r="AF10" s="2">
        <f t="shared" si="3"/>
        <v>0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4">
        <v>0</v>
      </c>
      <c r="B11" s="34">
        <v>1</v>
      </c>
      <c r="C11" s="34">
        <v>1</v>
      </c>
      <c r="D11" s="35" t="s">
        <v>69</v>
      </c>
      <c r="E11" s="35" t="s">
        <v>260</v>
      </c>
      <c r="F11" s="35" t="s">
        <v>147</v>
      </c>
      <c r="G11" s="35" t="s">
        <v>103</v>
      </c>
      <c r="H11" s="35" t="s">
        <v>165</v>
      </c>
      <c r="I11" s="34" t="s">
        <v>192</v>
      </c>
      <c r="J11" s="34">
        <v>6</v>
      </c>
      <c r="K11" s="34" t="s">
        <v>323</v>
      </c>
      <c r="L11" s="34">
        <v>180</v>
      </c>
      <c r="M11" s="35" t="s">
        <v>206</v>
      </c>
      <c r="N11" s="35" t="s">
        <v>898</v>
      </c>
      <c r="O11" s="36"/>
      <c r="P11" s="36"/>
      <c r="Q11" s="35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25">
      <c r="A12" s="34">
        <v>0</v>
      </c>
      <c r="B12" s="34">
        <v>1</v>
      </c>
      <c r="C12" s="34">
        <v>1</v>
      </c>
      <c r="D12" s="35" t="s">
        <v>766</v>
      </c>
      <c r="E12" s="35" t="s">
        <v>260</v>
      </c>
      <c r="F12" s="35" t="s">
        <v>517</v>
      </c>
      <c r="G12" s="35" t="s">
        <v>587</v>
      </c>
      <c r="H12" s="35" t="s">
        <v>165</v>
      </c>
      <c r="I12" s="34" t="s">
        <v>518</v>
      </c>
      <c r="J12" s="34">
        <v>1</v>
      </c>
      <c r="K12" s="34" t="s">
        <v>378</v>
      </c>
      <c r="L12" s="34">
        <v>160</v>
      </c>
      <c r="M12" s="35" t="s">
        <v>879</v>
      </c>
      <c r="N12" s="35" t="s">
        <v>899</v>
      </c>
      <c r="O12" s="36"/>
      <c r="P12" s="36"/>
      <c r="Q12" s="35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25">
      <c r="A13" s="34">
        <v>0</v>
      </c>
      <c r="B13" s="34">
        <v>1</v>
      </c>
      <c r="C13" s="34">
        <v>1</v>
      </c>
      <c r="D13" s="35" t="s">
        <v>812</v>
      </c>
      <c r="E13" s="35" t="s">
        <v>260</v>
      </c>
      <c r="F13" s="35" t="s">
        <v>115</v>
      </c>
      <c r="G13" s="35" t="s">
        <v>116</v>
      </c>
      <c r="H13" s="35" t="s">
        <v>165</v>
      </c>
      <c r="I13" s="34" t="s">
        <v>177</v>
      </c>
      <c r="J13" s="34">
        <v>99</v>
      </c>
      <c r="K13" s="34" t="s">
        <v>327</v>
      </c>
      <c r="L13" s="34">
        <v>210</v>
      </c>
      <c r="M13" s="35" t="s">
        <v>880</v>
      </c>
      <c r="N13" s="35" t="s">
        <v>896</v>
      </c>
      <c r="O13" s="36"/>
      <c r="P13" s="36"/>
      <c r="Q13" s="35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51</v>
      </c>
      <c r="E14" s="32" t="s">
        <v>574</v>
      </c>
      <c r="F14" s="32" t="s">
        <v>104</v>
      </c>
      <c r="G14" s="32" t="s">
        <v>96</v>
      </c>
      <c r="H14" s="32" t="s">
        <v>165</v>
      </c>
      <c r="I14" s="31" t="s">
        <v>171</v>
      </c>
      <c r="J14" s="31">
        <v>3</v>
      </c>
      <c r="K14" s="31" t="s">
        <v>328</v>
      </c>
      <c r="L14" s="31" t="s">
        <v>40</v>
      </c>
      <c r="M14" s="32" t="s">
        <v>40</v>
      </c>
      <c r="N14" s="32" t="s">
        <v>895</v>
      </c>
      <c r="O14" s="33">
        <v>1</v>
      </c>
      <c r="P14" s="33">
        <v>1</v>
      </c>
      <c r="Q14" s="32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25">
      <c r="A15" s="34">
        <v>0</v>
      </c>
      <c r="B15" s="34">
        <v>1</v>
      </c>
      <c r="C15" s="34">
        <v>1</v>
      </c>
      <c r="D15" s="35" t="s">
        <v>64</v>
      </c>
      <c r="E15" s="35" t="s">
        <v>262</v>
      </c>
      <c r="F15" s="35" t="s">
        <v>139</v>
      </c>
      <c r="G15" s="35" t="s">
        <v>140</v>
      </c>
      <c r="H15" s="35" t="s">
        <v>165</v>
      </c>
      <c r="I15" s="34" t="s">
        <v>185</v>
      </c>
      <c r="J15" s="34">
        <v>99</v>
      </c>
      <c r="K15" s="34" t="s">
        <v>325</v>
      </c>
      <c r="L15" s="34" t="s">
        <v>861</v>
      </c>
      <c r="M15" s="35" t="s">
        <v>738</v>
      </c>
      <c r="N15" s="35" t="s">
        <v>930</v>
      </c>
      <c r="O15" s="36"/>
      <c r="P15" s="36"/>
      <c r="Q15" s="35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25">
      <c r="A17" s="34">
        <v>0</v>
      </c>
      <c r="B17" s="34">
        <v>1</v>
      </c>
      <c r="C17" s="34">
        <v>1</v>
      </c>
      <c r="D17" s="35" t="s">
        <v>379</v>
      </c>
      <c r="E17" s="35" t="s">
        <v>260</v>
      </c>
      <c r="F17" s="35" t="s">
        <v>380</v>
      </c>
      <c r="G17" s="35" t="s">
        <v>381</v>
      </c>
      <c r="H17" s="35" t="s">
        <v>382</v>
      </c>
      <c r="I17" s="34" t="s">
        <v>383</v>
      </c>
      <c r="J17" s="34">
        <v>99</v>
      </c>
      <c r="K17" s="34" t="s">
        <v>378</v>
      </c>
      <c r="L17" s="34">
        <v>170</v>
      </c>
      <c r="M17" s="35" t="s">
        <v>894</v>
      </c>
      <c r="N17" s="35" t="s">
        <v>899</v>
      </c>
      <c r="O17" s="36"/>
      <c r="P17" s="36"/>
      <c r="Q17" s="35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306</v>
      </c>
      <c r="E18" s="32" t="s">
        <v>260</v>
      </c>
      <c r="F18" s="32" t="s">
        <v>314</v>
      </c>
      <c r="G18" s="32" t="s">
        <v>94</v>
      </c>
      <c r="H18" s="32" t="s">
        <v>165</v>
      </c>
      <c r="I18" s="31" t="s">
        <v>276</v>
      </c>
      <c r="J18" s="31">
        <v>1</v>
      </c>
      <c r="K18" s="31" t="s">
        <v>377</v>
      </c>
      <c r="L18" s="31" t="s">
        <v>40</v>
      </c>
      <c r="M18" s="32" t="s">
        <v>40</v>
      </c>
      <c r="N18" s="32" t="s">
        <v>895</v>
      </c>
      <c r="O18" s="33">
        <v>1</v>
      </c>
      <c r="P18" s="33">
        <v>1</v>
      </c>
      <c r="Q18" s="32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25">
      <c r="A19" s="34">
        <v>0</v>
      </c>
      <c r="B19" s="34">
        <v>1</v>
      </c>
      <c r="C19" s="34">
        <v>1</v>
      </c>
      <c r="D19" s="35" t="s">
        <v>545</v>
      </c>
      <c r="E19" s="35" t="s">
        <v>262</v>
      </c>
      <c r="F19" s="35" t="s">
        <v>544</v>
      </c>
      <c r="G19" s="35" t="s">
        <v>565</v>
      </c>
      <c r="H19" s="35" t="s">
        <v>165</v>
      </c>
      <c r="I19" s="34" t="s">
        <v>850</v>
      </c>
      <c r="J19" s="34">
        <v>99</v>
      </c>
      <c r="K19" s="34" t="s">
        <v>328</v>
      </c>
      <c r="L19" s="34" t="s">
        <v>859</v>
      </c>
      <c r="M19" s="35" t="s">
        <v>741</v>
      </c>
      <c r="N19" s="35" t="s">
        <v>897</v>
      </c>
      <c r="O19" s="36"/>
      <c r="P19" s="36"/>
      <c r="Q19" s="35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25">
      <c r="A21" s="34">
        <v>0</v>
      </c>
      <c r="B21" s="34">
        <v>1</v>
      </c>
      <c r="C21" s="34">
        <v>2</v>
      </c>
      <c r="D21" s="35" t="s">
        <v>66</v>
      </c>
      <c r="E21" s="35" t="s">
        <v>262</v>
      </c>
      <c r="F21" s="35" t="s">
        <v>121</v>
      </c>
      <c r="G21" s="35" t="s">
        <v>122</v>
      </c>
      <c r="H21" s="35" t="s">
        <v>165</v>
      </c>
      <c r="I21" s="34" t="s">
        <v>187</v>
      </c>
      <c r="J21" s="34">
        <v>6</v>
      </c>
      <c r="K21" s="34" t="s">
        <v>326</v>
      </c>
      <c r="L21" s="34">
        <v>75</v>
      </c>
      <c r="M21" s="35" t="s">
        <v>904</v>
      </c>
      <c r="N21" s="35" t="s">
        <v>931</v>
      </c>
      <c r="O21" s="36"/>
      <c r="P21" s="36"/>
      <c r="Q21" s="35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25">
      <c r="A22" s="34">
        <v>0</v>
      </c>
      <c r="B22" s="34">
        <v>1</v>
      </c>
      <c r="C22" s="34">
        <v>2</v>
      </c>
      <c r="D22" s="35" t="s">
        <v>460</v>
      </c>
      <c r="E22" s="35" t="s">
        <v>467</v>
      </c>
      <c r="F22" s="35" t="s">
        <v>835</v>
      </c>
      <c r="G22" s="35" t="s">
        <v>836</v>
      </c>
      <c r="H22" s="35" t="s">
        <v>165</v>
      </c>
      <c r="I22" s="34" t="s">
        <v>418</v>
      </c>
      <c r="J22" s="34">
        <v>99</v>
      </c>
      <c r="K22" s="34" t="s">
        <v>325</v>
      </c>
      <c r="L22" s="34" t="s">
        <v>346</v>
      </c>
      <c r="M22" s="35" t="s">
        <v>206</v>
      </c>
      <c r="N22" s="35" t="s">
        <v>930</v>
      </c>
      <c r="O22" s="36"/>
      <c r="P22" s="36"/>
      <c r="Q22" s="35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25">
      <c r="A23" s="31">
        <v>0</v>
      </c>
      <c r="B23" s="31">
        <v>1</v>
      </c>
      <c r="C23" s="31">
        <v>2</v>
      </c>
      <c r="D23" s="32" t="s">
        <v>764</v>
      </c>
      <c r="E23" s="32" t="s">
        <v>263</v>
      </c>
      <c r="F23" s="32" t="s">
        <v>765</v>
      </c>
      <c r="G23" s="32" t="s">
        <v>458</v>
      </c>
      <c r="H23" s="32" t="s">
        <v>165</v>
      </c>
      <c r="I23" s="31" t="s">
        <v>33</v>
      </c>
      <c r="J23" s="31">
        <v>99</v>
      </c>
      <c r="K23" s="31" t="s">
        <v>698</v>
      </c>
      <c r="L23" s="31" t="s">
        <v>341</v>
      </c>
      <c r="M23" s="32" t="s">
        <v>206</v>
      </c>
      <c r="N23" s="32" t="s">
        <v>908</v>
      </c>
      <c r="O23" s="33">
        <v>1</v>
      </c>
      <c r="P23" s="33"/>
      <c r="Q23" s="32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</row>
    <row r="24" spans="1:35" ht="14.25" customHeight="1" x14ac:dyDescent="0.25">
      <c r="A24" s="34">
        <v>0</v>
      </c>
      <c r="B24" s="34">
        <v>1</v>
      </c>
      <c r="C24" s="34">
        <v>2</v>
      </c>
      <c r="D24" s="35" t="s">
        <v>75</v>
      </c>
      <c r="E24" s="35" t="s">
        <v>263</v>
      </c>
      <c r="F24" s="35" t="s">
        <v>156</v>
      </c>
      <c r="G24" s="35" t="s">
        <v>157</v>
      </c>
      <c r="H24" s="35" t="s">
        <v>165</v>
      </c>
      <c r="I24" s="34" t="s">
        <v>842</v>
      </c>
      <c r="J24" s="34">
        <v>99</v>
      </c>
      <c r="K24" s="34" t="s">
        <v>325</v>
      </c>
      <c r="L24" s="34">
        <v>45</v>
      </c>
      <c r="M24" s="35" t="s">
        <v>906</v>
      </c>
      <c r="N24" s="35" t="s">
        <v>931</v>
      </c>
      <c r="O24" s="36"/>
      <c r="P24" s="36"/>
      <c r="Q24" s="35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25">
      <c r="A25" s="34">
        <v>0</v>
      </c>
      <c r="B25" s="34">
        <v>1</v>
      </c>
      <c r="C25" s="34">
        <v>2</v>
      </c>
      <c r="D25" s="35" t="s">
        <v>525</v>
      </c>
      <c r="E25" s="35" t="s">
        <v>263</v>
      </c>
      <c r="F25" s="35" t="s">
        <v>526</v>
      </c>
      <c r="G25" s="35" t="s">
        <v>154</v>
      </c>
      <c r="H25" s="35" t="s">
        <v>165</v>
      </c>
      <c r="I25" s="34" t="s">
        <v>527</v>
      </c>
      <c r="J25" s="34">
        <v>99</v>
      </c>
      <c r="K25" s="34" t="s">
        <v>330</v>
      </c>
      <c r="L25" s="34" t="s">
        <v>857</v>
      </c>
      <c r="M25" s="35" t="s">
        <v>740</v>
      </c>
      <c r="N25" s="35" t="s">
        <v>902</v>
      </c>
      <c r="O25" s="36"/>
      <c r="P25" s="36"/>
      <c r="Q25" s="35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857</v>
      </c>
      <c r="M26" s="21" t="s">
        <v>781</v>
      </c>
      <c r="N26" s="21"/>
      <c r="O26" s="7"/>
      <c r="P26" s="7"/>
      <c r="Q26" s="21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</row>
    <row r="27" spans="1:35" ht="14.25" customHeight="1" x14ac:dyDescent="0.25">
      <c r="A27" s="31">
        <v>0</v>
      </c>
      <c r="B27" s="31">
        <v>1</v>
      </c>
      <c r="C27" s="31">
        <v>2</v>
      </c>
      <c r="D27" s="32" t="s">
        <v>384</v>
      </c>
      <c r="E27" s="32" t="s">
        <v>262</v>
      </c>
      <c r="F27" s="32" t="s">
        <v>385</v>
      </c>
      <c r="G27" s="32" t="s">
        <v>588</v>
      </c>
      <c r="H27" s="32" t="s">
        <v>165</v>
      </c>
      <c r="I27" s="31" t="s">
        <v>386</v>
      </c>
      <c r="J27" s="31">
        <v>99</v>
      </c>
      <c r="K27" s="31" t="s">
        <v>378</v>
      </c>
      <c r="L27" s="31">
        <v>40</v>
      </c>
      <c r="M27" s="32" t="s">
        <v>206</v>
      </c>
      <c r="N27" s="32" t="s">
        <v>910</v>
      </c>
      <c r="O27" s="33">
        <v>1</v>
      </c>
      <c r="P27" s="33"/>
      <c r="Q27" s="32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0</v>
      </c>
      <c r="AE27" s="2">
        <f t="shared" si="30"/>
        <v>1</v>
      </c>
      <c r="AF27" s="2">
        <f t="shared" si="3"/>
        <v>0</v>
      </c>
      <c r="AG27" s="2">
        <f t="shared" si="4"/>
        <v>1</v>
      </c>
      <c r="AH27" s="2">
        <f t="shared" si="5"/>
        <v>0</v>
      </c>
      <c r="AI27" s="2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2</v>
      </c>
      <c r="D28" s="32" t="s">
        <v>60</v>
      </c>
      <c r="E28" s="32" t="s">
        <v>259</v>
      </c>
      <c r="F28" s="32" t="s">
        <v>128</v>
      </c>
      <c r="G28" s="32" t="s">
        <v>129</v>
      </c>
      <c r="H28" s="32" t="s">
        <v>165</v>
      </c>
      <c r="I28" s="31" t="s">
        <v>181</v>
      </c>
      <c r="J28" s="31">
        <v>99</v>
      </c>
      <c r="K28" s="31" t="s">
        <v>328</v>
      </c>
      <c r="L28" s="31" t="s">
        <v>40</v>
      </c>
      <c r="M28" s="32" t="s">
        <v>40</v>
      </c>
      <c r="N28" s="32" t="s">
        <v>895</v>
      </c>
      <c r="O28" s="33">
        <v>1</v>
      </c>
      <c r="P28" s="33">
        <v>1</v>
      </c>
      <c r="Q28" s="32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1</v>
      </c>
      <c r="AE28" s="2">
        <f t="shared" si="30"/>
        <v>0</v>
      </c>
      <c r="AF28" s="2">
        <f t="shared" si="3"/>
        <v>1</v>
      </c>
      <c r="AG28" s="2">
        <f t="shared" si="4"/>
        <v>0</v>
      </c>
      <c r="AH28" s="2">
        <f t="shared" si="5"/>
        <v>1</v>
      </c>
      <c r="AI28" s="2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2</v>
      </c>
      <c r="D29" s="35" t="s">
        <v>280</v>
      </c>
      <c r="E29" s="35" t="s">
        <v>263</v>
      </c>
      <c r="F29" s="35" t="s">
        <v>281</v>
      </c>
      <c r="G29" s="35" t="s">
        <v>109</v>
      </c>
      <c r="H29" s="35" t="s">
        <v>165</v>
      </c>
      <c r="I29" s="34" t="s">
        <v>282</v>
      </c>
      <c r="J29" s="34">
        <v>99</v>
      </c>
      <c r="K29" s="34" t="s">
        <v>329</v>
      </c>
      <c r="L29" s="34" t="s">
        <v>342</v>
      </c>
      <c r="M29" s="35" t="s">
        <v>206</v>
      </c>
      <c r="N29" s="35" t="s">
        <v>896</v>
      </c>
      <c r="O29" s="36"/>
      <c r="P29" s="36"/>
      <c r="Q29" s="35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25">
      <c r="A30" s="34">
        <v>0</v>
      </c>
      <c r="B30" s="34">
        <v>1</v>
      </c>
      <c r="C30" s="34">
        <v>2</v>
      </c>
      <c r="D30" s="35" t="s">
        <v>435</v>
      </c>
      <c r="E30" s="35" t="s">
        <v>262</v>
      </c>
      <c r="F30" s="35" t="s">
        <v>434</v>
      </c>
      <c r="G30" s="35" t="s">
        <v>125</v>
      </c>
      <c r="H30" s="35" t="s">
        <v>165</v>
      </c>
      <c r="I30" s="34" t="s">
        <v>436</v>
      </c>
      <c r="J30" s="34">
        <v>99</v>
      </c>
      <c r="K30" s="34" t="s">
        <v>378</v>
      </c>
      <c r="L30" s="34">
        <v>150</v>
      </c>
      <c r="M30" s="35" t="s">
        <v>881</v>
      </c>
      <c r="N30" s="35" t="s">
        <v>899</v>
      </c>
      <c r="O30" s="36"/>
      <c r="P30" s="36"/>
      <c r="Q30" s="35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</row>
    <row r="31" spans="1:35" ht="14.25" customHeight="1" x14ac:dyDescent="0.25">
      <c r="A31" s="34">
        <v>0</v>
      </c>
      <c r="B31" s="34">
        <v>1</v>
      </c>
      <c r="C31" s="34">
        <v>2</v>
      </c>
      <c r="D31" s="35" t="s">
        <v>347</v>
      </c>
      <c r="E31" s="35" t="s">
        <v>262</v>
      </c>
      <c r="F31" s="35" t="s">
        <v>364</v>
      </c>
      <c r="G31" s="35" t="s">
        <v>40</v>
      </c>
      <c r="H31" s="35" t="s">
        <v>165</v>
      </c>
      <c r="I31" s="34" t="s">
        <v>371</v>
      </c>
      <c r="J31" s="34">
        <v>99</v>
      </c>
      <c r="K31" s="34" t="s">
        <v>322</v>
      </c>
      <c r="L31" s="34">
        <v>90</v>
      </c>
      <c r="M31" s="35" t="s">
        <v>907</v>
      </c>
      <c r="N31" s="35" t="s">
        <v>911</v>
      </c>
      <c r="O31" s="36"/>
      <c r="P31" s="36"/>
      <c r="Q31" s="35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0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2</v>
      </c>
      <c r="D32" s="35" t="s">
        <v>219</v>
      </c>
      <c r="E32" s="35" t="s">
        <v>263</v>
      </c>
      <c r="F32" s="35" t="s">
        <v>220</v>
      </c>
      <c r="G32" s="35" t="s">
        <v>103</v>
      </c>
      <c r="H32" s="35" t="s">
        <v>165</v>
      </c>
      <c r="I32" s="34" t="s">
        <v>221</v>
      </c>
      <c r="J32" s="34">
        <v>6</v>
      </c>
      <c r="K32" s="34" t="s">
        <v>326</v>
      </c>
      <c r="L32" s="34" t="s">
        <v>343</v>
      </c>
      <c r="M32" s="35" t="s">
        <v>344</v>
      </c>
      <c r="N32" s="35" t="s">
        <v>902</v>
      </c>
      <c r="O32" s="36"/>
      <c r="P32" s="36"/>
      <c r="Q32" s="35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0</v>
      </c>
      <c r="W32" s="2">
        <f t="shared" si="23"/>
        <v>0</v>
      </c>
      <c r="X32" s="2">
        <f t="shared" si="24"/>
        <v>1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35" ht="14.25" customHeight="1" x14ac:dyDescent="0.25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847</v>
      </c>
      <c r="J33" s="20">
        <v>4</v>
      </c>
      <c r="K33" s="20" t="s">
        <v>326</v>
      </c>
      <c r="L33" s="20">
        <v>130</v>
      </c>
      <c r="M33" s="21" t="s">
        <v>882</v>
      </c>
      <c r="N33" s="21"/>
      <c r="O33" s="7"/>
      <c r="P33" s="7"/>
      <c r="Q33" s="21"/>
      <c r="S33" s="2">
        <f t="shared" si="19"/>
        <v>0</v>
      </c>
      <c r="T33" s="2">
        <f t="shared" si="20"/>
        <v>0</v>
      </c>
      <c r="U33" s="2">
        <f t="shared" si="21"/>
        <v>0</v>
      </c>
      <c r="V33" s="2">
        <f t="shared" si="22"/>
        <v>1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D33" s="2">
        <f t="shared" si="29"/>
        <v>0</v>
      </c>
      <c r="AE33" s="2">
        <f t="shared" si="30"/>
        <v>0</v>
      </c>
      <c r="AF33" s="2">
        <f t="shared" si="3"/>
        <v>0</v>
      </c>
      <c r="AG33" s="2">
        <f t="shared" si="4"/>
        <v>0</v>
      </c>
      <c r="AH33" s="2">
        <f t="shared" si="5"/>
        <v>0</v>
      </c>
      <c r="AI33" s="2">
        <f t="shared" si="6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2" t="s">
        <v>415</v>
      </c>
      <c r="E34" s="32" t="s">
        <v>262</v>
      </c>
      <c r="F34" s="32" t="s">
        <v>416</v>
      </c>
      <c r="G34" s="32" t="s">
        <v>96</v>
      </c>
      <c r="H34" s="32" t="s">
        <v>165</v>
      </c>
      <c r="I34" s="31" t="s">
        <v>417</v>
      </c>
      <c r="J34" s="31">
        <v>3</v>
      </c>
      <c r="K34" s="31" t="s">
        <v>330</v>
      </c>
      <c r="L34" s="31" t="s">
        <v>40</v>
      </c>
      <c r="M34" s="32" t="s">
        <v>40</v>
      </c>
      <c r="N34" s="32" t="s">
        <v>895</v>
      </c>
      <c r="O34" s="33">
        <v>1</v>
      </c>
      <c r="P34" s="33">
        <v>1</v>
      </c>
      <c r="Q34" s="32"/>
      <c r="S34" s="2">
        <f t="shared" si="19"/>
        <v>0</v>
      </c>
      <c r="T34" s="2">
        <f t="shared" si="20"/>
        <v>0</v>
      </c>
      <c r="U34" s="2">
        <f t="shared" si="21"/>
        <v>1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0</v>
      </c>
      <c r="AA34" s="2">
        <f t="shared" si="27"/>
        <v>0</v>
      </c>
      <c r="AB34" s="2">
        <f t="shared" si="28"/>
        <v>0</v>
      </c>
      <c r="AD34" s="2">
        <f t="shared" si="29"/>
        <v>1</v>
      </c>
      <c r="AE34" s="2">
        <f t="shared" si="30"/>
        <v>0</v>
      </c>
      <c r="AF34" s="2">
        <f t="shared" si="3"/>
        <v>1</v>
      </c>
      <c r="AG34" s="2">
        <f t="shared" si="4"/>
        <v>0</v>
      </c>
      <c r="AH34" s="2">
        <f t="shared" si="5"/>
        <v>1</v>
      </c>
      <c r="AI34" s="2">
        <f t="shared" si="6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633</v>
      </c>
      <c r="E35" s="32" t="s">
        <v>262</v>
      </c>
      <c r="F35" s="32" t="s">
        <v>691</v>
      </c>
      <c r="G35" s="32" t="s">
        <v>93</v>
      </c>
      <c r="H35" s="32" t="s">
        <v>165</v>
      </c>
      <c r="I35" s="31" t="s">
        <v>634</v>
      </c>
      <c r="J35" s="31">
        <v>8</v>
      </c>
      <c r="K35" s="31" t="s">
        <v>325</v>
      </c>
      <c r="L35" s="31">
        <v>45</v>
      </c>
      <c r="M35" s="32" t="s">
        <v>883</v>
      </c>
      <c r="N35" s="32" t="s">
        <v>908</v>
      </c>
      <c r="O35" s="33">
        <v>1</v>
      </c>
      <c r="P35" s="33"/>
      <c r="Q35" s="3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1</v>
      </c>
      <c r="AA35" s="2">
        <f t="shared" si="27"/>
        <v>0</v>
      </c>
      <c r="AB35" s="2">
        <f t="shared" si="28"/>
        <v>0</v>
      </c>
      <c r="AD35" s="2">
        <f t="shared" si="29"/>
        <v>0</v>
      </c>
      <c r="AE35" s="2">
        <f t="shared" si="30"/>
        <v>1</v>
      </c>
      <c r="AF35" s="2">
        <f t="shared" si="3"/>
        <v>0</v>
      </c>
      <c r="AG35" s="2">
        <f t="shared" si="4"/>
        <v>1</v>
      </c>
      <c r="AH35" s="2">
        <f t="shared" si="5"/>
        <v>0</v>
      </c>
      <c r="AI35" s="2">
        <f t="shared" si="6"/>
        <v>1</v>
      </c>
    </row>
    <row r="36" spans="1:35" ht="14.25" customHeight="1" x14ac:dyDescent="0.25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Q36" s="21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3</v>
      </c>
      <c r="D37" s="35" t="s">
        <v>302</v>
      </c>
      <c r="E37" s="35" t="s">
        <v>263</v>
      </c>
      <c r="F37" s="35" t="s">
        <v>312</v>
      </c>
      <c r="G37" s="35" t="s">
        <v>40</v>
      </c>
      <c r="H37" s="35" t="s">
        <v>303</v>
      </c>
      <c r="I37" s="34" t="s">
        <v>304</v>
      </c>
      <c r="J37" s="34">
        <v>99</v>
      </c>
      <c r="K37" s="34" t="s">
        <v>378</v>
      </c>
      <c r="L37" s="34">
        <v>90</v>
      </c>
      <c r="M37" s="35" t="s">
        <v>598</v>
      </c>
      <c r="N37" s="35" t="s">
        <v>911</v>
      </c>
      <c r="O37" s="36"/>
      <c r="P37" s="36"/>
      <c r="Q37" s="35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D37" s="2">
        <f t="shared" si="29"/>
        <v>0</v>
      </c>
      <c r="AE37" s="2">
        <f t="shared" si="30"/>
        <v>0</v>
      </c>
      <c r="AF37" s="2">
        <f t="shared" si="3"/>
        <v>0</v>
      </c>
      <c r="AG37" s="2">
        <f t="shared" si="4"/>
        <v>0</v>
      </c>
      <c r="AH37" s="2">
        <f t="shared" si="5"/>
        <v>0</v>
      </c>
      <c r="AI37" s="2">
        <f t="shared" si="6"/>
        <v>1</v>
      </c>
    </row>
    <row r="38" spans="1:35" ht="14.25" customHeight="1" x14ac:dyDescent="0.25">
      <c r="A38" s="31">
        <v>0</v>
      </c>
      <c r="B38" s="31">
        <v>1</v>
      </c>
      <c r="C38" s="31">
        <v>3</v>
      </c>
      <c r="D38" s="32" t="s">
        <v>438</v>
      </c>
      <c r="E38" s="32" t="s">
        <v>259</v>
      </c>
      <c r="F38" s="32" t="s">
        <v>439</v>
      </c>
      <c r="G38" s="32" t="s">
        <v>440</v>
      </c>
      <c r="H38" s="32" t="s">
        <v>165</v>
      </c>
      <c r="I38" s="31" t="s">
        <v>441</v>
      </c>
      <c r="J38" s="31">
        <v>99</v>
      </c>
      <c r="K38" s="31" t="s">
        <v>378</v>
      </c>
      <c r="L38" s="31">
        <v>60</v>
      </c>
      <c r="M38" s="32" t="s">
        <v>599</v>
      </c>
      <c r="N38" s="32" t="s">
        <v>895</v>
      </c>
      <c r="O38" s="33">
        <v>1</v>
      </c>
      <c r="P38" s="33">
        <v>1</v>
      </c>
      <c r="Q38" s="3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0</v>
      </c>
      <c r="AA38" s="2">
        <f t="shared" si="27"/>
        <v>0</v>
      </c>
      <c r="AB38" s="2">
        <f t="shared" si="28"/>
        <v>0</v>
      </c>
      <c r="AD38" s="2">
        <f t="shared" si="29"/>
        <v>1</v>
      </c>
      <c r="AE38" s="2">
        <f t="shared" si="30"/>
        <v>0</v>
      </c>
      <c r="AF38" s="2">
        <f t="shared" si="3"/>
        <v>1</v>
      </c>
      <c r="AG38" s="2">
        <f t="shared" si="4"/>
        <v>0</v>
      </c>
      <c r="AH38" s="2">
        <f t="shared" si="5"/>
        <v>1</v>
      </c>
      <c r="AI38" s="2">
        <f t="shared" si="6"/>
        <v>0</v>
      </c>
    </row>
    <row r="39" spans="1:35" ht="14.25" customHeight="1" x14ac:dyDescent="0.25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854</v>
      </c>
      <c r="M39" s="21" t="s">
        <v>599</v>
      </c>
      <c r="N39" s="21"/>
      <c r="O39" s="7"/>
      <c r="P39" s="7"/>
      <c r="Q39" s="21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D39" s="2">
        <f t="shared" si="29"/>
        <v>0</v>
      </c>
      <c r="AE39" s="2">
        <f t="shared" si="30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</row>
    <row r="40" spans="1:35" ht="14.25" customHeight="1" x14ac:dyDescent="0.25">
      <c r="A40" s="31">
        <v>0</v>
      </c>
      <c r="B40" s="31">
        <v>1</v>
      </c>
      <c r="C40" s="31">
        <v>3</v>
      </c>
      <c r="D40" s="32" t="s">
        <v>512</v>
      </c>
      <c r="E40" s="32" t="s">
        <v>676</v>
      </c>
      <c r="F40" s="32" t="s">
        <v>513</v>
      </c>
      <c r="G40" s="32" t="s">
        <v>39</v>
      </c>
      <c r="H40" s="32" t="s">
        <v>165</v>
      </c>
      <c r="I40" s="31" t="s">
        <v>514</v>
      </c>
      <c r="J40" s="31">
        <v>8</v>
      </c>
      <c r="K40" s="31" t="s">
        <v>326</v>
      </c>
      <c r="L40" s="31" t="s">
        <v>858</v>
      </c>
      <c r="M40" s="32" t="s">
        <v>743</v>
      </c>
      <c r="N40" s="32" t="s">
        <v>914</v>
      </c>
      <c r="O40" s="33">
        <v>1</v>
      </c>
      <c r="P40" s="33"/>
      <c r="Q40" s="3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1</v>
      </c>
      <c r="AA40" s="2">
        <f t="shared" si="27"/>
        <v>0</v>
      </c>
      <c r="AB40" s="2">
        <f t="shared" si="28"/>
        <v>0</v>
      </c>
      <c r="AD40" s="2">
        <f t="shared" si="29"/>
        <v>0</v>
      </c>
      <c r="AE40" s="2">
        <f t="shared" si="30"/>
        <v>1</v>
      </c>
      <c r="AF40" s="2">
        <f t="shared" si="3"/>
        <v>0</v>
      </c>
      <c r="AG40" s="2">
        <f t="shared" si="4"/>
        <v>1</v>
      </c>
      <c r="AH40" s="2">
        <f t="shared" si="5"/>
        <v>0</v>
      </c>
      <c r="AI40" s="2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3</v>
      </c>
      <c r="D41" s="35" t="s">
        <v>77</v>
      </c>
      <c r="E41" s="35" t="s">
        <v>259</v>
      </c>
      <c r="F41" s="35" t="s">
        <v>256</v>
      </c>
      <c r="G41" s="35" t="s">
        <v>148</v>
      </c>
      <c r="H41" s="35" t="s">
        <v>165</v>
      </c>
      <c r="I41" s="34" t="s">
        <v>201</v>
      </c>
      <c r="J41" s="34">
        <v>99</v>
      </c>
      <c r="K41" s="34" t="s">
        <v>326</v>
      </c>
      <c r="L41" s="34" t="s">
        <v>862</v>
      </c>
      <c r="M41" s="35" t="s">
        <v>785</v>
      </c>
      <c r="N41" s="35" t="s">
        <v>911</v>
      </c>
      <c r="O41" s="36"/>
      <c r="P41" s="36"/>
      <c r="Q41" s="35"/>
      <c r="S41" s="2">
        <f t="shared" si="19"/>
        <v>0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D41" s="2">
        <f t="shared" si="29"/>
        <v>0</v>
      </c>
      <c r="AE41" s="2">
        <f t="shared" si="30"/>
        <v>0</v>
      </c>
      <c r="AF41" s="2">
        <f t="shared" si="3"/>
        <v>0</v>
      </c>
      <c r="AG41" s="2">
        <f t="shared" si="4"/>
        <v>0</v>
      </c>
      <c r="AH41" s="2">
        <f t="shared" si="5"/>
        <v>0</v>
      </c>
      <c r="AI41" s="2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3</v>
      </c>
      <c r="D42" s="35" t="s">
        <v>756</v>
      </c>
      <c r="E42" s="35" t="s">
        <v>757</v>
      </c>
      <c r="F42" s="35" t="s">
        <v>758</v>
      </c>
      <c r="G42" s="35" t="s">
        <v>92</v>
      </c>
      <c r="H42" s="35" t="s">
        <v>165</v>
      </c>
      <c r="I42" s="34" t="s">
        <v>759</v>
      </c>
      <c r="J42" s="34">
        <v>1</v>
      </c>
      <c r="K42" s="34" t="s">
        <v>378</v>
      </c>
      <c r="L42" s="34">
        <v>35</v>
      </c>
      <c r="M42" s="35" t="s">
        <v>760</v>
      </c>
      <c r="N42" s="35" t="s">
        <v>902</v>
      </c>
      <c r="O42" s="36"/>
      <c r="P42" s="36"/>
      <c r="Q42" s="35"/>
      <c r="S42" s="2">
        <f t="shared" si="19"/>
        <v>1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D42" s="2">
        <f t="shared" si="29"/>
        <v>0</v>
      </c>
      <c r="AE42" s="2">
        <f t="shared" si="30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</row>
    <row r="43" spans="1:35" ht="14.25" customHeight="1" x14ac:dyDescent="0.25">
      <c r="A43" s="31">
        <v>0</v>
      </c>
      <c r="B43" s="31">
        <v>1</v>
      </c>
      <c r="C43" s="31">
        <v>3</v>
      </c>
      <c r="D43" s="32" t="s">
        <v>413</v>
      </c>
      <c r="E43" s="32" t="s">
        <v>259</v>
      </c>
      <c r="F43" s="32" t="s">
        <v>589</v>
      </c>
      <c r="G43" s="32" t="s">
        <v>284</v>
      </c>
      <c r="H43" s="32" t="s">
        <v>165</v>
      </c>
      <c r="I43" s="31" t="s">
        <v>414</v>
      </c>
      <c r="J43" s="31">
        <v>99</v>
      </c>
      <c r="K43" s="31" t="s">
        <v>331</v>
      </c>
      <c r="L43" s="31" t="s">
        <v>341</v>
      </c>
      <c r="M43" s="32" t="s">
        <v>743</v>
      </c>
      <c r="N43" s="32" t="s">
        <v>909</v>
      </c>
      <c r="O43" s="33">
        <v>1</v>
      </c>
      <c r="P43" s="33"/>
      <c r="Q43" s="3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D43" s="2">
        <f t="shared" si="29"/>
        <v>0</v>
      </c>
      <c r="AE43" s="2">
        <f t="shared" si="30"/>
        <v>1</v>
      </c>
      <c r="AF43" s="2">
        <f t="shared" si="3"/>
        <v>0</v>
      </c>
      <c r="AG43" s="2">
        <f t="shared" si="4"/>
        <v>1</v>
      </c>
      <c r="AH43" s="2">
        <f t="shared" si="5"/>
        <v>0</v>
      </c>
      <c r="AI43" s="2">
        <f t="shared" si="6"/>
        <v>1</v>
      </c>
    </row>
    <row r="44" spans="1:35" ht="14.25" customHeight="1" x14ac:dyDescent="0.25">
      <c r="A44" s="34">
        <v>0</v>
      </c>
      <c r="B44" s="34">
        <v>1</v>
      </c>
      <c r="C44" s="34">
        <v>3</v>
      </c>
      <c r="D44" s="35" t="s">
        <v>683</v>
      </c>
      <c r="E44" s="35" t="s">
        <v>624</v>
      </c>
      <c r="F44" s="35" t="s">
        <v>622</v>
      </c>
      <c r="G44" s="35" t="s">
        <v>40</v>
      </c>
      <c r="H44" s="35" t="s">
        <v>623</v>
      </c>
      <c r="I44" s="34" t="s">
        <v>625</v>
      </c>
      <c r="J44" s="34">
        <v>99</v>
      </c>
      <c r="K44" s="34" t="s">
        <v>378</v>
      </c>
      <c r="L44" s="34">
        <v>60</v>
      </c>
      <c r="M44" s="35" t="s">
        <v>599</v>
      </c>
      <c r="N44" s="35" t="s">
        <v>902</v>
      </c>
      <c r="O44" s="36"/>
      <c r="P44" s="36"/>
      <c r="Q44" s="35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0</v>
      </c>
      <c r="AA44" s="2">
        <f t="shared" si="27"/>
        <v>0</v>
      </c>
      <c r="AB44" s="2">
        <f t="shared" si="28"/>
        <v>0</v>
      </c>
      <c r="AD44" s="2">
        <f t="shared" si="29"/>
        <v>0</v>
      </c>
      <c r="AE44" s="2">
        <f t="shared" si="30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3</v>
      </c>
      <c r="D45" s="32" t="s">
        <v>572</v>
      </c>
      <c r="E45" s="32" t="s">
        <v>509</v>
      </c>
      <c r="F45" s="32" t="s">
        <v>591</v>
      </c>
      <c r="G45" s="32" t="s">
        <v>93</v>
      </c>
      <c r="H45" s="32" t="s">
        <v>165</v>
      </c>
      <c r="I45" s="31" t="s">
        <v>596</v>
      </c>
      <c r="J45" s="31">
        <v>8</v>
      </c>
      <c r="K45" s="31" t="s">
        <v>378</v>
      </c>
      <c r="L45" s="31" t="s">
        <v>346</v>
      </c>
      <c r="M45" s="32" t="s">
        <v>510</v>
      </c>
      <c r="N45" s="32" t="s">
        <v>909</v>
      </c>
      <c r="O45" s="33">
        <v>1</v>
      </c>
      <c r="P45" s="33"/>
      <c r="Q45" s="3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0</v>
      </c>
      <c r="Y45" s="2">
        <f t="shared" si="25"/>
        <v>0</v>
      </c>
      <c r="Z45" s="2">
        <f t="shared" si="26"/>
        <v>1</v>
      </c>
      <c r="AA45" s="2">
        <f t="shared" si="27"/>
        <v>0</v>
      </c>
      <c r="AB45" s="2">
        <f t="shared" si="28"/>
        <v>0</v>
      </c>
      <c r="AD45" s="2">
        <f t="shared" si="29"/>
        <v>0</v>
      </c>
      <c r="AE45" s="2">
        <f t="shared" si="30"/>
        <v>1</v>
      </c>
      <c r="AF45" s="2">
        <f t="shared" si="3"/>
        <v>0</v>
      </c>
      <c r="AG45" s="2">
        <f t="shared" si="4"/>
        <v>1</v>
      </c>
      <c r="AH45" s="2">
        <f t="shared" si="5"/>
        <v>0</v>
      </c>
      <c r="AI45" s="2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3</v>
      </c>
      <c r="D46" s="35" t="s">
        <v>774</v>
      </c>
      <c r="E46" s="35" t="s">
        <v>259</v>
      </c>
      <c r="F46" s="35" t="s">
        <v>775</v>
      </c>
      <c r="G46" s="35" t="s">
        <v>103</v>
      </c>
      <c r="H46" s="35" t="s">
        <v>165</v>
      </c>
      <c r="I46" s="34" t="s">
        <v>776</v>
      </c>
      <c r="J46" s="34">
        <v>6</v>
      </c>
      <c r="K46" s="34" t="s">
        <v>378</v>
      </c>
      <c r="L46" s="34">
        <v>70</v>
      </c>
      <c r="M46" s="35" t="s">
        <v>777</v>
      </c>
      <c r="N46" s="35" t="s">
        <v>911</v>
      </c>
      <c r="O46" s="36"/>
      <c r="P46" s="36"/>
      <c r="Q46" s="35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1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35" ht="14.25" customHeight="1" x14ac:dyDescent="0.25">
      <c r="A47" s="34">
        <v>0</v>
      </c>
      <c r="B47" s="34">
        <v>1</v>
      </c>
      <c r="C47" s="34">
        <v>3</v>
      </c>
      <c r="D47" s="35" t="s">
        <v>609</v>
      </c>
      <c r="E47" s="35" t="s">
        <v>259</v>
      </c>
      <c r="F47" s="35" t="s">
        <v>610</v>
      </c>
      <c r="G47" s="35" t="s">
        <v>828</v>
      </c>
      <c r="H47" s="35" t="s">
        <v>165</v>
      </c>
      <c r="I47" s="34" t="s">
        <v>611</v>
      </c>
      <c r="J47" s="34">
        <v>99</v>
      </c>
      <c r="K47" s="34" t="s">
        <v>332</v>
      </c>
      <c r="L47" s="34" t="s">
        <v>341</v>
      </c>
      <c r="M47" s="35" t="s">
        <v>743</v>
      </c>
      <c r="N47" s="35" t="s">
        <v>896</v>
      </c>
      <c r="O47" s="36"/>
      <c r="P47" s="36"/>
      <c r="Q47" s="35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0</v>
      </c>
      <c r="AA47" s="2">
        <f t="shared" si="27"/>
        <v>0</v>
      </c>
      <c r="AB47" s="2">
        <f t="shared" si="28"/>
        <v>0</v>
      </c>
      <c r="AD47" s="2">
        <f t="shared" si="29"/>
        <v>0</v>
      </c>
      <c r="AE47" s="2">
        <f t="shared" si="30"/>
        <v>0</v>
      </c>
      <c r="AF47" s="2">
        <f t="shared" si="3"/>
        <v>0</v>
      </c>
      <c r="AG47" s="2">
        <f t="shared" si="4"/>
        <v>0</v>
      </c>
      <c r="AH47" s="2">
        <f t="shared" si="5"/>
        <v>0</v>
      </c>
      <c r="AI47" s="2">
        <f t="shared" si="6"/>
        <v>1</v>
      </c>
    </row>
    <row r="48" spans="1:35" ht="14.25" customHeight="1" x14ac:dyDescent="0.25">
      <c r="A48" s="34">
        <v>0</v>
      </c>
      <c r="B48" s="34">
        <v>1</v>
      </c>
      <c r="C48" s="34">
        <v>3</v>
      </c>
      <c r="D48" s="35" t="s">
        <v>686</v>
      </c>
      <c r="E48" s="35" t="s">
        <v>263</v>
      </c>
      <c r="F48" s="35" t="s">
        <v>690</v>
      </c>
      <c r="G48" s="35" t="s">
        <v>93</v>
      </c>
      <c r="H48" s="35" t="s">
        <v>165</v>
      </c>
      <c r="I48" s="34" t="s">
        <v>511</v>
      </c>
      <c r="J48" s="34">
        <v>8</v>
      </c>
      <c r="K48" s="34" t="s">
        <v>332</v>
      </c>
      <c r="L48" s="34" t="s">
        <v>597</v>
      </c>
      <c r="M48" s="35" t="s">
        <v>206</v>
      </c>
      <c r="N48" s="35" t="s">
        <v>899</v>
      </c>
      <c r="O48" s="36"/>
      <c r="P48" s="36"/>
      <c r="Q48" s="35"/>
      <c r="S48" s="2">
        <f t="shared" si="19"/>
        <v>0</v>
      </c>
      <c r="T48" s="2">
        <f t="shared" si="20"/>
        <v>0</v>
      </c>
      <c r="U48" s="2">
        <f t="shared" si="21"/>
        <v>0</v>
      </c>
      <c r="V48" s="2">
        <f t="shared" si="22"/>
        <v>0</v>
      </c>
      <c r="W48" s="2">
        <f t="shared" si="23"/>
        <v>0</v>
      </c>
      <c r="X48" s="2">
        <f t="shared" si="24"/>
        <v>0</v>
      </c>
      <c r="Y48" s="2">
        <f t="shared" si="25"/>
        <v>0</v>
      </c>
      <c r="Z48" s="2">
        <f t="shared" si="26"/>
        <v>1</v>
      </c>
      <c r="AA48" s="2">
        <f t="shared" si="27"/>
        <v>0</v>
      </c>
      <c r="AB48" s="2">
        <f t="shared" si="28"/>
        <v>0</v>
      </c>
      <c r="AD48" s="2">
        <f t="shared" si="29"/>
        <v>0</v>
      </c>
      <c r="AE48" s="2">
        <f t="shared" si="30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</row>
    <row r="49" spans="1:35" ht="14.25" customHeight="1" x14ac:dyDescent="0.25">
      <c r="A49" s="31">
        <v>0</v>
      </c>
      <c r="B49" s="31">
        <v>1</v>
      </c>
      <c r="C49" s="31">
        <v>3</v>
      </c>
      <c r="D49" s="32" t="s">
        <v>687</v>
      </c>
      <c r="E49" s="32" t="s">
        <v>259</v>
      </c>
      <c r="F49" s="32" t="s">
        <v>158</v>
      </c>
      <c r="G49" s="32" t="s">
        <v>93</v>
      </c>
      <c r="H49" s="32" t="s">
        <v>165</v>
      </c>
      <c r="I49" s="31" t="s">
        <v>199</v>
      </c>
      <c r="J49" s="31">
        <v>8</v>
      </c>
      <c r="K49" s="31" t="s">
        <v>329</v>
      </c>
      <c r="L49" s="31" t="s">
        <v>341</v>
      </c>
      <c r="M49" s="32" t="s">
        <v>266</v>
      </c>
      <c r="N49" s="32" t="s">
        <v>909</v>
      </c>
      <c r="O49" s="33">
        <v>1</v>
      </c>
      <c r="P49" s="33"/>
      <c r="Q49" s="32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1</v>
      </c>
      <c r="AA49" s="2">
        <f t="shared" si="27"/>
        <v>0</v>
      </c>
      <c r="AB49" s="2">
        <f t="shared" si="28"/>
        <v>0</v>
      </c>
      <c r="AD49" s="2">
        <f t="shared" si="29"/>
        <v>0</v>
      </c>
      <c r="AE49" s="2">
        <f t="shared" si="30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</row>
    <row r="50" spans="1:35" ht="14.25" customHeight="1" x14ac:dyDescent="0.25">
      <c r="A50" s="28">
        <v>0</v>
      </c>
      <c r="B50" s="28">
        <v>1</v>
      </c>
      <c r="C50" s="28">
        <v>3</v>
      </c>
      <c r="D50" s="29" t="s">
        <v>76</v>
      </c>
      <c r="E50" s="29" t="s">
        <v>259</v>
      </c>
      <c r="F50" s="29" t="s">
        <v>159</v>
      </c>
      <c r="G50" s="29" t="s">
        <v>130</v>
      </c>
      <c r="H50" s="29" t="s">
        <v>165</v>
      </c>
      <c r="I50" s="28" t="s">
        <v>200</v>
      </c>
      <c r="J50" s="28">
        <v>10</v>
      </c>
      <c r="K50" s="28" t="s">
        <v>322</v>
      </c>
      <c r="L50" s="28" t="s">
        <v>341</v>
      </c>
      <c r="M50" s="29" t="s">
        <v>266</v>
      </c>
      <c r="N50" s="29"/>
      <c r="O50" s="30"/>
      <c r="P50" s="30">
        <v>1</v>
      </c>
      <c r="Q50" s="29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1</v>
      </c>
      <c r="AD50" s="2">
        <f t="shared" si="29"/>
        <v>0</v>
      </c>
      <c r="AE50" s="2">
        <f t="shared" si="30"/>
        <v>0</v>
      </c>
      <c r="AF50" s="2">
        <f t="shared" si="3"/>
        <v>0</v>
      </c>
      <c r="AG50" s="2">
        <f t="shared" si="4"/>
        <v>0</v>
      </c>
      <c r="AH50" s="2">
        <f t="shared" si="5"/>
        <v>1</v>
      </c>
      <c r="AI50" s="2">
        <f t="shared" si="6"/>
        <v>0</v>
      </c>
    </row>
    <row r="51" spans="1:35" ht="14.25" customHeight="1" x14ac:dyDescent="0.25">
      <c r="A51" s="34">
        <v>0</v>
      </c>
      <c r="B51" s="34">
        <v>1</v>
      </c>
      <c r="C51" s="34">
        <v>3</v>
      </c>
      <c r="D51" s="35" t="s">
        <v>637</v>
      </c>
      <c r="E51" s="35" t="s">
        <v>638</v>
      </c>
      <c r="F51" s="35" t="s">
        <v>639</v>
      </c>
      <c r="G51" s="35" t="s">
        <v>516</v>
      </c>
      <c r="H51" s="35" t="s">
        <v>165</v>
      </c>
      <c r="I51" s="34" t="s">
        <v>640</v>
      </c>
      <c r="J51" s="34"/>
      <c r="K51" s="34" t="s">
        <v>378</v>
      </c>
      <c r="L51" s="34">
        <v>55</v>
      </c>
      <c r="M51" s="35" t="s">
        <v>641</v>
      </c>
      <c r="N51" s="35" t="s">
        <v>930</v>
      </c>
      <c r="O51" s="36"/>
      <c r="P51" s="36"/>
      <c r="Q51" s="35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25">
      <c r="A52" s="34">
        <v>0</v>
      </c>
      <c r="B52" s="34">
        <v>1</v>
      </c>
      <c r="C52" s="34">
        <v>3</v>
      </c>
      <c r="D52" s="35" t="s">
        <v>730</v>
      </c>
      <c r="E52" s="35" t="s">
        <v>259</v>
      </c>
      <c r="F52" s="35" t="s">
        <v>834</v>
      </c>
      <c r="G52" s="35" t="s">
        <v>733</v>
      </c>
      <c r="H52" s="35" t="s">
        <v>165</v>
      </c>
      <c r="I52" s="34" t="s">
        <v>732</v>
      </c>
      <c r="J52" s="34">
        <v>99</v>
      </c>
      <c r="K52" s="34" t="s">
        <v>331</v>
      </c>
      <c r="L52" s="34" t="s">
        <v>346</v>
      </c>
      <c r="M52" s="35" t="s">
        <v>731</v>
      </c>
      <c r="N52" s="35" t="s">
        <v>930</v>
      </c>
      <c r="O52" s="36"/>
      <c r="P52" s="36"/>
      <c r="Q52" s="35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25">
      <c r="A53" s="20">
        <v>0</v>
      </c>
      <c r="B53" s="20">
        <v>1</v>
      </c>
      <c r="C53" s="20">
        <v>3</v>
      </c>
      <c r="D53" s="21" t="s">
        <v>988</v>
      </c>
      <c r="E53" s="21" t="s">
        <v>259</v>
      </c>
      <c r="F53" s="21" t="s">
        <v>989</v>
      </c>
      <c r="G53" s="21" t="s">
        <v>990</v>
      </c>
      <c r="H53" s="21" t="s">
        <v>165</v>
      </c>
      <c r="I53" s="20" t="s">
        <v>991</v>
      </c>
      <c r="J53" s="20"/>
      <c r="K53" s="20" t="s">
        <v>378</v>
      </c>
      <c r="L53" s="20">
        <v>65</v>
      </c>
      <c r="M53" s="21" t="s">
        <v>992</v>
      </c>
      <c r="N53" s="21"/>
      <c r="O53" s="20"/>
      <c r="P53" s="20"/>
      <c r="Q53" s="21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25">
      <c r="A54" s="34">
        <v>0</v>
      </c>
      <c r="B54" s="34">
        <v>1</v>
      </c>
      <c r="C54" s="34">
        <v>3</v>
      </c>
      <c r="D54" s="35" t="s">
        <v>56</v>
      </c>
      <c r="E54" s="35" t="s">
        <v>259</v>
      </c>
      <c r="F54" s="35" t="s">
        <v>111</v>
      </c>
      <c r="G54" s="35" t="s">
        <v>112</v>
      </c>
      <c r="H54" s="35" t="s">
        <v>165</v>
      </c>
      <c r="I54" s="34" t="s">
        <v>175</v>
      </c>
      <c r="J54" s="34">
        <v>99</v>
      </c>
      <c r="K54" s="34" t="s">
        <v>326</v>
      </c>
      <c r="L54" s="34">
        <v>65</v>
      </c>
      <c r="M54" s="35" t="s">
        <v>738</v>
      </c>
      <c r="N54" s="35" t="s">
        <v>930</v>
      </c>
      <c r="O54" s="36"/>
      <c r="P54" s="36"/>
      <c r="Q54" s="35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0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25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912</v>
      </c>
      <c r="N55" s="21"/>
      <c r="O55" s="7"/>
      <c r="P55" s="7"/>
      <c r="Q55" s="21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1</v>
      </c>
      <c r="AA55" s="2">
        <f t="shared" si="27"/>
        <v>0</v>
      </c>
      <c r="AB55" s="2">
        <f t="shared" si="28"/>
        <v>0</v>
      </c>
      <c r="AD55" s="2">
        <f t="shared" si="29"/>
        <v>0</v>
      </c>
      <c r="AE55" s="2">
        <f t="shared" si="30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</row>
    <row r="56" spans="1:35" ht="14.25" customHeight="1" x14ac:dyDescent="0.25">
      <c r="A56" s="31">
        <v>0</v>
      </c>
      <c r="B56" s="31">
        <v>1</v>
      </c>
      <c r="C56" s="31">
        <v>4</v>
      </c>
      <c r="D56" s="32" t="s">
        <v>252</v>
      </c>
      <c r="E56" s="32" t="s">
        <v>234</v>
      </c>
      <c r="F56" s="32" t="s">
        <v>235</v>
      </c>
      <c r="G56" s="32" t="s">
        <v>109</v>
      </c>
      <c r="H56" s="32" t="s">
        <v>165</v>
      </c>
      <c r="I56" s="31" t="s">
        <v>236</v>
      </c>
      <c r="J56" s="31">
        <v>9</v>
      </c>
      <c r="K56" s="31" t="s">
        <v>332</v>
      </c>
      <c r="L56" s="31" t="s">
        <v>345</v>
      </c>
      <c r="M56" s="32" t="s">
        <v>783</v>
      </c>
      <c r="N56" s="32" t="s">
        <v>895</v>
      </c>
      <c r="O56" s="33">
        <v>1</v>
      </c>
      <c r="P56" s="33">
        <v>1</v>
      </c>
      <c r="Q56" s="32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1</v>
      </c>
      <c r="AB56" s="2">
        <f t="shared" si="28"/>
        <v>0</v>
      </c>
      <c r="AD56" s="2">
        <f t="shared" si="29"/>
        <v>1</v>
      </c>
      <c r="AE56" s="2">
        <f t="shared" si="30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</row>
    <row r="57" spans="1:35" ht="14.25" customHeight="1" x14ac:dyDescent="0.25">
      <c r="A57" s="34">
        <v>0</v>
      </c>
      <c r="B57" s="34">
        <v>1</v>
      </c>
      <c r="C57" s="34">
        <v>4</v>
      </c>
      <c r="D57" s="35" t="s">
        <v>307</v>
      </c>
      <c r="E57" s="35" t="s">
        <v>29</v>
      </c>
      <c r="F57" s="35" t="s">
        <v>283</v>
      </c>
      <c r="G57" s="35" t="s">
        <v>284</v>
      </c>
      <c r="H57" s="35" t="s">
        <v>165</v>
      </c>
      <c r="I57" s="34" t="s">
        <v>285</v>
      </c>
      <c r="J57" s="34">
        <v>99</v>
      </c>
      <c r="K57" s="34" t="s">
        <v>378</v>
      </c>
      <c r="L57" s="34" t="s">
        <v>334</v>
      </c>
      <c r="M57" s="35" t="s">
        <v>266</v>
      </c>
      <c r="N57" s="35" t="s">
        <v>931</v>
      </c>
      <c r="O57" s="36"/>
      <c r="P57" s="36"/>
      <c r="Q57" s="35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25">
      <c r="A58" s="20">
        <v>0</v>
      </c>
      <c r="B58" s="20">
        <v>1</v>
      </c>
      <c r="C58" s="20">
        <v>5</v>
      </c>
      <c r="D58" s="21" t="s">
        <v>714</v>
      </c>
      <c r="E58" s="21" t="s">
        <v>711</v>
      </c>
      <c r="F58" s="21" t="s">
        <v>710</v>
      </c>
      <c r="G58" s="21" t="s">
        <v>303</v>
      </c>
      <c r="H58" s="21" t="s">
        <v>165</v>
      </c>
      <c r="I58" s="20" t="s">
        <v>712</v>
      </c>
      <c r="J58" s="20">
        <v>99</v>
      </c>
      <c r="K58" s="20" t="s">
        <v>378</v>
      </c>
      <c r="L58" s="20">
        <v>55</v>
      </c>
      <c r="M58" s="21" t="s">
        <v>709</v>
      </c>
      <c r="N58" s="21"/>
      <c r="O58" s="7"/>
      <c r="P58" s="7"/>
      <c r="Q58" s="21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0</v>
      </c>
      <c r="AF58" s="2">
        <f t="shared" si="3"/>
        <v>0</v>
      </c>
      <c r="AG58" s="2">
        <f t="shared" si="4"/>
        <v>0</v>
      </c>
      <c r="AH58" s="2">
        <f t="shared" si="5"/>
        <v>0</v>
      </c>
      <c r="AI58" s="2">
        <f t="shared" si="6"/>
        <v>1</v>
      </c>
    </row>
    <row r="59" spans="1:35" ht="14.25" customHeight="1" x14ac:dyDescent="0.25">
      <c r="A59" s="31">
        <v>0</v>
      </c>
      <c r="B59" s="31">
        <v>1</v>
      </c>
      <c r="C59" s="31">
        <v>5</v>
      </c>
      <c r="D59" s="32" t="s">
        <v>889</v>
      </c>
      <c r="E59" s="32" t="s">
        <v>892</v>
      </c>
      <c r="F59" s="32" t="s">
        <v>890</v>
      </c>
      <c r="G59" s="32" t="s">
        <v>403</v>
      </c>
      <c r="H59" s="32" t="s">
        <v>165</v>
      </c>
      <c r="I59" s="31" t="s">
        <v>891</v>
      </c>
      <c r="J59" s="31"/>
      <c r="K59" s="31" t="s">
        <v>378</v>
      </c>
      <c r="L59" s="31">
        <v>55</v>
      </c>
      <c r="M59" s="32" t="s">
        <v>893</v>
      </c>
      <c r="N59" s="32" t="s">
        <v>937</v>
      </c>
      <c r="O59" s="33">
        <v>1</v>
      </c>
      <c r="P59" s="33"/>
      <c r="Q59" s="32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5</v>
      </c>
      <c r="D60" s="32" t="s">
        <v>874</v>
      </c>
      <c r="E60" s="32" t="s">
        <v>805</v>
      </c>
      <c r="F60" s="32" t="s">
        <v>875</v>
      </c>
      <c r="G60" s="32" t="s">
        <v>309</v>
      </c>
      <c r="H60" s="32" t="s">
        <v>165</v>
      </c>
      <c r="I60" s="31" t="s">
        <v>876</v>
      </c>
      <c r="J60" s="31"/>
      <c r="K60" s="31" t="s">
        <v>378</v>
      </c>
      <c r="L60" s="31">
        <v>50</v>
      </c>
      <c r="M60" s="32" t="s">
        <v>877</v>
      </c>
      <c r="N60" s="32" t="s">
        <v>937</v>
      </c>
      <c r="O60" s="33">
        <v>1</v>
      </c>
      <c r="P60" s="33"/>
      <c r="Q60" s="32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0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1</v>
      </c>
      <c r="AF60" s="2">
        <f t="shared" si="3"/>
        <v>0</v>
      </c>
      <c r="AG60" s="2">
        <f t="shared" si="4"/>
        <v>1</v>
      </c>
      <c r="AH60" s="2">
        <f t="shared" si="5"/>
        <v>0</v>
      </c>
      <c r="AI60" s="2">
        <f t="shared" si="6"/>
        <v>1</v>
      </c>
    </row>
    <row r="61" spans="1:35" ht="14.25" customHeight="1" x14ac:dyDescent="0.25">
      <c r="A61" s="20">
        <v>0</v>
      </c>
      <c r="B61" s="20">
        <v>1</v>
      </c>
      <c r="C61" s="20">
        <v>5</v>
      </c>
      <c r="D61" s="21" t="s">
        <v>806</v>
      </c>
      <c r="E61" s="21" t="s">
        <v>805</v>
      </c>
      <c r="F61" s="21" t="s">
        <v>839</v>
      </c>
      <c r="G61" s="21" t="s">
        <v>93</v>
      </c>
      <c r="H61" s="21" t="s">
        <v>165</v>
      </c>
      <c r="I61" s="20" t="s">
        <v>853</v>
      </c>
      <c r="J61" s="20">
        <v>8</v>
      </c>
      <c r="K61" s="20" t="s">
        <v>332</v>
      </c>
      <c r="L61" s="20">
        <v>50</v>
      </c>
      <c r="M61" s="21" t="s">
        <v>877</v>
      </c>
      <c r="N61" s="21"/>
      <c r="O61" s="7"/>
      <c r="P61" s="7"/>
      <c r="Q61" s="21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1</v>
      </c>
      <c r="AA61" s="2">
        <f t="shared" si="27"/>
        <v>0</v>
      </c>
      <c r="AB61" s="2">
        <f t="shared" si="28"/>
        <v>0</v>
      </c>
      <c r="AD61" s="2">
        <f t="shared" si="29"/>
        <v>0</v>
      </c>
      <c r="AE61" s="2">
        <f t="shared" si="30"/>
        <v>0</v>
      </c>
      <c r="AF61" s="2">
        <f t="shared" si="3"/>
        <v>0</v>
      </c>
      <c r="AG61" s="2">
        <f t="shared" si="4"/>
        <v>0</v>
      </c>
      <c r="AH61" s="2">
        <f t="shared" si="5"/>
        <v>0</v>
      </c>
      <c r="AI61" s="2">
        <f t="shared" si="6"/>
        <v>1</v>
      </c>
    </row>
    <row r="62" spans="1:35" ht="14.25" customHeight="1" x14ac:dyDescent="0.25">
      <c r="A62" s="31">
        <v>0</v>
      </c>
      <c r="B62" s="31">
        <v>1</v>
      </c>
      <c r="C62" s="31">
        <v>5</v>
      </c>
      <c r="D62" s="32" t="s">
        <v>871</v>
      </c>
      <c r="E62" s="32" t="s">
        <v>805</v>
      </c>
      <c r="F62" s="32" t="s">
        <v>872</v>
      </c>
      <c r="G62" s="32" t="s">
        <v>370</v>
      </c>
      <c r="H62" s="32" t="s">
        <v>165</v>
      </c>
      <c r="I62" s="31" t="s">
        <v>873</v>
      </c>
      <c r="J62" s="31"/>
      <c r="K62" s="31" t="s">
        <v>378</v>
      </c>
      <c r="L62" s="31">
        <v>45</v>
      </c>
      <c r="M62" s="32" t="s">
        <v>420</v>
      </c>
      <c r="N62" s="32" t="s">
        <v>895</v>
      </c>
      <c r="O62" s="33">
        <v>1</v>
      </c>
      <c r="P62" s="33">
        <v>1</v>
      </c>
      <c r="Q62" s="32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1</v>
      </c>
      <c r="AE62" s="2">
        <f t="shared" si="30"/>
        <v>0</v>
      </c>
      <c r="AF62" s="2">
        <f t="shared" si="3"/>
        <v>1</v>
      </c>
      <c r="AG62" s="2">
        <f t="shared" si="4"/>
        <v>0</v>
      </c>
      <c r="AH62" s="2">
        <f t="shared" si="5"/>
        <v>1</v>
      </c>
      <c r="AI62" s="2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5</v>
      </c>
      <c r="D63" s="32" t="s">
        <v>57</v>
      </c>
      <c r="E63" s="32" t="s">
        <v>259</v>
      </c>
      <c r="F63" s="32" t="s">
        <v>113</v>
      </c>
      <c r="G63" s="32" t="s">
        <v>114</v>
      </c>
      <c r="H63" s="32" t="s">
        <v>165</v>
      </c>
      <c r="I63" s="31" t="s">
        <v>176</v>
      </c>
      <c r="J63" s="31">
        <v>99</v>
      </c>
      <c r="K63" s="31" t="s">
        <v>378</v>
      </c>
      <c r="L63" s="31">
        <v>30</v>
      </c>
      <c r="M63" s="32" t="s">
        <v>266</v>
      </c>
      <c r="N63" s="32" t="s">
        <v>914</v>
      </c>
      <c r="O63" s="33">
        <v>1</v>
      </c>
      <c r="P63" s="33"/>
      <c r="Q63" s="32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25">
      <c r="A64" s="31">
        <v>0</v>
      </c>
      <c r="B64" s="31">
        <v>1</v>
      </c>
      <c r="C64" s="31">
        <v>5</v>
      </c>
      <c r="D64" s="32" t="s">
        <v>358</v>
      </c>
      <c r="E64" s="32" t="s">
        <v>363</v>
      </c>
      <c r="F64" s="32" t="s">
        <v>294</v>
      </c>
      <c r="G64" s="32" t="s">
        <v>129</v>
      </c>
      <c r="H64" s="32" t="s">
        <v>165</v>
      </c>
      <c r="I64" s="31" t="s">
        <v>295</v>
      </c>
      <c r="J64" s="31">
        <v>99</v>
      </c>
      <c r="K64" s="31" t="s">
        <v>378</v>
      </c>
      <c r="L64" s="31">
        <v>42</v>
      </c>
      <c r="M64" s="32" t="s">
        <v>420</v>
      </c>
      <c r="N64" s="32" t="s">
        <v>914</v>
      </c>
      <c r="O64" s="33">
        <v>1</v>
      </c>
      <c r="P64" s="33"/>
      <c r="Q64" s="32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25">
      <c r="A65" s="31">
        <v>0</v>
      </c>
      <c r="B65" s="31">
        <v>1</v>
      </c>
      <c r="C65" s="31">
        <v>5</v>
      </c>
      <c r="D65" s="32" t="s">
        <v>557</v>
      </c>
      <c r="E65" s="32" t="s">
        <v>296</v>
      </c>
      <c r="F65" s="32" t="s">
        <v>558</v>
      </c>
      <c r="G65" s="32" t="s">
        <v>592</v>
      </c>
      <c r="H65" s="32" t="s">
        <v>165</v>
      </c>
      <c r="I65" s="31" t="s">
        <v>559</v>
      </c>
      <c r="J65" s="31">
        <v>99</v>
      </c>
      <c r="K65" s="31" t="s">
        <v>330</v>
      </c>
      <c r="L65" s="31" t="s">
        <v>597</v>
      </c>
      <c r="M65" s="32" t="s">
        <v>420</v>
      </c>
      <c r="N65" s="32" t="s">
        <v>914</v>
      </c>
      <c r="O65" s="33">
        <v>1</v>
      </c>
      <c r="P65" s="33"/>
      <c r="Q65" s="32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25">
      <c r="A66" s="31">
        <v>0</v>
      </c>
      <c r="B66" s="31">
        <v>1</v>
      </c>
      <c r="C66" s="31">
        <v>5</v>
      </c>
      <c r="D66" s="32" t="s">
        <v>78</v>
      </c>
      <c r="E66" s="32" t="s">
        <v>259</v>
      </c>
      <c r="F66" s="32" t="s">
        <v>161</v>
      </c>
      <c r="G66" s="32" t="s">
        <v>95</v>
      </c>
      <c r="H66" s="32" t="s">
        <v>165</v>
      </c>
      <c r="I66" s="31" t="s">
        <v>372</v>
      </c>
      <c r="J66" s="31">
        <v>99</v>
      </c>
      <c r="K66" s="31" t="s">
        <v>329</v>
      </c>
      <c r="L66" s="31" t="s">
        <v>341</v>
      </c>
      <c r="M66" s="32" t="s">
        <v>787</v>
      </c>
      <c r="N66" s="32" t="s">
        <v>914</v>
      </c>
      <c r="O66" s="33">
        <v>1</v>
      </c>
      <c r="P66" s="33"/>
      <c r="Q66" s="32"/>
      <c r="S66" s="2">
        <f t="shared" si="19"/>
        <v>0</v>
      </c>
      <c r="T66" s="2">
        <f t="shared" si="20"/>
        <v>0</v>
      </c>
      <c r="U66" s="2">
        <f t="shared" si="21"/>
        <v>0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25">
      <c r="A67" s="34">
        <v>0</v>
      </c>
      <c r="B67" s="34">
        <v>1</v>
      </c>
      <c r="C67" s="34">
        <v>5</v>
      </c>
      <c r="D67" s="35" t="s">
        <v>290</v>
      </c>
      <c r="E67" s="35" t="s">
        <v>296</v>
      </c>
      <c r="F67" s="35" t="s">
        <v>291</v>
      </c>
      <c r="G67" s="35" t="s">
        <v>96</v>
      </c>
      <c r="H67" s="35" t="s">
        <v>165</v>
      </c>
      <c r="I67" s="34" t="s">
        <v>292</v>
      </c>
      <c r="J67" s="34">
        <v>3</v>
      </c>
      <c r="K67" s="34" t="s">
        <v>378</v>
      </c>
      <c r="L67" s="34" t="s">
        <v>335</v>
      </c>
      <c r="M67" s="35" t="s">
        <v>496</v>
      </c>
      <c r="N67" s="35" t="s">
        <v>931</v>
      </c>
      <c r="O67" s="36"/>
      <c r="P67" s="36"/>
      <c r="Q67" s="35"/>
      <c r="S67" s="2">
        <f t="shared" si="19"/>
        <v>0</v>
      </c>
      <c r="T67" s="2">
        <f t="shared" si="20"/>
        <v>0</v>
      </c>
      <c r="U67" s="2">
        <f t="shared" si="21"/>
        <v>1</v>
      </c>
      <c r="V67" s="2">
        <f t="shared" si="22"/>
        <v>0</v>
      </c>
      <c r="W67" s="2">
        <f t="shared" si="23"/>
        <v>0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</row>
    <row r="68" spans="1:35" ht="14.25" customHeight="1" x14ac:dyDescent="0.25">
      <c r="A68" s="20">
        <v>0</v>
      </c>
      <c r="B68" s="20">
        <v>1</v>
      </c>
      <c r="C68" s="20">
        <v>5</v>
      </c>
      <c r="D68" s="21" t="s">
        <v>627</v>
      </c>
      <c r="E68" s="21" t="s">
        <v>630</v>
      </c>
      <c r="F68" s="21" t="s">
        <v>626</v>
      </c>
      <c r="G68" s="21" t="s">
        <v>163</v>
      </c>
      <c r="H68" s="21" t="s">
        <v>165</v>
      </c>
      <c r="I68" s="20" t="s">
        <v>628</v>
      </c>
      <c r="J68" s="20">
        <v>5</v>
      </c>
      <c r="K68" s="20" t="s">
        <v>378</v>
      </c>
      <c r="L68" s="20">
        <v>40</v>
      </c>
      <c r="M68" s="21" t="s">
        <v>744</v>
      </c>
      <c r="N68" s="21"/>
      <c r="O68" s="7"/>
      <c r="P68" s="7"/>
      <c r="Q68" s="21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1</v>
      </c>
      <c r="X68" s="2">
        <f t="shared" si="24"/>
        <v>0</v>
      </c>
      <c r="Y68" s="2">
        <f t="shared" si="25"/>
        <v>0</v>
      </c>
      <c r="Z68" s="2">
        <f t="shared" si="26"/>
        <v>0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25">
      <c r="A69" s="34">
        <v>0</v>
      </c>
      <c r="B69" s="34">
        <v>1</v>
      </c>
      <c r="C69" s="34">
        <v>5</v>
      </c>
      <c r="D69" s="35" t="s">
        <v>46</v>
      </c>
      <c r="E69" s="35" t="s">
        <v>469</v>
      </c>
      <c r="F69" s="35" t="s">
        <v>693</v>
      </c>
      <c r="G69" s="35" t="s">
        <v>93</v>
      </c>
      <c r="H69" s="35" t="s">
        <v>165</v>
      </c>
      <c r="I69" s="34" t="s">
        <v>166</v>
      </c>
      <c r="J69" s="34">
        <v>8</v>
      </c>
      <c r="K69" s="34" t="s">
        <v>326</v>
      </c>
      <c r="L69" s="34" t="s">
        <v>346</v>
      </c>
      <c r="M69" s="35" t="s">
        <v>420</v>
      </c>
      <c r="N69" s="35" t="s">
        <v>896</v>
      </c>
      <c r="O69" s="36"/>
      <c r="P69" s="36"/>
      <c r="Q69" s="35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25">
      <c r="A70" s="34">
        <v>0</v>
      </c>
      <c r="B70" s="34">
        <v>1</v>
      </c>
      <c r="C70" s="34">
        <v>5</v>
      </c>
      <c r="D70" s="35" t="s">
        <v>816</v>
      </c>
      <c r="E70" s="35" t="s">
        <v>264</v>
      </c>
      <c r="F70" s="35" t="s">
        <v>118</v>
      </c>
      <c r="G70" s="35" t="s">
        <v>119</v>
      </c>
      <c r="H70" s="35" t="s">
        <v>165</v>
      </c>
      <c r="I70" s="34" t="s">
        <v>178</v>
      </c>
      <c r="J70" s="34">
        <v>8</v>
      </c>
      <c r="K70" s="34" t="s">
        <v>329</v>
      </c>
      <c r="L70" s="34" t="s">
        <v>343</v>
      </c>
      <c r="M70" s="35" t="s">
        <v>266</v>
      </c>
      <c r="N70" s="35" t="s">
        <v>896</v>
      </c>
      <c r="O70" s="36"/>
      <c r="P70" s="36"/>
      <c r="Q70" s="35"/>
      <c r="S70" s="2">
        <f t="shared" si="19"/>
        <v>0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1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25">
      <c r="A71" s="20">
        <v>0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807</v>
      </c>
      <c r="G71" s="21" t="s">
        <v>117</v>
      </c>
      <c r="H71" s="21" t="s">
        <v>165</v>
      </c>
      <c r="I71" s="20" t="s">
        <v>808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1</v>
      </c>
      <c r="T71" s="2">
        <f t="shared" si="20"/>
        <v>0</v>
      </c>
      <c r="U71" s="2">
        <f t="shared" si="21"/>
        <v>0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</row>
    <row r="72" spans="1:35" ht="14.25" customHeight="1" x14ac:dyDescent="0.25">
      <c r="A72" s="20">
        <v>1</v>
      </c>
      <c r="B72" s="20">
        <v>1</v>
      </c>
      <c r="C72" s="20">
        <v>5</v>
      </c>
      <c r="D72" s="21" t="s">
        <v>817</v>
      </c>
      <c r="E72" s="21" t="s">
        <v>805</v>
      </c>
      <c r="F72" s="21" t="s">
        <v>840</v>
      </c>
      <c r="G72" s="21" t="s">
        <v>96</v>
      </c>
      <c r="H72" s="21" t="s">
        <v>165</v>
      </c>
      <c r="I72" s="20" t="s">
        <v>809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19"/>
        <v>0</v>
      </c>
      <c r="T72" s="2">
        <f t="shared" si="20"/>
        <v>0</v>
      </c>
      <c r="U72" s="2">
        <f t="shared" si="21"/>
        <v>1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0</v>
      </c>
      <c r="AE72" s="2">
        <f t="shared" si="30"/>
        <v>0</v>
      </c>
      <c r="AF72" s="2">
        <f t="shared" ref="AF72:AF135" si="31">+O72*P72*(1-A72)</f>
        <v>0</v>
      </c>
      <c r="AG72" s="2">
        <f t="shared" ref="AG72:AG135" si="32">O72*(1-P72)*(1-A72)</f>
        <v>0</v>
      </c>
      <c r="AH72" s="2">
        <f t="shared" ref="AH72:AH135" si="33">+P72*(1-A72)</f>
        <v>0</v>
      </c>
      <c r="AI72" s="2">
        <f t="shared" ref="AI72:AI135" si="34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6</v>
      </c>
      <c r="D73" s="32" t="s">
        <v>810</v>
      </c>
      <c r="E73" s="32" t="s">
        <v>261</v>
      </c>
      <c r="F73" s="32" t="s">
        <v>772</v>
      </c>
      <c r="G73" s="32" t="s">
        <v>519</v>
      </c>
      <c r="H73" s="32" t="s">
        <v>165</v>
      </c>
      <c r="I73" s="31" t="s">
        <v>773</v>
      </c>
      <c r="J73" s="31">
        <v>99</v>
      </c>
      <c r="K73" s="31" t="s">
        <v>326</v>
      </c>
      <c r="L73" s="31" t="s">
        <v>40</v>
      </c>
      <c r="M73" s="32" t="s">
        <v>40</v>
      </c>
      <c r="N73" s="32" t="s">
        <v>895</v>
      </c>
      <c r="O73" s="33">
        <v>1</v>
      </c>
      <c r="P73" s="33">
        <v>1</v>
      </c>
      <c r="Q73" s="32"/>
      <c r="S73" s="2">
        <f t="shared" si="19"/>
        <v>0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25">
      <c r="A74" s="31">
        <v>0</v>
      </c>
      <c r="B74" s="31">
        <v>1</v>
      </c>
      <c r="C74" s="31">
        <v>6</v>
      </c>
      <c r="D74" s="32" t="s">
        <v>299</v>
      </c>
      <c r="E74" s="32" t="s">
        <v>258</v>
      </c>
      <c r="F74" s="32" t="s">
        <v>300</v>
      </c>
      <c r="G74" s="32" t="s">
        <v>309</v>
      </c>
      <c r="H74" s="32" t="s">
        <v>165</v>
      </c>
      <c r="I74" s="31" t="s">
        <v>301</v>
      </c>
      <c r="J74" s="31">
        <v>1</v>
      </c>
      <c r="K74" s="31" t="s">
        <v>323</v>
      </c>
      <c r="L74" s="31" t="s">
        <v>40</v>
      </c>
      <c r="M74" s="32" t="s">
        <v>40</v>
      </c>
      <c r="N74" s="32" t="s">
        <v>895</v>
      </c>
      <c r="O74" s="33">
        <v>1</v>
      </c>
      <c r="P74" s="33">
        <v>1</v>
      </c>
      <c r="Q74" s="32"/>
      <c r="S74" s="2">
        <f t="shared" si="19"/>
        <v>1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1</v>
      </c>
      <c r="AE74" s="2">
        <f t="shared" si="30"/>
        <v>0</v>
      </c>
      <c r="AF74" s="2">
        <f t="shared" si="31"/>
        <v>1</v>
      </c>
      <c r="AG74" s="2">
        <f t="shared" si="32"/>
        <v>0</v>
      </c>
      <c r="AH74" s="2">
        <f t="shared" si="33"/>
        <v>1</v>
      </c>
      <c r="AI74" s="2">
        <f t="shared" si="34"/>
        <v>0</v>
      </c>
    </row>
    <row r="75" spans="1:35" ht="14.25" customHeight="1" x14ac:dyDescent="0.25">
      <c r="A75" s="31">
        <v>0</v>
      </c>
      <c r="B75" s="31">
        <v>1</v>
      </c>
      <c r="C75" s="31">
        <v>6</v>
      </c>
      <c r="D75" s="32" t="s">
        <v>227</v>
      </c>
      <c r="E75" s="32" t="s">
        <v>674</v>
      </c>
      <c r="F75" s="32" t="s">
        <v>666</v>
      </c>
      <c r="G75" s="32" t="s">
        <v>667</v>
      </c>
      <c r="H75" s="32" t="s">
        <v>165</v>
      </c>
      <c r="I75" s="31" t="s">
        <v>668</v>
      </c>
      <c r="J75" s="31"/>
      <c r="K75" s="31" t="s">
        <v>332</v>
      </c>
      <c r="L75" s="31">
        <v>45</v>
      </c>
      <c r="M75" s="32" t="s">
        <v>754</v>
      </c>
      <c r="N75" s="32" t="s">
        <v>901</v>
      </c>
      <c r="O75" s="33">
        <v>1</v>
      </c>
      <c r="P75" s="33"/>
      <c r="Q75" s="32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0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1</v>
      </c>
      <c r="AH75" s="2">
        <f t="shared" si="33"/>
        <v>0</v>
      </c>
      <c r="AI75" s="2">
        <f t="shared" si="34"/>
        <v>1</v>
      </c>
    </row>
    <row r="76" spans="1:35" ht="14.25" customHeight="1" x14ac:dyDescent="0.25">
      <c r="A76" s="31">
        <v>1</v>
      </c>
      <c r="B76" s="31">
        <v>1</v>
      </c>
      <c r="C76" s="31">
        <v>6</v>
      </c>
      <c r="D76" s="32" t="s">
        <v>227</v>
      </c>
      <c r="E76" s="32" t="s">
        <v>674</v>
      </c>
      <c r="F76" s="32" t="s">
        <v>228</v>
      </c>
      <c r="G76" s="32" t="s">
        <v>122</v>
      </c>
      <c r="H76" s="32" t="s">
        <v>165</v>
      </c>
      <c r="I76" s="31" t="s">
        <v>229</v>
      </c>
      <c r="J76" s="31">
        <v>6</v>
      </c>
      <c r="K76" s="31" t="s">
        <v>332</v>
      </c>
      <c r="L76" s="31">
        <v>45</v>
      </c>
      <c r="M76" s="32" t="s">
        <v>754</v>
      </c>
      <c r="N76" s="32" t="s">
        <v>901</v>
      </c>
      <c r="O76" s="33">
        <v>1</v>
      </c>
      <c r="P76" s="33"/>
      <c r="Q76" s="32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1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0</v>
      </c>
      <c r="AH76" s="2">
        <f t="shared" si="33"/>
        <v>0</v>
      </c>
      <c r="AI76" s="2">
        <f t="shared" si="34"/>
        <v>0</v>
      </c>
    </row>
    <row r="77" spans="1:35" ht="14.25" customHeight="1" x14ac:dyDescent="0.25">
      <c r="A77" s="31">
        <v>0</v>
      </c>
      <c r="B77" s="31">
        <v>1</v>
      </c>
      <c r="C77" s="31">
        <v>6</v>
      </c>
      <c r="D77" s="32" t="s">
        <v>719</v>
      </c>
      <c r="E77" s="32" t="s">
        <v>258</v>
      </c>
      <c r="F77" s="32" t="s">
        <v>720</v>
      </c>
      <c r="G77" s="32" t="s">
        <v>130</v>
      </c>
      <c r="H77" s="32" t="s">
        <v>165</v>
      </c>
      <c r="I77" s="31" t="s">
        <v>721</v>
      </c>
      <c r="J77" s="31"/>
      <c r="K77" s="31" t="s">
        <v>329</v>
      </c>
      <c r="L77" s="31">
        <v>35</v>
      </c>
      <c r="M77" s="32" t="s">
        <v>884</v>
      </c>
      <c r="N77" s="32" t="s">
        <v>901</v>
      </c>
      <c r="O77" s="33">
        <v>1</v>
      </c>
      <c r="P77" s="33"/>
      <c r="Q77" s="32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0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25">
      <c r="A78" s="31">
        <v>0</v>
      </c>
      <c r="B78" s="31">
        <v>1</v>
      </c>
      <c r="C78" s="31">
        <v>6</v>
      </c>
      <c r="D78" s="32" t="s">
        <v>70</v>
      </c>
      <c r="E78" s="32" t="s">
        <v>258</v>
      </c>
      <c r="F78" s="32" t="s">
        <v>149</v>
      </c>
      <c r="G78" s="32" t="s">
        <v>130</v>
      </c>
      <c r="H78" s="32" t="s">
        <v>165</v>
      </c>
      <c r="I78" s="31" t="s">
        <v>193</v>
      </c>
      <c r="J78" s="31">
        <v>10</v>
      </c>
      <c r="K78" s="31" t="s">
        <v>326</v>
      </c>
      <c r="L78" s="31">
        <v>40</v>
      </c>
      <c r="M78" s="32" t="s">
        <v>936</v>
      </c>
      <c r="N78" s="32" t="s">
        <v>901</v>
      </c>
      <c r="O78" s="33">
        <v>1</v>
      </c>
      <c r="P78" s="33"/>
      <c r="Q78" s="32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0</v>
      </c>
      <c r="AB78" s="2">
        <f t="shared" si="28"/>
        <v>1</v>
      </c>
      <c r="AD78" s="2">
        <f t="shared" si="29"/>
        <v>0</v>
      </c>
      <c r="AE78" s="2">
        <f t="shared" si="30"/>
        <v>1</v>
      </c>
      <c r="AF78" s="2">
        <f t="shared" si="31"/>
        <v>0</v>
      </c>
      <c r="AG78" s="2">
        <f t="shared" si="32"/>
        <v>1</v>
      </c>
      <c r="AH78" s="2">
        <f t="shared" si="33"/>
        <v>0</v>
      </c>
      <c r="AI78" s="2">
        <f t="shared" si="34"/>
        <v>1</v>
      </c>
    </row>
    <row r="79" spans="1:35" ht="14.25" customHeight="1" x14ac:dyDescent="0.25">
      <c r="A79" s="31">
        <v>0</v>
      </c>
      <c r="B79" s="31">
        <v>1</v>
      </c>
      <c r="C79" s="31">
        <v>6</v>
      </c>
      <c r="D79" s="32" t="s">
        <v>241</v>
      </c>
      <c r="E79" s="32" t="s">
        <v>261</v>
      </c>
      <c r="F79" s="32" t="s">
        <v>242</v>
      </c>
      <c r="G79" s="32" t="s">
        <v>243</v>
      </c>
      <c r="H79" s="32" t="s">
        <v>165</v>
      </c>
      <c r="I79" s="31" t="s">
        <v>244</v>
      </c>
      <c r="J79" s="31">
        <v>9</v>
      </c>
      <c r="K79" s="31" t="s">
        <v>328</v>
      </c>
      <c r="L79" s="31" t="s">
        <v>40</v>
      </c>
      <c r="M79" s="32" t="s">
        <v>40</v>
      </c>
      <c r="N79" s="32" t="s">
        <v>895</v>
      </c>
      <c r="O79" s="33">
        <v>1</v>
      </c>
      <c r="P79" s="33">
        <v>1</v>
      </c>
      <c r="Q79" s="32"/>
      <c r="S79" s="2">
        <f t="shared" si="19"/>
        <v>0</v>
      </c>
      <c r="T79" s="2">
        <f t="shared" si="20"/>
        <v>0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1</v>
      </c>
      <c r="AB79" s="2">
        <f t="shared" si="28"/>
        <v>0</v>
      </c>
      <c r="AD79" s="2">
        <f t="shared" si="29"/>
        <v>1</v>
      </c>
      <c r="AE79" s="2">
        <f t="shared" si="30"/>
        <v>0</v>
      </c>
      <c r="AF79" s="2">
        <f t="shared" si="31"/>
        <v>1</v>
      </c>
      <c r="AG79" s="2">
        <f t="shared" si="32"/>
        <v>0</v>
      </c>
      <c r="AH79" s="2">
        <f t="shared" si="33"/>
        <v>1</v>
      </c>
      <c r="AI79" s="2">
        <f t="shared" si="34"/>
        <v>0</v>
      </c>
    </row>
    <row r="80" spans="1:35" ht="14.25" customHeight="1" x14ac:dyDescent="0.25">
      <c r="A80" s="34">
        <v>0</v>
      </c>
      <c r="B80" s="34">
        <v>1</v>
      </c>
      <c r="C80" s="34">
        <v>6</v>
      </c>
      <c r="D80" s="35" t="s">
        <v>359</v>
      </c>
      <c r="E80" s="35" t="s">
        <v>261</v>
      </c>
      <c r="F80" s="35" t="s">
        <v>293</v>
      </c>
      <c r="G80" s="35" t="s">
        <v>127</v>
      </c>
      <c r="H80" s="35" t="s">
        <v>165</v>
      </c>
      <c r="I80" s="34" t="s">
        <v>487</v>
      </c>
      <c r="J80" s="34">
        <v>2</v>
      </c>
      <c r="K80" s="34" t="s">
        <v>330</v>
      </c>
      <c r="L80" s="34" t="s">
        <v>334</v>
      </c>
      <c r="M80" s="35" t="s">
        <v>206</v>
      </c>
      <c r="N80" s="35" t="s">
        <v>931</v>
      </c>
      <c r="O80" s="36"/>
      <c r="P80" s="36"/>
      <c r="Q80" s="35"/>
      <c r="S80" s="2">
        <f t="shared" si="19"/>
        <v>0</v>
      </c>
      <c r="T80" s="2">
        <f t="shared" si="20"/>
        <v>1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0</v>
      </c>
      <c r="AE80" s="2">
        <f t="shared" si="30"/>
        <v>0</v>
      </c>
      <c r="AF80" s="2">
        <f t="shared" si="31"/>
        <v>0</v>
      </c>
      <c r="AG80" s="2">
        <f t="shared" si="32"/>
        <v>0</v>
      </c>
      <c r="AH80" s="2">
        <f t="shared" si="33"/>
        <v>0</v>
      </c>
      <c r="AI80" s="2">
        <f t="shared" si="34"/>
        <v>1</v>
      </c>
    </row>
    <row r="81" spans="1:35" ht="14.25" customHeight="1" x14ac:dyDescent="0.25">
      <c r="A81" s="28">
        <v>0</v>
      </c>
      <c r="B81" s="28">
        <v>1</v>
      </c>
      <c r="C81" s="28">
        <v>6</v>
      </c>
      <c r="D81" s="29" t="s">
        <v>53</v>
      </c>
      <c r="E81" s="29" t="s">
        <v>258</v>
      </c>
      <c r="F81" s="29" t="s">
        <v>106</v>
      </c>
      <c r="G81" s="29" t="s">
        <v>107</v>
      </c>
      <c r="H81" s="29" t="s">
        <v>165</v>
      </c>
      <c r="I81" s="28" t="s">
        <v>172</v>
      </c>
      <c r="J81" s="28">
        <v>99</v>
      </c>
      <c r="K81" s="28" t="s">
        <v>324</v>
      </c>
      <c r="L81" s="28" t="s">
        <v>40</v>
      </c>
      <c r="M81" s="29" t="s">
        <v>40</v>
      </c>
      <c r="N81" s="29"/>
      <c r="O81" s="30"/>
      <c r="P81" s="30">
        <v>1</v>
      </c>
      <c r="Q81" s="29"/>
      <c r="S81" s="2">
        <f t="shared" ref="S81:S144" si="35">IF(J81=$S$7,1,0)</f>
        <v>0</v>
      </c>
      <c r="T81" s="2">
        <f t="shared" ref="T81:T144" si="36">IF(J81=$T$7,1,0)</f>
        <v>0</v>
      </c>
      <c r="U81" s="2">
        <f t="shared" ref="U81:U144" si="37">IF(J81=$U$7,1,0)</f>
        <v>0</v>
      </c>
      <c r="V81" s="2">
        <f t="shared" ref="V81:V144" si="38">IF(J81=$V$7,1,0)</f>
        <v>0</v>
      </c>
      <c r="W81" s="2">
        <f t="shared" ref="W81:W144" si="39">IF(J81=$W$7,1,0)</f>
        <v>0</v>
      </c>
      <c r="X81" s="2">
        <f t="shared" ref="X81:X144" si="40">IF(J81=$X$7,1,0)</f>
        <v>0</v>
      </c>
      <c r="Y81" s="2">
        <f t="shared" ref="Y81:Y144" si="41">IF(J81=$Y$7,1,0)</f>
        <v>0</v>
      </c>
      <c r="Z81" s="2">
        <f t="shared" ref="Z81:Z144" si="42">IF(J81=$Z$7,1,0)</f>
        <v>0</v>
      </c>
      <c r="AA81" s="2">
        <f t="shared" ref="AA81:AA144" si="43">IF(J81=$AA$7,1,0)</f>
        <v>0</v>
      </c>
      <c r="AB81" s="2">
        <f t="shared" ref="AB81:AB144" si="44">IF(J81=$AB$7,1,0)</f>
        <v>0</v>
      </c>
      <c r="AD81" s="2">
        <f t="shared" ref="AD81:AD144" si="45">+O81*P81</f>
        <v>0</v>
      </c>
      <c r="AE81" s="2">
        <f t="shared" ref="AE81:AE144" si="46">O81*(1-P81)</f>
        <v>0</v>
      </c>
      <c r="AF81" s="2">
        <f t="shared" si="31"/>
        <v>0</v>
      </c>
      <c r="AG81" s="2">
        <f t="shared" si="32"/>
        <v>0</v>
      </c>
      <c r="AH81" s="2">
        <f t="shared" si="33"/>
        <v>1</v>
      </c>
      <c r="AI81" s="2">
        <f t="shared" si="34"/>
        <v>0</v>
      </c>
    </row>
    <row r="82" spans="1:35" ht="14.25" customHeight="1" x14ac:dyDescent="0.25">
      <c r="A82" s="31">
        <v>0</v>
      </c>
      <c r="B82" s="31">
        <v>1</v>
      </c>
      <c r="C82" s="31">
        <v>6</v>
      </c>
      <c r="D82" s="32" t="s">
        <v>286</v>
      </c>
      <c r="E82" s="32" t="s">
        <v>258</v>
      </c>
      <c r="F82" s="32" t="s">
        <v>287</v>
      </c>
      <c r="G82" s="32" t="s">
        <v>96</v>
      </c>
      <c r="H82" s="32" t="s">
        <v>165</v>
      </c>
      <c r="I82" s="31" t="s">
        <v>843</v>
      </c>
      <c r="J82" s="31">
        <v>3</v>
      </c>
      <c r="K82" s="31" t="s">
        <v>330</v>
      </c>
      <c r="L82" s="31" t="s">
        <v>346</v>
      </c>
      <c r="M82" s="32" t="s">
        <v>767</v>
      </c>
      <c r="N82" s="32" t="s">
        <v>903</v>
      </c>
      <c r="O82" s="33">
        <v>1</v>
      </c>
      <c r="P82" s="33"/>
      <c r="Q82" s="32"/>
      <c r="S82" s="2">
        <f t="shared" si="35"/>
        <v>0</v>
      </c>
      <c r="T82" s="2">
        <f t="shared" si="36"/>
        <v>0</v>
      </c>
      <c r="U82" s="2">
        <f t="shared" si="37"/>
        <v>1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D82" s="2">
        <f t="shared" si="45"/>
        <v>0</v>
      </c>
      <c r="AE82" s="2">
        <f t="shared" si="46"/>
        <v>1</v>
      </c>
      <c r="AF82" s="2">
        <f t="shared" si="31"/>
        <v>0</v>
      </c>
      <c r="AG82" s="2">
        <f t="shared" si="32"/>
        <v>1</v>
      </c>
      <c r="AH82" s="2">
        <f t="shared" si="33"/>
        <v>0</v>
      </c>
      <c r="AI82" s="2">
        <f t="shared" si="34"/>
        <v>1</v>
      </c>
    </row>
    <row r="83" spans="1:35" ht="14.25" customHeight="1" x14ac:dyDescent="0.25">
      <c r="A83" s="34">
        <v>0</v>
      </c>
      <c r="B83" s="34">
        <v>1</v>
      </c>
      <c r="C83" s="34">
        <v>6</v>
      </c>
      <c r="D83" s="35" t="s">
        <v>61</v>
      </c>
      <c r="E83" s="35" t="s">
        <v>261</v>
      </c>
      <c r="F83" s="35" t="s">
        <v>131</v>
      </c>
      <c r="G83" s="35" t="s">
        <v>132</v>
      </c>
      <c r="H83" s="35" t="s">
        <v>165</v>
      </c>
      <c r="I83" s="34" t="s">
        <v>182</v>
      </c>
      <c r="J83" s="34">
        <v>99</v>
      </c>
      <c r="K83" s="34" t="s">
        <v>329</v>
      </c>
      <c r="L83" s="34" t="s">
        <v>856</v>
      </c>
      <c r="M83" s="35" t="s">
        <v>700</v>
      </c>
      <c r="N83" s="35" t="s">
        <v>902</v>
      </c>
      <c r="O83" s="36"/>
      <c r="P83" s="36"/>
      <c r="Q83" s="35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D83" s="2">
        <f t="shared" si="45"/>
        <v>0</v>
      </c>
      <c r="AE83" s="2">
        <f t="shared" si="46"/>
        <v>0</v>
      </c>
      <c r="AF83" s="2">
        <f t="shared" si="31"/>
        <v>0</v>
      </c>
      <c r="AG83" s="2">
        <f t="shared" si="32"/>
        <v>0</v>
      </c>
      <c r="AH83" s="2">
        <f t="shared" si="33"/>
        <v>0</v>
      </c>
      <c r="AI83" s="2">
        <f t="shared" si="34"/>
        <v>1</v>
      </c>
    </row>
    <row r="84" spans="1:35" ht="14.25" customHeight="1" x14ac:dyDescent="0.25">
      <c r="A84" s="31">
        <v>0</v>
      </c>
      <c r="B84" s="31">
        <v>1</v>
      </c>
      <c r="C84" s="31">
        <v>6</v>
      </c>
      <c r="D84" s="32" t="s">
        <v>251</v>
      </c>
      <c r="E84" s="32" t="s">
        <v>261</v>
      </c>
      <c r="F84" s="32" t="s">
        <v>590</v>
      </c>
      <c r="G84" s="32" t="s">
        <v>132</v>
      </c>
      <c r="H84" s="32" t="s">
        <v>165</v>
      </c>
      <c r="I84" s="31" t="s">
        <v>224</v>
      </c>
      <c r="J84" s="31">
        <v>99</v>
      </c>
      <c r="K84" s="31" t="s">
        <v>331</v>
      </c>
      <c r="L84" s="31" t="s">
        <v>335</v>
      </c>
      <c r="M84" s="32" t="s">
        <v>751</v>
      </c>
      <c r="N84" s="32" t="s">
        <v>901</v>
      </c>
      <c r="O84" s="33">
        <v>1</v>
      </c>
      <c r="P84" s="33"/>
      <c r="Q84" s="3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D84" s="2">
        <f t="shared" si="45"/>
        <v>0</v>
      </c>
      <c r="AE84" s="2">
        <f t="shared" si="46"/>
        <v>1</v>
      </c>
      <c r="AF84" s="2">
        <f t="shared" si="31"/>
        <v>0</v>
      </c>
      <c r="AG84" s="2">
        <f t="shared" si="32"/>
        <v>1</v>
      </c>
      <c r="AH84" s="2">
        <f t="shared" si="33"/>
        <v>0</v>
      </c>
      <c r="AI84" s="2">
        <f t="shared" si="34"/>
        <v>1</v>
      </c>
    </row>
    <row r="85" spans="1:35" ht="14.25" customHeight="1" x14ac:dyDescent="0.25">
      <c r="A85" s="20">
        <v>0</v>
      </c>
      <c r="B85" s="20">
        <v>1</v>
      </c>
      <c r="C85" s="20">
        <v>6</v>
      </c>
      <c r="D85" s="21" t="s">
        <v>390</v>
      </c>
      <c r="E85" s="21" t="s">
        <v>391</v>
      </c>
      <c r="F85" s="21" t="s">
        <v>479</v>
      </c>
      <c r="G85" s="21" t="s">
        <v>133</v>
      </c>
      <c r="H85" s="21" t="s">
        <v>165</v>
      </c>
      <c r="I85" s="20" t="s">
        <v>489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0</v>
      </c>
      <c r="AI85" s="2">
        <f t="shared" si="34"/>
        <v>1</v>
      </c>
    </row>
    <row r="86" spans="1:35" ht="14.25" customHeight="1" x14ac:dyDescent="0.25">
      <c r="A86" s="28">
        <v>0</v>
      </c>
      <c r="B86" s="28">
        <v>1</v>
      </c>
      <c r="C86" s="28">
        <v>6</v>
      </c>
      <c r="D86" s="29" t="s">
        <v>249</v>
      </c>
      <c r="E86" s="29" t="s">
        <v>261</v>
      </c>
      <c r="F86" s="29" t="s">
        <v>255</v>
      </c>
      <c r="G86" s="29" t="s">
        <v>125</v>
      </c>
      <c r="H86" s="29" t="s">
        <v>165</v>
      </c>
      <c r="I86" s="28" t="s">
        <v>222</v>
      </c>
      <c r="J86" s="28">
        <v>99</v>
      </c>
      <c r="K86" s="28" t="s">
        <v>330</v>
      </c>
      <c r="L86" s="28" t="s">
        <v>40</v>
      </c>
      <c r="M86" s="29" t="s">
        <v>40</v>
      </c>
      <c r="N86" s="29"/>
      <c r="O86" s="30"/>
      <c r="P86" s="30">
        <v>1</v>
      </c>
      <c r="Q86" s="29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1</v>
      </c>
      <c r="AI86" s="2">
        <f t="shared" si="34"/>
        <v>0</v>
      </c>
    </row>
    <row r="87" spans="1:35" ht="14.25" customHeight="1" x14ac:dyDescent="0.25">
      <c r="A87" s="20">
        <v>0</v>
      </c>
      <c r="B87" s="20">
        <v>1</v>
      </c>
      <c r="C87" s="20">
        <v>6</v>
      </c>
      <c r="D87" s="21" t="s">
        <v>735</v>
      </c>
      <c r="E87" s="21" t="s">
        <v>258</v>
      </c>
      <c r="F87" s="21" t="s">
        <v>736</v>
      </c>
      <c r="G87" s="21" t="s">
        <v>737</v>
      </c>
      <c r="H87" s="21" t="s">
        <v>165</v>
      </c>
      <c r="I87" s="20"/>
      <c r="J87" s="20">
        <v>99</v>
      </c>
      <c r="K87" s="20" t="s">
        <v>378</v>
      </c>
      <c r="L87" s="20">
        <v>75</v>
      </c>
      <c r="M87" s="21" t="s">
        <v>734</v>
      </c>
      <c r="N87" s="21"/>
      <c r="O87" s="7"/>
      <c r="P87" s="7"/>
      <c r="Q87" s="21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35" ht="14.25" customHeight="1" x14ac:dyDescent="0.25">
      <c r="A88" s="34">
        <v>0</v>
      </c>
      <c r="B88" s="34">
        <v>1</v>
      </c>
      <c r="C88" s="34">
        <v>6</v>
      </c>
      <c r="D88" s="35" t="s">
        <v>541</v>
      </c>
      <c r="E88" s="35" t="s">
        <v>575</v>
      </c>
      <c r="F88" s="35" t="s">
        <v>831</v>
      </c>
      <c r="G88" s="35" t="s">
        <v>542</v>
      </c>
      <c r="H88" s="35" t="s">
        <v>165</v>
      </c>
      <c r="I88" s="34" t="s">
        <v>543</v>
      </c>
      <c r="J88" s="34">
        <v>99</v>
      </c>
      <c r="K88" s="34" t="s">
        <v>330</v>
      </c>
      <c r="L88" s="34" t="s">
        <v>334</v>
      </c>
      <c r="M88" s="35" t="s">
        <v>745</v>
      </c>
      <c r="N88" s="35" t="s">
        <v>902</v>
      </c>
      <c r="O88" s="36"/>
      <c r="P88" s="36"/>
      <c r="Q88" s="35"/>
      <c r="S88" s="2">
        <f t="shared" si="35"/>
        <v>0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D88" s="2">
        <f t="shared" si="45"/>
        <v>0</v>
      </c>
      <c r="AE88" s="2">
        <f t="shared" si="46"/>
        <v>0</v>
      </c>
      <c r="AF88" s="2">
        <f t="shared" si="31"/>
        <v>0</v>
      </c>
      <c r="AG88" s="2">
        <f t="shared" si="32"/>
        <v>0</v>
      </c>
      <c r="AH88" s="2">
        <f t="shared" si="33"/>
        <v>0</v>
      </c>
      <c r="AI88" s="2">
        <f t="shared" si="34"/>
        <v>1</v>
      </c>
    </row>
    <row r="89" spans="1:35" ht="14.25" customHeight="1" x14ac:dyDescent="0.25">
      <c r="A89" s="31">
        <v>0</v>
      </c>
      <c r="B89" s="31">
        <v>1</v>
      </c>
      <c r="C89" s="31">
        <v>6</v>
      </c>
      <c r="D89" s="32" t="s">
        <v>360</v>
      </c>
      <c r="E89" s="32" t="s">
        <v>576</v>
      </c>
      <c r="F89" s="32" t="s">
        <v>136</v>
      </c>
      <c r="G89" s="32" t="s">
        <v>137</v>
      </c>
      <c r="H89" s="32" t="s">
        <v>165</v>
      </c>
      <c r="I89" s="31" t="s">
        <v>184</v>
      </c>
      <c r="J89" s="31">
        <v>1</v>
      </c>
      <c r="K89" s="31" t="s">
        <v>378</v>
      </c>
      <c r="L89" s="31">
        <v>92</v>
      </c>
      <c r="M89" s="32" t="s">
        <v>784</v>
      </c>
      <c r="N89" s="32" t="s">
        <v>909</v>
      </c>
      <c r="O89" s="33">
        <v>1</v>
      </c>
      <c r="P89" s="33"/>
      <c r="Q89" s="32"/>
      <c r="S89" s="2">
        <f t="shared" si="35"/>
        <v>1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D89" s="2">
        <f t="shared" si="45"/>
        <v>0</v>
      </c>
      <c r="AE89" s="2">
        <f t="shared" si="46"/>
        <v>1</v>
      </c>
      <c r="AF89" s="2">
        <f t="shared" si="31"/>
        <v>0</v>
      </c>
      <c r="AG89" s="2">
        <f t="shared" si="32"/>
        <v>1</v>
      </c>
      <c r="AH89" s="2">
        <f t="shared" si="33"/>
        <v>0</v>
      </c>
      <c r="AI89" s="2">
        <f t="shared" si="34"/>
        <v>1</v>
      </c>
    </row>
    <row r="90" spans="1:35" ht="14.25" customHeight="1" x14ac:dyDescent="0.25">
      <c r="A90" s="41">
        <v>0</v>
      </c>
      <c r="B90" s="41">
        <v>1</v>
      </c>
      <c r="C90" s="41">
        <v>6</v>
      </c>
      <c r="D90" s="42" t="s">
        <v>984</v>
      </c>
      <c r="E90" s="42" t="s">
        <v>258</v>
      </c>
      <c r="F90" s="42" t="s">
        <v>985</v>
      </c>
      <c r="G90" s="42" t="s">
        <v>986</v>
      </c>
      <c r="H90" s="42" t="s">
        <v>165</v>
      </c>
      <c r="I90" s="41" t="s">
        <v>987</v>
      </c>
      <c r="J90" s="41"/>
      <c r="K90" s="41" t="s">
        <v>378</v>
      </c>
      <c r="L90" s="41"/>
      <c r="M90" s="42"/>
      <c r="N90" s="42"/>
      <c r="O90" s="43"/>
      <c r="P90" s="43">
        <v>1</v>
      </c>
      <c r="Q90" s="42"/>
      <c r="S90" s="2">
        <f t="shared" si="35"/>
        <v>0</v>
      </c>
      <c r="T90" s="2">
        <f t="shared" si="36"/>
        <v>0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1</v>
      </c>
      <c r="AI90" s="2">
        <f t="shared" si="34"/>
        <v>0</v>
      </c>
    </row>
    <row r="91" spans="1:35" ht="14.25" customHeight="1" x14ac:dyDescent="0.25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S91" s="2">
        <f t="shared" si="35"/>
        <v>0</v>
      </c>
      <c r="T91" s="2">
        <f t="shared" si="36"/>
        <v>1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0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D91" s="2">
        <f t="shared" si="45"/>
        <v>0</v>
      </c>
      <c r="AE91" s="2">
        <f t="shared" si="46"/>
        <v>0</v>
      </c>
      <c r="AF91" s="2">
        <f t="shared" si="31"/>
        <v>0</v>
      </c>
      <c r="AG91" s="2">
        <f t="shared" si="32"/>
        <v>0</v>
      </c>
      <c r="AH91" s="2">
        <f t="shared" si="33"/>
        <v>0</v>
      </c>
      <c r="AI91" s="2">
        <f t="shared" si="34"/>
        <v>1</v>
      </c>
    </row>
    <row r="92" spans="1:35" ht="14.25" customHeight="1" x14ac:dyDescent="0.25">
      <c r="A92" s="31">
        <v>0</v>
      </c>
      <c r="B92" s="31">
        <v>1</v>
      </c>
      <c r="C92" s="31">
        <v>7</v>
      </c>
      <c r="D92" s="32" t="s">
        <v>41</v>
      </c>
      <c r="E92" s="32" t="s">
        <v>32</v>
      </c>
      <c r="F92" s="32" t="s">
        <v>366</v>
      </c>
      <c r="G92" s="32" t="s">
        <v>91</v>
      </c>
      <c r="H92" s="32" t="s">
        <v>165</v>
      </c>
      <c r="I92" s="31" t="s">
        <v>374</v>
      </c>
      <c r="J92" s="31">
        <v>6</v>
      </c>
      <c r="K92" s="31" t="s">
        <v>318</v>
      </c>
      <c r="L92" s="31" t="s">
        <v>335</v>
      </c>
      <c r="M92" s="32" t="s">
        <v>298</v>
      </c>
      <c r="N92" s="32" t="s">
        <v>914</v>
      </c>
      <c r="O92" s="33">
        <v>1</v>
      </c>
      <c r="P92" s="33"/>
      <c r="Q92" s="3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1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0</v>
      </c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1</v>
      </c>
      <c r="AH92" s="2">
        <f t="shared" si="33"/>
        <v>0</v>
      </c>
      <c r="AI92" s="2">
        <f t="shared" si="34"/>
        <v>1</v>
      </c>
    </row>
    <row r="93" spans="1:35" ht="14.25" customHeight="1" x14ac:dyDescent="0.25">
      <c r="A93" s="31">
        <v>1</v>
      </c>
      <c r="B93" s="31">
        <v>1</v>
      </c>
      <c r="C93" s="31">
        <v>7</v>
      </c>
      <c r="D93" s="32" t="s">
        <v>41</v>
      </c>
      <c r="E93" s="32" t="s">
        <v>32</v>
      </c>
      <c r="F93" s="32" t="s">
        <v>142</v>
      </c>
      <c r="G93" s="32" t="s">
        <v>130</v>
      </c>
      <c r="H93" s="32" t="s">
        <v>165</v>
      </c>
      <c r="I93" s="31" t="s">
        <v>188</v>
      </c>
      <c r="J93" s="31">
        <v>10</v>
      </c>
      <c r="K93" s="31" t="s">
        <v>318</v>
      </c>
      <c r="L93" s="31" t="s">
        <v>335</v>
      </c>
      <c r="M93" s="32" t="s">
        <v>298</v>
      </c>
      <c r="N93" s="32" t="s">
        <v>914</v>
      </c>
      <c r="O93" s="33">
        <v>1</v>
      </c>
      <c r="P93" s="33"/>
      <c r="Q93" s="3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0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1</v>
      </c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35" ht="14.25" customHeight="1" x14ac:dyDescent="0.25">
      <c r="A94" s="31">
        <v>1</v>
      </c>
      <c r="B94" s="31">
        <v>1</v>
      </c>
      <c r="C94" s="31">
        <v>7</v>
      </c>
      <c r="D94" s="32" t="s">
        <v>41</v>
      </c>
      <c r="E94" s="32" t="s">
        <v>32</v>
      </c>
      <c r="F94" s="32" t="s">
        <v>143</v>
      </c>
      <c r="G94" s="32" t="s">
        <v>122</v>
      </c>
      <c r="H94" s="32" t="s">
        <v>165</v>
      </c>
      <c r="I94" s="31" t="s">
        <v>189</v>
      </c>
      <c r="J94" s="31">
        <v>6</v>
      </c>
      <c r="K94" s="31" t="s">
        <v>318</v>
      </c>
      <c r="L94" s="31" t="s">
        <v>335</v>
      </c>
      <c r="M94" s="32" t="s">
        <v>298</v>
      </c>
      <c r="N94" s="32" t="s">
        <v>914</v>
      </c>
      <c r="O94" s="33">
        <v>1</v>
      </c>
      <c r="P94" s="33"/>
      <c r="Q94" s="3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1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35" ht="14.25" customHeight="1" x14ac:dyDescent="0.25">
      <c r="A95" s="31">
        <v>1</v>
      </c>
      <c r="B95" s="31">
        <v>1</v>
      </c>
      <c r="C95" s="31">
        <v>7</v>
      </c>
      <c r="D95" s="32" t="s">
        <v>41</v>
      </c>
      <c r="E95" s="32" t="s">
        <v>32</v>
      </c>
      <c r="F95" s="32" t="s">
        <v>671</v>
      </c>
      <c r="G95" s="32" t="s">
        <v>673</v>
      </c>
      <c r="H95" s="32" t="s">
        <v>165</v>
      </c>
      <c r="I95" s="31" t="s">
        <v>672</v>
      </c>
      <c r="J95" s="31">
        <v>99</v>
      </c>
      <c r="K95" s="31" t="s">
        <v>318</v>
      </c>
      <c r="L95" s="31" t="s">
        <v>335</v>
      </c>
      <c r="M95" s="32" t="s">
        <v>298</v>
      </c>
      <c r="N95" s="32" t="s">
        <v>914</v>
      </c>
      <c r="O95" s="33">
        <v>1</v>
      </c>
      <c r="P95" s="33"/>
      <c r="Q95" s="3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0</v>
      </c>
      <c r="AA95" s="2">
        <f t="shared" si="43"/>
        <v>0</v>
      </c>
      <c r="AB95" s="2">
        <f t="shared" si="44"/>
        <v>0</v>
      </c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35" ht="14.25" customHeight="1" x14ac:dyDescent="0.25">
      <c r="A96" s="31">
        <v>1</v>
      </c>
      <c r="B96" s="31">
        <v>1</v>
      </c>
      <c r="C96" s="31">
        <v>7</v>
      </c>
      <c r="D96" s="32" t="s">
        <v>41</v>
      </c>
      <c r="E96" s="32" t="s">
        <v>32</v>
      </c>
      <c r="F96" s="32" t="s">
        <v>365</v>
      </c>
      <c r="G96" s="32" t="s">
        <v>93</v>
      </c>
      <c r="H96" s="32" t="s">
        <v>165</v>
      </c>
      <c r="I96" s="31" t="s">
        <v>373</v>
      </c>
      <c r="J96" s="31">
        <v>8</v>
      </c>
      <c r="K96" s="31" t="s">
        <v>318</v>
      </c>
      <c r="L96" s="31" t="s">
        <v>335</v>
      </c>
      <c r="M96" s="32" t="s">
        <v>298</v>
      </c>
      <c r="N96" s="32" t="s">
        <v>914</v>
      </c>
      <c r="O96" s="33">
        <v>1</v>
      </c>
      <c r="P96" s="33"/>
      <c r="Q96" s="3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1</v>
      </c>
      <c r="AA96" s="2">
        <f t="shared" si="43"/>
        <v>0</v>
      </c>
      <c r="AB96" s="2">
        <f t="shared" si="44"/>
        <v>0</v>
      </c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25">
      <c r="A97" s="31">
        <v>1</v>
      </c>
      <c r="B97" s="31">
        <v>1</v>
      </c>
      <c r="C97" s="31">
        <v>7</v>
      </c>
      <c r="D97" s="32" t="s">
        <v>41</v>
      </c>
      <c r="E97" s="32" t="s">
        <v>32</v>
      </c>
      <c r="F97" s="32" t="s">
        <v>245</v>
      </c>
      <c r="G97" s="32" t="s">
        <v>125</v>
      </c>
      <c r="H97" s="32" t="s">
        <v>165</v>
      </c>
      <c r="I97" s="31" t="s">
        <v>246</v>
      </c>
      <c r="J97" s="31">
        <v>99</v>
      </c>
      <c r="K97" s="31" t="s">
        <v>318</v>
      </c>
      <c r="L97" s="31" t="s">
        <v>335</v>
      </c>
      <c r="M97" s="32" t="s">
        <v>298</v>
      </c>
      <c r="N97" s="32" t="s">
        <v>914</v>
      </c>
      <c r="O97" s="33">
        <v>1</v>
      </c>
      <c r="P97" s="33"/>
      <c r="Q97" s="32"/>
      <c r="S97" s="2">
        <f t="shared" si="35"/>
        <v>0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0</v>
      </c>
      <c r="AE97" s="2">
        <f t="shared" si="46"/>
        <v>1</v>
      </c>
      <c r="AF97" s="2">
        <f t="shared" si="31"/>
        <v>0</v>
      </c>
      <c r="AG97" s="2">
        <f t="shared" si="32"/>
        <v>0</v>
      </c>
      <c r="AH97" s="2">
        <f t="shared" si="33"/>
        <v>0</v>
      </c>
      <c r="AI97" s="2">
        <f t="shared" si="34"/>
        <v>0</v>
      </c>
    </row>
    <row r="98" spans="1:35" ht="14.25" customHeight="1" x14ac:dyDescent="0.25">
      <c r="A98" s="31">
        <v>0</v>
      </c>
      <c r="B98" s="31">
        <v>1</v>
      </c>
      <c r="C98" s="31">
        <v>7</v>
      </c>
      <c r="D98" s="32" t="s">
        <v>571</v>
      </c>
      <c r="E98" s="32" t="s">
        <v>32</v>
      </c>
      <c r="F98" s="32" t="s">
        <v>586</v>
      </c>
      <c r="G98" s="32" t="s">
        <v>309</v>
      </c>
      <c r="H98" s="32" t="s">
        <v>165</v>
      </c>
      <c r="I98" s="31" t="s">
        <v>528</v>
      </c>
      <c r="J98" s="31">
        <v>1</v>
      </c>
      <c r="K98" s="31" t="s">
        <v>321</v>
      </c>
      <c r="L98" s="31" t="s">
        <v>40</v>
      </c>
      <c r="M98" s="32" t="s">
        <v>40</v>
      </c>
      <c r="N98" s="32" t="s">
        <v>895</v>
      </c>
      <c r="O98" s="33">
        <v>1</v>
      </c>
      <c r="P98" s="33">
        <v>1</v>
      </c>
      <c r="Q98" s="32"/>
      <c r="S98" s="2">
        <f t="shared" si="35"/>
        <v>1</v>
      </c>
      <c r="T98" s="2">
        <f t="shared" si="36"/>
        <v>0</v>
      </c>
      <c r="U98" s="2">
        <f t="shared" si="37"/>
        <v>0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1</v>
      </c>
      <c r="AE98" s="2">
        <f t="shared" si="46"/>
        <v>0</v>
      </c>
      <c r="AF98" s="2">
        <f t="shared" si="31"/>
        <v>1</v>
      </c>
      <c r="AG98" s="2">
        <f t="shared" si="32"/>
        <v>0</v>
      </c>
      <c r="AH98" s="2">
        <f t="shared" si="33"/>
        <v>1</v>
      </c>
      <c r="AI98" s="2">
        <f t="shared" si="34"/>
        <v>0</v>
      </c>
    </row>
    <row r="99" spans="1:35" ht="14.25" customHeight="1" x14ac:dyDescent="0.25">
      <c r="A99" s="31">
        <v>0</v>
      </c>
      <c r="B99" s="31">
        <v>1</v>
      </c>
      <c r="C99" s="31">
        <v>7</v>
      </c>
      <c r="D99" s="32" t="s">
        <v>237</v>
      </c>
      <c r="E99" s="32" t="s">
        <v>238</v>
      </c>
      <c r="F99" s="32" t="s">
        <v>239</v>
      </c>
      <c r="G99" s="32" t="s">
        <v>96</v>
      </c>
      <c r="H99" s="32" t="s">
        <v>165</v>
      </c>
      <c r="I99" s="31" t="s">
        <v>240</v>
      </c>
      <c r="J99" s="31">
        <v>3</v>
      </c>
      <c r="K99" s="31" t="s">
        <v>321</v>
      </c>
      <c r="L99" s="31" t="s">
        <v>335</v>
      </c>
      <c r="M99" s="32" t="s">
        <v>340</v>
      </c>
      <c r="N99" s="32" t="s">
        <v>910</v>
      </c>
      <c r="O99" s="33">
        <v>1</v>
      </c>
      <c r="P99" s="33"/>
      <c r="Q99" s="32"/>
      <c r="S99" s="2">
        <f t="shared" si="35"/>
        <v>0</v>
      </c>
      <c r="T99" s="2">
        <f t="shared" si="36"/>
        <v>0</v>
      </c>
      <c r="U99" s="2">
        <f t="shared" si="37"/>
        <v>1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25">
      <c r="A100" s="31">
        <v>0</v>
      </c>
      <c r="B100" s="31">
        <v>1</v>
      </c>
      <c r="C100" s="31">
        <v>7</v>
      </c>
      <c r="D100" s="32" t="s">
        <v>230</v>
      </c>
      <c r="E100" s="32" t="s">
        <v>32</v>
      </c>
      <c r="F100" s="32" t="s">
        <v>669</v>
      </c>
      <c r="G100" s="32" t="s">
        <v>96</v>
      </c>
      <c r="H100" s="32" t="s">
        <v>165</v>
      </c>
      <c r="I100" s="31" t="s">
        <v>841</v>
      </c>
      <c r="J100" s="31">
        <v>1</v>
      </c>
      <c r="K100" s="31" t="s">
        <v>320</v>
      </c>
      <c r="L100" s="31" t="s">
        <v>343</v>
      </c>
      <c r="M100" s="32" t="s">
        <v>752</v>
      </c>
      <c r="N100" s="32" t="s">
        <v>903</v>
      </c>
      <c r="O100" s="33">
        <v>1</v>
      </c>
      <c r="P100" s="33"/>
      <c r="Q100" s="32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1</v>
      </c>
      <c r="AH100" s="2">
        <f t="shared" si="33"/>
        <v>0</v>
      </c>
      <c r="AI100" s="2">
        <f t="shared" si="34"/>
        <v>1</v>
      </c>
    </row>
    <row r="101" spans="1:35" ht="14.25" customHeight="1" x14ac:dyDescent="0.25">
      <c r="A101" s="31">
        <v>1</v>
      </c>
      <c r="B101" s="31">
        <v>1</v>
      </c>
      <c r="C101" s="31">
        <v>7</v>
      </c>
      <c r="D101" s="32" t="s">
        <v>230</v>
      </c>
      <c r="E101" s="32" t="s">
        <v>32</v>
      </c>
      <c r="F101" s="32" t="s">
        <v>257</v>
      </c>
      <c r="G101" s="32" t="s">
        <v>38</v>
      </c>
      <c r="H101" s="32" t="s">
        <v>165</v>
      </c>
      <c r="I101" s="31" t="s">
        <v>231</v>
      </c>
      <c r="J101" s="31">
        <v>1</v>
      </c>
      <c r="K101" s="31" t="s">
        <v>320</v>
      </c>
      <c r="L101" s="31" t="s">
        <v>343</v>
      </c>
      <c r="M101" s="32" t="s">
        <v>752</v>
      </c>
      <c r="N101" s="32" t="s">
        <v>903</v>
      </c>
      <c r="O101" s="33">
        <v>1</v>
      </c>
      <c r="P101" s="33"/>
      <c r="Q101" s="32"/>
      <c r="S101" s="2">
        <f t="shared" si="35"/>
        <v>1</v>
      </c>
      <c r="T101" s="2">
        <f t="shared" si="36"/>
        <v>0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25">
      <c r="A102" s="31">
        <v>1</v>
      </c>
      <c r="B102" s="31">
        <v>1</v>
      </c>
      <c r="C102" s="31">
        <v>7</v>
      </c>
      <c r="D102" s="32" t="s">
        <v>230</v>
      </c>
      <c r="E102" s="32" t="s">
        <v>32</v>
      </c>
      <c r="F102" s="32" t="s">
        <v>473</v>
      </c>
      <c r="G102" s="32" t="s">
        <v>92</v>
      </c>
      <c r="H102" s="32" t="s">
        <v>165</v>
      </c>
      <c r="I102" s="31" t="s">
        <v>485</v>
      </c>
      <c r="J102" s="31">
        <v>2</v>
      </c>
      <c r="K102" s="31" t="s">
        <v>320</v>
      </c>
      <c r="L102" s="31" t="s">
        <v>343</v>
      </c>
      <c r="M102" s="32" t="s">
        <v>752</v>
      </c>
      <c r="N102" s="32" t="s">
        <v>903</v>
      </c>
      <c r="O102" s="33">
        <v>1</v>
      </c>
      <c r="P102" s="33"/>
      <c r="Q102" s="32"/>
      <c r="S102" s="2">
        <f t="shared" si="35"/>
        <v>0</v>
      </c>
      <c r="T102" s="2">
        <f t="shared" si="36"/>
        <v>1</v>
      </c>
      <c r="U102" s="2">
        <f t="shared" si="37"/>
        <v>0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0</v>
      </c>
      <c r="AE102" s="2">
        <f t="shared" si="46"/>
        <v>1</v>
      </c>
      <c r="AF102" s="2">
        <f t="shared" si="31"/>
        <v>0</v>
      </c>
      <c r="AG102" s="2">
        <f t="shared" si="32"/>
        <v>0</v>
      </c>
      <c r="AH102" s="2">
        <f t="shared" si="33"/>
        <v>0</v>
      </c>
      <c r="AI102" s="2">
        <f t="shared" si="34"/>
        <v>0</v>
      </c>
    </row>
    <row r="103" spans="1:35" ht="14.25" customHeight="1" x14ac:dyDescent="0.25">
      <c r="A103" s="31">
        <v>0</v>
      </c>
      <c r="B103" s="31">
        <v>1</v>
      </c>
      <c r="C103" s="31">
        <v>7</v>
      </c>
      <c r="D103" s="32" t="s">
        <v>446</v>
      </c>
      <c r="E103" s="32" t="s">
        <v>32</v>
      </c>
      <c r="F103" s="32" t="s">
        <v>657</v>
      </c>
      <c r="G103" s="32" t="s">
        <v>96</v>
      </c>
      <c r="H103" s="32" t="s">
        <v>165</v>
      </c>
      <c r="I103" s="31" t="s">
        <v>658</v>
      </c>
      <c r="J103" s="31">
        <v>3</v>
      </c>
      <c r="K103" s="31" t="s">
        <v>320</v>
      </c>
      <c r="L103" s="31" t="s">
        <v>40</v>
      </c>
      <c r="M103" s="32" t="s">
        <v>40</v>
      </c>
      <c r="N103" s="32" t="s">
        <v>895</v>
      </c>
      <c r="O103" s="33">
        <v>1</v>
      </c>
      <c r="P103" s="33">
        <v>1</v>
      </c>
      <c r="Q103" s="32"/>
      <c r="S103" s="2">
        <f t="shared" si="35"/>
        <v>0</v>
      </c>
      <c r="T103" s="2">
        <f t="shared" si="36"/>
        <v>0</v>
      </c>
      <c r="U103" s="2">
        <f t="shared" si="37"/>
        <v>1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1</v>
      </c>
      <c r="AG103" s="2">
        <f t="shared" si="32"/>
        <v>0</v>
      </c>
      <c r="AH103" s="2">
        <f t="shared" si="33"/>
        <v>1</v>
      </c>
      <c r="AI103" s="2">
        <f t="shared" si="34"/>
        <v>0</v>
      </c>
    </row>
    <row r="104" spans="1:35" ht="14.25" customHeight="1" x14ac:dyDescent="0.25">
      <c r="A104" s="31">
        <v>1</v>
      </c>
      <c r="B104" s="31">
        <v>1</v>
      </c>
      <c r="C104" s="31">
        <v>7</v>
      </c>
      <c r="D104" s="32" t="s">
        <v>446</v>
      </c>
      <c r="E104" s="32" t="s">
        <v>32</v>
      </c>
      <c r="F104" s="32" t="s">
        <v>447</v>
      </c>
      <c r="G104" s="32" t="s">
        <v>145</v>
      </c>
      <c r="H104" s="32" t="s">
        <v>165</v>
      </c>
      <c r="I104" s="31" t="s">
        <v>448</v>
      </c>
      <c r="J104" s="31">
        <v>2</v>
      </c>
      <c r="K104" s="31" t="s">
        <v>320</v>
      </c>
      <c r="L104" s="31" t="s">
        <v>40</v>
      </c>
      <c r="M104" s="32" t="s">
        <v>40</v>
      </c>
      <c r="N104" s="32" t="s">
        <v>895</v>
      </c>
      <c r="O104" s="33">
        <v>1</v>
      </c>
      <c r="P104" s="33">
        <v>1</v>
      </c>
      <c r="Q104" s="32"/>
      <c r="S104" s="2">
        <f t="shared" si="35"/>
        <v>0</v>
      </c>
      <c r="T104" s="2">
        <f t="shared" si="36"/>
        <v>1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25">
      <c r="A105" s="31">
        <v>1</v>
      </c>
      <c r="B105" s="31">
        <v>1</v>
      </c>
      <c r="C105" s="31">
        <v>7</v>
      </c>
      <c r="D105" s="32" t="s">
        <v>446</v>
      </c>
      <c r="E105" s="32" t="s">
        <v>32</v>
      </c>
      <c r="F105" s="32" t="s">
        <v>837</v>
      </c>
      <c r="G105" s="32" t="s">
        <v>124</v>
      </c>
      <c r="H105" s="32" t="s">
        <v>165</v>
      </c>
      <c r="I105" s="31" t="s">
        <v>851</v>
      </c>
      <c r="J105" s="31">
        <v>99</v>
      </c>
      <c r="K105" s="31" t="s">
        <v>320</v>
      </c>
      <c r="L105" s="31" t="s">
        <v>40</v>
      </c>
      <c r="M105" s="32" t="s">
        <v>40</v>
      </c>
      <c r="N105" s="32" t="s">
        <v>895</v>
      </c>
      <c r="O105" s="33">
        <v>1</v>
      </c>
      <c r="P105" s="33">
        <v>1</v>
      </c>
      <c r="Q105" s="32"/>
      <c r="S105" s="2">
        <f t="shared" si="35"/>
        <v>0</v>
      </c>
      <c r="T105" s="2">
        <f t="shared" si="36"/>
        <v>0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25">
      <c r="A106" s="31">
        <v>1</v>
      </c>
      <c r="B106" s="31">
        <v>1</v>
      </c>
      <c r="C106" s="31">
        <v>7</v>
      </c>
      <c r="D106" s="32" t="s">
        <v>446</v>
      </c>
      <c r="E106" s="32" t="s">
        <v>32</v>
      </c>
      <c r="F106" s="32" t="s">
        <v>838</v>
      </c>
      <c r="G106" s="32" t="s">
        <v>103</v>
      </c>
      <c r="H106" s="32" t="s">
        <v>165</v>
      </c>
      <c r="I106" s="31" t="s">
        <v>852</v>
      </c>
      <c r="J106" s="31">
        <v>2</v>
      </c>
      <c r="K106" s="31" t="s">
        <v>320</v>
      </c>
      <c r="L106" s="31" t="s">
        <v>40</v>
      </c>
      <c r="M106" s="32" t="s">
        <v>40</v>
      </c>
      <c r="N106" s="32" t="s">
        <v>895</v>
      </c>
      <c r="O106" s="33">
        <v>1</v>
      </c>
      <c r="P106" s="33">
        <v>1</v>
      </c>
      <c r="Q106" s="32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1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0</v>
      </c>
    </row>
    <row r="107" spans="1:35" ht="14.25" customHeight="1" x14ac:dyDescent="0.25">
      <c r="A107" s="34">
        <v>0</v>
      </c>
      <c r="B107" s="34">
        <v>1</v>
      </c>
      <c r="C107" s="34">
        <v>7</v>
      </c>
      <c r="D107" s="35" t="s">
        <v>71</v>
      </c>
      <c r="E107" s="35" t="s">
        <v>32</v>
      </c>
      <c r="F107" s="35" t="s">
        <v>150</v>
      </c>
      <c r="G107" s="35" t="s">
        <v>92</v>
      </c>
      <c r="H107" s="35" t="s">
        <v>165</v>
      </c>
      <c r="I107" s="34" t="s">
        <v>194</v>
      </c>
      <c r="J107" s="34">
        <v>2</v>
      </c>
      <c r="K107" s="34" t="s">
        <v>320</v>
      </c>
      <c r="L107" s="34" t="s">
        <v>335</v>
      </c>
      <c r="M107" s="35" t="s">
        <v>268</v>
      </c>
      <c r="N107" s="35" t="s">
        <v>931</v>
      </c>
      <c r="O107" s="36"/>
      <c r="P107" s="36"/>
      <c r="Q107" s="35"/>
      <c r="S107" s="2">
        <f t="shared" si="35"/>
        <v>0</v>
      </c>
      <c r="T107" s="2">
        <f t="shared" si="36"/>
        <v>1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1</v>
      </c>
    </row>
    <row r="108" spans="1:35" ht="14.25" customHeight="1" x14ac:dyDescent="0.25">
      <c r="A108" s="34">
        <v>1</v>
      </c>
      <c r="B108" s="34">
        <v>1</v>
      </c>
      <c r="C108" s="34">
        <v>7</v>
      </c>
      <c r="D108" s="35" t="s">
        <v>71</v>
      </c>
      <c r="E108" s="35" t="s">
        <v>32</v>
      </c>
      <c r="F108" s="35" t="s">
        <v>315</v>
      </c>
      <c r="G108" s="35" t="s">
        <v>154</v>
      </c>
      <c r="H108" s="35" t="s">
        <v>165</v>
      </c>
      <c r="I108" s="34" t="s">
        <v>317</v>
      </c>
      <c r="J108" s="34">
        <v>99</v>
      </c>
      <c r="K108" s="34" t="s">
        <v>320</v>
      </c>
      <c r="L108" s="34" t="s">
        <v>335</v>
      </c>
      <c r="M108" s="35" t="s">
        <v>268</v>
      </c>
      <c r="N108" s="35" t="s">
        <v>931</v>
      </c>
      <c r="O108" s="36"/>
      <c r="P108" s="36"/>
      <c r="Q108" s="35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0</v>
      </c>
      <c r="AE108" s="2">
        <f t="shared" si="46"/>
        <v>0</v>
      </c>
      <c r="AF108" s="2">
        <f t="shared" si="31"/>
        <v>0</v>
      </c>
      <c r="AG108" s="2">
        <f t="shared" si="32"/>
        <v>0</v>
      </c>
      <c r="AH108" s="2">
        <f t="shared" si="33"/>
        <v>0</v>
      </c>
      <c r="AI108" s="2">
        <f t="shared" si="34"/>
        <v>0</v>
      </c>
    </row>
    <row r="109" spans="1:35" ht="14.25" customHeight="1" x14ac:dyDescent="0.25">
      <c r="A109" s="31">
        <v>0</v>
      </c>
      <c r="B109" s="31">
        <v>1</v>
      </c>
      <c r="C109" s="31">
        <v>7</v>
      </c>
      <c r="D109" s="32" t="s">
        <v>948</v>
      </c>
      <c r="E109" s="32" t="s">
        <v>32</v>
      </c>
      <c r="F109" s="32" t="s">
        <v>949</v>
      </c>
      <c r="G109" s="32"/>
      <c r="H109" s="32" t="s">
        <v>165</v>
      </c>
      <c r="I109" s="31" t="s">
        <v>950</v>
      </c>
      <c r="J109" s="31"/>
      <c r="K109" s="31" t="s">
        <v>378</v>
      </c>
      <c r="L109" s="31">
        <v>30</v>
      </c>
      <c r="M109" s="32" t="s">
        <v>951</v>
      </c>
      <c r="N109" s="32" t="s">
        <v>895</v>
      </c>
      <c r="O109" s="33">
        <v>1</v>
      </c>
      <c r="P109" s="33">
        <v>1</v>
      </c>
      <c r="Q109" s="32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1</v>
      </c>
      <c r="AE109" s="2">
        <f t="shared" si="46"/>
        <v>0</v>
      </c>
      <c r="AF109" s="2">
        <f t="shared" si="31"/>
        <v>1</v>
      </c>
      <c r="AG109" s="2">
        <f t="shared" si="32"/>
        <v>0</v>
      </c>
      <c r="AH109" s="2">
        <f t="shared" si="33"/>
        <v>1</v>
      </c>
      <c r="AI109" s="2">
        <f t="shared" si="34"/>
        <v>0</v>
      </c>
    </row>
    <row r="110" spans="1:35" ht="14.25" customHeight="1" x14ac:dyDescent="0.25">
      <c r="A110" s="20">
        <v>0</v>
      </c>
      <c r="B110" s="20">
        <v>1</v>
      </c>
      <c r="C110" s="20">
        <v>7</v>
      </c>
      <c r="D110" s="21" t="s">
        <v>963</v>
      </c>
      <c r="E110" s="21" t="s">
        <v>32</v>
      </c>
      <c r="F110" s="21" t="s">
        <v>964</v>
      </c>
      <c r="G110" s="21"/>
      <c r="H110" s="21" t="s">
        <v>165</v>
      </c>
      <c r="I110" s="20" t="s">
        <v>965</v>
      </c>
      <c r="J110" s="20"/>
      <c r="K110" s="20" t="s">
        <v>378</v>
      </c>
      <c r="L110" s="20">
        <v>40</v>
      </c>
      <c r="M110" s="21" t="s">
        <v>966</v>
      </c>
      <c r="N110" s="21"/>
      <c r="O110" s="7"/>
      <c r="P110" s="7"/>
      <c r="Q110" s="21"/>
      <c r="S110" s="2">
        <f t="shared" si="35"/>
        <v>0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25">
      <c r="A111" s="34">
        <v>0</v>
      </c>
      <c r="B111" s="34">
        <v>1</v>
      </c>
      <c r="C111" s="34">
        <v>7</v>
      </c>
      <c r="D111" s="35" t="s">
        <v>647</v>
      </c>
      <c r="E111" s="35" t="s">
        <v>32</v>
      </c>
      <c r="F111" s="35" t="s">
        <v>649</v>
      </c>
      <c r="G111" s="35" t="s">
        <v>117</v>
      </c>
      <c r="H111" s="35" t="s">
        <v>165</v>
      </c>
      <c r="I111" s="34" t="s">
        <v>694</v>
      </c>
      <c r="J111" s="34">
        <v>1</v>
      </c>
      <c r="K111" s="34" t="s">
        <v>320</v>
      </c>
      <c r="L111" s="34" t="s">
        <v>335</v>
      </c>
      <c r="M111" s="35" t="s">
        <v>648</v>
      </c>
      <c r="N111" s="35" t="s">
        <v>897</v>
      </c>
      <c r="O111" s="36"/>
      <c r="P111" s="36"/>
      <c r="Q111" s="35"/>
      <c r="S111" s="2">
        <f t="shared" si="35"/>
        <v>1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0</v>
      </c>
      <c r="AF111" s="2">
        <f t="shared" si="31"/>
        <v>0</v>
      </c>
      <c r="AG111" s="2">
        <f t="shared" si="32"/>
        <v>0</v>
      </c>
      <c r="AH111" s="2">
        <f t="shared" si="33"/>
        <v>0</v>
      </c>
      <c r="AI111" s="2">
        <f t="shared" si="34"/>
        <v>1</v>
      </c>
    </row>
    <row r="112" spans="1:35" ht="14.25" customHeight="1" x14ac:dyDescent="0.25">
      <c r="A112" s="31">
        <v>0</v>
      </c>
      <c r="B112" s="31">
        <v>1</v>
      </c>
      <c r="C112" s="31">
        <v>7</v>
      </c>
      <c r="D112" s="32" t="s">
        <v>548</v>
      </c>
      <c r="E112" s="32" t="s">
        <v>32</v>
      </c>
      <c r="F112" s="32" t="s">
        <v>549</v>
      </c>
      <c r="G112" s="32" t="s">
        <v>550</v>
      </c>
      <c r="H112" s="32" t="s">
        <v>165</v>
      </c>
      <c r="I112" s="31" t="s">
        <v>551</v>
      </c>
      <c r="J112" s="31">
        <v>99</v>
      </c>
      <c r="K112" s="31" t="s">
        <v>320</v>
      </c>
      <c r="L112" s="31">
        <v>30</v>
      </c>
      <c r="M112" s="32" t="s">
        <v>298</v>
      </c>
      <c r="N112" s="32" t="s">
        <v>915</v>
      </c>
      <c r="O112" s="33">
        <v>1</v>
      </c>
      <c r="P112" s="33"/>
      <c r="Q112" s="32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1</v>
      </c>
      <c r="AH112" s="2">
        <f t="shared" si="33"/>
        <v>0</v>
      </c>
      <c r="AI112" s="2">
        <f t="shared" si="34"/>
        <v>1</v>
      </c>
    </row>
    <row r="113" spans="1:35" ht="14.25" customHeight="1" x14ac:dyDescent="0.25">
      <c r="A113" s="31">
        <v>1</v>
      </c>
      <c r="B113" s="31">
        <v>1</v>
      </c>
      <c r="C113" s="31">
        <v>7</v>
      </c>
      <c r="D113" s="32" t="s">
        <v>548</v>
      </c>
      <c r="E113" s="32" t="s">
        <v>32</v>
      </c>
      <c r="F113" s="32" t="s">
        <v>662</v>
      </c>
      <c r="G113" s="32" t="s">
        <v>40</v>
      </c>
      <c r="H113" s="32" t="s">
        <v>165</v>
      </c>
      <c r="I113" s="31" t="s">
        <v>695</v>
      </c>
      <c r="J113" s="31"/>
      <c r="K113" s="31" t="s">
        <v>320</v>
      </c>
      <c r="L113" s="31">
        <v>30</v>
      </c>
      <c r="M113" s="32" t="s">
        <v>298</v>
      </c>
      <c r="N113" s="32" t="s">
        <v>915</v>
      </c>
      <c r="O113" s="33">
        <v>1</v>
      </c>
      <c r="P113" s="33"/>
      <c r="Q113" s="32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1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0</v>
      </c>
    </row>
    <row r="114" spans="1:35" ht="14.25" customHeight="1" x14ac:dyDescent="0.25">
      <c r="A114" s="20">
        <v>0</v>
      </c>
      <c r="B114" s="20">
        <v>1</v>
      </c>
      <c r="C114" s="20">
        <v>7</v>
      </c>
      <c r="D114" s="21" t="s">
        <v>967</v>
      </c>
      <c r="E114" s="21" t="s">
        <v>32</v>
      </c>
      <c r="F114" s="21" t="s">
        <v>968</v>
      </c>
      <c r="G114" s="21" t="s">
        <v>403</v>
      </c>
      <c r="H114" s="21" t="s">
        <v>165</v>
      </c>
      <c r="I114" s="20" t="s">
        <v>969</v>
      </c>
      <c r="J114" s="20"/>
      <c r="K114" s="20" t="s">
        <v>378</v>
      </c>
      <c r="L114" s="20">
        <v>50</v>
      </c>
      <c r="M114" s="21" t="s">
        <v>970</v>
      </c>
      <c r="N114" s="21"/>
      <c r="O114" s="7"/>
      <c r="P114" s="7"/>
      <c r="Q114" s="21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0</v>
      </c>
      <c r="AE114" s="2">
        <f t="shared" si="46"/>
        <v>0</v>
      </c>
      <c r="AF114" s="2">
        <f t="shared" si="31"/>
        <v>0</v>
      </c>
      <c r="AG114" s="2">
        <f t="shared" si="32"/>
        <v>0</v>
      </c>
      <c r="AH114" s="2">
        <f t="shared" si="33"/>
        <v>0</v>
      </c>
      <c r="AI114" s="2">
        <f t="shared" si="34"/>
        <v>1</v>
      </c>
    </row>
    <row r="115" spans="1:35" ht="14.25" customHeight="1" x14ac:dyDescent="0.25">
      <c r="A115" s="31">
        <v>0</v>
      </c>
      <c r="B115" s="31">
        <v>2</v>
      </c>
      <c r="C115" s="31">
        <v>1</v>
      </c>
      <c r="D115" s="32" t="s">
        <v>670</v>
      </c>
      <c r="E115" s="32" t="s">
        <v>44</v>
      </c>
      <c r="F115" s="32" t="s">
        <v>619</v>
      </c>
      <c r="G115" s="32" t="s">
        <v>471</v>
      </c>
      <c r="H115" s="32" t="s">
        <v>165</v>
      </c>
      <c r="I115" s="31" t="s">
        <v>620</v>
      </c>
      <c r="J115" s="31">
        <v>99</v>
      </c>
      <c r="K115" s="31" t="s">
        <v>318</v>
      </c>
      <c r="L115" s="31" t="s">
        <v>318</v>
      </c>
      <c r="M115" s="32" t="s">
        <v>269</v>
      </c>
      <c r="N115" s="32" t="s">
        <v>895</v>
      </c>
      <c r="O115" s="33">
        <v>1</v>
      </c>
      <c r="P115" s="33">
        <v>1</v>
      </c>
      <c r="Q115" s="32"/>
      <c r="S115" s="2">
        <f t="shared" si="35"/>
        <v>0</v>
      </c>
      <c r="T115" s="2">
        <f t="shared" si="36"/>
        <v>0</v>
      </c>
      <c r="U115" s="2">
        <f t="shared" si="37"/>
        <v>0</v>
      </c>
      <c r="V115" s="2">
        <f t="shared" si="38"/>
        <v>0</v>
      </c>
      <c r="W115" s="2">
        <f t="shared" si="39"/>
        <v>0</v>
      </c>
      <c r="X115" s="2">
        <f t="shared" si="40"/>
        <v>0</v>
      </c>
      <c r="Y115" s="2">
        <f t="shared" si="41"/>
        <v>0</v>
      </c>
      <c r="Z115" s="2">
        <f t="shared" si="42"/>
        <v>0</v>
      </c>
      <c r="AA115" s="2">
        <f t="shared" si="43"/>
        <v>0</v>
      </c>
      <c r="AB115" s="2">
        <f t="shared" si="44"/>
        <v>0</v>
      </c>
      <c r="AD115" s="2">
        <f t="shared" si="45"/>
        <v>1</v>
      </c>
      <c r="AE115" s="2">
        <f t="shared" si="46"/>
        <v>0</v>
      </c>
      <c r="AF115" s="2">
        <f t="shared" si="31"/>
        <v>1</v>
      </c>
      <c r="AG115" s="2">
        <f t="shared" si="32"/>
        <v>0</v>
      </c>
      <c r="AH115" s="2">
        <f t="shared" si="33"/>
        <v>1</v>
      </c>
      <c r="AI115" s="2">
        <f t="shared" si="34"/>
        <v>0</v>
      </c>
    </row>
    <row r="116" spans="1:35" ht="14.25" customHeight="1" x14ac:dyDescent="0.25">
      <c r="A116" s="31">
        <v>1</v>
      </c>
      <c r="B116" s="31">
        <v>2</v>
      </c>
      <c r="C116" s="31">
        <v>1</v>
      </c>
      <c r="D116" s="32" t="s">
        <v>670</v>
      </c>
      <c r="E116" s="32" t="s">
        <v>44</v>
      </c>
      <c r="F116" s="32" t="s">
        <v>621</v>
      </c>
      <c r="G116" s="32" t="s">
        <v>91</v>
      </c>
      <c r="H116" s="32" t="s">
        <v>165</v>
      </c>
      <c r="I116" s="31" t="s">
        <v>620</v>
      </c>
      <c r="J116" s="31">
        <v>1</v>
      </c>
      <c r="K116" s="31" t="s">
        <v>318</v>
      </c>
      <c r="L116" s="31" t="s">
        <v>318</v>
      </c>
      <c r="M116" s="32" t="s">
        <v>269</v>
      </c>
      <c r="N116" s="32" t="s">
        <v>895</v>
      </c>
      <c r="O116" s="33">
        <v>1</v>
      </c>
      <c r="P116" s="33">
        <v>1</v>
      </c>
      <c r="Q116" s="32"/>
      <c r="S116" s="2">
        <f t="shared" si="35"/>
        <v>1</v>
      </c>
      <c r="T116" s="2">
        <f t="shared" si="36"/>
        <v>0</v>
      </c>
      <c r="U116" s="2">
        <f t="shared" si="37"/>
        <v>0</v>
      </c>
      <c r="V116" s="2">
        <f t="shared" si="38"/>
        <v>0</v>
      </c>
      <c r="W116" s="2">
        <f t="shared" si="39"/>
        <v>0</v>
      </c>
      <c r="X116" s="2">
        <f t="shared" si="40"/>
        <v>0</v>
      </c>
      <c r="Y116" s="2">
        <f t="shared" si="41"/>
        <v>0</v>
      </c>
      <c r="Z116" s="2">
        <f t="shared" si="42"/>
        <v>0</v>
      </c>
      <c r="AA116" s="2">
        <f t="shared" si="43"/>
        <v>0</v>
      </c>
      <c r="AB116" s="2">
        <f t="shared" si="44"/>
        <v>0</v>
      </c>
      <c r="AD116" s="2">
        <f t="shared" si="45"/>
        <v>1</v>
      </c>
      <c r="AE116" s="2">
        <f t="shared" si="46"/>
        <v>0</v>
      </c>
      <c r="AF116" s="2">
        <f t="shared" si="31"/>
        <v>0</v>
      </c>
      <c r="AG116" s="2">
        <f t="shared" si="32"/>
        <v>0</v>
      </c>
      <c r="AH116" s="2">
        <f t="shared" si="33"/>
        <v>0</v>
      </c>
      <c r="AI116" s="2">
        <f t="shared" si="34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795</v>
      </c>
      <c r="E117" s="21" t="s">
        <v>470</v>
      </c>
      <c r="F117" s="21" t="s">
        <v>796</v>
      </c>
      <c r="G117" s="21" t="s">
        <v>114</v>
      </c>
      <c r="H117" s="21" t="s">
        <v>165</v>
      </c>
      <c r="I117" s="20" t="s">
        <v>797</v>
      </c>
      <c r="J117" s="20">
        <v>99</v>
      </c>
      <c r="K117" s="20" t="s">
        <v>378</v>
      </c>
      <c r="L117" s="20">
        <v>6</v>
      </c>
      <c r="M117" s="21" t="s">
        <v>944</v>
      </c>
      <c r="N117" s="21"/>
      <c r="O117" s="7"/>
      <c r="P117" s="7"/>
      <c r="Q117" s="21"/>
      <c r="S117" s="2">
        <f t="shared" si="35"/>
        <v>0</v>
      </c>
      <c r="T117" s="2">
        <f t="shared" si="36"/>
        <v>0</v>
      </c>
      <c r="U117" s="2">
        <f t="shared" si="37"/>
        <v>0</v>
      </c>
      <c r="V117" s="2">
        <f t="shared" si="38"/>
        <v>0</v>
      </c>
      <c r="W117" s="2">
        <f t="shared" si="39"/>
        <v>0</v>
      </c>
      <c r="X117" s="2">
        <f t="shared" si="40"/>
        <v>0</v>
      </c>
      <c r="Y117" s="2">
        <f t="shared" si="41"/>
        <v>0</v>
      </c>
      <c r="Z117" s="2">
        <f t="shared" si="42"/>
        <v>0</v>
      </c>
      <c r="AA117" s="2">
        <f t="shared" si="43"/>
        <v>0</v>
      </c>
      <c r="AB117" s="2">
        <f t="shared" si="44"/>
        <v>0</v>
      </c>
      <c r="AD117" s="2">
        <f t="shared" si="45"/>
        <v>0</v>
      </c>
      <c r="AE117" s="2">
        <f t="shared" si="46"/>
        <v>0</v>
      </c>
      <c r="AF117" s="2">
        <f t="shared" si="31"/>
        <v>0</v>
      </c>
      <c r="AG117" s="2">
        <f t="shared" si="32"/>
        <v>0</v>
      </c>
      <c r="AH117" s="2">
        <f t="shared" si="33"/>
        <v>0</v>
      </c>
      <c r="AI117" s="2">
        <f t="shared" si="34"/>
        <v>1</v>
      </c>
    </row>
    <row r="118" spans="1:35" ht="14.25" customHeight="1" x14ac:dyDescent="0.25">
      <c r="A118" s="31">
        <v>0</v>
      </c>
      <c r="B118" s="31">
        <v>2</v>
      </c>
      <c r="C118" s="31">
        <v>1</v>
      </c>
      <c r="D118" s="32" t="s">
        <v>790</v>
      </c>
      <c r="E118" s="32" t="s">
        <v>470</v>
      </c>
      <c r="F118" s="32" t="s">
        <v>791</v>
      </c>
      <c r="G118" s="32" t="s">
        <v>103</v>
      </c>
      <c r="H118" s="32" t="s">
        <v>165</v>
      </c>
      <c r="I118" s="31" t="s">
        <v>792</v>
      </c>
      <c r="J118" s="31">
        <v>2</v>
      </c>
      <c r="K118" s="31" t="s">
        <v>321</v>
      </c>
      <c r="L118" s="31">
        <v>15</v>
      </c>
      <c r="M118" s="32" t="s">
        <v>864</v>
      </c>
      <c r="N118" s="32" t="s">
        <v>895</v>
      </c>
      <c r="O118" s="33">
        <v>1</v>
      </c>
      <c r="P118" s="33">
        <v>1</v>
      </c>
      <c r="Q118" s="32"/>
      <c r="S118" s="2">
        <f t="shared" si="35"/>
        <v>0</v>
      </c>
      <c r="T118" s="2">
        <f t="shared" si="36"/>
        <v>1</v>
      </c>
      <c r="U118" s="2">
        <f t="shared" si="37"/>
        <v>0</v>
      </c>
      <c r="V118" s="2">
        <f t="shared" si="38"/>
        <v>0</v>
      </c>
      <c r="W118" s="2">
        <f t="shared" si="39"/>
        <v>0</v>
      </c>
      <c r="X118" s="2">
        <f t="shared" si="40"/>
        <v>0</v>
      </c>
      <c r="Y118" s="2">
        <f t="shared" si="41"/>
        <v>0</v>
      </c>
      <c r="Z118" s="2">
        <f t="shared" si="42"/>
        <v>0</v>
      </c>
      <c r="AA118" s="2">
        <f t="shared" si="43"/>
        <v>0</v>
      </c>
      <c r="AB118" s="2">
        <f t="shared" si="44"/>
        <v>0</v>
      </c>
      <c r="AD118" s="2">
        <f t="shared" si="45"/>
        <v>1</v>
      </c>
      <c r="AE118" s="2">
        <f t="shared" si="46"/>
        <v>0</v>
      </c>
      <c r="AF118" s="2">
        <f t="shared" si="31"/>
        <v>1</v>
      </c>
      <c r="AG118" s="2">
        <f t="shared" si="32"/>
        <v>0</v>
      </c>
      <c r="AH118" s="2">
        <f t="shared" si="33"/>
        <v>1</v>
      </c>
      <c r="AI118" s="2">
        <f t="shared" si="34"/>
        <v>0</v>
      </c>
    </row>
    <row r="119" spans="1:35" ht="14.25" customHeight="1" x14ac:dyDescent="0.25">
      <c r="A119" s="31">
        <v>0</v>
      </c>
      <c r="B119" s="31">
        <v>2</v>
      </c>
      <c r="C119" s="31">
        <v>1</v>
      </c>
      <c r="D119" s="32" t="s">
        <v>531</v>
      </c>
      <c r="E119" s="32" t="s">
        <v>470</v>
      </c>
      <c r="F119" s="32" t="s">
        <v>536</v>
      </c>
      <c r="G119" s="32" t="s">
        <v>471</v>
      </c>
      <c r="H119" s="32" t="s">
        <v>165</v>
      </c>
      <c r="I119" s="31" t="s">
        <v>538</v>
      </c>
      <c r="J119" s="31">
        <v>99</v>
      </c>
      <c r="K119" s="31" t="s">
        <v>318</v>
      </c>
      <c r="L119" s="31">
        <v>13</v>
      </c>
      <c r="M119" s="32" t="s">
        <v>864</v>
      </c>
      <c r="N119" s="32" t="s">
        <v>895</v>
      </c>
      <c r="O119" s="33">
        <v>1</v>
      </c>
      <c r="P119" s="33">
        <v>1</v>
      </c>
      <c r="Q119" s="32"/>
      <c r="S119" s="2">
        <f t="shared" si="35"/>
        <v>0</v>
      </c>
      <c r="T119" s="2">
        <f t="shared" si="36"/>
        <v>0</v>
      </c>
      <c r="U119" s="2">
        <f t="shared" si="37"/>
        <v>0</v>
      </c>
      <c r="V119" s="2">
        <f t="shared" si="38"/>
        <v>0</v>
      </c>
      <c r="W119" s="2">
        <f t="shared" si="39"/>
        <v>0</v>
      </c>
      <c r="X119" s="2">
        <f t="shared" si="40"/>
        <v>0</v>
      </c>
      <c r="Y119" s="2">
        <f t="shared" si="41"/>
        <v>0</v>
      </c>
      <c r="Z119" s="2">
        <f t="shared" si="42"/>
        <v>0</v>
      </c>
      <c r="AA119" s="2">
        <f t="shared" si="43"/>
        <v>0</v>
      </c>
      <c r="AB119" s="2">
        <f t="shared" si="44"/>
        <v>0</v>
      </c>
      <c r="AD119" s="2">
        <f t="shared" si="45"/>
        <v>1</v>
      </c>
      <c r="AE119" s="2">
        <f t="shared" si="46"/>
        <v>0</v>
      </c>
      <c r="AF119" s="2">
        <f t="shared" si="31"/>
        <v>1</v>
      </c>
      <c r="AG119" s="2">
        <f t="shared" si="32"/>
        <v>0</v>
      </c>
      <c r="AH119" s="2">
        <f t="shared" si="33"/>
        <v>1</v>
      </c>
      <c r="AI119" s="2">
        <f t="shared" si="34"/>
        <v>0</v>
      </c>
    </row>
    <row r="120" spans="1:35" ht="14.25" customHeight="1" x14ac:dyDescent="0.25">
      <c r="A120" s="31">
        <v>1</v>
      </c>
      <c r="B120" s="31">
        <v>2</v>
      </c>
      <c r="C120" s="31">
        <v>1</v>
      </c>
      <c r="D120" s="32" t="s">
        <v>531</v>
      </c>
      <c r="E120" s="32" t="s">
        <v>470</v>
      </c>
      <c r="F120" s="32" t="s">
        <v>532</v>
      </c>
      <c r="G120" s="32" t="s">
        <v>92</v>
      </c>
      <c r="H120" s="32" t="s">
        <v>165</v>
      </c>
      <c r="I120" s="31" t="s">
        <v>533</v>
      </c>
      <c r="J120" s="31">
        <v>2</v>
      </c>
      <c r="K120" s="31" t="s">
        <v>318</v>
      </c>
      <c r="L120" s="31">
        <v>13</v>
      </c>
      <c r="M120" s="32" t="s">
        <v>865</v>
      </c>
      <c r="N120" s="32" t="s">
        <v>895</v>
      </c>
      <c r="O120" s="33">
        <v>1</v>
      </c>
      <c r="P120" s="33">
        <v>1</v>
      </c>
      <c r="Q120" s="32"/>
      <c r="S120" s="2">
        <f t="shared" si="35"/>
        <v>0</v>
      </c>
      <c r="T120" s="2">
        <f t="shared" si="36"/>
        <v>1</v>
      </c>
      <c r="U120" s="2">
        <f t="shared" si="37"/>
        <v>0</v>
      </c>
      <c r="V120" s="2">
        <f t="shared" si="38"/>
        <v>0</v>
      </c>
      <c r="W120" s="2">
        <f t="shared" si="39"/>
        <v>0</v>
      </c>
      <c r="X120" s="2">
        <f t="shared" si="40"/>
        <v>0</v>
      </c>
      <c r="Y120" s="2">
        <f t="shared" si="41"/>
        <v>0</v>
      </c>
      <c r="Z120" s="2">
        <f t="shared" si="42"/>
        <v>0</v>
      </c>
      <c r="AA120" s="2">
        <f t="shared" si="43"/>
        <v>0</v>
      </c>
      <c r="AB120" s="2">
        <f t="shared" si="44"/>
        <v>0</v>
      </c>
      <c r="AD120" s="2">
        <f t="shared" si="45"/>
        <v>1</v>
      </c>
      <c r="AE120" s="2">
        <f t="shared" si="46"/>
        <v>0</v>
      </c>
      <c r="AF120" s="2">
        <f t="shared" si="31"/>
        <v>0</v>
      </c>
      <c r="AG120" s="2">
        <f t="shared" si="32"/>
        <v>0</v>
      </c>
      <c r="AH120" s="2">
        <f t="shared" si="33"/>
        <v>0</v>
      </c>
      <c r="AI120" s="2">
        <f t="shared" si="34"/>
        <v>0</v>
      </c>
    </row>
    <row r="121" spans="1:35" ht="14.25" customHeight="1" x14ac:dyDescent="0.25">
      <c r="A121" s="31">
        <v>1</v>
      </c>
      <c r="B121" s="31">
        <v>2</v>
      </c>
      <c r="C121" s="31">
        <v>1</v>
      </c>
      <c r="D121" s="32" t="s">
        <v>531</v>
      </c>
      <c r="E121" s="32" t="s">
        <v>470</v>
      </c>
      <c r="F121" s="32" t="s">
        <v>537</v>
      </c>
      <c r="G121" s="32" t="s">
        <v>405</v>
      </c>
      <c r="H121" s="32" t="s">
        <v>165</v>
      </c>
      <c r="I121" s="31" t="s">
        <v>539</v>
      </c>
      <c r="J121" s="31">
        <v>99</v>
      </c>
      <c r="K121" s="31" t="s">
        <v>318</v>
      </c>
      <c r="L121" s="31">
        <v>13</v>
      </c>
      <c r="M121" s="32" t="s">
        <v>866</v>
      </c>
      <c r="N121" s="32" t="s">
        <v>895</v>
      </c>
      <c r="O121" s="33">
        <v>1</v>
      </c>
      <c r="P121" s="33">
        <v>1</v>
      </c>
      <c r="Q121" s="32"/>
      <c r="S121" s="2">
        <f t="shared" si="35"/>
        <v>0</v>
      </c>
      <c r="T121" s="2">
        <f t="shared" si="36"/>
        <v>0</v>
      </c>
      <c r="U121" s="2">
        <f t="shared" si="37"/>
        <v>0</v>
      </c>
      <c r="V121" s="2">
        <f t="shared" si="38"/>
        <v>0</v>
      </c>
      <c r="W121" s="2">
        <f t="shared" si="39"/>
        <v>0</v>
      </c>
      <c r="X121" s="2">
        <f t="shared" si="40"/>
        <v>0</v>
      </c>
      <c r="Y121" s="2">
        <f t="shared" si="41"/>
        <v>0</v>
      </c>
      <c r="Z121" s="2">
        <f t="shared" si="42"/>
        <v>0</v>
      </c>
      <c r="AA121" s="2">
        <f t="shared" si="43"/>
        <v>0</v>
      </c>
      <c r="AB121" s="2">
        <f t="shared" si="44"/>
        <v>0</v>
      </c>
      <c r="AD121" s="2">
        <f t="shared" si="45"/>
        <v>1</v>
      </c>
      <c r="AE121" s="2">
        <f t="shared" si="46"/>
        <v>0</v>
      </c>
      <c r="AF121" s="2">
        <f t="shared" si="31"/>
        <v>0</v>
      </c>
      <c r="AG121" s="2">
        <f t="shared" si="32"/>
        <v>0</v>
      </c>
      <c r="AH121" s="2">
        <f t="shared" si="33"/>
        <v>0</v>
      </c>
      <c r="AI121" s="2">
        <f t="shared" si="34"/>
        <v>0</v>
      </c>
    </row>
    <row r="122" spans="1:35" ht="14.25" customHeight="1" x14ac:dyDescent="0.25">
      <c r="A122" s="31">
        <v>1</v>
      </c>
      <c r="B122" s="31">
        <v>2</v>
      </c>
      <c r="C122" s="31">
        <v>1</v>
      </c>
      <c r="D122" s="32" t="s">
        <v>531</v>
      </c>
      <c r="E122" s="32" t="s">
        <v>470</v>
      </c>
      <c r="F122" s="32" t="s">
        <v>778</v>
      </c>
      <c r="G122" s="32" t="s">
        <v>779</v>
      </c>
      <c r="H122" s="32" t="s">
        <v>165</v>
      </c>
      <c r="I122" s="31" t="s">
        <v>33</v>
      </c>
      <c r="J122" s="31">
        <v>99</v>
      </c>
      <c r="K122" s="31" t="s">
        <v>318</v>
      </c>
      <c r="L122" s="31">
        <v>13</v>
      </c>
      <c r="M122" s="32" t="s">
        <v>867</v>
      </c>
      <c r="N122" s="32" t="s">
        <v>895</v>
      </c>
      <c r="O122" s="33">
        <v>1</v>
      </c>
      <c r="P122" s="33">
        <v>1</v>
      </c>
      <c r="Q122" s="32"/>
      <c r="S122" s="2">
        <f t="shared" si="35"/>
        <v>0</v>
      </c>
      <c r="T122" s="2">
        <f t="shared" si="36"/>
        <v>0</v>
      </c>
      <c r="U122" s="2">
        <f t="shared" si="37"/>
        <v>0</v>
      </c>
      <c r="V122" s="2">
        <f t="shared" si="38"/>
        <v>0</v>
      </c>
      <c r="W122" s="2">
        <f t="shared" si="39"/>
        <v>0</v>
      </c>
      <c r="X122" s="2">
        <f t="shared" si="40"/>
        <v>0</v>
      </c>
      <c r="Y122" s="2">
        <f t="shared" si="41"/>
        <v>0</v>
      </c>
      <c r="Z122" s="2">
        <f t="shared" si="42"/>
        <v>0</v>
      </c>
      <c r="AA122" s="2">
        <f t="shared" si="43"/>
        <v>0</v>
      </c>
      <c r="AB122" s="2">
        <f t="shared" si="44"/>
        <v>0</v>
      </c>
      <c r="AD122" s="2">
        <f t="shared" si="45"/>
        <v>1</v>
      </c>
      <c r="AE122" s="2">
        <f t="shared" si="46"/>
        <v>0</v>
      </c>
      <c r="AF122" s="2">
        <f t="shared" si="31"/>
        <v>0</v>
      </c>
      <c r="AG122" s="2">
        <f t="shared" si="32"/>
        <v>0</v>
      </c>
      <c r="AH122" s="2">
        <f t="shared" si="33"/>
        <v>0</v>
      </c>
      <c r="AI122" s="2">
        <f t="shared" si="34"/>
        <v>0</v>
      </c>
    </row>
    <row r="123" spans="1:35" ht="14.25" customHeight="1" x14ac:dyDescent="0.25">
      <c r="A123" s="31">
        <v>1</v>
      </c>
      <c r="B123" s="31">
        <v>2</v>
      </c>
      <c r="C123" s="31">
        <v>1</v>
      </c>
      <c r="D123" s="32" t="s">
        <v>531</v>
      </c>
      <c r="E123" s="32" t="s">
        <v>470</v>
      </c>
      <c r="F123" s="32" t="s">
        <v>780</v>
      </c>
      <c r="G123" s="32" t="s">
        <v>820</v>
      </c>
      <c r="H123" s="32" t="s">
        <v>165</v>
      </c>
      <c r="I123" s="31" t="s">
        <v>538</v>
      </c>
      <c r="J123" s="31">
        <v>3</v>
      </c>
      <c r="K123" s="31" t="s">
        <v>318</v>
      </c>
      <c r="L123" s="31">
        <v>13</v>
      </c>
      <c r="M123" s="32" t="s">
        <v>868</v>
      </c>
      <c r="N123" s="32" t="s">
        <v>895</v>
      </c>
      <c r="O123" s="33">
        <v>1</v>
      </c>
      <c r="P123" s="33">
        <v>1</v>
      </c>
      <c r="Q123" s="32"/>
      <c r="S123" s="2">
        <f t="shared" si="35"/>
        <v>0</v>
      </c>
      <c r="T123" s="2">
        <f t="shared" si="36"/>
        <v>0</v>
      </c>
      <c r="U123" s="2">
        <f t="shared" si="37"/>
        <v>1</v>
      </c>
      <c r="V123" s="2">
        <f t="shared" si="38"/>
        <v>0</v>
      </c>
      <c r="W123" s="2">
        <f t="shared" si="39"/>
        <v>0</v>
      </c>
      <c r="X123" s="2">
        <f t="shared" si="40"/>
        <v>0</v>
      </c>
      <c r="Y123" s="2">
        <f t="shared" si="41"/>
        <v>0</v>
      </c>
      <c r="Z123" s="2">
        <f t="shared" si="42"/>
        <v>0</v>
      </c>
      <c r="AA123" s="2">
        <f t="shared" si="43"/>
        <v>0</v>
      </c>
      <c r="AB123" s="2">
        <f t="shared" si="44"/>
        <v>0</v>
      </c>
      <c r="AD123" s="2">
        <f t="shared" si="45"/>
        <v>1</v>
      </c>
      <c r="AE123" s="2">
        <f t="shared" si="46"/>
        <v>0</v>
      </c>
      <c r="AF123" s="2">
        <f t="shared" si="31"/>
        <v>0</v>
      </c>
      <c r="AG123" s="2">
        <f t="shared" si="32"/>
        <v>0</v>
      </c>
      <c r="AH123" s="2">
        <f t="shared" si="33"/>
        <v>0</v>
      </c>
      <c r="AI123" s="2">
        <f t="shared" si="34"/>
        <v>0</v>
      </c>
    </row>
    <row r="124" spans="1:35" ht="14.25" customHeight="1" x14ac:dyDescent="0.25">
      <c r="A124" s="31">
        <v>0</v>
      </c>
      <c r="B124" s="31">
        <v>2</v>
      </c>
      <c r="C124" s="31">
        <v>1</v>
      </c>
      <c r="D124" s="32" t="s">
        <v>663</v>
      </c>
      <c r="E124" s="32" t="s">
        <v>35</v>
      </c>
      <c r="F124" s="32" t="s">
        <v>635</v>
      </c>
      <c r="G124" s="32" t="s">
        <v>688</v>
      </c>
      <c r="H124" s="32" t="s">
        <v>165</v>
      </c>
      <c r="I124" s="31" t="s">
        <v>636</v>
      </c>
      <c r="J124" s="31">
        <v>99</v>
      </c>
      <c r="K124" s="31" t="s">
        <v>318</v>
      </c>
      <c r="L124" s="31" t="s">
        <v>318</v>
      </c>
      <c r="M124" s="32" t="s">
        <v>269</v>
      </c>
      <c r="N124" s="32" t="s">
        <v>901</v>
      </c>
      <c r="O124" s="33">
        <v>1</v>
      </c>
      <c r="P124" s="33"/>
      <c r="Q124" s="32"/>
      <c r="S124" s="2">
        <f t="shared" si="35"/>
        <v>0</v>
      </c>
      <c r="T124" s="2">
        <f t="shared" si="36"/>
        <v>0</v>
      </c>
      <c r="U124" s="2">
        <f t="shared" si="37"/>
        <v>0</v>
      </c>
      <c r="V124" s="2">
        <f t="shared" si="38"/>
        <v>0</v>
      </c>
      <c r="W124" s="2">
        <f t="shared" si="39"/>
        <v>0</v>
      </c>
      <c r="X124" s="2">
        <f t="shared" si="40"/>
        <v>0</v>
      </c>
      <c r="Y124" s="2">
        <f t="shared" si="41"/>
        <v>0</v>
      </c>
      <c r="Z124" s="2">
        <f t="shared" si="42"/>
        <v>0</v>
      </c>
      <c r="AA124" s="2">
        <f t="shared" si="43"/>
        <v>0</v>
      </c>
      <c r="AB124" s="2">
        <f t="shared" si="44"/>
        <v>0</v>
      </c>
      <c r="AD124" s="2">
        <f t="shared" si="45"/>
        <v>0</v>
      </c>
      <c r="AE124" s="2">
        <f t="shared" si="46"/>
        <v>1</v>
      </c>
      <c r="AF124" s="2">
        <f t="shared" si="31"/>
        <v>0</v>
      </c>
      <c r="AG124" s="2">
        <f t="shared" si="32"/>
        <v>1</v>
      </c>
      <c r="AH124" s="2">
        <f t="shared" si="33"/>
        <v>0</v>
      </c>
      <c r="AI124" s="2">
        <f t="shared" si="34"/>
        <v>1</v>
      </c>
    </row>
    <row r="125" spans="1:35" ht="14.25" customHeight="1" x14ac:dyDescent="0.25">
      <c r="A125" s="31">
        <v>0</v>
      </c>
      <c r="B125" s="31">
        <v>2</v>
      </c>
      <c r="C125" s="31">
        <v>1</v>
      </c>
      <c r="D125" s="32" t="s">
        <v>938</v>
      </c>
      <c r="E125" s="32" t="s">
        <v>470</v>
      </c>
      <c r="F125" s="32" t="s">
        <v>939</v>
      </c>
      <c r="G125" s="32" t="s">
        <v>38</v>
      </c>
      <c r="H125" s="32" t="s">
        <v>165</v>
      </c>
      <c r="I125" s="31" t="s">
        <v>940</v>
      </c>
      <c r="J125" s="31">
        <v>1</v>
      </c>
      <c r="K125" s="31" t="s">
        <v>378</v>
      </c>
      <c r="L125" s="31"/>
      <c r="M125" s="32"/>
      <c r="N125" s="32" t="s">
        <v>895</v>
      </c>
      <c r="O125" s="33">
        <v>1</v>
      </c>
      <c r="P125" s="33">
        <v>1</v>
      </c>
      <c r="Q125" s="32"/>
      <c r="S125" s="2">
        <f t="shared" si="35"/>
        <v>1</v>
      </c>
      <c r="T125" s="2">
        <f t="shared" si="36"/>
        <v>0</v>
      </c>
      <c r="U125" s="2">
        <f t="shared" si="37"/>
        <v>0</v>
      </c>
      <c r="V125" s="2">
        <f t="shared" si="38"/>
        <v>0</v>
      </c>
      <c r="W125" s="2">
        <f t="shared" si="39"/>
        <v>0</v>
      </c>
      <c r="X125" s="2">
        <f t="shared" si="40"/>
        <v>0</v>
      </c>
      <c r="Y125" s="2">
        <f t="shared" si="41"/>
        <v>0</v>
      </c>
      <c r="Z125" s="2">
        <f t="shared" si="42"/>
        <v>0</v>
      </c>
      <c r="AA125" s="2">
        <f t="shared" si="43"/>
        <v>0</v>
      </c>
      <c r="AB125" s="2">
        <f t="shared" si="44"/>
        <v>0</v>
      </c>
      <c r="AD125" s="2">
        <f t="shared" si="45"/>
        <v>1</v>
      </c>
      <c r="AE125" s="2">
        <f t="shared" si="46"/>
        <v>0</v>
      </c>
      <c r="AF125" s="2">
        <f t="shared" si="31"/>
        <v>1</v>
      </c>
      <c r="AG125" s="2">
        <f t="shared" si="32"/>
        <v>0</v>
      </c>
      <c r="AH125" s="2">
        <f t="shared" si="33"/>
        <v>1</v>
      </c>
      <c r="AI125" s="2">
        <f t="shared" si="34"/>
        <v>0</v>
      </c>
    </row>
    <row r="126" spans="1:35" ht="14.25" customHeight="1" x14ac:dyDescent="0.25">
      <c r="A126" s="31">
        <v>0</v>
      </c>
      <c r="B126" s="31">
        <v>2</v>
      </c>
      <c r="C126" s="31">
        <v>1</v>
      </c>
      <c r="D126" s="32" t="s">
        <v>761</v>
      </c>
      <c r="E126" s="32" t="s">
        <v>470</v>
      </c>
      <c r="F126" s="32" t="s">
        <v>762</v>
      </c>
      <c r="G126" s="32" t="s">
        <v>821</v>
      </c>
      <c r="H126" s="32" t="s">
        <v>165</v>
      </c>
      <c r="I126" s="31" t="s">
        <v>763</v>
      </c>
      <c r="J126" s="31">
        <v>99</v>
      </c>
      <c r="K126" s="31" t="s">
        <v>320</v>
      </c>
      <c r="L126" s="31"/>
      <c r="M126" s="32" t="s">
        <v>708</v>
      </c>
      <c r="N126" s="32" t="s">
        <v>895</v>
      </c>
      <c r="O126" s="33">
        <v>1</v>
      </c>
      <c r="P126" s="33">
        <v>1</v>
      </c>
      <c r="Q126" s="32"/>
      <c r="S126" s="2">
        <f t="shared" si="35"/>
        <v>0</v>
      </c>
      <c r="T126" s="2">
        <f t="shared" si="36"/>
        <v>0</v>
      </c>
      <c r="U126" s="2">
        <f t="shared" si="37"/>
        <v>0</v>
      </c>
      <c r="V126" s="2">
        <f t="shared" si="38"/>
        <v>0</v>
      </c>
      <c r="W126" s="2">
        <f t="shared" si="39"/>
        <v>0</v>
      </c>
      <c r="X126" s="2">
        <f t="shared" si="40"/>
        <v>0</v>
      </c>
      <c r="Y126" s="2">
        <f t="shared" si="41"/>
        <v>0</v>
      </c>
      <c r="Z126" s="2">
        <f t="shared" si="42"/>
        <v>0</v>
      </c>
      <c r="AA126" s="2">
        <f t="shared" si="43"/>
        <v>0</v>
      </c>
      <c r="AB126" s="2">
        <f t="shared" si="44"/>
        <v>0</v>
      </c>
      <c r="AD126" s="2">
        <f t="shared" si="45"/>
        <v>1</v>
      </c>
      <c r="AE126" s="2">
        <f t="shared" si="46"/>
        <v>0</v>
      </c>
      <c r="AF126" s="2">
        <f t="shared" si="31"/>
        <v>1</v>
      </c>
      <c r="AG126" s="2">
        <f t="shared" si="32"/>
        <v>0</v>
      </c>
      <c r="AH126" s="2">
        <f t="shared" si="33"/>
        <v>1</v>
      </c>
      <c r="AI126" s="2">
        <f t="shared" si="34"/>
        <v>0</v>
      </c>
    </row>
    <row r="127" spans="1:35" ht="14.25" customHeight="1" x14ac:dyDescent="0.25">
      <c r="A127" s="31">
        <v>0</v>
      </c>
      <c r="B127" s="31">
        <v>2</v>
      </c>
      <c r="C127" s="31">
        <v>1</v>
      </c>
      <c r="D127" s="32" t="s">
        <v>680</v>
      </c>
      <c r="E127" s="32" t="s">
        <v>211</v>
      </c>
      <c r="F127" s="32" t="s">
        <v>223</v>
      </c>
      <c r="G127" s="32" t="s">
        <v>96</v>
      </c>
      <c r="H127" s="32" t="s">
        <v>165</v>
      </c>
      <c r="I127" s="31" t="s">
        <v>486</v>
      </c>
      <c r="J127" s="31">
        <v>3</v>
      </c>
      <c r="K127" s="31" t="s">
        <v>319</v>
      </c>
      <c r="L127" s="31" t="s">
        <v>318</v>
      </c>
      <c r="M127" s="32" t="s">
        <v>269</v>
      </c>
      <c r="N127" s="32" t="s">
        <v>895</v>
      </c>
      <c r="O127" s="33">
        <v>1</v>
      </c>
      <c r="P127" s="33">
        <v>1</v>
      </c>
      <c r="Q127" s="32"/>
      <c r="S127" s="2">
        <f t="shared" si="35"/>
        <v>0</v>
      </c>
      <c r="T127" s="2">
        <f t="shared" si="36"/>
        <v>0</v>
      </c>
      <c r="U127" s="2">
        <f t="shared" si="37"/>
        <v>1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D127" s="2">
        <f t="shared" si="45"/>
        <v>1</v>
      </c>
      <c r="AE127" s="2">
        <f t="shared" si="46"/>
        <v>0</v>
      </c>
      <c r="AF127" s="2">
        <f t="shared" si="31"/>
        <v>1</v>
      </c>
      <c r="AG127" s="2">
        <f t="shared" si="32"/>
        <v>0</v>
      </c>
      <c r="AH127" s="2">
        <f t="shared" si="33"/>
        <v>1</v>
      </c>
      <c r="AI127" s="2">
        <f t="shared" si="34"/>
        <v>0</v>
      </c>
    </row>
    <row r="128" spans="1:35" ht="14.25" customHeight="1" x14ac:dyDescent="0.25">
      <c r="A128" s="31">
        <v>1</v>
      </c>
      <c r="B128" s="31">
        <v>2</v>
      </c>
      <c r="C128" s="31">
        <v>1</v>
      </c>
      <c r="D128" s="32" t="s">
        <v>680</v>
      </c>
      <c r="E128" s="32" t="s">
        <v>211</v>
      </c>
      <c r="F128" s="32" t="s">
        <v>651</v>
      </c>
      <c r="G128" s="32" t="s">
        <v>92</v>
      </c>
      <c r="H128" s="32" t="s">
        <v>165</v>
      </c>
      <c r="I128" s="31" t="s">
        <v>652</v>
      </c>
      <c r="J128" s="31">
        <v>2</v>
      </c>
      <c r="K128" s="31" t="s">
        <v>319</v>
      </c>
      <c r="L128" s="31" t="s">
        <v>318</v>
      </c>
      <c r="M128" s="32" t="s">
        <v>269</v>
      </c>
      <c r="N128" s="32" t="s">
        <v>895</v>
      </c>
      <c r="O128" s="33">
        <v>1</v>
      </c>
      <c r="P128" s="33">
        <v>1</v>
      </c>
      <c r="Q128" s="32"/>
      <c r="S128" s="2">
        <f t="shared" si="35"/>
        <v>0</v>
      </c>
      <c r="T128" s="2">
        <f t="shared" si="36"/>
        <v>1</v>
      </c>
      <c r="U128" s="2">
        <f t="shared" si="37"/>
        <v>0</v>
      </c>
      <c r="V128" s="2">
        <f t="shared" si="38"/>
        <v>0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D128" s="2">
        <f t="shared" si="45"/>
        <v>1</v>
      </c>
      <c r="AE128" s="2">
        <f t="shared" si="46"/>
        <v>0</v>
      </c>
      <c r="AF128" s="2">
        <f t="shared" si="31"/>
        <v>0</v>
      </c>
      <c r="AG128" s="2">
        <f t="shared" si="32"/>
        <v>0</v>
      </c>
      <c r="AH128" s="2">
        <f t="shared" si="33"/>
        <v>0</v>
      </c>
      <c r="AI128" s="2">
        <f t="shared" si="34"/>
        <v>0</v>
      </c>
    </row>
    <row r="129" spans="1:35" ht="14.25" customHeight="1" x14ac:dyDescent="0.25">
      <c r="A129" s="31">
        <v>1</v>
      </c>
      <c r="B129" s="31">
        <v>2</v>
      </c>
      <c r="C129" s="31">
        <v>1</v>
      </c>
      <c r="D129" s="32" t="s">
        <v>680</v>
      </c>
      <c r="E129" s="32" t="s">
        <v>211</v>
      </c>
      <c r="F129" s="32" t="s">
        <v>650</v>
      </c>
      <c r="G129" s="32" t="s">
        <v>40</v>
      </c>
      <c r="H129" s="32" t="s">
        <v>165</v>
      </c>
      <c r="I129" s="31" t="s">
        <v>653</v>
      </c>
      <c r="J129" s="31">
        <v>4</v>
      </c>
      <c r="K129" s="31" t="s">
        <v>319</v>
      </c>
      <c r="L129" s="31" t="s">
        <v>318</v>
      </c>
      <c r="M129" s="32" t="s">
        <v>269</v>
      </c>
      <c r="N129" s="32" t="s">
        <v>895</v>
      </c>
      <c r="O129" s="33">
        <v>1</v>
      </c>
      <c r="P129" s="33">
        <v>1</v>
      </c>
      <c r="Q129" s="32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D129" s="2">
        <f t="shared" si="45"/>
        <v>1</v>
      </c>
      <c r="AE129" s="2">
        <f t="shared" si="46"/>
        <v>0</v>
      </c>
      <c r="AF129" s="2">
        <f t="shared" si="31"/>
        <v>0</v>
      </c>
      <c r="AG129" s="2">
        <f t="shared" si="32"/>
        <v>0</v>
      </c>
      <c r="AH129" s="2">
        <f t="shared" si="33"/>
        <v>0</v>
      </c>
      <c r="AI129" s="2">
        <f t="shared" si="34"/>
        <v>0</v>
      </c>
    </row>
    <row r="130" spans="1:35" ht="14.25" customHeight="1" x14ac:dyDescent="0.25">
      <c r="A130" s="41">
        <v>0</v>
      </c>
      <c r="B130" s="41">
        <v>2</v>
      </c>
      <c r="C130" s="41">
        <v>1</v>
      </c>
      <c r="D130" s="42" t="s">
        <v>976</v>
      </c>
      <c r="E130" s="42" t="s">
        <v>470</v>
      </c>
      <c r="F130" s="42" t="s">
        <v>977</v>
      </c>
      <c r="G130" s="42"/>
      <c r="H130" s="42" t="s">
        <v>165</v>
      </c>
      <c r="I130" s="41" t="s">
        <v>978</v>
      </c>
      <c r="J130" s="41"/>
      <c r="K130" s="41" t="s">
        <v>378</v>
      </c>
      <c r="L130" s="41"/>
      <c r="M130" s="42"/>
      <c r="N130" s="42"/>
      <c r="O130" s="43"/>
      <c r="P130" s="43">
        <v>1</v>
      </c>
      <c r="Q130" s="42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D130" s="2">
        <f t="shared" si="45"/>
        <v>0</v>
      </c>
      <c r="AE130" s="2">
        <f t="shared" si="46"/>
        <v>0</v>
      </c>
      <c r="AF130" s="2">
        <f t="shared" si="31"/>
        <v>0</v>
      </c>
      <c r="AG130" s="2">
        <f t="shared" si="32"/>
        <v>0</v>
      </c>
      <c r="AH130" s="2">
        <f t="shared" si="33"/>
        <v>1</v>
      </c>
      <c r="AI130" s="2">
        <f t="shared" si="34"/>
        <v>0</v>
      </c>
    </row>
    <row r="131" spans="1:35" ht="14.25" customHeight="1" x14ac:dyDescent="0.25">
      <c r="A131" s="34">
        <v>0</v>
      </c>
      <c r="B131" s="34">
        <v>2</v>
      </c>
      <c r="C131" s="34">
        <v>1</v>
      </c>
      <c r="D131" s="35" t="s">
        <v>461</v>
      </c>
      <c r="E131" s="35" t="s">
        <v>468</v>
      </c>
      <c r="F131" s="35" t="s">
        <v>474</v>
      </c>
      <c r="G131" s="35" t="s">
        <v>475</v>
      </c>
      <c r="H131" s="35" t="s">
        <v>165</v>
      </c>
      <c r="I131" s="34" t="s">
        <v>409</v>
      </c>
      <c r="J131" s="34">
        <v>99</v>
      </c>
      <c r="K131" s="34" t="s">
        <v>320</v>
      </c>
      <c r="L131" s="34" t="s">
        <v>318</v>
      </c>
      <c r="M131" s="35" t="s">
        <v>269</v>
      </c>
      <c r="N131" s="35" t="s">
        <v>931</v>
      </c>
      <c r="O131" s="36"/>
      <c r="P131" s="36"/>
      <c r="Q131" s="35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D131" s="2">
        <f t="shared" si="45"/>
        <v>0</v>
      </c>
      <c r="AE131" s="2">
        <f t="shared" si="46"/>
        <v>0</v>
      </c>
      <c r="AF131" s="2">
        <f t="shared" si="31"/>
        <v>0</v>
      </c>
      <c r="AG131" s="2">
        <f t="shared" si="32"/>
        <v>0</v>
      </c>
      <c r="AH131" s="2">
        <f t="shared" si="33"/>
        <v>0</v>
      </c>
      <c r="AI131" s="2">
        <f t="shared" si="34"/>
        <v>1</v>
      </c>
    </row>
    <row r="132" spans="1:35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1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D132" s="2">
        <f t="shared" si="45"/>
        <v>0</v>
      </c>
      <c r="AE132" s="2">
        <f t="shared" si="46"/>
        <v>0</v>
      </c>
      <c r="AF132" s="2">
        <f t="shared" si="31"/>
        <v>0</v>
      </c>
      <c r="AG132" s="2">
        <f t="shared" si="32"/>
        <v>0</v>
      </c>
      <c r="AH132" s="2">
        <f t="shared" si="33"/>
        <v>0</v>
      </c>
      <c r="AI132" s="2">
        <f t="shared" si="34"/>
        <v>1</v>
      </c>
    </row>
    <row r="133" spans="1:35" ht="14.25" customHeight="1" x14ac:dyDescent="0.25">
      <c r="A133" s="31">
        <v>0</v>
      </c>
      <c r="B133" s="31">
        <v>2</v>
      </c>
      <c r="C133" s="31">
        <v>1</v>
      </c>
      <c r="D133" s="32" t="s">
        <v>941</v>
      </c>
      <c r="E133" s="32" t="s">
        <v>942</v>
      </c>
      <c r="F133" s="32" t="s">
        <v>943</v>
      </c>
      <c r="G133" s="32"/>
      <c r="H133" s="32" t="s">
        <v>165</v>
      </c>
      <c r="I133" s="31" t="s">
        <v>33</v>
      </c>
      <c r="J133" s="31"/>
      <c r="K133" s="31" t="s">
        <v>378</v>
      </c>
      <c r="L133" s="31"/>
      <c r="M133" s="32"/>
      <c r="N133" s="32" t="s">
        <v>895</v>
      </c>
      <c r="O133" s="33">
        <v>1</v>
      </c>
      <c r="P133" s="33">
        <v>1</v>
      </c>
      <c r="Q133" s="32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D133" s="2">
        <f t="shared" si="45"/>
        <v>1</v>
      </c>
      <c r="AE133" s="2">
        <f t="shared" si="46"/>
        <v>0</v>
      </c>
      <c r="AF133" s="2">
        <f t="shared" si="31"/>
        <v>1</v>
      </c>
      <c r="AG133" s="2">
        <f t="shared" si="32"/>
        <v>0</v>
      </c>
      <c r="AH133" s="2">
        <f t="shared" si="33"/>
        <v>1</v>
      </c>
      <c r="AI133" s="2">
        <f t="shared" si="34"/>
        <v>0</v>
      </c>
    </row>
    <row r="134" spans="1:35" ht="14.25" customHeight="1" x14ac:dyDescent="0.25">
      <c r="A134" s="31">
        <v>0</v>
      </c>
      <c r="B134" s="31">
        <v>2</v>
      </c>
      <c r="C134" s="31">
        <v>1</v>
      </c>
      <c r="D134" s="32" t="s">
        <v>916</v>
      </c>
      <c r="E134" s="32" t="s">
        <v>35</v>
      </c>
      <c r="F134" s="32" t="s">
        <v>917</v>
      </c>
      <c r="G134" s="32"/>
      <c r="H134" s="32" t="s">
        <v>165</v>
      </c>
      <c r="I134" s="31" t="s">
        <v>918</v>
      </c>
      <c r="J134" s="31">
        <v>99</v>
      </c>
      <c r="K134" s="31" t="s">
        <v>378</v>
      </c>
      <c r="L134" s="31"/>
      <c r="M134" s="32"/>
      <c r="N134" s="32" t="s">
        <v>895</v>
      </c>
      <c r="O134" s="33">
        <v>1</v>
      </c>
      <c r="P134" s="33">
        <v>1</v>
      </c>
      <c r="Q134" s="32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D134" s="2">
        <f t="shared" si="45"/>
        <v>1</v>
      </c>
      <c r="AE134" s="2">
        <f t="shared" si="46"/>
        <v>0</v>
      </c>
      <c r="AF134" s="2">
        <f t="shared" si="31"/>
        <v>1</v>
      </c>
      <c r="AG134" s="2">
        <f t="shared" si="32"/>
        <v>0</v>
      </c>
      <c r="AH134" s="2">
        <f t="shared" si="33"/>
        <v>1</v>
      </c>
      <c r="AI134" s="2">
        <f t="shared" si="34"/>
        <v>0</v>
      </c>
    </row>
    <row r="135" spans="1:35" ht="14.25" customHeight="1" x14ac:dyDescent="0.25">
      <c r="A135" s="31">
        <v>0</v>
      </c>
      <c r="B135" s="31">
        <v>2</v>
      </c>
      <c r="C135" s="31">
        <v>1</v>
      </c>
      <c r="D135" s="32" t="s">
        <v>552</v>
      </c>
      <c r="E135" s="32" t="s">
        <v>211</v>
      </c>
      <c r="F135" s="32" t="s">
        <v>553</v>
      </c>
      <c r="G135" s="32" t="s">
        <v>554</v>
      </c>
      <c r="H135" s="32" t="s">
        <v>165</v>
      </c>
      <c r="I135" s="31" t="s">
        <v>33</v>
      </c>
      <c r="J135" s="31">
        <v>99</v>
      </c>
      <c r="K135" s="31" t="s">
        <v>321</v>
      </c>
      <c r="L135" s="31">
        <v>8</v>
      </c>
      <c r="M135" s="32" t="s">
        <v>864</v>
      </c>
      <c r="N135" s="32" t="s">
        <v>895</v>
      </c>
      <c r="O135" s="33">
        <v>1</v>
      </c>
      <c r="P135" s="33">
        <v>1</v>
      </c>
      <c r="Q135" s="32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D135" s="2">
        <f t="shared" si="45"/>
        <v>1</v>
      </c>
      <c r="AE135" s="2">
        <f t="shared" si="46"/>
        <v>0</v>
      </c>
      <c r="AF135" s="2">
        <f t="shared" si="31"/>
        <v>1</v>
      </c>
      <c r="AG135" s="2">
        <f t="shared" si="32"/>
        <v>0</v>
      </c>
      <c r="AH135" s="2">
        <f t="shared" si="33"/>
        <v>1</v>
      </c>
      <c r="AI135" s="2">
        <f t="shared" si="34"/>
        <v>0</v>
      </c>
    </row>
    <row r="136" spans="1:35" ht="14.25" customHeight="1" x14ac:dyDescent="0.25">
      <c r="A136" s="31">
        <v>0</v>
      </c>
      <c r="B136" s="31">
        <v>2</v>
      </c>
      <c r="C136" s="31">
        <v>1</v>
      </c>
      <c r="D136" s="32" t="s">
        <v>225</v>
      </c>
      <c r="E136" s="32" t="s">
        <v>44</v>
      </c>
      <c r="F136" s="32" t="s">
        <v>825</v>
      </c>
      <c r="G136" s="32" t="s">
        <v>130</v>
      </c>
      <c r="H136" s="32" t="s">
        <v>165</v>
      </c>
      <c r="I136" s="31" t="s">
        <v>226</v>
      </c>
      <c r="J136" s="31">
        <v>10</v>
      </c>
      <c r="K136" s="31" t="s">
        <v>321</v>
      </c>
      <c r="L136" s="31">
        <v>5</v>
      </c>
      <c r="M136" s="32" t="s">
        <v>269</v>
      </c>
      <c r="N136" s="32" t="s">
        <v>895</v>
      </c>
      <c r="O136" s="33">
        <v>1</v>
      </c>
      <c r="P136" s="33">
        <v>1</v>
      </c>
      <c r="Q136" s="32"/>
      <c r="S136" s="2">
        <f t="shared" si="35"/>
        <v>0</v>
      </c>
      <c r="T136" s="2">
        <f t="shared" si="36"/>
        <v>0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1</v>
      </c>
      <c r="AD136" s="2">
        <f t="shared" si="45"/>
        <v>1</v>
      </c>
      <c r="AE136" s="2">
        <f t="shared" si="46"/>
        <v>0</v>
      </c>
      <c r="AF136" s="2">
        <f t="shared" ref="AF136:AF199" si="47">+O136*P136*(1-A136)</f>
        <v>1</v>
      </c>
      <c r="AG136" s="2">
        <f t="shared" ref="AG136:AG199" si="48">O136*(1-P136)*(1-A136)</f>
        <v>0</v>
      </c>
      <c r="AH136" s="2">
        <f t="shared" ref="AH136:AH199" si="49">+P136*(1-A136)</f>
        <v>1</v>
      </c>
      <c r="AI136" s="2">
        <f t="shared" ref="AI136:AI199" si="50">+(1-A136)*(1-P136)</f>
        <v>0</v>
      </c>
    </row>
    <row r="137" spans="1:35" ht="14.25" customHeight="1" x14ac:dyDescent="0.25">
      <c r="A137" s="31">
        <v>0</v>
      </c>
      <c r="B137" s="31">
        <v>2</v>
      </c>
      <c r="C137" s="31">
        <v>1</v>
      </c>
      <c r="D137" s="32" t="s">
        <v>352</v>
      </c>
      <c r="E137" s="32" t="s">
        <v>470</v>
      </c>
      <c r="F137" s="32" t="s">
        <v>353</v>
      </c>
      <c r="G137" s="32" t="s">
        <v>243</v>
      </c>
      <c r="H137" s="32" t="s">
        <v>165</v>
      </c>
      <c r="I137" s="31" t="s">
        <v>488</v>
      </c>
      <c r="J137" s="31">
        <v>9</v>
      </c>
      <c r="K137" s="31" t="s">
        <v>320</v>
      </c>
      <c r="L137" s="31">
        <v>11</v>
      </c>
      <c r="M137" s="32" t="s">
        <v>869</v>
      </c>
      <c r="N137" s="32" t="s">
        <v>901</v>
      </c>
      <c r="O137" s="33">
        <v>1</v>
      </c>
      <c r="P137" s="33"/>
      <c r="Q137" s="32"/>
      <c r="S137" s="2">
        <f t="shared" si="35"/>
        <v>0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1</v>
      </c>
      <c r="AB137" s="2">
        <f t="shared" si="44"/>
        <v>0</v>
      </c>
      <c r="AD137" s="2">
        <f t="shared" si="45"/>
        <v>0</v>
      </c>
      <c r="AE137" s="2">
        <f t="shared" si="46"/>
        <v>1</v>
      </c>
      <c r="AF137" s="2">
        <f t="shared" si="47"/>
        <v>0</v>
      </c>
      <c r="AG137" s="2">
        <f t="shared" si="48"/>
        <v>1</v>
      </c>
      <c r="AH137" s="2">
        <f t="shared" si="49"/>
        <v>0</v>
      </c>
      <c r="AI137" s="2">
        <f t="shared" si="50"/>
        <v>1</v>
      </c>
    </row>
    <row r="138" spans="1:35" ht="14.25" customHeight="1" x14ac:dyDescent="0.25">
      <c r="A138" s="31">
        <v>1</v>
      </c>
      <c r="B138" s="31">
        <v>2</v>
      </c>
      <c r="C138" s="31">
        <v>1</v>
      </c>
      <c r="D138" s="32" t="s">
        <v>352</v>
      </c>
      <c r="E138" s="32" t="s">
        <v>470</v>
      </c>
      <c r="F138" s="32" t="s">
        <v>581</v>
      </c>
      <c r="G138" s="32" t="s">
        <v>555</v>
      </c>
      <c r="H138" s="32" t="s">
        <v>165</v>
      </c>
      <c r="I138" s="31" t="s">
        <v>556</v>
      </c>
      <c r="J138" s="31">
        <v>99</v>
      </c>
      <c r="K138" s="31" t="s">
        <v>320</v>
      </c>
      <c r="L138" s="31">
        <v>11</v>
      </c>
      <c r="M138" s="32" t="s">
        <v>870</v>
      </c>
      <c r="N138" s="32" t="s">
        <v>901</v>
      </c>
      <c r="O138" s="33">
        <v>1</v>
      </c>
      <c r="P138" s="33"/>
      <c r="Q138" s="32"/>
      <c r="S138" s="2">
        <f t="shared" si="35"/>
        <v>0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D138" s="2">
        <f t="shared" si="45"/>
        <v>0</v>
      </c>
      <c r="AE138" s="2">
        <f t="shared" si="46"/>
        <v>1</v>
      </c>
      <c r="AF138" s="2">
        <f t="shared" si="47"/>
        <v>0</v>
      </c>
      <c r="AG138" s="2">
        <f t="shared" si="48"/>
        <v>0</v>
      </c>
      <c r="AH138" s="2">
        <f t="shared" si="49"/>
        <v>0</v>
      </c>
      <c r="AI138" s="2">
        <f t="shared" si="50"/>
        <v>0</v>
      </c>
    </row>
    <row r="139" spans="1:35" ht="14.25" customHeight="1" x14ac:dyDescent="0.25">
      <c r="A139" s="31">
        <v>0</v>
      </c>
      <c r="B139" s="31">
        <v>2</v>
      </c>
      <c r="C139" s="31">
        <v>1</v>
      </c>
      <c r="D139" s="32" t="s">
        <v>247</v>
      </c>
      <c r="E139" s="32" t="s">
        <v>35</v>
      </c>
      <c r="F139" s="32" t="s">
        <v>209</v>
      </c>
      <c r="G139" s="32" t="s">
        <v>93</v>
      </c>
      <c r="H139" s="32" t="s">
        <v>165</v>
      </c>
      <c r="I139" s="31" t="s">
        <v>210</v>
      </c>
      <c r="J139" s="31">
        <v>8</v>
      </c>
      <c r="K139" s="31" t="s">
        <v>319</v>
      </c>
      <c r="L139" s="31" t="s">
        <v>318</v>
      </c>
      <c r="M139" s="32" t="s">
        <v>269</v>
      </c>
      <c r="N139" s="32" t="s">
        <v>895</v>
      </c>
      <c r="O139" s="33">
        <v>1</v>
      </c>
      <c r="P139" s="33">
        <v>1</v>
      </c>
      <c r="Q139" s="32"/>
      <c r="S139" s="2">
        <f t="shared" si="35"/>
        <v>0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1</v>
      </c>
      <c r="AA139" s="2">
        <f t="shared" si="43"/>
        <v>0</v>
      </c>
      <c r="AB139" s="2">
        <f t="shared" si="44"/>
        <v>0</v>
      </c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</row>
    <row r="140" spans="1:35" ht="14.25" customHeight="1" x14ac:dyDescent="0.25">
      <c r="A140" s="31">
        <v>0</v>
      </c>
      <c r="B140" s="31">
        <v>2</v>
      </c>
      <c r="C140" s="31">
        <v>1</v>
      </c>
      <c r="D140" s="32" t="s">
        <v>361</v>
      </c>
      <c r="E140" s="32" t="s">
        <v>470</v>
      </c>
      <c r="F140" s="32" t="s">
        <v>583</v>
      </c>
      <c r="G140" s="32" t="s">
        <v>91</v>
      </c>
      <c r="H140" s="32" t="s">
        <v>165</v>
      </c>
      <c r="I140" s="31" t="s">
        <v>357</v>
      </c>
      <c r="J140" s="31">
        <v>1</v>
      </c>
      <c r="K140" s="31" t="s">
        <v>321</v>
      </c>
      <c r="L140" s="31" t="s">
        <v>325</v>
      </c>
      <c r="M140" s="32" t="s">
        <v>497</v>
      </c>
      <c r="N140" s="32" t="s">
        <v>895</v>
      </c>
      <c r="O140" s="33">
        <v>1</v>
      </c>
      <c r="P140" s="33">
        <v>1</v>
      </c>
      <c r="Q140" s="32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</row>
    <row r="141" spans="1:35" ht="14.25" customHeight="1" x14ac:dyDescent="0.25">
      <c r="A141" s="31">
        <v>0</v>
      </c>
      <c r="B141" s="31">
        <v>2</v>
      </c>
      <c r="C141" s="31">
        <v>1</v>
      </c>
      <c r="D141" s="32" t="s">
        <v>55</v>
      </c>
      <c r="E141" s="32" t="s">
        <v>470</v>
      </c>
      <c r="F141" s="32" t="s">
        <v>110</v>
      </c>
      <c r="G141" s="32" t="s">
        <v>99</v>
      </c>
      <c r="H141" s="32" t="s">
        <v>165</v>
      </c>
      <c r="I141" s="31" t="s">
        <v>174</v>
      </c>
      <c r="J141" s="31">
        <v>3</v>
      </c>
      <c r="K141" s="31" t="s">
        <v>320</v>
      </c>
      <c r="L141" s="31" t="s">
        <v>325</v>
      </c>
      <c r="M141" s="32" t="s">
        <v>497</v>
      </c>
      <c r="N141" s="32" t="s">
        <v>895</v>
      </c>
      <c r="O141" s="33">
        <v>1</v>
      </c>
      <c r="P141" s="33">
        <v>1</v>
      </c>
      <c r="Q141" s="32"/>
      <c r="S141" s="2">
        <f t="shared" si="35"/>
        <v>0</v>
      </c>
      <c r="T141" s="2">
        <f t="shared" si="36"/>
        <v>0</v>
      </c>
      <c r="U141" s="2">
        <f t="shared" si="37"/>
        <v>1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</row>
    <row r="142" spans="1:35" ht="14.25" customHeight="1" x14ac:dyDescent="0.25">
      <c r="A142" s="31">
        <v>0</v>
      </c>
      <c r="B142" s="31">
        <v>2</v>
      </c>
      <c r="C142" s="31">
        <v>1</v>
      </c>
      <c r="D142" s="32" t="s">
        <v>47</v>
      </c>
      <c r="E142" s="32" t="s">
        <v>82</v>
      </c>
      <c r="F142" s="32" t="s">
        <v>829</v>
      </c>
      <c r="G142" s="32" t="s">
        <v>93</v>
      </c>
      <c r="H142" s="32" t="s">
        <v>165</v>
      </c>
      <c r="I142" s="31" t="s">
        <v>167</v>
      </c>
      <c r="J142" s="31">
        <v>8</v>
      </c>
      <c r="K142" s="31" t="s">
        <v>320</v>
      </c>
      <c r="L142" s="31" t="s">
        <v>318</v>
      </c>
      <c r="M142" s="32" t="s">
        <v>269</v>
      </c>
      <c r="N142" s="32" t="s">
        <v>915</v>
      </c>
      <c r="O142" s="33">
        <v>1</v>
      </c>
      <c r="P142" s="33"/>
      <c r="Q142" s="32"/>
      <c r="S142" s="2">
        <f t="shared" si="35"/>
        <v>0</v>
      </c>
      <c r="T142" s="2">
        <f t="shared" si="36"/>
        <v>0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1</v>
      </c>
      <c r="AA142" s="2">
        <f t="shared" si="43"/>
        <v>0</v>
      </c>
      <c r="AB142" s="2">
        <f t="shared" si="44"/>
        <v>0</v>
      </c>
      <c r="AD142" s="2">
        <f t="shared" si="45"/>
        <v>0</v>
      </c>
      <c r="AE142" s="2">
        <f t="shared" si="46"/>
        <v>1</v>
      </c>
      <c r="AF142" s="2">
        <f t="shared" si="47"/>
        <v>0</v>
      </c>
      <c r="AG142" s="2">
        <f t="shared" si="48"/>
        <v>1</v>
      </c>
      <c r="AH142" s="2">
        <f t="shared" si="49"/>
        <v>0</v>
      </c>
      <c r="AI142" s="2">
        <f t="shared" si="50"/>
        <v>1</v>
      </c>
    </row>
    <row r="143" spans="1:35" ht="14.25" customHeight="1" x14ac:dyDescent="0.25">
      <c r="A143" s="31">
        <v>1</v>
      </c>
      <c r="B143" s="31">
        <v>2</v>
      </c>
      <c r="C143" s="31">
        <v>1</v>
      </c>
      <c r="D143" s="32" t="s">
        <v>47</v>
      </c>
      <c r="E143" s="32" t="s">
        <v>82</v>
      </c>
      <c r="F143" s="32" t="s">
        <v>98</v>
      </c>
      <c r="G143" s="32" t="s">
        <v>99</v>
      </c>
      <c r="H143" s="32" t="s">
        <v>165</v>
      </c>
      <c r="I143" s="31" t="s">
        <v>492</v>
      </c>
      <c r="J143" s="31">
        <v>3</v>
      </c>
      <c r="K143" s="31" t="s">
        <v>320</v>
      </c>
      <c r="L143" s="31" t="s">
        <v>318</v>
      </c>
      <c r="M143" s="32" t="s">
        <v>269</v>
      </c>
      <c r="N143" s="32" t="s">
        <v>915</v>
      </c>
      <c r="O143" s="33">
        <v>1</v>
      </c>
      <c r="P143" s="33"/>
      <c r="Q143" s="32"/>
      <c r="S143" s="2">
        <f t="shared" si="35"/>
        <v>0</v>
      </c>
      <c r="T143" s="2">
        <f t="shared" si="36"/>
        <v>0</v>
      </c>
      <c r="U143" s="2">
        <f t="shared" si="37"/>
        <v>1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D143" s="2">
        <f t="shared" si="45"/>
        <v>0</v>
      </c>
      <c r="AE143" s="2">
        <f t="shared" si="46"/>
        <v>1</v>
      </c>
      <c r="AF143" s="2">
        <f t="shared" si="47"/>
        <v>0</v>
      </c>
      <c r="AG143" s="2">
        <f t="shared" si="48"/>
        <v>0</v>
      </c>
      <c r="AH143" s="2">
        <f t="shared" si="49"/>
        <v>0</v>
      </c>
      <c r="AI143" s="2">
        <f t="shared" si="50"/>
        <v>0</v>
      </c>
    </row>
    <row r="144" spans="1:35" ht="14.25" customHeight="1" x14ac:dyDescent="0.25">
      <c r="A144" s="31">
        <v>0</v>
      </c>
      <c r="B144" s="31">
        <v>2</v>
      </c>
      <c r="C144" s="31">
        <v>1</v>
      </c>
      <c r="D144" s="32" t="s">
        <v>923</v>
      </c>
      <c r="E144" s="32" t="s">
        <v>35</v>
      </c>
      <c r="F144" s="32" t="s">
        <v>924</v>
      </c>
      <c r="G144" s="32" t="s">
        <v>132</v>
      </c>
      <c r="H144" s="32" t="s">
        <v>165</v>
      </c>
      <c r="I144" s="31" t="s">
        <v>925</v>
      </c>
      <c r="J144" s="31">
        <v>99</v>
      </c>
      <c r="K144" s="31" t="s">
        <v>378</v>
      </c>
      <c r="L144" s="31"/>
      <c r="M144" s="32"/>
      <c r="N144" s="32" t="s">
        <v>895</v>
      </c>
      <c r="O144" s="33">
        <v>1</v>
      </c>
      <c r="P144" s="33">
        <v>1</v>
      </c>
      <c r="Q144" s="32"/>
      <c r="S144" s="2">
        <f t="shared" si="35"/>
        <v>0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D144" s="2">
        <f t="shared" si="45"/>
        <v>1</v>
      </c>
      <c r="AE144" s="2">
        <f t="shared" si="46"/>
        <v>0</v>
      </c>
      <c r="AF144" s="2">
        <f t="shared" si="47"/>
        <v>1</v>
      </c>
      <c r="AG144" s="2">
        <f t="shared" si="48"/>
        <v>0</v>
      </c>
      <c r="AH144" s="2">
        <f t="shared" si="49"/>
        <v>1</v>
      </c>
      <c r="AI144" s="2">
        <f t="shared" si="50"/>
        <v>0</v>
      </c>
    </row>
    <row r="145" spans="1:35" ht="14.25" customHeight="1" x14ac:dyDescent="0.25">
      <c r="A145" s="31">
        <v>0</v>
      </c>
      <c r="B145" s="31">
        <v>2</v>
      </c>
      <c r="C145" s="31">
        <v>1</v>
      </c>
      <c r="D145" s="32" t="s">
        <v>455</v>
      </c>
      <c r="E145" s="32" t="s">
        <v>456</v>
      </c>
      <c r="F145" s="32" t="s">
        <v>457</v>
      </c>
      <c r="G145" s="32" t="s">
        <v>458</v>
      </c>
      <c r="H145" s="32" t="s">
        <v>165</v>
      </c>
      <c r="I145" s="31" t="s">
        <v>459</v>
      </c>
      <c r="J145" s="31">
        <v>99</v>
      </c>
      <c r="K145" s="31" t="s">
        <v>318</v>
      </c>
      <c r="L145" s="31" t="s">
        <v>321</v>
      </c>
      <c r="M145" s="32" t="s">
        <v>269</v>
      </c>
      <c r="N145" s="32" t="s">
        <v>895</v>
      </c>
      <c r="O145" s="33">
        <v>1</v>
      </c>
      <c r="P145" s="33">
        <v>1</v>
      </c>
      <c r="Q145" s="32"/>
      <c r="S145" s="2">
        <f t="shared" ref="S145:S208" si="51">IF(J145=$S$7,1,0)</f>
        <v>0</v>
      </c>
      <c r="T145" s="2">
        <f t="shared" ref="T145:T208" si="52">IF(J145=$T$7,1,0)</f>
        <v>0</v>
      </c>
      <c r="U145" s="2">
        <f t="shared" ref="U145:U208" si="53">IF(J145=$U$7,1,0)</f>
        <v>0</v>
      </c>
      <c r="V145" s="2">
        <f t="shared" ref="V145:V208" si="54">IF(J145=$V$7,1,0)</f>
        <v>0</v>
      </c>
      <c r="W145" s="2">
        <f t="shared" ref="W145:W208" si="55">IF(J145=$W$7,1,0)</f>
        <v>0</v>
      </c>
      <c r="X145" s="2">
        <f t="shared" ref="X145:X208" si="56">IF(J145=$X$7,1,0)</f>
        <v>0</v>
      </c>
      <c r="Y145" s="2">
        <f t="shared" ref="Y145:Y208" si="57">IF(J145=$Y$7,1,0)</f>
        <v>0</v>
      </c>
      <c r="Z145" s="2">
        <f t="shared" ref="Z145:Z208" si="58">IF(J145=$Z$7,1,0)</f>
        <v>0</v>
      </c>
      <c r="AA145" s="2">
        <f t="shared" ref="AA145:AA208" si="59">IF(J145=$AA$7,1,0)</f>
        <v>0</v>
      </c>
      <c r="AB145" s="2">
        <f t="shared" ref="AB145:AB208" si="60">IF(J145=$AB$7,1,0)</f>
        <v>0</v>
      </c>
      <c r="AD145" s="2">
        <f t="shared" ref="AD145:AD208" si="61">+O145*P145</f>
        <v>1</v>
      </c>
      <c r="AE145" s="2">
        <f t="shared" ref="AE145:AE208" si="62">O145*(1-P145)</f>
        <v>0</v>
      </c>
      <c r="AF145" s="2">
        <f t="shared" si="47"/>
        <v>1</v>
      </c>
      <c r="AG145" s="2">
        <f t="shared" si="48"/>
        <v>0</v>
      </c>
      <c r="AH145" s="2">
        <f t="shared" si="49"/>
        <v>1</v>
      </c>
      <c r="AI145" s="2">
        <f t="shared" si="50"/>
        <v>0</v>
      </c>
    </row>
    <row r="146" spans="1:35" ht="14.25" customHeight="1" x14ac:dyDescent="0.25">
      <c r="A146" s="31">
        <v>0</v>
      </c>
      <c r="B146" s="31">
        <v>2</v>
      </c>
      <c r="C146" s="31">
        <v>1</v>
      </c>
      <c r="D146" s="32" t="s">
        <v>560</v>
      </c>
      <c r="E146" s="32" t="s">
        <v>35</v>
      </c>
      <c r="F146" s="32" t="s">
        <v>832</v>
      </c>
      <c r="G146" s="32" t="s">
        <v>519</v>
      </c>
      <c r="H146" s="32" t="s">
        <v>165</v>
      </c>
      <c r="I146" s="31" t="s">
        <v>561</v>
      </c>
      <c r="J146" s="31">
        <v>99</v>
      </c>
      <c r="K146" s="31" t="s">
        <v>318</v>
      </c>
      <c r="L146" s="31">
        <v>5</v>
      </c>
      <c r="M146" s="32" t="s">
        <v>269</v>
      </c>
      <c r="N146" s="32" t="s">
        <v>901</v>
      </c>
      <c r="O146" s="33">
        <v>1</v>
      </c>
      <c r="P146" s="33"/>
      <c r="Q146" s="32" t="s">
        <v>959</v>
      </c>
      <c r="S146" s="2">
        <f t="shared" si="51"/>
        <v>0</v>
      </c>
      <c r="T146" s="2">
        <f t="shared" si="52"/>
        <v>0</v>
      </c>
      <c r="U146" s="2">
        <f t="shared" si="53"/>
        <v>0</v>
      </c>
      <c r="V146" s="2">
        <f t="shared" si="54"/>
        <v>0</v>
      </c>
      <c r="W146" s="2">
        <f t="shared" si="55"/>
        <v>0</v>
      </c>
      <c r="X146" s="2">
        <f t="shared" si="56"/>
        <v>0</v>
      </c>
      <c r="Y146" s="2">
        <f t="shared" si="57"/>
        <v>0</v>
      </c>
      <c r="Z146" s="2">
        <f t="shared" si="58"/>
        <v>0</v>
      </c>
      <c r="AA146" s="2">
        <f t="shared" si="59"/>
        <v>0</v>
      </c>
      <c r="AB146" s="2">
        <f t="shared" si="60"/>
        <v>0</v>
      </c>
      <c r="AD146" s="2">
        <f t="shared" si="61"/>
        <v>0</v>
      </c>
      <c r="AE146" s="2">
        <f t="shared" si="62"/>
        <v>1</v>
      </c>
      <c r="AF146" s="2">
        <f t="shared" si="47"/>
        <v>0</v>
      </c>
      <c r="AG146" s="2">
        <f t="shared" si="48"/>
        <v>1</v>
      </c>
      <c r="AH146" s="2">
        <f t="shared" si="49"/>
        <v>0</v>
      </c>
      <c r="AI146" s="2">
        <f t="shared" si="50"/>
        <v>1</v>
      </c>
    </row>
    <row r="147" spans="1:35" ht="14.25" customHeight="1" x14ac:dyDescent="0.25">
      <c r="A147" s="31">
        <v>0</v>
      </c>
      <c r="B147" s="31">
        <v>2</v>
      </c>
      <c r="C147" s="31">
        <v>1</v>
      </c>
      <c r="D147" s="32" t="s">
        <v>392</v>
      </c>
      <c r="E147" s="32" t="s">
        <v>37</v>
      </c>
      <c r="F147" s="32" t="s">
        <v>483</v>
      </c>
      <c r="G147" s="32" t="s">
        <v>130</v>
      </c>
      <c r="H147" s="32" t="s">
        <v>165</v>
      </c>
      <c r="I147" s="31" t="s">
        <v>393</v>
      </c>
      <c r="J147" s="31">
        <v>10</v>
      </c>
      <c r="K147" s="31" t="s">
        <v>319</v>
      </c>
      <c r="L147" s="31">
        <v>5</v>
      </c>
      <c r="M147" s="32" t="s">
        <v>269</v>
      </c>
      <c r="N147" s="32" t="s">
        <v>901</v>
      </c>
      <c r="O147" s="33">
        <v>1</v>
      </c>
      <c r="P147" s="33"/>
      <c r="Q147" s="32"/>
      <c r="S147" s="2">
        <f t="shared" si="51"/>
        <v>0</v>
      </c>
      <c r="T147" s="2">
        <f t="shared" si="52"/>
        <v>0</v>
      </c>
      <c r="U147" s="2">
        <f t="shared" si="53"/>
        <v>0</v>
      </c>
      <c r="V147" s="2">
        <f t="shared" si="54"/>
        <v>0</v>
      </c>
      <c r="W147" s="2">
        <f t="shared" si="55"/>
        <v>0</v>
      </c>
      <c r="X147" s="2">
        <f t="shared" si="56"/>
        <v>0</v>
      </c>
      <c r="Y147" s="2">
        <f t="shared" si="57"/>
        <v>0</v>
      </c>
      <c r="Z147" s="2">
        <f t="shared" si="58"/>
        <v>0</v>
      </c>
      <c r="AA147" s="2">
        <f t="shared" si="59"/>
        <v>0</v>
      </c>
      <c r="AB147" s="2">
        <f t="shared" si="60"/>
        <v>1</v>
      </c>
      <c r="AD147" s="2">
        <f t="shared" si="61"/>
        <v>0</v>
      </c>
      <c r="AE147" s="2">
        <f t="shared" si="62"/>
        <v>1</v>
      </c>
      <c r="AF147" s="2">
        <f t="shared" si="47"/>
        <v>0</v>
      </c>
      <c r="AG147" s="2">
        <f t="shared" si="48"/>
        <v>1</v>
      </c>
      <c r="AH147" s="2">
        <f t="shared" si="49"/>
        <v>0</v>
      </c>
      <c r="AI147" s="2">
        <f t="shared" si="50"/>
        <v>1</v>
      </c>
    </row>
    <row r="148" spans="1:35" ht="14.25" customHeight="1" x14ac:dyDescent="0.25">
      <c r="A148" s="31">
        <v>0</v>
      </c>
      <c r="B148" s="31">
        <v>2</v>
      </c>
      <c r="C148" s="31">
        <v>1</v>
      </c>
      <c r="D148" s="32" t="s">
        <v>248</v>
      </c>
      <c r="E148" s="32" t="s">
        <v>37</v>
      </c>
      <c r="F148" s="32" t="s">
        <v>232</v>
      </c>
      <c r="G148" s="32" t="s">
        <v>585</v>
      </c>
      <c r="H148" s="32" t="s">
        <v>165</v>
      </c>
      <c r="I148" s="31" t="s">
        <v>265</v>
      </c>
      <c r="J148" s="31">
        <v>99</v>
      </c>
      <c r="K148" s="31" t="s">
        <v>320</v>
      </c>
      <c r="L148" s="31">
        <v>5</v>
      </c>
      <c r="M148" s="32" t="s">
        <v>269</v>
      </c>
      <c r="N148" s="32" t="s">
        <v>901</v>
      </c>
      <c r="O148" s="33">
        <v>1</v>
      </c>
      <c r="P148" s="33"/>
      <c r="Q148" s="32"/>
      <c r="S148" s="2">
        <f t="shared" si="51"/>
        <v>0</v>
      </c>
      <c r="T148" s="2">
        <f t="shared" si="52"/>
        <v>0</v>
      </c>
      <c r="U148" s="2">
        <f t="shared" si="53"/>
        <v>0</v>
      </c>
      <c r="V148" s="2">
        <f t="shared" si="54"/>
        <v>0</v>
      </c>
      <c r="W148" s="2">
        <f t="shared" si="55"/>
        <v>0</v>
      </c>
      <c r="X148" s="2">
        <f t="shared" si="56"/>
        <v>0</v>
      </c>
      <c r="Y148" s="2">
        <f t="shared" si="57"/>
        <v>0</v>
      </c>
      <c r="Z148" s="2">
        <f t="shared" si="58"/>
        <v>0</v>
      </c>
      <c r="AA148" s="2">
        <f t="shared" si="59"/>
        <v>0</v>
      </c>
      <c r="AB148" s="2">
        <f t="shared" si="60"/>
        <v>0</v>
      </c>
      <c r="AD148" s="2">
        <f t="shared" si="61"/>
        <v>0</v>
      </c>
      <c r="AE148" s="2">
        <f t="shared" si="62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</row>
    <row r="149" spans="1:35" ht="14.25" customHeight="1" x14ac:dyDescent="0.25">
      <c r="A149" s="20">
        <v>0</v>
      </c>
      <c r="B149" s="20">
        <v>2</v>
      </c>
      <c r="C149" s="20">
        <v>2</v>
      </c>
      <c r="D149" s="21" t="s">
        <v>724</v>
      </c>
      <c r="E149" s="21" t="s">
        <v>818</v>
      </c>
      <c r="F149" s="21" t="s">
        <v>725</v>
      </c>
      <c r="G149" s="21" t="s">
        <v>96</v>
      </c>
      <c r="H149" s="21" t="s">
        <v>165</v>
      </c>
      <c r="I149" s="20" t="s">
        <v>726</v>
      </c>
      <c r="J149" s="20">
        <v>3</v>
      </c>
      <c r="K149" s="20" t="s">
        <v>319</v>
      </c>
      <c r="L149" s="20">
        <v>35</v>
      </c>
      <c r="M149" s="21" t="s">
        <v>885</v>
      </c>
      <c r="N149" s="21"/>
      <c r="O149" s="7"/>
      <c r="P149" s="7"/>
      <c r="Q149" s="21"/>
      <c r="S149" s="2">
        <f t="shared" si="51"/>
        <v>0</v>
      </c>
      <c r="T149" s="2">
        <f t="shared" si="52"/>
        <v>0</v>
      </c>
      <c r="U149" s="2">
        <f t="shared" si="53"/>
        <v>1</v>
      </c>
      <c r="V149" s="2">
        <f t="shared" si="54"/>
        <v>0</v>
      </c>
      <c r="W149" s="2">
        <f t="shared" si="55"/>
        <v>0</v>
      </c>
      <c r="X149" s="2">
        <f t="shared" si="56"/>
        <v>0</v>
      </c>
      <c r="Y149" s="2">
        <f t="shared" si="57"/>
        <v>0</v>
      </c>
      <c r="Z149" s="2">
        <f t="shared" si="58"/>
        <v>0</v>
      </c>
      <c r="AA149" s="2">
        <f t="shared" si="59"/>
        <v>0</v>
      </c>
      <c r="AB149" s="2">
        <f t="shared" si="60"/>
        <v>0</v>
      </c>
      <c r="AD149" s="2">
        <f t="shared" si="61"/>
        <v>0</v>
      </c>
      <c r="AE149" s="2">
        <f t="shared" si="62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</row>
    <row r="150" spans="1:35" ht="14.25" customHeight="1" x14ac:dyDescent="0.25">
      <c r="A150" s="31">
        <v>0</v>
      </c>
      <c r="B150" s="31">
        <v>2</v>
      </c>
      <c r="C150" s="31">
        <v>2</v>
      </c>
      <c r="D150" s="32" t="s">
        <v>503</v>
      </c>
      <c r="E150" s="32" t="s">
        <v>675</v>
      </c>
      <c r="F150" s="32" t="s">
        <v>504</v>
      </c>
      <c r="G150" s="32" t="s">
        <v>137</v>
      </c>
      <c r="H150" s="32" t="s">
        <v>165</v>
      </c>
      <c r="I150" s="31" t="s">
        <v>505</v>
      </c>
      <c r="J150" s="31">
        <v>1</v>
      </c>
      <c r="K150" s="31" t="s">
        <v>318</v>
      </c>
      <c r="L150" s="31">
        <v>45</v>
      </c>
      <c r="M150" s="32" t="s">
        <v>886</v>
      </c>
      <c r="N150" s="32" t="s">
        <v>901</v>
      </c>
      <c r="O150" s="33">
        <v>1</v>
      </c>
      <c r="P150" s="33"/>
      <c r="Q150" s="32"/>
      <c r="S150" s="2">
        <f t="shared" si="51"/>
        <v>1</v>
      </c>
      <c r="T150" s="2">
        <f t="shared" si="52"/>
        <v>0</v>
      </c>
      <c r="U150" s="2">
        <f t="shared" si="53"/>
        <v>0</v>
      </c>
      <c r="V150" s="2">
        <f t="shared" si="54"/>
        <v>0</v>
      </c>
      <c r="W150" s="2">
        <f t="shared" si="55"/>
        <v>0</v>
      </c>
      <c r="X150" s="2">
        <f t="shared" si="56"/>
        <v>0</v>
      </c>
      <c r="Y150" s="2">
        <f t="shared" si="57"/>
        <v>0</v>
      </c>
      <c r="Z150" s="2">
        <f t="shared" si="58"/>
        <v>0</v>
      </c>
      <c r="AA150" s="2">
        <f t="shared" si="59"/>
        <v>0</v>
      </c>
      <c r="AB150" s="2">
        <f t="shared" si="60"/>
        <v>0</v>
      </c>
      <c r="AD150" s="2">
        <f t="shared" si="61"/>
        <v>0</v>
      </c>
      <c r="AE150" s="2">
        <f t="shared" si="62"/>
        <v>1</v>
      </c>
      <c r="AF150" s="2">
        <f t="shared" si="47"/>
        <v>0</v>
      </c>
      <c r="AG150" s="2">
        <f t="shared" si="48"/>
        <v>1</v>
      </c>
      <c r="AH150" s="2">
        <f t="shared" si="49"/>
        <v>0</v>
      </c>
      <c r="AI150" s="2">
        <f t="shared" si="50"/>
        <v>1</v>
      </c>
    </row>
    <row r="151" spans="1:35" ht="14.25" customHeight="1" x14ac:dyDescent="0.25">
      <c r="A151" s="34">
        <v>0</v>
      </c>
      <c r="B151" s="34">
        <v>2</v>
      </c>
      <c r="C151" s="34">
        <v>2</v>
      </c>
      <c r="D151" s="35" t="s">
        <v>798</v>
      </c>
      <c r="E151" s="35"/>
      <c r="F151" s="35" t="s">
        <v>799</v>
      </c>
      <c r="G151" s="35" t="s">
        <v>309</v>
      </c>
      <c r="H151" s="35" t="s">
        <v>165</v>
      </c>
      <c r="I151" s="34" t="s">
        <v>33</v>
      </c>
      <c r="J151" s="34">
        <v>1</v>
      </c>
      <c r="K151" s="34" t="s">
        <v>378</v>
      </c>
      <c r="L151" s="34">
        <v>40</v>
      </c>
      <c r="M151" s="35" t="s">
        <v>800</v>
      </c>
      <c r="N151" s="35" t="s">
        <v>931</v>
      </c>
      <c r="O151" s="36"/>
      <c r="P151" s="36"/>
      <c r="Q151" s="35"/>
      <c r="S151" s="2">
        <f t="shared" si="51"/>
        <v>1</v>
      </c>
      <c r="T151" s="2">
        <f t="shared" si="52"/>
        <v>0</v>
      </c>
      <c r="U151" s="2">
        <f t="shared" si="53"/>
        <v>0</v>
      </c>
      <c r="V151" s="2">
        <f t="shared" si="54"/>
        <v>0</v>
      </c>
      <c r="W151" s="2">
        <f t="shared" si="55"/>
        <v>0</v>
      </c>
      <c r="X151" s="2">
        <f t="shared" si="56"/>
        <v>0</v>
      </c>
      <c r="Y151" s="2">
        <f t="shared" si="57"/>
        <v>0</v>
      </c>
      <c r="Z151" s="2">
        <f t="shared" si="58"/>
        <v>0</v>
      </c>
      <c r="AA151" s="2">
        <f t="shared" si="59"/>
        <v>0</v>
      </c>
      <c r="AB151" s="2">
        <f t="shared" si="60"/>
        <v>0</v>
      </c>
      <c r="AD151" s="2">
        <f t="shared" si="61"/>
        <v>0</v>
      </c>
      <c r="AE151" s="2">
        <f t="shared" si="62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</row>
    <row r="152" spans="1:35" ht="14.25" customHeight="1" x14ac:dyDescent="0.25">
      <c r="A152" s="31">
        <v>0</v>
      </c>
      <c r="B152" s="31">
        <v>2</v>
      </c>
      <c r="C152" s="31">
        <v>2</v>
      </c>
      <c r="D152" s="32" t="s">
        <v>728</v>
      </c>
      <c r="E152" s="32" t="s">
        <v>30</v>
      </c>
      <c r="F152" s="32" t="s">
        <v>789</v>
      </c>
      <c r="G152" s="32" t="s">
        <v>40</v>
      </c>
      <c r="H152" s="32" t="s">
        <v>165</v>
      </c>
      <c r="I152" s="31" t="s">
        <v>33</v>
      </c>
      <c r="J152" s="31">
        <v>99</v>
      </c>
      <c r="K152" s="31" t="s">
        <v>320</v>
      </c>
      <c r="L152" s="31" t="s">
        <v>345</v>
      </c>
      <c r="M152" s="32" t="s">
        <v>729</v>
      </c>
      <c r="N152" s="32" t="s">
        <v>901</v>
      </c>
      <c r="O152" s="33">
        <v>1</v>
      </c>
      <c r="P152" s="33"/>
      <c r="Q152" s="32"/>
      <c r="S152" s="2">
        <f t="shared" si="51"/>
        <v>0</v>
      </c>
      <c r="T152" s="2">
        <f t="shared" si="52"/>
        <v>0</v>
      </c>
      <c r="U152" s="2">
        <f t="shared" si="53"/>
        <v>0</v>
      </c>
      <c r="V152" s="2">
        <f t="shared" si="54"/>
        <v>0</v>
      </c>
      <c r="W152" s="2">
        <f t="shared" si="55"/>
        <v>0</v>
      </c>
      <c r="X152" s="2">
        <f t="shared" si="56"/>
        <v>0</v>
      </c>
      <c r="Y152" s="2">
        <f t="shared" si="57"/>
        <v>0</v>
      </c>
      <c r="Z152" s="2">
        <f t="shared" si="58"/>
        <v>0</v>
      </c>
      <c r="AA152" s="2">
        <f t="shared" si="59"/>
        <v>0</v>
      </c>
      <c r="AB152" s="2">
        <f t="shared" si="60"/>
        <v>0</v>
      </c>
      <c r="AD152" s="2">
        <f t="shared" si="61"/>
        <v>0</v>
      </c>
      <c r="AE152" s="2">
        <f t="shared" si="62"/>
        <v>1</v>
      </c>
      <c r="AF152" s="2">
        <f t="shared" si="47"/>
        <v>0</v>
      </c>
      <c r="AG152" s="2">
        <f t="shared" si="48"/>
        <v>1</v>
      </c>
      <c r="AH152" s="2">
        <f t="shared" si="49"/>
        <v>0</v>
      </c>
      <c r="AI152" s="2">
        <f t="shared" si="50"/>
        <v>1</v>
      </c>
    </row>
    <row r="153" spans="1:35" ht="14.25" customHeight="1" x14ac:dyDescent="0.25">
      <c r="A153" s="31">
        <v>0</v>
      </c>
      <c r="B153" s="31">
        <v>2</v>
      </c>
      <c r="C153" s="31">
        <v>2</v>
      </c>
      <c r="D153" s="32" t="s">
        <v>523</v>
      </c>
      <c r="E153" s="32" t="s">
        <v>524</v>
      </c>
      <c r="F153" s="32" t="s">
        <v>515</v>
      </c>
      <c r="G153" s="32" t="s">
        <v>516</v>
      </c>
      <c r="H153" s="32" t="s">
        <v>165</v>
      </c>
      <c r="I153" s="31" t="s">
        <v>33</v>
      </c>
      <c r="J153" s="31">
        <v>99</v>
      </c>
      <c r="K153" s="31" t="s">
        <v>320</v>
      </c>
      <c r="L153" s="31" t="s">
        <v>40</v>
      </c>
      <c r="M153" s="32" t="s">
        <v>40</v>
      </c>
      <c r="N153" s="32" t="s">
        <v>895</v>
      </c>
      <c r="O153" s="33">
        <v>1</v>
      </c>
      <c r="P153" s="33">
        <v>1</v>
      </c>
      <c r="Q153" s="32"/>
      <c r="S153" s="2">
        <f t="shared" si="51"/>
        <v>0</v>
      </c>
      <c r="T153" s="2">
        <f t="shared" si="52"/>
        <v>0</v>
      </c>
      <c r="U153" s="2">
        <f t="shared" si="53"/>
        <v>0</v>
      </c>
      <c r="V153" s="2">
        <f t="shared" si="54"/>
        <v>0</v>
      </c>
      <c r="W153" s="2">
        <f t="shared" si="55"/>
        <v>0</v>
      </c>
      <c r="X153" s="2">
        <f t="shared" si="56"/>
        <v>0</v>
      </c>
      <c r="Y153" s="2">
        <f t="shared" si="57"/>
        <v>0</v>
      </c>
      <c r="Z153" s="2">
        <f t="shared" si="58"/>
        <v>0</v>
      </c>
      <c r="AA153" s="2">
        <f t="shared" si="59"/>
        <v>0</v>
      </c>
      <c r="AB153" s="2">
        <f t="shared" si="60"/>
        <v>0</v>
      </c>
      <c r="AD153" s="2">
        <f t="shared" si="61"/>
        <v>1</v>
      </c>
      <c r="AE153" s="2">
        <f t="shared" si="62"/>
        <v>0</v>
      </c>
      <c r="AF153" s="2">
        <f t="shared" si="47"/>
        <v>1</v>
      </c>
      <c r="AG153" s="2">
        <f t="shared" si="48"/>
        <v>0</v>
      </c>
      <c r="AH153" s="2">
        <f t="shared" si="49"/>
        <v>1</v>
      </c>
      <c r="AI153" s="2">
        <f t="shared" si="50"/>
        <v>0</v>
      </c>
    </row>
    <row r="154" spans="1:35" ht="14.25" customHeight="1" x14ac:dyDescent="0.25">
      <c r="A154" s="31">
        <v>1</v>
      </c>
      <c r="B154" s="31">
        <v>2</v>
      </c>
      <c r="C154" s="31">
        <v>2</v>
      </c>
      <c r="D154" s="32" t="s">
        <v>523</v>
      </c>
      <c r="E154" s="32" t="s">
        <v>524</v>
      </c>
      <c r="F154" s="32" t="s">
        <v>782</v>
      </c>
      <c r="G154" s="32" t="s">
        <v>130</v>
      </c>
      <c r="H154" s="32" t="s">
        <v>165</v>
      </c>
      <c r="I154" s="31" t="s">
        <v>33</v>
      </c>
      <c r="J154" s="31"/>
      <c r="K154" s="31" t="s">
        <v>320</v>
      </c>
      <c r="L154" s="31" t="s">
        <v>40</v>
      </c>
      <c r="M154" s="32" t="s">
        <v>40</v>
      </c>
      <c r="N154" s="32" t="s">
        <v>895</v>
      </c>
      <c r="O154" s="33">
        <v>1</v>
      </c>
      <c r="P154" s="33">
        <v>1</v>
      </c>
      <c r="Q154" s="32"/>
      <c r="S154" s="2">
        <f t="shared" si="51"/>
        <v>0</v>
      </c>
      <c r="T154" s="2">
        <f t="shared" si="52"/>
        <v>0</v>
      </c>
      <c r="U154" s="2">
        <f t="shared" si="53"/>
        <v>0</v>
      </c>
      <c r="V154" s="2">
        <f t="shared" si="54"/>
        <v>0</v>
      </c>
      <c r="W154" s="2">
        <f t="shared" si="55"/>
        <v>0</v>
      </c>
      <c r="X154" s="2">
        <f t="shared" si="56"/>
        <v>0</v>
      </c>
      <c r="Y154" s="2">
        <f t="shared" si="57"/>
        <v>0</v>
      </c>
      <c r="Z154" s="2">
        <f t="shared" si="58"/>
        <v>0</v>
      </c>
      <c r="AA154" s="2">
        <f t="shared" si="59"/>
        <v>0</v>
      </c>
      <c r="AB154" s="2">
        <f t="shared" si="60"/>
        <v>0</v>
      </c>
      <c r="AD154" s="2">
        <f t="shared" si="61"/>
        <v>1</v>
      </c>
      <c r="AE154" s="2">
        <f t="shared" si="62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0</v>
      </c>
    </row>
    <row r="155" spans="1:35" ht="14.25" customHeight="1" x14ac:dyDescent="0.25">
      <c r="A155" s="31">
        <v>0</v>
      </c>
      <c r="B155" s="31">
        <v>2</v>
      </c>
      <c r="C155" s="31">
        <v>2</v>
      </c>
      <c r="D155" s="32" t="s">
        <v>54</v>
      </c>
      <c r="E155" s="32" t="s">
        <v>84</v>
      </c>
      <c r="F155" s="32" t="s">
        <v>108</v>
      </c>
      <c r="G155" s="32" t="s">
        <v>40</v>
      </c>
      <c r="H155" s="32" t="s">
        <v>165</v>
      </c>
      <c r="I155" s="31" t="s">
        <v>173</v>
      </c>
      <c r="J155" s="31">
        <v>4</v>
      </c>
      <c r="K155" s="31" t="s">
        <v>320</v>
      </c>
      <c r="L155" s="31" t="s">
        <v>336</v>
      </c>
      <c r="M155" s="32" t="s">
        <v>337</v>
      </c>
      <c r="N155" s="32" t="s">
        <v>913</v>
      </c>
      <c r="O155" s="33">
        <v>1</v>
      </c>
      <c r="P155" s="33"/>
      <c r="Q155" s="32"/>
      <c r="S155" s="2">
        <f t="shared" si="51"/>
        <v>0</v>
      </c>
      <c r="T155" s="2">
        <f t="shared" si="52"/>
        <v>0</v>
      </c>
      <c r="U155" s="2">
        <f t="shared" si="53"/>
        <v>0</v>
      </c>
      <c r="V155" s="2">
        <f t="shared" si="54"/>
        <v>1</v>
      </c>
      <c r="W155" s="2">
        <f t="shared" si="55"/>
        <v>0</v>
      </c>
      <c r="X155" s="2">
        <f t="shared" si="56"/>
        <v>0</v>
      </c>
      <c r="Y155" s="2">
        <f t="shared" si="57"/>
        <v>0</v>
      </c>
      <c r="Z155" s="2">
        <f t="shared" si="58"/>
        <v>0</v>
      </c>
      <c r="AA155" s="2">
        <f t="shared" si="59"/>
        <v>0</v>
      </c>
      <c r="AB155" s="2">
        <f t="shared" si="60"/>
        <v>0</v>
      </c>
      <c r="AD155" s="2">
        <f t="shared" si="61"/>
        <v>0</v>
      </c>
      <c r="AE155" s="2">
        <f t="shared" si="62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</row>
    <row r="156" spans="1:35" ht="14.25" customHeight="1" x14ac:dyDescent="0.25">
      <c r="A156" s="31">
        <v>1</v>
      </c>
      <c r="B156" s="31">
        <v>2</v>
      </c>
      <c r="C156" s="31">
        <v>2</v>
      </c>
      <c r="D156" s="32" t="s">
        <v>54</v>
      </c>
      <c r="E156" s="32" t="s">
        <v>84</v>
      </c>
      <c r="F156" s="32" t="s">
        <v>727</v>
      </c>
      <c r="G156" s="32" t="s">
        <v>585</v>
      </c>
      <c r="H156" s="32" t="s">
        <v>165</v>
      </c>
      <c r="I156" s="31" t="s">
        <v>33</v>
      </c>
      <c r="J156" s="31">
        <v>99</v>
      </c>
      <c r="K156" s="31" t="s">
        <v>320</v>
      </c>
      <c r="L156" s="31" t="s">
        <v>336</v>
      </c>
      <c r="M156" s="32" t="s">
        <v>337</v>
      </c>
      <c r="N156" s="32" t="s">
        <v>913</v>
      </c>
      <c r="O156" s="33">
        <v>1</v>
      </c>
      <c r="P156" s="33"/>
      <c r="Q156" s="32"/>
      <c r="S156" s="2">
        <f t="shared" si="51"/>
        <v>0</v>
      </c>
      <c r="T156" s="2">
        <f t="shared" si="52"/>
        <v>0</v>
      </c>
      <c r="U156" s="2">
        <f t="shared" si="53"/>
        <v>0</v>
      </c>
      <c r="V156" s="2">
        <f t="shared" si="54"/>
        <v>0</v>
      </c>
      <c r="W156" s="2">
        <f t="shared" si="55"/>
        <v>0</v>
      </c>
      <c r="X156" s="2">
        <f t="shared" si="56"/>
        <v>0</v>
      </c>
      <c r="Y156" s="2">
        <f t="shared" si="57"/>
        <v>0</v>
      </c>
      <c r="Z156" s="2">
        <f t="shared" si="58"/>
        <v>0</v>
      </c>
      <c r="AA156" s="2">
        <f t="shared" si="59"/>
        <v>0</v>
      </c>
      <c r="AB156" s="2">
        <f t="shared" si="60"/>
        <v>0</v>
      </c>
      <c r="AD156" s="2">
        <f t="shared" si="61"/>
        <v>0</v>
      </c>
      <c r="AE156" s="2">
        <f t="shared" si="62"/>
        <v>1</v>
      </c>
      <c r="AF156" s="2">
        <f t="shared" si="47"/>
        <v>0</v>
      </c>
      <c r="AG156" s="2">
        <f t="shared" si="48"/>
        <v>0</v>
      </c>
      <c r="AH156" s="2">
        <f t="shared" si="49"/>
        <v>0</v>
      </c>
      <c r="AI156" s="2">
        <f t="shared" si="50"/>
        <v>0</v>
      </c>
    </row>
    <row r="157" spans="1:35" ht="14.25" customHeight="1" x14ac:dyDescent="0.25">
      <c r="A157" s="31">
        <v>0</v>
      </c>
      <c r="B157" s="31">
        <v>2</v>
      </c>
      <c r="C157" s="31">
        <v>2</v>
      </c>
      <c r="D157" s="32" t="s">
        <v>682</v>
      </c>
      <c r="E157" s="32" t="s">
        <v>677</v>
      </c>
      <c r="F157" s="32" t="s">
        <v>478</v>
      </c>
      <c r="G157" s="32" t="s">
        <v>122</v>
      </c>
      <c r="H157" s="32" t="s">
        <v>165</v>
      </c>
      <c r="I157" s="31" t="s">
        <v>419</v>
      </c>
      <c r="J157" s="31">
        <v>6</v>
      </c>
      <c r="K157" s="31" t="s">
        <v>319</v>
      </c>
      <c r="L157" s="31" t="s">
        <v>339</v>
      </c>
      <c r="M157" s="32" t="s">
        <v>746</v>
      </c>
      <c r="N157" s="32" t="s">
        <v>903</v>
      </c>
      <c r="O157" s="33">
        <v>1</v>
      </c>
      <c r="P157" s="33"/>
      <c r="Q157" s="32"/>
      <c r="S157" s="2">
        <f t="shared" si="51"/>
        <v>0</v>
      </c>
      <c r="T157" s="2">
        <f t="shared" si="52"/>
        <v>0</v>
      </c>
      <c r="U157" s="2">
        <f t="shared" si="53"/>
        <v>0</v>
      </c>
      <c r="V157" s="2">
        <f t="shared" si="54"/>
        <v>0</v>
      </c>
      <c r="W157" s="2">
        <f t="shared" si="55"/>
        <v>0</v>
      </c>
      <c r="X157" s="2">
        <f t="shared" si="56"/>
        <v>1</v>
      </c>
      <c r="Y157" s="2">
        <f t="shared" si="57"/>
        <v>0</v>
      </c>
      <c r="Z157" s="2">
        <f t="shared" si="58"/>
        <v>0</v>
      </c>
      <c r="AA157" s="2">
        <f t="shared" si="59"/>
        <v>0</v>
      </c>
      <c r="AB157" s="2">
        <f t="shared" si="60"/>
        <v>0</v>
      </c>
      <c r="AD157" s="2">
        <f t="shared" si="61"/>
        <v>0</v>
      </c>
      <c r="AE157" s="2">
        <f t="shared" si="62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</row>
    <row r="158" spans="1:35" ht="14.25" customHeight="1" x14ac:dyDescent="0.25">
      <c r="A158" s="34">
        <v>0</v>
      </c>
      <c r="B158" s="34">
        <v>2</v>
      </c>
      <c r="C158" s="34">
        <v>2</v>
      </c>
      <c r="D158" s="35" t="s">
        <v>437</v>
      </c>
      <c r="E158" s="35" t="s">
        <v>30</v>
      </c>
      <c r="F158" s="35" t="s">
        <v>955</v>
      </c>
      <c r="G158" s="35" t="s">
        <v>580</v>
      </c>
      <c r="H158" s="35" t="s">
        <v>165</v>
      </c>
      <c r="I158" s="34" t="s">
        <v>594</v>
      </c>
      <c r="J158" s="34">
        <v>99</v>
      </c>
      <c r="K158" s="34" t="s">
        <v>378</v>
      </c>
      <c r="L158" s="34">
        <v>35</v>
      </c>
      <c r="M158" s="35" t="s">
        <v>600</v>
      </c>
      <c r="N158" s="35" t="s">
        <v>902</v>
      </c>
      <c r="O158" s="36"/>
      <c r="P158" s="36"/>
      <c r="Q158" s="35"/>
      <c r="S158" s="2">
        <f t="shared" si="51"/>
        <v>0</v>
      </c>
      <c r="T158" s="2">
        <f t="shared" si="52"/>
        <v>0</v>
      </c>
      <c r="U158" s="2">
        <f t="shared" si="53"/>
        <v>0</v>
      </c>
      <c r="V158" s="2">
        <f t="shared" si="54"/>
        <v>0</v>
      </c>
      <c r="W158" s="2">
        <f t="shared" si="55"/>
        <v>0</v>
      </c>
      <c r="X158" s="2">
        <f t="shared" si="56"/>
        <v>0</v>
      </c>
      <c r="Y158" s="2">
        <f t="shared" si="57"/>
        <v>0</v>
      </c>
      <c r="Z158" s="2">
        <f t="shared" si="58"/>
        <v>0</v>
      </c>
      <c r="AA158" s="2">
        <f t="shared" si="59"/>
        <v>0</v>
      </c>
      <c r="AB158" s="2">
        <f t="shared" si="60"/>
        <v>0</v>
      </c>
      <c r="AD158" s="2">
        <f t="shared" si="61"/>
        <v>0</v>
      </c>
      <c r="AE158" s="2">
        <f t="shared" si="62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</row>
    <row r="159" spans="1:35" ht="14.25" customHeight="1" x14ac:dyDescent="0.25">
      <c r="A159" s="28">
        <v>0</v>
      </c>
      <c r="B159" s="28">
        <v>2</v>
      </c>
      <c r="C159" s="28">
        <v>2</v>
      </c>
      <c r="D159" s="29" t="s">
        <v>562</v>
      </c>
      <c r="E159" s="29" t="s">
        <v>563</v>
      </c>
      <c r="F159" s="29" t="s">
        <v>564</v>
      </c>
      <c r="G159" s="29" t="s">
        <v>565</v>
      </c>
      <c r="H159" s="29" t="s">
        <v>165</v>
      </c>
      <c r="I159" s="28" t="s">
        <v>566</v>
      </c>
      <c r="J159" s="28">
        <v>99</v>
      </c>
      <c r="K159" s="28" t="s">
        <v>320</v>
      </c>
      <c r="L159" s="28" t="s">
        <v>40</v>
      </c>
      <c r="M159" s="29" t="s">
        <v>40</v>
      </c>
      <c r="N159" s="29"/>
      <c r="O159" s="30"/>
      <c r="P159" s="30">
        <v>1</v>
      </c>
      <c r="Q159" s="29"/>
      <c r="S159" s="2">
        <f t="shared" si="51"/>
        <v>0</v>
      </c>
      <c r="T159" s="2">
        <f t="shared" si="52"/>
        <v>0</v>
      </c>
      <c r="U159" s="2">
        <f t="shared" si="53"/>
        <v>0</v>
      </c>
      <c r="V159" s="2">
        <f t="shared" si="54"/>
        <v>0</v>
      </c>
      <c r="W159" s="2">
        <f t="shared" si="55"/>
        <v>0</v>
      </c>
      <c r="X159" s="2">
        <f t="shared" si="56"/>
        <v>0</v>
      </c>
      <c r="Y159" s="2">
        <f t="shared" si="57"/>
        <v>0</v>
      </c>
      <c r="Z159" s="2">
        <f t="shared" si="58"/>
        <v>0</v>
      </c>
      <c r="AA159" s="2">
        <f t="shared" si="59"/>
        <v>0</v>
      </c>
      <c r="AB159" s="2">
        <f t="shared" si="60"/>
        <v>0</v>
      </c>
      <c r="AD159" s="2">
        <f t="shared" si="61"/>
        <v>0</v>
      </c>
      <c r="AE159" s="2">
        <f t="shared" si="62"/>
        <v>0</v>
      </c>
      <c r="AF159" s="2">
        <f t="shared" si="47"/>
        <v>0</v>
      </c>
      <c r="AG159" s="2">
        <f t="shared" si="48"/>
        <v>0</v>
      </c>
      <c r="AH159" s="2">
        <f t="shared" si="49"/>
        <v>1</v>
      </c>
      <c r="AI159" s="2">
        <f t="shared" si="50"/>
        <v>0</v>
      </c>
    </row>
    <row r="160" spans="1:35" ht="14.25" customHeight="1" x14ac:dyDescent="0.25">
      <c r="A160" s="41">
        <v>0</v>
      </c>
      <c r="B160" s="41">
        <v>2</v>
      </c>
      <c r="C160" s="41">
        <v>2</v>
      </c>
      <c r="D160" s="42" t="s">
        <v>971</v>
      </c>
      <c r="E160" s="42" t="s">
        <v>972</v>
      </c>
      <c r="F160" s="42" t="s">
        <v>973</v>
      </c>
      <c r="G160" s="42" t="s">
        <v>974</v>
      </c>
      <c r="H160" s="42" t="s">
        <v>165</v>
      </c>
      <c r="I160" s="41" t="s">
        <v>975</v>
      </c>
      <c r="J160" s="41"/>
      <c r="K160" s="41" t="s">
        <v>378</v>
      </c>
      <c r="L160" s="41"/>
      <c r="M160" s="42"/>
      <c r="N160" s="42"/>
      <c r="O160" s="43"/>
      <c r="P160" s="43">
        <v>1</v>
      </c>
      <c r="Q160" s="42"/>
      <c r="S160" s="2">
        <f t="shared" si="51"/>
        <v>0</v>
      </c>
      <c r="T160" s="2">
        <f t="shared" si="52"/>
        <v>0</v>
      </c>
      <c r="U160" s="2">
        <f t="shared" si="53"/>
        <v>0</v>
      </c>
      <c r="V160" s="2">
        <f t="shared" si="54"/>
        <v>0</v>
      </c>
      <c r="W160" s="2">
        <f t="shared" si="55"/>
        <v>0</v>
      </c>
      <c r="X160" s="2">
        <f t="shared" si="56"/>
        <v>0</v>
      </c>
      <c r="Y160" s="2">
        <f t="shared" si="57"/>
        <v>0</v>
      </c>
      <c r="Z160" s="2">
        <f t="shared" si="58"/>
        <v>0</v>
      </c>
      <c r="AA160" s="2">
        <f t="shared" si="59"/>
        <v>0</v>
      </c>
      <c r="AB160" s="2">
        <f t="shared" si="60"/>
        <v>0</v>
      </c>
      <c r="AD160" s="2">
        <f t="shared" si="61"/>
        <v>0</v>
      </c>
      <c r="AE160" s="2">
        <f t="shared" si="62"/>
        <v>0</v>
      </c>
      <c r="AF160" s="2">
        <f t="shared" si="47"/>
        <v>0</v>
      </c>
      <c r="AG160" s="2">
        <f t="shared" si="48"/>
        <v>0</v>
      </c>
      <c r="AH160" s="2">
        <f t="shared" si="49"/>
        <v>1</v>
      </c>
      <c r="AI160" s="2">
        <f t="shared" si="50"/>
        <v>0</v>
      </c>
    </row>
    <row r="161" spans="1:35" ht="14.25" customHeight="1" x14ac:dyDescent="0.25">
      <c r="A161" s="28">
        <v>0</v>
      </c>
      <c r="B161" s="28">
        <v>2</v>
      </c>
      <c r="C161" s="28">
        <v>2</v>
      </c>
      <c r="D161" s="29" t="s">
        <v>945</v>
      </c>
      <c r="E161" s="29" t="s">
        <v>946</v>
      </c>
      <c r="F161" s="29" t="s">
        <v>96</v>
      </c>
      <c r="G161" s="29"/>
      <c r="H161" s="29" t="s">
        <v>165</v>
      </c>
      <c r="I161" s="28" t="s">
        <v>947</v>
      </c>
      <c r="J161" s="28"/>
      <c r="K161" s="28" t="s">
        <v>378</v>
      </c>
      <c r="L161" s="28"/>
      <c r="M161" s="29"/>
      <c r="N161" s="29"/>
      <c r="O161" s="30"/>
      <c r="P161" s="30">
        <v>1</v>
      </c>
      <c r="Q161" s="29"/>
      <c r="S161" s="2">
        <f t="shared" si="51"/>
        <v>0</v>
      </c>
      <c r="T161" s="2">
        <f t="shared" si="52"/>
        <v>0</v>
      </c>
      <c r="U161" s="2">
        <f t="shared" si="53"/>
        <v>0</v>
      </c>
      <c r="V161" s="2">
        <f t="shared" si="54"/>
        <v>0</v>
      </c>
      <c r="W161" s="2">
        <f t="shared" si="55"/>
        <v>0</v>
      </c>
      <c r="X161" s="2">
        <f t="shared" si="56"/>
        <v>0</v>
      </c>
      <c r="Y161" s="2">
        <f t="shared" si="57"/>
        <v>0</v>
      </c>
      <c r="Z161" s="2">
        <f t="shared" si="58"/>
        <v>0</v>
      </c>
      <c r="AA161" s="2">
        <f t="shared" si="59"/>
        <v>0</v>
      </c>
      <c r="AB161" s="2">
        <f t="shared" si="60"/>
        <v>0</v>
      </c>
      <c r="AD161" s="2">
        <f t="shared" si="61"/>
        <v>0</v>
      </c>
      <c r="AE161" s="2">
        <f t="shared" si="62"/>
        <v>0</v>
      </c>
      <c r="AF161" s="2">
        <f t="shared" si="47"/>
        <v>0</v>
      </c>
      <c r="AG161" s="2">
        <f t="shared" si="48"/>
        <v>0</v>
      </c>
      <c r="AH161" s="2">
        <f t="shared" si="49"/>
        <v>1</v>
      </c>
      <c r="AI161" s="2">
        <f t="shared" si="50"/>
        <v>0</v>
      </c>
    </row>
    <row r="162" spans="1:35" ht="14.25" customHeight="1" x14ac:dyDescent="0.25">
      <c r="A162" s="34">
        <v>0</v>
      </c>
      <c r="B162" s="34">
        <v>2</v>
      </c>
      <c r="C162" s="34">
        <v>2</v>
      </c>
      <c r="D162" s="35" t="s">
        <v>713</v>
      </c>
      <c r="E162" s="35" t="s">
        <v>30</v>
      </c>
      <c r="F162" s="35" t="s">
        <v>715</v>
      </c>
      <c r="G162" s="35" t="s">
        <v>716</v>
      </c>
      <c r="H162" s="35" t="s">
        <v>165</v>
      </c>
      <c r="I162" s="34" t="s">
        <v>717</v>
      </c>
      <c r="J162" s="34">
        <v>99</v>
      </c>
      <c r="K162" s="34" t="s">
        <v>320</v>
      </c>
      <c r="L162" s="34" t="s">
        <v>335</v>
      </c>
      <c r="M162" s="35" t="s">
        <v>718</v>
      </c>
      <c r="N162" s="35" t="s">
        <v>898</v>
      </c>
      <c r="O162" s="36"/>
      <c r="P162" s="36"/>
      <c r="Q162" s="35"/>
      <c r="S162" s="2">
        <f t="shared" si="51"/>
        <v>0</v>
      </c>
      <c r="T162" s="2">
        <f t="shared" si="52"/>
        <v>0</v>
      </c>
      <c r="U162" s="2">
        <f t="shared" si="53"/>
        <v>0</v>
      </c>
      <c r="V162" s="2">
        <f t="shared" si="54"/>
        <v>0</v>
      </c>
      <c r="W162" s="2">
        <f t="shared" si="55"/>
        <v>0</v>
      </c>
      <c r="X162" s="2">
        <f t="shared" si="56"/>
        <v>0</v>
      </c>
      <c r="Y162" s="2">
        <f t="shared" si="57"/>
        <v>0</v>
      </c>
      <c r="Z162" s="2">
        <f t="shared" si="58"/>
        <v>0</v>
      </c>
      <c r="AA162" s="2">
        <f t="shared" si="59"/>
        <v>0</v>
      </c>
      <c r="AB162" s="2">
        <f t="shared" si="60"/>
        <v>0</v>
      </c>
      <c r="AD162" s="2">
        <f t="shared" si="61"/>
        <v>0</v>
      </c>
      <c r="AE162" s="2">
        <f t="shared" si="62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</row>
    <row r="163" spans="1:35" ht="14.25" customHeight="1" x14ac:dyDescent="0.25">
      <c r="A163" s="31">
        <v>0</v>
      </c>
      <c r="B163" s="31">
        <v>2</v>
      </c>
      <c r="C163" s="31">
        <v>2</v>
      </c>
      <c r="D163" s="32" t="s">
        <v>442</v>
      </c>
      <c r="E163" s="32" t="s">
        <v>443</v>
      </c>
      <c r="F163" s="32" t="s">
        <v>445</v>
      </c>
      <c r="G163" s="32" t="s">
        <v>93</v>
      </c>
      <c r="H163" s="32" t="s">
        <v>165</v>
      </c>
      <c r="I163" s="31" t="s">
        <v>444</v>
      </c>
      <c r="J163" s="31">
        <v>8</v>
      </c>
      <c r="K163" s="31" t="s">
        <v>318</v>
      </c>
      <c r="L163" s="31">
        <v>40</v>
      </c>
      <c r="M163" s="32" t="s">
        <v>887</v>
      </c>
      <c r="N163" s="32" t="s">
        <v>909</v>
      </c>
      <c r="O163" s="33">
        <v>1</v>
      </c>
      <c r="P163" s="33"/>
      <c r="Q163" s="32"/>
      <c r="S163" s="2">
        <f t="shared" si="51"/>
        <v>0</v>
      </c>
      <c r="T163" s="2">
        <f t="shared" si="52"/>
        <v>0</v>
      </c>
      <c r="U163" s="2">
        <f t="shared" si="53"/>
        <v>0</v>
      </c>
      <c r="V163" s="2">
        <f t="shared" si="54"/>
        <v>0</v>
      </c>
      <c r="W163" s="2">
        <f t="shared" si="55"/>
        <v>0</v>
      </c>
      <c r="X163" s="2">
        <f t="shared" si="56"/>
        <v>0</v>
      </c>
      <c r="Y163" s="2">
        <f t="shared" si="57"/>
        <v>0</v>
      </c>
      <c r="Z163" s="2">
        <f t="shared" si="58"/>
        <v>1</v>
      </c>
      <c r="AA163" s="2">
        <f t="shared" si="59"/>
        <v>0</v>
      </c>
      <c r="AB163" s="2">
        <f t="shared" si="60"/>
        <v>0</v>
      </c>
      <c r="AD163" s="2">
        <f t="shared" si="61"/>
        <v>0</v>
      </c>
      <c r="AE163" s="2">
        <f t="shared" si="62"/>
        <v>1</v>
      </c>
      <c r="AF163" s="2">
        <f t="shared" si="47"/>
        <v>0</v>
      </c>
      <c r="AG163" s="2">
        <f t="shared" si="48"/>
        <v>1</v>
      </c>
      <c r="AH163" s="2">
        <f t="shared" si="49"/>
        <v>0</v>
      </c>
      <c r="AI163" s="2">
        <f t="shared" si="50"/>
        <v>1</v>
      </c>
    </row>
    <row r="164" spans="1:35" ht="14.25" customHeight="1" x14ac:dyDescent="0.25">
      <c r="A164" s="34">
        <v>0</v>
      </c>
      <c r="B164" s="34">
        <v>2</v>
      </c>
      <c r="C164" s="34">
        <v>2</v>
      </c>
      <c r="D164" s="35" t="s">
        <v>815</v>
      </c>
      <c r="E164" s="35" t="s">
        <v>456</v>
      </c>
      <c r="F164" s="35" t="s">
        <v>794</v>
      </c>
      <c r="G164" s="35" t="s">
        <v>673</v>
      </c>
      <c r="H164" s="35" t="s">
        <v>165</v>
      </c>
      <c r="I164" s="34" t="s">
        <v>793</v>
      </c>
      <c r="J164" s="34">
        <v>99</v>
      </c>
      <c r="K164" s="34" t="s">
        <v>319</v>
      </c>
      <c r="L164" s="34">
        <v>20</v>
      </c>
      <c r="M164" s="35" t="s">
        <v>900</v>
      </c>
      <c r="N164" s="35" t="s">
        <v>902</v>
      </c>
      <c r="O164" s="36"/>
      <c r="P164" s="36"/>
      <c r="Q164" s="35"/>
      <c r="S164" s="2">
        <f t="shared" si="51"/>
        <v>0</v>
      </c>
      <c r="T164" s="2">
        <f t="shared" si="52"/>
        <v>0</v>
      </c>
      <c r="U164" s="2">
        <f t="shared" si="53"/>
        <v>0</v>
      </c>
      <c r="V164" s="2">
        <f t="shared" si="54"/>
        <v>0</v>
      </c>
      <c r="W164" s="2">
        <f t="shared" si="55"/>
        <v>0</v>
      </c>
      <c r="X164" s="2">
        <f t="shared" si="56"/>
        <v>0</v>
      </c>
      <c r="Y164" s="2">
        <f t="shared" si="57"/>
        <v>0</v>
      </c>
      <c r="Z164" s="2">
        <f t="shared" si="58"/>
        <v>0</v>
      </c>
      <c r="AA164" s="2">
        <f t="shared" si="59"/>
        <v>0</v>
      </c>
      <c r="AB164" s="2">
        <f t="shared" si="60"/>
        <v>0</v>
      </c>
      <c r="AD164" s="2">
        <f t="shared" si="61"/>
        <v>0</v>
      </c>
      <c r="AE164" s="2">
        <f t="shared" si="62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</row>
    <row r="165" spans="1:35" ht="14.25" customHeight="1" x14ac:dyDescent="0.25">
      <c r="A165" s="34">
        <v>0</v>
      </c>
      <c r="B165" s="34">
        <v>2</v>
      </c>
      <c r="C165" s="34">
        <v>2</v>
      </c>
      <c r="D165" s="35" t="s">
        <v>722</v>
      </c>
      <c r="E165" s="35" t="s">
        <v>819</v>
      </c>
      <c r="F165" s="35" t="s">
        <v>833</v>
      </c>
      <c r="G165" s="35" t="s">
        <v>137</v>
      </c>
      <c r="H165" s="35" t="s">
        <v>165</v>
      </c>
      <c r="I165" s="34" t="s">
        <v>723</v>
      </c>
      <c r="J165" s="34">
        <v>1</v>
      </c>
      <c r="K165" s="34" t="s">
        <v>318</v>
      </c>
      <c r="L165" s="34">
        <v>40</v>
      </c>
      <c r="M165" s="35" t="s">
        <v>888</v>
      </c>
      <c r="N165" s="35" t="s">
        <v>897</v>
      </c>
      <c r="O165" s="36"/>
      <c r="P165" s="36"/>
      <c r="Q165" s="35"/>
      <c r="S165" s="2">
        <f t="shared" si="51"/>
        <v>1</v>
      </c>
      <c r="T165" s="2">
        <f t="shared" si="52"/>
        <v>0</v>
      </c>
      <c r="U165" s="2">
        <f t="shared" si="53"/>
        <v>0</v>
      </c>
      <c r="V165" s="2">
        <f t="shared" si="54"/>
        <v>0</v>
      </c>
      <c r="W165" s="2">
        <f t="shared" si="55"/>
        <v>0</v>
      </c>
      <c r="X165" s="2">
        <f t="shared" si="56"/>
        <v>0</v>
      </c>
      <c r="Y165" s="2">
        <f t="shared" si="57"/>
        <v>0</v>
      </c>
      <c r="Z165" s="2">
        <f t="shared" si="58"/>
        <v>0</v>
      </c>
      <c r="AA165" s="2">
        <f t="shared" si="59"/>
        <v>0</v>
      </c>
      <c r="AB165" s="2">
        <f t="shared" si="60"/>
        <v>0</v>
      </c>
      <c r="AD165" s="2">
        <f t="shared" si="61"/>
        <v>0</v>
      </c>
      <c r="AE165" s="2">
        <f t="shared" si="62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</row>
    <row r="166" spans="1:35" ht="14.25" customHeight="1" x14ac:dyDescent="0.25">
      <c r="A166" s="28">
        <v>0</v>
      </c>
      <c r="B166" s="28">
        <v>2</v>
      </c>
      <c r="C166" s="28">
        <v>2</v>
      </c>
      <c r="D166" s="29" t="s">
        <v>466</v>
      </c>
      <c r="E166" s="29" t="s">
        <v>30</v>
      </c>
      <c r="F166" s="29" t="s">
        <v>424</v>
      </c>
      <c r="G166" s="29" t="s">
        <v>160</v>
      </c>
      <c r="H166" s="29" t="s">
        <v>165</v>
      </c>
      <c r="I166" s="28" t="s">
        <v>425</v>
      </c>
      <c r="J166" s="28">
        <v>1</v>
      </c>
      <c r="K166" s="28" t="s">
        <v>321</v>
      </c>
      <c r="L166" s="28" t="s">
        <v>40</v>
      </c>
      <c r="M166" s="29" t="s">
        <v>40</v>
      </c>
      <c r="N166" s="29"/>
      <c r="O166" s="30"/>
      <c r="P166" s="30">
        <v>1</v>
      </c>
      <c r="Q166" s="29"/>
      <c r="S166" s="2">
        <f t="shared" si="51"/>
        <v>1</v>
      </c>
      <c r="T166" s="2">
        <f t="shared" si="52"/>
        <v>0</v>
      </c>
      <c r="U166" s="2">
        <f t="shared" si="53"/>
        <v>0</v>
      </c>
      <c r="V166" s="2">
        <f t="shared" si="54"/>
        <v>0</v>
      </c>
      <c r="W166" s="2">
        <f t="shared" si="55"/>
        <v>0</v>
      </c>
      <c r="X166" s="2">
        <f t="shared" si="56"/>
        <v>0</v>
      </c>
      <c r="Y166" s="2">
        <f t="shared" si="57"/>
        <v>0</v>
      </c>
      <c r="Z166" s="2">
        <f t="shared" si="58"/>
        <v>0</v>
      </c>
      <c r="AA166" s="2">
        <f t="shared" si="59"/>
        <v>0</v>
      </c>
      <c r="AB166" s="2">
        <f t="shared" si="60"/>
        <v>0</v>
      </c>
      <c r="AD166" s="2">
        <f t="shared" si="61"/>
        <v>0</v>
      </c>
      <c r="AE166" s="2">
        <f t="shared" si="62"/>
        <v>0</v>
      </c>
      <c r="AF166" s="2">
        <f t="shared" si="47"/>
        <v>0</v>
      </c>
      <c r="AG166" s="2">
        <f t="shared" si="48"/>
        <v>0</v>
      </c>
      <c r="AH166" s="2">
        <f t="shared" si="49"/>
        <v>1</v>
      </c>
      <c r="AI166" s="2">
        <f t="shared" si="50"/>
        <v>0</v>
      </c>
    </row>
    <row r="167" spans="1:35" ht="14.25" customHeight="1" x14ac:dyDescent="0.25">
      <c r="A167" s="31">
        <v>0</v>
      </c>
      <c r="B167" s="31">
        <v>2</v>
      </c>
      <c r="C167" s="31">
        <v>3</v>
      </c>
      <c r="D167" s="32" t="s">
        <v>354</v>
      </c>
      <c r="E167" s="32" t="s">
        <v>83</v>
      </c>
      <c r="F167" s="32" t="s">
        <v>355</v>
      </c>
      <c r="G167" s="32" t="s">
        <v>370</v>
      </c>
      <c r="H167" s="32" t="s">
        <v>165</v>
      </c>
      <c r="I167" s="31" t="s">
        <v>356</v>
      </c>
      <c r="J167" s="31">
        <v>99</v>
      </c>
      <c r="K167" s="31" t="s">
        <v>321</v>
      </c>
      <c r="L167" s="31" t="s">
        <v>40</v>
      </c>
      <c r="M167" s="32" t="s">
        <v>40</v>
      </c>
      <c r="N167" s="32" t="s">
        <v>895</v>
      </c>
      <c r="O167" s="33">
        <v>1</v>
      </c>
      <c r="P167" s="33">
        <v>1</v>
      </c>
      <c r="Q167" s="32"/>
      <c r="S167" s="2">
        <f t="shared" si="51"/>
        <v>0</v>
      </c>
      <c r="T167" s="2">
        <f t="shared" si="52"/>
        <v>0</v>
      </c>
      <c r="U167" s="2">
        <f t="shared" si="53"/>
        <v>0</v>
      </c>
      <c r="V167" s="2">
        <f t="shared" si="54"/>
        <v>0</v>
      </c>
      <c r="W167" s="2">
        <f t="shared" si="55"/>
        <v>0</v>
      </c>
      <c r="X167" s="2">
        <f t="shared" si="56"/>
        <v>0</v>
      </c>
      <c r="Y167" s="2">
        <f t="shared" si="57"/>
        <v>0</v>
      </c>
      <c r="Z167" s="2">
        <f t="shared" si="58"/>
        <v>0</v>
      </c>
      <c r="AA167" s="2">
        <f t="shared" si="59"/>
        <v>0</v>
      </c>
      <c r="AB167" s="2">
        <f t="shared" si="60"/>
        <v>0</v>
      </c>
      <c r="AD167" s="2">
        <f t="shared" si="61"/>
        <v>1</v>
      </c>
      <c r="AE167" s="2">
        <f t="shared" si="62"/>
        <v>0</v>
      </c>
      <c r="AF167" s="2">
        <f t="shared" si="47"/>
        <v>1</v>
      </c>
      <c r="AG167" s="2">
        <f t="shared" si="48"/>
        <v>0</v>
      </c>
      <c r="AH167" s="2">
        <f t="shared" si="49"/>
        <v>1</v>
      </c>
      <c r="AI167" s="2">
        <f t="shared" si="50"/>
        <v>0</v>
      </c>
    </row>
    <row r="168" spans="1:35" ht="14.25" customHeight="1" x14ac:dyDescent="0.25">
      <c r="A168" s="31">
        <v>0</v>
      </c>
      <c r="B168" s="31">
        <v>2</v>
      </c>
      <c r="C168" s="31">
        <v>3</v>
      </c>
      <c r="D168" s="32" t="s">
        <v>801</v>
      </c>
      <c r="E168" s="32" t="s">
        <v>573</v>
      </c>
      <c r="F168" s="32" t="s">
        <v>957</v>
      </c>
      <c r="G168" s="32" t="s">
        <v>38</v>
      </c>
      <c r="H168" s="32" t="s">
        <v>165</v>
      </c>
      <c r="I168" s="31">
        <v>2799979385</v>
      </c>
      <c r="J168" s="31">
        <v>1</v>
      </c>
      <c r="K168" s="31" t="s">
        <v>318</v>
      </c>
      <c r="L168" s="31" t="s">
        <v>329</v>
      </c>
      <c r="M168" s="32" t="s">
        <v>270</v>
      </c>
      <c r="N168" s="32" t="s">
        <v>895</v>
      </c>
      <c r="O168" s="33">
        <v>1</v>
      </c>
      <c r="P168" s="33">
        <v>1</v>
      </c>
      <c r="Q168" s="32"/>
      <c r="S168" s="2">
        <f t="shared" si="51"/>
        <v>1</v>
      </c>
      <c r="T168" s="2">
        <f t="shared" si="52"/>
        <v>0</v>
      </c>
      <c r="U168" s="2">
        <f t="shared" si="53"/>
        <v>0</v>
      </c>
      <c r="V168" s="2">
        <f t="shared" si="54"/>
        <v>0</v>
      </c>
      <c r="W168" s="2">
        <f t="shared" si="55"/>
        <v>0</v>
      </c>
      <c r="X168" s="2">
        <f t="shared" si="56"/>
        <v>0</v>
      </c>
      <c r="Y168" s="2">
        <f t="shared" si="57"/>
        <v>0</v>
      </c>
      <c r="Z168" s="2">
        <f t="shared" si="58"/>
        <v>0</v>
      </c>
      <c r="AA168" s="2">
        <f t="shared" si="59"/>
        <v>0</v>
      </c>
      <c r="AB168" s="2">
        <f t="shared" si="60"/>
        <v>0</v>
      </c>
      <c r="AD168" s="2">
        <f t="shared" si="61"/>
        <v>1</v>
      </c>
      <c r="AE168" s="2">
        <f t="shared" si="62"/>
        <v>0</v>
      </c>
      <c r="AF168" s="2">
        <f t="shared" si="47"/>
        <v>1</v>
      </c>
      <c r="AG168" s="2">
        <f t="shared" si="48"/>
        <v>0</v>
      </c>
      <c r="AH168" s="2">
        <f t="shared" si="49"/>
        <v>1</v>
      </c>
      <c r="AI168" s="2">
        <f t="shared" si="50"/>
        <v>0</v>
      </c>
    </row>
    <row r="169" spans="1:35" ht="14.25" customHeight="1" x14ac:dyDescent="0.25">
      <c r="A169" s="31">
        <v>1</v>
      </c>
      <c r="B169" s="31">
        <v>2</v>
      </c>
      <c r="C169" s="31">
        <v>3</v>
      </c>
      <c r="D169" s="32" t="s">
        <v>801</v>
      </c>
      <c r="E169" s="32" t="s">
        <v>573</v>
      </c>
      <c r="F169" s="32" t="s">
        <v>824</v>
      </c>
      <c r="G169" s="32" t="s">
        <v>160</v>
      </c>
      <c r="H169" s="32" t="s">
        <v>165</v>
      </c>
      <c r="I169" s="31" t="s">
        <v>502</v>
      </c>
      <c r="J169" s="31">
        <v>1</v>
      </c>
      <c r="K169" s="31" t="s">
        <v>318</v>
      </c>
      <c r="L169" s="31" t="s">
        <v>329</v>
      </c>
      <c r="M169" s="32" t="s">
        <v>270</v>
      </c>
      <c r="N169" s="32" t="s">
        <v>895</v>
      </c>
      <c r="O169" s="33">
        <v>1</v>
      </c>
      <c r="P169" s="33">
        <v>1</v>
      </c>
      <c r="Q169" s="32"/>
      <c r="S169" s="2">
        <f t="shared" si="51"/>
        <v>1</v>
      </c>
      <c r="T169" s="2">
        <f t="shared" si="52"/>
        <v>0</v>
      </c>
      <c r="U169" s="2">
        <f t="shared" si="53"/>
        <v>0</v>
      </c>
      <c r="V169" s="2">
        <f t="shared" si="54"/>
        <v>0</v>
      </c>
      <c r="W169" s="2">
        <f t="shared" si="55"/>
        <v>0</v>
      </c>
      <c r="X169" s="2">
        <f t="shared" si="56"/>
        <v>0</v>
      </c>
      <c r="Y169" s="2">
        <f t="shared" si="57"/>
        <v>0</v>
      </c>
      <c r="Z169" s="2">
        <f t="shared" si="58"/>
        <v>0</v>
      </c>
      <c r="AA169" s="2">
        <f t="shared" si="59"/>
        <v>0</v>
      </c>
      <c r="AB169" s="2">
        <f t="shared" si="60"/>
        <v>0</v>
      </c>
      <c r="AD169" s="2">
        <f t="shared" si="61"/>
        <v>1</v>
      </c>
      <c r="AE169" s="2">
        <f t="shared" si="62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0</v>
      </c>
    </row>
    <row r="170" spans="1:35" ht="14.25" customHeight="1" x14ac:dyDescent="0.25">
      <c r="A170" s="20">
        <v>0</v>
      </c>
      <c r="B170" s="20">
        <v>2</v>
      </c>
      <c r="C170" s="20">
        <v>3</v>
      </c>
      <c r="D170" s="21" t="s">
        <v>449</v>
      </c>
      <c r="E170" s="21" t="s">
        <v>450</v>
      </c>
      <c r="F170" s="21" t="s">
        <v>451</v>
      </c>
      <c r="G170" s="21" t="s">
        <v>107</v>
      </c>
      <c r="H170" s="21" t="s">
        <v>165</v>
      </c>
      <c r="I170" s="20" t="s">
        <v>452</v>
      </c>
      <c r="J170" s="20">
        <v>99</v>
      </c>
      <c r="K170" s="20" t="s">
        <v>378</v>
      </c>
      <c r="L170" s="20">
        <v>10</v>
      </c>
      <c r="M170" s="21" t="s">
        <v>601</v>
      </c>
      <c r="N170" s="21"/>
      <c r="O170" s="7"/>
      <c r="P170" s="7"/>
      <c r="Q170" s="21"/>
      <c r="S170" s="2">
        <f t="shared" si="51"/>
        <v>0</v>
      </c>
      <c r="T170" s="2">
        <f t="shared" si="52"/>
        <v>0</v>
      </c>
      <c r="U170" s="2">
        <f t="shared" si="53"/>
        <v>0</v>
      </c>
      <c r="V170" s="2">
        <f t="shared" si="54"/>
        <v>0</v>
      </c>
      <c r="W170" s="2">
        <f t="shared" si="55"/>
        <v>0</v>
      </c>
      <c r="X170" s="2">
        <f t="shared" si="56"/>
        <v>0</v>
      </c>
      <c r="Y170" s="2">
        <f t="shared" si="57"/>
        <v>0</v>
      </c>
      <c r="Z170" s="2">
        <f t="shared" si="58"/>
        <v>0</v>
      </c>
      <c r="AA170" s="2">
        <f t="shared" si="59"/>
        <v>0</v>
      </c>
      <c r="AB170" s="2">
        <f t="shared" si="60"/>
        <v>0</v>
      </c>
      <c r="AD170" s="2">
        <f t="shared" si="61"/>
        <v>0</v>
      </c>
      <c r="AE170" s="2">
        <f t="shared" si="62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1</v>
      </c>
    </row>
    <row r="171" spans="1:35" ht="14.25" customHeight="1" x14ac:dyDescent="0.25">
      <c r="A171" s="31">
        <v>0</v>
      </c>
      <c r="B171" s="31">
        <v>2</v>
      </c>
      <c r="C171" s="31">
        <v>3</v>
      </c>
      <c r="D171" s="32" t="s">
        <v>48</v>
      </c>
      <c r="E171" s="32" t="s">
        <v>83</v>
      </c>
      <c r="F171" s="32" t="s">
        <v>100</v>
      </c>
      <c r="G171" s="32" t="s">
        <v>96</v>
      </c>
      <c r="H171" s="32" t="s">
        <v>165</v>
      </c>
      <c r="I171" s="31" t="s">
        <v>168</v>
      </c>
      <c r="J171" s="31">
        <v>3</v>
      </c>
      <c r="K171" s="31" t="s">
        <v>321</v>
      </c>
      <c r="L171" s="31" t="s">
        <v>329</v>
      </c>
      <c r="M171" s="32" t="s">
        <v>270</v>
      </c>
      <c r="N171" s="32" t="s">
        <v>895</v>
      </c>
      <c r="O171" s="33">
        <v>1</v>
      </c>
      <c r="P171" s="33">
        <v>1</v>
      </c>
      <c r="Q171" s="32"/>
      <c r="S171" s="2">
        <f t="shared" si="51"/>
        <v>0</v>
      </c>
      <c r="T171" s="2">
        <f t="shared" si="52"/>
        <v>0</v>
      </c>
      <c r="U171" s="2">
        <f t="shared" si="53"/>
        <v>1</v>
      </c>
      <c r="V171" s="2">
        <f t="shared" si="54"/>
        <v>0</v>
      </c>
      <c r="W171" s="2">
        <f t="shared" si="55"/>
        <v>0</v>
      </c>
      <c r="X171" s="2">
        <f t="shared" si="56"/>
        <v>0</v>
      </c>
      <c r="Y171" s="2">
        <f t="shared" si="57"/>
        <v>0</v>
      </c>
      <c r="Z171" s="2">
        <f t="shared" si="58"/>
        <v>0</v>
      </c>
      <c r="AA171" s="2">
        <f t="shared" si="59"/>
        <v>0</v>
      </c>
      <c r="AB171" s="2">
        <f t="shared" si="60"/>
        <v>0</v>
      </c>
      <c r="AD171" s="2">
        <f t="shared" si="61"/>
        <v>1</v>
      </c>
      <c r="AE171" s="2">
        <f t="shared" si="62"/>
        <v>0</v>
      </c>
      <c r="AF171" s="2">
        <f t="shared" si="47"/>
        <v>1</v>
      </c>
      <c r="AG171" s="2">
        <f t="shared" si="48"/>
        <v>0</v>
      </c>
      <c r="AH171" s="2">
        <f t="shared" si="49"/>
        <v>1</v>
      </c>
      <c r="AI171" s="2">
        <f t="shared" si="50"/>
        <v>0</v>
      </c>
    </row>
    <row r="172" spans="1:35" ht="14.25" customHeight="1" x14ac:dyDescent="0.25">
      <c r="A172" s="31">
        <v>0</v>
      </c>
      <c r="B172" s="31">
        <v>2</v>
      </c>
      <c r="C172" s="31">
        <v>3</v>
      </c>
      <c r="D172" s="32" t="s">
        <v>933</v>
      </c>
      <c r="E172" s="32"/>
      <c r="F172" s="32" t="s">
        <v>934</v>
      </c>
      <c r="G172" s="32"/>
      <c r="H172" s="32" t="s">
        <v>165</v>
      </c>
      <c r="I172" s="31" t="s">
        <v>935</v>
      </c>
      <c r="J172" s="31"/>
      <c r="K172" s="31" t="s">
        <v>378</v>
      </c>
      <c r="L172" s="31"/>
      <c r="M172" s="32"/>
      <c r="N172" s="32" t="s">
        <v>895</v>
      </c>
      <c r="O172" s="33">
        <v>1</v>
      </c>
      <c r="P172" s="33">
        <v>1</v>
      </c>
      <c r="Q172" s="32"/>
      <c r="S172" s="2">
        <f t="shared" si="51"/>
        <v>0</v>
      </c>
      <c r="T172" s="2">
        <f t="shared" si="52"/>
        <v>0</v>
      </c>
      <c r="U172" s="2">
        <f t="shared" si="53"/>
        <v>0</v>
      </c>
      <c r="V172" s="2">
        <f t="shared" si="54"/>
        <v>0</v>
      </c>
      <c r="W172" s="2">
        <f t="shared" si="55"/>
        <v>0</v>
      </c>
      <c r="X172" s="2">
        <f t="shared" si="56"/>
        <v>0</v>
      </c>
      <c r="Y172" s="2">
        <f t="shared" si="57"/>
        <v>0</v>
      </c>
      <c r="Z172" s="2">
        <f t="shared" si="58"/>
        <v>0</v>
      </c>
      <c r="AA172" s="2">
        <f t="shared" si="59"/>
        <v>0</v>
      </c>
      <c r="AB172" s="2">
        <f t="shared" si="60"/>
        <v>0</v>
      </c>
      <c r="AD172" s="2">
        <f t="shared" si="61"/>
        <v>1</v>
      </c>
      <c r="AE172" s="2">
        <f t="shared" si="62"/>
        <v>0</v>
      </c>
      <c r="AF172" s="2">
        <f t="shared" si="47"/>
        <v>1</v>
      </c>
      <c r="AG172" s="2">
        <f t="shared" si="48"/>
        <v>0</v>
      </c>
      <c r="AH172" s="2">
        <f t="shared" si="49"/>
        <v>1</v>
      </c>
      <c r="AI172" s="2">
        <f t="shared" si="50"/>
        <v>0</v>
      </c>
    </row>
    <row r="173" spans="1:35" ht="14.25" customHeight="1" x14ac:dyDescent="0.25">
      <c r="A173" s="20">
        <v>0</v>
      </c>
      <c r="B173" s="20">
        <v>2</v>
      </c>
      <c r="C173" s="20">
        <v>3</v>
      </c>
      <c r="D173" s="21" t="s">
        <v>654</v>
      </c>
      <c r="E173" s="21" t="s">
        <v>37</v>
      </c>
      <c r="F173" s="21" t="s">
        <v>655</v>
      </c>
      <c r="G173" s="21" t="s">
        <v>117</v>
      </c>
      <c r="H173" s="21" t="s">
        <v>165</v>
      </c>
      <c r="I173" s="20" t="s">
        <v>656</v>
      </c>
      <c r="J173" s="20">
        <v>1</v>
      </c>
      <c r="K173" s="20" t="s">
        <v>319</v>
      </c>
      <c r="L173" s="20" t="s">
        <v>329</v>
      </c>
      <c r="M173" s="21" t="s">
        <v>270</v>
      </c>
      <c r="N173" s="21"/>
      <c r="O173" s="7"/>
      <c r="P173" s="7"/>
      <c r="Q173" s="21"/>
      <c r="S173" s="2">
        <f t="shared" si="51"/>
        <v>1</v>
      </c>
      <c r="T173" s="2">
        <f t="shared" si="52"/>
        <v>0</v>
      </c>
      <c r="U173" s="2">
        <f t="shared" si="53"/>
        <v>0</v>
      </c>
      <c r="V173" s="2">
        <f t="shared" si="54"/>
        <v>0</v>
      </c>
      <c r="W173" s="2">
        <f t="shared" si="55"/>
        <v>0</v>
      </c>
      <c r="X173" s="2">
        <f t="shared" si="56"/>
        <v>0</v>
      </c>
      <c r="Y173" s="2">
        <f t="shared" si="57"/>
        <v>0</v>
      </c>
      <c r="Z173" s="2">
        <f t="shared" si="58"/>
        <v>0</v>
      </c>
      <c r="AA173" s="2">
        <f t="shared" si="59"/>
        <v>0</v>
      </c>
      <c r="AB173" s="2">
        <f t="shared" si="60"/>
        <v>0</v>
      </c>
      <c r="AD173" s="2">
        <f t="shared" si="61"/>
        <v>0</v>
      </c>
      <c r="AE173" s="2">
        <f t="shared" si="62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1</v>
      </c>
    </row>
    <row r="174" spans="1:35" ht="14.25" customHeight="1" x14ac:dyDescent="0.25">
      <c r="A174" s="34">
        <v>0</v>
      </c>
      <c r="B174" s="34">
        <v>2</v>
      </c>
      <c r="C174" s="34">
        <v>4</v>
      </c>
      <c r="D174" s="35" t="s">
        <v>546</v>
      </c>
      <c r="E174" s="35" t="s">
        <v>29</v>
      </c>
      <c r="F174" s="35" t="s">
        <v>407</v>
      </c>
      <c r="G174" s="35" t="s">
        <v>405</v>
      </c>
      <c r="H174" s="35" t="s">
        <v>165</v>
      </c>
      <c r="I174" s="34" t="s">
        <v>547</v>
      </c>
      <c r="J174" s="34">
        <v>99</v>
      </c>
      <c r="K174" s="34" t="s">
        <v>378</v>
      </c>
      <c r="L174" s="34">
        <v>35</v>
      </c>
      <c r="M174" s="35" t="s">
        <v>928</v>
      </c>
      <c r="N174" s="35" t="s">
        <v>930</v>
      </c>
      <c r="O174" s="36"/>
      <c r="P174" s="36"/>
      <c r="Q174" s="35"/>
      <c r="S174" s="2">
        <f t="shared" si="51"/>
        <v>0</v>
      </c>
      <c r="T174" s="2">
        <f t="shared" si="52"/>
        <v>0</v>
      </c>
      <c r="U174" s="2">
        <f t="shared" si="53"/>
        <v>0</v>
      </c>
      <c r="V174" s="2">
        <f t="shared" si="54"/>
        <v>0</v>
      </c>
      <c r="W174" s="2">
        <f t="shared" si="55"/>
        <v>0</v>
      </c>
      <c r="X174" s="2">
        <f t="shared" si="56"/>
        <v>0</v>
      </c>
      <c r="Y174" s="2">
        <f t="shared" si="57"/>
        <v>0</v>
      </c>
      <c r="Z174" s="2">
        <f t="shared" si="58"/>
        <v>0</v>
      </c>
      <c r="AA174" s="2">
        <f t="shared" si="59"/>
        <v>0</v>
      </c>
      <c r="AB174" s="2">
        <f t="shared" si="60"/>
        <v>0</v>
      </c>
      <c r="AD174" s="2">
        <f t="shared" si="61"/>
        <v>0</v>
      </c>
      <c r="AE174" s="2">
        <f t="shared" si="62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1</v>
      </c>
    </row>
    <row r="175" spans="1:35" ht="14.25" customHeight="1" x14ac:dyDescent="0.25">
      <c r="A175" s="34">
        <v>0</v>
      </c>
      <c r="B175" s="34">
        <v>2</v>
      </c>
      <c r="C175" s="34">
        <v>4</v>
      </c>
      <c r="D175" s="35" t="s">
        <v>62</v>
      </c>
      <c r="E175" s="35" t="s">
        <v>36</v>
      </c>
      <c r="F175" s="35" t="s">
        <v>134</v>
      </c>
      <c r="G175" s="35" t="s">
        <v>40</v>
      </c>
      <c r="H175" s="35" t="s">
        <v>165</v>
      </c>
      <c r="I175" s="34" t="s">
        <v>183</v>
      </c>
      <c r="J175" s="34">
        <v>4</v>
      </c>
      <c r="K175" s="34" t="s">
        <v>320</v>
      </c>
      <c r="L175" s="34" t="s">
        <v>855</v>
      </c>
      <c r="M175" s="35" t="s">
        <v>747</v>
      </c>
      <c r="N175" s="35" t="s">
        <v>931</v>
      </c>
      <c r="O175" s="36"/>
      <c r="P175" s="36"/>
      <c r="Q175" s="35"/>
      <c r="S175" s="2">
        <f t="shared" si="51"/>
        <v>0</v>
      </c>
      <c r="T175" s="2">
        <f t="shared" si="52"/>
        <v>0</v>
      </c>
      <c r="U175" s="2">
        <f t="shared" si="53"/>
        <v>0</v>
      </c>
      <c r="V175" s="2">
        <f t="shared" si="54"/>
        <v>1</v>
      </c>
      <c r="W175" s="2">
        <f t="shared" si="55"/>
        <v>0</v>
      </c>
      <c r="X175" s="2">
        <f t="shared" si="56"/>
        <v>0</v>
      </c>
      <c r="Y175" s="2">
        <f t="shared" si="57"/>
        <v>0</v>
      </c>
      <c r="Z175" s="2">
        <f t="shared" si="58"/>
        <v>0</v>
      </c>
      <c r="AA175" s="2">
        <f t="shared" si="59"/>
        <v>0</v>
      </c>
      <c r="AB175" s="2">
        <f t="shared" si="60"/>
        <v>0</v>
      </c>
      <c r="AD175" s="2">
        <f t="shared" si="61"/>
        <v>0</v>
      </c>
      <c r="AE175" s="2">
        <f t="shared" si="62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</row>
    <row r="176" spans="1:35" ht="14.25" customHeight="1" x14ac:dyDescent="0.25">
      <c r="A176" s="34">
        <v>0</v>
      </c>
      <c r="B176" s="34">
        <v>2</v>
      </c>
      <c r="C176" s="34">
        <v>4</v>
      </c>
      <c r="D176" s="35" t="s">
        <v>65</v>
      </c>
      <c r="E176" s="35" t="s">
        <v>88</v>
      </c>
      <c r="F176" s="35" t="s">
        <v>141</v>
      </c>
      <c r="G176" s="35" t="s">
        <v>140</v>
      </c>
      <c r="H176" s="35" t="s">
        <v>165</v>
      </c>
      <c r="I176" s="34" t="s">
        <v>186</v>
      </c>
      <c r="J176" s="34">
        <v>99</v>
      </c>
      <c r="K176" s="34" t="s">
        <v>320</v>
      </c>
      <c r="L176" s="34" t="s">
        <v>338</v>
      </c>
      <c r="M176" s="35" t="s">
        <v>205</v>
      </c>
      <c r="N176" s="35" t="s">
        <v>897</v>
      </c>
      <c r="O176" s="36"/>
      <c r="P176" s="36"/>
      <c r="Q176" s="35"/>
      <c r="S176" s="2">
        <f t="shared" si="51"/>
        <v>0</v>
      </c>
      <c r="T176" s="2">
        <f t="shared" si="52"/>
        <v>0</v>
      </c>
      <c r="U176" s="2">
        <f t="shared" si="53"/>
        <v>0</v>
      </c>
      <c r="V176" s="2">
        <f t="shared" si="54"/>
        <v>0</v>
      </c>
      <c r="W176" s="2">
        <f t="shared" si="55"/>
        <v>0</v>
      </c>
      <c r="X176" s="2">
        <f t="shared" si="56"/>
        <v>0</v>
      </c>
      <c r="Y176" s="2">
        <f t="shared" si="57"/>
        <v>0</v>
      </c>
      <c r="Z176" s="2">
        <f t="shared" si="58"/>
        <v>0</v>
      </c>
      <c r="AA176" s="2">
        <f t="shared" si="59"/>
        <v>0</v>
      </c>
      <c r="AB176" s="2">
        <f t="shared" si="60"/>
        <v>0</v>
      </c>
      <c r="AD176" s="2">
        <f t="shared" si="61"/>
        <v>0</v>
      </c>
      <c r="AE176" s="2">
        <f t="shared" si="62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</row>
    <row r="177" spans="1:35" ht="14.25" customHeight="1" x14ac:dyDescent="0.25">
      <c r="A177" s="34">
        <v>0</v>
      </c>
      <c r="B177" s="34">
        <v>2</v>
      </c>
      <c r="C177" s="34">
        <v>4</v>
      </c>
      <c r="D177" s="35" t="s">
        <v>81</v>
      </c>
      <c r="E177" s="35" t="s">
        <v>36</v>
      </c>
      <c r="F177" s="35" t="s">
        <v>367</v>
      </c>
      <c r="G177" s="35" t="s">
        <v>642</v>
      </c>
      <c r="H177" s="35" t="s">
        <v>165</v>
      </c>
      <c r="I177" s="34" t="s">
        <v>204</v>
      </c>
      <c r="J177" s="34">
        <v>4</v>
      </c>
      <c r="K177" s="34" t="s">
        <v>318</v>
      </c>
      <c r="L177" s="34" t="s">
        <v>856</v>
      </c>
      <c r="M177" s="35" t="s">
        <v>748</v>
      </c>
      <c r="N177" s="35" t="s">
        <v>931</v>
      </c>
      <c r="O177" s="36"/>
      <c r="P177" s="36"/>
      <c r="Q177" s="35"/>
      <c r="S177" s="2">
        <f t="shared" si="51"/>
        <v>0</v>
      </c>
      <c r="T177" s="2">
        <f t="shared" si="52"/>
        <v>0</v>
      </c>
      <c r="U177" s="2">
        <f t="shared" si="53"/>
        <v>0</v>
      </c>
      <c r="V177" s="2">
        <f t="shared" si="54"/>
        <v>1</v>
      </c>
      <c r="W177" s="2">
        <f t="shared" si="55"/>
        <v>0</v>
      </c>
      <c r="X177" s="2">
        <f t="shared" si="56"/>
        <v>0</v>
      </c>
      <c r="Y177" s="2">
        <f t="shared" si="57"/>
        <v>0</v>
      </c>
      <c r="Z177" s="2">
        <f t="shared" si="58"/>
        <v>0</v>
      </c>
      <c r="AA177" s="2">
        <f t="shared" si="59"/>
        <v>0</v>
      </c>
      <c r="AB177" s="2">
        <f t="shared" si="60"/>
        <v>0</v>
      </c>
      <c r="AD177" s="2">
        <f t="shared" si="61"/>
        <v>0</v>
      </c>
      <c r="AE177" s="2">
        <f t="shared" si="62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</row>
    <row r="178" spans="1:35" ht="14.25" customHeight="1" x14ac:dyDescent="0.25">
      <c r="A178" s="34">
        <v>1</v>
      </c>
      <c r="B178" s="34">
        <v>2</v>
      </c>
      <c r="C178" s="34">
        <v>4</v>
      </c>
      <c r="D178" s="35" t="s">
        <v>81</v>
      </c>
      <c r="E178" s="35" t="s">
        <v>36</v>
      </c>
      <c r="F178" s="35" t="s">
        <v>164</v>
      </c>
      <c r="G178" s="35" t="s">
        <v>130</v>
      </c>
      <c r="H178" s="35" t="s">
        <v>165</v>
      </c>
      <c r="I178" s="34" t="s">
        <v>204</v>
      </c>
      <c r="J178" s="34">
        <v>10</v>
      </c>
      <c r="K178" s="34" t="s">
        <v>318</v>
      </c>
      <c r="L178" s="34" t="s">
        <v>856</v>
      </c>
      <c r="M178" s="35" t="s">
        <v>748</v>
      </c>
      <c r="N178" s="35" t="s">
        <v>931</v>
      </c>
      <c r="O178" s="36"/>
      <c r="P178" s="36"/>
      <c r="Q178" s="35"/>
      <c r="S178" s="2">
        <f t="shared" si="51"/>
        <v>0</v>
      </c>
      <c r="T178" s="2">
        <f t="shared" si="52"/>
        <v>0</v>
      </c>
      <c r="U178" s="2">
        <f t="shared" si="53"/>
        <v>0</v>
      </c>
      <c r="V178" s="2">
        <f t="shared" si="54"/>
        <v>0</v>
      </c>
      <c r="W178" s="2">
        <f t="shared" si="55"/>
        <v>0</v>
      </c>
      <c r="X178" s="2">
        <f t="shared" si="56"/>
        <v>0</v>
      </c>
      <c r="Y178" s="2">
        <f t="shared" si="57"/>
        <v>0</v>
      </c>
      <c r="Z178" s="2">
        <f t="shared" si="58"/>
        <v>0</v>
      </c>
      <c r="AA178" s="2">
        <f t="shared" si="59"/>
        <v>0</v>
      </c>
      <c r="AB178" s="2">
        <f t="shared" si="60"/>
        <v>1</v>
      </c>
      <c r="AD178" s="2">
        <f t="shared" si="61"/>
        <v>0</v>
      </c>
      <c r="AE178" s="2">
        <f t="shared" si="62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</row>
    <row r="179" spans="1:35" ht="14.25" customHeight="1" x14ac:dyDescent="0.25">
      <c r="A179" s="34">
        <v>1</v>
      </c>
      <c r="B179" s="34">
        <v>2</v>
      </c>
      <c r="C179" s="34">
        <v>4</v>
      </c>
      <c r="D179" s="35" t="s">
        <v>81</v>
      </c>
      <c r="E179" s="35" t="s">
        <v>36</v>
      </c>
      <c r="F179" s="35" t="s">
        <v>802</v>
      </c>
      <c r="G179" s="35" t="s">
        <v>107</v>
      </c>
      <c r="H179" s="35" t="s">
        <v>165</v>
      </c>
      <c r="I179" s="34" t="s">
        <v>803</v>
      </c>
      <c r="J179" s="34">
        <v>99</v>
      </c>
      <c r="K179" s="34" t="s">
        <v>318</v>
      </c>
      <c r="L179" s="34" t="s">
        <v>856</v>
      </c>
      <c r="M179" s="35" t="s">
        <v>748</v>
      </c>
      <c r="N179" s="35" t="s">
        <v>931</v>
      </c>
      <c r="O179" s="36"/>
      <c r="P179" s="36"/>
      <c r="Q179" s="35"/>
      <c r="S179" s="2">
        <f t="shared" si="51"/>
        <v>0</v>
      </c>
      <c r="T179" s="2">
        <f t="shared" si="52"/>
        <v>0</v>
      </c>
      <c r="U179" s="2">
        <f t="shared" si="53"/>
        <v>0</v>
      </c>
      <c r="V179" s="2">
        <f t="shared" si="54"/>
        <v>0</v>
      </c>
      <c r="W179" s="2">
        <f t="shared" si="55"/>
        <v>0</v>
      </c>
      <c r="X179" s="2">
        <f t="shared" si="56"/>
        <v>0</v>
      </c>
      <c r="Y179" s="2">
        <f t="shared" si="57"/>
        <v>0</v>
      </c>
      <c r="Z179" s="2">
        <f t="shared" si="58"/>
        <v>0</v>
      </c>
      <c r="AA179" s="2">
        <f t="shared" si="59"/>
        <v>0</v>
      </c>
      <c r="AB179" s="2">
        <f t="shared" si="60"/>
        <v>0</v>
      </c>
      <c r="AD179" s="2">
        <f t="shared" si="61"/>
        <v>0</v>
      </c>
      <c r="AE179" s="2">
        <f t="shared" si="62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</row>
    <row r="180" spans="1:35" ht="14.25" customHeight="1" x14ac:dyDescent="0.25">
      <c r="A180" s="20">
        <v>0</v>
      </c>
      <c r="B180" s="20">
        <v>2</v>
      </c>
      <c r="C180" s="20">
        <v>4</v>
      </c>
      <c r="D180" s="21" t="s">
        <v>979</v>
      </c>
      <c r="E180" s="21" t="s">
        <v>980</v>
      </c>
      <c r="F180" s="21" t="s">
        <v>981</v>
      </c>
      <c r="G180" s="21" t="s">
        <v>982</v>
      </c>
      <c r="H180" s="21" t="s">
        <v>165</v>
      </c>
      <c r="I180" s="20"/>
      <c r="J180" s="20"/>
      <c r="K180" s="20" t="s">
        <v>378</v>
      </c>
      <c r="L180" s="20">
        <v>35</v>
      </c>
      <c r="M180" s="21" t="s">
        <v>983</v>
      </c>
      <c r="N180" s="21"/>
      <c r="O180" s="20"/>
      <c r="P180" s="20"/>
      <c r="Q180" s="21"/>
      <c r="S180" s="2">
        <f t="shared" si="51"/>
        <v>0</v>
      </c>
      <c r="T180" s="2">
        <f t="shared" si="52"/>
        <v>0</v>
      </c>
      <c r="U180" s="2">
        <f t="shared" si="53"/>
        <v>0</v>
      </c>
      <c r="V180" s="2">
        <f t="shared" si="54"/>
        <v>0</v>
      </c>
      <c r="W180" s="2">
        <f t="shared" si="55"/>
        <v>0</v>
      </c>
      <c r="X180" s="2">
        <f t="shared" si="56"/>
        <v>0</v>
      </c>
      <c r="Y180" s="2">
        <f t="shared" si="57"/>
        <v>0</v>
      </c>
      <c r="Z180" s="2">
        <f t="shared" si="58"/>
        <v>0</v>
      </c>
      <c r="AA180" s="2">
        <f t="shared" si="59"/>
        <v>0</v>
      </c>
      <c r="AB180" s="2">
        <f t="shared" si="60"/>
        <v>0</v>
      </c>
      <c r="AD180" s="2">
        <f t="shared" si="61"/>
        <v>0</v>
      </c>
      <c r="AE180" s="2">
        <f t="shared" si="62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288</v>
      </c>
      <c r="E181" s="21" t="s">
        <v>85</v>
      </c>
      <c r="F181" s="21" t="s">
        <v>368</v>
      </c>
      <c r="G181" s="21" t="s">
        <v>308</v>
      </c>
      <c r="H181" s="21" t="s">
        <v>165</v>
      </c>
      <c r="I181" s="20" t="s">
        <v>289</v>
      </c>
      <c r="J181" s="20">
        <v>6</v>
      </c>
      <c r="K181" s="20" t="s">
        <v>319</v>
      </c>
      <c r="L181" s="20">
        <v>30</v>
      </c>
      <c r="M181" s="40" t="s">
        <v>905</v>
      </c>
      <c r="N181" s="21"/>
      <c r="O181" s="7"/>
      <c r="P181" s="7"/>
      <c r="Q181" s="21"/>
      <c r="S181" s="2">
        <f t="shared" si="51"/>
        <v>0</v>
      </c>
      <c r="T181" s="2">
        <f t="shared" si="52"/>
        <v>0</v>
      </c>
      <c r="U181" s="2">
        <f t="shared" si="53"/>
        <v>0</v>
      </c>
      <c r="V181" s="2">
        <f t="shared" si="54"/>
        <v>0</v>
      </c>
      <c r="W181" s="2">
        <f t="shared" si="55"/>
        <v>0</v>
      </c>
      <c r="X181" s="2">
        <f t="shared" si="56"/>
        <v>1</v>
      </c>
      <c r="Y181" s="2">
        <f t="shared" si="57"/>
        <v>0</v>
      </c>
      <c r="Z181" s="2">
        <f t="shared" si="58"/>
        <v>0</v>
      </c>
      <c r="AA181" s="2">
        <f t="shared" si="59"/>
        <v>0</v>
      </c>
      <c r="AB181" s="2">
        <f t="shared" si="60"/>
        <v>0</v>
      </c>
      <c r="AD181" s="2">
        <f t="shared" si="61"/>
        <v>0</v>
      </c>
      <c r="AE181" s="2">
        <f t="shared" si="62"/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</row>
    <row r="182" spans="1:35" ht="14.25" customHeight="1" x14ac:dyDescent="0.25">
      <c r="A182" s="34">
        <v>0</v>
      </c>
      <c r="B182" s="34">
        <v>2</v>
      </c>
      <c r="C182" s="34">
        <v>4</v>
      </c>
      <c r="D182" s="35" t="s">
        <v>567</v>
      </c>
      <c r="E182" s="35" t="s">
        <v>36</v>
      </c>
      <c r="F182" s="35" t="s">
        <v>529</v>
      </c>
      <c r="G182" s="35" t="s">
        <v>103</v>
      </c>
      <c r="H182" s="35" t="s">
        <v>165</v>
      </c>
      <c r="I182" s="34" t="s">
        <v>530</v>
      </c>
      <c r="J182" s="34">
        <v>6</v>
      </c>
      <c r="K182" s="34" t="s">
        <v>318</v>
      </c>
      <c r="L182" s="34">
        <v>35</v>
      </c>
      <c r="M182" s="35" t="s">
        <v>699</v>
      </c>
      <c r="N182" s="35" t="s">
        <v>930</v>
      </c>
      <c r="O182" s="36"/>
      <c r="P182" s="36"/>
      <c r="Q182" s="35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1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D182" s="2">
        <f t="shared" si="61"/>
        <v>0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813</v>
      </c>
      <c r="E183" s="21" t="s">
        <v>29</v>
      </c>
      <c r="F183" s="21" t="s">
        <v>826</v>
      </c>
      <c r="G183" s="21" t="s">
        <v>827</v>
      </c>
      <c r="H183" s="21" t="s">
        <v>165</v>
      </c>
      <c r="I183" s="20" t="s">
        <v>846</v>
      </c>
      <c r="J183" s="20">
        <v>99</v>
      </c>
      <c r="K183" s="20" t="s">
        <v>318</v>
      </c>
      <c r="L183" s="20" t="s">
        <v>343</v>
      </c>
      <c r="M183" s="21" t="s">
        <v>646</v>
      </c>
      <c r="N183" s="21"/>
      <c r="O183" s="7"/>
      <c r="P183" s="7"/>
      <c r="Q183" s="21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D183" s="2">
        <f t="shared" si="61"/>
        <v>0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569</v>
      </c>
      <c r="E184" s="21" t="s">
        <v>36</v>
      </c>
      <c r="F184" s="21" t="s">
        <v>582</v>
      </c>
      <c r="G184" s="21" t="s">
        <v>519</v>
      </c>
      <c r="H184" s="21" t="s">
        <v>165</v>
      </c>
      <c r="I184" s="20" t="s">
        <v>540</v>
      </c>
      <c r="J184" s="20">
        <v>7</v>
      </c>
      <c r="K184" s="20" t="s">
        <v>378</v>
      </c>
      <c r="L184" s="20">
        <v>30</v>
      </c>
      <c r="M184" s="21" t="s">
        <v>602</v>
      </c>
      <c r="N184" s="21"/>
      <c r="O184" s="7"/>
      <c r="P184" s="7"/>
      <c r="Q184" s="21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1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</row>
    <row r="185" spans="1:35" ht="14.25" customHeight="1" x14ac:dyDescent="0.25">
      <c r="A185" s="34">
        <v>0</v>
      </c>
      <c r="B185" s="34">
        <v>2</v>
      </c>
      <c r="C185" s="34">
        <v>4</v>
      </c>
      <c r="D185" s="35" t="s">
        <v>684</v>
      </c>
      <c r="E185" s="35" t="s">
        <v>678</v>
      </c>
      <c r="F185" s="35" t="s">
        <v>615</v>
      </c>
      <c r="G185" s="35" t="s">
        <v>125</v>
      </c>
      <c r="H185" s="35" t="s">
        <v>165</v>
      </c>
      <c r="I185" s="34" t="s">
        <v>616</v>
      </c>
      <c r="J185" s="34">
        <v>99</v>
      </c>
      <c r="K185" s="34" t="s">
        <v>318</v>
      </c>
      <c r="L185" s="34" t="s">
        <v>343</v>
      </c>
      <c r="M185" s="35" t="s">
        <v>788</v>
      </c>
      <c r="N185" s="35" t="s">
        <v>931</v>
      </c>
      <c r="O185" s="36"/>
      <c r="P185" s="36"/>
      <c r="Q185" s="35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</row>
    <row r="186" spans="1:35" ht="14.25" customHeight="1" x14ac:dyDescent="0.25">
      <c r="A186" s="31">
        <v>0</v>
      </c>
      <c r="B186" s="31">
        <v>2</v>
      </c>
      <c r="C186" s="31">
        <v>4</v>
      </c>
      <c r="D186" s="32" t="s">
        <v>768</v>
      </c>
      <c r="E186" s="32" t="s">
        <v>769</v>
      </c>
      <c r="F186" s="32" t="s">
        <v>770</v>
      </c>
      <c r="G186" s="32"/>
      <c r="H186" s="32" t="s">
        <v>165</v>
      </c>
      <c r="I186" s="31" t="s">
        <v>771</v>
      </c>
      <c r="J186" s="31">
        <v>99</v>
      </c>
      <c r="K186" s="31" t="s">
        <v>378</v>
      </c>
      <c r="L186" s="31">
        <v>35</v>
      </c>
      <c r="M186" s="32" t="s">
        <v>952</v>
      </c>
      <c r="N186" s="32" t="s">
        <v>901</v>
      </c>
      <c r="O186" s="33">
        <v>1</v>
      </c>
      <c r="P186" s="33"/>
      <c r="Q186" s="32"/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D186" s="2">
        <f t="shared" si="61"/>
        <v>0</v>
      </c>
      <c r="AE186" s="2">
        <f t="shared" si="62"/>
        <v>1</v>
      </c>
      <c r="AF186" s="2">
        <f t="shared" si="47"/>
        <v>0</v>
      </c>
      <c r="AG186" s="2">
        <f t="shared" si="48"/>
        <v>1</v>
      </c>
      <c r="AH186" s="2">
        <f t="shared" si="49"/>
        <v>0</v>
      </c>
      <c r="AI186" s="2">
        <f t="shared" si="50"/>
        <v>1</v>
      </c>
    </row>
    <row r="187" spans="1:35" ht="14.25" customHeight="1" x14ac:dyDescent="0.25">
      <c r="A187" s="34">
        <v>0</v>
      </c>
      <c r="B187" s="34">
        <v>2</v>
      </c>
      <c r="C187" s="34">
        <v>4</v>
      </c>
      <c r="D187" s="35" t="s">
        <v>67</v>
      </c>
      <c r="E187" s="35" t="s">
        <v>89</v>
      </c>
      <c r="F187" s="35" t="s">
        <v>144</v>
      </c>
      <c r="G187" s="35" t="s">
        <v>129</v>
      </c>
      <c r="H187" s="35" t="s">
        <v>165</v>
      </c>
      <c r="I187" s="34" t="s">
        <v>190</v>
      </c>
      <c r="J187" s="34">
        <v>99</v>
      </c>
      <c r="K187" s="34" t="s">
        <v>321</v>
      </c>
      <c r="L187" s="34" t="s">
        <v>333</v>
      </c>
      <c r="M187" s="35" t="s">
        <v>703</v>
      </c>
      <c r="N187" s="35" t="s">
        <v>896</v>
      </c>
      <c r="O187" s="36"/>
      <c r="P187" s="36"/>
      <c r="Q187" s="35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</row>
    <row r="188" spans="1:35" ht="14.25" customHeight="1" x14ac:dyDescent="0.25">
      <c r="A188" s="34">
        <v>0</v>
      </c>
      <c r="B188" s="34">
        <v>2</v>
      </c>
      <c r="C188" s="34">
        <v>4</v>
      </c>
      <c r="D188" s="35" t="s">
        <v>426</v>
      </c>
      <c r="E188" s="35" t="s">
        <v>234</v>
      </c>
      <c r="F188" s="35" t="s">
        <v>427</v>
      </c>
      <c r="G188" s="35" t="s">
        <v>96</v>
      </c>
      <c r="H188" s="35" t="s">
        <v>165</v>
      </c>
      <c r="I188" s="34" t="s">
        <v>428</v>
      </c>
      <c r="J188" s="34">
        <v>3</v>
      </c>
      <c r="K188" s="34" t="s">
        <v>318</v>
      </c>
      <c r="L188" s="34" t="s">
        <v>339</v>
      </c>
      <c r="M188" s="35" t="s">
        <v>749</v>
      </c>
      <c r="N188" s="35" t="s">
        <v>911</v>
      </c>
      <c r="O188" s="36"/>
      <c r="P188" s="36"/>
      <c r="Q188" s="35"/>
      <c r="S188" s="2">
        <f t="shared" si="51"/>
        <v>0</v>
      </c>
      <c r="T188" s="2">
        <f t="shared" si="52"/>
        <v>0</v>
      </c>
      <c r="U188" s="2">
        <f t="shared" si="53"/>
        <v>1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</row>
    <row r="189" spans="1:35" ht="14.25" customHeight="1" x14ac:dyDescent="0.25">
      <c r="A189" s="34">
        <v>0</v>
      </c>
      <c r="B189" s="34">
        <v>2</v>
      </c>
      <c r="C189" s="34">
        <v>4</v>
      </c>
      <c r="D189" s="35" t="s">
        <v>214</v>
      </c>
      <c r="E189" s="35" t="s">
        <v>36</v>
      </c>
      <c r="F189" s="35" t="s">
        <v>213</v>
      </c>
      <c r="G189" s="35" t="s">
        <v>97</v>
      </c>
      <c r="H189" s="35" t="s">
        <v>165</v>
      </c>
      <c r="I189" s="34" t="s">
        <v>212</v>
      </c>
      <c r="J189" s="34">
        <v>99</v>
      </c>
      <c r="K189" s="34" t="s">
        <v>378</v>
      </c>
      <c r="L189" s="34">
        <v>25</v>
      </c>
      <c r="M189" s="35" t="s">
        <v>929</v>
      </c>
      <c r="N189" s="35" t="s">
        <v>930</v>
      </c>
      <c r="O189" s="36"/>
      <c r="P189" s="36"/>
      <c r="Q189" s="35"/>
      <c r="S189" s="2">
        <f t="shared" si="51"/>
        <v>0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</row>
    <row r="190" spans="1:35" ht="14.25" customHeight="1" x14ac:dyDescent="0.25">
      <c r="A190" s="34">
        <v>0</v>
      </c>
      <c r="B190" s="34">
        <v>2</v>
      </c>
      <c r="C190" s="34">
        <v>4</v>
      </c>
      <c r="D190" s="35" t="s">
        <v>215</v>
      </c>
      <c r="E190" s="35" t="s">
        <v>216</v>
      </c>
      <c r="F190" s="35" t="s">
        <v>217</v>
      </c>
      <c r="G190" s="35" t="s">
        <v>107</v>
      </c>
      <c r="H190" s="35" t="s">
        <v>165</v>
      </c>
      <c r="I190" s="34" t="s">
        <v>218</v>
      </c>
      <c r="J190" s="34">
        <v>99</v>
      </c>
      <c r="K190" s="34" t="s">
        <v>378</v>
      </c>
      <c r="L190" s="34">
        <v>25</v>
      </c>
      <c r="M190" s="35" t="s">
        <v>498</v>
      </c>
      <c r="N190" s="35" t="s">
        <v>931</v>
      </c>
      <c r="O190" s="36"/>
      <c r="P190" s="36"/>
      <c r="Q190" s="35"/>
      <c r="S190" s="2">
        <f t="shared" si="51"/>
        <v>0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</row>
    <row r="191" spans="1:35" ht="14.25" customHeight="1" x14ac:dyDescent="0.25">
      <c r="A191" s="34">
        <v>0</v>
      </c>
      <c r="B191" s="34">
        <v>2</v>
      </c>
      <c r="C191" s="34">
        <v>5</v>
      </c>
      <c r="D191" s="35" t="s">
        <v>421</v>
      </c>
      <c r="E191" s="35" t="s">
        <v>423</v>
      </c>
      <c r="F191" s="35" t="s">
        <v>577</v>
      </c>
      <c r="G191" s="35" t="s">
        <v>154</v>
      </c>
      <c r="H191" s="35" t="s">
        <v>165</v>
      </c>
      <c r="I191" s="34" t="s">
        <v>422</v>
      </c>
      <c r="J191" s="34">
        <v>99</v>
      </c>
      <c r="K191" s="34" t="s">
        <v>378</v>
      </c>
      <c r="L191" s="34">
        <v>30</v>
      </c>
      <c r="M191" s="35" t="s">
        <v>603</v>
      </c>
      <c r="N191" s="35" t="s">
        <v>931</v>
      </c>
      <c r="O191" s="36"/>
      <c r="P191" s="36"/>
      <c r="Q191" s="35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</row>
    <row r="192" spans="1:35" ht="14.25" customHeight="1" x14ac:dyDescent="0.25">
      <c r="A192" s="31">
        <v>0</v>
      </c>
      <c r="B192" s="31">
        <v>2</v>
      </c>
      <c r="C192" s="31">
        <v>5</v>
      </c>
      <c r="D192" s="32" t="s">
        <v>404</v>
      </c>
      <c r="E192" s="32" t="s">
        <v>29</v>
      </c>
      <c r="F192" s="32" t="s">
        <v>287</v>
      </c>
      <c r="G192" s="32" t="s">
        <v>96</v>
      </c>
      <c r="H192" s="32" t="s">
        <v>165</v>
      </c>
      <c r="I192" s="31" t="s">
        <v>491</v>
      </c>
      <c r="J192" s="31">
        <v>3</v>
      </c>
      <c r="K192" s="31" t="s">
        <v>319</v>
      </c>
      <c r="L192" s="31" t="s">
        <v>334</v>
      </c>
      <c r="M192" s="32" t="s">
        <v>753</v>
      </c>
      <c r="N192" s="32" t="s">
        <v>901</v>
      </c>
      <c r="O192" s="33">
        <v>1</v>
      </c>
      <c r="P192" s="33"/>
      <c r="Q192" s="32"/>
      <c r="S192" s="2">
        <f t="shared" si="51"/>
        <v>0</v>
      </c>
      <c r="T192" s="2">
        <f t="shared" si="52"/>
        <v>0</v>
      </c>
      <c r="U192" s="2">
        <f t="shared" si="53"/>
        <v>1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D192" s="2">
        <f t="shared" si="61"/>
        <v>0</v>
      </c>
      <c r="AE192" s="2">
        <f t="shared" si="62"/>
        <v>1</v>
      </c>
      <c r="AF192" s="2">
        <f t="shared" si="47"/>
        <v>0</v>
      </c>
      <c r="AG192" s="2">
        <f t="shared" si="48"/>
        <v>1</v>
      </c>
      <c r="AH192" s="2">
        <f t="shared" si="49"/>
        <v>0</v>
      </c>
      <c r="AI192" s="2">
        <f t="shared" si="50"/>
        <v>1</v>
      </c>
    </row>
    <row r="193" spans="1:35" ht="14.25" customHeight="1" x14ac:dyDescent="0.25">
      <c r="A193" s="31">
        <v>0</v>
      </c>
      <c r="B193" s="31">
        <v>2</v>
      </c>
      <c r="C193" s="31">
        <v>5</v>
      </c>
      <c r="D193" s="32" t="s">
        <v>570</v>
      </c>
      <c r="E193" s="32" t="s">
        <v>36</v>
      </c>
      <c r="F193" s="32" t="s">
        <v>961</v>
      </c>
      <c r="G193" s="32" t="s">
        <v>673</v>
      </c>
      <c r="H193" s="32" t="s">
        <v>165</v>
      </c>
      <c r="I193" s="31" t="s">
        <v>33</v>
      </c>
      <c r="J193" s="31">
        <v>99</v>
      </c>
      <c r="K193" s="31" t="s">
        <v>320</v>
      </c>
      <c r="L193" s="31" t="s">
        <v>335</v>
      </c>
      <c r="M193" s="32" t="s">
        <v>604</v>
      </c>
      <c r="N193" s="32" t="s">
        <v>915</v>
      </c>
      <c r="O193" s="33">
        <v>1</v>
      </c>
      <c r="P193" s="33"/>
      <c r="Q193" s="32" t="s">
        <v>962</v>
      </c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D193" s="2">
        <f t="shared" si="61"/>
        <v>0</v>
      </c>
      <c r="AE193" s="2">
        <f t="shared" si="62"/>
        <v>1</v>
      </c>
      <c r="AF193" s="2">
        <f t="shared" si="47"/>
        <v>0</v>
      </c>
      <c r="AG193" s="2">
        <f t="shared" si="48"/>
        <v>1</v>
      </c>
      <c r="AH193" s="2">
        <f t="shared" si="49"/>
        <v>0</v>
      </c>
      <c r="AI193" s="2">
        <f t="shared" si="50"/>
        <v>1</v>
      </c>
    </row>
    <row r="194" spans="1:35" ht="14.25" customHeight="1" x14ac:dyDescent="0.25">
      <c r="A194" s="20">
        <v>0</v>
      </c>
      <c r="B194" s="20">
        <v>2</v>
      </c>
      <c r="C194" s="20">
        <v>5</v>
      </c>
      <c r="D194" s="21" t="s">
        <v>233</v>
      </c>
      <c r="E194" s="21" t="s">
        <v>86</v>
      </c>
      <c r="F194" s="21" t="s">
        <v>254</v>
      </c>
      <c r="G194" s="21" t="s">
        <v>130</v>
      </c>
      <c r="H194" s="21" t="s">
        <v>165</v>
      </c>
      <c r="I194" s="20" t="s">
        <v>595</v>
      </c>
      <c r="J194" s="20">
        <v>10</v>
      </c>
      <c r="K194" s="20" t="s">
        <v>378</v>
      </c>
      <c r="L194" s="20" t="s">
        <v>333</v>
      </c>
      <c r="M194" s="21" t="s">
        <v>271</v>
      </c>
      <c r="N194" s="21"/>
      <c r="O194" s="7"/>
      <c r="P194" s="7"/>
      <c r="Q194" s="21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1</v>
      </c>
      <c r="AD194" s="2">
        <f t="shared" si="61"/>
        <v>0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1</v>
      </c>
    </row>
    <row r="195" spans="1:35" ht="14.25" customHeight="1" x14ac:dyDescent="0.25">
      <c r="A195" s="34">
        <v>0</v>
      </c>
      <c r="B195" s="34">
        <v>2</v>
      </c>
      <c r="C195" s="34">
        <v>5</v>
      </c>
      <c r="D195" s="35" t="s">
        <v>629</v>
      </c>
      <c r="E195" s="35" t="s">
        <v>29</v>
      </c>
      <c r="F195" s="35" t="s">
        <v>631</v>
      </c>
      <c r="G195" s="35" t="s">
        <v>830</v>
      </c>
      <c r="H195" s="35" t="s">
        <v>165</v>
      </c>
      <c r="I195" s="34" t="s">
        <v>632</v>
      </c>
      <c r="J195" s="34">
        <v>99</v>
      </c>
      <c r="K195" s="34" t="s">
        <v>320</v>
      </c>
      <c r="L195" s="34" t="s">
        <v>341</v>
      </c>
      <c r="M195" s="35" t="s">
        <v>786</v>
      </c>
      <c r="N195" s="35" t="s">
        <v>902</v>
      </c>
      <c r="O195" s="36"/>
      <c r="P195" s="36"/>
      <c r="Q195" s="35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D195" s="2">
        <f t="shared" si="61"/>
        <v>0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1</v>
      </c>
    </row>
    <row r="196" spans="1:35" ht="14.25" customHeight="1" x14ac:dyDescent="0.25">
      <c r="A196" s="34">
        <v>0</v>
      </c>
      <c r="B196" s="34">
        <v>2</v>
      </c>
      <c r="C196" s="34">
        <v>5</v>
      </c>
      <c r="D196" s="35" t="s">
        <v>814</v>
      </c>
      <c r="E196" s="35" t="s">
        <v>29</v>
      </c>
      <c r="F196" s="35" t="s">
        <v>644</v>
      </c>
      <c r="G196" s="35" t="s">
        <v>516</v>
      </c>
      <c r="H196" s="35" t="s">
        <v>165</v>
      </c>
      <c r="I196" s="34" t="s">
        <v>645</v>
      </c>
      <c r="J196" s="34">
        <v>99</v>
      </c>
      <c r="K196" s="34" t="s">
        <v>320</v>
      </c>
      <c r="L196" s="34" t="s">
        <v>346</v>
      </c>
      <c r="M196" s="35" t="s">
        <v>643</v>
      </c>
      <c r="N196" s="35" t="s">
        <v>898</v>
      </c>
      <c r="O196" s="36"/>
      <c r="P196" s="36"/>
      <c r="Q196" s="35"/>
      <c r="S196" s="2">
        <f t="shared" si="51"/>
        <v>0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D196" s="2">
        <f t="shared" si="61"/>
        <v>0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1</v>
      </c>
    </row>
    <row r="197" spans="1:35" ht="14.25" customHeight="1" x14ac:dyDescent="0.25">
      <c r="A197" s="34">
        <v>0</v>
      </c>
      <c r="B197" s="34">
        <v>2</v>
      </c>
      <c r="C197" s="34">
        <v>6</v>
      </c>
      <c r="D197" s="35" t="s">
        <v>681</v>
      </c>
      <c r="E197" s="35" t="s">
        <v>34</v>
      </c>
      <c r="F197" s="35" t="s">
        <v>823</v>
      </c>
      <c r="G197" s="35" t="s">
        <v>96</v>
      </c>
      <c r="H197" s="35" t="s">
        <v>165</v>
      </c>
      <c r="I197" s="34" t="s">
        <v>617</v>
      </c>
      <c r="J197" s="34">
        <v>1</v>
      </c>
      <c r="K197" s="34" t="s">
        <v>318</v>
      </c>
      <c r="L197" s="34" t="s">
        <v>343</v>
      </c>
      <c r="M197" s="35" t="s">
        <v>618</v>
      </c>
      <c r="N197" s="35" t="s">
        <v>931</v>
      </c>
      <c r="O197" s="36"/>
      <c r="P197" s="36"/>
      <c r="Q197" s="35"/>
      <c r="S197" s="2">
        <f t="shared" si="51"/>
        <v>1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1</v>
      </c>
    </row>
    <row r="198" spans="1:35" ht="14.25" customHeight="1" x14ac:dyDescent="0.25">
      <c r="A198" s="34">
        <v>0</v>
      </c>
      <c r="B198" s="34">
        <v>2</v>
      </c>
      <c r="C198" s="34">
        <v>6</v>
      </c>
      <c r="D198" s="35" t="s">
        <v>52</v>
      </c>
      <c r="E198" s="35" t="s">
        <v>34</v>
      </c>
      <c r="F198" s="35" t="s">
        <v>105</v>
      </c>
      <c r="G198" s="35" t="s">
        <v>39</v>
      </c>
      <c r="H198" s="35" t="s">
        <v>165</v>
      </c>
      <c r="I198" s="34" t="s">
        <v>849</v>
      </c>
      <c r="J198" s="34">
        <v>8</v>
      </c>
      <c r="K198" s="34" t="s">
        <v>318</v>
      </c>
      <c r="L198" s="34" t="s">
        <v>339</v>
      </c>
      <c r="M198" s="35" t="s">
        <v>272</v>
      </c>
      <c r="N198" s="35" t="s">
        <v>911</v>
      </c>
      <c r="O198" s="36"/>
      <c r="P198" s="36"/>
      <c r="Q198" s="35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1</v>
      </c>
      <c r="AA198" s="2">
        <f t="shared" si="59"/>
        <v>0</v>
      </c>
      <c r="AB198" s="2">
        <f t="shared" si="60"/>
        <v>0</v>
      </c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1</v>
      </c>
    </row>
    <row r="199" spans="1:35" ht="14.25" customHeight="1" x14ac:dyDescent="0.25">
      <c r="A199" s="34">
        <v>0</v>
      </c>
      <c r="B199" s="34">
        <v>2</v>
      </c>
      <c r="C199" s="34">
        <v>6</v>
      </c>
      <c r="D199" s="35" t="s">
        <v>463</v>
      </c>
      <c r="E199" s="35" t="s">
        <v>34</v>
      </c>
      <c r="F199" s="35" t="s">
        <v>956</v>
      </c>
      <c r="G199" s="35" t="s">
        <v>103</v>
      </c>
      <c r="H199" s="35" t="s">
        <v>165</v>
      </c>
      <c r="I199" s="34" t="s">
        <v>394</v>
      </c>
      <c r="J199" s="34">
        <v>6</v>
      </c>
      <c r="K199" s="34" t="s">
        <v>321</v>
      </c>
      <c r="L199" s="34" t="s">
        <v>339</v>
      </c>
      <c r="M199" s="35" t="s">
        <v>701</v>
      </c>
      <c r="N199" s="35" t="s">
        <v>930</v>
      </c>
      <c r="O199" s="36"/>
      <c r="P199" s="36"/>
      <c r="Q199" s="35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1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</row>
    <row r="200" spans="1:35" ht="14.25" customHeight="1" x14ac:dyDescent="0.25">
      <c r="A200" s="31">
        <v>0</v>
      </c>
      <c r="B200" s="31">
        <v>2</v>
      </c>
      <c r="C200" s="31">
        <v>6</v>
      </c>
      <c r="D200" s="32" t="s">
        <v>685</v>
      </c>
      <c r="E200" s="32" t="s">
        <v>34</v>
      </c>
      <c r="F200" s="32" t="s">
        <v>605</v>
      </c>
      <c r="G200" s="32" t="s">
        <v>163</v>
      </c>
      <c r="H200" s="32" t="s">
        <v>165</v>
      </c>
      <c r="I200" s="31" t="s">
        <v>696</v>
      </c>
      <c r="J200" s="31">
        <v>5</v>
      </c>
      <c r="K200" s="31" t="s">
        <v>320</v>
      </c>
      <c r="L200" s="31">
        <v>30</v>
      </c>
      <c r="M200" s="32" t="s">
        <v>750</v>
      </c>
      <c r="N200" s="32" t="s">
        <v>914</v>
      </c>
      <c r="O200" s="33">
        <v>1</v>
      </c>
      <c r="P200" s="33"/>
      <c r="Q200" s="32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1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D200" s="2">
        <f t="shared" si="61"/>
        <v>0</v>
      </c>
      <c r="AE200" s="2">
        <f t="shared" si="62"/>
        <v>1</v>
      </c>
      <c r="AF200" s="2">
        <f t="shared" ref="AF200:AF228" si="63">+O200*P200*(1-A200)</f>
        <v>0</v>
      </c>
      <c r="AG200" s="2">
        <f t="shared" ref="AG200:AG228" si="64">O200*(1-P200)*(1-A200)</f>
        <v>1</v>
      </c>
      <c r="AH200" s="2">
        <f t="shared" ref="AH200:AH228" si="65">+P200*(1-A200)</f>
        <v>0</v>
      </c>
      <c r="AI200" s="2">
        <f t="shared" ref="AI200:AI228" si="66">+(1-A200)*(1-P200)</f>
        <v>1</v>
      </c>
    </row>
    <row r="201" spans="1:35" ht="14.25" customHeight="1" x14ac:dyDescent="0.25">
      <c r="A201" s="34">
        <v>0</v>
      </c>
      <c r="B201" s="34">
        <v>2</v>
      </c>
      <c r="C201" s="34">
        <v>6</v>
      </c>
      <c r="D201" s="35" t="s">
        <v>58</v>
      </c>
      <c r="E201" s="35" t="s">
        <v>34</v>
      </c>
      <c r="F201" s="35" t="s">
        <v>482</v>
      </c>
      <c r="G201" s="35" t="s">
        <v>103</v>
      </c>
      <c r="H201" s="35" t="s">
        <v>165</v>
      </c>
      <c r="I201" s="34" t="s">
        <v>179</v>
      </c>
      <c r="J201" s="34">
        <v>6</v>
      </c>
      <c r="K201" s="34" t="s">
        <v>321</v>
      </c>
      <c r="L201" s="34" t="s">
        <v>339</v>
      </c>
      <c r="M201" s="35" t="s">
        <v>702</v>
      </c>
      <c r="N201" s="35" t="s">
        <v>930</v>
      </c>
      <c r="O201" s="36"/>
      <c r="P201" s="36"/>
      <c r="Q201" s="35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1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D201" s="2">
        <f t="shared" si="61"/>
        <v>0</v>
      </c>
      <c r="AE201" s="2">
        <f t="shared" si="62"/>
        <v>0</v>
      </c>
      <c r="AF201" s="2">
        <f t="shared" si="63"/>
        <v>0</v>
      </c>
      <c r="AG201" s="2">
        <f t="shared" si="64"/>
        <v>0</v>
      </c>
      <c r="AH201" s="2">
        <f t="shared" si="65"/>
        <v>0</v>
      </c>
      <c r="AI201" s="2">
        <f t="shared" si="66"/>
        <v>1</v>
      </c>
    </row>
    <row r="202" spans="1:35" ht="14.25" customHeight="1" x14ac:dyDescent="0.25">
      <c r="A202" s="34">
        <v>0</v>
      </c>
      <c r="B202" s="34">
        <v>2</v>
      </c>
      <c r="C202" s="34">
        <v>6</v>
      </c>
      <c r="D202" s="35" t="s">
        <v>612</v>
      </c>
      <c r="E202" s="35" t="s">
        <v>34</v>
      </c>
      <c r="F202" s="35" t="s">
        <v>613</v>
      </c>
      <c r="G202" s="35" t="s">
        <v>516</v>
      </c>
      <c r="H202" s="35" t="s">
        <v>165</v>
      </c>
      <c r="I202" s="34" t="s">
        <v>614</v>
      </c>
      <c r="J202" s="34"/>
      <c r="K202" s="34" t="s">
        <v>378</v>
      </c>
      <c r="L202" s="34">
        <v>30</v>
      </c>
      <c r="M202" s="35" t="s">
        <v>272</v>
      </c>
      <c r="N202" s="35" t="s">
        <v>898</v>
      </c>
      <c r="O202" s="36"/>
      <c r="P202" s="36"/>
      <c r="Q202" s="35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D202" s="2">
        <f t="shared" si="61"/>
        <v>0</v>
      </c>
      <c r="AE202" s="2">
        <f t="shared" si="62"/>
        <v>0</v>
      </c>
      <c r="AF202" s="2">
        <f t="shared" si="63"/>
        <v>0</v>
      </c>
      <c r="AG202" s="2">
        <f t="shared" si="64"/>
        <v>0</v>
      </c>
      <c r="AH202" s="2">
        <f t="shared" si="65"/>
        <v>0</v>
      </c>
      <c r="AI202" s="2">
        <f t="shared" si="66"/>
        <v>1</v>
      </c>
    </row>
    <row r="203" spans="1:35" ht="14.25" customHeight="1" x14ac:dyDescent="0.25">
      <c r="A203" s="31">
        <v>0</v>
      </c>
      <c r="B203" s="31">
        <v>2</v>
      </c>
      <c r="C203" s="31">
        <v>6</v>
      </c>
      <c r="D203" s="32" t="s">
        <v>534</v>
      </c>
      <c r="E203" s="32" t="s">
        <v>679</v>
      </c>
      <c r="F203" s="32" t="s">
        <v>953</v>
      </c>
      <c r="G203" s="32" t="s">
        <v>584</v>
      </c>
      <c r="H203" s="32" t="s">
        <v>165</v>
      </c>
      <c r="I203" s="31" t="s">
        <v>535</v>
      </c>
      <c r="J203" s="31">
        <v>2</v>
      </c>
      <c r="K203" s="31" t="s">
        <v>320</v>
      </c>
      <c r="L203" s="31" t="s">
        <v>339</v>
      </c>
      <c r="M203" s="32" t="s">
        <v>272</v>
      </c>
      <c r="N203" s="32" t="s">
        <v>909</v>
      </c>
      <c r="O203" s="33">
        <v>1</v>
      </c>
      <c r="P203" s="33"/>
      <c r="Q203" s="32"/>
      <c r="S203" s="2">
        <f t="shared" si="51"/>
        <v>0</v>
      </c>
      <c r="T203" s="2">
        <f t="shared" si="52"/>
        <v>1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D203" s="2">
        <f t="shared" si="61"/>
        <v>0</v>
      </c>
      <c r="AE203" s="2">
        <f t="shared" si="62"/>
        <v>1</v>
      </c>
      <c r="AF203" s="2">
        <f t="shared" si="63"/>
        <v>0</v>
      </c>
      <c r="AG203" s="2">
        <f t="shared" si="64"/>
        <v>1</v>
      </c>
      <c r="AH203" s="2">
        <f t="shared" si="65"/>
        <v>0</v>
      </c>
      <c r="AI203" s="2">
        <f t="shared" si="66"/>
        <v>1</v>
      </c>
    </row>
    <row r="204" spans="1:35" ht="14.25" customHeight="1" x14ac:dyDescent="0.25">
      <c r="A204" s="31">
        <v>1</v>
      </c>
      <c r="B204" s="31">
        <v>2</v>
      </c>
      <c r="C204" s="31">
        <v>6</v>
      </c>
      <c r="D204" s="32" t="s">
        <v>534</v>
      </c>
      <c r="E204" s="32" t="s">
        <v>679</v>
      </c>
      <c r="F204" s="32" t="s">
        <v>954</v>
      </c>
      <c r="G204" s="32" t="s">
        <v>103</v>
      </c>
      <c r="H204" s="32" t="s">
        <v>165</v>
      </c>
      <c r="I204" s="31" t="s">
        <v>848</v>
      </c>
      <c r="J204" s="31">
        <v>6</v>
      </c>
      <c r="K204" s="31" t="s">
        <v>320</v>
      </c>
      <c r="L204" s="31" t="s">
        <v>339</v>
      </c>
      <c r="M204" s="32" t="s">
        <v>272</v>
      </c>
      <c r="N204" s="32" t="s">
        <v>909</v>
      </c>
      <c r="O204" s="33">
        <v>1</v>
      </c>
      <c r="P204" s="33"/>
      <c r="Q204" s="32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D204" s="2">
        <f t="shared" si="61"/>
        <v>0</v>
      </c>
      <c r="AE204" s="2">
        <f t="shared" si="62"/>
        <v>1</v>
      </c>
      <c r="AF204" s="2">
        <f t="shared" si="63"/>
        <v>0</v>
      </c>
      <c r="AG204" s="2">
        <f t="shared" si="64"/>
        <v>0</v>
      </c>
      <c r="AH204" s="2">
        <f t="shared" si="65"/>
        <v>0</v>
      </c>
      <c r="AI204" s="2">
        <f t="shared" si="66"/>
        <v>0</v>
      </c>
    </row>
    <row r="205" spans="1:35" ht="14.25" customHeight="1" x14ac:dyDescent="0.25">
      <c r="A205" s="31">
        <v>0</v>
      </c>
      <c r="B205" s="31">
        <v>2</v>
      </c>
      <c r="C205" s="31">
        <v>7</v>
      </c>
      <c r="D205" s="32" t="s">
        <v>410</v>
      </c>
      <c r="E205" s="32" t="s">
        <v>31</v>
      </c>
      <c r="F205" s="32" t="s">
        <v>411</v>
      </c>
      <c r="G205" s="32" t="s">
        <v>471</v>
      </c>
      <c r="H205" s="32" t="s">
        <v>165</v>
      </c>
      <c r="I205" s="31" t="s">
        <v>412</v>
      </c>
      <c r="J205" s="31">
        <v>9</v>
      </c>
      <c r="K205" s="31" t="s">
        <v>320</v>
      </c>
      <c r="L205" s="31" t="s">
        <v>318</v>
      </c>
      <c r="M205" s="32" t="s">
        <v>273</v>
      </c>
      <c r="N205" s="32" t="s">
        <v>895</v>
      </c>
      <c r="O205" s="33">
        <v>1</v>
      </c>
      <c r="P205" s="33">
        <v>1</v>
      </c>
      <c r="Q205" s="32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1</v>
      </c>
      <c r="AB205" s="2">
        <f t="shared" si="60"/>
        <v>0</v>
      </c>
      <c r="AD205" s="2">
        <f t="shared" si="61"/>
        <v>1</v>
      </c>
      <c r="AE205" s="2">
        <f t="shared" si="62"/>
        <v>0</v>
      </c>
      <c r="AF205" s="2">
        <f t="shared" si="63"/>
        <v>1</v>
      </c>
      <c r="AG205" s="2">
        <f t="shared" si="64"/>
        <v>0</v>
      </c>
      <c r="AH205" s="2">
        <f t="shared" si="65"/>
        <v>1</v>
      </c>
      <c r="AI205" s="2">
        <f t="shared" si="66"/>
        <v>0</v>
      </c>
    </row>
    <row r="206" spans="1:35" ht="14.25" customHeight="1" x14ac:dyDescent="0.25">
      <c r="A206" s="31">
        <v>0</v>
      </c>
      <c r="B206" s="31">
        <v>2</v>
      </c>
      <c r="C206" s="31">
        <v>7</v>
      </c>
      <c r="D206" s="32" t="s">
        <v>926</v>
      </c>
      <c r="E206" s="32" t="s">
        <v>920</v>
      </c>
      <c r="F206" s="32" t="s">
        <v>924</v>
      </c>
      <c r="G206" s="32" t="s">
        <v>132</v>
      </c>
      <c r="H206" s="32" t="s">
        <v>165</v>
      </c>
      <c r="I206" s="31" t="s">
        <v>927</v>
      </c>
      <c r="J206" s="31">
        <v>99</v>
      </c>
      <c r="K206" s="31" t="s">
        <v>378</v>
      </c>
      <c r="L206" s="31"/>
      <c r="M206" s="32"/>
      <c r="N206" s="32" t="s">
        <v>895</v>
      </c>
      <c r="O206" s="33">
        <v>1</v>
      </c>
      <c r="P206" s="33">
        <v>1</v>
      </c>
      <c r="Q206" s="32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D206" s="2">
        <f t="shared" si="61"/>
        <v>1</v>
      </c>
      <c r="AE206" s="2">
        <f t="shared" si="62"/>
        <v>0</v>
      </c>
      <c r="AF206" s="2">
        <f t="shared" si="63"/>
        <v>1</v>
      </c>
      <c r="AG206" s="2">
        <f t="shared" si="64"/>
        <v>0</v>
      </c>
      <c r="AH206" s="2">
        <f t="shared" si="65"/>
        <v>1</v>
      </c>
      <c r="AI206" s="2">
        <f t="shared" si="66"/>
        <v>0</v>
      </c>
    </row>
    <row r="207" spans="1:35" ht="14.25" customHeight="1" x14ac:dyDescent="0.25">
      <c r="A207" s="31">
        <v>0</v>
      </c>
      <c r="B207" s="31">
        <v>2</v>
      </c>
      <c r="C207" s="31">
        <v>7</v>
      </c>
      <c r="D207" s="32" t="s">
        <v>520</v>
      </c>
      <c r="E207" s="32" t="s">
        <v>31</v>
      </c>
      <c r="F207" s="32" t="s">
        <v>521</v>
      </c>
      <c r="G207" s="32" t="s">
        <v>124</v>
      </c>
      <c r="H207" s="32" t="s">
        <v>165</v>
      </c>
      <c r="I207" s="31" t="s">
        <v>522</v>
      </c>
      <c r="J207" s="31">
        <v>7</v>
      </c>
      <c r="K207" s="31" t="s">
        <v>319</v>
      </c>
      <c r="L207" s="31" t="s">
        <v>318</v>
      </c>
      <c r="M207" s="32" t="s">
        <v>273</v>
      </c>
      <c r="N207" s="32" t="s">
        <v>901</v>
      </c>
      <c r="O207" s="33">
        <v>1</v>
      </c>
      <c r="P207" s="33"/>
      <c r="Q207" s="32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1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D207" s="2">
        <f t="shared" si="61"/>
        <v>0</v>
      </c>
      <c r="AE207" s="2">
        <f t="shared" si="62"/>
        <v>1</v>
      </c>
      <c r="AF207" s="2">
        <f t="shared" si="63"/>
        <v>0</v>
      </c>
      <c r="AG207" s="2">
        <f t="shared" si="64"/>
        <v>1</v>
      </c>
      <c r="AH207" s="2">
        <f t="shared" si="65"/>
        <v>0</v>
      </c>
      <c r="AI207" s="2">
        <f t="shared" si="66"/>
        <v>1</v>
      </c>
    </row>
    <row r="208" spans="1:35" ht="14.25" customHeight="1" x14ac:dyDescent="0.25">
      <c r="A208" s="34">
        <v>0</v>
      </c>
      <c r="B208" s="34">
        <v>2</v>
      </c>
      <c r="C208" s="34">
        <v>7</v>
      </c>
      <c r="D208" s="35" t="s">
        <v>432</v>
      </c>
      <c r="E208" s="35" t="s">
        <v>31</v>
      </c>
      <c r="F208" s="35" t="s">
        <v>433</v>
      </c>
      <c r="G208" s="35" t="s">
        <v>117</v>
      </c>
      <c r="H208" s="35" t="s">
        <v>165</v>
      </c>
      <c r="I208" s="34" t="s">
        <v>484</v>
      </c>
      <c r="J208" s="34">
        <v>1</v>
      </c>
      <c r="K208" s="34" t="s">
        <v>320</v>
      </c>
      <c r="L208" s="34" t="s">
        <v>318</v>
      </c>
      <c r="M208" s="35" t="s">
        <v>273</v>
      </c>
      <c r="N208" s="35" t="s">
        <v>931</v>
      </c>
      <c r="O208" s="36"/>
      <c r="P208" s="36"/>
      <c r="Q208" s="35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D208" s="2">
        <f t="shared" si="61"/>
        <v>0</v>
      </c>
      <c r="AE208" s="2">
        <f t="shared" si="62"/>
        <v>0</v>
      </c>
      <c r="AF208" s="2">
        <f t="shared" si="63"/>
        <v>0</v>
      </c>
      <c r="AG208" s="2">
        <f t="shared" si="64"/>
        <v>0</v>
      </c>
      <c r="AH208" s="2">
        <f t="shared" si="65"/>
        <v>0</v>
      </c>
      <c r="AI208" s="2">
        <f t="shared" si="66"/>
        <v>1</v>
      </c>
    </row>
    <row r="209" spans="1:35" ht="14.25" customHeight="1" x14ac:dyDescent="0.25">
      <c r="A209" s="31">
        <v>0</v>
      </c>
      <c r="B209" s="31">
        <v>2</v>
      </c>
      <c r="C209" s="31">
        <v>7</v>
      </c>
      <c r="D209" s="32" t="s">
        <v>462</v>
      </c>
      <c r="E209" s="32" t="s">
        <v>31</v>
      </c>
      <c r="F209" s="32" t="s">
        <v>155</v>
      </c>
      <c r="G209" s="32" t="s">
        <v>122</v>
      </c>
      <c r="H209" s="32" t="s">
        <v>165</v>
      </c>
      <c r="I209" s="31" t="s">
        <v>198</v>
      </c>
      <c r="J209" s="31">
        <v>6</v>
      </c>
      <c r="K209" s="31" t="s">
        <v>321</v>
      </c>
      <c r="L209" s="31" t="s">
        <v>318</v>
      </c>
      <c r="M209" s="32" t="s">
        <v>273</v>
      </c>
      <c r="N209" s="32" t="s">
        <v>895</v>
      </c>
      <c r="O209" s="33">
        <v>1</v>
      </c>
      <c r="P209" s="33">
        <v>1</v>
      </c>
      <c r="Q209" s="32"/>
      <c r="S209" s="2">
        <f t="shared" ref="S209:S228" si="67">IF(J209=$S$7,1,0)</f>
        <v>0</v>
      </c>
      <c r="T209" s="2">
        <f t="shared" ref="T209:T228" si="68">IF(J209=$T$7,1,0)</f>
        <v>0</v>
      </c>
      <c r="U209" s="2">
        <f t="shared" ref="U209:U228" si="69">IF(J209=$U$7,1,0)</f>
        <v>0</v>
      </c>
      <c r="V209" s="2">
        <f t="shared" ref="V209:V228" si="70">IF(J209=$V$7,1,0)</f>
        <v>0</v>
      </c>
      <c r="W209" s="2">
        <f t="shared" ref="W209:W228" si="71">IF(J209=$W$7,1,0)</f>
        <v>0</v>
      </c>
      <c r="X209" s="2">
        <f t="shared" ref="X209:X228" si="72">IF(J209=$X$7,1,0)</f>
        <v>1</v>
      </c>
      <c r="Y209" s="2">
        <f t="shared" ref="Y209:Y228" si="73">IF(J209=$Y$7,1,0)</f>
        <v>0</v>
      </c>
      <c r="Z209" s="2">
        <f t="shared" ref="Z209:Z228" si="74">IF(J209=$Z$7,1,0)</f>
        <v>0</v>
      </c>
      <c r="AA209" s="2">
        <f t="shared" ref="AA209:AA228" si="75">IF(J209=$AA$7,1,0)</f>
        <v>0</v>
      </c>
      <c r="AB209" s="2">
        <f t="shared" ref="AB209:AB228" si="76">IF(J209=$AB$7,1,0)</f>
        <v>0</v>
      </c>
      <c r="AD209" s="2">
        <f t="shared" ref="AD209:AD228" si="77">+O209*P209</f>
        <v>1</v>
      </c>
      <c r="AE209" s="2">
        <f t="shared" ref="AE209:AE228" si="78">O209*(1-P209)</f>
        <v>0</v>
      </c>
      <c r="AF209" s="2">
        <f t="shared" si="63"/>
        <v>1</v>
      </c>
      <c r="AG209" s="2">
        <f t="shared" si="64"/>
        <v>0</v>
      </c>
      <c r="AH209" s="2">
        <f t="shared" si="65"/>
        <v>1</v>
      </c>
      <c r="AI209" s="2">
        <f t="shared" si="66"/>
        <v>0</v>
      </c>
    </row>
    <row r="210" spans="1:35" ht="14.25" customHeight="1" x14ac:dyDescent="0.25">
      <c r="A210" s="31">
        <v>0</v>
      </c>
      <c r="B210" s="31">
        <v>2</v>
      </c>
      <c r="C210" s="31">
        <v>7</v>
      </c>
      <c r="D210" s="32" t="s">
        <v>63</v>
      </c>
      <c r="E210" s="32" t="s">
        <v>31</v>
      </c>
      <c r="F210" s="32" t="s">
        <v>138</v>
      </c>
      <c r="G210" s="32" t="s">
        <v>125</v>
      </c>
      <c r="H210" s="32" t="s">
        <v>165</v>
      </c>
      <c r="I210" s="31" t="s">
        <v>375</v>
      </c>
      <c r="J210" s="31">
        <v>99</v>
      </c>
      <c r="K210" s="31" t="s">
        <v>320</v>
      </c>
      <c r="L210" s="31" t="s">
        <v>318</v>
      </c>
      <c r="M210" s="32" t="s">
        <v>273</v>
      </c>
      <c r="N210" s="32" t="s">
        <v>895</v>
      </c>
      <c r="O210" s="33">
        <v>1</v>
      </c>
      <c r="P210" s="33">
        <v>1</v>
      </c>
      <c r="Q210" s="32"/>
      <c r="S210" s="2">
        <f t="shared" si="67"/>
        <v>0</v>
      </c>
      <c r="T210" s="2">
        <f t="shared" si="68"/>
        <v>0</v>
      </c>
      <c r="U210" s="2">
        <f t="shared" si="69"/>
        <v>0</v>
      </c>
      <c r="V210" s="2">
        <f t="shared" si="70"/>
        <v>0</v>
      </c>
      <c r="W210" s="2">
        <f t="shared" si="71"/>
        <v>0</v>
      </c>
      <c r="X210" s="2">
        <f t="shared" si="72"/>
        <v>0</v>
      </c>
      <c r="Y210" s="2">
        <f t="shared" si="73"/>
        <v>0</v>
      </c>
      <c r="Z210" s="2">
        <f t="shared" si="74"/>
        <v>0</v>
      </c>
      <c r="AA210" s="2">
        <f t="shared" si="75"/>
        <v>0</v>
      </c>
      <c r="AB210" s="2">
        <f t="shared" si="76"/>
        <v>0</v>
      </c>
      <c r="AD210" s="2">
        <f t="shared" si="77"/>
        <v>1</v>
      </c>
      <c r="AE210" s="2">
        <f t="shared" si="78"/>
        <v>0</v>
      </c>
      <c r="AF210" s="2">
        <f t="shared" si="63"/>
        <v>1</v>
      </c>
      <c r="AG210" s="2">
        <f t="shared" si="64"/>
        <v>0</v>
      </c>
      <c r="AH210" s="2">
        <f t="shared" si="65"/>
        <v>1</v>
      </c>
      <c r="AI210" s="2">
        <f t="shared" si="66"/>
        <v>0</v>
      </c>
    </row>
    <row r="211" spans="1:35" ht="14.25" customHeight="1" x14ac:dyDescent="0.25">
      <c r="A211" s="31">
        <v>0</v>
      </c>
      <c r="B211" s="31">
        <v>2</v>
      </c>
      <c r="C211" s="31">
        <v>7</v>
      </c>
      <c r="D211" s="32" t="s">
        <v>429</v>
      </c>
      <c r="E211" s="32" t="s">
        <v>31</v>
      </c>
      <c r="F211" s="32" t="s">
        <v>430</v>
      </c>
      <c r="G211" s="32" t="s">
        <v>126</v>
      </c>
      <c r="H211" s="32" t="s">
        <v>165</v>
      </c>
      <c r="I211" s="31" t="s">
        <v>593</v>
      </c>
      <c r="J211" s="31">
        <v>99</v>
      </c>
      <c r="K211" s="31" t="s">
        <v>318</v>
      </c>
      <c r="L211" s="31" t="s">
        <v>318</v>
      </c>
      <c r="M211" s="32" t="s">
        <v>273</v>
      </c>
      <c r="N211" s="32" t="s">
        <v>932</v>
      </c>
      <c r="O211" s="33">
        <v>1</v>
      </c>
      <c r="P211" s="33"/>
      <c r="Q211" s="32"/>
      <c r="S211" s="2">
        <f t="shared" si="67"/>
        <v>0</v>
      </c>
      <c r="T211" s="2">
        <f t="shared" si="68"/>
        <v>0</v>
      </c>
      <c r="U211" s="2">
        <f t="shared" si="69"/>
        <v>0</v>
      </c>
      <c r="V211" s="2">
        <f t="shared" si="70"/>
        <v>0</v>
      </c>
      <c r="W211" s="2">
        <f t="shared" si="71"/>
        <v>0</v>
      </c>
      <c r="X211" s="2">
        <f t="shared" si="72"/>
        <v>0</v>
      </c>
      <c r="Y211" s="2">
        <f t="shared" si="73"/>
        <v>0</v>
      </c>
      <c r="Z211" s="2">
        <f t="shared" si="74"/>
        <v>0</v>
      </c>
      <c r="AA211" s="2">
        <f t="shared" si="75"/>
        <v>0</v>
      </c>
      <c r="AB211" s="2">
        <f t="shared" si="76"/>
        <v>0</v>
      </c>
      <c r="AD211" s="2">
        <f t="shared" si="77"/>
        <v>0</v>
      </c>
      <c r="AE211" s="2">
        <f t="shared" si="78"/>
        <v>1</v>
      </c>
      <c r="AF211" s="2">
        <f t="shared" si="63"/>
        <v>0</v>
      </c>
      <c r="AG211" s="2">
        <f t="shared" si="64"/>
        <v>1</v>
      </c>
      <c r="AH211" s="2">
        <f t="shared" si="65"/>
        <v>0</v>
      </c>
      <c r="AI211" s="2">
        <f t="shared" si="66"/>
        <v>1</v>
      </c>
    </row>
    <row r="212" spans="1:35" ht="14.25" customHeight="1" x14ac:dyDescent="0.25">
      <c r="A212" s="31">
        <v>1</v>
      </c>
      <c r="B212" s="31">
        <v>2</v>
      </c>
      <c r="C212" s="31">
        <v>7</v>
      </c>
      <c r="D212" s="32" t="s">
        <v>429</v>
      </c>
      <c r="E212" s="32" t="s">
        <v>31</v>
      </c>
      <c r="F212" s="32" t="s">
        <v>664</v>
      </c>
      <c r="G212" s="32" t="s">
        <v>665</v>
      </c>
      <c r="H212" s="32" t="s">
        <v>165</v>
      </c>
      <c r="I212" s="31" t="s">
        <v>593</v>
      </c>
      <c r="J212" s="31">
        <v>99</v>
      </c>
      <c r="K212" s="31" t="s">
        <v>318</v>
      </c>
      <c r="L212" s="31" t="s">
        <v>318</v>
      </c>
      <c r="M212" s="32" t="s">
        <v>273</v>
      </c>
      <c r="N212" s="32" t="s">
        <v>932</v>
      </c>
      <c r="O212" s="33">
        <v>1</v>
      </c>
      <c r="P212" s="33"/>
      <c r="Q212" s="32"/>
      <c r="S212" s="2">
        <f t="shared" si="67"/>
        <v>0</v>
      </c>
      <c r="T212" s="2">
        <f t="shared" si="68"/>
        <v>0</v>
      </c>
      <c r="U212" s="2">
        <f t="shared" si="69"/>
        <v>0</v>
      </c>
      <c r="V212" s="2">
        <f t="shared" si="70"/>
        <v>0</v>
      </c>
      <c r="W212" s="2">
        <f t="shared" si="71"/>
        <v>0</v>
      </c>
      <c r="X212" s="2">
        <f t="shared" si="72"/>
        <v>0</v>
      </c>
      <c r="Y212" s="2">
        <f t="shared" si="73"/>
        <v>0</v>
      </c>
      <c r="Z212" s="2">
        <f t="shared" si="74"/>
        <v>0</v>
      </c>
      <c r="AA212" s="2">
        <f t="shared" si="75"/>
        <v>0</v>
      </c>
      <c r="AB212" s="2">
        <f t="shared" si="76"/>
        <v>0</v>
      </c>
      <c r="AD212" s="2">
        <f t="shared" si="77"/>
        <v>0</v>
      </c>
      <c r="AE212" s="2">
        <f t="shared" si="78"/>
        <v>1</v>
      </c>
      <c r="AF212" s="2">
        <f t="shared" si="63"/>
        <v>0</v>
      </c>
      <c r="AG212" s="2">
        <f t="shared" si="64"/>
        <v>0</v>
      </c>
      <c r="AH212" s="2">
        <f t="shared" si="65"/>
        <v>0</v>
      </c>
      <c r="AI212" s="2">
        <f t="shared" si="66"/>
        <v>0</v>
      </c>
    </row>
    <row r="213" spans="1:35" ht="14.25" customHeight="1" x14ac:dyDescent="0.25">
      <c r="A213" s="31">
        <v>0</v>
      </c>
      <c r="B213" s="31">
        <v>2</v>
      </c>
      <c r="C213" s="31">
        <v>7</v>
      </c>
      <c r="D213" s="32" t="s">
        <v>72</v>
      </c>
      <c r="E213" s="32" t="s">
        <v>31</v>
      </c>
      <c r="F213" s="32" t="s">
        <v>151</v>
      </c>
      <c r="G213" s="32" t="s">
        <v>99</v>
      </c>
      <c r="H213" s="32" t="s">
        <v>165</v>
      </c>
      <c r="I213" s="31" t="s">
        <v>195</v>
      </c>
      <c r="J213" s="31">
        <v>3</v>
      </c>
      <c r="K213" s="31" t="s">
        <v>320</v>
      </c>
      <c r="L213" s="31" t="s">
        <v>318</v>
      </c>
      <c r="M213" s="32" t="s">
        <v>273</v>
      </c>
      <c r="N213" s="32" t="s">
        <v>932</v>
      </c>
      <c r="O213" s="33">
        <v>1</v>
      </c>
      <c r="P213" s="33"/>
      <c r="Q213" s="32"/>
      <c r="S213" s="2">
        <f t="shared" si="67"/>
        <v>0</v>
      </c>
      <c r="T213" s="2">
        <f t="shared" si="68"/>
        <v>0</v>
      </c>
      <c r="U213" s="2">
        <f t="shared" si="69"/>
        <v>1</v>
      </c>
      <c r="V213" s="2">
        <f t="shared" si="70"/>
        <v>0</v>
      </c>
      <c r="W213" s="2">
        <f t="shared" si="71"/>
        <v>0</v>
      </c>
      <c r="X213" s="2">
        <f t="shared" si="72"/>
        <v>0</v>
      </c>
      <c r="Y213" s="2">
        <f t="shared" si="73"/>
        <v>0</v>
      </c>
      <c r="Z213" s="2">
        <f t="shared" si="74"/>
        <v>0</v>
      </c>
      <c r="AA213" s="2">
        <f t="shared" si="75"/>
        <v>0</v>
      </c>
      <c r="AB213" s="2">
        <f t="shared" si="76"/>
        <v>0</v>
      </c>
      <c r="AD213" s="2">
        <f t="shared" si="77"/>
        <v>0</v>
      </c>
      <c r="AE213" s="2">
        <f t="shared" si="78"/>
        <v>1</v>
      </c>
      <c r="AF213" s="2">
        <f t="shared" si="63"/>
        <v>0</v>
      </c>
      <c r="AG213" s="2">
        <f t="shared" si="64"/>
        <v>1</v>
      </c>
      <c r="AH213" s="2">
        <f t="shared" si="65"/>
        <v>0</v>
      </c>
      <c r="AI213" s="2">
        <f t="shared" si="66"/>
        <v>1</v>
      </c>
    </row>
    <row r="214" spans="1:35" ht="14.25" customHeight="1" x14ac:dyDescent="0.25">
      <c r="A214" s="34">
        <v>0</v>
      </c>
      <c r="B214" s="34">
        <v>2</v>
      </c>
      <c r="C214" s="34">
        <v>7</v>
      </c>
      <c r="D214" s="35" t="s">
        <v>305</v>
      </c>
      <c r="E214" s="35" t="s">
        <v>31</v>
      </c>
      <c r="F214" s="35" t="s">
        <v>822</v>
      </c>
      <c r="G214" s="35" t="s">
        <v>578</v>
      </c>
      <c r="H214" s="35" t="s">
        <v>165</v>
      </c>
      <c r="I214" s="34" t="s">
        <v>297</v>
      </c>
      <c r="J214" s="34">
        <v>99</v>
      </c>
      <c r="K214" s="34" t="s">
        <v>318</v>
      </c>
      <c r="L214" s="34" t="s">
        <v>318</v>
      </c>
      <c r="M214" s="35" t="s">
        <v>273</v>
      </c>
      <c r="N214" s="35" t="s">
        <v>930</v>
      </c>
      <c r="O214" s="36"/>
      <c r="P214" s="36"/>
      <c r="Q214" s="35"/>
      <c r="S214" s="2">
        <f t="shared" si="67"/>
        <v>0</v>
      </c>
      <c r="T214" s="2">
        <f t="shared" si="68"/>
        <v>0</v>
      </c>
      <c r="U214" s="2">
        <f t="shared" si="69"/>
        <v>0</v>
      </c>
      <c r="V214" s="2">
        <f t="shared" si="70"/>
        <v>0</v>
      </c>
      <c r="W214" s="2">
        <f t="shared" si="71"/>
        <v>0</v>
      </c>
      <c r="X214" s="2">
        <f t="shared" si="72"/>
        <v>0</v>
      </c>
      <c r="Y214" s="2">
        <f t="shared" si="73"/>
        <v>0</v>
      </c>
      <c r="Z214" s="2">
        <f t="shared" si="74"/>
        <v>0</v>
      </c>
      <c r="AA214" s="2">
        <f t="shared" si="75"/>
        <v>0</v>
      </c>
      <c r="AB214" s="2">
        <f t="shared" si="76"/>
        <v>0</v>
      </c>
      <c r="AD214" s="2">
        <f t="shared" si="77"/>
        <v>0</v>
      </c>
      <c r="AE214" s="2">
        <f t="shared" si="78"/>
        <v>0</v>
      </c>
      <c r="AF214" s="2">
        <f t="shared" si="63"/>
        <v>0</v>
      </c>
      <c r="AG214" s="2">
        <f t="shared" si="64"/>
        <v>0</v>
      </c>
      <c r="AH214" s="2">
        <f t="shared" si="65"/>
        <v>0</v>
      </c>
      <c r="AI214" s="2">
        <f t="shared" si="66"/>
        <v>1</v>
      </c>
    </row>
    <row r="215" spans="1:35" ht="14.25" customHeight="1" x14ac:dyDescent="0.25">
      <c r="A215" s="34">
        <v>0</v>
      </c>
      <c r="B215" s="34">
        <v>2</v>
      </c>
      <c r="C215" s="34">
        <v>7</v>
      </c>
      <c r="D215" s="35" t="s">
        <v>73</v>
      </c>
      <c r="E215" s="35" t="s">
        <v>31</v>
      </c>
      <c r="F215" s="35" t="s">
        <v>152</v>
      </c>
      <c r="G215" s="35" t="s">
        <v>120</v>
      </c>
      <c r="H215" s="35" t="s">
        <v>165</v>
      </c>
      <c r="I215" s="34" t="s">
        <v>196</v>
      </c>
      <c r="J215" s="34">
        <v>6</v>
      </c>
      <c r="K215" s="34" t="s">
        <v>320</v>
      </c>
      <c r="L215" s="34" t="s">
        <v>318</v>
      </c>
      <c r="M215" s="35" t="s">
        <v>273</v>
      </c>
      <c r="N215" s="35" t="s">
        <v>897</v>
      </c>
      <c r="O215" s="36"/>
      <c r="P215" s="36"/>
      <c r="Q215" s="35"/>
      <c r="S215" s="2">
        <f t="shared" si="67"/>
        <v>0</v>
      </c>
      <c r="T215" s="2">
        <f t="shared" si="68"/>
        <v>0</v>
      </c>
      <c r="U215" s="2">
        <f t="shared" si="69"/>
        <v>0</v>
      </c>
      <c r="V215" s="2">
        <f t="shared" si="70"/>
        <v>0</v>
      </c>
      <c r="W215" s="2">
        <f t="shared" si="71"/>
        <v>0</v>
      </c>
      <c r="X215" s="2">
        <f t="shared" si="72"/>
        <v>1</v>
      </c>
      <c r="Y215" s="2">
        <f t="shared" si="73"/>
        <v>0</v>
      </c>
      <c r="Z215" s="2">
        <f t="shared" si="74"/>
        <v>0</v>
      </c>
      <c r="AA215" s="2">
        <f t="shared" si="75"/>
        <v>0</v>
      </c>
      <c r="AB215" s="2">
        <f t="shared" si="76"/>
        <v>0</v>
      </c>
      <c r="AD215" s="2">
        <f t="shared" si="77"/>
        <v>0</v>
      </c>
      <c r="AE215" s="2">
        <f t="shared" si="78"/>
        <v>0</v>
      </c>
      <c r="AF215" s="2">
        <f t="shared" si="63"/>
        <v>0</v>
      </c>
      <c r="AG215" s="2">
        <f t="shared" si="64"/>
        <v>0</v>
      </c>
      <c r="AH215" s="2">
        <f t="shared" si="65"/>
        <v>0</v>
      </c>
      <c r="AI215" s="2">
        <f t="shared" si="66"/>
        <v>1</v>
      </c>
    </row>
    <row r="216" spans="1:35" ht="14.25" customHeight="1" x14ac:dyDescent="0.25">
      <c r="A216" s="34">
        <v>1</v>
      </c>
      <c r="B216" s="34">
        <v>2</v>
      </c>
      <c r="C216" s="34">
        <v>7</v>
      </c>
      <c r="D216" s="35" t="s">
        <v>73</v>
      </c>
      <c r="E216" s="35" t="s">
        <v>31</v>
      </c>
      <c r="F216" s="35" t="s">
        <v>310</v>
      </c>
      <c r="G216" s="35" t="s">
        <v>102</v>
      </c>
      <c r="H216" s="35" t="s">
        <v>165</v>
      </c>
      <c r="I216" s="34" t="s">
        <v>316</v>
      </c>
      <c r="J216" s="34">
        <v>4</v>
      </c>
      <c r="K216" s="34" t="s">
        <v>320</v>
      </c>
      <c r="L216" s="34" t="s">
        <v>318</v>
      </c>
      <c r="M216" s="35" t="s">
        <v>273</v>
      </c>
      <c r="N216" s="35" t="s">
        <v>897</v>
      </c>
      <c r="O216" s="36"/>
      <c r="P216" s="36"/>
      <c r="Q216" s="35"/>
      <c r="S216" s="2">
        <f t="shared" si="67"/>
        <v>0</v>
      </c>
      <c r="T216" s="2">
        <f t="shared" si="68"/>
        <v>0</v>
      </c>
      <c r="U216" s="2">
        <f t="shared" si="69"/>
        <v>0</v>
      </c>
      <c r="V216" s="2">
        <f t="shared" si="70"/>
        <v>1</v>
      </c>
      <c r="W216" s="2">
        <f t="shared" si="71"/>
        <v>0</v>
      </c>
      <c r="X216" s="2">
        <f t="shared" si="72"/>
        <v>0</v>
      </c>
      <c r="Y216" s="2">
        <f t="shared" si="73"/>
        <v>0</v>
      </c>
      <c r="Z216" s="2">
        <f t="shared" si="74"/>
        <v>0</v>
      </c>
      <c r="AA216" s="2">
        <f t="shared" si="75"/>
        <v>0</v>
      </c>
      <c r="AB216" s="2">
        <f t="shared" si="76"/>
        <v>0</v>
      </c>
      <c r="AD216" s="2">
        <f t="shared" si="77"/>
        <v>0</v>
      </c>
      <c r="AE216" s="2">
        <f t="shared" si="78"/>
        <v>0</v>
      </c>
      <c r="AF216" s="2">
        <f t="shared" si="63"/>
        <v>0</v>
      </c>
      <c r="AG216" s="2">
        <f t="shared" si="64"/>
        <v>0</v>
      </c>
      <c r="AH216" s="2">
        <f t="shared" si="65"/>
        <v>0</v>
      </c>
      <c r="AI216" s="2">
        <f t="shared" si="66"/>
        <v>0</v>
      </c>
    </row>
    <row r="217" spans="1:35" ht="14.25" customHeight="1" x14ac:dyDescent="0.25">
      <c r="A217" s="31">
        <v>0</v>
      </c>
      <c r="B217" s="31">
        <v>2</v>
      </c>
      <c r="C217" s="31">
        <v>7</v>
      </c>
      <c r="D217" s="32" t="s">
        <v>395</v>
      </c>
      <c r="E217" s="32" t="s">
        <v>31</v>
      </c>
      <c r="F217" s="32" t="s">
        <v>476</v>
      </c>
      <c r="G217" s="32" t="s">
        <v>477</v>
      </c>
      <c r="H217" s="32" t="s">
        <v>165</v>
      </c>
      <c r="I217" s="31" t="s">
        <v>396</v>
      </c>
      <c r="J217" s="31">
        <v>99</v>
      </c>
      <c r="K217" s="31" t="s">
        <v>318</v>
      </c>
      <c r="L217" s="31" t="s">
        <v>318</v>
      </c>
      <c r="M217" s="32" t="s">
        <v>273</v>
      </c>
      <c r="N217" s="32" t="s">
        <v>901</v>
      </c>
      <c r="O217" s="33">
        <v>1</v>
      </c>
      <c r="P217" s="33"/>
      <c r="Q217" s="32"/>
      <c r="S217" s="2">
        <f t="shared" si="67"/>
        <v>0</v>
      </c>
      <c r="T217" s="2">
        <f t="shared" si="68"/>
        <v>0</v>
      </c>
      <c r="U217" s="2">
        <f t="shared" si="69"/>
        <v>0</v>
      </c>
      <c r="V217" s="2">
        <f t="shared" si="70"/>
        <v>0</v>
      </c>
      <c r="W217" s="2">
        <f t="shared" si="71"/>
        <v>0</v>
      </c>
      <c r="X217" s="2">
        <f t="shared" si="72"/>
        <v>0</v>
      </c>
      <c r="Y217" s="2">
        <f t="shared" si="73"/>
        <v>0</v>
      </c>
      <c r="Z217" s="2">
        <f t="shared" si="74"/>
        <v>0</v>
      </c>
      <c r="AA217" s="2">
        <f t="shared" si="75"/>
        <v>0</v>
      </c>
      <c r="AB217" s="2">
        <f t="shared" si="76"/>
        <v>0</v>
      </c>
      <c r="AD217" s="2">
        <f t="shared" si="77"/>
        <v>0</v>
      </c>
      <c r="AE217" s="2">
        <f t="shared" si="78"/>
        <v>1</v>
      </c>
      <c r="AF217" s="2">
        <f t="shared" si="63"/>
        <v>0</v>
      </c>
      <c r="AG217" s="2">
        <f t="shared" si="64"/>
        <v>1</v>
      </c>
      <c r="AH217" s="2">
        <f t="shared" si="65"/>
        <v>0</v>
      </c>
      <c r="AI217" s="2">
        <f t="shared" si="66"/>
        <v>1</v>
      </c>
    </row>
    <row r="218" spans="1:35" ht="14.25" customHeight="1" x14ac:dyDescent="0.25">
      <c r="A218" s="34">
        <v>0</v>
      </c>
      <c r="B218" s="34">
        <v>2</v>
      </c>
      <c r="C218" s="34">
        <v>7</v>
      </c>
      <c r="D218" s="35" t="s">
        <v>568</v>
      </c>
      <c r="E218" s="35" t="s">
        <v>31</v>
      </c>
      <c r="F218" s="35" t="s">
        <v>579</v>
      </c>
      <c r="G218" s="35" t="s">
        <v>132</v>
      </c>
      <c r="H218" s="35" t="s">
        <v>165</v>
      </c>
      <c r="I218" s="34" t="s">
        <v>844</v>
      </c>
      <c r="J218" s="34">
        <v>3</v>
      </c>
      <c r="K218" s="34" t="s">
        <v>320</v>
      </c>
      <c r="L218" s="34" t="s">
        <v>318</v>
      </c>
      <c r="M218" s="35" t="s">
        <v>273</v>
      </c>
      <c r="N218" s="35" t="s">
        <v>931</v>
      </c>
      <c r="O218" s="36"/>
      <c r="P218" s="36"/>
      <c r="Q218" s="35"/>
      <c r="S218" s="2">
        <f t="shared" si="67"/>
        <v>0</v>
      </c>
      <c r="T218" s="2">
        <f t="shared" si="68"/>
        <v>0</v>
      </c>
      <c r="U218" s="2">
        <f t="shared" si="69"/>
        <v>1</v>
      </c>
      <c r="V218" s="2">
        <f t="shared" si="70"/>
        <v>0</v>
      </c>
      <c r="W218" s="2">
        <f t="shared" si="71"/>
        <v>0</v>
      </c>
      <c r="X218" s="2">
        <f t="shared" si="72"/>
        <v>0</v>
      </c>
      <c r="Y218" s="2">
        <f t="shared" si="73"/>
        <v>0</v>
      </c>
      <c r="Z218" s="2">
        <f t="shared" si="74"/>
        <v>0</v>
      </c>
      <c r="AA218" s="2">
        <f t="shared" si="75"/>
        <v>0</v>
      </c>
      <c r="AB218" s="2">
        <f t="shared" si="76"/>
        <v>0</v>
      </c>
      <c r="AD218" s="2">
        <f t="shared" si="77"/>
        <v>0</v>
      </c>
      <c r="AE218" s="2">
        <f t="shared" si="78"/>
        <v>0</v>
      </c>
      <c r="AF218" s="2">
        <f t="shared" si="63"/>
        <v>0</v>
      </c>
      <c r="AG218" s="2">
        <f t="shared" si="64"/>
        <v>0</v>
      </c>
      <c r="AH218" s="2">
        <f t="shared" si="65"/>
        <v>0</v>
      </c>
      <c r="AI218" s="2">
        <f t="shared" si="66"/>
        <v>1</v>
      </c>
    </row>
    <row r="219" spans="1:35" ht="14.25" customHeight="1" x14ac:dyDescent="0.25">
      <c r="A219" s="34">
        <v>0</v>
      </c>
      <c r="B219" s="34">
        <v>2</v>
      </c>
      <c r="C219" s="34">
        <v>7</v>
      </c>
      <c r="D219" s="35" t="s">
        <v>74</v>
      </c>
      <c r="E219" s="35" t="s">
        <v>31</v>
      </c>
      <c r="F219" s="35" t="s">
        <v>311</v>
      </c>
      <c r="G219" s="35" t="s">
        <v>103</v>
      </c>
      <c r="H219" s="35" t="s">
        <v>165</v>
      </c>
      <c r="I219" s="34" t="s">
        <v>845</v>
      </c>
      <c r="J219" s="34">
        <v>6</v>
      </c>
      <c r="K219" s="34" t="s">
        <v>318</v>
      </c>
      <c r="L219" s="34" t="s">
        <v>318</v>
      </c>
      <c r="M219" s="35" t="s">
        <v>273</v>
      </c>
      <c r="N219" s="35" t="s">
        <v>930</v>
      </c>
      <c r="O219" s="36"/>
      <c r="P219" s="36"/>
      <c r="Q219" s="35"/>
      <c r="S219" s="2">
        <f t="shared" si="67"/>
        <v>0</v>
      </c>
      <c r="T219" s="2">
        <f t="shared" si="68"/>
        <v>0</v>
      </c>
      <c r="U219" s="2">
        <f t="shared" si="69"/>
        <v>0</v>
      </c>
      <c r="V219" s="2">
        <f t="shared" si="70"/>
        <v>0</v>
      </c>
      <c r="W219" s="2">
        <f t="shared" si="71"/>
        <v>0</v>
      </c>
      <c r="X219" s="2">
        <f t="shared" si="72"/>
        <v>1</v>
      </c>
      <c r="Y219" s="2">
        <f t="shared" si="73"/>
        <v>0</v>
      </c>
      <c r="Z219" s="2">
        <f t="shared" si="74"/>
        <v>0</v>
      </c>
      <c r="AA219" s="2">
        <f t="shared" si="75"/>
        <v>0</v>
      </c>
      <c r="AB219" s="2">
        <f t="shared" si="76"/>
        <v>0</v>
      </c>
      <c r="AD219" s="2">
        <f t="shared" si="77"/>
        <v>0</v>
      </c>
      <c r="AE219" s="2">
        <f t="shared" si="78"/>
        <v>0</v>
      </c>
      <c r="AF219" s="2">
        <f t="shared" si="63"/>
        <v>0</v>
      </c>
      <c r="AG219" s="2">
        <f t="shared" si="64"/>
        <v>0</v>
      </c>
      <c r="AH219" s="2">
        <f t="shared" si="65"/>
        <v>0</v>
      </c>
      <c r="AI219" s="2">
        <f t="shared" si="66"/>
        <v>1</v>
      </c>
    </row>
    <row r="220" spans="1:35" ht="14.25" customHeight="1" x14ac:dyDescent="0.25">
      <c r="A220" s="34">
        <v>0</v>
      </c>
      <c r="B220" s="34">
        <v>2</v>
      </c>
      <c r="C220" s="34">
        <v>7</v>
      </c>
      <c r="D220" s="35" t="s">
        <v>68</v>
      </c>
      <c r="E220" s="35" t="s">
        <v>90</v>
      </c>
      <c r="F220" s="35" t="s">
        <v>146</v>
      </c>
      <c r="G220" s="35" t="s">
        <v>103</v>
      </c>
      <c r="H220" s="35" t="s">
        <v>165</v>
      </c>
      <c r="I220" s="34" t="s">
        <v>191</v>
      </c>
      <c r="J220" s="34">
        <v>6</v>
      </c>
      <c r="K220" s="34" t="s">
        <v>321</v>
      </c>
      <c r="L220" s="34" t="s">
        <v>333</v>
      </c>
      <c r="M220" s="35" t="s">
        <v>274</v>
      </c>
      <c r="N220" s="35" t="s">
        <v>931</v>
      </c>
      <c r="O220" s="36"/>
      <c r="P220" s="36"/>
      <c r="Q220" s="35"/>
      <c r="S220" s="2">
        <f t="shared" si="67"/>
        <v>0</v>
      </c>
      <c r="T220" s="2">
        <f t="shared" si="68"/>
        <v>0</v>
      </c>
      <c r="U220" s="2">
        <f t="shared" si="69"/>
        <v>0</v>
      </c>
      <c r="V220" s="2">
        <f t="shared" si="70"/>
        <v>0</v>
      </c>
      <c r="W220" s="2">
        <f t="shared" si="71"/>
        <v>0</v>
      </c>
      <c r="X220" s="2">
        <f t="shared" si="72"/>
        <v>1</v>
      </c>
      <c r="Y220" s="2">
        <f t="shared" si="73"/>
        <v>0</v>
      </c>
      <c r="Z220" s="2">
        <f t="shared" si="74"/>
        <v>0</v>
      </c>
      <c r="AA220" s="2">
        <f t="shared" si="75"/>
        <v>0</v>
      </c>
      <c r="AB220" s="2">
        <f t="shared" si="76"/>
        <v>0</v>
      </c>
      <c r="AD220" s="2">
        <f t="shared" si="77"/>
        <v>0</v>
      </c>
      <c r="AE220" s="2">
        <f t="shared" si="78"/>
        <v>0</v>
      </c>
      <c r="AF220" s="2">
        <f t="shared" si="63"/>
        <v>0</v>
      </c>
      <c r="AG220" s="2">
        <f t="shared" si="64"/>
        <v>0</v>
      </c>
      <c r="AH220" s="2">
        <f t="shared" si="65"/>
        <v>0</v>
      </c>
      <c r="AI220" s="2">
        <f t="shared" si="66"/>
        <v>1</v>
      </c>
    </row>
    <row r="221" spans="1:35" ht="14.25" customHeight="1" x14ac:dyDescent="0.25">
      <c r="A221" s="31">
        <v>0</v>
      </c>
      <c r="B221" s="31">
        <v>2</v>
      </c>
      <c r="C221" s="31">
        <v>7</v>
      </c>
      <c r="D221" s="32" t="s">
        <v>464</v>
      </c>
      <c r="E221" s="32" t="s">
        <v>31</v>
      </c>
      <c r="F221" s="32" t="s">
        <v>397</v>
      </c>
      <c r="G221" s="32" t="s">
        <v>480</v>
      </c>
      <c r="H221" s="32" t="s">
        <v>165</v>
      </c>
      <c r="I221" s="31" t="s">
        <v>490</v>
      </c>
      <c r="J221" s="31">
        <v>99</v>
      </c>
      <c r="K221" s="31" t="s">
        <v>378</v>
      </c>
      <c r="L221" s="31" t="s">
        <v>318</v>
      </c>
      <c r="M221" s="32" t="s">
        <v>273</v>
      </c>
      <c r="N221" s="32" t="s">
        <v>937</v>
      </c>
      <c r="O221" s="33">
        <v>1</v>
      </c>
      <c r="P221" s="33"/>
      <c r="Q221" s="32"/>
      <c r="S221" s="2">
        <f t="shared" si="67"/>
        <v>0</v>
      </c>
      <c r="T221" s="2">
        <f t="shared" si="68"/>
        <v>0</v>
      </c>
      <c r="U221" s="2">
        <f t="shared" si="69"/>
        <v>0</v>
      </c>
      <c r="V221" s="2">
        <f t="shared" si="70"/>
        <v>0</v>
      </c>
      <c r="W221" s="2">
        <f t="shared" si="71"/>
        <v>0</v>
      </c>
      <c r="X221" s="2">
        <f t="shared" si="72"/>
        <v>0</v>
      </c>
      <c r="Y221" s="2">
        <f t="shared" si="73"/>
        <v>0</v>
      </c>
      <c r="Z221" s="2">
        <f t="shared" si="74"/>
        <v>0</v>
      </c>
      <c r="AA221" s="2">
        <f t="shared" si="75"/>
        <v>0</v>
      </c>
      <c r="AB221" s="2">
        <f t="shared" si="76"/>
        <v>0</v>
      </c>
      <c r="AD221" s="2">
        <f t="shared" si="77"/>
        <v>0</v>
      </c>
      <c r="AE221" s="2">
        <f t="shared" si="78"/>
        <v>1</v>
      </c>
      <c r="AF221" s="2">
        <f t="shared" si="63"/>
        <v>0</v>
      </c>
      <c r="AG221" s="2">
        <f t="shared" si="64"/>
        <v>1</v>
      </c>
      <c r="AH221" s="2">
        <f t="shared" si="65"/>
        <v>0</v>
      </c>
      <c r="AI221" s="2">
        <f t="shared" si="66"/>
        <v>1</v>
      </c>
    </row>
    <row r="222" spans="1:35" ht="14.25" customHeight="1" x14ac:dyDescent="0.25">
      <c r="A222" s="31">
        <v>0</v>
      </c>
      <c r="B222" s="31">
        <v>2</v>
      </c>
      <c r="C222" s="31">
        <v>7</v>
      </c>
      <c r="D222" s="32" t="s">
        <v>506</v>
      </c>
      <c r="E222" s="32" t="s">
        <v>31</v>
      </c>
      <c r="F222" s="32" t="s">
        <v>507</v>
      </c>
      <c r="G222" s="32" t="s">
        <v>96</v>
      </c>
      <c r="H222" s="32" t="s">
        <v>165</v>
      </c>
      <c r="I222" s="31" t="s">
        <v>508</v>
      </c>
      <c r="J222" s="31">
        <v>3</v>
      </c>
      <c r="K222" s="31" t="s">
        <v>318</v>
      </c>
      <c r="L222" s="31" t="s">
        <v>318</v>
      </c>
      <c r="M222" s="32" t="s">
        <v>273</v>
      </c>
      <c r="N222" s="32" t="s">
        <v>915</v>
      </c>
      <c r="O222" s="33">
        <v>1</v>
      </c>
      <c r="P222" s="33"/>
      <c r="Q222" s="32"/>
      <c r="S222" s="2">
        <f t="shared" si="67"/>
        <v>0</v>
      </c>
      <c r="T222" s="2">
        <f t="shared" si="68"/>
        <v>0</v>
      </c>
      <c r="U222" s="2">
        <f t="shared" si="69"/>
        <v>1</v>
      </c>
      <c r="V222" s="2">
        <f t="shared" si="70"/>
        <v>0</v>
      </c>
      <c r="W222" s="2">
        <f t="shared" si="71"/>
        <v>0</v>
      </c>
      <c r="X222" s="2">
        <f t="shared" si="72"/>
        <v>0</v>
      </c>
      <c r="Y222" s="2">
        <f t="shared" si="73"/>
        <v>0</v>
      </c>
      <c r="Z222" s="2">
        <f t="shared" si="74"/>
        <v>0</v>
      </c>
      <c r="AA222" s="2">
        <f t="shared" si="75"/>
        <v>0</v>
      </c>
      <c r="AB222" s="2">
        <f t="shared" si="76"/>
        <v>0</v>
      </c>
      <c r="AD222" s="2">
        <f t="shared" si="77"/>
        <v>0</v>
      </c>
      <c r="AE222" s="2">
        <f t="shared" si="78"/>
        <v>1</v>
      </c>
      <c r="AF222" s="2">
        <f t="shared" si="63"/>
        <v>0</v>
      </c>
      <c r="AG222" s="2">
        <f t="shared" si="64"/>
        <v>1</v>
      </c>
      <c r="AH222" s="2">
        <f t="shared" si="65"/>
        <v>0</v>
      </c>
      <c r="AI222" s="2">
        <f t="shared" si="66"/>
        <v>1</v>
      </c>
    </row>
    <row r="223" spans="1:35" ht="14.25" customHeight="1" x14ac:dyDescent="0.25">
      <c r="A223" s="31">
        <v>0</v>
      </c>
      <c r="B223" s="31">
        <v>2</v>
      </c>
      <c r="C223" s="31">
        <v>7</v>
      </c>
      <c r="D223" s="32" t="s">
        <v>919</v>
      </c>
      <c r="E223" s="32" t="s">
        <v>920</v>
      </c>
      <c r="F223" s="32" t="s">
        <v>146</v>
      </c>
      <c r="G223" s="32" t="s">
        <v>103</v>
      </c>
      <c r="H223" s="32" t="s">
        <v>165</v>
      </c>
      <c r="I223" s="31" t="s">
        <v>33</v>
      </c>
      <c r="J223" s="31">
        <v>6</v>
      </c>
      <c r="K223" s="31" t="s">
        <v>378</v>
      </c>
      <c r="L223" s="31"/>
      <c r="M223" s="32"/>
      <c r="N223" s="32" t="s">
        <v>895</v>
      </c>
      <c r="O223" s="33">
        <v>1</v>
      </c>
      <c r="P223" s="33">
        <v>1</v>
      </c>
      <c r="Q223" s="32"/>
      <c r="S223" s="2">
        <f t="shared" si="67"/>
        <v>0</v>
      </c>
      <c r="T223" s="2">
        <f t="shared" si="68"/>
        <v>0</v>
      </c>
      <c r="U223" s="2">
        <f t="shared" si="69"/>
        <v>0</v>
      </c>
      <c r="V223" s="2">
        <f t="shared" si="70"/>
        <v>0</v>
      </c>
      <c r="W223" s="2">
        <f t="shared" si="71"/>
        <v>0</v>
      </c>
      <c r="X223" s="2">
        <f t="shared" si="72"/>
        <v>1</v>
      </c>
      <c r="Y223" s="2">
        <f t="shared" si="73"/>
        <v>0</v>
      </c>
      <c r="Z223" s="2">
        <f t="shared" si="74"/>
        <v>0</v>
      </c>
      <c r="AA223" s="2">
        <f t="shared" si="75"/>
        <v>0</v>
      </c>
      <c r="AB223" s="2">
        <f t="shared" si="76"/>
        <v>0</v>
      </c>
      <c r="AD223" s="2">
        <f t="shared" si="77"/>
        <v>1</v>
      </c>
      <c r="AE223" s="2">
        <f t="shared" si="78"/>
        <v>0</v>
      </c>
      <c r="AF223" s="2">
        <f t="shared" si="63"/>
        <v>1</v>
      </c>
      <c r="AG223" s="2">
        <f t="shared" si="64"/>
        <v>0</v>
      </c>
      <c r="AH223" s="2">
        <f t="shared" si="65"/>
        <v>1</v>
      </c>
      <c r="AI223" s="2">
        <f t="shared" si="66"/>
        <v>0</v>
      </c>
    </row>
    <row r="224" spans="1:35" ht="14.25" customHeight="1" x14ac:dyDescent="0.25">
      <c r="A224" s="31">
        <v>1</v>
      </c>
      <c r="B224" s="31">
        <v>2</v>
      </c>
      <c r="C224" s="31">
        <v>7</v>
      </c>
      <c r="D224" s="32" t="s">
        <v>919</v>
      </c>
      <c r="E224" s="32" t="s">
        <v>920</v>
      </c>
      <c r="F224" s="32" t="s">
        <v>921</v>
      </c>
      <c r="G224" s="32" t="s">
        <v>922</v>
      </c>
      <c r="H224" s="32" t="s">
        <v>165</v>
      </c>
      <c r="I224" s="31"/>
      <c r="J224" s="31"/>
      <c r="K224" s="31" t="s">
        <v>378</v>
      </c>
      <c r="L224" s="31"/>
      <c r="M224" s="32"/>
      <c r="N224" s="32" t="s">
        <v>895</v>
      </c>
      <c r="O224" s="33">
        <v>1</v>
      </c>
      <c r="P224" s="33">
        <v>1</v>
      </c>
      <c r="Q224" s="32"/>
      <c r="S224" s="2">
        <f t="shared" si="67"/>
        <v>0</v>
      </c>
      <c r="T224" s="2">
        <f t="shared" si="68"/>
        <v>0</v>
      </c>
      <c r="U224" s="2">
        <f t="shared" si="69"/>
        <v>0</v>
      </c>
      <c r="V224" s="2">
        <f t="shared" si="70"/>
        <v>0</v>
      </c>
      <c r="W224" s="2">
        <f t="shared" si="71"/>
        <v>0</v>
      </c>
      <c r="X224" s="2">
        <f t="shared" si="72"/>
        <v>0</v>
      </c>
      <c r="Y224" s="2">
        <f t="shared" si="73"/>
        <v>0</v>
      </c>
      <c r="Z224" s="2">
        <f t="shared" si="74"/>
        <v>0</v>
      </c>
      <c r="AA224" s="2">
        <f t="shared" si="75"/>
        <v>0</v>
      </c>
      <c r="AB224" s="2">
        <f t="shared" si="76"/>
        <v>0</v>
      </c>
      <c r="AD224" s="2">
        <f t="shared" si="77"/>
        <v>1</v>
      </c>
      <c r="AE224" s="2">
        <f t="shared" si="78"/>
        <v>0</v>
      </c>
      <c r="AF224" s="2">
        <f t="shared" si="63"/>
        <v>0</v>
      </c>
      <c r="AG224" s="2">
        <f t="shared" si="64"/>
        <v>0</v>
      </c>
      <c r="AH224" s="2">
        <f t="shared" si="65"/>
        <v>0</v>
      </c>
      <c r="AI224" s="2">
        <f t="shared" si="66"/>
        <v>0</v>
      </c>
    </row>
    <row r="225" spans="1:35" ht="14.25" customHeight="1" x14ac:dyDescent="0.25">
      <c r="A225" s="31">
        <v>0</v>
      </c>
      <c r="B225" s="31">
        <v>2</v>
      </c>
      <c r="C225" s="31">
        <v>7</v>
      </c>
      <c r="D225" s="32" t="s">
        <v>362</v>
      </c>
      <c r="E225" s="32" t="s">
        <v>31</v>
      </c>
      <c r="F225" s="32" t="s">
        <v>153</v>
      </c>
      <c r="G225" s="32" t="s">
        <v>109</v>
      </c>
      <c r="H225" s="32" t="s">
        <v>165</v>
      </c>
      <c r="I225" s="31" t="s">
        <v>197</v>
      </c>
      <c r="J225" s="31">
        <v>9</v>
      </c>
      <c r="K225" s="31" t="s">
        <v>320</v>
      </c>
      <c r="L225" s="31" t="s">
        <v>318</v>
      </c>
      <c r="M225" s="32" t="s">
        <v>273</v>
      </c>
      <c r="N225" s="32" t="s">
        <v>915</v>
      </c>
      <c r="O225" s="33">
        <v>1</v>
      </c>
      <c r="P225" s="33"/>
      <c r="Q225" s="32"/>
      <c r="S225" s="2">
        <f t="shared" si="67"/>
        <v>0</v>
      </c>
      <c r="T225" s="2">
        <f t="shared" si="68"/>
        <v>0</v>
      </c>
      <c r="U225" s="2">
        <f t="shared" si="69"/>
        <v>0</v>
      </c>
      <c r="V225" s="2">
        <f t="shared" si="70"/>
        <v>0</v>
      </c>
      <c r="W225" s="2">
        <f t="shared" si="71"/>
        <v>0</v>
      </c>
      <c r="X225" s="2">
        <f t="shared" si="72"/>
        <v>0</v>
      </c>
      <c r="Y225" s="2">
        <f t="shared" si="73"/>
        <v>0</v>
      </c>
      <c r="Z225" s="2">
        <f t="shared" si="74"/>
        <v>0</v>
      </c>
      <c r="AA225" s="2">
        <f t="shared" si="75"/>
        <v>1</v>
      </c>
      <c r="AB225" s="2">
        <f t="shared" si="76"/>
        <v>0</v>
      </c>
      <c r="AD225" s="2">
        <f t="shared" si="77"/>
        <v>0</v>
      </c>
      <c r="AE225" s="2">
        <f t="shared" si="78"/>
        <v>1</v>
      </c>
      <c r="AF225" s="2">
        <f t="shared" si="63"/>
        <v>0</v>
      </c>
      <c r="AG225" s="2">
        <f t="shared" si="64"/>
        <v>1</v>
      </c>
      <c r="AH225" s="2">
        <f t="shared" si="65"/>
        <v>0</v>
      </c>
      <c r="AI225" s="2">
        <f t="shared" si="66"/>
        <v>1</v>
      </c>
    </row>
    <row r="226" spans="1:35" ht="14.25" customHeight="1" x14ac:dyDescent="0.25">
      <c r="A226" s="31">
        <v>1</v>
      </c>
      <c r="B226" s="31">
        <v>2</v>
      </c>
      <c r="C226" s="31">
        <v>7</v>
      </c>
      <c r="D226" s="32" t="s">
        <v>362</v>
      </c>
      <c r="E226" s="32" t="s">
        <v>31</v>
      </c>
      <c r="F226" s="32" t="s">
        <v>369</v>
      </c>
      <c r="G226" s="32" t="s">
        <v>109</v>
      </c>
      <c r="H226" s="32" t="s">
        <v>165</v>
      </c>
      <c r="I226" s="31" t="s">
        <v>376</v>
      </c>
      <c r="J226" s="31">
        <v>9</v>
      </c>
      <c r="K226" s="31" t="s">
        <v>320</v>
      </c>
      <c r="L226" s="31" t="s">
        <v>318</v>
      </c>
      <c r="M226" s="32" t="s">
        <v>273</v>
      </c>
      <c r="N226" s="32" t="s">
        <v>915</v>
      </c>
      <c r="O226" s="33">
        <v>1</v>
      </c>
      <c r="P226" s="33"/>
      <c r="Q226" s="32" t="s">
        <v>960</v>
      </c>
      <c r="S226" s="2">
        <f t="shared" si="67"/>
        <v>0</v>
      </c>
      <c r="T226" s="2">
        <f t="shared" si="68"/>
        <v>0</v>
      </c>
      <c r="U226" s="2">
        <f t="shared" si="69"/>
        <v>0</v>
      </c>
      <c r="V226" s="2">
        <f t="shared" si="70"/>
        <v>0</v>
      </c>
      <c r="W226" s="2">
        <f t="shared" si="71"/>
        <v>0</v>
      </c>
      <c r="X226" s="2">
        <f t="shared" si="72"/>
        <v>0</v>
      </c>
      <c r="Y226" s="2">
        <f t="shared" si="73"/>
        <v>0</v>
      </c>
      <c r="Z226" s="2">
        <f t="shared" si="74"/>
        <v>0</v>
      </c>
      <c r="AA226" s="2">
        <f t="shared" si="75"/>
        <v>1</v>
      </c>
      <c r="AB226" s="2">
        <f t="shared" si="76"/>
        <v>0</v>
      </c>
      <c r="AD226" s="2">
        <f t="shared" si="77"/>
        <v>0</v>
      </c>
      <c r="AE226" s="2">
        <f t="shared" si="78"/>
        <v>1</v>
      </c>
      <c r="AF226" s="2">
        <f t="shared" si="63"/>
        <v>0</v>
      </c>
      <c r="AG226" s="2">
        <f t="shared" si="64"/>
        <v>0</v>
      </c>
      <c r="AH226" s="2">
        <f t="shared" si="65"/>
        <v>0</v>
      </c>
      <c r="AI226" s="2">
        <f t="shared" si="66"/>
        <v>0</v>
      </c>
    </row>
    <row r="227" spans="1:35" ht="14.25" customHeight="1" x14ac:dyDescent="0.25">
      <c r="A227" s="31">
        <v>0</v>
      </c>
      <c r="B227" s="31">
        <v>2</v>
      </c>
      <c r="C227" s="31">
        <v>7</v>
      </c>
      <c r="D227" s="32" t="s">
        <v>398</v>
      </c>
      <c r="E227" s="32" t="s">
        <v>31</v>
      </c>
      <c r="F227" s="32" t="s">
        <v>401</v>
      </c>
      <c r="G227" s="32" t="s">
        <v>481</v>
      </c>
      <c r="H227" s="32" t="s">
        <v>165</v>
      </c>
      <c r="I227" s="31" t="s">
        <v>493</v>
      </c>
      <c r="J227" s="31">
        <v>6</v>
      </c>
      <c r="K227" s="31" t="s">
        <v>319</v>
      </c>
      <c r="L227" s="31" t="s">
        <v>318</v>
      </c>
      <c r="M227" s="32" t="s">
        <v>273</v>
      </c>
      <c r="N227" s="32" t="s">
        <v>937</v>
      </c>
      <c r="O227" s="33">
        <v>1</v>
      </c>
      <c r="P227" s="33"/>
      <c r="Q227" s="32"/>
      <c r="S227" s="2">
        <f t="shared" si="67"/>
        <v>0</v>
      </c>
      <c r="T227" s="2">
        <f t="shared" si="68"/>
        <v>0</v>
      </c>
      <c r="U227" s="2">
        <f t="shared" si="69"/>
        <v>0</v>
      </c>
      <c r="V227" s="2">
        <f t="shared" si="70"/>
        <v>0</v>
      </c>
      <c r="W227" s="2">
        <f t="shared" si="71"/>
        <v>0</v>
      </c>
      <c r="X227" s="2">
        <f t="shared" si="72"/>
        <v>1</v>
      </c>
      <c r="Y227" s="2">
        <f t="shared" si="73"/>
        <v>0</v>
      </c>
      <c r="Z227" s="2">
        <f t="shared" si="74"/>
        <v>0</v>
      </c>
      <c r="AA227" s="2">
        <f t="shared" si="75"/>
        <v>0</v>
      </c>
      <c r="AB227" s="2">
        <f t="shared" si="76"/>
        <v>0</v>
      </c>
      <c r="AD227" s="2">
        <f t="shared" si="77"/>
        <v>0</v>
      </c>
      <c r="AE227" s="2">
        <f t="shared" si="78"/>
        <v>1</v>
      </c>
      <c r="AF227" s="2">
        <f t="shared" si="63"/>
        <v>0</v>
      </c>
      <c r="AG227" s="2">
        <f t="shared" si="64"/>
        <v>1</v>
      </c>
      <c r="AH227" s="2">
        <f t="shared" si="65"/>
        <v>0</v>
      </c>
      <c r="AI227" s="2">
        <f t="shared" si="66"/>
        <v>1</v>
      </c>
    </row>
    <row r="228" spans="1:35" ht="14.25" customHeight="1" x14ac:dyDescent="0.25">
      <c r="A228" s="31">
        <v>1</v>
      </c>
      <c r="B228" s="31">
        <v>2</v>
      </c>
      <c r="C228" s="31">
        <v>7</v>
      </c>
      <c r="D228" s="32" t="s">
        <v>398</v>
      </c>
      <c r="E228" s="32" t="s">
        <v>31</v>
      </c>
      <c r="F228" s="32" t="s">
        <v>399</v>
      </c>
      <c r="G228" s="32" t="s">
        <v>124</v>
      </c>
      <c r="H228" s="32" t="s">
        <v>165</v>
      </c>
      <c r="I228" s="31" t="s">
        <v>400</v>
      </c>
      <c r="J228" s="31">
        <v>7</v>
      </c>
      <c r="K228" s="31" t="s">
        <v>319</v>
      </c>
      <c r="L228" s="31" t="s">
        <v>318</v>
      </c>
      <c r="M228" s="32" t="s">
        <v>273</v>
      </c>
      <c r="N228" s="32" t="s">
        <v>937</v>
      </c>
      <c r="O228" s="33">
        <v>1</v>
      </c>
      <c r="P228" s="33"/>
      <c r="Q228" s="32"/>
      <c r="S228" s="2">
        <f t="shared" si="67"/>
        <v>0</v>
      </c>
      <c r="T228" s="2">
        <f t="shared" si="68"/>
        <v>0</v>
      </c>
      <c r="U228" s="2">
        <f t="shared" si="69"/>
        <v>0</v>
      </c>
      <c r="V228" s="2">
        <f t="shared" si="70"/>
        <v>0</v>
      </c>
      <c r="W228" s="2">
        <f t="shared" si="71"/>
        <v>0</v>
      </c>
      <c r="X228" s="2">
        <f t="shared" si="72"/>
        <v>0</v>
      </c>
      <c r="Y228" s="2">
        <f t="shared" si="73"/>
        <v>1</v>
      </c>
      <c r="Z228" s="2">
        <f t="shared" si="74"/>
        <v>0</v>
      </c>
      <c r="AA228" s="2">
        <f t="shared" si="75"/>
        <v>0</v>
      </c>
      <c r="AB228" s="2">
        <f t="shared" si="76"/>
        <v>0</v>
      </c>
      <c r="AD228" s="2">
        <f t="shared" si="77"/>
        <v>0</v>
      </c>
      <c r="AE228" s="2">
        <f t="shared" si="78"/>
        <v>1</v>
      </c>
      <c r="AF228" s="2">
        <f t="shared" si="63"/>
        <v>0</v>
      </c>
      <c r="AG228" s="2">
        <f t="shared" si="64"/>
        <v>0</v>
      </c>
      <c r="AH228" s="2">
        <f t="shared" si="65"/>
        <v>0</v>
      </c>
      <c r="AI228" s="2">
        <f t="shared" si="66"/>
        <v>0</v>
      </c>
    </row>
    <row r="229" spans="1:35" ht="14.25" customHeight="1" x14ac:dyDescent="0.25">
      <c r="A229" s="31">
        <v>1</v>
      </c>
      <c r="B229" s="31">
        <v>2</v>
      </c>
      <c r="C229" s="31">
        <v>7</v>
      </c>
      <c r="D229" s="32" t="s">
        <v>398</v>
      </c>
      <c r="E229" s="32" t="s">
        <v>31</v>
      </c>
      <c r="F229" s="32" t="s">
        <v>402</v>
      </c>
      <c r="G229" s="32" t="s">
        <v>403</v>
      </c>
      <c r="H229" s="32" t="s">
        <v>165</v>
      </c>
      <c r="I229" s="31" t="s">
        <v>494</v>
      </c>
      <c r="J229" s="31">
        <v>99</v>
      </c>
      <c r="K229" s="31" t="s">
        <v>319</v>
      </c>
      <c r="L229" s="31" t="s">
        <v>318</v>
      </c>
      <c r="M229" s="32" t="s">
        <v>273</v>
      </c>
      <c r="N229" s="32" t="s">
        <v>937</v>
      </c>
      <c r="O229" s="33">
        <v>1</v>
      </c>
      <c r="P229" s="33"/>
      <c r="Q229" s="32"/>
      <c r="S229" s="2">
        <f t="shared" ref="S229:S235" si="79">IF(J229=$S$7,1,0)</f>
        <v>0</v>
      </c>
      <c r="T229" s="2">
        <f t="shared" ref="T229:T235" si="80">IF(J229=$T$7,1,0)</f>
        <v>0</v>
      </c>
      <c r="U229" s="2">
        <f t="shared" ref="U229:U235" si="81">IF(J229=$U$7,1,0)</f>
        <v>0</v>
      </c>
      <c r="V229" s="2">
        <f t="shared" ref="V229:V235" si="82">IF(J229=$V$7,1,0)</f>
        <v>0</v>
      </c>
      <c r="W229" s="2">
        <f t="shared" ref="W229:W235" si="83">IF(J229=$W$7,1,0)</f>
        <v>0</v>
      </c>
      <c r="X229" s="2">
        <f t="shared" ref="X229:X235" si="84">IF(J229=$X$7,1,0)</f>
        <v>0</v>
      </c>
      <c r="Y229" s="2">
        <f t="shared" ref="Y229:Y235" si="85">IF(J229=$Y$7,1,0)</f>
        <v>0</v>
      </c>
      <c r="Z229" s="2">
        <f t="shared" ref="Z229:Z235" si="86">IF(J229=$Z$7,1,0)</f>
        <v>0</v>
      </c>
      <c r="AA229" s="2">
        <f t="shared" ref="AA229:AA235" si="87">IF(J229=$AA$7,1,0)</f>
        <v>0</v>
      </c>
      <c r="AB229" s="2">
        <f t="shared" ref="AB229:AB235" si="88">IF(J229=$AB$7,1,0)</f>
        <v>0</v>
      </c>
      <c r="AD229" s="2">
        <f t="shared" ref="AD229:AD235" si="89">+O229*P229</f>
        <v>0</v>
      </c>
      <c r="AE229" s="2">
        <f t="shared" ref="AE229:AE235" si="90">O229*(1-P229)</f>
        <v>1</v>
      </c>
      <c r="AF229" s="2">
        <f t="shared" ref="AF229:AF235" si="91">+O229*P229*(1-A229)</f>
        <v>0</v>
      </c>
      <c r="AG229" s="2">
        <f t="shared" ref="AG229:AG235" si="92">O229*(1-P229)*(1-A229)</f>
        <v>0</v>
      </c>
      <c r="AH229" s="2">
        <f t="shared" ref="AH229:AH235" si="93">+P229*(1-A229)</f>
        <v>0</v>
      </c>
      <c r="AI229" s="2">
        <f t="shared" ref="AI229:AI235" si="94">+(1-A229)*(1-P229)</f>
        <v>0</v>
      </c>
    </row>
    <row r="230" spans="1:35" ht="14.25" customHeight="1" x14ac:dyDescent="0.25">
      <c r="A230" s="31">
        <v>0</v>
      </c>
      <c r="B230" s="31">
        <v>2</v>
      </c>
      <c r="C230" s="31">
        <v>7</v>
      </c>
      <c r="D230" s="32" t="s">
        <v>465</v>
      </c>
      <c r="E230" s="32" t="s">
        <v>31</v>
      </c>
      <c r="F230" s="32" t="s">
        <v>431</v>
      </c>
      <c r="G230" s="32" t="s">
        <v>125</v>
      </c>
      <c r="H230" s="32" t="s">
        <v>165</v>
      </c>
      <c r="I230" s="31" t="s">
        <v>495</v>
      </c>
      <c r="J230" s="31">
        <v>99</v>
      </c>
      <c r="K230" s="31" t="s">
        <v>320</v>
      </c>
      <c r="L230" s="31" t="s">
        <v>318</v>
      </c>
      <c r="M230" s="32" t="s">
        <v>273</v>
      </c>
      <c r="N230" s="32" t="s">
        <v>913</v>
      </c>
      <c r="O230" s="33">
        <v>1</v>
      </c>
      <c r="P230" s="33"/>
      <c r="Q230" s="32"/>
      <c r="S230" s="2">
        <f t="shared" si="79"/>
        <v>0</v>
      </c>
      <c r="T230" s="2">
        <f t="shared" si="80"/>
        <v>0</v>
      </c>
      <c r="U230" s="2">
        <f t="shared" si="81"/>
        <v>0</v>
      </c>
      <c r="V230" s="2">
        <f t="shared" si="82"/>
        <v>0</v>
      </c>
      <c r="W230" s="2">
        <f t="shared" si="83"/>
        <v>0</v>
      </c>
      <c r="X230" s="2">
        <f t="shared" si="84"/>
        <v>0</v>
      </c>
      <c r="Y230" s="2">
        <f t="shared" si="85"/>
        <v>0</v>
      </c>
      <c r="Z230" s="2">
        <f t="shared" si="86"/>
        <v>0</v>
      </c>
      <c r="AA230" s="2">
        <f t="shared" si="87"/>
        <v>0</v>
      </c>
      <c r="AB230" s="2">
        <f t="shared" si="88"/>
        <v>0</v>
      </c>
      <c r="AD230" s="2">
        <f t="shared" si="89"/>
        <v>0</v>
      </c>
      <c r="AE230" s="2">
        <f t="shared" si="90"/>
        <v>1</v>
      </c>
      <c r="AF230" s="2">
        <f t="shared" si="91"/>
        <v>0</v>
      </c>
      <c r="AG230" s="2">
        <f t="shared" si="92"/>
        <v>1</v>
      </c>
      <c r="AH230" s="2">
        <f t="shared" si="93"/>
        <v>0</v>
      </c>
      <c r="AI230" s="2">
        <f t="shared" si="94"/>
        <v>1</v>
      </c>
    </row>
    <row r="231" spans="1:35" ht="14.25" customHeight="1" x14ac:dyDescent="0.25">
      <c r="A231" s="31">
        <v>1</v>
      </c>
      <c r="B231" s="31">
        <v>2</v>
      </c>
      <c r="C231" s="31">
        <v>7</v>
      </c>
      <c r="D231" s="32" t="s">
        <v>465</v>
      </c>
      <c r="E231" s="32" t="s">
        <v>31</v>
      </c>
      <c r="F231" s="32" t="s">
        <v>692</v>
      </c>
      <c r="G231" s="32" t="s">
        <v>140</v>
      </c>
      <c r="H231" s="32" t="s">
        <v>165</v>
      </c>
      <c r="I231" s="31" t="s">
        <v>697</v>
      </c>
      <c r="J231" s="31">
        <v>99</v>
      </c>
      <c r="K231" s="31" t="s">
        <v>320</v>
      </c>
      <c r="L231" s="31" t="s">
        <v>318</v>
      </c>
      <c r="M231" s="32" t="s">
        <v>273</v>
      </c>
      <c r="N231" s="32" t="s">
        <v>913</v>
      </c>
      <c r="O231" s="33">
        <v>1</v>
      </c>
      <c r="P231" s="33"/>
      <c r="Q231" s="32"/>
      <c r="S231" s="2">
        <f t="shared" si="79"/>
        <v>0</v>
      </c>
      <c r="T231" s="2">
        <f t="shared" si="80"/>
        <v>0</v>
      </c>
      <c r="U231" s="2">
        <f t="shared" si="81"/>
        <v>0</v>
      </c>
      <c r="V231" s="2">
        <f t="shared" si="82"/>
        <v>0</v>
      </c>
      <c r="W231" s="2">
        <f t="shared" si="83"/>
        <v>0</v>
      </c>
      <c r="X231" s="2">
        <f t="shared" si="84"/>
        <v>0</v>
      </c>
      <c r="Y231" s="2">
        <f t="shared" si="85"/>
        <v>0</v>
      </c>
      <c r="Z231" s="2">
        <f t="shared" si="86"/>
        <v>0</v>
      </c>
      <c r="AA231" s="2">
        <f t="shared" si="87"/>
        <v>0</v>
      </c>
      <c r="AB231" s="2">
        <f t="shared" si="88"/>
        <v>0</v>
      </c>
      <c r="AD231" s="2">
        <f t="shared" si="89"/>
        <v>0</v>
      </c>
      <c r="AE231" s="2">
        <f t="shared" si="90"/>
        <v>1</v>
      </c>
      <c r="AF231" s="2">
        <f t="shared" si="91"/>
        <v>0</v>
      </c>
      <c r="AG231" s="2">
        <f t="shared" si="92"/>
        <v>0</v>
      </c>
      <c r="AH231" s="2">
        <f t="shared" si="93"/>
        <v>0</v>
      </c>
      <c r="AI231" s="2">
        <f t="shared" si="94"/>
        <v>0</v>
      </c>
    </row>
    <row r="232" spans="1:35" ht="14.25" customHeight="1" x14ac:dyDescent="0.25">
      <c r="A232" s="31">
        <v>0</v>
      </c>
      <c r="B232" s="31">
        <v>2</v>
      </c>
      <c r="C232" s="31">
        <v>7</v>
      </c>
      <c r="D232" s="32" t="s">
        <v>79</v>
      </c>
      <c r="E232" s="32" t="s">
        <v>31</v>
      </c>
      <c r="F232" s="32" t="s">
        <v>162</v>
      </c>
      <c r="G232" s="32" t="s">
        <v>163</v>
      </c>
      <c r="H232" s="32" t="s">
        <v>165</v>
      </c>
      <c r="I232" s="31" t="s">
        <v>202</v>
      </c>
      <c r="J232" s="31">
        <v>5</v>
      </c>
      <c r="K232" s="31" t="s">
        <v>378</v>
      </c>
      <c r="L232" s="31" t="s">
        <v>318</v>
      </c>
      <c r="M232" s="32" t="s">
        <v>273</v>
      </c>
      <c r="N232" s="32" t="s">
        <v>915</v>
      </c>
      <c r="O232" s="33">
        <v>1</v>
      </c>
      <c r="P232" s="33"/>
      <c r="Q232" s="32"/>
      <c r="S232" s="2">
        <f t="shared" si="79"/>
        <v>0</v>
      </c>
      <c r="T232" s="2">
        <f t="shared" si="80"/>
        <v>0</v>
      </c>
      <c r="U232" s="2">
        <f t="shared" si="81"/>
        <v>0</v>
      </c>
      <c r="V232" s="2">
        <f t="shared" si="82"/>
        <v>0</v>
      </c>
      <c r="W232" s="2">
        <f t="shared" si="83"/>
        <v>1</v>
      </c>
      <c r="X232" s="2">
        <f t="shared" si="84"/>
        <v>0</v>
      </c>
      <c r="Y232" s="2">
        <f t="shared" si="85"/>
        <v>0</v>
      </c>
      <c r="Z232" s="2">
        <f t="shared" si="86"/>
        <v>0</v>
      </c>
      <c r="AA232" s="2">
        <f t="shared" si="87"/>
        <v>0</v>
      </c>
      <c r="AB232" s="2">
        <f t="shared" si="88"/>
        <v>0</v>
      </c>
      <c r="AD232" s="2">
        <f t="shared" si="89"/>
        <v>0</v>
      </c>
      <c r="AE232" s="2">
        <f t="shared" si="90"/>
        <v>1</v>
      </c>
      <c r="AF232" s="2">
        <f t="shared" si="91"/>
        <v>0</v>
      </c>
      <c r="AG232" s="2">
        <f t="shared" si="92"/>
        <v>1</v>
      </c>
      <c r="AH232" s="2">
        <f t="shared" si="93"/>
        <v>0</v>
      </c>
      <c r="AI232" s="2">
        <f t="shared" si="94"/>
        <v>1</v>
      </c>
    </row>
    <row r="233" spans="1:35" ht="14.25" customHeight="1" x14ac:dyDescent="0.25">
      <c r="A233" s="34">
        <v>0</v>
      </c>
      <c r="B233" s="34">
        <v>2</v>
      </c>
      <c r="C233" s="34">
        <v>7</v>
      </c>
      <c r="D233" s="35" t="s">
        <v>59</v>
      </c>
      <c r="E233" s="35" t="s">
        <v>87</v>
      </c>
      <c r="F233" s="35" t="s">
        <v>351</v>
      </c>
      <c r="G233" s="35" t="s">
        <v>103</v>
      </c>
      <c r="H233" s="35" t="s">
        <v>165</v>
      </c>
      <c r="I233" s="34" t="s">
        <v>350</v>
      </c>
      <c r="J233" s="34">
        <v>6</v>
      </c>
      <c r="K233" s="34" t="s">
        <v>320</v>
      </c>
      <c r="L233" s="34" t="s">
        <v>336</v>
      </c>
      <c r="M233" s="35" t="s">
        <v>275</v>
      </c>
      <c r="N233" s="35" t="s">
        <v>902</v>
      </c>
      <c r="O233" s="36"/>
      <c r="P233" s="36"/>
      <c r="Q233" s="35"/>
      <c r="S233" s="2">
        <f t="shared" si="79"/>
        <v>0</v>
      </c>
      <c r="T233" s="2">
        <f t="shared" si="80"/>
        <v>0</v>
      </c>
      <c r="U233" s="2">
        <f t="shared" si="81"/>
        <v>0</v>
      </c>
      <c r="V233" s="2">
        <f t="shared" si="82"/>
        <v>0</v>
      </c>
      <c r="W233" s="2">
        <f t="shared" si="83"/>
        <v>0</v>
      </c>
      <c r="X233" s="2">
        <f t="shared" si="84"/>
        <v>1</v>
      </c>
      <c r="Y233" s="2">
        <f t="shared" si="85"/>
        <v>0</v>
      </c>
      <c r="Z233" s="2">
        <f t="shared" si="86"/>
        <v>0</v>
      </c>
      <c r="AA233" s="2">
        <f t="shared" si="87"/>
        <v>0</v>
      </c>
      <c r="AB233" s="2">
        <f t="shared" si="88"/>
        <v>0</v>
      </c>
      <c r="AD233" s="2">
        <f t="shared" si="89"/>
        <v>0</v>
      </c>
      <c r="AE233" s="2">
        <f t="shared" si="90"/>
        <v>0</v>
      </c>
      <c r="AF233" s="2">
        <f t="shared" si="91"/>
        <v>0</v>
      </c>
      <c r="AG233" s="2">
        <f t="shared" si="92"/>
        <v>0</v>
      </c>
      <c r="AH233" s="2">
        <f t="shared" si="93"/>
        <v>0</v>
      </c>
      <c r="AI233" s="2">
        <f t="shared" si="94"/>
        <v>1</v>
      </c>
    </row>
    <row r="234" spans="1:35" ht="14.25" customHeight="1" x14ac:dyDescent="0.25">
      <c r="A234" s="34">
        <v>1</v>
      </c>
      <c r="B234" s="34">
        <v>2</v>
      </c>
      <c r="C234" s="34">
        <v>7</v>
      </c>
      <c r="D234" s="35" t="s">
        <v>59</v>
      </c>
      <c r="E234" s="35" t="s">
        <v>87</v>
      </c>
      <c r="F234" s="35" t="s">
        <v>123</v>
      </c>
      <c r="G234" s="35" t="s">
        <v>124</v>
      </c>
      <c r="H234" s="35" t="s">
        <v>165</v>
      </c>
      <c r="I234" s="34" t="s">
        <v>180</v>
      </c>
      <c r="J234" s="34">
        <v>7</v>
      </c>
      <c r="K234" s="34" t="s">
        <v>320</v>
      </c>
      <c r="L234" s="34" t="s">
        <v>336</v>
      </c>
      <c r="M234" s="35" t="s">
        <v>275</v>
      </c>
      <c r="N234" s="35" t="s">
        <v>902</v>
      </c>
      <c r="O234" s="36"/>
      <c r="P234" s="36"/>
      <c r="Q234" s="35"/>
      <c r="S234" s="2">
        <f t="shared" si="79"/>
        <v>0</v>
      </c>
      <c r="T234" s="2">
        <f t="shared" si="80"/>
        <v>0</v>
      </c>
      <c r="U234" s="2">
        <f t="shared" si="81"/>
        <v>0</v>
      </c>
      <c r="V234" s="2">
        <f t="shared" si="82"/>
        <v>0</v>
      </c>
      <c r="W234" s="2">
        <f t="shared" si="83"/>
        <v>0</v>
      </c>
      <c r="X234" s="2">
        <f t="shared" si="84"/>
        <v>0</v>
      </c>
      <c r="Y234" s="2">
        <f t="shared" si="85"/>
        <v>1</v>
      </c>
      <c r="Z234" s="2">
        <f t="shared" si="86"/>
        <v>0</v>
      </c>
      <c r="AA234" s="2">
        <f t="shared" si="87"/>
        <v>0</v>
      </c>
      <c r="AB234" s="2">
        <f t="shared" si="88"/>
        <v>0</v>
      </c>
      <c r="AD234" s="2">
        <f t="shared" si="89"/>
        <v>0</v>
      </c>
      <c r="AE234" s="2">
        <f t="shared" si="90"/>
        <v>0</v>
      </c>
      <c r="AF234" s="2">
        <f t="shared" si="91"/>
        <v>0</v>
      </c>
      <c r="AG234" s="2">
        <f t="shared" si="92"/>
        <v>0</v>
      </c>
      <c r="AH234" s="2">
        <f t="shared" si="93"/>
        <v>0</v>
      </c>
      <c r="AI234" s="2">
        <f t="shared" si="94"/>
        <v>0</v>
      </c>
    </row>
    <row r="235" spans="1:35" ht="14.25" customHeight="1" x14ac:dyDescent="0.25">
      <c r="A235" s="34">
        <v>1</v>
      </c>
      <c r="B235" s="34">
        <v>2</v>
      </c>
      <c r="C235" s="34">
        <v>7</v>
      </c>
      <c r="D235" s="35" t="s">
        <v>59</v>
      </c>
      <c r="E235" s="35" t="s">
        <v>87</v>
      </c>
      <c r="F235" s="35" t="s">
        <v>348</v>
      </c>
      <c r="G235" s="35" t="s">
        <v>93</v>
      </c>
      <c r="H235" s="35" t="s">
        <v>165</v>
      </c>
      <c r="I235" s="34" t="s">
        <v>349</v>
      </c>
      <c r="J235" s="34">
        <v>8</v>
      </c>
      <c r="K235" s="34" t="s">
        <v>320</v>
      </c>
      <c r="L235" s="34" t="s">
        <v>336</v>
      </c>
      <c r="M235" s="35" t="s">
        <v>275</v>
      </c>
      <c r="N235" s="35" t="s">
        <v>902</v>
      </c>
      <c r="O235" s="36"/>
      <c r="P235" s="36"/>
      <c r="Q235" s="35"/>
      <c r="S235" s="2">
        <f t="shared" si="79"/>
        <v>0</v>
      </c>
      <c r="T235" s="2">
        <f t="shared" si="80"/>
        <v>0</v>
      </c>
      <c r="U235" s="2">
        <f t="shared" si="81"/>
        <v>0</v>
      </c>
      <c r="V235" s="2">
        <f t="shared" si="82"/>
        <v>0</v>
      </c>
      <c r="W235" s="2">
        <f t="shared" si="83"/>
        <v>0</v>
      </c>
      <c r="X235" s="2">
        <f t="shared" si="84"/>
        <v>0</v>
      </c>
      <c r="Y235" s="2">
        <f t="shared" si="85"/>
        <v>0</v>
      </c>
      <c r="Z235" s="2">
        <f t="shared" si="86"/>
        <v>1</v>
      </c>
      <c r="AA235" s="2">
        <f t="shared" si="87"/>
        <v>0</v>
      </c>
      <c r="AB235" s="2">
        <f t="shared" si="88"/>
        <v>0</v>
      </c>
      <c r="AD235" s="2">
        <f t="shared" si="89"/>
        <v>0</v>
      </c>
      <c r="AE235" s="2">
        <f t="shared" si="90"/>
        <v>0</v>
      </c>
      <c r="AF235" s="2">
        <f t="shared" si="91"/>
        <v>0</v>
      </c>
      <c r="AG235" s="2">
        <f t="shared" si="92"/>
        <v>0</v>
      </c>
      <c r="AH235" s="2">
        <f t="shared" si="93"/>
        <v>0</v>
      </c>
      <c r="AI235" s="2">
        <f t="shared" si="94"/>
        <v>0</v>
      </c>
    </row>
    <row r="236" spans="1:35" ht="14.25" customHeight="1" x14ac:dyDescent="0.25">
      <c r="A236" s="20"/>
      <c r="B236" s="20"/>
      <c r="C236" s="20"/>
      <c r="D236" s="21"/>
      <c r="E236" s="21"/>
      <c r="F236" s="21"/>
      <c r="G236" s="21"/>
      <c r="H236" s="21"/>
      <c r="I236" s="20"/>
      <c r="J236" s="20"/>
      <c r="K236" s="20"/>
      <c r="L236" s="20"/>
      <c r="M236" s="21"/>
      <c r="N236" s="21"/>
      <c r="O236" s="20"/>
      <c r="P236" s="20"/>
      <c r="Q236" s="21"/>
    </row>
    <row r="237" spans="1:35" ht="14.25" customHeight="1" x14ac:dyDescent="0.25">
      <c r="A237" s="20"/>
      <c r="B237" s="20"/>
      <c r="C237" s="20"/>
      <c r="D237" s="21"/>
      <c r="E237" s="21"/>
      <c r="F237" s="21"/>
      <c r="G237" s="21"/>
      <c r="H237" s="21"/>
      <c r="I237" s="20"/>
      <c r="J237" s="20"/>
      <c r="K237" s="20"/>
      <c r="L237" s="20"/>
      <c r="M237" s="21"/>
      <c r="N237" s="21"/>
      <c r="O237" s="20"/>
      <c r="P237" s="20"/>
      <c r="Q237" s="21"/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</sheetData>
  <autoFilter ref="A7:AI228" xr:uid="{11EDAB9D-D4E1-484F-984E-C23E0F5BA036}">
    <sortState xmlns:xlrd2="http://schemas.microsoft.com/office/spreadsheetml/2017/richdata2" ref="A8:AI164">
      <sortCondition ref="J7:J151"/>
    </sortState>
  </autoFilter>
  <sortState xmlns:xlrd2="http://schemas.microsoft.com/office/spreadsheetml/2017/richdata2" ref="A8:Q235">
    <sortCondition ref="B8:B235"/>
    <sortCondition ref="C8:C235"/>
    <sortCondition ref="D8:D235"/>
    <sortCondition ref="A8:A235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2026-06-28T22:40:48Z</dcterms:modified>
</cp:coreProperties>
</file>