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76BE0F87-ABAD-4B46-AD59-ABAA32F54686}" xr6:coauthVersionLast="47" xr6:coauthVersionMax="47" xr10:uidLastSave="{00000000-0000-0000-0000-000000000000}"/>
  <bookViews>
    <workbookView xWindow="-120" yWindow="-120" windowWidth="29040" windowHeight="15840" tabRatio="665" xr2:uid="{0118EB4B-1337-43BA-A7E3-0EBAC20BAF10}"/>
  </bookViews>
  <sheets>
    <sheet name="Tavole e pause golose" sheetId="6" r:id="rId1"/>
  </sheets>
  <definedNames>
    <definedName name="_xlnm._FilterDatabase" localSheetId="0" hidden="1">'Tavole e pause golose'!$A$7:$AI$241</definedName>
    <definedName name="_xlnm.Print_Area" localSheetId="0">'Tavole e pause golose'!$B$7:$I$7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237" i="6" l="1"/>
  <c r="AH237" i="6"/>
  <c r="AG237" i="6"/>
  <c r="AF237" i="6"/>
  <c r="AE237" i="6"/>
  <c r="AD237" i="6"/>
  <c r="AB237" i="6"/>
  <c r="AA237" i="6"/>
  <c r="Z237" i="6"/>
  <c r="Y237" i="6"/>
  <c r="X237" i="6"/>
  <c r="W237" i="6"/>
  <c r="V237" i="6"/>
  <c r="U237" i="6"/>
  <c r="T237" i="6"/>
  <c r="S237" i="6"/>
  <c r="AI144" i="6"/>
  <c r="AH144" i="6"/>
  <c r="AG144" i="6"/>
  <c r="AF144" i="6"/>
  <c r="AE144" i="6"/>
  <c r="AD144" i="6"/>
  <c r="S144" i="6"/>
  <c r="AI140" i="6"/>
  <c r="AH140" i="6"/>
  <c r="AG140" i="6"/>
  <c r="AF140" i="6"/>
  <c r="AE140" i="6"/>
  <c r="AD140" i="6"/>
  <c r="S140" i="6"/>
  <c r="AI127" i="6"/>
  <c r="AH127" i="6"/>
  <c r="AG127" i="6"/>
  <c r="AF127" i="6"/>
  <c r="AE127" i="6"/>
  <c r="AD127" i="6"/>
  <c r="S127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8" i="6"/>
  <c r="AD238" i="6"/>
  <c r="AE238" i="6"/>
  <c r="AF238" i="6"/>
  <c r="AG238" i="6"/>
  <c r="AH238" i="6"/>
  <c r="AI238" i="6"/>
  <c r="S239" i="6"/>
  <c r="T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10" i="6"/>
  <c r="AD10" i="6"/>
  <c r="AE10" i="6"/>
  <c r="AF10" i="6"/>
  <c r="AG10" i="6"/>
  <c r="AH10" i="6"/>
  <c r="AI10" i="6"/>
  <c r="S9" i="6"/>
  <c r="AD9" i="6"/>
  <c r="AE9" i="6"/>
  <c r="AF9" i="6"/>
  <c r="AG9" i="6"/>
  <c r="AH9" i="6"/>
  <c r="AI9" i="6"/>
  <c r="T7" i="6"/>
  <c r="T183" i="6" s="1"/>
  <c r="S8" i="6"/>
  <c r="AD8" i="6"/>
  <c r="AE8" i="6"/>
  <c r="AF8" i="6"/>
  <c r="AG8" i="6"/>
  <c r="AH8" i="6"/>
  <c r="AI8" i="6"/>
  <c r="T144" i="6" l="1"/>
  <c r="T234" i="6"/>
  <c r="T140" i="6"/>
  <c r="T202" i="6"/>
  <c r="T206" i="6"/>
  <c r="T236" i="6"/>
  <c r="T204" i="6"/>
  <c r="T127" i="6"/>
  <c r="T241" i="6"/>
  <c r="T208" i="6"/>
  <c r="T210" i="6"/>
  <c r="T212" i="6"/>
  <c r="T214" i="6"/>
  <c r="T182" i="6"/>
  <c r="T216" i="6"/>
  <c r="T184" i="6"/>
  <c r="T218" i="6"/>
  <c r="T186" i="6"/>
  <c r="T220" i="6"/>
  <c r="T188" i="6"/>
  <c r="T222" i="6"/>
  <c r="T190" i="6"/>
  <c r="T224" i="6"/>
  <c r="T192" i="6"/>
  <c r="T226" i="6"/>
  <c r="T194" i="6"/>
  <c r="T228" i="6"/>
  <c r="T196" i="6"/>
  <c r="T230" i="6"/>
  <c r="T198" i="6"/>
  <c r="T232" i="6"/>
  <c r="T200" i="6"/>
  <c r="T240" i="6"/>
  <c r="T238" i="6"/>
  <c r="T235" i="6"/>
  <c r="T233" i="6"/>
  <c r="T231" i="6"/>
  <c r="T229" i="6"/>
  <c r="T227" i="6"/>
  <c r="T225" i="6"/>
  <c r="T223" i="6"/>
  <c r="T221" i="6"/>
  <c r="T219" i="6"/>
  <c r="T217" i="6"/>
  <c r="T215" i="6"/>
  <c r="T213" i="6"/>
  <c r="T211" i="6"/>
  <c r="T209" i="6"/>
  <c r="T207" i="6"/>
  <c r="T205" i="6"/>
  <c r="T203" i="6"/>
  <c r="T201" i="6"/>
  <c r="T199" i="6"/>
  <c r="T197" i="6"/>
  <c r="T195" i="6"/>
  <c r="T193" i="6"/>
  <c r="T191" i="6"/>
  <c r="T189" i="6"/>
  <c r="T187" i="6"/>
  <c r="T185" i="6"/>
  <c r="T11" i="6"/>
  <c r="T12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99" i="6"/>
  <c r="T100" i="6"/>
  <c r="T101" i="6"/>
  <c r="T102" i="6"/>
  <c r="T103" i="6"/>
  <c r="T104" i="6"/>
  <c r="T105" i="6"/>
  <c r="T106" i="6"/>
  <c r="T107" i="6"/>
  <c r="T108" i="6"/>
  <c r="T109" i="6"/>
  <c r="T110" i="6"/>
  <c r="T111" i="6"/>
  <c r="T112" i="6"/>
  <c r="T113" i="6"/>
  <c r="T114" i="6"/>
  <c r="T115" i="6"/>
  <c r="T116" i="6"/>
  <c r="T117" i="6"/>
  <c r="T118" i="6"/>
  <c r="T119" i="6"/>
  <c r="T120" i="6"/>
  <c r="T121" i="6"/>
  <c r="T122" i="6"/>
  <c r="T123" i="6"/>
  <c r="T124" i="6"/>
  <c r="T125" i="6"/>
  <c r="T126" i="6"/>
  <c r="T128" i="6"/>
  <c r="T129" i="6"/>
  <c r="T130" i="6"/>
  <c r="T131" i="6"/>
  <c r="T132" i="6"/>
  <c r="T133" i="6"/>
  <c r="T134" i="6"/>
  <c r="T135" i="6"/>
  <c r="T136" i="6"/>
  <c r="T137" i="6"/>
  <c r="T138" i="6"/>
  <c r="T139" i="6"/>
  <c r="T141" i="6"/>
  <c r="T142" i="6"/>
  <c r="T143" i="6"/>
  <c r="T145" i="6"/>
  <c r="T146" i="6"/>
  <c r="T147" i="6"/>
  <c r="T148" i="6"/>
  <c r="T149" i="6"/>
  <c r="T150" i="6"/>
  <c r="T151" i="6"/>
  <c r="T152" i="6"/>
  <c r="T153" i="6"/>
  <c r="T154" i="6"/>
  <c r="T155" i="6"/>
  <c r="T156" i="6"/>
  <c r="T157" i="6"/>
  <c r="T158" i="6"/>
  <c r="T159" i="6"/>
  <c r="T160" i="6"/>
  <c r="T161" i="6"/>
  <c r="T162" i="6"/>
  <c r="T163" i="6"/>
  <c r="T164" i="6"/>
  <c r="T165" i="6"/>
  <c r="T166" i="6"/>
  <c r="T167" i="6"/>
  <c r="T168" i="6"/>
  <c r="T169" i="6"/>
  <c r="T170" i="6"/>
  <c r="T171" i="6"/>
  <c r="T172" i="6"/>
  <c r="T173" i="6"/>
  <c r="T174" i="6"/>
  <c r="T175" i="6"/>
  <c r="T176" i="6"/>
  <c r="T177" i="6"/>
  <c r="T178" i="6"/>
  <c r="T179" i="6"/>
  <c r="T180" i="6"/>
  <c r="T181" i="6"/>
  <c r="T10" i="6"/>
  <c r="U7" i="6"/>
  <c r="U144" i="6" s="1"/>
  <c r="T9" i="6"/>
  <c r="T8" i="6"/>
  <c r="AH6" i="6"/>
  <c r="E3" i="6" s="1"/>
  <c r="S5" i="6"/>
  <c r="AD6" i="6"/>
  <c r="F3" i="6" s="1"/>
  <c r="AI6" i="6"/>
  <c r="E4" i="6" s="1"/>
  <c r="AF6" i="6"/>
  <c r="G3" i="6" s="1"/>
  <c r="AE6" i="6"/>
  <c r="F4" i="6" s="1"/>
  <c r="AG6" i="6"/>
  <c r="G4" i="6" s="1"/>
  <c r="U127" i="6" l="1"/>
  <c r="U140" i="6"/>
  <c r="U11" i="6"/>
  <c r="U12" i="6"/>
  <c r="U13" i="6"/>
  <c r="U14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2" i="6"/>
  <c r="U73" i="6"/>
  <c r="U74" i="6"/>
  <c r="U75" i="6"/>
  <c r="U76" i="6"/>
  <c r="U77" i="6"/>
  <c r="U78" i="6"/>
  <c r="U79" i="6"/>
  <c r="U80" i="6"/>
  <c r="U81" i="6"/>
  <c r="U82" i="6"/>
  <c r="U83" i="6"/>
  <c r="U84" i="6"/>
  <c r="U85" i="6"/>
  <c r="U86" i="6"/>
  <c r="U87" i="6"/>
  <c r="U88" i="6"/>
  <c r="U89" i="6"/>
  <c r="U90" i="6"/>
  <c r="U91" i="6"/>
  <c r="U92" i="6"/>
  <c r="U93" i="6"/>
  <c r="U94" i="6"/>
  <c r="U96" i="6"/>
  <c r="U97" i="6"/>
  <c r="U98" i="6"/>
  <c r="U99" i="6"/>
  <c r="U100" i="6"/>
  <c r="U101" i="6"/>
  <c r="U102" i="6"/>
  <c r="U103" i="6"/>
  <c r="U104" i="6"/>
  <c r="U105" i="6"/>
  <c r="U106" i="6"/>
  <c r="U107" i="6"/>
  <c r="U108" i="6"/>
  <c r="U109" i="6"/>
  <c r="U110" i="6"/>
  <c r="U111" i="6"/>
  <c r="U112" i="6"/>
  <c r="U113" i="6"/>
  <c r="U114" i="6"/>
  <c r="U115" i="6"/>
  <c r="U116" i="6"/>
  <c r="U117" i="6"/>
  <c r="U118" i="6"/>
  <c r="U119" i="6"/>
  <c r="U120" i="6"/>
  <c r="U121" i="6"/>
  <c r="U122" i="6"/>
  <c r="U123" i="6"/>
  <c r="U124" i="6"/>
  <c r="U125" i="6"/>
  <c r="U126" i="6"/>
  <c r="U128" i="6"/>
  <c r="U129" i="6"/>
  <c r="U130" i="6"/>
  <c r="U131" i="6"/>
  <c r="U132" i="6"/>
  <c r="U133" i="6"/>
  <c r="U134" i="6"/>
  <c r="U135" i="6"/>
  <c r="U136" i="6"/>
  <c r="U137" i="6"/>
  <c r="U138" i="6"/>
  <c r="U139" i="6"/>
  <c r="U141" i="6"/>
  <c r="U142" i="6"/>
  <c r="U143" i="6"/>
  <c r="U145" i="6"/>
  <c r="U146" i="6"/>
  <c r="U147" i="6"/>
  <c r="U148" i="6"/>
  <c r="U149" i="6"/>
  <c r="U150" i="6"/>
  <c r="U151" i="6"/>
  <c r="U152" i="6"/>
  <c r="U153" i="6"/>
  <c r="U154" i="6"/>
  <c r="U155" i="6"/>
  <c r="U156" i="6"/>
  <c r="U157" i="6"/>
  <c r="U158" i="6"/>
  <c r="U159" i="6"/>
  <c r="U160" i="6"/>
  <c r="U161" i="6"/>
  <c r="U162" i="6"/>
  <c r="U163" i="6"/>
  <c r="U164" i="6"/>
  <c r="U165" i="6"/>
  <c r="U166" i="6"/>
  <c r="U167" i="6"/>
  <c r="U168" i="6"/>
  <c r="U169" i="6"/>
  <c r="U170" i="6"/>
  <c r="U171" i="6"/>
  <c r="U172" i="6"/>
  <c r="U173" i="6"/>
  <c r="U174" i="6"/>
  <c r="U175" i="6"/>
  <c r="U176" i="6"/>
  <c r="U177" i="6"/>
  <c r="U178" i="6"/>
  <c r="U179" i="6"/>
  <c r="U180" i="6"/>
  <c r="U181" i="6"/>
  <c r="U182" i="6"/>
  <c r="U95" i="6"/>
  <c r="U239" i="6"/>
  <c r="U218" i="6"/>
  <c r="U226" i="6"/>
  <c r="U224" i="6"/>
  <c r="U186" i="6"/>
  <c r="U194" i="6"/>
  <c r="U202" i="6"/>
  <c r="U210" i="6"/>
  <c r="U221" i="6"/>
  <c r="U235" i="6"/>
  <c r="U215" i="6"/>
  <c r="U236" i="6"/>
  <c r="U232" i="6"/>
  <c r="U183" i="6"/>
  <c r="U191" i="6"/>
  <c r="U199" i="6"/>
  <c r="U207" i="6"/>
  <c r="U223" i="6"/>
  <c r="U234" i="6"/>
  <c r="U241" i="6"/>
  <c r="U230" i="6"/>
  <c r="U208" i="6"/>
  <c r="U188" i="6"/>
  <c r="U196" i="6"/>
  <c r="U204" i="6"/>
  <c r="U212" i="6"/>
  <c r="U220" i="6"/>
  <c r="U228" i="6"/>
  <c r="U231" i="6"/>
  <c r="U238" i="6"/>
  <c r="U205" i="6"/>
  <c r="U185" i="6"/>
  <c r="U193" i="6"/>
  <c r="U201" i="6"/>
  <c r="U209" i="6"/>
  <c r="U217" i="6"/>
  <c r="U225" i="6"/>
  <c r="U216" i="6"/>
  <c r="U229" i="6"/>
  <c r="U190" i="6"/>
  <c r="U198" i="6"/>
  <c r="U206" i="6"/>
  <c r="U214" i="6"/>
  <c r="U222" i="6"/>
  <c r="U233" i="6"/>
  <c r="U192" i="6"/>
  <c r="U187" i="6"/>
  <c r="U195" i="6"/>
  <c r="U203" i="6"/>
  <c r="U211" i="6"/>
  <c r="U219" i="6"/>
  <c r="U227" i="6"/>
  <c r="U240" i="6"/>
  <c r="U200" i="6"/>
  <c r="U189" i="6"/>
  <c r="U184" i="6"/>
  <c r="U213" i="6"/>
  <c r="U197" i="6"/>
  <c r="T5" i="6"/>
  <c r="U8" i="6"/>
  <c r="V7" i="6"/>
  <c r="V144" i="6" s="1"/>
  <c r="U10" i="6"/>
  <c r="U9" i="6"/>
  <c r="H4" i="6"/>
  <c r="H3" i="6"/>
  <c r="E5" i="6"/>
  <c r="F5" i="6"/>
  <c r="G5" i="6"/>
  <c r="V127" i="6" l="1"/>
  <c r="V140" i="6"/>
  <c r="V11" i="6"/>
  <c r="V12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6" i="6"/>
  <c r="V97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22" i="6"/>
  <c r="V123" i="6"/>
  <c r="V124" i="6"/>
  <c r="V125" i="6"/>
  <c r="V126" i="6"/>
  <c r="V128" i="6"/>
  <c r="V129" i="6"/>
  <c r="V130" i="6"/>
  <c r="V131" i="6"/>
  <c r="V132" i="6"/>
  <c r="V133" i="6"/>
  <c r="V134" i="6"/>
  <c r="V135" i="6"/>
  <c r="V136" i="6"/>
  <c r="V137" i="6"/>
  <c r="V138" i="6"/>
  <c r="V139" i="6"/>
  <c r="V141" i="6"/>
  <c r="V142" i="6"/>
  <c r="V143" i="6"/>
  <c r="V145" i="6"/>
  <c r="V146" i="6"/>
  <c r="V147" i="6"/>
  <c r="V148" i="6"/>
  <c r="V149" i="6"/>
  <c r="V150" i="6"/>
  <c r="V151" i="6"/>
  <c r="V152" i="6"/>
  <c r="V153" i="6"/>
  <c r="V154" i="6"/>
  <c r="V155" i="6"/>
  <c r="V156" i="6"/>
  <c r="V157" i="6"/>
  <c r="V158" i="6"/>
  <c r="V159" i="6"/>
  <c r="V160" i="6"/>
  <c r="V161" i="6"/>
  <c r="V162" i="6"/>
  <c r="V163" i="6"/>
  <c r="V164" i="6"/>
  <c r="V165" i="6"/>
  <c r="V166" i="6"/>
  <c r="V167" i="6"/>
  <c r="V168" i="6"/>
  <c r="V169" i="6"/>
  <c r="V170" i="6"/>
  <c r="V171" i="6"/>
  <c r="V172" i="6"/>
  <c r="V173" i="6"/>
  <c r="V174" i="6"/>
  <c r="V175" i="6"/>
  <c r="V176" i="6"/>
  <c r="V177" i="6"/>
  <c r="V178" i="6"/>
  <c r="V179" i="6"/>
  <c r="V180" i="6"/>
  <c r="V181" i="6"/>
  <c r="V182" i="6"/>
  <c r="V92" i="6"/>
  <c r="V95" i="6"/>
  <c r="V94" i="6"/>
  <c r="V91" i="6"/>
  <c r="V93" i="6"/>
  <c r="V90" i="6"/>
  <c r="V189" i="6"/>
  <c r="V197" i="6"/>
  <c r="V205" i="6"/>
  <c r="V213" i="6"/>
  <c r="V221" i="6"/>
  <c r="V229" i="6"/>
  <c r="V232" i="6"/>
  <c r="V235" i="6"/>
  <c r="V239" i="6"/>
  <c r="V225" i="6"/>
  <c r="V186" i="6"/>
  <c r="V194" i="6"/>
  <c r="V202" i="6"/>
  <c r="V210" i="6"/>
  <c r="V218" i="6"/>
  <c r="V226" i="6"/>
  <c r="V217" i="6"/>
  <c r="V209" i="6"/>
  <c r="V219" i="6"/>
  <c r="V183" i="6"/>
  <c r="V191" i="6"/>
  <c r="V199" i="6"/>
  <c r="V207" i="6"/>
  <c r="V215" i="6"/>
  <c r="V223" i="6"/>
  <c r="V193" i="6"/>
  <c r="V203" i="6"/>
  <c r="V234" i="6"/>
  <c r="V220" i="6"/>
  <c r="V228" i="6"/>
  <c r="V231" i="6"/>
  <c r="V238" i="6"/>
  <c r="V241" i="6"/>
  <c r="V214" i="6"/>
  <c r="V188" i="6"/>
  <c r="V196" i="6"/>
  <c r="V204" i="6"/>
  <c r="V212" i="6"/>
  <c r="V198" i="6"/>
  <c r="V240" i="6"/>
  <c r="V185" i="6"/>
  <c r="V201" i="6"/>
  <c r="V222" i="6"/>
  <c r="V190" i="6"/>
  <c r="V206" i="6"/>
  <c r="V230" i="6"/>
  <c r="V233" i="6"/>
  <c r="V236" i="6"/>
  <c r="V195" i="6"/>
  <c r="V227" i="6"/>
  <c r="V187" i="6"/>
  <c r="V211" i="6"/>
  <c r="V184" i="6"/>
  <c r="V192" i="6"/>
  <c r="V200" i="6"/>
  <c r="V208" i="6"/>
  <c r="V216" i="6"/>
  <c r="V224" i="6"/>
  <c r="V9" i="6"/>
  <c r="V8" i="6"/>
  <c r="V10" i="6"/>
  <c r="W7" i="6"/>
  <c r="W144" i="6" s="1"/>
  <c r="U5" i="6"/>
  <c r="H5" i="6"/>
  <c r="W127" i="6" l="1"/>
  <c r="W140" i="6"/>
  <c r="W11" i="6"/>
  <c r="W1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4" i="6"/>
  <c r="W95" i="6"/>
  <c r="W96" i="6"/>
  <c r="W97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W125" i="6"/>
  <c r="W126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1" i="6"/>
  <c r="W142" i="6"/>
  <c r="W143" i="6"/>
  <c r="W145" i="6"/>
  <c r="W146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166" i="6"/>
  <c r="W167" i="6"/>
  <c r="W168" i="6"/>
  <c r="W169" i="6"/>
  <c r="W170" i="6"/>
  <c r="W171" i="6"/>
  <c r="W172" i="6"/>
  <c r="W173" i="6"/>
  <c r="W174" i="6"/>
  <c r="W175" i="6"/>
  <c r="W176" i="6"/>
  <c r="W177" i="6"/>
  <c r="W178" i="6"/>
  <c r="W179" i="6"/>
  <c r="W180" i="6"/>
  <c r="W181" i="6"/>
  <c r="W182" i="6"/>
  <c r="W183" i="6"/>
  <c r="W184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0" i="6"/>
  <c r="W221" i="6"/>
  <c r="W222" i="6"/>
  <c r="W223" i="6"/>
  <c r="W224" i="6"/>
  <c r="W225" i="6"/>
  <c r="W226" i="6"/>
  <c r="W227" i="6"/>
  <c r="W228" i="6"/>
  <c r="W229" i="6"/>
  <c r="W230" i="6"/>
  <c r="W231" i="6"/>
  <c r="W232" i="6"/>
  <c r="W233" i="6"/>
  <c r="W234" i="6"/>
  <c r="W235" i="6"/>
  <c r="W236" i="6"/>
  <c r="W238" i="6"/>
  <c r="W239" i="6"/>
  <c r="W240" i="6"/>
  <c r="W241" i="6"/>
  <c r="V5" i="6"/>
  <c r="W10" i="6"/>
  <c r="W8" i="6"/>
  <c r="X7" i="6"/>
  <c r="X144" i="6" s="1"/>
  <c r="W9" i="6"/>
  <c r="X127" i="6" l="1"/>
  <c r="X140" i="6"/>
  <c r="X11" i="6"/>
  <c r="X12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126" i="6"/>
  <c r="X128" i="6"/>
  <c r="X129" i="6"/>
  <c r="X130" i="6"/>
  <c r="X131" i="6"/>
  <c r="X132" i="6"/>
  <c r="X133" i="6"/>
  <c r="X134" i="6"/>
  <c r="X135" i="6"/>
  <c r="X136" i="6"/>
  <c r="X137" i="6"/>
  <c r="X153" i="6"/>
  <c r="X169" i="6"/>
  <c r="X138" i="6"/>
  <c r="X156" i="6"/>
  <c r="X172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226" i="6"/>
  <c r="X227" i="6"/>
  <c r="X228" i="6"/>
  <c r="X229" i="6"/>
  <c r="X230" i="6"/>
  <c r="X231" i="6"/>
  <c r="X232" i="6"/>
  <c r="X233" i="6"/>
  <c r="X234" i="6"/>
  <c r="X235" i="6"/>
  <c r="X236" i="6"/>
  <c r="X238" i="6"/>
  <c r="X239" i="6"/>
  <c r="X240" i="6"/>
  <c r="X241" i="6"/>
  <c r="X142" i="6"/>
  <c r="X159" i="6"/>
  <c r="X175" i="6"/>
  <c r="X146" i="6"/>
  <c r="X162" i="6"/>
  <c r="X178" i="6"/>
  <c r="X149" i="6"/>
  <c r="X165" i="6"/>
  <c r="X181" i="6"/>
  <c r="X152" i="6"/>
  <c r="X168" i="6"/>
  <c r="X155" i="6"/>
  <c r="X171" i="6"/>
  <c r="X141" i="6"/>
  <c r="X158" i="6"/>
  <c r="X174" i="6"/>
  <c r="X145" i="6"/>
  <c r="X161" i="6"/>
  <c r="X177" i="6"/>
  <c r="X148" i="6"/>
  <c r="X164" i="6"/>
  <c r="X180" i="6"/>
  <c r="X151" i="6"/>
  <c r="X167" i="6"/>
  <c r="X154" i="6"/>
  <c r="X170" i="6"/>
  <c r="X139" i="6"/>
  <c r="X157" i="6"/>
  <c r="X173" i="6"/>
  <c r="X150" i="6"/>
  <c r="X143" i="6"/>
  <c r="X179" i="6"/>
  <c r="X163" i="6"/>
  <c r="X147" i="6"/>
  <c r="X176" i="6"/>
  <c r="X160" i="6"/>
  <c r="X166" i="6"/>
  <c r="X10" i="6"/>
  <c r="X8" i="6"/>
  <c r="X9" i="6"/>
  <c r="Y7" i="6"/>
  <c r="Y144" i="6" s="1"/>
  <c r="W5" i="6"/>
  <c r="Y127" i="6" l="1"/>
  <c r="Y140" i="6"/>
  <c r="Y11" i="6"/>
  <c r="Y12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8" i="6"/>
  <c r="Y129" i="6"/>
  <c r="Y130" i="6"/>
  <c r="Y131" i="6"/>
  <c r="Y132" i="6"/>
  <c r="Y133" i="6"/>
  <c r="Y134" i="6"/>
  <c r="Y135" i="6"/>
  <c r="Y136" i="6"/>
  <c r="Y137" i="6"/>
  <c r="Y94" i="6"/>
  <c r="Y150" i="6"/>
  <c r="Y166" i="6"/>
  <c r="Y153" i="6"/>
  <c r="Y169" i="6"/>
  <c r="Y138" i="6"/>
  <c r="Y156" i="6"/>
  <c r="Y172" i="6"/>
  <c r="Y182" i="6"/>
  <c r="Y183" i="6"/>
  <c r="Y184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218" i="6"/>
  <c r="Y219" i="6"/>
  <c r="Y220" i="6"/>
  <c r="Y221" i="6"/>
  <c r="Y222" i="6"/>
  <c r="Y223" i="6"/>
  <c r="Y224" i="6"/>
  <c r="Y225" i="6"/>
  <c r="Y226" i="6"/>
  <c r="Y227" i="6"/>
  <c r="Y228" i="6"/>
  <c r="Y229" i="6"/>
  <c r="Y230" i="6"/>
  <c r="Y231" i="6"/>
  <c r="Y232" i="6"/>
  <c r="Y233" i="6"/>
  <c r="Y234" i="6"/>
  <c r="Y235" i="6"/>
  <c r="Y236" i="6"/>
  <c r="Y238" i="6"/>
  <c r="Y239" i="6"/>
  <c r="Y240" i="6"/>
  <c r="Y241" i="6"/>
  <c r="Y93" i="6"/>
  <c r="Y142" i="6"/>
  <c r="Y159" i="6"/>
  <c r="Y175" i="6"/>
  <c r="Y146" i="6"/>
  <c r="Y162" i="6"/>
  <c r="Y178" i="6"/>
  <c r="Y149" i="6"/>
  <c r="Y165" i="6"/>
  <c r="Y181" i="6"/>
  <c r="Y152" i="6"/>
  <c r="Y168" i="6"/>
  <c r="Y155" i="6"/>
  <c r="Y171" i="6"/>
  <c r="Y141" i="6"/>
  <c r="Y158" i="6"/>
  <c r="Y174" i="6"/>
  <c r="Y145" i="6"/>
  <c r="Y161" i="6"/>
  <c r="Y177" i="6"/>
  <c r="Y148" i="6"/>
  <c r="Y164" i="6"/>
  <c r="Y180" i="6"/>
  <c r="Y151" i="6"/>
  <c r="Y167" i="6"/>
  <c r="Y154" i="6"/>
  <c r="Y170" i="6"/>
  <c r="Y160" i="6"/>
  <c r="Y173" i="6"/>
  <c r="Y143" i="6"/>
  <c r="Y179" i="6"/>
  <c r="Y157" i="6"/>
  <c r="Y163" i="6"/>
  <c r="Y139" i="6"/>
  <c r="Y147" i="6"/>
  <c r="Y176" i="6"/>
  <c r="Y10" i="6"/>
  <c r="Y9" i="6"/>
  <c r="Y8" i="6"/>
  <c r="Z7" i="6"/>
  <c r="Z144" i="6" s="1"/>
  <c r="X5" i="6"/>
  <c r="Z127" i="6" l="1"/>
  <c r="Z140" i="6"/>
  <c r="Z11" i="6"/>
  <c r="Z12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Z125" i="6"/>
  <c r="Z126" i="6"/>
  <c r="Z128" i="6"/>
  <c r="Z129" i="6"/>
  <c r="Z130" i="6"/>
  <c r="Z131" i="6"/>
  <c r="Z132" i="6"/>
  <c r="Z133" i="6"/>
  <c r="Z134" i="6"/>
  <c r="Z135" i="6"/>
  <c r="Z136" i="6"/>
  <c r="Z137" i="6"/>
  <c r="Z147" i="6"/>
  <c r="Z163" i="6"/>
  <c r="Z179" i="6"/>
  <c r="Z224" i="6"/>
  <c r="Z228" i="6"/>
  <c r="Z231" i="6"/>
  <c r="Z234" i="6"/>
  <c r="Z239" i="6"/>
  <c r="Z150" i="6"/>
  <c r="Z166" i="6"/>
  <c r="Z225" i="6"/>
  <c r="Z230" i="6"/>
  <c r="Z236" i="6"/>
  <c r="Z241" i="6"/>
  <c r="Z153" i="6"/>
  <c r="Z169" i="6"/>
  <c r="Z222" i="6"/>
  <c r="Z227" i="6"/>
  <c r="Z232" i="6"/>
  <c r="Z235" i="6"/>
  <c r="Z240" i="6"/>
  <c r="Z138" i="6"/>
  <c r="Z156" i="6"/>
  <c r="Z172" i="6"/>
  <c r="Z182" i="6"/>
  <c r="Z183" i="6"/>
  <c r="Z184" i="6"/>
  <c r="Z185" i="6"/>
  <c r="Z186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1" i="6"/>
  <c r="Z202" i="6"/>
  <c r="Z203" i="6"/>
  <c r="Z204" i="6"/>
  <c r="Z205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19" i="6"/>
  <c r="Z220" i="6"/>
  <c r="Z221" i="6"/>
  <c r="Z223" i="6"/>
  <c r="Z226" i="6"/>
  <c r="Z229" i="6"/>
  <c r="Z233" i="6"/>
  <c r="Z238" i="6"/>
  <c r="Z142" i="6"/>
  <c r="Z159" i="6"/>
  <c r="Z175" i="6"/>
  <c r="Z146" i="6"/>
  <c r="Z162" i="6"/>
  <c r="Z178" i="6"/>
  <c r="Z149" i="6"/>
  <c r="Z165" i="6"/>
  <c r="Z181" i="6"/>
  <c r="Z152" i="6"/>
  <c r="Z168" i="6"/>
  <c r="Z155" i="6"/>
  <c r="Z171" i="6"/>
  <c r="Z141" i="6"/>
  <c r="Z158" i="6"/>
  <c r="Z174" i="6"/>
  <c r="Z145" i="6"/>
  <c r="Z161" i="6"/>
  <c r="Z177" i="6"/>
  <c r="Z148" i="6"/>
  <c r="Z164" i="6"/>
  <c r="Z180" i="6"/>
  <c r="Z151" i="6"/>
  <c r="Z167" i="6"/>
  <c r="Z154" i="6"/>
  <c r="Z160" i="6"/>
  <c r="Z173" i="6"/>
  <c r="Z143" i="6"/>
  <c r="Z157" i="6"/>
  <c r="Z176" i="6"/>
  <c r="Z139" i="6"/>
  <c r="Z170" i="6"/>
  <c r="Z8" i="6"/>
  <c r="Z10" i="6"/>
  <c r="AA7" i="6"/>
  <c r="AA144" i="6" s="1"/>
  <c r="Z9" i="6"/>
  <c r="Y5" i="6"/>
  <c r="AA127" i="6" l="1"/>
  <c r="AA140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90" i="6"/>
  <c r="AA92" i="6"/>
  <c r="AA85" i="6"/>
  <c r="AA87" i="6"/>
  <c r="AA89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8" i="6"/>
  <c r="AA129" i="6"/>
  <c r="AA91" i="6"/>
  <c r="AA94" i="6"/>
  <c r="AA143" i="6"/>
  <c r="AA160" i="6"/>
  <c r="AA176" i="6"/>
  <c r="AA213" i="6"/>
  <c r="AA217" i="6"/>
  <c r="AA221" i="6"/>
  <c r="AA225" i="6"/>
  <c r="AA229" i="6"/>
  <c r="AA233" i="6"/>
  <c r="AA239" i="6"/>
  <c r="AA130" i="6"/>
  <c r="AA132" i="6"/>
  <c r="AA134" i="6"/>
  <c r="AA136" i="6"/>
  <c r="AA147" i="6"/>
  <c r="AA163" i="6"/>
  <c r="AA179" i="6"/>
  <c r="AA211" i="6"/>
  <c r="AA215" i="6"/>
  <c r="AA222" i="6"/>
  <c r="AA226" i="6"/>
  <c r="AA230" i="6"/>
  <c r="AA236" i="6"/>
  <c r="AA241" i="6"/>
  <c r="AA150" i="6"/>
  <c r="AA166" i="6"/>
  <c r="AA209" i="6"/>
  <c r="AA216" i="6"/>
  <c r="AA220" i="6"/>
  <c r="AA224" i="6"/>
  <c r="AA228" i="6"/>
  <c r="AA231" i="6"/>
  <c r="AA235" i="6"/>
  <c r="AA240" i="6"/>
  <c r="AA153" i="6"/>
  <c r="AA169" i="6"/>
  <c r="AA210" i="6"/>
  <c r="AA218" i="6"/>
  <c r="AA223" i="6"/>
  <c r="AA227" i="6"/>
  <c r="AA232" i="6"/>
  <c r="AA238" i="6"/>
  <c r="AA93" i="6"/>
  <c r="AA138" i="6"/>
  <c r="AA156" i="6"/>
  <c r="AA172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2" i="6"/>
  <c r="AA203" i="6"/>
  <c r="AA204" i="6"/>
  <c r="AA205" i="6"/>
  <c r="AA206" i="6"/>
  <c r="AA207" i="6"/>
  <c r="AA208" i="6"/>
  <c r="AA212" i="6"/>
  <c r="AA214" i="6"/>
  <c r="AA219" i="6"/>
  <c r="AA234" i="6"/>
  <c r="AA142" i="6"/>
  <c r="AA159" i="6"/>
  <c r="AA175" i="6"/>
  <c r="AA146" i="6"/>
  <c r="AA162" i="6"/>
  <c r="AA178" i="6"/>
  <c r="AA149" i="6"/>
  <c r="AA165" i="6"/>
  <c r="AA181" i="6"/>
  <c r="AA152" i="6"/>
  <c r="AA168" i="6"/>
  <c r="AA131" i="6"/>
  <c r="AA133" i="6"/>
  <c r="AA135" i="6"/>
  <c r="AA137" i="6"/>
  <c r="AA155" i="6"/>
  <c r="AA171" i="6"/>
  <c r="AA141" i="6"/>
  <c r="AA158" i="6"/>
  <c r="AA174" i="6"/>
  <c r="AA145" i="6"/>
  <c r="AA161" i="6"/>
  <c r="AA177" i="6"/>
  <c r="AA148" i="6"/>
  <c r="AA164" i="6"/>
  <c r="AA180" i="6"/>
  <c r="AA86" i="6"/>
  <c r="AA154" i="6"/>
  <c r="AA170" i="6"/>
  <c r="AA173" i="6"/>
  <c r="AA167" i="6"/>
  <c r="AA157" i="6"/>
  <c r="AA151" i="6"/>
  <c r="AA88" i="6"/>
  <c r="AA139" i="6"/>
  <c r="Z5" i="6"/>
  <c r="AA9" i="6"/>
  <c r="AA8" i="6"/>
  <c r="AB7" i="6"/>
  <c r="AB144" i="6" s="1"/>
  <c r="AA10" i="6"/>
  <c r="AB127" i="6" l="1"/>
  <c r="AB14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3" i="6"/>
  <c r="AB90" i="6"/>
  <c r="AB92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B125" i="6"/>
  <c r="AB126" i="6"/>
  <c r="AB128" i="6"/>
  <c r="AB129" i="6"/>
  <c r="AB130" i="6"/>
  <c r="AB131" i="6"/>
  <c r="AB132" i="6"/>
  <c r="AB133" i="6"/>
  <c r="AB134" i="6"/>
  <c r="AB135" i="6"/>
  <c r="AB136" i="6"/>
  <c r="AB137" i="6"/>
  <c r="AB138" i="6"/>
  <c r="AB139" i="6"/>
  <c r="AB141" i="6"/>
  <c r="AB142" i="6"/>
  <c r="AB143" i="6"/>
  <c r="AB145" i="6"/>
  <c r="AB146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67" i="6"/>
  <c r="AB168" i="6"/>
  <c r="AB169" i="6"/>
  <c r="AB170" i="6"/>
  <c r="AB171" i="6"/>
  <c r="AB172" i="6"/>
  <c r="AB173" i="6"/>
  <c r="AB174" i="6"/>
  <c r="AB175" i="6"/>
  <c r="AB176" i="6"/>
  <c r="AB177" i="6"/>
  <c r="AB178" i="6"/>
  <c r="AB179" i="6"/>
  <c r="AB180" i="6"/>
  <c r="AB181" i="6"/>
  <c r="AB91" i="6"/>
  <c r="AB94" i="6"/>
  <c r="AB217" i="6"/>
  <c r="AB222" i="6"/>
  <c r="AB227" i="6"/>
  <c r="AB231" i="6"/>
  <c r="AB233" i="6"/>
  <c r="AB220" i="6"/>
  <c r="AB224" i="6"/>
  <c r="AB219" i="6"/>
  <c r="AB226" i="6"/>
  <c r="AB218" i="6"/>
  <c r="AB225" i="6"/>
  <c r="AB182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2" i="6"/>
  <c r="AB203" i="6"/>
  <c r="AB204" i="6"/>
  <c r="AB205" i="6"/>
  <c r="AB206" i="6"/>
  <c r="AB207" i="6"/>
  <c r="AB208" i="6"/>
  <c r="AB209" i="6"/>
  <c r="AB210" i="6"/>
  <c r="AB211" i="6"/>
  <c r="AB212" i="6"/>
  <c r="AB213" i="6"/>
  <c r="AB214" i="6"/>
  <c r="AB215" i="6"/>
  <c r="AB216" i="6"/>
  <c r="AB221" i="6"/>
  <c r="AB223" i="6"/>
  <c r="AB228" i="6"/>
  <c r="AB229" i="6"/>
  <c r="AB232" i="6"/>
  <c r="AB235" i="6"/>
  <c r="AB239" i="6"/>
  <c r="AB236" i="6"/>
  <c r="AB240" i="6"/>
  <c r="AB234" i="6"/>
  <c r="AB238" i="6"/>
  <c r="AB241" i="6"/>
  <c r="AB230" i="6"/>
  <c r="AA5" i="6"/>
  <c r="AB9" i="6"/>
  <c r="AB10" i="6"/>
  <c r="AB8" i="6"/>
  <c r="AB5" i="6" l="1"/>
</calcChain>
</file>

<file path=xl/sharedStrings.xml><?xml version="1.0" encoding="utf-8"?>
<sst xmlns="http://schemas.openxmlformats.org/spreadsheetml/2006/main" count="2239" uniqueCount="1007">
  <si>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</si>
  <si>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</si>
  <si>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</si>
  <si>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</si>
  <si>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</si>
  <si>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</si>
  <si>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</si>
  <si>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</si>
  <si>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</si>
  <si>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</si>
  <si>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</si>
  <si>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</si>
  <si>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</si>
  <si>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</si>
  <si>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</si>
  <si>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</si>
  <si>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</si>
  <si>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</si>
  <si>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</si>
  <si>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</si>
  <si>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</si>
  <si>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</si>
  <si>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</si>
  <si>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</si>
  <si>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</si>
  <si>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</si>
  <si>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</si>
  <si>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</si>
  <si>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</si>
  <si>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enoteca con cucina</t>
  </si>
  <si>
    <t>bistrot</t>
  </si>
  <si>
    <t>gelateria</t>
  </si>
  <si>
    <t>pizzeria</t>
  </si>
  <si>
    <t>n.d.</t>
  </si>
  <si>
    <t>cocktail bar</t>
  </si>
  <si>
    <t>pasticceria / caffetteria</t>
  </si>
  <si>
    <t>enoteca</t>
  </si>
  <si>
    <t>bar / pasticceria</t>
  </si>
  <si>
    <t>Centro</t>
  </si>
  <si>
    <t>Crocetta</t>
  </si>
  <si>
    <t/>
  </si>
  <si>
    <t>Berberè</t>
  </si>
  <si>
    <t>Cod_Percorso</t>
  </si>
  <si>
    <t>non recensibile</t>
  </si>
  <si>
    <t>pasticceria</t>
  </si>
  <si>
    <t>Città</t>
  </si>
  <si>
    <t>Trippa</t>
  </si>
  <si>
    <t>Pavè</t>
  </si>
  <si>
    <t>La Teiera Eclettica</t>
  </si>
  <si>
    <t>Un posto a Milano</t>
  </si>
  <si>
    <t>I Dolci Namura</t>
  </si>
  <si>
    <t>Joia</t>
  </si>
  <si>
    <t>Lacerba</t>
  </si>
  <si>
    <t>Iyo</t>
  </si>
  <si>
    <t>La Ravioleria Sarpi</t>
  </si>
  <si>
    <t>Orsonero Coffee</t>
  </si>
  <si>
    <t>Trattoria del Nuovo Macello</t>
  </si>
  <si>
    <t>Osteria del Biliardo</t>
  </si>
  <si>
    <t>Rita</t>
  </si>
  <si>
    <t>Trapizzino</t>
  </si>
  <si>
    <t>Manna</t>
  </si>
  <si>
    <t>Le Nove Scodelle</t>
  </si>
  <si>
    <t>Cantine Isola</t>
  </si>
  <si>
    <t>Gelateria Paganelli</t>
  </si>
  <si>
    <t>Morelli</t>
  </si>
  <si>
    <t>Ceresio 7</t>
  </si>
  <si>
    <t>28 Posti</t>
  </si>
  <si>
    <t>Tipografia Alimentare</t>
  </si>
  <si>
    <t>Macelleria Popolare</t>
  </si>
  <si>
    <t>Contraste</t>
  </si>
  <si>
    <t>Casa Ramen Super</t>
  </si>
  <si>
    <t>Dry</t>
  </si>
  <si>
    <t>Gelato Giusto</t>
  </si>
  <si>
    <t>Gusto 17</t>
  </si>
  <si>
    <t>La Gelateria della Musica</t>
  </si>
  <si>
    <t>Erba Brusca</t>
  </si>
  <si>
    <t>Ratanà</t>
  </si>
  <si>
    <t>Il Liberty</t>
  </si>
  <si>
    <t>Trattoria Mirta</t>
  </si>
  <si>
    <t>Tra le righe Gelato &amp; Friends</t>
  </si>
  <si>
    <t>Zazà Ramen</t>
  </si>
  <si>
    <t>Cru</t>
  </si>
  <si>
    <t>forno / pasticceria / bistrot</t>
  </si>
  <si>
    <t>negozio con sala da tè</t>
  </si>
  <si>
    <t>ravioleria cinese</t>
  </si>
  <si>
    <t>vineria / ristorante</t>
  </si>
  <si>
    <t>panineria</t>
  </si>
  <si>
    <t>street food romanesco</t>
  </si>
  <si>
    <t>ristorante / american bar</t>
  </si>
  <si>
    <t>caffetteria / enoteca</t>
  </si>
  <si>
    <t>macelleria con cucina</t>
  </si>
  <si>
    <t>Colonne di San Lorenzo</t>
  </si>
  <si>
    <t>Brera</t>
  </si>
  <si>
    <t>Porta Romana</t>
  </si>
  <si>
    <t>Montenapoleone</t>
  </si>
  <si>
    <t>Casoretto</t>
  </si>
  <si>
    <t>Porta Venezia</t>
  </si>
  <si>
    <t>Bocconi</t>
  </si>
  <si>
    <t>Via Felice Casati, 27</t>
  </si>
  <si>
    <t>Buenos Aires</t>
  </si>
  <si>
    <t>Via Melzo, 30</t>
  </si>
  <si>
    <t>Via Cuccagna, 2</t>
  </si>
  <si>
    <t>Sempione</t>
  </si>
  <si>
    <t>Navigli</t>
  </si>
  <si>
    <t>Via Panfilo Castaldi, 18</t>
  </si>
  <si>
    <t>Via Orti, 4</t>
  </si>
  <si>
    <t>Via Piero della Francesca, 74</t>
  </si>
  <si>
    <t>Cenisio</t>
  </si>
  <si>
    <t>Via Paolo Sarpi, 27</t>
  </si>
  <si>
    <t>Porta Vittoria</t>
  </si>
  <si>
    <t>Via Giuseppe Broggi, 15</t>
  </si>
  <si>
    <t>Via Cesare Lombroso, 20</t>
  </si>
  <si>
    <t>Piazzale Martini</t>
  </si>
  <si>
    <t>Via Enrico Cialdini, 107</t>
  </si>
  <si>
    <t>Affori</t>
  </si>
  <si>
    <t>Via Montecuccoli, 6</t>
  </si>
  <si>
    <t>Primaticcio</t>
  </si>
  <si>
    <t>Duomo</t>
  </si>
  <si>
    <t>Via Pier Candido Decembrio, 33</t>
  </si>
  <si>
    <t>Corso Lodi</t>
  </si>
  <si>
    <t>Tortona</t>
  </si>
  <si>
    <t>Via Corsico, 1</t>
  </si>
  <si>
    <t>Porta Genova</t>
  </si>
  <si>
    <t>Via Marghera, 12</t>
  </si>
  <si>
    <t>Wagner</t>
  </si>
  <si>
    <t>Stazione Centrale</t>
  </si>
  <si>
    <t>Maggiolina</t>
  </si>
  <si>
    <t>Garibaldi</t>
  </si>
  <si>
    <t>Piazzale Governo Provvisorio, 6</t>
  </si>
  <si>
    <t>Turro</t>
  </si>
  <si>
    <t>Isola</t>
  </si>
  <si>
    <t>Viale Monza, 4</t>
  </si>
  <si>
    <t>Loreto</t>
  </si>
  <si>
    <t>Porta Ticinese</t>
  </si>
  <si>
    <t>Via Paolo Sarpi, 30</t>
  </si>
  <si>
    <t>Via Solferino, 48</t>
  </si>
  <si>
    <t>Corso Italia, 6</t>
  </si>
  <si>
    <t>Missori</t>
  </si>
  <si>
    <t>Via Adda, 3</t>
  </si>
  <si>
    <t>Via Aristotile Fioravanti, 4</t>
  </si>
  <si>
    <t>Monumentale</t>
  </si>
  <si>
    <t>Via Ceresio, 7</t>
  </si>
  <si>
    <t>Via Sebenico, 21</t>
  </si>
  <si>
    <t>Via Vigevano, 8</t>
  </si>
  <si>
    <t>Via Dolomiti, 1</t>
  </si>
  <si>
    <t>Moscova</t>
  </si>
  <si>
    <t>Piazza XXIV Maggio - Mercato Coperto</t>
  </si>
  <si>
    <t>Via Giuseppe Meda, 2</t>
  </si>
  <si>
    <t>Bastioni di Porta Nuova</t>
  </si>
  <si>
    <t>Via Ugo Bassi, 26</t>
  </si>
  <si>
    <t>Via Solferino, 33</t>
  </si>
  <si>
    <t>Via San Gregorio, 17</t>
  </si>
  <si>
    <t>Via Savona, 17</t>
  </si>
  <si>
    <t>Via Cesare Battisti, 21</t>
  </si>
  <si>
    <t>Repubblica</t>
  </si>
  <si>
    <t>Via Vigevano, 27</t>
  </si>
  <si>
    <t>Alzaia Naviglio Pavese, 286</t>
  </si>
  <si>
    <t>Chiesa Rossa</t>
  </si>
  <si>
    <t>Via Bernardino Corio, 8</t>
  </si>
  <si>
    <t>Via Gaetano de Castillia, 28</t>
  </si>
  <si>
    <t>Sant'Ambrogio</t>
  </si>
  <si>
    <t>Piazza San Materno, 12</t>
  </si>
  <si>
    <t>Via Teodosio, 44</t>
  </si>
  <si>
    <t>Lambrate</t>
  </si>
  <si>
    <t>Via Ugo Bassi, 24</t>
  </si>
  <si>
    <t>Milano</t>
  </si>
  <si>
    <t>327/6687908</t>
  </si>
  <si>
    <t>02/83630074</t>
  </si>
  <si>
    <t>02/29419101</t>
  </si>
  <si>
    <t>02/5457785</t>
  </si>
  <si>
    <t>02/34534176</t>
  </si>
  <si>
    <t>02/29522124</t>
  </si>
  <si>
    <t>02/45476898</t>
  </si>
  <si>
    <t>331/8870596</t>
  </si>
  <si>
    <t>366/5477441</t>
  </si>
  <si>
    <t>02/59902122</t>
  </si>
  <si>
    <t>02/36756256</t>
  </si>
  <si>
    <t>02/416886</t>
  </si>
  <si>
    <t>02/45487032</t>
  </si>
  <si>
    <t>02/8372865</t>
  </si>
  <si>
    <t>02/4693265</t>
  </si>
  <si>
    <t>02/26809153</t>
  </si>
  <si>
    <t>331/8001116</t>
  </si>
  <si>
    <t>02/3315249</t>
  </si>
  <si>
    <t>02/89093781</t>
  </si>
  <si>
    <t>02/80010918</t>
  </si>
  <si>
    <t>02/31039221</t>
  </si>
  <si>
    <t>02/8392377</t>
  </si>
  <si>
    <t>02/36707820</t>
  </si>
  <si>
    <t>02/36758428</t>
  </si>
  <si>
    <t>02/83537868</t>
  </si>
  <si>
    <t>02/39468368</t>
  </si>
  <si>
    <t>02/49536597</t>
  </si>
  <si>
    <t>02/83529210</t>
  </si>
  <si>
    <t>02/63793414</t>
  </si>
  <si>
    <t>02/29510284</t>
  </si>
  <si>
    <t>02/39811835</t>
  </si>
  <si>
    <t>02/94383619</t>
  </si>
  <si>
    <t>02/39811258</t>
  </si>
  <si>
    <t>02/55190020</t>
  </si>
  <si>
    <t>02/87128855</t>
  </si>
  <si>
    <t>02/29011439</t>
  </si>
  <si>
    <t>02/91762549</t>
  </si>
  <si>
    <t>02/36799000</t>
  </si>
  <si>
    <t>342/3040081</t>
  </si>
  <si>
    <t>formula aperitivo</t>
  </si>
  <si>
    <t>menù degustazione</t>
  </si>
  <si>
    <t>Via Mercalli ang. Via S.F. d'Assisi</t>
  </si>
  <si>
    <t>02/62065383</t>
  </si>
  <si>
    <t>Corso Lodi, 15</t>
  </si>
  <si>
    <t>02/36536410</t>
  </si>
  <si>
    <t>bakery / caffetteria</t>
  </si>
  <si>
    <t>02/32960708</t>
  </si>
  <si>
    <t>Via Salasco, 21</t>
  </si>
  <si>
    <t>Vinodromo</t>
  </si>
  <si>
    <t>Wineria</t>
  </si>
  <si>
    <t>wine bar</t>
  </si>
  <si>
    <t>Piazza Carlo Caneva, 4</t>
  </si>
  <si>
    <t>02/39464196</t>
  </si>
  <si>
    <t>Nebbia</t>
  </si>
  <si>
    <t>Via Evangelista Torricelli, 15</t>
  </si>
  <si>
    <t>02/82781557</t>
  </si>
  <si>
    <t>338/3582658</t>
  </si>
  <si>
    <t>Via Melzo, 22</t>
  </si>
  <si>
    <t>02/49787361</t>
  </si>
  <si>
    <t>L'ile Douce</t>
  </si>
  <si>
    <t>02/49780658</t>
  </si>
  <si>
    <t>Bussarakham</t>
  </si>
  <si>
    <t>Via Valenza, 13</t>
  </si>
  <si>
    <t>02/89422415</t>
  </si>
  <si>
    <t>Da Zero</t>
  </si>
  <si>
    <t>02/83529189</t>
  </si>
  <si>
    <t>Via Federico Faruffini, 2</t>
  </si>
  <si>
    <t>Porcobrado</t>
  </si>
  <si>
    <t>vineria con cucina</t>
  </si>
  <si>
    <t>Viale Premuda, 44</t>
  </si>
  <si>
    <t>02/23189915</t>
  </si>
  <si>
    <t>Crosta</t>
  </si>
  <si>
    <t>forno / pizzeria</t>
  </si>
  <si>
    <t>Via Bellotti, 13</t>
  </si>
  <si>
    <t>02/38248570</t>
  </si>
  <si>
    <t>Gong - Oriental Attitude</t>
  </si>
  <si>
    <t>Corso Concordia, 8</t>
  </si>
  <si>
    <t>Piazza Risorgimento</t>
  </si>
  <si>
    <t>02/76023873</t>
  </si>
  <si>
    <t>Via Alfredo Cappellini, 18</t>
  </si>
  <si>
    <t>02/38316849</t>
  </si>
  <si>
    <t>Marlà</t>
  </si>
  <si>
    <t>Ziva</t>
  </si>
  <si>
    <t>Mu dimsum</t>
  </si>
  <si>
    <t>bu:r</t>
  </si>
  <si>
    <t>Mao Hunan</t>
  </si>
  <si>
    <t>CIZ - cantina e cucina</t>
  </si>
  <si>
    <t>Via Lodovico Castelvetro, 16</t>
  </si>
  <si>
    <t>Via Jacopo dal Verme, 17</t>
  </si>
  <si>
    <t>Via Aminto Caretto, 3</t>
  </si>
  <si>
    <t>Viale Monte Grappa, 6</t>
  </si>
  <si>
    <t>Via Bernardino Luini, 9</t>
  </si>
  <si>
    <t>giapponese</t>
  </si>
  <si>
    <t>tradizionale</t>
  </si>
  <si>
    <t>ricercata</t>
  </si>
  <si>
    <t>cinese</t>
  </si>
  <si>
    <t>creativa</t>
  </si>
  <si>
    <t>tradizionale con spunti creativi</t>
  </si>
  <si>
    <t>ligure</t>
  </si>
  <si>
    <t>02/99266436</t>
  </si>
  <si>
    <t>primo, secondo e dolce (o antipasto)</t>
  </si>
  <si>
    <t>2 tipi di ramen</t>
  </si>
  <si>
    <t>1 focaccia, 1 pizza, 1 cocktail</t>
  </si>
  <si>
    <t>1 caffè, 1 cappuccino, 1 lievito</t>
  </si>
  <si>
    <t>tè + fetta di torta o dolce monoporzione</t>
  </si>
  <si>
    <t>2 panini diversi o un panino e un tagliere</t>
  </si>
  <si>
    <t>2 cocktail diversi</t>
  </si>
  <si>
    <t>1 cono o 1 coppetta con tre gusti+panna</t>
  </si>
  <si>
    <t>2 panini diversi o due preparazioni diverse</t>
  </si>
  <si>
    <t>2 trapizzini diversi + 1 supplì</t>
  </si>
  <si>
    <t>02/87318897</t>
  </si>
  <si>
    <t>Ristorante Berton</t>
  </si>
  <si>
    <t>Via Mike Bongiorno, 13</t>
  </si>
  <si>
    <t>02/67075801</t>
  </si>
  <si>
    <t>Mater Bistrot</t>
  </si>
  <si>
    <t>Via Pasquale Sottocorno, 1</t>
  </si>
  <si>
    <t>02/91321602</t>
  </si>
  <si>
    <t>Via Gerolamo Turroni, 2</t>
  </si>
  <si>
    <t>Piazzale Susa</t>
  </si>
  <si>
    <t>351/8578998</t>
  </si>
  <si>
    <t>Kanpai</t>
  </si>
  <si>
    <t>Via Melzo, 12</t>
  </si>
  <si>
    <t>Enoteca Naturale</t>
  </si>
  <si>
    <t>02/82770589</t>
  </si>
  <si>
    <t>Trattoria Sabbioneda</t>
  </si>
  <si>
    <t>Via Alessandro Tadino, 32</t>
  </si>
  <si>
    <t>02/29521014</t>
  </si>
  <si>
    <t>Via Privata Nino Bonnet, 11</t>
  </si>
  <si>
    <t>Via Popoli Uniti, 26</t>
  </si>
  <si>
    <t>02/28381700</t>
  </si>
  <si>
    <t>milanese</t>
  </si>
  <si>
    <t>02/4818134</t>
  </si>
  <si>
    <t>2 pizze diverse + 1 antipasto</t>
  </si>
  <si>
    <t>Bentoteca</t>
  </si>
  <si>
    <t>Via San Calocero, 3</t>
  </si>
  <si>
    <t>340/8357453</t>
  </si>
  <si>
    <t>Antica Osteria Magenes</t>
  </si>
  <si>
    <t>Gaggiano</t>
  </si>
  <si>
    <t>02/9085125</t>
  </si>
  <si>
    <t>GnomoGelato</t>
  </si>
  <si>
    <t>Seta</t>
  </si>
  <si>
    <t>O|Nest</t>
  </si>
  <si>
    <t>Piazza XXIV Maggio</t>
  </si>
  <si>
    <t>Carrobbio</t>
  </si>
  <si>
    <t>Via Luigi Cagnola, 10</t>
  </si>
  <si>
    <t>Via Lodovico il Moro, 3</t>
  </si>
  <si>
    <t>Via Cavour, 7 - fraz. Barate</t>
  </si>
  <si>
    <t>Ticinese</t>
  </si>
  <si>
    <t>Via Monte di Pietà, 18</t>
  </si>
  <si>
    <t>Viale Vittorio Veneto, 28</t>
  </si>
  <si>
    <t>02/49709618</t>
  </si>
  <si>
    <t>02/63471564</t>
  </si>
  <si>
    <t>4</t>
  </si>
  <si>
    <t>3,5</t>
  </si>
  <si>
    <t>4,5</t>
  </si>
  <si>
    <t>5</t>
  </si>
  <si>
    <t>8+</t>
  </si>
  <si>
    <t>9-</t>
  </si>
  <si>
    <t>9</t>
  </si>
  <si>
    <t>8</t>
  </si>
  <si>
    <t>8-</t>
  </si>
  <si>
    <t>9+</t>
  </si>
  <si>
    <t>8½</t>
  </si>
  <si>
    <t>7</t>
  </si>
  <si>
    <t>7½</t>
  </si>
  <si>
    <t>7-</t>
  </si>
  <si>
    <t>7+</t>
  </si>
  <si>
    <t>15</t>
  </si>
  <si>
    <t>35</t>
  </si>
  <si>
    <t>25</t>
  </si>
  <si>
    <t>10</t>
  </si>
  <si>
    <t>1 raviolo, 1 crepe, 1 panino al vapore</t>
  </si>
  <si>
    <t>18</t>
  </si>
  <si>
    <t>20</t>
  </si>
  <si>
    <t>2 pizze diverse + 1 dolce</t>
  </si>
  <si>
    <t>40</t>
  </si>
  <si>
    <t>48</t>
  </si>
  <si>
    <t>30</t>
  </si>
  <si>
    <t>antipasto, primo e dolce o primo, secondo e dolce</t>
  </si>
  <si>
    <t>45</t>
  </si>
  <si>
    <t>50</t>
  </si>
  <si>
    <t>Motelombroso</t>
  </si>
  <si>
    <t>Corso Lodi, 1</t>
  </si>
  <si>
    <t>02/49716304</t>
  </si>
  <si>
    <t>02/91570928</t>
  </si>
  <si>
    <t>Ripa di Porta Ticinese, 2</t>
  </si>
  <si>
    <t>Loste Cafè</t>
  </si>
  <si>
    <t>Via Francesco Guicciardini, 3</t>
  </si>
  <si>
    <t>Eastern Leaves</t>
  </si>
  <si>
    <t>Via Macedonio Melloni, 32</t>
  </si>
  <si>
    <t>02/36706513</t>
  </si>
  <si>
    <t>389/1078092</t>
  </si>
  <si>
    <t>Il Gusto della Nebbia</t>
  </si>
  <si>
    <t>Wicky’s Innovative Japanese Cuisine</t>
  </si>
  <si>
    <t>Nowhere - Coffee &amp; Community</t>
  </si>
  <si>
    <t>Pavè Gelati&amp;Granite</t>
  </si>
  <si>
    <t>friulana</t>
  </si>
  <si>
    <t>Alzaia Naviglio Pavese, 256</t>
  </si>
  <si>
    <t>Via Carlo Botta, 4</t>
  </si>
  <si>
    <t>Corso di Porta Ticinese, 1</t>
  </si>
  <si>
    <t>Piazza Sempione, 6</t>
  </si>
  <si>
    <t>Via Santa Croce, 19/A</t>
  </si>
  <si>
    <t>Via Cadore, 30</t>
  </si>
  <si>
    <t>Porta Monforte</t>
  </si>
  <si>
    <t>333/1855267</t>
  </si>
  <si>
    <t>338/6251114</t>
  </si>
  <si>
    <t>02/50030751</t>
  </si>
  <si>
    <t>02/49784877</t>
  </si>
  <si>
    <t>02/42441183</t>
  </si>
  <si>
    <t>02/37905496</t>
  </si>
  <si>
    <t>9½</t>
  </si>
  <si>
    <t>novità</t>
  </si>
  <si>
    <t>Ristorante D'O</t>
  </si>
  <si>
    <t>Piazza della Chiesa, 14</t>
  </si>
  <si>
    <t>Fraz. San Pietro all'olmo</t>
  </si>
  <si>
    <t>Cornaredo</t>
  </si>
  <si>
    <t>02/9362209</t>
  </si>
  <si>
    <t>La Cucina dei Frigoriferi Milanesi</t>
  </si>
  <si>
    <t>Via Giovanni Battista Piranesi, 10</t>
  </si>
  <si>
    <t>02/39666784</t>
  </si>
  <si>
    <t>Al Garghet</t>
  </si>
  <si>
    <t>Via Selvanesco, 36</t>
  </si>
  <si>
    <t>02/534698</t>
  </si>
  <si>
    <t>Mido</t>
  </si>
  <si>
    <t>araba</t>
  </si>
  <si>
    <t>Tre Chicchere</t>
  </si>
  <si>
    <t>02/69007248</t>
  </si>
  <si>
    <t>02/39562875</t>
  </si>
  <si>
    <t>Il Massimo del Gelato</t>
  </si>
  <si>
    <t>02/3494943</t>
  </si>
  <si>
    <t>Via Salvatore Pianell, 45</t>
  </si>
  <si>
    <t>Rigoletto</t>
  </si>
  <si>
    <t>Via San Siro, 2</t>
  </si>
  <si>
    <t>02/4981820</t>
  </si>
  <si>
    <t>Via Cola di Rienzo, 2</t>
  </si>
  <si>
    <t>Piazza Po, 10</t>
  </si>
  <si>
    <t>Washington</t>
  </si>
  <si>
    <t>Osteria alla Concorrenza</t>
  </si>
  <si>
    <t>Conciliazione</t>
  </si>
  <si>
    <t>Insieme</t>
  </si>
  <si>
    <t>Via Giovanni Rasori, 12</t>
  </si>
  <si>
    <t>391/7182416</t>
  </si>
  <si>
    <t>02/49713413</t>
  </si>
  <si>
    <t>Alberto Marchetti</t>
  </si>
  <si>
    <t>Viale Monte Nero, 73</t>
  </si>
  <si>
    <t>02/5463245</t>
  </si>
  <si>
    <t>Locanda del Menarost</t>
  </si>
  <si>
    <t>02/73951036</t>
  </si>
  <si>
    <t>Remulass</t>
  </si>
  <si>
    <t>Via Nino Bixio, 21</t>
  </si>
  <si>
    <t>02/52517356</t>
  </si>
  <si>
    <t>328/6641670</t>
  </si>
  <si>
    <t>02/49775083</t>
  </si>
  <si>
    <t>antipasto, primo, secondo e dolce</t>
  </si>
  <si>
    <t>Barba</t>
  </si>
  <si>
    <t>02/36515846</t>
  </si>
  <si>
    <t>cocktail bar con cucina</t>
  </si>
  <si>
    <t>Via Caminadella, 21</t>
  </si>
  <si>
    <t>02/35999463</t>
  </si>
  <si>
    <t>Vineria Eretica</t>
  </si>
  <si>
    <t>Via Rosolino Pilo, 14</t>
  </si>
  <si>
    <t>02/45942171</t>
  </si>
  <si>
    <t>Gelateria Prossima Fermata</t>
  </si>
  <si>
    <t>Via Melchiorre Gioia, 131</t>
  </si>
  <si>
    <t>Via Vitruvio, 38</t>
  </si>
  <si>
    <t>Ciacco</t>
  </si>
  <si>
    <t>Via Spadari, 13</t>
  </si>
  <si>
    <t>Via Alfredo Cappellini, 25</t>
  </si>
  <si>
    <t>Moebius</t>
  </si>
  <si>
    <t>02/36643680</t>
  </si>
  <si>
    <t>Lile in cucina</t>
  </si>
  <si>
    <t>Antica Trattoria Monluè</t>
  </si>
  <si>
    <t>Via Monluè, 75</t>
  </si>
  <si>
    <t>Linate</t>
  </si>
  <si>
    <t>02/7610246</t>
  </si>
  <si>
    <t>Stadera - gastronomia contemporanea</t>
  </si>
  <si>
    <t>gastronomia con cucina</t>
  </si>
  <si>
    <t>340/6056240</t>
  </si>
  <si>
    <t>Largo della Crocetta, 1</t>
  </si>
  <si>
    <t>Denis - pizza di montagna</t>
  </si>
  <si>
    <t>Via Statuto, 16</t>
  </si>
  <si>
    <t>375/7988835</t>
  </si>
  <si>
    <t>La Medina</t>
  </si>
  <si>
    <t>sala da tè marocchina</t>
  </si>
  <si>
    <t>Via Tolentino, 1</t>
  </si>
  <si>
    <t>388/7940829</t>
  </si>
  <si>
    <t>Andrea Aprea</t>
  </si>
  <si>
    <t>02/38273030</t>
  </si>
  <si>
    <t>Signor Lievito</t>
  </si>
  <si>
    <t>panificio / caffetteria</t>
  </si>
  <si>
    <t>Via Maestri Campionesi, 26</t>
  </si>
  <si>
    <t>Viale Umbria</t>
  </si>
  <si>
    <t>02/91678209</t>
  </si>
  <si>
    <t>Altatto</t>
  </si>
  <si>
    <t>Fòla</t>
  </si>
  <si>
    <t>Gelateria LatteNeve</t>
  </si>
  <si>
    <t>Mag cafè</t>
  </si>
  <si>
    <t>Orto Gelato</t>
  </si>
  <si>
    <t>Terra Gelato</t>
  </si>
  <si>
    <t>Zibo - campo base</t>
  </si>
  <si>
    <t>vegetariana</t>
  </si>
  <si>
    <t>pasticceria / gastronomia</t>
  </si>
  <si>
    <t>tradizionale rivisitata</t>
  </si>
  <si>
    <t>caffetteria specialty</t>
  </si>
  <si>
    <t>Piazza Cinque Giornate</t>
  </si>
  <si>
    <t>Corso Venezia, 52 c/o Fondazione Luigi Rovati</t>
  </si>
  <si>
    <t>Via dell'Orso, 4</t>
  </si>
  <si>
    <t>Via Luigi Varanini, 12</t>
  </si>
  <si>
    <t>Pasteur</t>
  </si>
  <si>
    <t>Via Lodovico Castelvetro, 18</t>
  </si>
  <si>
    <t>Gerusalemme</t>
  </si>
  <si>
    <t>Via Vigevano, 9</t>
  </si>
  <si>
    <t>Via Pietro Custodi, 4</t>
  </si>
  <si>
    <t>Ca' Granda</t>
  </si>
  <si>
    <t>Via Savona</t>
  </si>
  <si>
    <t>Via Angelo Fumagalli, 1</t>
  </si>
  <si>
    <t>Via Gian Antonio Boltraffio, 12</t>
  </si>
  <si>
    <t>02/39663592</t>
  </si>
  <si>
    <t>02/83419934</t>
  </si>
  <si>
    <t>02/91763465</t>
  </si>
  <si>
    <t>351/9866676</t>
  </si>
  <si>
    <t>02/45375475</t>
  </si>
  <si>
    <t>02/8375249</t>
  </si>
  <si>
    <t>02/09954588</t>
  </si>
  <si>
    <t>02/91672012</t>
  </si>
  <si>
    <t>02/37905491</t>
  </si>
  <si>
    <t>02/38239075</t>
  </si>
  <si>
    <t>02/22228447</t>
  </si>
  <si>
    <t>02/91948458</t>
  </si>
  <si>
    <t>primo, secono e dolce</t>
  </si>
  <si>
    <t>1 caffè, 1 cappuccino, 1 caffè specialty, 1 brioche</t>
  </si>
  <si>
    <t>1 calice di vino + tagliere misto formaggi e salumi, 1 sfizio</t>
  </si>
  <si>
    <t>siciliana</t>
  </si>
  <si>
    <t>Via Adige, 9</t>
  </si>
  <si>
    <t>02/83967642</t>
  </si>
  <si>
    <t>02/72021136</t>
  </si>
  <si>
    <t>Gastronomia Yamamoto</t>
  </si>
  <si>
    <t>Via Amedei, 5</t>
  </si>
  <si>
    <t>02/36741426</t>
  </si>
  <si>
    <t>Out of the Box</t>
  </si>
  <si>
    <t>Via Marcello Malpighi, 7</t>
  </si>
  <si>
    <t>02/36637300</t>
  </si>
  <si>
    <t>toscana</t>
  </si>
  <si>
    <t>1 antipasto (no salumi e formaggi), 1 primo, 1 secondo (no hamburger) e 1 dolce</t>
  </si>
  <si>
    <t>02/47755016</t>
  </si>
  <si>
    <t>Gli Orti del Belvedere</t>
  </si>
  <si>
    <t>Via Orti, 10</t>
  </si>
  <si>
    <t>02/49781425</t>
  </si>
  <si>
    <t>Via Bonvesin de la Riva, 3</t>
  </si>
  <si>
    <t>Risorgimento</t>
  </si>
  <si>
    <t>Via San Protaso, 5</t>
  </si>
  <si>
    <t>02/36517496</t>
  </si>
  <si>
    <t>Buonarroti</t>
  </si>
  <si>
    <t>Carmen Gelato</t>
  </si>
  <si>
    <t>Via Carlo Ravizza, 3</t>
  </si>
  <si>
    <t>02/84230543</t>
  </si>
  <si>
    <t>Katsusanderia</t>
  </si>
  <si>
    <t>street food giapponese</t>
  </si>
  <si>
    <t>Frangente</t>
  </si>
  <si>
    <t>Via Panfilo Castaldi, 4</t>
  </si>
  <si>
    <t>02/96844851</t>
  </si>
  <si>
    <t>375/5426086</t>
  </si>
  <si>
    <t>Via Vigevano, 6</t>
  </si>
  <si>
    <t>340/8587572</t>
  </si>
  <si>
    <t>Cafezal Specialty Coffee</t>
  </si>
  <si>
    <t>Via Solferino, 27</t>
  </si>
  <si>
    <t>02/62695506</t>
  </si>
  <si>
    <t>Tripstillery</t>
  </si>
  <si>
    <t>02/62061443</t>
  </si>
  <si>
    <t>Viale Premuda, 14</t>
  </si>
  <si>
    <t>Corso Magenta, 96</t>
  </si>
  <si>
    <t>02/36579282</t>
  </si>
  <si>
    <t>02/49519174</t>
  </si>
  <si>
    <t>02/36534945</t>
  </si>
  <si>
    <t>Tanishka</t>
  </si>
  <si>
    <t>Ponte Nuovo</t>
  </si>
  <si>
    <t>344/4236436</t>
  </si>
  <si>
    <t>Viale Umbria, 126</t>
  </si>
  <si>
    <t>Sine by Di Pinto</t>
  </si>
  <si>
    <t>Brylla</t>
  </si>
  <si>
    <t>02/64089167</t>
  </si>
  <si>
    <t>Modus</t>
  </si>
  <si>
    <t>Via Andrea Maffei, 12</t>
  </si>
  <si>
    <t>Viale Monte Nero</t>
  </si>
  <si>
    <t>02/82860006</t>
  </si>
  <si>
    <t>Le Polveri - panificio diurno</t>
  </si>
  <si>
    <t>Via Vespri Siciliani, 16</t>
  </si>
  <si>
    <t>Giambellino</t>
  </si>
  <si>
    <t>Certosa</t>
  </si>
  <si>
    <t>02/82763525</t>
  </si>
  <si>
    <t>Trattoria Masuelli San Marco</t>
  </si>
  <si>
    <t>Viale Umbria, 80</t>
  </si>
  <si>
    <t>02/55184138</t>
  </si>
  <si>
    <t>Tiemì</t>
  </si>
  <si>
    <t>02/82874844</t>
  </si>
  <si>
    <t>Pan</t>
  </si>
  <si>
    <t>bakery con cucina</t>
  </si>
  <si>
    <t>Via Leopoldo Cicognara, 19</t>
  </si>
  <si>
    <t>Dateo</t>
  </si>
  <si>
    <t>340/8551831</t>
  </si>
  <si>
    <t>Flor. | born to be wine</t>
  </si>
  <si>
    <t>La Bottega del Gelato Cardelli dal 1964</t>
  </si>
  <si>
    <t>Millésime 1990 - sorsi di Francia</t>
  </si>
  <si>
    <t>Palinurobar</t>
  </si>
  <si>
    <t>Confine - Pizza e Cantina</t>
  </si>
  <si>
    <t>confetteria</t>
  </si>
  <si>
    <t>ricercata / vegetariana</t>
  </si>
  <si>
    <t>cingalese</t>
  </si>
  <si>
    <t>fusion / giapponese</t>
  </si>
  <si>
    <t>Via San Gregorio, 40</t>
  </si>
  <si>
    <t>Pagano</t>
  </si>
  <si>
    <t>Via Giovanni Battista Pergolesi, 3</t>
  </si>
  <si>
    <t>Maciachini</t>
  </si>
  <si>
    <t>Via Varesina, 204</t>
  </si>
  <si>
    <t>Via Raffaello Sanzio, 4</t>
  </si>
  <si>
    <t>Via Vetere, 14</t>
  </si>
  <si>
    <t>Varesine</t>
  </si>
  <si>
    <t>De Angeli</t>
  </si>
  <si>
    <t>Piazza Guglielmo Massaia</t>
  </si>
  <si>
    <t>Cordusio</t>
  </si>
  <si>
    <t>Calvairate</t>
  </si>
  <si>
    <t>Via Giuseppe Compagnoni, 24</t>
  </si>
  <si>
    <t>Via Nicola Antonio Porpora, 5</t>
  </si>
  <si>
    <t>Corso Lodi, 19, ang. Via Lazzaro Papi</t>
  </si>
  <si>
    <t>Parco Vittorio</t>
  </si>
  <si>
    <t>333/3112637</t>
  </si>
  <si>
    <t>02/36735997</t>
  </si>
  <si>
    <t>02/87030181 - 338/3339120</t>
  </si>
  <si>
    <t>02/45488997</t>
  </si>
  <si>
    <t>60</t>
  </si>
  <si>
    <t>menù "mini gioco"</t>
  </si>
  <si>
    <t>1antipasto, 1 primo, 1 secondo, 1 dolce</t>
  </si>
  <si>
    <t>1 antipasto, 1 primo, 1 secondo (no insalate e vellutate)</t>
  </si>
  <si>
    <t>1 tè piccolo + 3 dolcetti diversi</t>
  </si>
  <si>
    <t>1 calice + 2 piatti salati (no cose semplici e a base di sole verdure)</t>
  </si>
  <si>
    <t>1 appetizer, 1 special (tranne verdure e zuppe), 1 hamburger</t>
  </si>
  <si>
    <t>1 calice di vino + due piatti diversi (non di verdure)</t>
  </si>
  <si>
    <t>Via Nicola Antonio Porpora, 169</t>
  </si>
  <si>
    <t>Verso - Capitaneo</t>
  </si>
  <si>
    <t>Piazza Duomo, 21</t>
  </si>
  <si>
    <t>02/89750929</t>
  </si>
  <si>
    <t>Osteria Lagrandissima</t>
  </si>
  <si>
    <t>Via Ponte Nuovo, 25</t>
  </si>
  <si>
    <t>342/5593532</t>
  </si>
  <si>
    <t>Scott Bar</t>
  </si>
  <si>
    <t>Viale Bianca Maria, 4</t>
  </si>
  <si>
    <t>02/00244399</t>
  </si>
  <si>
    <t>Via Giovanni Schiaparelli, 14</t>
  </si>
  <si>
    <t>02/91571797</t>
  </si>
  <si>
    <t>02/36580751</t>
  </si>
  <si>
    <t>2 cocktail diversi + 1 piadina</t>
  </si>
  <si>
    <t>Viale Premuda, 12</t>
  </si>
  <si>
    <t>02/36799016</t>
  </si>
  <si>
    <t>Via Molino delle Armi, 23</t>
  </si>
  <si>
    <t>Via Pomè, 10</t>
  </si>
  <si>
    <t>Rho</t>
  </si>
  <si>
    <t>abruzzese</t>
  </si>
  <si>
    <t>02/91327868</t>
  </si>
  <si>
    <t>Via Antonio Porpora, 154</t>
  </si>
  <si>
    <t>Trattoria Sincera</t>
  </si>
  <si>
    <t>389/8741577</t>
  </si>
  <si>
    <t>Silvano - vini e cibi al banco</t>
  </si>
  <si>
    <t>osteria</t>
  </si>
  <si>
    <t>Piazza Morbegno, 2</t>
  </si>
  <si>
    <t>02/72193827</t>
  </si>
  <si>
    <t>Spore</t>
  </si>
  <si>
    <t>389/9191929</t>
  </si>
  <si>
    <t>Via Giacomo Boni, 25</t>
  </si>
  <si>
    <t>02/83555166</t>
  </si>
  <si>
    <t>Ricci Osteria</t>
  </si>
  <si>
    <t>pugliese</t>
  </si>
  <si>
    <t>Via Pasquale Sottocorno, 27</t>
  </si>
  <si>
    <t>02/49705612</t>
  </si>
  <si>
    <t>1 antipasto (no salumi e formaggi), 1 primo, 1 secondo, 1 dolce. Dalla foto del menù che manderete si deciderà il rimborso</t>
  </si>
  <si>
    <t>Arco della Pace</t>
  </si>
  <si>
    <t>1 tagliere, 2 piatti (no dolce), 1 calice</t>
  </si>
  <si>
    <t>Via Pasquale Sottocorno, 17</t>
  </si>
  <si>
    <t>347/2402269</t>
  </si>
  <si>
    <t>2 piatti salati (no olive, no finta pasticcera), 1 calice</t>
  </si>
  <si>
    <t>Materia</t>
  </si>
  <si>
    <t>Via del Torchio, 1</t>
  </si>
  <si>
    <t>Corso Sempione, 10</t>
  </si>
  <si>
    <t>Piazza S. Simpliciano, 7</t>
  </si>
  <si>
    <t>02/49479421</t>
  </si>
  <si>
    <t>02/38318769</t>
  </si>
  <si>
    <t>Pasticceria Passerini dal 1919</t>
  </si>
  <si>
    <t>Via Victor Hugo, 4</t>
  </si>
  <si>
    <t>02/8693614</t>
  </si>
  <si>
    <t>Via Melzo, 16</t>
  </si>
  <si>
    <t>375/5862098</t>
  </si>
  <si>
    <t>Autem</t>
  </si>
  <si>
    <t>Via Serviliano Lattuada, 2</t>
  </si>
  <si>
    <t>351/2780368</t>
  </si>
  <si>
    <t>Corso Magenta, 25</t>
  </si>
  <si>
    <t>Clèa Pasticceria Culinaria</t>
  </si>
  <si>
    <t>Via Alfredo Albertini, 6</t>
  </si>
  <si>
    <t>Sarpi</t>
  </si>
  <si>
    <t>Via Felice Bellotti, 13</t>
  </si>
  <si>
    <t>Viale Piave</t>
  </si>
  <si>
    <t>02/66661066</t>
  </si>
  <si>
    <t>Piazza Guglielmo Oberdan, 12</t>
  </si>
  <si>
    <t>Adolfo Stefanelli</t>
  </si>
  <si>
    <t>Via Bartolomeo Eustachi, 13</t>
  </si>
  <si>
    <t>02/40130281</t>
  </si>
  <si>
    <t>Città Studi</t>
  </si>
  <si>
    <t>thailandese</t>
  </si>
  <si>
    <t>gastronomia giapponese</t>
  </si>
  <si>
    <t>pesce</t>
  </si>
  <si>
    <t>coreana</t>
  </si>
  <si>
    <t>cocktail bar / ristorante</t>
  </si>
  <si>
    <t>cocktail bar / distilleria</t>
  </si>
  <si>
    <t>Égalité</t>
  </si>
  <si>
    <t>Kilburn</t>
  </si>
  <si>
    <t>Li - Sei Deli</t>
  </si>
  <si>
    <t>Mezzolitro Vini e Cucina</t>
  </si>
  <si>
    <t>Nik’s &amp; Co</t>
  </si>
  <si>
    <t>Norah was drunk</t>
  </si>
  <si>
    <t>Particolare Milano</t>
  </si>
  <si>
    <t>Pastamadre</t>
  </si>
  <si>
    <t>Magenta</t>
  </si>
  <si>
    <t>Chinatown</t>
  </si>
  <si>
    <t>Via Gerolamo Tiraboschi, 5</t>
  </si>
  <si>
    <t>Via Passo Buole, 4</t>
  </si>
  <si>
    <t>Via Losanna, 46</t>
  </si>
  <si>
    <t>Via Giorgio Vasari, 1</t>
  </si>
  <si>
    <t>02/49714985</t>
  </si>
  <si>
    <t>02/82860326</t>
  </si>
  <si>
    <t>02/83428246 - 375/7746998</t>
  </si>
  <si>
    <t>02/36795439</t>
  </si>
  <si>
    <t>6½</t>
  </si>
  <si>
    <t>due piatti salati e un calice di vino</t>
  </si>
  <si>
    <t>2 scodelle diverse</t>
  </si>
  <si>
    <t>2 cocktail</t>
  </si>
  <si>
    <t>1 cocktail + un piatto salato</t>
  </si>
  <si>
    <t>c.m.</t>
  </si>
  <si>
    <t>c.c.</t>
  </si>
  <si>
    <t>Piatti da provare</t>
  </si>
  <si>
    <t>pl.</t>
  </si>
  <si>
    <t>1 espresso, 1 caffè specialty con altro metodo d'infusione,1 lievito</t>
  </si>
  <si>
    <t>menù della tradizione</t>
  </si>
  <si>
    <t>Via Privata Gerli, 3</t>
  </si>
  <si>
    <t xml:space="preserve">tradizionale </t>
  </si>
  <si>
    <t xml:space="preserve"> 02/9085276</t>
  </si>
  <si>
    <t>Sandì</t>
  </si>
  <si>
    <t xml:space="preserve">Antica Trattoria del Gallo </t>
  </si>
  <si>
    <t>Via Francesco Hayez, 13</t>
  </si>
  <si>
    <t>Viale Abruzzi</t>
  </si>
  <si>
    <t>02/82046200</t>
  </si>
  <si>
    <t>Casa Nori</t>
  </si>
  <si>
    <t>Via Antonio Pollaiuolo, 5</t>
  </si>
  <si>
    <t>02/36742016</t>
  </si>
  <si>
    <t>Via Stampa</t>
  </si>
  <si>
    <t>02/30554088</t>
  </si>
  <si>
    <t>Brolo Milano - orto con cucina</t>
  </si>
  <si>
    <t>Via Melzo, 19</t>
  </si>
  <si>
    <t>02/89772534</t>
  </si>
  <si>
    <t>Via Marghera, 35</t>
  </si>
  <si>
    <t>June Collective</t>
  </si>
  <si>
    <t>3 piatti salati (non solo vegetariani e anche con un primo) + 1 dolce</t>
  </si>
  <si>
    <t>Sottobosco</t>
  </si>
  <si>
    <t>1 antipasto (no salumi e formaggi, no verdure) 1 primo,1 secodo,1 dolce</t>
  </si>
  <si>
    <t>02/39289510</t>
  </si>
  <si>
    <t>Brenta</t>
  </si>
  <si>
    <t>menùdegustazione da 75 euro</t>
  </si>
  <si>
    <t>Sakeya</t>
  </si>
  <si>
    <t>Via Cesare da Sesto, 1</t>
  </si>
  <si>
    <t>Sant'Agostino</t>
  </si>
  <si>
    <t>1 antipasto,1 primo,1 secondo,1 dolce</t>
  </si>
  <si>
    <t>menù degustazione Porta Nuova</t>
  </si>
  <si>
    <t>1antipasto (no verdure, no salumi e formaggi), 1 primo, 1 secondo, 1 dolce</t>
  </si>
  <si>
    <t>menù sine et satis</t>
  </si>
  <si>
    <t>1 antipasto, 1 primo, 1 secondo, 1 dolce (no piatti semplici e di verdure o formagi e salumi)</t>
  </si>
  <si>
    <t>1 antipasto, 1 primo,1 secondo, 1 dolce</t>
  </si>
  <si>
    <t>1 antipasto (no verdure, no salumi e formaggi), 1 primo (no zuppe), 1 secondo, 1 dolce</t>
  </si>
  <si>
    <t>1 piatto principale dal menù "viaggio in" (no COLORATO), 2 piatti dal menù "viaggio in treno Ella" (NO PETTIES), magari scegliendo qualche piatto a base di carne o pesce</t>
  </si>
  <si>
    <t>1 bibimbap, 1 sandwich, 1 dolce</t>
  </si>
  <si>
    <t>2 calici di vino + gli stuzzichini compresi nel prezzo</t>
  </si>
  <si>
    <t>calice di vino + 1 crustone, 1 sfizio o un sandwich (no cose semplici e a base di verdure)</t>
  </si>
  <si>
    <t>1 calice, 1 tagliere, 1 piattino</t>
  </si>
  <si>
    <t>2 cocktail diversi + 1 piatto della cucina</t>
  </si>
  <si>
    <t xml:space="preserve">3 piatti del menù </t>
  </si>
  <si>
    <t>due pizze diverse e 1 sfizio fritto</t>
  </si>
  <si>
    <t>1 crostone o una focaccia, 2 piatti dalla cucina (no giardineria o solo verdure)</t>
  </si>
  <si>
    <t>1 antipasto,1 pasta,1 secondo (carne o pesce), 1 dolce (no piatti semplici, no frutta per il dessert)</t>
  </si>
  <si>
    <t>Via Giulio Cesare Procaccini, 33</t>
  </si>
  <si>
    <t>Il Lughino</t>
  </si>
  <si>
    <t>vegano</t>
  </si>
  <si>
    <t>Via Solferino, 12</t>
  </si>
  <si>
    <t>02/6598972</t>
  </si>
  <si>
    <t>1 antipasto, 1 lasagna, 1 secondo, 1 dolce</t>
  </si>
  <si>
    <t>Ditta Artigianale</t>
  </si>
  <si>
    <t>Corso Magenta, 31</t>
  </si>
  <si>
    <t>02/99250284</t>
  </si>
  <si>
    <t>Cucina Franca</t>
  </si>
  <si>
    <t>Via Friuli, 78</t>
  </si>
  <si>
    <t>Horto Restaurant Milano</t>
  </si>
  <si>
    <t xml:space="preserve">1 cocktail, 1 bao, 1 piatto principale (carne o pesce), 1 piatto di pasta (noodles o riso) </t>
  </si>
  <si>
    <t>Shiua</t>
  </si>
  <si>
    <t>enoteca / wine bar</t>
  </si>
  <si>
    <t>Via Solari, 43</t>
  </si>
  <si>
    <t>345/0229180</t>
  </si>
  <si>
    <t>Via Raffaello Sanzio, 22</t>
  </si>
  <si>
    <t>02/4693206</t>
  </si>
  <si>
    <t>Osteria Conchetta</t>
  </si>
  <si>
    <t>Via Conchetta, 8</t>
  </si>
  <si>
    <t>02/8372917</t>
  </si>
  <si>
    <t>menù "Rassicuro"</t>
  </si>
  <si>
    <t>Viale Piero e Alberto Pirelli, 10</t>
  </si>
  <si>
    <t>Bicocca</t>
  </si>
  <si>
    <t>Via San Gregorio, 29</t>
  </si>
  <si>
    <t>1 antipasto,1 primo,1 secondo, 1 dolce</t>
  </si>
  <si>
    <t>Piazzale Lagosta, 7 - Mercato Isola</t>
  </si>
  <si>
    <t>antipasto, primo e secondo (no salumi e formaggi, no verdure)</t>
  </si>
  <si>
    <t>menù degustazione Uchiumi</t>
  </si>
  <si>
    <t xml:space="preserve">Menù degustazione Origini e Tradizioni </t>
  </si>
  <si>
    <t>3 piatti salati (no sfizi di apertura o sole verdure) + dolce</t>
  </si>
  <si>
    <t>antipasto, primo e secondo (no piatti semplici e di sole verdure)</t>
  </si>
  <si>
    <t>1 cocktail signature + 3 tapas</t>
  </si>
  <si>
    <t>Via Varesina, 162 c/o Certosa District</t>
  </si>
  <si>
    <t>Bugan Coffee Lab</t>
  </si>
  <si>
    <t>Via Vigevano, 15</t>
  </si>
  <si>
    <t>339/8943065</t>
  </si>
  <si>
    <t>351/8731109</t>
  </si>
  <si>
    <t>Via Donatello, 22</t>
  </si>
  <si>
    <t>Bar Affori</t>
  </si>
  <si>
    <t>Via Alessandro Astesani, 15</t>
  </si>
  <si>
    <t>02/66203236</t>
  </si>
  <si>
    <t>Hygge</t>
  </si>
  <si>
    <t>Via Giuseppe Sapeto, 3</t>
  </si>
  <si>
    <t>2 piatti principali (no sole verdure), 1 dolce,1 specialty coffee (no espresso)</t>
  </si>
  <si>
    <t>La Corte - Romanengo 1780</t>
  </si>
  <si>
    <t>Via Giuseppe Govone, 38</t>
  </si>
  <si>
    <t>351/8072573</t>
  </si>
  <si>
    <t>Procaccini Milano</t>
  </si>
  <si>
    <t>romana</t>
  </si>
  <si>
    <t>Giulio Pane e Ojo</t>
  </si>
  <si>
    <t>Via Festa del Perdono, 1</t>
  </si>
  <si>
    <t>02/92863557</t>
  </si>
  <si>
    <t>02/22224091</t>
  </si>
  <si>
    <t>Ba Restaurant</t>
  </si>
  <si>
    <t>Cous-Cous</t>
  </si>
  <si>
    <t>Il Luogo - Aimo e Nadia</t>
  </si>
  <si>
    <t>Mesté - vino e fornelli</t>
  </si>
  <si>
    <t>Temp enoteca</t>
  </si>
  <si>
    <t>Tone - Bread Lab.</t>
  </si>
  <si>
    <t>U Barba - osteria genovese</t>
  </si>
  <si>
    <t>Velavevodetto</t>
  </si>
  <si>
    <t>negozio con cucina</t>
  </si>
  <si>
    <t>bakery / bistrot</t>
  </si>
  <si>
    <t>Viale Tunisia</t>
  </si>
  <si>
    <t>Cadorna</t>
  </si>
  <si>
    <t>Via Francesco Cherubini, 3</t>
  </si>
  <si>
    <t>Via Panfilo Castaldi, 35</t>
  </si>
  <si>
    <t>Via Caminadella, 23</t>
  </si>
  <si>
    <t>Via Luigi Porro Lambertenghi, 15</t>
  </si>
  <si>
    <t>Via Corrado II il Salico, 12</t>
  </si>
  <si>
    <t>Morivione</t>
  </si>
  <si>
    <t>Crescenzago</t>
  </si>
  <si>
    <t>Via della Commenda, 25</t>
  </si>
  <si>
    <t>NoLo</t>
  </si>
  <si>
    <t>Via Privata Antonio Meucci, 50</t>
  </si>
  <si>
    <t>Via Tiziano, 13</t>
  </si>
  <si>
    <t>Via Stampa, 8</t>
  </si>
  <si>
    <t>Piazza San Luigi, 5</t>
  </si>
  <si>
    <t>Via Bonaventura Zumbini, 39</t>
  </si>
  <si>
    <t>Barona</t>
  </si>
  <si>
    <t>Via Carlo Ravizza, 8</t>
  </si>
  <si>
    <t>Via Ripa di Porta Ticinese, 67</t>
  </si>
  <si>
    <t>Via Lodovico Muratori, 10</t>
  </si>
  <si>
    <t>Largo Bellintani, 1</t>
  </si>
  <si>
    <t>02/47704656</t>
  </si>
  <si>
    <t>02/87380711 - 351/5166021</t>
  </si>
  <si>
    <t>02/38269862 - 347/5188347</t>
  </si>
  <si>
    <t>02/2940 0076</t>
  </si>
  <si>
    <t>02/39288619</t>
  </si>
  <si>
    <t>346/8061538</t>
  </si>
  <si>
    <t>02/77091277</t>
  </si>
  <si>
    <t>345/2182186</t>
  </si>
  <si>
    <t>02/ 545 5475</t>
  </si>
  <si>
    <t>02/38584247</t>
  </si>
  <si>
    <t>331/7119559</t>
  </si>
  <si>
    <t>331/7144601</t>
  </si>
  <si>
    <t>02/5456189 - 340/5806641</t>
  </si>
  <si>
    <t>55</t>
  </si>
  <si>
    <t>12</t>
  </si>
  <si>
    <t>22</t>
  </si>
  <si>
    <t>70</t>
  </si>
  <si>
    <t>65</t>
  </si>
  <si>
    <t>165</t>
  </si>
  <si>
    <t>190</t>
  </si>
  <si>
    <t>110</t>
  </si>
  <si>
    <t>80</t>
  </si>
  <si>
    <t>v.2026</t>
  </si>
  <si>
    <t>1 espresso, 1 caffè specialty con altro metodo d'infusione, 1 cappuccino, 1 lievito</t>
  </si>
  <si>
    <t>1 caffè, 1 cappuccino, 1 caffè specialty, 1 lievito</t>
  </si>
  <si>
    <t>2 caffè, 1 cappuccino, 1 caffè specialty, 1 lievito</t>
  </si>
  <si>
    <t>Nonna Maria Osteria Romana</t>
  </si>
  <si>
    <t>Via Macedonio Melloni, 9</t>
  </si>
  <si>
    <t>02/49436609</t>
  </si>
  <si>
    <t>Felice a Testaccio</t>
  </si>
  <si>
    <t>Via del Torchio, 4</t>
  </si>
  <si>
    <t>02/80506690</t>
  </si>
  <si>
    <t>antipasto, primo, secondo, dolce</t>
  </si>
  <si>
    <t>menù degustazione contemporaneità</t>
  </si>
  <si>
    <t xml:space="preserve">menù vegetariano </t>
  </si>
  <si>
    <t>menù da 3 piatti+dolce</t>
  </si>
  <si>
    <t>menù degustazione mare o terra</t>
  </si>
  <si>
    <t>menù degustazione classico /contemporaneo</t>
  </si>
  <si>
    <t>menù degustazione da 4 portate</t>
  </si>
  <si>
    <t>1 handrolls, 1 altro piatto del menù (no vegetariano), 1 sushi, 1 dolce</t>
  </si>
  <si>
    <t>1 primo, 1 secondo, 1 antipasto o 1 dolce</t>
  </si>
  <si>
    <t>due piatti salati (no sezione antipasti) + 1 dolce</t>
  </si>
  <si>
    <t>1 piatto dalla gastronomia (no verdure stufate, no piatti salumi e formaggi), 2 piatti dalla cucina</t>
  </si>
  <si>
    <t>2 piatti salati (1 piatto di pasta e un secondo, oppure 1 antipasto e un primo; no solo verdure e formaggi e salumi) + 1 dolce</t>
  </si>
  <si>
    <t>Ba' Ghetto</t>
  </si>
  <si>
    <t>Via Sardegna, 45</t>
  </si>
  <si>
    <t>02/4694643</t>
  </si>
  <si>
    <t>romano - ebraica</t>
  </si>
  <si>
    <t xml:space="preserve">1 antipasto,1 primo, 1 secondo, 1 dolce (della tradizione romana, quindi non hummus, no pinsa,no risotto, né piatti di altre tradizioni) </t>
  </si>
  <si>
    <t>menù esattezza</t>
  </si>
  <si>
    <t>Fernanda D'Arienzo</t>
  </si>
  <si>
    <t>bloccato per Domiziana Caliari</t>
  </si>
  <si>
    <t>bloccato per Raffaella Fasano</t>
  </si>
  <si>
    <t>bloccato per Ilaria Leone</t>
  </si>
  <si>
    <t>bloccato per William Gray</t>
  </si>
  <si>
    <t>1 piatto a scelta (possibilmente non semplice), 1 kachapuri, 1 dolce</t>
  </si>
  <si>
    <t>Domiziana Caliari</t>
  </si>
  <si>
    <t>bloccato per Giulia Pietracaprina</t>
  </si>
  <si>
    <t>Giulia Pietracaprina</t>
  </si>
  <si>
    <t>menù degustazione 75€</t>
  </si>
  <si>
    <t>1 calice di vino e due preparazioni salate (non cose semplici)</t>
  </si>
  <si>
    <t>menù da 45€</t>
  </si>
  <si>
    <t>menù degustazione da 90€</t>
  </si>
  <si>
    <t>Raffaella Fasano</t>
  </si>
  <si>
    <t>William Gray</t>
  </si>
  <si>
    <t>Angela Iacono</t>
  </si>
  <si>
    <t>bloccato per Maria Vittoria Ottaviano</t>
  </si>
  <si>
    <t>1 antipasto (no verdure), 1 primo, 1 secondo (no verdure), 1 dolce</t>
  </si>
  <si>
    <t>Giulia Maria Bellucci</t>
  </si>
  <si>
    <t>Maria Vittoria Ottaviano</t>
  </si>
  <si>
    <t>Ilaria Leone</t>
  </si>
  <si>
    <t>La Mary</t>
  </si>
  <si>
    <t>Via Marcona, 70</t>
  </si>
  <si>
    <t>02/36599229</t>
  </si>
  <si>
    <t>Pantera Pizza Rustica</t>
  </si>
  <si>
    <t>pizzeria al taglio</t>
  </si>
  <si>
    <t>Via Giacomo Watt, 2</t>
  </si>
  <si>
    <t>345/2576231</t>
  </si>
  <si>
    <t>Sfoglia Pastry Lab</t>
  </si>
  <si>
    <t>Via Nicola Piccinni, 3</t>
  </si>
  <si>
    <t>345/1662856</t>
  </si>
  <si>
    <t>Bonci - pizza in teglia</t>
  </si>
  <si>
    <t>340/8223165</t>
  </si>
  <si>
    <t>2 piatti cucinati (non cose semplici di sole verdure)+ 1 calice di vino</t>
  </si>
  <si>
    <t>1 tagliere misto di formaggi e salumi+1calice di vino</t>
  </si>
  <si>
    <t>bloccato per Alice D'Adda</t>
  </si>
  <si>
    <t>bloccato per Antonio Landi</t>
  </si>
  <si>
    <t>Antonio Landi</t>
  </si>
  <si>
    <t>Momenteeria</t>
  </si>
  <si>
    <t>Via Giosuè Carducci, 38</t>
  </si>
  <si>
    <t>02/36532185</t>
  </si>
  <si>
    <t>1 piatto da condividere (no rape, no kimchi), 1 ramen, 1 bao. Non tutto vegetariano</t>
  </si>
  <si>
    <t>Alice D'Adda</t>
  </si>
  <si>
    <t>Coffee Studio 7gr.</t>
  </si>
  <si>
    <t>Corso Venezia, 31</t>
  </si>
  <si>
    <t>02/38238682</t>
  </si>
  <si>
    <t>La Bruma</t>
  </si>
  <si>
    <t>bakery</t>
  </si>
  <si>
    <t>Piazza Vetra, 21</t>
  </si>
  <si>
    <t>1 espresso specialty, 1 caffè specialty con altro metodo di estrazione, 1 cappuccino, 1 lievito</t>
  </si>
  <si>
    <t xml:space="preserve">Rito </t>
  </si>
  <si>
    <t>Via Achille Maiocchi, 18</t>
  </si>
  <si>
    <t>02/38241909</t>
  </si>
  <si>
    <t>Due Forni</t>
  </si>
  <si>
    <t>Viale Monte Nero, 23</t>
  </si>
  <si>
    <t>02/09978710</t>
  </si>
  <si>
    <t>1 fritto, 1 pizza stile romano, 1 pizza stile contemporaneo, farciture diverse</t>
  </si>
  <si>
    <t xml:space="preserve">due piatti (no stuzzichini o piatti semplici)+ calice di vino </t>
  </si>
  <si>
    <t>Piazza Alvar Aalto</t>
  </si>
  <si>
    <t>Via Ascanio Sforza, 9</t>
  </si>
  <si>
    <t>Piazzale Carlo Maciachini, 18</t>
  </si>
  <si>
    <t>Ripa di Porta Ticinese, 43</t>
  </si>
  <si>
    <t>Via Alessandro Manzoni, 5</t>
  </si>
  <si>
    <t>GPS</t>
  </si>
  <si>
    <t>45.472113239686124, 9.157788011970972</t>
  </si>
  <si>
    <t>45.4577024810705, 9.212648146393095</t>
  </si>
  <si>
    <t>Via Giovanni Paisiello, 28</t>
  </si>
  <si>
    <t>45.48178824491754, 9.220205980253644</t>
  </si>
  <si>
    <t>Futura</t>
  </si>
  <si>
    <t>Via Pietro Borsieri, 28</t>
  </si>
  <si>
    <t>342/1405728</t>
  </si>
  <si>
    <t>Sasà Martucci</t>
  </si>
  <si>
    <t>Via Romolo Gessi, 12</t>
  </si>
  <si>
    <t>02/35997778</t>
  </si>
  <si>
    <t>1 fritto (no patatine), 2 pizze diverse, 1 dolce</t>
  </si>
  <si>
    <t>Pappare' Milano Symbiosis</t>
  </si>
  <si>
    <t>caffetteria / brunch</t>
  </si>
  <si>
    <t>Via Orobia, 16</t>
  </si>
  <si>
    <t>Fondazione Prada</t>
  </si>
  <si>
    <t>351/9645683</t>
  </si>
  <si>
    <t>Fatum</t>
  </si>
  <si>
    <t>Via Andrea Solari, 6</t>
  </si>
  <si>
    <t xml:space="preserve">n.d. </t>
  </si>
  <si>
    <t>Da Franz</t>
  </si>
  <si>
    <t xml:space="preserve">vineria con cucina </t>
  </si>
  <si>
    <t>Via Ascanio Sforza, 47</t>
  </si>
  <si>
    <t>Alzaia Naviglio Pavese</t>
  </si>
  <si>
    <t>3 piatti salati e 1 calice di vino</t>
  </si>
  <si>
    <t xml:space="preserve">Yajiri Maison </t>
  </si>
  <si>
    <t>Via Carlo Goldoni 36</t>
  </si>
  <si>
    <t>Piazza Tricolore</t>
  </si>
  <si>
    <t>351/3172407</t>
  </si>
  <si>
    <t>Trattoria da Panciroli</t>
  </si>
  <si>
    <t>Via Gaudenzio Ferrari, 1</t>
  </si>
  <si>
    <t>Darsena</t>
  </si>
  <si>
    <t>02/38260809</t>
  </si>
  <si>
    <t>1 antipasto,1 primo, 1 secondo, 1 dolce</t>
  </si>
  <si>
    <t>Corso Italia, 3</t>
  </si>
  <si>
    <t>45.4596998373381, 9.188318879752167</t>
  </si>
  <si>
    <t>street food dal mondo</t>
  </si>
  <si>
    <t>Corso Italia, 44</t>
  </si>
  <si>
    <t>340/1201336</t>
  </si>
  <si>
    <t xml:space="preserve">PAS - a vegetarian trip </t>
  </si>
  <si>
    <t>45.45580083288939, 9.187218264086697</t>
  </si>
  <si>
    <t>45.47529435352009, 9.216154882209004</t>
  </si>
  <si>
    <t>45.47543999195287, 9.21405778895491</t>
  </si>
  <si>
    <t>1 piatto “per cominciare” (no ostriche),1 piatto “a seguire”, 1 piatto “speciali del giorno</t>
  </si>
  <si>
    <t>1 calice di vino e due preparazioni (no semplici cetriolini e giardiniera, ma cose più strutturate)</t>
  </si>
  <si>
    <t>tre piatti salati (non piatti semplici e di sole verdure; due dalla sezione paradiso e uno da quella inferno) + dolce</t>
  </si>
  <si>
    <t>1 supplì, 1 margherita, 1 pizza speciale, 1 pain au chocolat</t>
  </si>
  <si>
    <t>1 antipasto (no salumi e sole verdure), 2 pizze da scegliere tra le classiche, le stagionali e le contemporanee, diverse dall’anno prima</t>
  </si>
  <si>
    <t>La Cucina del Mìbabbo</t>
  </si>
  <si>
    <t>Osteria della Stazione l'Originale</t>
  </si>
  <si>
    <t>Alberto Magri</t>
  </si>
  <si>
    <t>Via Vincenzo Cappelli, 2</t>
  </si>
  <si>
    <t>Corso Como</t>
  </si>
  <si>
    <t>389/2337666</t>
  </si>
  <si>
    <t>Via Giovanni Battista Pirelli, 36</t>
  </si>
  <si>
    <t>Via Paolo Lomazzo, 20</t>
  </si>
  <si>
    <t>China Town</t>
  </si>
  <si>
    <t>Corso San Gottargo,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</si>
</sst>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0"/>
      <color indexed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13" fillId="0" borderId="0" applyNumberFormat="0" applyFill="0" applyBorder="0" applyAlignment="0" applyProtection="0">
      <alignment vertical="top"/>
      <protection locked="0"/>
    </xf>
    <xf numFmtId="164" fontId="12" fillId="0" borderId="0" applyFont="0" applyFill="0" applyBorder="0" applyAlignment="0" applyProtection="0"/>
    <xf numFmtId="0" fontId="6" fillId="0" borderId="0"/>
    <xf numFmtId="0" fontId="3" fillId="0" borderId="0"/>
    <xf numFmtId="0" fontId="12" fillId="0" borderId="0"/>
    <xf numFmtId="0" fontId="3" fillId="0" borderId="0"/>
    <xf numFmtId="0" fontId="5" fillId="0" borderId="0"/>
    <xf numFmtId="0" fontId="7" fillId="0" borderId="0"/>
    <xf numFmtId="0" fontId="10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41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0" xfId="7" applyFont="1" applyAlignment="1">
      <alignment horizontal="center" vertical="center" wrapText="1"/>
    </xf>
    <xf numFmtId="0" fontId="3" fillId="0" borderId="0" xfId="7" applyFont="1" applyAlignment="1">
      <alignment horizontal="left" vertical="center" wrapText="1"/>
    </xf>
    <xf numFmtId="0" fontId="1" fillId="6" borderId="0" xfId="7" applyFont="1" applyFill="1" applyAlignment="1">
      <alignment horizontal="center" vertical="center" wrapText="1"/>
    </xf>
    <xf numFmtId="0" fontId="2" fillId="2" borderId="2" xfId="0" applyFont="1" applyFill="1" applyBorder="1" applyAlignment="1">
      <alignment vertical="center"/>
    </xf>
    <xf numFmtId="0" fontId="3" fillId="0" borderId="4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8" fillId="0" borderId="0" xfId="8" applyFont="1" applyAlignment="1">
      <alignment horizontal="center" wrapText="1"/>
    </xf>
    <xf numFmtId="0" fontId="8" fillId="0" borderId="0" xfId="8" applyFont="1" applyAlignment="1">
      <alignment wrapText="1"/>
    </xf>
    <xf numFmtId="0" fontId="2" fillId="0" borderId="0" xfId="0" applyFont="1" applyAlignment="1">
      <alignment vertical="center"/>
    </xf>
    <xf numFmtId="0" fontId="1" fillId="7" borderId="1" xfId="0" applyFont="1" applyFill="1" applyBorder="1" applyAlignment="1">
      <alignment horizontal="center" vertical="center"/>
    </xf>
    <xf numFmtId="0" fontId="9" fillId="8" borderId="1" xfId="8" applyFont="1" applyFill="1" applyBorder="1" applyAlignment="1">
      <alignment horizontal="center" wrapText="1"/>
    </xf>
    <xf numFmtId="0" fontId="1" fillId="9" borderId="0" xfId="0" applyFont="1" applyFill="1" applyAlignment="1">
      <alignment horizontal="center" vertical="center"/>
    </xf>
    <xf numFmtId="0" fontId="8" fillId="8" borderId="0" xfId="8" applyFont="1" applyFill="1" applyAlignment="1">
      <alignment horizontal="center" wrapText="1"/>
    </xf>
    <xf numFmtId="0" fontId="8" fillId="8" borderId="0" xfId="8" applyFont="1" applyFill="1" applyAlignment="1">
      <alignment wrapText="1"/>
    </xf>
    <xf numFmtId="0" fontId="14" fillId="8" borderId="0" xfId="0" applyFont="1" applyFill="1" applyAlignment="1">
      <alignment horizontal="center" vertical="center"/>
    </xf>
    <xf numFmtId="0" fontId="8" fillId="10" borderId="0" xfId="8" applyFont="1" applyFill="1" applyAlignment="1">
      <alignment horizontal="center" wrapText="1"/>
    </xf>
    <xf numFmtId="0" fontId="8" fillId="10" borderId="0" xfId="8" applyFont="1" applyFill="1" applyAlignment="1">
      <alignment wrapText="1"/>
    </xf>
    <xf numFmtId="0" fontId="14" fillId="10" borderId="0" xfId="0" applyFont="1" applyFill="1" applyAlignment="1">
      <alignment horizontal="center" vertical="center"/>
    </xf>
    <xf numFmtId="0" fontId="8" fillId="7" borderId="0" xfId="8" applyFont="1" applyFill="1" applyAlignment="1">
      <alignment horizontal="center" wrapText="1"/>
    </xf>
    <xf numFmtId="0" fontId="8" fillId="7" borderId="0" xfId="8" applyFont="1" applyFill="1" applyAlignment="1">
      <alignment wrapText="1"/>
    </xf>
    <xf numFmtId="0" fontId="14" fillId="7" borderId="0" xfId="0" applyFont="1" applyFill="1" applyAlignment="1">
      <alignment horizontal="center" vertical="center"/>
    </xf>
    <xf numFmtId="0" fontId="9" fillId="11" borderId="5" xfId="9" applyFont="1" applyFill="1" applyBorder="1" applyAlignment="1">
      <alignment horizontal="center"/>
    </xf>
    <xf numFmtId="0" fontId="9" fillId="11" borderId="5" xfId="9" applyFont="1" applyFill="1" applyBorder="1" applyAlignment="1">
      <alignment horizontal="left"/>
    </xf>
    <xf numFmtId="0" fontId="9" fillId="11" borderId="5" xfId="8" applyFont="1" applyFill="1" applyBorder="1" applyAlignment="1">
      <alignment horizontal="center"/>
    </xf>
    <xf numFmtId="0" fontId="15" fillId="0" borderId="0" xfId="0" applyFont="1"/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</cellXfs>
  <cellStyles count="22">
    <cellStyle name="Collegamento ipertestuale 2" xfId="1" xr:uid="{2788721C-0ABA-497F-9AE6-A95B78DB2F1D}"/>
    <cellStyle name="Migliaia 2" xfId="2" xr:uid="{B9B463EB-B348-49B7-837C-A24D24CE8926}"/>
    <cellStyle name="Normale" xfId="0" builtinId="0"/>
    <cellStyle name="Normale 2" xfId="3" xr:uid="{9178685C-F2D9-4816-90AA-153EBB0FE6AA}"/>
    <cellStyle name="Normale 2 2" xfId="4" xr:uid="{4959F407-72A3-44EC-9341-D0089B0EAF10}"/>
    <cellStyle name="Normale 3" xfId="5" xr:uid="{8EE0F8BA-4D41-43DC-B8B2-E2AF07BEA1A6}"/>
    <cellStyle name="Normale 4" xfId="6" xr:uid="{F56C21B5-581A-4B4A-8445-321A0C48D67E}"/>
    <cellStyle name="Normale_Ristoranti" xfId="7" xr:uid="{9F3F8766-7C02-41FF-BE92-E5661FD7A6A5}"/>
    <cellStyle name="Normale_Tavole e pause golose" xfId="8" xr:uid="{2799C0EF-28BD-4F88-9AAA-2B4301276974}"/>
    <cellStyle name="Normale_Tavole e pause golose_1" xfId="9" xr:uid="{1E888B8C-CB17-4A4A-96C7-D5E1BB55CC32}"/>
    <cellStyle name="Percentuale 2" xfId="10" xr:uid="{D8694C04-A1F6-44C3-A748-DF03D5B96913}"/>
    <cellStyle name="Percentuale 2 2" xfId="11" xr:uid="{4D72DCD8-4463-4957-B457-C598A1316068}"/>
    <cellStyle name="Percentuale 2 2 2" xfId="12" xr:uid="{39B3C725-E486-46ED-8BBA-42C65BFF9B67}"/>
    <cellStyle name="Percentuale 2 2 2 2" xfId="13" xr:uid="{B9CB2C74-5AC0-4A5A-9627-EA63C805D09E}"/>
    <cellStyle name="Percentuale 2 3" xfId="14" xr:uid="{A1AF4389-5E49-470B-8903-6DA0ADBDD320}"/>
    <cellStyle name="Percentuale 2 3 2" xfId="15" xr:uid="{11E03A72-64D7-46B2-9103-6E4114A4AF9D}"/>
    <cellStyle name="Percentuale 3" xfId="16" xr:uid="{38B9AE97-BEA2-428C-8201-6B9385D435E3}"/>
    <cellStyle name="Percentuale 3 2" xfId="17" xr:uid="{016E4612-E87C-4314-928D-598D3F079DE2}"/>
    <cellStyle name="Percentuale 3 2 2" xfId="18" xr:uid="{4CC0E7F9-2ADD-48A5-9BBF-62483E77D123}"/>
    <cellStyle name="Percentuale 3 2 2 2" xfId="19" xr:uid="{7E3426E9-D042-4615-BED8-B498E8A11884}"/>
    <cellStyle name="Percentuale 3 3" xfId="20" xr:uid="{EA813C11-AC3A-4BC0-B74A-F5F16D5606CB}"/>
    <cellStyle name="Percentuale 3 3 2" xfId="21" xr:uid="{876ABEA9-E37B-4A1B-8A7E-066CDD0349A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84B6-1CBC-4DBA-8DB0-4B5AAE0841E6}">
  <sheetPr>
    <pageSetUpPr fitToPage="1"/>
  </sheetPr>
  <dimension ref="A1:XFD442"/>
  <sheetViews>
    <sheetView tabSelected="1" zoomScale="110" zoomScaleNormal="110" workbookViewId="0">
      <pane ySplit="7" topLeftCell="A167" activePane="bottomLeft" state="frozen"/>
      <selection pane="bottomLeft" activeCell="A189" sqref="A189:XFD189"/>
    </sheetView>
  </sheetViews>
  <sheetFormatPr defaultColWidth="9.140625" defaultRowHeight="14.25" customHeight="1" x14ac:dyDescent="0.2"/>
  <cols>
    <col min="1" max="1" width="4.140625" style="2" customWidth="1"/>
    <col min="2" max="3" width="6.28515625" style="2" customWidth="1"/>
    <col min="4" max="4" width="35.140625" style="3" customWidth="1"/>
    <col min="5" max="5" width="24.140625" style="2" customWidth="1"/>
    <col min="6" max="6" width="25.28515625" style="3" customWidth="1"/>
    <col min="7" max="7" width="16.7109375" style="2" customWidth="1"/>
    <col min="8" max="8" width="12.28515625" style="2" customWidth="1"/>
    <col min="9" max="9" width="16.140625" style="2" customWidth="1"/>
    <col min="10" max="11" width="8.28515625" style="2" customWidth="1"/>
    <col min="12" max="12" width="10.140625" style="14" customWidth="1"/>
    <col min="13" max="13" width="29" style="15" customWidth="1"/>
    <col min="14" max="14" width="17.42578125" style="3" customWidth="1"/>
    <col min="15" max="15" width="7.140625" style="2" customWidth="1"/>
    <col min="16" max="16" width="7" style="2" customWidth="1"/>
    <col min="17" max="17" width="12.2851562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16384" width="9.140625" style="3"/>
  </cols>
  <sheetData>
    <row r="1" spans="1:35" ht="14.25" customHeight="1" x14ac:dyDescent="0.2">
      <c r="F1" s="2"/>
    </row>
    <row r="2" spans="1:35" ht="14.25" customHeight="1" x14ac:dyDescent="0.2">
      <c r="D2" s="17" t="s">
        <v>8</v>
      </c>
      <c r="E2" s="4" t="s">
        <v>26</v>
      </c>
      <c r="F2" s="4" t="s">
        <v>27</v>
      </c>
      <c r="G2" s="4" t="s">
        <v>28</v>
      </c>
      <c r="H2" s="4" t="s">
        <v>22</v>
      </c>
      <c r="I2" s="5" t="s">
        <v>9</v>
      </c>
      <c r="J2" s="6"/>
      <c r="K2" s="6"/>
      <c r="N2" s="22"/>
    </row>
    <row r="3" spans="1:35" ht="14.25" customHeight="1" x14ac:dyDescent="0.2">
      <c r="D3" s="3" t="s">
        <v>2</v>
      </c>
      <c r="E3" s="7">
        <f>+AH6</f>
        <v>51</v>
      </c>
      <c r="F3" s="7">
        <f>+AD6</f>
        <v>61</v>
      </c>
      <c r="G3" s="7">
        <f>+AF6</f>
        <v>46</v>
      </c>
      <c r="H3" s="7">
        <f>+E3-G3</f>
        <v>5</v>
      </c>
      <c r="I3" s="8" t="s">
        <v>10</v>
      </c>
      <c r="J3" s="23" t="s">
        <v>18</v>
      </c>
      <c r="K3" s="1" t="s">
        <v>21</v>
      </c>
    </row>
    <row r="4" spans="1:35" ht="14.25" customHeight="1" x14ac:dyDescent="0.25">
      <c r="D4" s="18" t="s">
        <v>3</v>
      </c>
      <c r="E4" s="9">
        <f>+AI6</f>
        <v>141</v>
      </c>
      <c r="F4" s="9">
        <f>+AE6</f>
        <v>109</v>
      </c>
      <c r="G4" s="9">
        <f>+AG6</f>
        <v>84</v>
      </c>
      <c r="H4" s="7">
        <f>+E4-G4</f>
        <v>57</v>
      </c>
      <c r="I4" s="24" t="s">
        <v>16</v>
      </c>
      <c r="J4" s="10" t="s">
        <v>17</v>
      </c>
      <c r="K4" s="16" t="s">
        <v>43</v>
      </c>
    </row>
    <row r="5" spans="1:35" ht="14.25" customHeight="1" x14ac:dyDescent="0.2">
      <c r="D5" s="19" t="s">
        <v>12</v>
      </c>
      <c r="E5" s="11">
        <f>+E3+E4</f>
        <v>192</v>
      </c>
      <c r="F5" s="11">
        <f>+F3+F4</f>
        <v>170</v>
      </c>
      <c r="G5" s="11">
        <f>+G3+G4</f>
        <v>130</v>
      </c>
      <c r="H5" s="11">
        <f>+H3+H4</f>
        <v>62</v>
      </c>
      <c r="I5" s="25" t="s">
        <v>43</v>
      </c>
      <c r="J5" s="12"/>
      <c r="K5" s="12"/>
      <c r="N5" s="13"/>
      <c r="R5" s="12"/>
      <c r="S5" s="12">
        <f t="shared" ref="S5:AB5" si="0">SUM(S8:S1884)</f>
        <v>25</v>
      </c>
      <c r="T5" s="12">
        <f t="shared" si="0"/>
        <v>10</v>
      </c>
      <c r="U5" s="12">
        <f t="shared" si="0"/>
        <v>19</v>
      </c>
      <c r="V5" s="12">
        <f t="shared" si="0"/>
        <v>7</v>
      </c>
      <c r="W5" s="12">
        <f t="shared" si="0"/>
        <v>3</v>
      </c>
      <c r="X5" s="12">
        <f t="shared" si="0"/>
        <v>22</v>
      </c>
      <c r="Y5" s="12">
        <f t="shared" si="0"/>
        <v>4</v>
      </c>
      <c r="Z5" s="12">
        <f t="shared" si="0"/>
        <v>17</v>
      </c>
      <c r="AA5" s="12">
        <f t="shared" si="0"/>
        <v>6</v>
      </c>
      <c r="AB5" s="12">
        <f t="shared" si="0"/>
        <v>8</v>
      </c>
      <c r="AC5" s="12"/>
      <c r="AD5" s="12"/>
      <c r="AE5" s="12"/>
      <c r="AF5" s="12"/>
      <c r="AG5" s="12"/>
    </row>
    <row r="6" spans="1:35" ht="14.25" customHeight="1" x14ac:dyDescent="0.2"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SUM(AD8:AD1883)</f>
        <v>61</v>
      </c>
      <c r="AE6" s="2">
        <f t="shared" si="1"/>
        <v>109</v>
      </c>
      <c r="AF6" s="2">
        <f t="shared" si="1"/>
        <v>46</v>
      </c>
      <c r="AG6" s="2">
        <f t="shared" si="1"/>
        <v>84</v>
      </c>
      <c r="AH6" s="2">
        <f t="shared" si="1"/>
        <v>51</v>
      </c>
      <c r="AI6" s="2">
        <f t="shared" si="1"/>
        <v>141</v>
      </c>
    </row>
    <row r="7" spans="1:35" s="40" customFormat="1" ht="14.25" customHeight="1" x14ac:dyDescent="0.25">
      <c r="A7" s="35" t="s">
        <v>703</v>
      </c>
      <c r="B7" s="35" t="s">
        <v>700</v>
      </c>
      <c r="C7" s="35" t="s">
        <v>701</v>
      </c>
      <c r="D7" s="36" t="s">
        <v>13</v>
      </c>
      <c r="E7" s="36" t="s">
        <v>25</v>
      </c>
      <c r="F7" s="36" t="s">
        <v>14</v>
      </c>
      <c r="G7" s="36" t="s">
        <v>20</v>
      </c>
      <c r="H7" s="36" t="s">
        <v>45</v>
      </c>
      <c r="I7" s="35" t="s">
        <v>11</v>
      </c>
      <c r="J7" s="35" t="s">
        <v>42</v>
      </c>
      <c r="K7" s="35" t="s">
        <v>858</v>
      </c>
      <c r="L7" s="35" t="s">
        <v>19</v>
      </c>
      <c r="M7" s="36" t="s">
        <v>702</v>
      </c>
      <c r="N7" s="37" t="s">
        <v>0</v>
      </c>
      <c r="O7" s="36" t="s">
        <v>1</v>
      </c>
      <c r="P7" s="36" t="s">
        <v>2</v>
      </c>
      <c r="Q7" s="36" t="s">
        <v>949</v>
      </c>
      <c r="R7" s="39"/>
      <c r="S7" s="39">
        <v>1</v>
      </c>
      <c r="T7" s="39">
        <f>+S7+1</f>
        <v>2</v>
      </c>
      <c r="U7" s="39">
        <f t="shared" ref="U7:AB7" si="2">+T7+1</f>
        <v>3</v>
      </c>
      <c r="V7" s="39">
        <f t="shared" si="2"/>
        <v>4</v>
      </c>
      <c r="W7" s="39">
        <f t="shared" si="2"/>
        <v>5</v>
      </c>
      <c r="X7" s="39">
        <f t="shared" si="2"/>
        <v>6</v>
      </c>
      <c r="Y7" s="39">
        <f t="shared" si="2"/>
        <v>7</v>
      </c>
      <c r="Z7" s="39">
        <f t="shared" si="2"/>
        <v>8</v>
      </c>
      <c r="AA7" s="39">
        <f t="shared" si="2"/>
        <v>9</v>
      </c>
      <c r="AB7" s="39">
        <f t="shared" si="2"/>
        <v>10</v>
      </c>
      <c r="AC7" s="39"/>
      <c r="AD7" s="39" t="s">
        <v>23</v>
      </c>
      <c r="AE7" s="39" t="s">
        <v>24</v>
      </c>
      <c r="AF7" s="39" t="s">
        <v>4</v>
      </c>
      <c r="AG7" s="39" t="s">
        <v>5</v>
      </c>
      <c r="AH7" s="39" t="s">
        <v>6</v>
      </c>
      <c r="AI7" s="39" t="s">
        <v>7</v>
      </c>
    </row>
    <row r="8" spans="1:35" ht="14.25" customHeight="1" x14ac:dyDescent="0.25">
      <c r="A8" s="29">
        <v>0</v>
      </c>
      <c r="B8" s="29">
        <v>1</v>
      </c>
      <c r="C8" s="29">
        <v>1</v>
      </c>
      <c r="D8" s="30" t="s">
        <v>452</v>
      </c>
      <c r="E8" s="30" t="s">
        <v>260</v>
      </c>
      <c r="F8" s="30" t="s">
        <v>471</v>
      </c>
      <c r="G8" s="30" t="s">
        <v>96</v>
      </c>
      <c r="H8" s="30" t="s">
        <v>165</v>
      </c>
      <c r="I8" s="29" t="s">
        <v>453</v>
      </c>
      <c r="J8" s="29">
        <v>3</v>
      </c>
      <c r="K8" s="29" t="s">
        <v>323</v>
      </c>
      <c r="L8" s="29">
        <v>260</v>
      </c>
      <c r="M8" s="30" t="s">
        <v>869</v>
      </c>
      <c r="N8" s="30" t="s">
        <v>900</v>
      </c>
      <c r="O8" s="31">
        <v>1</v>
      </c>
      <c r="P8" s="31"/>
      <c r="Q8" s="30"/>
      <c r="S8" s="2">
        <f>IF(J8=$S$7,1,0)</f>
        <v>0</v>
      </c>
      <c r="T8" s="2">
        <f>IF(J8=$T$7,1,0)</f>
        <v>0</v>
      </c>
      <c r="U8" s="2">
        <f>IF(J8=$U$7,1,0)</f>
        <v>1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D8" s="2">
        <f>+O8*P8</f>
        <v>0</v>
      </c>
      <c r="AE8" s="2">
        <f>O8*(1-P8)</f>
        <v>1</v>
      </c>
      <c r="AF8" s="2">
        <f t="shared" ref="AF8:AF10" si="3">+O8*P8*(1-A8)</f>
        <v>0</v>
      </c>
      <c r="AG8" s="2">
        <f t="shared" ref="AG8:AG10" si="4">O8*(1-P8)*(1-A8)</f>
        <v>1</v>
      </c>
      <c r="AH8" s="2">
        <f t="shared" ref="AH8:AH10" si="5">+P8*(1-A8)</f>
        <v>0</v>
      </c>
      <c r="AI8" s="2">
        <f t="shared" ref="AI8:AI10" si="6">+(1-A8)*(1-P8)</f>
        <v>1</v>
      </c>
    </row>
    <row r="9" spans="1:35" ht="14.25" customHeight="1" x14ac:dyDescent="0.25">
      <c r="A9" s="29">
        <v>0</v>
      </c>
      <c r="B9" s="29">
        <v>1</v>
      </c>
      <c r="C9" s="29">
        <v>1</v>
      </c>
      <c r="D9" s="30" t="s">
        <v>656</v>
      </c>
      <c r="E9" s="30" t="s">
        <v>260</v>
      </c>
      <c r="F9" s="30" t="s">
        <v>657</v>
      </c>
      <c r="G9" s="30" t="s">
        <v>93</v>
      </c>
      <c r="H9" s="30" t="s">
        <v>165</v>
      </c>
      <c r="I9" s="29" t="s">
        <v>658</v>
      </c>
      <c r="J9" s="29">
        <v>8</v>
      </c>
      <c r="K9" s="29" t="s">
        <v>328</v>
      </c>
      <c r="L9" s="29" t="s">
        <v>40</v>
      </c>
      <c r="M9" s="30" t="s">
        <v>40</v>
      </c>
      <c r="N9" s="30" t="s">
        <v>886</v>
      </c>
      <c r="O9" s="31">
        <v>1</v>
      </c>
      <c r="P9" s="31">
        <v>1</v>
      </c>
      <c r="Q9" s="30"/>
      <c r="S9" s="2">
        <f>IF(J9=$S$7,1,0)</f>
        <v>0</v>
      </c>
      <c r="T9" s="2">
        <f>IF(J9=$T$7,1,0)</f>
        <v>0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1</v>
      </c>
      <c r="AA9" s="2">
        <f>IF(J9=$AA$7,1,0)</f>
        <v>0</v>
      </c>
      <c r="AB9" s="2">
        <f>IF(J9=$AB$7,1,0)</f>
        <v>0</v>
      </c>
      <c r="AD9" s="2">
        <f>+O9*P9</f>
        <v>1</v>
      </c>
      <c r="AE9" s="2">
        <f>O9*(1-P9)</f>
        <v>0</v>
      </c>
      <c r="AF9" s="2">
        <f t="shared" si="3"/>
        <v>1</v>
      </c>
      <c r="AG9" s="2">
        <f t="shared" si="4"/>
        <v>0</v>
      </c>
      <c r="AH9" s="2">
        <f t="shared" si="5"/>
        <v>1</v>
      </c>
      <c r="AI9" s="2">
        <f t="shared" si="6"/>
        <v>0</v>
      </c>
    </row>
    <row r="10" spans="1:35" ht="14.25" customHeight="1" x14ac:dyDescent="0.25">
      <c r="A10" s="29">
        <v>0</v>
      </c>
      <c r="B10" s="29">
        <v>1</v>
      </c>
      <c r="C10" s="29">
        <v>1</v>
      </c>
      <c r="D10" s="30" t="s">
        <v>250</v>
      </c>
      <c r="E10" s="30" t="s">
        <v>260</v>
      </c>
      <c r="F10" s="30" t="s">
        <v>207</v>
      </c>
      <c r="G10" s="30" t="s">
        <v>313</v>
      </c>
      <c r="H10" s="30" t="s">
        <v>165</v>
      </c>
      <c r="I10" s="29" t="s">
        <v>208</v>
      </c>
      <c r="J10" s="29">
        <v>6</v>
      </c>
      <c r="K10" s="29" t="s">
        <v>327</v>
      </c>
      <c r="L10" s="29" t="s">
        <v>40</v>
      </c>
      <c r="M10" s="30" t="s">
        <v>40</v>
      </c>
      <c r="N10" s="30" t="s">
        <v>886</v>
      </c>
      <c r="O10" s="31">
        <v>1</v>
      </c>
      <c r="P10" s="31">
        <v>1</v>
      </c>
      <c r="Q10" s="30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1</v>
      </c>
      <c r="Y10" s="2">
        <f>IF(J10=$Y$7,1,0)</f>
        <v>0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D10" s="2">
        <f>+O10*P10</f>
        <v>1</v>
      </c>
      <c r="AE10" s="2">
        <f>O10*(1-P10)</f>
        <v>0</v>
      </c>
      <c r="AF10" s="2">
        <f t="shared" si="3"/>
        <v>1</v>
      </c>
      <c r="AG10" s="2">
        <f t="shared" si="4"/>
        <v>0</v>
      </c>
      <c r="AH10" s="2">
        <f t="shared" si="5"/>
        <v>1</v>
      </c>
      <c r="AI10" s="2">
        <f t="shared" si="6"/>
        <v>0</v>
      </c>
    </row>
    <row r="11" spans="1:35" ht="14.25" customHeight="1" x14ac:dyDescent="0.25">
      <c r="A11" s="32">
        <v>0</v>
      </c>
      <c r="B11" s="32">
        <v>1</v>
      </c>
      <c r="C11" s="32">
        <v>1</v>
      </c>
      <c r="D11" s="33" t="s">
        <v>69</v>
      </c>
      <c r="E11" s="33" t="s">
        <v>260</v>
      </c>
      <c r="F11" s="33" t="s">
        <v>147</v>
      </c>
      <c r="G11" s="33" t="s">
        <v>103</v>
      </c>
      <c r="H11" s="33" t="s">
        <v>165</v>
      </c>
      <c r="I11" s="32" t="s">
        <v>192</v>
      </c>
      <c r="J11" s="32">
        <v>6</v>
      </c>
      <c r="K11" s="32" t="s">
        <v>323</v>
      </c>
      <c r="L11" s="32">
        <v>180</v>
      </c>
      <c r="M11" s="33" t="s">
        <v>206</v>
      </c>
      <c r="N11" s="33" t="s">
        <v>889</v>
      </c>
      <c r="O11" s="34"/>
      <c r="P11" s="34"/>
      <c r="Q11" s="33"/>
      <c r="S11" s="2">
        <f t="shared" ref="S11:S74" si="7">IF(J11=$S$7,1,0)</f>
        <v>0</v>
      </c>
      <c r="T11" s="2">
        <f t="shared" ref="T11:T74" si="8">IF(J11=$T$7,1,0)</f>
        <v>0</v>
      </c>
      <c r="U11" s="2">
        <f t="shared" ref="U11:U74" si="9">IF(J11=$U$7,1,0)</f>
        <v>0</v>
      </c>
      <c r="V11" s="2">
        <f t="shared" ref="V11:V74" si="10">IF(J11=$V$7,1,0)</f>
        <v>0</v>
      </c>
      <c r="W11" s="2">
        <f t="shared" ref="W11:W74" si="11">IF(J11=$W$7,1,0)</f>
        <v>0</v>
      </c>
      <c r="X11" s="2">
        <f t="shared" ref="X11:X74" si="12">IF(J11=$X$7,1,0)</f>
        <v>1</v>
      </c>
      <c r="Y11" s="2">
        <f t="shared" ref="Y11:Y74" si="13">IF(J11=$Y$7,1,0)</f>
        <v>0</v>
      </c>
      <c r="Z11" s="2">
        <f t="shared" ref="Z11:Z74" si="14">IF(J11=$Z$7,1,0)</f>
        <v>0</v>
      </c>
      <c r="AA11" s="2">
        <f t="shared" ref="AA11:AA74" si="15">IF(J11=$AA$7,1,0)</f>
        <v>0</v>
      </c>
      <c r="AB11" s="2">
        <f t="shared" ref="AB11:AB74" si="16">IF(J11=$AB$7,1,0)</f>
        <v>0</v>
      </c>
      <c r="AD11" s="2">
        <f t="shared" ref="AD11:AD74" si="17">+O11*P11</f>
        <v>0</v>
      </c>
      <c r="AE11" s="2">
        <f t="shared" ref="AE11:AE74" si="18">O11*(1-P11)</f>
        <v>0</v>
      </c>
      <c r="AF11" s="2">
        <f t="shared" ref="AF11:AF74" si="19">+O11*P11*(1-A11)</f>
        <v>0</v>
      </c>
      <c r="AG11" s="2">
        <f t="shared" ref="AG11:AG74" si="20">O11*(1-P11)*(1-A11)</f>
        <v>0</v>
      </c>
      <c r="AH11" s="2">
        <f t="shared" ref="AH11:AH74" si="21">+P11*(1-A11)</f>
        <v>0</v>
      </c>
      <c r="AI11" s="2">
        <f t="shared" ref="AI11:AI74" si="22">+(1-A11)*(1-P11)</f>
        <v>1</v>
      </c>
    </row>
    <row r="12" spans="1:35" ht="14.25" customHeight="1" x14ac:dyDescent="0.25">
      <c r="A12" s="29">
        <v>0</v>
      </c>
      <c r="B12" s="29">
        <v>1</v>
      </c>
      <c r="C12" s="29">
        <v>1</v>
      </c>
      <c r="D12" s="30" t="s">
        <v>761</v>
      </c>
      <c r="E12" s="30" t="s">
        <v>260</v>
      </c>
      <c r="F12" s="30" t="s">
        <v>516</v>
      </c>
      <c r="G12" s="30" t="s">
        <v>585</v>
      </c>
      <c r="H12" s="30" t="s">
        <v>165</v>
      </c>
      <c r="I12" s="29" t="s">
        <v>517</v>
      </c>
      <c r="J12" s="29">
        <v>1</v>
      </c>
      <c r="K12" s="29" t="s">
        <v>377</v>
      </c>
      <c r="L12" s="29">
        <v>160</v>
      </c>
      <c r="M12" s="30" t="s">
        <v>870</v>
      </c>
      <c r="N12" s="30" t="s">
        <v>900</v>
      </c>
      <c r="O12" s="31">
        <v>1</v>
      </c>
      <c r="P12" s="31"/>
      <c r="Q12" s="30"/>
      <c r="S12" s="2">
        <f t="shared" si="7"/>
        <v>1</v>
      </c>
      <c r="T12" s="2">
        <f t="shared" si="8"/>
        <v>0</v>
      </c>
      <c r="U12" s="2">
        <f t="shared" si="9"/>
        <v>0</v>
      </c>
      <c r="V12" s="2">
        <f t="shared" si="10"/>
        <v>0</v>
      </c>
      <c r="W12" s="2">
        <f t="shared" si="11"/>
        <v>0</v>
      </c>
      <c r="X12" s="2">
        <f t="shared" si="12"/>
        <v>0</v>
      </c>
      <c r="Y12" s="2">
        <f t="shared" si="13"/>
        <v>0</v>
      </c>
      <c r="Z12" s="2">
        <f t="shared" si="14"/>
        <v>0</v>
      </c>
      <c r="AA12" s="2">
        <f t="shared" si="15"/>
        <v>0</v>
      </c>
      <c r="AB12" s="2">
        <f t="shared" si="16"/>
        <v>0</v>
      </c>
      <c r="AD12" s="2">
        <f t="shared" si="17"/>
        <v>0</v>
      </c>
      <c r="AE12" s="2">
        <f t="shared" si="18"/>
        <v>1</v>
      </c>
      <c r="AF12" s="2">
        <f t="shared" si="19"/>
        <v>0</v>
      </c>
      <c r="AG12" s="2">
        <f t="shared" si="20"/>
        <v>1</v>
      </c>
      <c r="AH12" s="2">
        <f t="shared" si="21"/>
        <v>0</v>
      </c>
      <c r="AI12" s="2">
        <f t="shared" si="22"/>
        <v>1</v>
      </c>
    </row>
    <row r="13" spans="1:35" ht="14.25" customHeight="1" x14ac:dyDescent="0.25">
      <c r="A13" s="32">
        <v>0</v>
      </c>
      <c r="B13" s="32">
        <v>1</v>
      </c>
      <c r="C13" s="32">
        <v>1</v>
      </c>
      <c r="D13" s="33" t="s">
        <v>807</v>
      </c>
      <c r="E13" s="33" t="s">
        <v>260</v>
      </c>
      <c r="F13" s="33" t="s">
        <v>115</v>
      </c>
      <c r="G13" s="33" t="s">
        <v>116</v>
      </c>
      <c r="H13" s="33" t="s">
        <v>165</v>
      </c>
      <c r="I13" s="32" t="s">
        <v>177</v>
      </c>
      <c r="J13" s="32">
        <v>99</v>
      </c>
      <c r="K13" s="32" t="s">
        <v>327</v>
      </c>
      <c r="L13" s="32">
        <v>210</v>
      </c>
      <c r="M13" s="33" t="s">
        <v>871</v>
      </c>
      <c r="N13" s="33" t="s">
        <v>887</v>
      </c>
      <c r="O13" s="34"/>
      <c r="P13" s="34"/>
      <c r="Q13" s="33"/>
      <c r="S13" s="2">
        <f t="shared" si="7"/>
        <v>0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D13" s="2">
        <f t="shared" si="17"/>
        <v>0</v>
      </c>
      <c r="AE13" s="2">
        <f t="shared" si="18"/>
        <v>0</v>
      </c>
      <c r="AF13" s="2">
        <f t="shared" si="19"/>
        <v>0</v>
      </c>
      <c r="AG13" s="2">
        <f t="shared" si="20"/>
        <v>0</v>
      </c>
      <c r="AH13" s="2">
        <f t="shared" si="21"/>
        <v>0</v>
      </c>
      <c r="AI13" s="2">
        <f t="shared" si="22"/>
        <v>1</v>
      </c>
    </row>
    <row r="14" spans="1:35" ht="14.25" customHeight="1" x14ac:dyDescent="0.25">
      <c r="A14" s="29">
        <v>0</v>
      </c>
      <c r="B14" s="29">
        <v>1</v>
      </c>
      <c r="C14" s="29">
        <v>1</v>
      </c>
      <c r="D14" s="30" t="s">
        <v>51</v>
      </c>
      <c r="E14" s="30" t="s">
        <v>572</v>
      </c>
      <c r="F14" s="30" t="s">
        <v>104</v>
      </c>
      <c r="G14" s="30" t="s">
        <v>96</v>
      </c>
      <c r="H14" s="30" t="s">
        <v>165</v>
      </c>
      <c r="I14" s="29" t="s">
        <v>171</v>
      </c>
      <c r="J14" s="29">
        <v>3</v>
      </c>
      <c r="K14" s="29" t="s">
        <v>328</v>
      </c>
      <c r="L14" s="29" t="s">
        <v>40</v>
      </c>
      <c r="M14" s="30" t="s">
        <v>40</v>
      </c>
      <c r="N14" s="30" t="s">
        <v>886</v>
      </c>
      <c r="O14" s="31">
        <v>1</v>
      </c>
      <c r="P14" s="31">
        <v>1</v>
      </c>
      <c r="Q14" s="30"/>
      <c r="S14" s="2">
        <f t="shared" si="7"/>
        <v>0</v>
      </c>
      <c r="T14" s="2">
        <f t="shared" si="8"/>
        <v>0</v>
      </c>
      <c r="U14" s="2">
        <f t="shared" si="9"/>
        <v>1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D14" s="2">
        <f t="shared" si="17"/>
        <v>1</v>
      </c>
      <c r="AE14" s="2">
        <f t="shared" si="18"/>
        <v>0</v>
      </c>
      <c r="AF14" s="2">
        <f t="shared" si="19"/>
        <v>1</v>
      </c>
      <c r="AG14" s="2">
        <f t="shared" si="20"/>
        <v>0</v>
      </c>
      <c r="AH14" s="2">
        <f t="shared" si="21"/>
        <v>1</v>
      </c>
      <c r="AI14" s="2">
        <f t="shared" si="22"/>
        <v>0</v>
      </c>
    </row>
    <row r="15" spans="1:35" ht="14.25" customHeight="1" x14ac:dyDescent="0.25">
      <c r="A15" s="32">
        <v>0</v>
      </c>
      <c r="B15" s="32">
        <v>1</v>
      </c>
      <c r="C15" s="32">
        <v>1</v>
      </c>
      <c r="D15" s="33" t="s">
        <v>64</v>
      </c>
      <c r="E15" s="33" t="s">
        <v>262</v>
      </c>
      <c r="F15" s="33" t="s">
        <v>139</v>
      </c>
      <c r="G15" s="33" t="s">
        <v>140</v>
      </c>
      <c r="H15" s="33" t="s">
        <v>165</v>
      </c>
      <c r="I15" s="32" t="s">
        <v>185</v>
      </c>
      <c r="J15" s="32">
        <v>99</v>
      </c>
      <c r="K15" s="32" t="s">
        <v>325</v>
      </c>
      <c r="L15" s="32" t="s">
        <v>856</v>
      </c>
      <c r="M15" s="33" t="s">
        <v>733</v>
      </c>
      <c r="N15" s="33" t="s">
        <v>921</v>
      </c>
      <c r="O15" s="34"/>
      <c r="P15" s="34"/>
      <c r="Q15" s="33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D15" s="2">
        <f t="shared" si="17"/>
        <v>0</v>
      </c>
      <c r="AE15" s="2">
        <f t="shared" si="18"/>
        <v>0</v>
      </c>
      <c r="AF15" s="2">
        <f t="shared" si="19"/>
        <v>0</v>
      </c>
      <c r="AG15" s="2">
        <f t="shared" si="20"/>
        <v>0</v>
      </c>
      <c r="AH15" s="2">
        <f t="shared" si="21"/>
        <v>0</v>
      </c>
      <c r="AI15" s="2">
        <f t="shared" si="22"/>
        <v>1</v>
      </c>
    </row>
    <row r="16" spans="1:35" ht="14.25" customHeight="1" x14ac:dyDescent="0.25">
      <c r="A16" s="20">
        <v>0</v>
      </c>
      <c r="B16" s="20">
        <v>1</v>
      </c>
      <c r="C16" s="20">
        <v>1</v>
      </c>
      <c r="D16" s="21" t="s">
        <v>277</v>
      </c>
      <c r="E16" s="21" t="s">
        <v>260</v>
      </c>
      <c r="F16" s="21" t="s">
        <v>278</v>
      </c>
      <c r="G16" s="21" t="s">
        <v>582</v>
      </c>
      <c r="H16" s="21" t="s">
        <v>165</v>
      </c>
      <c r="I16" s="20" t="s">
        <v>279</v>
      </c>
      <c r="J16" s="20">
        <v>99</v>
      </c>
      <c r="K16" s="20" t="s">
        <v>328</v>
      </c>
      <c r="L16" s="20" t="s">
        <v>854</v>
      </c>
      <c r="M16" s="21" t="s">
        <v>734</v>
      </c>
      <c r="N16" s="21"/>
      <c r="O16" s="7"/>
      <c r="P16" s="7"/>
      <c r="Q16" s="21"/>
      <c r="S16" s="2">
        <f t="shared" si="7"/>
        <v>0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D16" s="2">
        <f t="shared" si="17"/>
        <v>0</v>
      </c>
      <c r="AE16" s="2">
        <f t="shared" si="18"/>
        <v>0</v>
      </c>
      <c r="AF16" s="2">
        <f t="shared" si="19"/>
        <v>0</v>
      </c>
      <c r="AG16" s="2">
        <f t="shared" si="20"/>
        <v>0</v>
      </c>
      <c r="AH16" s="2">
        <f t="shared" si="21"/>
        <v>0</v>
      </c>
      <c r="AI16" s="2">
        <f t="shared" si="22"/>
        <v>1</v>
      </c>
    </row>
    <row r="17" spans="1:35" ht="14.25" customHeight="1" x14ac:dyDescent="0.25">
      <c r="A17" s="32">
        <v>0</v>
      </c>
      <c r="B17" s="32">
        <v>1</v>
      </c>
      <c r="C17" s="32">
        <v>1</v>
      </c>
      <c r="D17" s="33" t="s">
        <v>378</v>
      </c>
      <c r="E17" s="33" t="s">
        <v>260</v>
      </c>
      <c r="F17" s="33" t="s">
        <v>379</v>
      </c>
      <c r="G17" s="33" t="s">
        <v>380</v>
      </c>
      <c r="H17" s="33" t="s">
        <v>381</v>
      </c>
      <c r="I17" s="32" t="s">
        <v>382</v>
      </c>
      <c r="J17" s="32">
        <v>99</v>
      </c>
      <c r="K17" s="32" t="s">
        <v>377</v>
      </c>
      <c r="L17" s="32">
        <v>170</v>
      </c>
      <c r="M17" s="33" t="s">
        <v>885</v>
      </c>
      <c r="N17" s="33" t="s">
        <v>890</v>
      </c>
      <c r="O17" s="34"/>
      <c r="P17" s="34"/>
      <c r="Q17" s="33"/>
      <c r="S17" s="2">
        <f t="shared" si="7"/>
        <v>0</v>
      </c>
      <c r="T17" s="2">
        <f t="shared" si="8"/>
        <v>0</v>
      </c>
      <c r="U17" s="2">
        <f t="shared" si="9"/>
        <v>0</v>
      </c>
      <c r="V17" s="2">
        <f t="shared" si="10"/>
        <v>0</v>
      </c>
      <c r="W17" s="2">
        <f t="shared" si="11"/>
        <v>0</v>
      </c>
      <c r="X17" s="2">
        <f t="shared" si="12"/>
        <v>0</v>
      </c>
      <c r="Y17" s="2">
        <f t="shared" si="13"/>
        <v>0</v>
      </c>
      <c r="Z17" s="2">
        <f t="shared" si="14"/>
        <v>0</v>
      </c>
      <c r="AA17" s="2">
        <f t="shared" si="15"/>
        <v>0</v>
      </c>
      <c r="AB17" s="2">
        <f t="shared" si="16"/>
        <v>0</v>
      </c>
      <c r="AD17" s="2">
        <f t="shared" si="17"/>
        <v>0</v>
      </c>
      <c r="AE17" s="2">
        <f t="shared" si="18"/>
        <v>0</v>
      </c>
      <c r="AF17" s="2">
        <f t="shared" si="19"/>
        <v>0</v>
      </c>
      <c r="AG17" s="2">
        <f t="shared" si="20"/>
        <v>0</v>
      </c>
      <c r="AH17" s="2">
        <f t="shared" si="21"/>
        <v>0</v>
      </c>
      <c r="AI17" s="2">
        <f t="shared" si="22"/>
        <v>1</v>
      </c>
    </row>
    <row r="18" spans="1:35" ht="14.25" customHeight="1" x14ac:dyDescent="0.25">
      <c r="A18" s="29">
        <v>0</v>
      </c>
      <c r="B18" s="29">
        <v>1</v>
      </c>
      <c r="C18" s="29">
        <v>1</v>
      </c>
      <c r="D18" s="30" t="s">
        <v>306</v>
      </c>
      <c r="E18" s="30" t="s">
        <v>260</v>
      </c>
      <c r="F18" s="30" t="s">
        <v>314</v>
      </c>
      <c r="G18" s="30" t="s">
        <v>94</v>
      </c>
      <c r="H18" s="30" t="s">
        <v>165</v>
      </c>
      <c r="I18" s="29" t="s">
        <v>276</v>
      </c>
      <c r="J18" s="29">
        <v>1</v>
      </c>
      <c r="K18" s="29" t="s">
        <v>376</v>
      </c>
      <c r="L18" s="29" t="s">
        <v>40</v>
      </c>
      <c r="M18" s="30" t="s">
        <v>40</v>
      </c>
      <c r="N18" s="30" t="s">
        <v>886</v>
      </c>
      <c r="O18" s="31">
        <v>1</v>
      </c>
      <c r="P18" s="31">
        <v>1</v>
      </c>
      <c r="Q18" s="30"/>
      <c r="S18" s="2">
        <f t="shared" si="7"/>
        <v>1</v>
      </c>
      <c r="T18" s="2">
        <f t="shared" si="8"/>
        <v>0</v>
      </c>
      <c r="U18" s="2">
        <f t="shared" si="9"/>
        <v>0</v>
      </c>
      <c r="V18" s="2">
        <f t="shared" si="10"/>
        <v>0</v>
      </c>
      <c r="W18" s="2">
        <f t="shared" si="11"/>
        <v>0</v>
      </c>
      <c r="X18" s="2">
        <f t="shared" si="12"/>
        <v>0</v>
      </c>
      <c r="Y18" s="2">
        <f t="shared" si="13"/>
        <v>0</v>
      </c>
      <c r="Z18" s="2">
        <f t="shared" si="14"/>
        <v>0</v>
      </c>
      <c r="AA18" s="2">
        <f t="shared" si="15"/>
        <v>0</v>
      </c>
      <c r="AB18" s="2">
        <f t="shared" si="16"/>
        <v>0</v>
      </c>
      <c r="AD18" s="2">
        <f t="shared" si="17"/>
        <v>1</v>
      </c>
      <c r="AE18" s="2">
        <f t="shared" si="18"/>
        <v>0</v>
      </c>
      <c r="AF18" s="2">
        <f t="shared" si="19"/>
        <v>1</v>
      </c>
      <c r="AG18" s="2">
        <f t="shared" si="20"/>
        <v>0</v>
      </c>
      <c r="AH18" s="2">
        <f t="shared" si="21"/>
        <v>1</v>
      </c>
      <c r="AI18" s="2">
        <f t="shared" si="22"/>
        <v>0</v>
      </c>
    </row>
    <row r="19" spans="1:35" ht="14.25" customHeight="1" x14ac:dyDescent="0.25">
      <c r="A19" s="32">
        <v>0</v>
      </c>
      <c r="B19" s="32">
        <v>1</v>
      </c>
      <c r="C19" s="32">
        <v>1</v>
      </c>
      <c r="D19" s="33" t="s">
        <v>544</v>
      </c>
      <c r="E19" s="33" t="s">
        <v>262</v>
      </c>
      <c r="F19" s="33" t="s">
        <v>543</v>
      </c>
      <c r="G19" s="33" t="s">
        <v>564</v>
      </c>
      <c r="H19" s="33" t="s">
        <v>165</v>
      </c>
      <c r="I19" s="32" t="s">
        <v>845</v>
      </c>
      <c r="J19" s="32">
        <v>99</v>
      </c>
      <c r="K19" s="32" t="s">
        <v>328</v>
      </c>
      <c r="L19" s="32" t="s">
        <v>854</v>
      </c>
      <c r="M19" s="33" t="s">
        <v>736</v>
      </c>
      <c r="N19" s="33" t="s">
        <v>888</v>
      </c>
      <c r="O19" s="34"/>
      <c r="P19" s="34"/>
      <c r="Q19" s="33"/>
      <c r="S19" s="2">
        <f t="shared" si="7"/>
        <v>0</v>
      </c>
      <c r="T19" s="2">
        <f t="shared" si="8"/>
        <v>0</v>
      </c>
      <c r="U19" s="2">
        <f t="shared" si="9"/>
        <v>0</v>
      </c>
      <c r="V19" s="2">
        <f t="shared" si="10"/>
        <v>0</v>
      </c>
      <c r="W19" s="2">
        <f t="shared" si="11"/>
        <v>0</v>
      </c>
      <c r="X19" s="2">
        <f t="shared" si="12"/>
        <v>0</v>
      </c>
      <c r="Y19" s="2">
        <f t="shared" si="13"/>
        <v>0</v>
      </c>
      <c r="Z19" s="2">
        <f t="shared" si="14"/>
        <v>0</v>
      </c>
      <c r="AA19" s="2">
        <f t="shared" si="15"/>
        <v>0</v>
      </c>
      <c r="AB19" s="2">
        <f t="shared" si="16"/>
        <v>0</v>
      </c>
      <c r="AD19" s="2">
        <f t="shared" si="17"/>
        <v>0</v>
      </c>
      <c r="AE19" s="2">
        <f t="shared" si="18"/>
        <v>0</v>
      </c>
      <c r="AF19" s="2">
        <f t="shared" si="19"/>
        <v>0</v>
      </c>
      <c r="AG19" s="2">
        <f t="shared" si="20"/>
        <v>0</v>
      </c>
      <c r="AH19" s="2">
        <f t="shared" si="21"/>
        <v>0</v>
      </c>
      <c r="AI19" s="2">
        <f t="shared" si="22"/>
        <v>1</v>
      </c>
    </row>
    <row r="20" spans="1:35" ht="14.25" customHeight="1" x14ac:dyDescent="0.25">
      <c r="A20" s="20">
        <v>0</v>
      </c>
      <c r="B20" s="20">
        <v>1</v>
      </c>
      <c r="C20" s="20">
        <v>1</v>
      </c>
      <c r="D20" s="21" t="s">
        <v>604</v>
      </c>
      <c r="E20" s="21" t="s">
        <v>262</v>
      </c>
      <c r="F20" s="21" t="s">
        <v>605</v>
      </c>
      <c r="G20" s="21" t="s">
        <v>38</v>
      </c>
      <c r="H20" s="21" t="s">
        <v>165</v>
      </c>
      <c r="I20" s="20" t="s">
        <v>606</v>
      </c>
      <c r="J20" s="20">
        <v>1</v>
      </c>
      <c r="K20" s="20" t="s">
        <v>328</v>
      </c>
      <c r="L20" s="20" t="s">
        <v>855</v>
      </c>
      <c r="M20" s="21" t="s">
        <v>206</v>
      </c>
      <c r="N20" s="21"/>
      <c r="O20" s="7"/>
      <c r="P20" s="7"/>
      <c r="Q20" s="21"/>
      <c r="S20" s="2">
        <f t="shared" si="7"/>
        <v>1</v>
      </c>
      <c r="T20" s="2">
        <f t="shared" si="8"/>
        <v>0</v>
      </c>
      <c r="U20" s="2">
        <f t="shared" si="9"/>
        <v>0</v>
      </c>
      <c r="V20" s="2">
        <f t="shared" si="10"/>
        <v>0</v>
      </c>
      <c r="W20" s="2">
        <f t="shared" si="11"/>
        <v>0</v>
      </c>
      <c r="X20" s="2">
        <f t="shared" si="12"/>
        <v>0</v>
      </c>
      <c r="Y20" s="2">
        <f t="shared" si="13"/>
        <v>0</v>
      </c>
      <c r="Z20" s="2">
        <f t="shared" si="14"/>
        <v>0</v>
      </c>
      <c r="AA20" s="2">
        <f t="shared" si="15"/>
        <v>0</v>
      </c>
      <c r="AB20" s="2">
        <f t="shared" si="16"/>
        <v>0</v>
      </c>
      <c r="AD20" s="2">
        <f t="shared" si="17"/>
        <v>0</v>
      </c>
      <c r="AE20" s="2">
        <f t="shared" si="18"/>
        <v>0</v>
      </c>
      <c r="AF20" s="2">
        <f t="shared" si="19"/>
        <v>0</v>
      </c>
      <c r="AG20" s="2">
        <f t="shared" si="20"/>
        <v>0</v>
      </c>
      <c r="AH20" s="2">
        <f t="shared" si="21"/>
        <v>0</v>
      </c>
      <c r="AI20" s="2">
        <f t="shared" si="22"/>
        <v>1</v>
      </c>
    </row>
    <row r="21" spans="1:35" ht="14.25" customHeight="1" x14ac:dyDescent="0.25">
      <c r="A21" s="32">
        <v>0</v>
      </c>
      <c r="B21" s="32">
        <v>1</v>
      </c>
      <c r="C21" s="32">
        <v>2</v>
      </c>
      <c r="D21" s="33" t="s">
        <v>66</v>
      </c>
      <c r="E21" s="33" t="s">
        <v>262</v>
      </c>
      <c r="F21" s="33" t="s">
        <v>121</v>
      </c>
      <c r="G21" s="33" t="s">
        <v>122</v>
      </c>
      <c r="H21" s="33" t="s">
        <v>165</v>
      </c>
      <c r="I21" s="32" t="s">
        <v>187</v>
      </c>
      <c r="J21" s="32">
        <v>6</v>
      </c>
      <c r="K21" s="32" t="s">
        <v>326</v>
      </c>
      <c r="L21" s="32">
        <v>75</v>
      </c>
      <c r="M21" s="33" t="s">
        <v>895</v>
      </c>
      <c r="N21" s="33" t="s">
        <v>922</v>
      </c>
      <c r="O21" s="34"/>
      <c r="P21" s="34"/>
      <c r="Q21" s="33"/>
      <c r="S21" s="2">
        <f t="shared" si="7"/>
        <v>0</v>
      </c>
      <c r="T21" s="2">
        <f t="shared" si="8"/>
        <v>0</v>
      </c>
      <c r="U21" s="2">
        <f t="shared" si="9"/>
        <v>0</v>
      </c>
      <c r="V21" s="2">
        <f t="shared" si="10"/>
        <v>0</v>
      </c>
      <c r="W21" s="2">
        <f t="shared" si="11"/>
        <v>0</v>
      </c>
      <c r="X21" s="2">
        <f t="shared" si="12"/>
        <v>1</v>
      </c>
      <c r="Y21" s="2">
        <f t="shared" si="13"/>
        <v>0</v>
      </c>
      <c r="Z21" s="2">
        <f t="shared" si="14"/>
        <v>0</v>
      </c>
      <c r="AA21" s="2">
        <f t="shared" si="15"/>
        <v>0</v>
      </c>
      <c r="AB21" s="2">
        <f t="shared" si="16"/>
        <v>0</v>
      </c>
      <c r="AD21" s="2">
        <f t="shared" si="17"/>
        <v>0</v>
      </c>
      <c r="AE21" s="2">
        <f t="shared" si="18"/>
        <v>0</v>
      </c>
      <c r="AF21" s="2">
        <f t="shared" si="19"/>
        <v>0</v>
      </c>
      <c r="AG21" s="2">
        <f t="shared" si="20"/>
        <v>0</v>
      </c>
      <c r="AH21" s="2">
        <f t="shared" si="21"/>
        <v>0</v>
      </c>
      <c r="AI21" s="2">
        <f t="shared" si="22"/>
        <v>1</v>
      </c>
    </row>
    <row r="22" spans="1:35" ht="14.25" customHeight="1" x14ac:dyDescent="0.25">
      <c r="A22" s="32">
        <v>0</v>
      </c>
      <c r="B22" s="32">
        <v>1</v>
      </c>
      <c r="C22" s="32">
        <v>2</v>
      </c>
      <c r="D22" s="33" t="s">
        <v>459</v>
      </c>
      <c r="E22" s="33" t="s">
        <v>466</v>
      </c>
      <c r="F22" s="33" t="s">
        <v>830</v>
      </c>
      <c r="G22" s="33" t="s">
        <v>831</v>
      </c>
      <c r="H22" s="33" t="s">
        <v>165</v>
      </c>
      <c r="I22" s="32" t="s">
        <v>417</v>
      </c>
      <c r="J22" s="32">
        <v>99</v>
      </c>
      <c r="K22" s="32" t="s">
        <v>325</v>
      </c>
      <c r="L22" s="32" t="s">
        <v>346</v>
      </c>
      <c r="M22" s="33" t="s">
        <v>206</v>
      </c>
      <c r="N22" s="33" t="s">
        <v>921</v>
      </c>
      <c r="O22" s="34"/>
      <c r="P22" s="34"/>
      <c r="Q22" s="33"/>
      <c r="S22" s="2">
        <f t="shared" si="7"/>
        <v>0</v>
      </c>
      <c r="T22" s="2">
        <f t="shared" si="8"/>
        <v>0</v>
      </c>
      <c r="U22" s="2">
        <f t="shared" si="9"/>
        <v>0</v>
      </c>
      <c r="V22" s="2">
        <f t="shared" si="10"/>
        <v>0</v>
      </c>
      <c r="W22" s="2">
        <f t="shared" si="11"/>
        <v>0</v>
      </c>
      <c r="X22" s="2">
        <f t="shared" si="12"/>
        <v>0</v>
      </c>
      <c r="Y22" s="2">
        <f t="shared" si="13"/>
        <v>0</v>
      </c>
      <c r="Z22" s="2">
        <f t="shared" si="14"/>
        <v>0</v>
      </c>
      <c r="AA22" s="2">
        <f t="shared" si="15"/>
        <v>0</v>
      </c>
      <c r="AB22" s="2">
        <f t="shared" si="16"/>
        <v>0</v>
      </c>
      <c r="AD22" s="2">
        <f t="shared" si="17"/>
        <v>0</v>
      </c>
      <c r="AE22" s="2">
        <f t="shared" si="18"/>
        <v>0</v>
      </c>
      <c r="AF22" s="2">
        <f t="shared" si="19"/>
        <v>0</v>
      </c>
      <c r="AG22" s="2">
        <f t="shared" si="20"/>
        <v>0</v>
      </c>
      <c r="AH22" s="2">
        <f t="shared" si="21"/>
        <v>0</v>
      </c>
      <c r="AI22" s="2">
        <f t="shared" si="22"/>
        <v>1</v>
      </c>
    </row>
    <row r="23" spans="1:35" ht="14.25" customHeight="1" x14ac:dyDescent="0.25">
      <c r="A23" s="32">
        <v>0</v>
      </c>
      <c r="B23" s="32">
        <v>1</v>
      </c>
      <c r="C23" s="32">
        <v>2</v>
      </c>
      <c r="D23" s="33" t="s">
        <v>75</v>
      </c>
      <c r="E23" s="33" t="s">
        <v>263</v>
      </c>
      <c r="F23" s="33" t="s">
        <v>156</v>
      </c>
      <c r="G23" s="33" t="s">
        <v>157</v>
      </c>
      <c r="H23" s="33" t="s">
        <v>165</v>
      </c>
      <c r="I23" s="32" t="s">
        <v>837</v>
      </c>
      <c r="J23" s="32">
        <v>99</v>
      </c>
      <c r="K23" s="32" t="s">
        <v>325</v>
      </c>
      <c r="L23" s="32">
        <v>45</v>
      </c>
      <c r="M23" s="33" t="s">
        <v>897</v>
      </c>
      <c r="N23" s="33" t="s">
        <v>923</v>
      </c>
      <c r="O23" s="34">
        <v>1</v>
      </c>
      <c r="P23" s="34"/>
      <c r="Q23" s="33"/>
      <c r="S23" s="2">
        <f t="shared" si="7"/>
        <v>0</v>
      </c>
      <c r="T23" s="2">
        <f t="shared" si="8"/>
        <v>0</v>
      </c>
      <c r="U23" s="2">
        <f t="shared" si="9"/>
        <v>0</v>
      </c>
      <c r="V23" s="2">
        <f t="shared" si="10"/>
        <v>0</v>
      </c>
      <c r="W23" s="2">
        <f t="shared" si="11"/>
        <v>0</v>
      </c>
      <c r="X23" s="2">
        <f t="shared" si="12"/>
        <v>0</v>
      </c>
      <c r="Y23" s="2">
        <f t="shared" si="13"/>
        <v>0</v>
      </c>
      <c r="Z23" s="2">
        <f t="shared" si="14"/>
        <v>0</v>
      </c>
      <c r="AA23" s="2">
        <f t="shared" si="15"/>
        <v>0</v>
      </c>
      <c r="AB23" s="2">
        <f t="shared" si="16"/>
        <v>0</v>
      </c>
      <c r="AD23" s="2">
        <f t="shared" si="17"/>
        <v>0</v>
      </c>
      <c r="AE23" s="2">
        <f t="shared" si="18"/>
        <v>1</v>
      </c>
      <c r="AF23" s="2">
        <f t="shared" si="19"/>
        <v>0</v>
      </c>
      <c r="AG23" s="2">
        <f t="shared" si="20"/>
        <v>1</v>
      </c>
      <c r="AH23" s="2">
        <f t="shared" si="21"/>
        <v>0</v>
      </c>
      <c r="AI23" s="2">
        <f t="shared" si="22"/>
        <v>1</v>
      </c>
    </row>
    <row r="24" spans="1:35" ht="14.25" customHeight="1" x14ac:dyDescent="0.25">
      <c r="A24" s="32">
        <v>0</v>
      </c>
      <c r="B24" s="32">
        <v>1</v>
      </c>
      <c r="C24" s="32">
        <v>2</v>
      </c>
      <c r="D24" s="33" t="s">
        <v>524</v>
      </c>
      <c r="E24" s="33" t="s">
        <v>263</v>
      </c>
      <c r="F24" s="33" t="s">
        <v>525</v>
      </c>
      <c r="G24" s="33" t="s">
        <v>154</v>
      </c>
      <c r="H24" s="33" t="s">
        <v>165</v>
      </c>
      <c r="I24" s="32" t="s">
        <v>526</v>
      </c>
      <c r="J24" s="32">
        <v>99</v>
      </c>
      <c r="K24" s="32" t="s">
        <v>330</v>
      </c>
      <c r="L24" s="32" t="s">
        <v>852</v>
      </c>
      <c r="M24" s="33" t="s">
        <v>735</v>
      </c>
      <c r="N24" s="33" t="s">
        <v>893</v>
      </c>
      <c r="O24" s="34"/>
      <c r="P24" s="34"/>
      <c r="Q24" s="33"/>
      <c r="S24" s="2">
        <f t="shared" si="7"/>
        <v>0</v>
      </c>
      <c r="T24" s="2">
        <f t="shared" si="8"/>
        <v>0</v>
      </c>
      <c r="U24" s="2">
        <f t="shared" si="9"/>
        <v>0</v>
      </c>
      <c r="V24" s="2">
        <f t="shared" si="10"/>
        <v>0</v>
      </c>
      <c r="W24" s="2">
        <f t="shared" si="11"/>
        <v>0</v>
      </c>
      <c r="X24" s="2">
        <f t="shared" si="12"/>
        <v>0</v>
      </c>
      <c r="Y24" s="2">
        <f t="shared" si="13"/>
        <v>0</v>
      </c>
      <c r="Z24" s="2">
        <f t="shared" si="14"/>
        <v>0</v>
      </c>
      <c r="AA24" s="2">
        <f t="shared" si="15"/>
        <v>0</v>
      </c>
      <c r="AB24" s="2">
        <f t="shared" si="16"/>
        <v>0</v>
      </c>
      <c r="AD24" s="2">
        <f t="shared" si="17"/>
        <v>0</v>
      </c>
      <c r="AE24" s="2">
        <f t="shared" si="18"/>
        <v>0</v>
      </c>
      <c r="AF24" s="2">
        <f t="shared" si="19"/>
        <v>0</v>
      </c>
      <c r="AG24" s="2">
        <f t="shared" si="20"/>
        <v>0</v>
      </c>
      <c r="AH24" s="2">
        <f t="shared" si="21"/>
        <v>0</v>
      </c>
      <c r="AI24" s="2">
        <f t="shared" si="22"/>
        <v>1</v>
      </c>
    </row>
    <row r="25" spans="1:35" ht="14.25" customHeight="1" x14ac:dyDescent="0.25">
      <c r="A25" s="20">
        <v>0</v>
      </c>
      <c r="B25" s="20">
        <v>1</v>
      </c>
      <c r="C25" s="20">
        <v>2</v>
      </c>
      <c r="D25" s="21" t="s">
        <v>405</v>
      </c>
      <c r="E25" s="21" t="s">
        <v>263</v>
      </c>
      <c r="F25" s="21" t="s">
        <v>406</v>
      </c>
      <c r="G25" s="21" t="s">
        <v>404</v>
      </c>
      <c r="H25" s="21" t="s">
        <v>165</v>
      </c>
      <c r="I25" s="20" t="s">
        <v>407</v>
      </c>
      <c r="J25" s="20">
        <v>99</v>
      </c>
      <c r="K25" s="20" t="s">
        <v>329</v>
      </c>
      <c r="L25" s="20" t="s">
        <v>852</v>
      </c>
      <c r="M25" s="21" t="s">
        <v>776</v>
      </c>
      <c r="N25" s="21"/>
      <c r="O25" s="7"/>
      <c r="P25" s="7"/>
      <c r="Q25" s="21"/>
      <c r="S25" s="2">
        <f t="shared" si="7"/>
        <v>0</v>
      </c>
      <c r="T25" s="2">
        <f t="shared" si="8"/>
        <v>0</v>
      </c>
      <c r="U25" s="2">
        <f t="shared" si="9"/>
        <v>0</v>
      </c>
      <c r="V25" s="2">
        <f t="shared" si="10"/>
        <v>0</v>
      </c>
      <c r="W25" s="2">
        <f t="shared" si="11"/>
        <v>0</v>
      </c>
      <c r="X25" s="2">
        <f t="shared" si="12"/>
        <v>0</v>
      </c>
      <c r="Y25" s="2">
        <f t="shared" si="13"/>
        <v>0</v>
      </c>
      <c r="Z25" s="2">
        <f t="shared" si="14"/>
        <v>0</v>
      </c>
      <c r="AA25" s="2">
        <f t="shared" si="15"/>
        <v>0</v>
      </c>
      <c r="AB25" s="2">
        <f t="shared" si="16"/>
        <v>0</v>
      </c>
      <c r="AD25" s="2">
        <f t="shared" si="17"/>
        <v>0</v>
      </c>
      <c r="AE25" s="2">
        <f t="shared" si="18"/>
        <v>0</v>
      </c>
      <c r="AF25" s="2">
        <f t="shared" si="19"/>
        <v>0</v>
      </c>
      <c r="AG25" s="2">
        <f t="shared" si="20"/>
        <v>0</v>
      </c>
      <c r="AH25" s="2">
        <f t="shared" si="21"/>
        <v>0</v>
      </c>
      <c r="AI25" s="2">
        <f t="shared" si="22"/>
        <v>1</v>
      </c>
    </row>
    <row r="26" spans="1:35" ht="14.25" customHeight="1" x14ac:dyDescent="0.25">
      <c r="A26" s="29">
        <v>0</v>
      </c>
      <c r="B26" s="29">
        <v>1</v>
      </c>
      <c r="C26" s="29">
        <v>2</v>
      </c>
      <c r="D26" s="30" t="s">
        <v>383</v>
      </c>
      <c r="E26" s="30" t="s">
        <v>262</v>
      </c>
      <c r="F26" s="30" t="s">
        <v>384</v>
      </c>
      <c r="G26" s="30" t="s">
        <v>586</v>
      </c>
      <c r="H26" s="30" t="s">
        <v>165</v>
      </c>
      <c r="I26" s="29" t="s">
        <v>385</v>
      </c>
      <c r="J26" s="29">
        <v>99</v>
      </c>
      <c r="K26" s="29" t="s">
        <v>377</v>
      </c>
      <c r="L26" s="29">
        <v>40</v>
      </c>
      <c r="M26" s="30" t="s">
        <v>206</v>
      </c>
      <c r="N26" s="30" t="s">
        <v>901</v>
      </c>
      <c r="O26" s="31">
        <v>1</v>
      </c>
      <c r="P26" s="31"/>
      <c r="Q26" s="30"/>
      <c r="S26" s="2">
        <f t="shared" si="7"/>
        <v>0</v>
      </c>
      <c r="T26" s="2">
        <f t="shared" si="8"/>
        <v>0</v>
      </c>
      <c r="U26" s="2">
        <f t="shared" si="9"/>
        <v>0</v>
      </c>
      <c r="V26" s="2">
        <f t="shared" si="10"/>
        <v>0</v>
      </c>
      <c r="W26" s="2">
        <f t="shared" si="11"/>
        <v>0</v>
      </c>
      <c r="X26" s="2">
        <f t="shared" si="12"/>
        <v>0</v>
      </c>
      <c r="Y26" s="2">
        <f t="shared" si="13"/>
        <v>0</v>
      </c>
      <c r="Z26" s="2">
        <f t="shared" si="14"/>
        <v>0</v>
      </c>
      <c r="AA26" s="2">
        <f t="shared" si="15"/>
        <v>0</v>
      </c>
      <c r="AB26" s="2">
        <f t="shared" si="16"/>
        <v>0</v>
      </c>
      <c r="AD26" s="2">
        <f t="shared" si="17"/>
        <v>0</v>
      </c>
      <c r="AE26" s="2">
        <f t="shared" si="18"/>
        <v>1</v>
      </c>
      <c r="AF26" s="2">
        <f t="shared" si="19"/>
        <v>0</v>
      </c>
      <c r="AG26" s="2">
        <f t="shared" si="20"/>
        <v>1</v>
      </c>
      <c r="AH26" s="2">
        <f t="shared" si="21"/>
        <v>0</v>
      </c>
      <c r="AI26" s="2">
        <f t="shared" si="22"/>
        <v>1</v>
      </c>
    </row>
    <row r="27" spans="1:35" ht="14.25" customHeight="1" x14ac:dyDescent="0.25">
      <c r="A27" s="29">
        <v>0</v>
      </c>
      <c r="B27" s="29">
        <v>1</v>
      </c>
      <c r="C27" s="29">
        <v>2</v>
      </c>
      <c r="D27" s="30" t="s">
        <v>60</v>
      </c>
      <c r="E27" s="30" t="s">
        <v>259</v>
      </c>
      <c r="F27" s="30" t="s">
        <v>128</v>
      </c>
      <c r="G27" s="30" t="s">
        <v>129</v>
      </c>
      <c r="H27" s="30" t="s">
        <v>165</v>
      </c>
      <c r="I27" s="29" t="s">
        <v>181</v>
      </c>
      <c r="J27" s="29">
        <v>99</v>
      </c>
      <c r="K27" s="29" t="s">
        <v>328</v>
      </c>
      <c r="L27" s="29" t="s">
        <v>40</v>
      </c>
      <c r="M27" s="30" t="s">
        <v>40</v>
      </c>
      <c r="N27" s="30" t="s">
        <v>886</v>
      </c>
      <c r="O27" s="31">
        <v>1</v>
      </c>
      <c r="P27" s="31">
        <v>1</v>
      </c>
      <c r="Q27" s="30"/>
      <c r="S27" s="2">
        <f t="shared" si="7"/>
        <v>0</v>
      </c>
      <c r="T27" s="2">
        <f t="shared" si="8"/>
        <v>0</v>
      </c>
      <c r="U27" s="2">
        <f t="shared" si="9"/>
        <v>0</v>
      </c>
      <c r="V27" s="2">
        <f t="shared" si="10"/>
        <v>0</v>
      </c>
      <c r="W27" s="2">
        <f t="shared" si="11"/>
        <v>0</v>
      </c>
      <c r="X27" s="2">
        <f t="shared" si="12"/>
        <v>0</v>
      </c>
      <c r="Y27" s="2">
        <f t="shared" si="13"/>
        <v>0</v>
      </c>
      <c r="Z27" s="2">
        <f t="shared" si="14"/>
        <v>0</v>
      </c>
      <c r="AA27" s="2">
        <f t="shared" si="15"/>
        <v>0</v>
      </c>
      <c r="AB27" s="2">
        <f t="shared" si="16"/>
        <v>0</v>
      </c>
      <c r="AD27" s="2">
        <f t="shared" si="17"/>
        <v>1</v>
      </c>
      <c r="AE27" s="2">
        <f t="shared" si="18"/>
        <v>0</v>
      </c>
      <c r="AF27" s="2">
        <f t="shared" si="19"/>
        <v>1</v>
      </c>
      <c r="AG27" s="2">
        <f t="shared" si="20"/>
        <v>0</v>
      </c>
      <c r="AH27" s="2">
        <f t="shared" si="21"/>
        <v>1</v>
      </c>
      <c r="AI27" s="2">
        <f t="shared" si="22"/>
        <v>0</v>
      </c>
    </row>
    <row r="28" spans="1:35" ht="14.25" customHeight="1" x14ac:dyDescent="0.25">
      <c r="A28" s="32">
        <v>0</v>
      </c>
      <c r="B28" s="32">
        <v>1</v>
      </c>
      <c r="C28" s="32">
        <v>2</v>
      </c>
      <c r="D28" s="33" t="s">
        <v>280</v>
      </c>
      <c r="E28" s="33" t="s">
        <v>263</v>
      </c>
      <c r="F28" s="33" t="s">
        <v>281</v>
      </c>
      <c r="G28" s="33" t="s">
        <v>109</v>
      </c>
      <c r="H28" s="33" t="s">
        <v>165</v>
      </c>
      <c r="I28" s="32" t="s">
        <v>282</v>
      </c>
      <c r="J28" s="32">
        <v>99</v>
      </c>
      <c r="K28" s="32" t="s">
        <v>329</v>
      </c>
      <c r="L28" s="32" t="s">
        <v>342</v>
      </c>
      <c r="M28" s="33" t="s">
        <v>206</v>
      </c>
      <c r="N28" s="33" t="s">
        <v>887</v>
      </c>
      <c r="O28" s="34"/>
      <c r="P28" s="34"/>
      <c r="Q28" s="33"/>
      <c r="S28" s="2">
        <f t="shared" si="7"/>
        <v>0</v>
      </c>
      <c r="T28" s="2">
        <f t="shared" si="8"/>
        <v>0</v>
      </c>
      <c r="U28" s="2">
        <f t="shared" si="9"/>
        <v>0</v>
      </c>
      <c r="V28" s="2">
        <f t="shared" si="10"/>
        <v>0</v>
      </c>
      <c r="W28" s="2">
        <f t="shared" si="11"/>
        <v>0</v>
      </c>
      <c r="X28" s="2">
        <f t="shared" si="12"/>
        <v>0</v>
      </c>
      <c r="Y28" s="2">
        <f t="shared" si="13"/>
        <v>0</v>
      </c>
      <c r="Z28" s="2">
        <f t="shared" si="14"/>
        <v>0</v>
      </c>
      <c r="AA28" s="2">
        <f t="shared" si="15"/>
        <v>0</v>
      </c>
      <c r="AB28" s="2">
        <f t="shared" si="16"/>
        <v>0</v>
      </c>
      <c r="AD28" s="2">
        <f t="shared" si="17"/>
        <v>0</v>
      </c>
      <c r="AE28" s="2">
        <f t="shared" si="18"/>
        <v>0</v>
      </c>
      <c r="AF28" s="2">
        <f t="shared" si="19"/>
        <v>0</v>
      </c>
      <c r="AG28" s="2">
        <f t="shared" si="20"/>
        <v>0</v>
      </c>
      <c r="AH28" s="2">
        <f t="shared" si="21"/>
        <v>0</v>
      </c>
      <c r="AI28" s="2">
        <f t="shared" si="22"/>
        <v>1</v>
      </c>
    </row>
    <row r="29" spans="1:35" ht="14.25" customHeight="1" x14ac:dyDescent="0.25">
      <c r="A29" s="32">
        <v>0</v>
      </c>
      <c r="B29" s="32">
        <v>1</v>
      </c>
      <c r="C29" s="32">
        <v>2</v>
      </c>
      <c r="D29" s="33" t="s">
        <v>434</v>
      </c>
      <c r="E29" s="33" t="s">
        <v>262</v>
      </c>
      <c r="F29" s="33" t="s">
        <v>433</v>
      </c>
      <c r="G29" s="33" t="s">
        <v>125</v>
      </c>
      <c r="H29" s="33" t="s">
        <v>165</v>
      </c>
      <c r="I29" s="32" t="s">
        <v>435</v>
      </c>
      <c r="J29" s="32">
        <v>99</v>
      </c>
      <c r="K29" s="32" t="s">
        <v>377</v>
      </c>
      <c r="L29" s="32">
        <v>150</v>
      </c>
      <c r="M29" s="33" t="s">
        <v>872</v>
      </c>
      <c r="N29" s="33" t="s">
        <v>890</v>
      </c>
      <c r="O29" s="34"/>
      <c r="P29" s="34"/>
      <c r="Q29" s="33"/>
      <c r="S29" s="2">
        <f t="shared" si="7"/>
        <v>0</v>
      </c>
      <c r="T29" s="2">
        <f t="shared" si="8"/>
        <v>0</v>
      </c>
      <c r="U29" s="2">
        <f t="shared" si="9"/>
        <v>0</v>
      </c>
      <c r="V29" s="2">
        <f t="shared" si="10"/>
        <v>0</v>
      </c>
      <c r="W29" s="2">
        <f t="shared" si="11"/>
        <v>0</v>
      </c>
      <c r="X29" s="2">
        <f t="shared" si="12"/>
        <v>0</v>
      </c>
      <c r="Y29" s="2">
        <f t="shared" si="13"/>
        <v>0</v>
      </c>
      <c r="Z29" s="2">
        <f t="shared" si="14"/>
        <v>0</v>
      </c>
      <c r="AA29" s="2">
        <f t="shared" si="15"/>
        <v>0</v>
      </c>
      <c r="AB29" s="2">
        <f t="shared" si="16"/>
        <v>0</v>
      </c>
      <c r="AD29" s="2">
        <f t="shared" si="17"/>
        <v>0</v>
      </c>
      <c r="AE29" s="2">
        <f t="shared" si="18"/>
        <v>0</v>
      </c>
      <c r="AF29" s="2">
        <f t="shared" si="19"/>
        <v>0</v>
      </c>
      <c r="AG29" s="2">
        <f t="shared" si="20"/>
        <v>0</v>
      </c>
      <c r="AH29" s="2">
        <f t="shared" si="21"/>
        <v>0</v>
      </c>
      <c r="AI29" s="2">
        <f t="shared" si="22"/>
        <v>1</v>
      </c>
    </row>
    <row r="30" spans="1:35" ht="14.25" customHeight="1" x14ac:dyDescent="0.25">
      <c r="A30" s="29">
        <v>0</v>
      </c>
      <c r="B30" s="29">
        <v>1</v>
      </c>
      <c r="C30" s="29">
        <v>2</v>
      </c>
      <c r="D30" s="30" t="s">
        <v>347</v>
      </c>
      <c r="E30" s="30" t="s">
        <v>262</v>
      </c>
      <c r="F30" s="30" t="s">
        <v>363</v>
      </c>
      <c r="G30" s="30" t="s">
        <v>40</v>
      </c>
      <c r="H30" s="30" t="s">
        <v>165</v>
      </c>
      <c r="I30" s="29" t="s">
        <v>370</v>
      </c>
      <c r="J30" s="29">
        <v>99</v>
      </c>
      <c r="K30" s="29" t="s">
        <v>322</v>
      </c>
      <c r="L30" s="29">
        <v>90</v>
      </c>
      <c r="M30" s="30" t="s">
        <v>898</v>
      </c>
      <c r="N30" s="30" t="s">
        <v>905</v>
      </c>
      <c r="O30" s="31">
        <v>1</v>
      </c>
      <c r="P30" s="31"/>
      <c r="Q30" s="30"/>
      <c r="S30" s="2">
        <f t="shared" si="7"/>
        <v>0</v>
      </c>
      <c r="T30" s="2">
        <f t="shared" si="8"/>
        <v>0</v>
      </c>
      <c r="U30" s="2">
        <f t="shared" si="9"/>
        <v>0</v>
      </c>
      <c r="V30" s="2">
        <f t="shared" si="10"/>
        <v>0</v>
      </c>
      <c r="W30" s="2">
        <f t="shared" si="11"/>
        <v>0</v>
      </c>
      <c r="X30" s="2">
        <f t="shared" si="12"/>
        <v>0</v>
      </c>
      <c r="Y30" s="2">
        <f t="shared" si="13"/>
        <v>0</v>
      </c>
      <c r="Z30" s="2">
        <f t="shared" si="14"/>
        <v>0</v>
      </c>
      <c r="AA30" s="2">
        <f t="shared" si="15"/>
        <v>0</v>
      </c>
      <c r="AB30" s="2">
        <f t="shared" si="16"/>
        <v>0</v>
      </c>
      <c r="AD30" s="2">
        <f t="shared" si="17"/>
        <v>0</v>
      </c>
      <c r="AE30" s="2">
        <f t="shared" si="18"/>
        <v>1</v>
      </c>
      <c r="AF30" s="2">
        <f t="shared" si="19"/>
        <v>0</v>
      </c>
      <c r="AG30" s="2">
        <f t="shared" si="20"/>
        <v>1</v>
      </c>
      <c r="AH30" s="2">
        <f t="shared" si="21"/>
        <v>0</v>
      </c>
      <c r="AI30" s="2">
        <f t="shared" si="22"/>
        <v>1</v>
      </c>
    </row>
    <row r="31" spans="1:35" ht="14.25" customHeight="1" x14ac:dyDescent="0.25">
      <c r="A31" s="29">
        <v>0</v>
      </c>
      <c r="B31" s="29">
        <v>1</v>
      </c>
      <c r="C31" s="29">
        <v>2</v>
      </c>
      <c r="D31" s="30" t="s">
        <v>219</v>
      </c>
      <c r="E31" s="30" t="s">
        <v>263</v>
      </c>
      <c r="F31" s="30" t="s">
        <v>220</v>
      </c>
      <c r="G31" s="30" t="s">
        <v>103</v>
      </c>
      <c r="H31" s="30" t="s">
        <v>165</v>
      </c>
      <c r="I31" s="29" t="s">
        <v>221</v>
      </c>
      <c r="J31" s="29">
        <v>6</v>
      </c>
      <c r="K31" s="29" t="s">
        <v>326</v>
      </c>
      <c r="L31" s="29" t="s">
        <v>343</v>
      </c>
      <c r="M31" s="30" t="s">
        <v>344</v>
      </c>
      <c r="N31" s="30" t="s">
        <v>894</v>
      </c>
      <c r="O31" s="31">
        <v>1</v>
      </c>
      <c r="P31" s="31"/>
      <c r="Q31" s="30"/>
      <c r="S31" s="2">
        <f t="shared" si="7"/>
        <v>0</v>
      </c>
      <c r="T31" s="2">
        <f t="shared" si="8"/>
        <v>0</v>
      </c>
      <c r="U31" s="2">
        <f t="shared" si="9"/>
        <v>0</v>
      </c>
      <c r="V31" s="2">
        <f t="shared" si="10"/>
        <v>0</v>
      </c>
      <c r="W31" s="2">
        <f t="shared" si="11"/>
        <v>0</v>
      </c>
      <c r="X31" s="2">
        <f t="shared" si="12"/>
        <v>1</v>
      </c>
      <c r="Y31" s="2">
        <f t="shared" si="13"/>
        <v>0</v>
      </c>
      <c r="Z31" s="2">
        <f t="shared" si="14"/>
        <v>0</v>
      </c>
      <c r="AA31" s="2">
        <f t="shared" si="15"/>
        <v>0</v>
      </c>
      <c r="AB31" s="2">
        <f t="shared" si="16"/>
        <v>0</v>
      </c>
      <c r="AD31" s="2">
        <f t="shared" si="17"/>
        <v>0</v>
      </c>
      <c r="AE31" s="2">
        <f t="shared" si="18"/>
        <v>1</v>
      </c>
      <c r="AF31" s="2">
        <f t="shared" si="19"/>
        <v>0</v>
      </c>
      <c r="AG31" s="2">
        <f t="shared" si="20"/>
        <v>1</v>
      </c>
      <c r="AH31" s="2">
        <f t="shared" si="21"/>
        <v>0</v>
      </c>
      <c r="AI31" s="2">
        <f t="shared" si="22"/>
        <v>1</v>
      </c>
    </row>
    <row r="32" spans="1:35" ht="14.25" customHeight="1" x14ac:dyDescent="0.25">
      <c r="A32" s="20">
        <v>0</v>
      </c>
      <c r="B32" s="20">
        <v>1</v>
      </c>
      <c r="C32" s="20">
        <v>2</v>
      </c>
      <c r="D32" s="21" t="s">
        <v>799</v>
      </c>
      <c r="E32" s="21" t="s">
        <v>262</v>
      </c>
      <c r="F32" s="21" t="s">
        <v>750</v>
      </c>
      <c r="G32" s="21" t="s">
        <v>686</v>
      </c>
      <c r="H32" s="21" t="s">
        <v>165</v>
      </c>
      <c r="I32" s="20" t="s">
        <v>842</v>
      </c>
      <c r="J32" s="20">
        <v>4</v>
      </c>
      <c r="K32" s="20" t="s">
        <v>326</v>
      </c>
      <c r="L32" s="20">
        <v>130</v>
      </c>
      <c r="M32" s="21" t="s">
        <v>873</v>
      </c>
      <c r="N32" s="21"/>
      <c r="O32" s="7"/>
      <c r="P32" s="7"/>
      <c r="Q32" s="21"/>
      <c r="S32" s="2">
        <f t="shared" si="7"/>
        <v>0</v>
      </c>
      <c r="T32" s="2">
        <f t="shared" si="8"/>
        <v>0</v>
      </c>
      <c r="U32" s="2">
        <f t="shared" si="9"/>
        <v>0</v>
      </c>
      <c r="V32" s="2">
        <f t="shared" si="10"/>
        <v>1</v>
      </c>
      <c r="W32" s="2">
        <f t="shared" si="11"/>
        <v>0</v>
      </c>
      <c r="X32" s="2">
        <f t="shared" si="12"/>
        <v>0</v>
      </c>
      <c r="Y32" s="2">
        <f t="shared" si="13"/>
        <v>0</v>
      </c>
      <c r="Z32" s="2">
        <f t="shared" si="14"/>
        <v>0</v>
      </c>
      <c r="AA32" s="2">
        <f t="shared" si="15"/>
        <v>0</v>
      </c>
      <c r="AB32" s="2">
        <f t="shared" si="16"/>
        <v>0</v>
      </c>
      <c r="AD32" s="2">
        <f t="shared" si="17"/>
        <v>0</v>
      </c>
      <c r="AE32" s="2">
        <f t="shared" si="18"/>
        <v>0</v>
      </c>
      <c r="AF32" s="2">
        <f t="shared" si="19"/>
        <v>0</v>
      </c>
      <c r="AG32" s="2">
        <f t="shared" si="20"/>
        <v>0</v>
      </c>
      <c r="AH32" s="2">
        <f t="shared" si="21"/>
        <v>0</v>
      </c>
      <c r="AI32" s="2">
        <f t="shared" si="22"/>
        <v>1</v>
      </c>
    </row>
    <row r="33" spans="1:16384" s="3" customFormat="1" ht="14.25" customHeight="1" x14ac:dyDescent="0.25">
      <c r="A33" s="29">
        <v>0</v>
      </c>
      <c r="B33" s="29">
        <v>1</v>
      </c>
      <c r="C33" s="29">
        <v>2</v>
      </c>
      <c r="D33" s="30" t="s">
        <v>414</v>
      </c>
      <c r="E33" s="30" t="s">
        <v>262</v>
      </c>
      <c r="F33" s="30" t="s">
        <v>415</v>
      </c>
      <c r="G33" s="30" t="s">
        <v>96</v>
      </c>
      <c r="H33" s="30" t="s">
        <v>165</v>
      </c>
      <c r="I33" s="29" t="s">
        <v>416</v>
      </c>
      <c r="J33" s="29">
        <v>3</v>
      </c>
      <c r="K33" s="29" t="s">
        <v>330</v>
      </c>
      <c r="L33" s="29" t="s">
        <v>40</v>
      </c>
      <c r="M33" s="30" t="s">
        <v>40</v>
      </c>
      <c r="N33" s="30" t="s">
        <v>886</v>
      </c>
      <c r="O33" s="31">
        <v>1</v>
      </c>
      <c r="P33" s="31">
        <v>1</v>
      </c>
      <c r="Q33" s="30"/>
      <c r="R33" s="2"/>
      <c r="S33" s="2">
        <f t="shared" si="7"/>
        <v>0</v>
      </c>
      <c r="T33" s="2">
        <f t="shared" si="8"/>
        <v>0</v>
      </c>
      <c r="U33" s="2">
        <f t="shared" si="9"/>
        <v>1</v>
      </c>
      <c r="V33" s="2">
        <f t="shared" si="10"/>
        <v>0</v>
      </c>
      <c r="W33" s="2">
        <f t="shared" si="11"/>
        <v>0</v>
      </c>
      <c r="X33" s="2">
        <f t="shared" si="12"/>
        <v>0</v>
      </c>
      <c r="Y33" s="2">
        <f t="shared" si="13"/>
        <v>0</v>
      </c>
      <c r="Z33" s="2">
        <f t="shared" si="14"/>
        <v>0</v>
      </c>
      <c r="AA33" s="2">
        <f t="shared" si="15"/>
        <v>0</v>
      </c>
      <c r="AB33" s="2">
        <f t="shared" si="16"/>
        <v>0</v>
      </c>
      <c r="AC33" s="2"/>
      <c r="AD33" s="2">
        <f t="shared" si="17"/>
        <v>1</v>
      </c>
      <c r="AE33" s="2">
        <f t="shared" si="18"/>
        <v>0</v>
      </c>
      <c r="AF33" s="2">
        <f t="shared" si="19"/>
        <v>1</v>
      </c>
      <c r="AG33" s="2">
        <f t="shared" si="20"/>
        <v>0</v>
      </c>
      <c r="AH33" s="2">
        <f t="shared" si="21"/>
        <v>1</v>
      </c>
      <c r="AI33" s="2">
        <f t="shared" si="22"/>
        <v>0</v>
      </c>
    </row>
    <row r="34" spans="1:16384" s="3" customFormat="1" ht="14.25" customHeight="1" x14ac:dyDescent="0.25">
      <c r="A34" s="29">
        <v>0</v>
      </c>
      <c r="B34" s="29">
        <v>1</v>
      </c>
      <c r="C34" s="29">
        <v>2</v>
      </c>
      <c r="D34" s="30" t="s">
        <v>631</v>
      </c>
      <c r="E34" s="30" t="s">
        <v>262</v>
      </c>
      <c r="F34" s="30" t="s">
        <v>688</v>
      </c>
      <c r="G34" s="30" t="s">
        <v>93</v>
      </c>
      <c r="H34" s="30" t="s">
        <v>165</v>
      </c>
      <c r="I34" s="29" t="s">
        <v>632</v>
      </c>
      <c r="J34" s="29">
        <v>8</v>
      </c>
      <c r="K34" s="29" t="s">
        <v>325</v>
      </c>
      <c r="L34" s="29">
        <v>45</v>
      </c>
      <c r="M34" s="30" t="s">
        <v>874</v>
      </c>
      <c r="N34" s="30" t="s">
        <v>899</v>
      </c>
      <c r="O34" s="31">
        <v>1</v>
      </c>
      <c r="P34" s="31"/>
      <c r="Q34" s="30"/>
      <c r="R34" s="2"/>
      <c r="S34" s="2">
        <f t="shared" si="7"/>
        <v>0</v>
      </c>
      <c r="T34" s="2">
        <f t="shared" si="8"/>
        <v>0</v>
      </c>
      <c r="U34" s="2">
        <f t="shared" si="9"/>
        <v>0</v>
      </c>
      <c r="V34" s="2">
        <f t="shared" si="10"/>
        <v>0</v>
      </c>
      <c r="W34" s="2">
        <f t="shared" si="11"/>
        <v>0</v>
      </c>
      <c r="X34" s="2">
        <f t="shared" si="12"/>
        <v>0</v>
      </c>
      <c r="Y34" s="2">
        <f t="shared" si="13"/>
        <v>0</v>
      </c>
      <c r="Z34" s="2">
        <f t="shared" si="14"/>
        <v>1</v>
      </c>
      <c r="AA34" s="2">
        <f t="shared" si="15"/>
        <v>0</v>
      </c>
      <c r="AB34" s="2">
        <f t="shared" si="16"/>
        <v>0</v>
      </c>
      <c r="AC34" s="2"/>
      <c r="AD34" s="2">
        <f t="shared" si="17"/>
        <v>0</v>
      </c>
      <c r="AE34" s="2">
        <f t="shared" si="18"/>
        <v>1</v>
      </c>
      <c r="AF34" s="2">
        <f t="shared" si="19"/>
        <v>0</v>
      </c>
      <c r="AG34" s="2">
        <f t="shared" si="20"/>
        <v>1</v>
      </c>
      <c r="AH34" s="2">
        <f t="shared" si="21"/>
        <v>0</v>
      </c>
      <c r="AI34" s="2">
        <f t="shared" si="22"/>
        <v>1</v>
      </c>
    </row>
    <row r="35" spans="1:16384" s="3" customFormat="1" ht="14.25" customHeight="1" x14ac:dyDescent="0.25">
      <c r="A35" s="20">
        <v>0</v>
      </c>
      <c r="B35" s="20">
        <v>1</v>
      </c>
      <c r="C35" s="20">
        <v>3</v>
      </c>
      <c r="D35" s="21" t="s">
        <v>386</v>
      </c>
      <c r="E35" s="21" t="s">
        <v>259</v>
      </c>
      <c r="F35" s="21" t="s">
        <v>387</v>
      </c>
      <c r="G35" s="21" t="s">
        <v>157</v>
      </c>
      <c r="H35" s="21" t="s">
        <v>165</v>
      </c>
      <c r="I35" s="20" t="s">
        <v>388</v>
      </c>
      <c r="J35" s="20">
        <v>99</v>
      </c>
      <c r="K35" s="20" t="s">
        <v>330</v>
      </c>
      <c r="L35" s="20">
        <v>65</v>
      </c>
      <c r="M35" s="21" t="s">
        <v>737</v>
      </c>
      <c r="N35" s="21"/>
      <c r="O35" s="7"/>
      <c r="P35" s="7"/>
      <c r="Q35" s="21"/>
      <c r="R35" s="2"/>
      <c r="S35" s="2">
        <f t="shared" si="7"/>
        <v>0</v>
      </c>
      <c r="T35" s="2">
        <f t="shared" si="8"/>
        <v>0</v>
      </c>
      <c r="U35" s="2">
        <f t="shared" si="9"/>
        <v>0</v>
      </c>
      <c r="V35" s="2">
        <f t="shared" si="10"/>
        <v>0</v>
      </c>
      <c r="W35" s="2">
        <f t="shared" si="11"/>
        <v>0</v>
      </c>
      <c r="X35" s="2">
        <f t="shared" si="12"/>
        <v>0</v>
      </c>
      <c r="Y35" s="2">
        <f t="shared" si="13"/>
        <v>0</v>
      </c>
      <c r="Z35" s="2">
        <f t="shared" si="14"/>
        <v>0</v>
      </c>
      <c r="AA35" s="2">
        <f t="shared" si="15"/>
        <v>0</v>
      </c>
      <c r="AB35" s="2">
        <f t="shared" si="16"/>
        <v>0</v>
      </c>
      <c r="AC35" s="2"/>
      <c r="AD35" s="2">
        <f t="shared" si="17"/>
        <v>0</v>
      </c>
      <c r="AE35" s="2">
        <f t="shared" si="18"/>
        <v>0</v>
      </c>
      <c r="AF35" s="2">
        <f t="shared" si="19"/>
        <v>0</v>
      </c>
      <c r="AG35" s="2">
        <f t="shared" si="20"/>
        <v>0</v>
      </c>
      <c r="AH35" s="2">
        <f t="shared" si="21"/>
        <v>0</v>
      </c>
      <c r="AI35" s="2">
        <f t="shared" si="22"/>
        <v>1</v>
      </c>
    </row>
    <row r="36" spans="1:16384" s="3" customFormat="1" ht="14.25" customHeight="1" x14ac:dyDescent="0.25">
      <c r="A36" s="29">
        <v>0</v>
      </c>
      <c r="B36" s="29">
        <v>1</v>
      </c>
      <c r="C36" s="29">
        <v>3</v>
      </c>
      <c r="D36" s="30" t="s">
        <v>302</v>
      </c>
      <c r="E36" s="30" t="s">
        <v>263</v>
      </c>
      <c r="F36" s="30" t="s">
        <v>312</v>
      </c>
      <c r="G36" s="30" t="s">
        <v>40</v>
      </c>
      <c r="H36" s="30" t="s">
        <v>303</v>
      </c>
      <c r="I36" s="29" t="s">
        <v>304</v>
      </c>
      <c r="J36" s="29">
        <v>99</v>
      </c>
      <c r="K36" s="29" t="s">
        <v>377</v>
      </c>
      <c r="L36" s="29">
        <v>90</v>
      </c>
      <c r="M36" s="30" t="s">
        <v>596</v>
      </c>
      <c r="N36" s="30" t="s">
        <v>905</v>
      </c>
      <c r="O36" s="31">
        <v>1</v>
      </c>
      <c r="P36" s="31"/>
      <c r="Q36" s="30"/>
      <c r="R36" s="2"/>
      <c r="S36" s="2">
        <f t="shared" si="7"/>
        <v>0</v>
      </c>
      <c r="T36" s="2">
        <f t="shared" si="8"/>
        <v>0</v>
      </c>
      <c r="U36" s="2">
        <f t="shared" si="9"/>
        <v>0</v>
      </c>
      <c r="V36" s="2">
        <f t="shared" si="10"/>
        <v>0</v>
      </c>
      <c r="W36" s="2">
        <f t="shared" si="11"/>
        <v>0</v>
      </c>
      <c r="X36" s="2">
        <f t="shared" si="12"/>
        <v>0</v>
      </c>
      <c r="Y36" s="2">
        <f t="shared" si="13"/>
        <v>0</v>
      </c>
      <c r="Z36" s="2">
        <f t="shared" si="14"/>
        <v>0</v>
      </c>
      <c r="AA36" s="2">
        <f t="shared" si="15"/>
        <v>0</v>
      </c>
      <c r="AB36" s="2">
        <f t="shared" si="16"/>
        <v>0</v>
      </c>
      <c r="AC36" s="2"/>
      <c r="AD36" s="2">
        <f t="shared" si="17"/>
        <v>0</v>
      </c>
      <c r="AE36" s="2">
        <f t="shared" si="18"/>
        <v>1</v>
      </c>
      <c r="AF36" s="2">
        <f t="shared" si="19"/>
        <v>0</v>
      </c>
      <c r="AG36" s="2">
        <f t="shared" si="20"/>
        <v>1</v>
      </c>
      <c r="AH36" s="2">
        <f t="shared" si="21"/>
        <v>0</v>
      </c>
      <c r="AI36" s="2">
        <f t="shared" si="22"/>
        <v>1</v>
      </c>
    </row>
    <row r="37" spans="1:16384" s="3" customFormat="1" ht="14.25" customHeight="1" x14ac:dyDescent="0.25">
      <c r="A37" s="29">
        <v>0</v>
      </c>
      <c r="B37" s="29">
        <v>1</v>
      </c>
      <c r="C37" s="29">
        <v>3</v>
      </c>
      <c r="D37" s="30" t="s">
        <v>437</v>
      </c>
      <c r="E37" s="30" t="s">
        <v>259</v>
      </c>
      <c r="F37" s="30" t="s">
        <v>438</v>
      </c>
      <c r="G37" s="30" t="s">
        <v>439</v>
      </c>
      <c r="H37" s="30" t="s">
        <v>165</v>
      </c>
      <c r="I37" s="29" t="s">
        <v>440</v>
      </c>
      <c r="J37" s="29">
        <v>99</v>
      </c>
      <c r="K37" s="29" t="s">
        <v>377</v>
      </c>
      <c r="L37" s="29">
        <v>60</v>
      </c>
      <c r="M37" s="30" t="s">
        <v>597</v>
      </c>
      <c r="N37" s="30" t="s">
        <v>886</v>
      </c>
      <c r="O37" s="31">
        <v>1</v>
      </c>
      <c r="P37" s="31">
        <v>1</v>
      </c>
      <c r="Q37" s="30"/>
      <c r="R37" s="2"/>
      <c r="S37" s="2">
        <f t="shared" si="7"/>
        <v>0</v>
      </c>
      <c r="T37" s="2">
        <f t="shared" si="8"/>
        <v>0</v>
      </c>
      <c r="U37" s="2">
        <f t="shared" si="9"/>
        <v>0</v>
      </c>
      <c r="V37" s="2">
        <f t="shared" si="10"/>
        <v>0</v>
      </c>
      <c r="W37" s="2">
        <f t="shared" si="11"/>
        <v>0</v>
      </c>
      <c r="X37" s="2">
        <f t="shared" si="12"/>
        <v>0</v>
      </c>
      <c r="Y37" s="2">
        <f t="shared" si="13"/>
        <v>0</v>
      </c>
      <c r="Z37" s="2">
        <f t="shared" si="14"/>
        <v>0</v>
      </c>
      <c r="AA37" s="2">
        <f t="shared" si="15"/>
        <v>0</v>
      </c>
      <c r="AB37" s="2">
        <f t="shared" si="16"/>
        <v>0</v>
      </c>
      <c r="AC37" s="2"/>
      <c r="AD37" s="2">
        <f t="shared" si="17"/>
        <v>1</v>
      </c>
      <c r="AE37" s="2">
        <f t="shared" si="18"/>
        <v>0</v>
      </c>
      <c r="AF37" s="2">
        <f t="shared" si="19"/>
        <v>1</v>
      </c>
      <c r="AG37" s="2">
        <f t="shared" si="20"/>
        <v>0</v>
      </c>
      <c r="AH37" s="2">
        <f t="shared" si="21"/>
        <v>1</v>
      </c>
      <c r="AI37" s="2">
        <f t="shared" si="22"/>
        <v>0</v>
      </c>
    </row>
    <row r="38" spans="1:16384" s="3" customFormat="1" ht="14.25" customHeight="1" x14ac:dyDescent="0.25">
      <c r="A38" s="20">
        <v>0</v>
      </c>
      <c r="B38" s="20">
        <v>1</v>
      </c>
      <c r="C38" s="20">
        <v>3</v>
      </c>
      <c r="D38" s="21" t="s">
        <v>806</v>
      </c>
      <c r="E38" s="21" t="s">
        <v>498</v>
      </c>
      <c r="F38" s="21" t="s">
        <v>499</v>
      </c>
      <c r="G38" s="21" t="s">
        <v>93</v>
      </c>
      <c r="H38" s="21" t="s">
        <v>165</v>
      </c>
      <c r="I38" s="20" t="s">
        <v>500</v>
      </c>
      <c r="J38" s="20">
        <v>8</v>
      </c>
      <c r="K38" s="20" t="s">
        <v>329</v>
      </c>
      <c r="L38" s="20" t="s">
        <v>849</v>
      </c>
      <c r="M38" s="21" t="s">
        <v>597</v>
      </c>
      <c r="N38" s="21"/>
      <c r="O38" s="7"/>
      <c r="P38" s="7"/>
      <c r="Q38" s="21"/>
      <c r="R38" s="2"/>
      <c r="S38" s="2">
        <f t="shared" si="7"/>
        <v>0</v>
      </c>
      <c r="T38" s="2">
        <f t="shared" si="8"/>
        <v>0</v>
      </c>
      <c r="U38" s="2">
        <f t="shared" si="9"/>
        <v>0</v>
      </c>
      <c r="V38" s="2">
        <f t="shared" si="10"/>
        <v>0</v>
      </c>
      <c r="W38" s="2">
        <f t="shared" si="11"/>
        <v>0</v>
      </c>
      <c r="X38" s="2">
        <f t="shared" si="12"/>
        <v>0</v>
      </c>
      <c r="Y38" s="2">
        <f t="shared" si="13"/>
        <v>0</v>
      </c>
      <c r="Z38" s="2">
        <f t="shared" si="14"/>
        <v>1</v>
      </c>
      <c r="AA38" s="2">
        <f t="shared" si="15"/>
        <v>0</v>
      </c>
      <c r="AB38" s="2">
        <f t="shared" si="16"/>
        <v>0</v>
      </c>
      <c r="AC38" s="2"/>
      <c r="AD38" s="2">
        <f t="shared" si="17"/>
        <v>0</v>
      </c>
      <c r="AE38" s="2">
        <f t="shared" si="18"/>
        <v>0</v>
      </c>
      <c r="AF38" s="2">
        <f t="shared" si="19"/>
        <v>0</v>
      </c>
      <c r="AG38" s="2">
        <f t="shared" si="20"/>
        <v>0</v>
      </c>
      <c r="AH38" s="2">
        <f t="shared" si="21"/>
        <v>0</v>
      </c>
      <c r="AI38" s="2">
        <f t="shared" si="22"/>
        <v>1</v>
      </c>
    </row>
    <row r="39" spans="1:16384" s="3" customFormat="1" ht="14.25" customHeight="1" x14ac:dyDescent="0.25">
      <c r="A39" s="29">
        <v>0</v>
      </c>
      <c r="B39" s="29">
        <v>1</v>
      </c>
      <c r="C39" s="29">
        <v>3</v>
      </c>
      <c r="D39" s="30" t="s">
        <v>511</v>
      </c>
      <c r="E39" s="30" t="s">
        <v>673</v>
      </c>
      <c r="F39" s="30" t="s">
        <v>512</v>
      </c>
      <c r="G39" s="30" t="s">
        <v>39</v>
      </c>
      <c r="H39" s="30" t="s">
        <v>165</v>
      </c>
      <c r="I39" s="29" t="s">
        <v>513</v>
      </c>
      <c r="J39" s="29">
        <v>8</v>
      </c>
      <c r="K39" s="29" t="s">
        <v>326</v>
      </c>
      <c r="L39" s="29" t="s">
        <v>853</v>
      </c>
      <c r="M39" s="30" t="s">
        <v>738</v>
      </c>
      <c r="N39" s="30" t="s">
        <v>905</v>
      </c>
      <c r="O39" s="31">
        <v>1</v>
      </c>
      <c r="P39" s="31"/>
      <c r="Q39" s="30"/>
      <c r="R39" s="2"/>
      <c r="S39" s="2">
        <f t="shared" si="7"/>
        <v>0</v>
      </c>
      <c r="T39" s="2">
        <f t="shared" si="8"/>
        <v>0</v>
      </c>
      <c r="U39" s="2">
        <f t="shared" si="9"/>
        <v>0</v>
      </c>
      <c r="V39" s="2">
        <f t="shared" si="10"/>
        <v>0</v>
      </c>
      <c r="W39" s="2">
        <f t="shared" si="11"/>
        <v>0</v>
      </c>
      <c r="X39" s="2">
        <f t="shared" si="12"/>
        <v>0</v>
      </c>
      <c r="Y39" s="2">
        <f t="shared" si="13"/>
        <v>0</v>
      </c>
      <c r="Z39" s="2">
        <f t="shared" si="14"/>
        <v>1</v>
      </c>
      <c r="AA39" s="2">
        <f t="shared" si="15"/>
        <v>0</v>
      </c>
      <c r="AB39" s="2">
        <f t="shared" si="16"/>
        <v>0</v>
      </c>
      <c r="AC39" s="2"/>
      <c r="AD39" s="2">
        <f t="shared" si="17"/>
        <v>0</v>
      </c>
      <c r="AE39" s="2">
        <f t="shared" si="18"/>
        <v>1</v>
      </c>
      <c r="AF39" s="2">
        <f t="shared" si="19"/>
        <v>0</v>
      </c>
      <c r="AG39" s="2">
        <f t="shared" si="20"/>
        <v>1</v>
      </c>
      <c r="AH39" s="2">
        <f t="shared" si="21"/>
        <v>0</v>
      </c>
      <c r="AI39" s="2">
        <f t="shared" si="22"/>
        <v>1</v>
      </c>
    </row>
    <row r="40" spans="1:16384" s="3" customFormat="1" ht="14.25" customHeight="1" x14ac:dyDescent="0.25">
      <c r="A40" s="32">
        <v>0</v>
      </c>
      <c r="B40" s="32">
        <v>1</v>
      </c>
      <c r="C40" s="32">
        <v>3</v>
      </c>
      <c r="D40" s="33" t="s">
        <v>77</v>
      </c>
      <c r="E40" s="33" t="s">
        <v>259</v>
      </c>
      <c r="F40" s="33" t="s">
        <v>256</v>
      </c>
      <c r="G40" s="33" t="s">
        <v>148</v>
      </c>
      <c r="H40" s="33" t="s">
        <v>165</v>
      </c>
      <c r="I40" s="32" t="s">
        <v>201</v>
      </c>
      <c r="J40" s="32">
        <v>99</v>
      </c>
      <c r="K40" s="32" t="s">
        <v>326</v>
      </c>
      <c r="L40" s="32" t="s">
        <v>857</v>
      </c>
      <c r="M40" s="33" t="s">
        <v>780</v>
      </c>
      <c r="N40" s="33" t="s">
        <v>902</v>
      </c>
      <c r="O40" s="34"/>
      <c r="P40" s="34"/>
      <c r="Q40" s="33"/>
      <c r="R40" s="2"/>
      <c r="S40" s="2">
        <f t="shared" si="7"/>
        <v>0</v>
      </c>
      <c r="T40" s="2">
        <f t="shared" si="8"/>
        <v>0</v>
      </c>
      <c r="U40" s="2">
        <f t="shared" si="9"/>
        <v>0</v>
      </c>
      <c r="V40" s="2">
        <f t="shared" si="10"/>
        <v>0</v>
      </c>
      <c r="W40" s="2">
        <f t="shared" si="11"/>
        <v>0</v>
      </c>
      <c r="X40" s="2">
        <f t="shared" si="12"/>
        <v>0</v>
      </c>
      <c r="Y40" s="2">
        <f t="shared" si="13"/>
        <v>0</v>
      </c>
      <c r="Z40" s="2">
        <f t="shared" si="14"/>
        <v>0</v>
      </c>
      <c r="AA40" s="2">
        <f t="shared" si="15"/>
        <v>0</v>
      </c>
      <c r="AB40" s="2">
        <f t="shared" si="16"/>
        <v>0</v>
      </c>
      <c r="AC40" s="2"/>
      <c r="AD40" s="2">
        <f t="shared" si="17"/>
        <v>0</v>
      </c>
      <c r="AE40" s="2">
        <f t="shared" si="18"/>
        <v>0</v>
      </c>
      <c r="AF40" s="2">
        <f t="shared" si="19"/>
        <v>0</v>
      </c>
      <c r="AG40" s="2">
        <f t="shared" si="20"/>
        <v>0</v>
      </c>
      <c r="AH40" s="2">
        <f t="shared" si="21"/>
        <v>0</v>
      </c>
      <c r="AI40" s="2">
        <f t="shared" si="22"/>
        <v>1</v>
      </c>
    </row>
    <row r="41" spans="1:16384" s="3" customFormat="1" ht="14.25" customHeight="1" x14ac:dyDescent="0.25">
      <c r="A41" s="29">
        <v>0</v>
      </c>
      <c r="B41" s="29">
        <v>1</v>
      </c>
      <c r="C41" s="29">
        <v>3</v>
      </c>
      <c r="D41" s="30" t="s">
        <v>751</v>
      </c>
      <c r="E41" s="30" t="s">
        <v>752</v>
      </c>
      <c r="F41" s="30" t="s">
        <v>753</v>
      </c>
      <c r="G41" s="30" t="s">
        <v>92</v>
      </c>
      <c r="H41" s="30" t="s">
        <v>165</v>
      </c>
      <c r="I41" s="29" t="s">
        <v>754</v>
      </c>
      <c r="J41" s="29">
        <v>1</v>
      </c>
      <c r="K41" s="29" t="s">
        <v>377</v>
      </c>
      <c r="L41" s="29">
        <v>35</v>
      </c>
      <c r="M41" s="30" t="s">
        <v>755</v>
      </c>
      <c r="N41" s="30" t="s">
        <v>894</v>
      </c>
      <c r="O41" s="31">
        <v>1</v>
      </c>
      <c r="P41" s="31"/>
      <c r="Q41" s="30"/>
      <c r="R41" s="2"/>
      <c r="S41" s="2">
        <f t="shared" si="7"/>
        <v>1</v>
      </c>
      <c r="T41" s="2">
        <f t="shared" si="8"/>
        <v>0</v>
      </c>
      <c r="U41" s="2">
        <f t="shared" si="9"/>
        <v>0</v>
      </c>
      <c r="V41" s="2">
        <f t="shared" si="10"/>
        <v>0</v>
      </c>
      <c r="W41" s="2">
        <f t="shared" si="11"/>
        <v>0</v>
      </c>
      <c r="X41" s="2">
        <f t="shared" si="12"/>
        <v>0</v>
      </c>
      <c r="Y41" s="2">
        <f t="shared" si="13"/>
        <v>0</v>
      </c>
      <c r="Z41" s="2">
        <f t="shared" si="14"/>
        <v>0</v>
      </c>
      <c r="AA41" s="2">
        <f t="shared" si="15"/>
        <v>0</v>
      </c>
      <c r="AB41" s="2">
        <f t="shared" si="16"/>
        <v>0</v>
      </c>
      <c r="AC41" s="2"/>
      <c r="AD41" s="2">
        <f t="shared" si="17"/>
        <v>0</v>
      </c>
      <c r="AE41" s="2">
        <f t="shared" si="18"/>
        <v>1</v>
      </c>
      <c r="AF41" s="2">
        <f t="shared" si="19"/>
        <v>0</v>
      </c>
      <c r="AG41" s="2">
        <f t="shared" si="20"/>
        <v>1</v>
      </c>
      <c r="AH41" s="2">
        <f t="shared" si="21"/>
        <v>0</v>
      </c>
      <c r="AI41" s="2">
        <f t="shared" si="22"/>
        <v>1</v>
      </c>
    </row>
    <row r="42" spans="1:16384" s="3" customFormat="1" ht="14.25" customHeight="1" x14ac:dyDescent="0.25">
      <c r="A42" s="29">
        <v>0</v>
      </c>
      <c r="B42" s="29">
        <v>1</v>
      </c>
      <c r="C42" s="29">
        <v>3</v>
      </c>
      <c r="D42" s="30" t="s">
        <v>997</v>
      </c>
      <c r="E42" s="30" t="s">
        <v>508</v>
      </c>
      <c r="F42" s="30" t="s">
        <v>589</v>
      </c>
      <c r="G42" s="30" t="s">
        <v>93</v>
      </c>
      <c r="H42" s="30" t="s">
        <v>165</v>
      </c>
      <c r="I42" s="29" t="s">
        <v>594</v>
      </c>
      <c r="J42" s="29">
        <v>8</v>
      </c>
      <c r="K42" s="29" t="s">
        <v>377</v>
      </c>
      <c r="L42" s="29" t="s">
        <v>346</v>
      </c>
      <c r="M42" s="30" t="s">
        <v>509</v>
      </c>
      <c r="N42" s="30" t="s">
        <v>900</v>
      </c>
      <c r="O42" s="31">
        <v>1</v>
      </c>
      <c r="P42" s="31"/>
      <c r="Q42" s="30"/>
      <c r="R42" s="2"/>
      <c r="S42" s="2">
        <f t="shared" si="7"/>
        <v>0</v>
      </c>
      <c r="T42" s="2">
        <f t="shared" si="8"/>
        <v>0</v>
      </c>
      <c r="U42" s="2">
        <f t="shared" si="9"/>
        <v>0</v>
      </c>
      <c r="V42" s="2">
        <f t="shared" si="10"/>
        <v>0</v>
      </c>
      <c r="W42" s="2">
        <f t="shared" si="11"/>
        <v>0</v>
      </c>
      <c r="X42" s="2">
        <f t="shared" si="12"/>
        <v>0</v>
      </c>
      <c r="Y42" s="2">
        <f t="shared" si="13"/>
        <v>0</v>
      </c>
      <c r="Z42" s="2">
        <f t="shared" si="14"/>
        <v>1</v>
      </c>
      <c r="AA42" s="2">
        <f t="shared" si="15"/>
        <v>0</v>
      </c>
      <c r="AB42" s="2">
        <f t="shared" si="16"/>
        <v>0</v>
      </c>
      <c r="AC42" s="2"/>
      <c r="AD42" s="2">
        <f t="shared" si="17"/>
        <v>0</v>
      </c>
      <c r="AE42" s="2">
        <f t="shared" si="18"/>
        <v>1</v>
      </c>
      <c r="AF42" s="2">
        <f t="shared" si="19"/>
        <v>0</v>
      </c>
      <c r="AG42" s="2">
        <f t="shared" si="20"/>
        <v>1</v>
      </c>
      <c r="AH42" s="2">
        <f t="shared" si="21"/>
        <v>0</v>
      </c>
      <c r="AI42" s="2">
        <f t="shared" si="22"/>
        <v>1</v>
      </c>
    </row>
    <row r="43" spans="1:16384" s="3" customFormat="1" ht="14.25" customHeight="1" x14ac:dyDescent="0.25">
      <c r="A43" s="29">
        <v>0</v>
      </c>
      <c r="B43" s="29">
        <v>1</v>
      </c>
      <c r="C43" s="29">
        <v>3</v>
      </c>
      <c r="D43" s="30" t="s">
        <v>412</v>
      </c>
      <c r="E43" s="30" t="s">
        <v>259</v>
      </c>
      <c r="F43" s="30" t="s">
        <v>587</v>
      </c>
      <c r="G43" s="30" t="s">
        <v>284</v>
      </c>
      <c r="H43" s="30" t="s">
        <v>165</v>
      </c>
      <c r="I43" s="29" t="s">
        <v>413</v>
      </c>
      <c r="J43" s="29">
        <v>99</v>
      </c>
      <c r="K43" s="29" t="s">
        <v>331</v>
      </c>
      <c r="L43" s="29" t="s">
        <v>341</v>
      </c>
      <c r="M43" s="30" t="s">
        <v>738</v>
      </c>
      <c r="N43" s="30" t="s">
        <v>900</v>
      </c>
      <c r="O43" s="31">
        <v>1</v>
      </c>
      <c r="P43" s="31"/>
      <c r="Q43" s="30"/>
      <c r="R43" s="2"/>
      <c r="S43" s="2">
        <f t="shared" si="7"/>
        <v>0</v>
      </c>
      <c r="T43" s="2">
        <f t="shared" si="8"/>
        <v>0</v>
      </c>
      <c r="U43" s="2">
        <f t="shared" si="9"/>
        <v>0</v>
      </c>
      <c r="V43" s="2">
        <f t="shared" si="10"/>
        <v>0</v>
      </c>
      <c r="W43" s="2">
        <f t="shared" si="11"/>
        <v>0</v>
      </c>
      <c r="X43" s="2">
        <f t="shared" si="12"/>
        <v>0</v>
      </c>
      <c r="Y43" s="2">
        <f t="shared" si="13"/>
        <v>0</v>
      </c>
      <c r="Z43" s="2">
        <f t="shared" si="14"/>
        <v>0</v>
      </c>
      <c r="AA43" s="2">
        <f t="shared" si="15"/>
        <v>0</v>
      </c>
      <c r="AB43" s="2">
        <f t="shared" si="16"/>
        <v>0</v>
      </c>
      <c r="AC43" s="2"/>
      <c r="AD43" s="2">
        <f t="shared" si="17"/>
        <v>0</v>
      </c>
      <c r="AE43" s="2">
        <f t="shared" si="18"/>
        <v>1</v>
      </c>
      <c r="AF43" s="2">
        <f t="shared" si="19"/>
        <v>0</v>
      </c>
      <c r="AG43" s="2">
        <f t="shared" si="20"/>
        <v>1</v>
      </c>
      <c r="AH43" s="2">
        <f t="shared" si="21"/>
        <v>0</v>
      </c>
      <c r="AI43" s="2">
        <f t="shared" si="22"/>
        <v>1</v>
      </c>
    </row>
    <row r="44" spans="1:16384" s="3" customFormat="1" ht="14.25" customHeight="1" x14ac:dyDescent="0.25">
      <c r="A44" s="32">
        <v>0</v>
      </c>
      <c r="B44" s="32">
        <v>1</v>
      </c>
      <c r="C44" s="32">
        <v>3</v>
      </c>
      <c r="D44" s="33" t="s">
        <v>680</v>
      </c>
      <c r="E44" s="33" t="s">
        <v>622</v>
      </c>
      <c r="F44" s="33" t="s">
        <v>620</v>
      </c>
      <c r="G44" s="33" t="s">
        <v>40</v>
      </c>
      <c r="H44" s="33" t="s">
        <v>621</v>
      </c>
      <c r="I44" s="32" t="s">
        <v>623</v>
      </c>
      <c r="J44" s="32">
        <v>99</v>
      </c>
      <c r="K44" s="32" t="s">
        <v>377</v>
      </c>
      <c r="L44" s="32">
        <v>60</v>
      </c>
      <c r="M44" s="33" t="s">
        <v>597</v>
      </c>
      <c r="N44" s="33" t="s">
        <v>893</v>
      </c>
      <c r="O44" s="34"/>
      <c r="P44" s="34"/>
      <c r="Q44" s="33"/>
      <c r="R44" s="2"/>
      <c r="S44" s="2">
        <f t="shared" si="7"/>
        <v>0</v>
      </c>
      <c r="T44" s="2">
        <f t="shared" si="8"/>
        <v>0</v>
      </c>
      <c r="U44" s="2">
        <f t="shared" si="9"/>
        <v>0</v>
      </c>
      <c r="V44" s="2">
        <f t="shared" si="10"/>
        <v>0</v>
      </c>
      <c r="W44" s="2">
        <f t="shared" si="11"/>
        <v>0</v>
      </c>
      <c r="X44" s="2">
        <f t="shared" si="12"/>
        <v>0</v>
      </c>
      <c r="Y44" s="2">
        <f t="shared" si="13"/>
        <v>0</v>
      </c>
      <c r="Z44" s="2">
        <f t="shared" si="14"/>
        <v>0</v>
      </c>
      <c r="AA44" s="2">
        <f t="shared" si="15"/>
        <v>0</v>
      </c>
      <c r="AB44" s="2">
        <f t="shared" si="16"/>
        <v>0</v>
      </c>
      <c r="AC44" s="2"/>
      <c r="AD44" s="2">
        <f t="shared" si="17"/>
        <v>0</v>
      </c>
      <c r="AE44" s="2">
        <f t="shared" si="18"/>
        <v>0</v>
      </c>
      <c r="AF44" s="2">
        <f t="shared" si="19"/>
        <v>0</v>
      </c>
      <c r="AG44" s="2">
        <f t="shared" si="20"/>
        <v>0</v>
      </c>
      <c r="AH44" s="2">
        <f t="shared" si="21"/>
        <v>0</v>
      </c>
      <c r="AI44" s="2">
        <f t="shared" si="22"/>
        <v>1</v>
      </c>
    </row>
    <row r="45" spans="1:16384" s="3" customFormat="1" ht="14.25" customHeight="1" x14ac:dyDescent="0.25">
      <c r="A45" s="29">
        <v>0</v>
      </c>
      <c r="B45" s="29">
        <v>1</v>
      </c>
      <c r="C45" s="29">
        <v>3</v>
      </c>
      <c r="D45" s="30" t="s">
        <v>769</v>
      </c>
      <c r="E45" s="30" t="s">
        <v>259</v>
      </c>
      <c r="F45" s="30" t="s">
        <v>770</v>
      </c>
      <c r="G45" s="30" t="s">
        <v>103</v>
      </c>
      <c r="H45" s="30" t="s">
        <v>165</v>
      </c>
      <c r="I45" s="29" t="s">
        <v>771</v>
      </c>
      <c r="J45" s="29">
        <v>6</v>
      </c>
      <c r="K45" s="29" t="s">
        <v>377</v>
      </c>
      <c r="L45" s="29">
        <v>70</v>
      </c>
      <c r="M45" s="30" t="s">
        <v>772</v>
      </c>
      <c r="N45" s="30" t="s">
        <v>905</v>
      </c>
      <c r="O45" s="31">
        <v>1</v>
      </c>
      <c r="P45" s="31"/>
      <c r="Q45" s="30"/>
      <c r="R45" s="2"/>
      <c r="S45" s="2">
        <f t="shared" si="7"/>
        <v>0</v>
      </c>
      <c r="T45" s="2">
        <f t="shared" si="8"/>
        <v>0</v>
      </c>
      <c r="U45" s="2">
        <f t="shared" si="9"/>
        <v>0</v>
      </c>
      <c r="V45" s="2">
        <f t="shared" si="10"/>
        <v>0</v>
      </c>
      <c r="W45" s="2">
        <f t="shared" si="11"/>
        <v>0</v>
      </c>
      <c r="X45" s="2">
        <f t="shared" si="12"/>
        <v>1</v>
      </c>
      <c r="Y45" s="2">
        <f t="shared" si="13"/>
        <v>0</v>
      </c>
      <c r="Z45" s="2">
        <f t="shared" si="14"/>
        <v>0</v>
      </c>
      <c r="AA45" s="2">
        <f t="shared" si="15"/>
        <v>0</v>
      </c>
      <c r="AB45" s="2">
        <f t="shared" si="16"/>
        <v>0</v>
      </c>
      <c r="AC45" s="2"/>
      <c r="AD45" s="2">
        <f t="shared" si="17"/>
        <v>0</v>
      </c>
      <c r="AE45" s="2">
        <f t="shared" si="18"/>
        <v>1</v>
      </c>
      <c r="AF45" s="2">
        <f t="shared" si="19"/>
        <v>0</v>
      </c>
      <c r="AG45" s="2">
        <f t="shared" si="20"/>
        <v>1</v>
      </c>
      <c r="AH45" s="2">
        <f t="shared" si="21"/>
        <v>0</v>
      </c>
      <c r="AI45" s="2">
        <f t="shared" si="22"/>
        <v>1</v>
      </c>
    </row>
    <row r="46" spans="1:16384" s="3" customFormat="1" ht="14.25" customHeight="1" x14ac:dyDescent="0.25">
      <c r="A46" s="32">
        <v>0</v>
      </c>
      <c r="B46" s="32">
        <v>1</v>
      </c>
      <c r="C46" s="32">
        <v>3</v>
      </c>
      <c r="D46" s="33" t="s">
        <v>607</v>
      </c>
      <c r="E46" s="33" t="s">
        <v>259</v>
      </c>
      <c r="F46" s="33" t="s">
        <v>608</v>
      </c>
      <c r="G46" s="33" t="s">
        <v>823</v>
      </c>
      <c r="H46" s="33" t="s">
        <v>165</v>
      </c>
      <c r="I46" s="32" t="s">
        <v>609</v>
      </c>
      <c r="J46" s="32">
        <v>99</v>
      </c>
      <c r="K46" s="32" t="s">
        <v>332</v>
      </c>
      <c r="L46" s="32" t="s">
        <v>341</v>
      </c>
      <c r="M46" s="33" t="s">
        <v>738</v>
      </c>
      <c r="N46" s="33" t="s">
        <v>887</v>
      </c>
      <c r="O46" s="34"/>
      <c r="P46" s="34"/>
      <c r="Q46" s="33"/>
      <c r="R46" s="2"/>
      <c r="S46" s="2">
        <f t="shared" si="7"/>
        <v>0</v>
      </c>
      <c r="T46" s="2">
        <f t="shared" si="8"/>
        <v>0</v>
      </c>
      <c r="U46" s="2">
        <f t="shared" si="9"/>
        <v>0</v>
      </c>
      <c r="V46" s="2">
        <f t="shared" si="10"/>
        <v>0</v>
      </c>
      <c r="W46" s="2">
        <f t="shared" si="11"/>
        <v>0</v>
      </c>
      <c r="X46" s="2">
        <f t="shared" si="12"/>
        <v>0</v>
      </c>
      <c r="Y46" s="2">
        <f t="shared" si="13"/>
        <v>0</v>
      </c>
      <c r="Z46" s="2">
        <f t="shared" si="14"/>
        <v>0</v>
      </c>
      <c r="AA46" s="2">
        <f t="shared" si="15"/>
        <v>0</v>
      </c>
      <c r="AB46" s="2">
        <f t="shared" si="16"/>
        <v>0</v>
      </c>
      <c r="AC46" s="2"/>
      <c r="AD46" s="2">
        <f t="shared" si="17"/>
        <v>0</v>
      </c>
      <c r="AE46" s="2">
        <f t="shared" si="18"/>
        <v>0</v>
      </c>
      <c r="AF46" s="2">
        <f t="shared" si="19"/>
        <v>0</v>
      </c>
      <c r="AG46" s="2">
        <f t="shared" si="20"/>
        <v>0</v>
      </c>
      <c r="AH46" s="2">
        <f t="shared" si="21"/>
        <v>0</v>
      </c>
      <c r="AI46" s="2">
        <f t="shared" si="22"/>
        <v>1</v>
      </c>
    </row>
    <row r="47" spans="1:16384" s="3" customFormat="1" ht="14.25" customHeight="1" x14ac:dyDescent="0.25">
      <c r="A47" s="29">
        <v>0</v>
      </c>
      <c r="B47" s="29">
        <v>1</v>
      </c>
      <c r="C47" s="29">
        <v>3</v>
      </c>
      <c r="D47" s="30" t="s">
        <v>683</v>
      </c>
      <c r="E47" s="30" t="s">
        <v>263</v>
      </c>
      <c r="F47" s="30" t="s">
        <v>687</v>
      </c>
      <c r="G47" s="30" t="s">
        <v>93</v>
      </c>
      <c r="H47" s="30" t="s">
        <v>165</v>
      </c>
      <c r="I47" s="29" t="s">
        <v>510</v>
      </c>
      <c r="J47" s="29">
        <v>8</v>
      </c>
      <c r="K47" s="29" t="s">
        <v>332</v>
      </c>
      <c r="L47" s="29" t="s">
        <v>595</v>
      </c>
      <c r="M47" s="30" t="s">
        <v>206</v>
      </c>
      <c r="N47" s="30" t="s">
        <v>900</v>
      </c>
      <c r="O47" s="31">
        <v>1</v>
      </c>
      <c r="P47" s="31"/>
      <c r="Q47" s="30"/>
      <c r="R47" s="2"/>
      <c r="S47" s="2">
        <f t="shared" si="7"/>
        <v>0</v>
      </c>
      <c r="T47" s="2">
        <f t="shared" si="8"/>
        <v>0</v>
      </c>
      <c r="U47" s="2">
        <f t="shared" si="9"/>
        <v>0</v>
      </c>
      <c r="V47" s="2">
        <f t="shared" si="10"/>
        <v>0</v>
      </c>
      <c r="W47" s="2">
        <f t="shared" si="11"/>
        <v>0</v>
      </c>
      <c r="X47" s="2">
        <f t="shared" si="12"/>
        <v>0</v>
      </c>
      <c r="Y47" s="2">
        <f t="shared" si="13"/>
        <v>0</v>
      </c>
      <c r="Z47" s="2">
        <f t="shared" si="14"/>
        <v>1</v>
      </c>
      <c r="AA47" s="2">
        <f t="shared" si="15"/>
        <v>0</v>
      </c>
      <c r="AB47" s="2">
        <f t="shared" si="16"/>
        <v>0</v>
      </c>
      <c r="AC47" s="2"/>
      <c r="AD47" s="2">
        <f t="shared" si="17"/>
        <v>0</v>
      </c>
      <c r="AE47" s="2">
        <f t="shared" si="18"/>
        <v>1</v>
      </c>
      <c r="AF47" s="2">
        <f t="shared" si="19"/>
        <v>0</v>
      </c>
      <c r="AG47" s="2">
        <f t="shared" si="20"/>
        <v>1</v>
      </c>
      <c r="AH47" s="2">
        <f t="shared" si="21"/>
        <v>0</v>
      </c>
      <c r="AI47" s="2">
        <f t="shared" si="22"/>
        <v>1</v>
      </c>
    </row>
    <row r="48" spans="1:16384" s="3" customFormat="1" ht="14.25" customHeight="1" x14ac:dyDescent="0.25">
      <c r="A48" s="29">
        <v>0</v>
      </c>
      <c r="B48" s="29">
        <v>1</v>
      </c>
      <c r="C48" s="29">
        <v>3</v>
      </c>
      <c r="D48" s="30" t="s">
        <v>684</v>
      </c>
      <c r="E48" s="30" t="s">
        <v>259</v>
      </c>
      <c r="F48" s="30" t="s">
        <v>158</v>
      </c>
      <c r="G48" s="30" t="s">
        <v>93</v>
      </c>
      <c r="H48" s="30" t="s">
        <v>165</v>
      </c>
      <c r="I48" s="29" t="s">
        <v>199</v>
      </c>
      <c r="J48" s="29">
        <v>8</v>
      </c>
      <c r="K48" s="29" t="s">
        <v>329</v>
      </c>
      <c r="L48" s="29" t="s">
        <v>341</v>
      </c>
      <c r="M48" s="30" t="s">
        <v>266</v>
      </c>
      <c r="N48" s="30" t="s">
        <v>900</v>
      </c>
      <c r="O48" s="31">
        <v>1</v>
      </c>
      <c r="P48" s="31"/>
      <c r="Q48" s="30"/>
      <c r="R48" s="20"/>
      <c r="S48" s="2">
        <f t="shared" si="7"/>
        <v>0</v>
      </c>
      <c r="T48" s="2">
        <f t="shared" si="8"/>
        <v>0</v>
      </c>
      <c r="U48" s="2">
        <f t="shared" si="9"/>
        <v>0</v>
      </c>
      <c r="V48" s="2">
        <f t="shared" si="10"/>
        <v>0</v>
      </c>
      <c r="W48" s="2">
        <f t="shared" si="11"/>
        <v>0</v>
      </c>
      <c r="X48" s="2">
        <f t="shared" si="12"/>
        <v>0</v>
      </c>
      <c r="Y48" s="2">
        <f t="shared" si="13"/>
        <v>0</v>
      </c>
      <c r="Z48" s="2">
        <f t="shared" si="14"/>
        <v>1</v>
      </c>
      <c r="AA48" s="2">
        <f t="shared" si="15"/>
        <v>0</v>
      </c>
      <c r="AB48" s="2">
        <f t="shared" si="16"/>
        <v>0</v>
      </c>
      <c r="AC48" s="2"/>
      <c r="AD48" s="2">
        <f t="shared" si="17"/>
        <v>0</v>
      </c>
      <c r="AE48" s="2">
        <f t="shared" si="18"/>
        <v>1</v>
      </c>
      <c r="AF48" s="2">
        <f t="shared" si="19"/>
        <v>0</v>
      </c>
      <c r="AG48" s="2">
        <f t="shared" si="20"/>
        <v>1</v>
      </c>
      <c r="AH48" s="2">
        <f t="shared" si="21"/>
        <v>0</v>
      </c>
      <c r="AI48" s="2">
        <f t="shared" si="22"/>
        <v>1</v>
      </c>
      <c r="AJ48" s="20"/>
      <c r="AK48" s="20"/>
      <c r="AL48" s="21"/>
      <c r="AM48" s="21"/>
      <c r="AN48" s="21"/>
      <c r="AO48" s="21"/>
      <c r="AP48" s="21"/>
      <c r="AQ48" s="20"/>
      <c r="AR48" s="20"/>
      <c r="AS48" s="20"/>
      <c r="AT48" s="20"/>
      <c r="AU48" s="21"/>
      <c r="AV48" s="21"/>
      <c r="AW48" s="7"/>
      <c r="AX48" s="7"/>
      <c r="AY48" s="21"/>
      <c r="AZ48" s="20"/>
      <c r="BA48" s="20"/>
      <c r="BB48" s="20"/>
      <c r="BC48" s="21"/>
      <c r="BD48" s="21"/>
      <c r="BE48" s="21"/>
      <c r="BF48" s="21"/>
      <c r="BG48" s="21"/>
      <c r="BH48" s="20"/>
      <c r="BI48" s="20"/>
      <c r="BJ48" s="20"/>
      <c r="BK48" s="20"/>
      <c r="BL48" s="21"/>
      <c r="BM48" s="21"/>
      <c r="BN48" s="7"/>
      <c r="BO48" s="7"/>
      <c r="BP48" s="21"/>
      <c r="BQ48" s="20"/>
      <c r="BR48" s="20"/>
      <c r="BS48" s="20"/>
      <c r="BT48" s="21"/>
      <c r="BU48" s="21"/>
      <c r="BV48" s="21"/>
      <c r="BW48" s="21"/>
      <c r="BX48" s="21"/>
      <c r="BY48" s="20"/>
      <c r="BZ48" s="20"/>
      <c r="CA48" s="20"/>
      <c r="CB48" s="20"/>
      <c r="CC48" s="21"/>
      <c r="CD48" s="21"/>
      <c r="CE48" s="7"/>
      <c r="CF48" s="7"/>
      <c r="CG48" s="21"/>
      <c r="CH48" s="20"/>
      <c r="CI48" s="20"/>
      <c r="CJ48" s="20"/>
      <c r="CK48" s="21"/>
      <c r="CL48" s="21"/>
      <c r="CM48" s="21"/>
      <c r="CN48" s="21"/>
      <c r="CO48" s="21"/>
      <c r="CP48" s="20"/>
      <c r="CQ48" s="20"/>
      <c r="CR48" s="20"/>
      <c r="CS48" s="20"/>
      <c r="CT48" s="21"/>
      <c r="CU48" s="21"/>
      <c r="CV48" s="7"/>
      <c r="CW48" s="7"/>
      <c r="CX48" s="21"/>
      <c r="CY48" s="20"/>
      <c r="CZ48" s="20"/>
      <c r="DA48" s="20"/>
      <c r="DB48" s="21"/>
      <c r="DC48" s="21"/>
      <c r="DD48" s="21"/>
      <c r="DE48" s="21"/>
      <c r="DF48" s="21"/>
      <c r="DG48" s="20"/>
      <c r="DH48" s="20"/>
      <c r="DI48" s="20"/>
      <c r="DJ48" s="20"/>
      <c r="DK48" s="21"/>
      <c r="DL48" s="21"/>
      <c r="DM48" s="7"/>
      <c r="DN48" s="7"/>
      <c r="DO48" s="21"/>
      <c r="DP48" s="20"/>
      <c r="DQ48" s="20"/>
      <c r="DR48" s="20"/>
      <c r="DS48" s="21"/>
      <c r="DT48" s="21"/>
      <c r="DU48" s="21"/>
      <c r="DV48" s="21"/>
      <c r="DW48" s="21"/>
      <c r="DX48" s="20"/>
      <c r="DY48" s="20"/>
      <c r="DZ48" s="20"/>
      <c r="EA48" s="20"/>
      <c r="EB48" s="21"/>
      <c r="EC48" s="21"/>
      <c r="ED48" s="7"/>
      <c r="EE48" s="7"/>
      <c r="EF48" s="21"/>
      <c r="EG48" s="20"/>
      <c r="EH48" s="20"/>
      <c r="EI48" s="20"/>
      <c r="EJ48" s="21"/>
      <c r="EK48" s="21"/>
      <c r="EL48" s="21"/>
      <c r="EM48" s="21"/>
      <c r="EN48" s="21"/>
      <c r="EO48" s="20"/>
      <c r="EP48" s="20"/>
      <c r="EQ48" s="20"/>
      <c r="ER48" s="20"/>
      <c r="ES48" s="21"/>
      <c r="ET48" s="21"/>
      <c r="EU48" s="7"/>
      <c r="EV48" s="7"/>
      <c r="EW48" s="21"/>
      <c r="EX48" s="20"/>
      <c r="EY48" s="20"/>
      <c r="EZ48" s="20"/>
      <c r="FA48" s="21"/>
      <c r="FB48" s="21"/>
      <c r="FC48" s="21"/>
      <c r="FD48" s="21"/>
      <c r="FE48" s="21"/>
      <c r="FF48" s="20"/>
      <c r="FG48" s="20"/>
      <c r="FH48" s="20"/>
      <c r="FI48" s="20"/>
      <c r="FJ48" s="21"/>
      <c r="FK48" s="21"/>
      <c r="FL48" s="7"/>
      <c r="FM48" s="7"/>
      <c r="FN48" s="21"/>
      <c r="FO48" s="20"/>
      <c r="FP48" s="20"/>
      <c r="FQ48" s="20"/>
      <c r="FR48" s="21"/>
      <c r="FS48" s="21"/>
      <c r="FT48" s="21"/>
      <c r="FU48" s="21"/>
      <c r="FV48" s="21"/>
      <c r="FW48" s="20"/>
      <c r="FX48" s="20"/>
      <c r="FY48" s="20"/>
      <c r="FZ48" s="20"/>
      <c r="GA48" s="21"/>
      <c r="GB48" s="21"/>
      <c r="GC48" s="7"/>
      <c r="GD48" s="7"/>
      <c r="GE48" s="21"/>
      <c r="GF48" s="20"/>
      <c r="GG48" s="20"/>
      <c r="GH48" s="20"/>
      <c r="GI48" s="21"/>
      <c r="GJ48" s="21"/>
      <c r="GK48" s="21"/>
      <c r="GL48" s="21"/>
      <c r="GM48" s="21"/>
      <c r="GN48" s="20"/>
      <c r="GO48" s="20"/>
      <c r="GP48" s="20"/>
      <c r="GQ48" s="20"/>
      <c r="GR48" s="21"/>
      <c r="GS48" s="21"/>
      <c r="GT48" s="7"/>
      <c r="GU48" s="7"/>
      <c r="GV48" s="21"/>
      <c r="GW48" s="20"/>
      <c r="GX48" s="20"/>
      <c r="GY48" s="20"/>
      <c r="GZ48" s="21"/>
      <c r="HA48" s="21"/>
      <c r="HB48" s="21"/>
      <c r="HC48" s="21"/>
      <c r="HD48" s="21"/>
      <c r="HE48" s="20"/>
      <c r="HF48" s="20"/>
      <c r="HG48" s="20"/>
      <c r="HH48" s="20"/>
      <c r="HI48" s="21"/>
      <c r="HJ48" s="21"/>
      <c r="HK48" s="7"/>
      <c r="HL48" s="7"/>
      <c r="HM48" s="21"/>
      <c r="HN48" s="20"/>
      <c r="HO48" s="20"/>
      <c r="HP48" s="20"/>
      <c r="HQ48" s="21"/>
      <c r="HR48" s="21"/>
      <c r="HS48" s="21"/>
      <c r="HT48" s="21"/>
      <c r="HU48" s="21"/>
      <c r="HV48" s="20"/>
      <c r="HW48" s="20"/>
      <c r="HX48" s="20"/>
      <c r="HY48" s="20"/>
      <c r="HZ48" s="21"/>
      <c r="IA48" s="21"/>
      <c r="IB48" s="7"/>
      <c r="IC48" s="7"/>
      <c r="ID48" s="21"/>
      <c r="IE48" s="20"/>
      <c r="IF48" s="20"/>
      <c r="IG48" s="20"/>
      <c r="IH48" s="21"/>
      <c r="II48" s="21"/>
      <c r="IJ48" s="21"/>
      <c r="IK48" s="21"/>
      <c r="IL48" s="21"/>
      <c r="IM48" s="20"/>
      <c r="IN48" s="20"/>
      <c r="IO48" s="20"/>
      <c r="IP48" s="20"/>
      <c r="IQ48" s="21"/>
      <c r="IR48" s="21"/>
      <c r="IS48" s="7"/>
      <c r="IT48" s="7"/>
      <c r="IU48" s="21"/>
      <c r="IV48" s="20"/>
      <c r="IW48" s="20"/>
      <c r="IX48" s="20"/>
      <c r="IY48" s="21"/>
      <c r="IZ48" s="21"/>
      <c r="JA48" s="21"/>
      <c r="JB48" s="21"/>
      <c r="JC48" s="21"/>
      <c r="JD48" s="20"/>
      <c r="JE48" s="20"/>
      <c r="JF48" s="20"/>
      <c r="JG48" s="20"/>
      <c r="JH48" s="21"/>
      <c r="JI48" s="21"/>
      <c r="JJ48" s="7"/>
      <c r="JK48" s="7"/>
      <c r="JL48" s="21"/>
      <c r="JM48" s="20"/>
      <c r="JN48" s="20"/>
      <c r="JO48" s="20"/>
      <c r="JP48" s="21"/>
      <c r="JQ48" s="21"/>
      <c r="JR48" s="21"/>
      <c r="JS48" s="21"/>
      <c r="JT48" s="21"/>
      <c r="JU48" s="20"/>
      <c r="JV48" s="20"/>
      <c r="JW48" s="20"/>
      <c r="JX48" s="20"/>
      <c r="JY48" s="21"/>
      <c r="JZ48" s="21"/>
      <c r="KA48" s="7"/>
      <c r="KB48" s="7"/>
      <c r="KC48" s="21"/>
      <c r="KD48" s="20"/>
      <c r="KE48" s="20"/>
      <c r="KF48" s="20"/>
      <c r="KG48" s="21"/>
      <c r="KH48" s="21"/>
      <c r="KI48" s="21"/>
      <c r="KJ48" s="21"/>
      <c r="KK48" s="21"/>
      <c r="KL48" s="20"/>
      <c r="KM48" s="20"/>
      <c r="KN48" s="20"/>
      <c r="KO48" s="20"/>
      <c r="KP48" s="21"/>
      <c r="KQ48" s="21"/>
      <c r="KR48" s="7"/>
      <c r="KS48" s="7"/>
      <c r="KT48" s="21"/>
      <c r="KU48" s="20"/>
      <c r="KV48" s="20"/>
      <c r="KW48" s="20"/>
      <c r="KX48" s="21"/>
      <c r="KY48" s="21"/>
      <c r="KZ48" s="21"/>
      <c r="LA48" s="21"/>
      <c r="LB48" s="21"/>
      <c r="LC48" s="20"/>
      <c r="LD48" s="20"/>
      <c r="LE48" s="20"/>
      <c r="LF48" s="20"/>
      <c r="LG48" s="21"/>
      <c r="LH48" s="21"/>
      <c r="LI48" s="7"/>
      <c r="LJ48" s="7"/>
      <c r="LK48" s="21"/>
      <c r="LL48" s="20"/>
      <c r="LM48" s="20"/>
      <c r="LN48" s="20"/>
      <c r="LO48" s="21"/>
      <c r="LP48" s="21"/>
      <c r="LQ48" s="21"/>
      <c r="LR48" s="21"/>
      <c r="LS48" s="21"/>
      <c r="LT48" s="20"/>
      <c r="LU48" s="20"/>
      <c r="LV48" s="20"/>
      <c r="LW48" s="20"/>
      <c r="LX48" s="21"/>
      <c r="LY48" s="21"/>
      <c r="LZ48" s="7"/>
      <c r="MA48" s="7"/>
      <c r="MB48" s="21"/>
      <c r="MC48" s="20"/>
      <c r="MD48" s="20"/>
      <c r="ME48" s="20"/>
      <c r="MF48" s="21"/>
      <c r="MG48" s="21"/>
      <c r="MH48" s="21"/>
      <c r="MI48" s="21"/>
      <c r="MJ48" s="21"/>
      <c r="MK48" s="20"/>
      <c r="ML48" s="20"/>
      <c r="MM48" s="20"/>
      <c r="MN48" s="20"/>
      <c r="MO48" s="21"/>
      <c r="MP48" s="21"/>
      <c r="MQ48" s="7"/>
      <c r="MR48" s="7"/>
      <c r="MS48" s="21"/>
      <c r="MT48" s="20"/>
      <c r="MU48" s="20"/>
      <c r="MV48" s="20"/>
      <c r="MW48" s="21"/>
      <c r="MX48" s="21"/>
      <c r="MY48" s="21"/>
      <c r="MZ48" s="21"/>
      <c r="NA48" s="21"/>
      <c r="NB48" s="20"/>
      <c r="NC48" s="20"/>
      <c r="ND48" s="20"/>
      <c r="NE48" s="20"/>
      <c r="NF48" s="21"/>
      <c r="NG48" s="21"/>
      <c r="NH48" s="7"/>
      <c r="NI48" s="7"/>
      <c r="NJ48" s="21"/>
      <c r="NK48" s="20"/>
      <c r="NL48" s="20"/>
      <c r="NM48" s="20"/>
      <c r="NN48" s="21"/>
      <c r="NO48" s="21"/>
      <c r="NP48" s="21"/>
      <c r="NQ48" s="21"/>
      <c r="NR48" s="21"/>
      <c r="NS48" s="20"/>
      <c r="NT48" s="20"/>
      <c r="NU48" s="20"/>
      <c r="NV48" s="20"/>
      <c r="NW48" s="21"/>
      <c r="NX48" s="21"/>
      <c r="NY48" s="7"/>
      <c r="NZ48" s="7"/>
      <c r="OA48" s="21"/>
      <c r="OB48" s="20"/>
      <c r="OC48" s="20"/>
      <c r="OD48" s="20"/>
      <c r="OE48" s="21"/>
      <c r="OF48" s="21"/>
      <c r="OG48" s="21"/>
      <c r="OH48" s="21"/>
      <c r="OI48" s="21"/>
      <c r="OJ48" s="20"/>
      <c r="OK48" s="20"/>
      <c r="OL48" s="20"/>
      <c r="OM48" s="20"/>
      <c r="ON48" s="21"/>
      <c r="OO48" s="21"/>
      <c r="OP48" s="7"/>
      <c r="OQ48" s="7"/>
      <c r="OR48" s="21"/>
      <c r="OS48" s="20"/>
      <c r="OT48" s="20"/>
      <c r="OU48" s="20"/>
      <c r="OV48" s="21"/>
      <c r="OW48" s="21"/>
      <c r="OX48" s="21"/>
      <c r="OY48" s="21"/>
      <c r="OZ48" s="21"/>
      <c r="PA48" s="20"/>
      <c r="PB48" s="20"/>
      <c r="PC48" s="20"/>
      <c r="PD48" s="20"/>
      <c r="PE48" s="21"/>
      <c r="PF48" s="21"/>
      <c r="PG48" s="7"/>
      <c r="PH48" s="7"/>
      <c r="PI48" s="21"/>
      <c r="PJ48" s="20"/>
      <c r="PK48" s="20"/>
      <c r="PL48" s="20"/>
      <c r="PM48" s="21"/>
      <c r="PN48" s="21"/>
      <c r="PO48" s="21"/>
      <c r="PP48" s="21"/>
      <c r="PQ48" s="21"/>
      <c r="PR48" s="20"/>
      <c r="PS48" s="20"/>
      <c r="PT48" s="20"/>
      <c r="PU48" s="20"/>
      <c r="PV48" s="21"/>
      <c r="PW48" s="21"/>
      <c r="PX48" s="7"/>
      <c r="PY48" s="7"/>
      <c r="PZ48" s="21"/>
      <c r="QA48" s="20"/>
      <c r="QB48" s="20"/>
      <c r="QC48" s="20"/>
      <c r="QD48" s="21"/>
      <c r="QE48" s="21"/>
      <c r="QF48" s="21"/>
      <c r="QG48" s="21"/>
      <c r="QH48" s="21"/>
      <c r="QI48" s="20"/>
      <c r="QJ48" s="20"/>
      <c r="QK48" s="20"/>
      <c r="QL48" s="20"/>
      <c r="QM48" s="21"/>
      <c r="QN48" s="21"/>
      <c r="QO48" s="7"/>
      <c r="QP48" s="7"/>
      <c r="QQ48" s="21"/>
      <c r="QR48" s="20"/>
      <c r="QS48" s="20"/>
      <c r="QT48" s="20"/>
      <c r="QU48" s="21"/>
      <c r="QV48" s="21"/>
      <c r="QW48" s="21"/>
      <c r="QX48" s="21"/>
      <c r="QY48" s="21"/>
      <c r="QZ48" s="20"/>
      <c r="RA48" s="20"/>
      <c r="RB48" s="20"/>
      <c r="RC48" s="20"/>
      <c r="RD48" s="21"/>
      <c r="RE48" s="21"/>
      <c r="RF48" s="7"/>
      <c r="RG48" s="7"/>
      <c r="RH48" s="21"/>
      <c r="RI48" s="20"/>
      <c r="RJ48" s="20"/>
      <c r="RK48" s="20"/>
      <c r="RL48" s="21"/>
      <c r="RM48" s="21"/>
      <c r="RN48" s="21"/>
      <c r="RO48" s="21"/>
      <c r="RP48" s="21"/>
      <c r="RQ48" s="20"/>
      <c r="RR48" s="20"/>
      <c r="RS48" s="20"/>
      <c r="RT48" s="20"/>
      <c r="RU48" s="21"/>
      <c r="RV48" s="21"/>
      <c r="RW48" s="7"/>
      <c r="RX48" s="7"/>
      <c r="RY48" s="21"/>
      <c r="RZ48" s="20"/>
      <c r="SA48" s="20"/>
      <c r="SB48" s="20"/>
      <c r="SC48" s="21"/>
      <c r="SD48" s="21"/>
      <c r="SE48" s="21"/>
      <c r="SF48" s="21"/>
      <c r="SG48" s="21"/>
      <c r="SH48" s="20"/>
      <c r="SI48" s="20"/>
      <c r="SJ48" s="20"/>
      <c r="SK48" s="20"/>
      <c r="SL48" s="21"/>
      <c r="SM48" s="21"/>
      <c r="SN48" s="7"/>
      <c r="SO48" s="7"/>
      <c r="SP48" s="21"/>
      <c r="SQ48" s="20"/>
      <c r="SR48" s="20"/>
      <c r="SS48" s="20"/>
      <c r="ST48" s="21"/>
      <c r="SU48" s="21"/>
      <c r="SV48" s="21"/>
      <c r="SW48" s="21"/>
      <c r="SX48" s="21"/>
      <c r="SY48" s="20"/>
      <c r="SZ48" s="20"/>
      <c r="TA48" s="20"/>
      <c r="TB48" s="20"/>
      <c r="TC48" s="21"/>
      <c r="TD48" s="21"/>
      <c r="TE48" s="7"/>
      <c r="TF48" s="7"/>
      <c r="TG48" s="21"/>
      <c r="TH48" s="20"/>
      <c r="TI48" s="20"/>
      <c r="TJ48" s="20"/>
      <c r="TK48" s="21"/>
      <c r="TL48" s="21"/>
      <c r="TM48" s="21"/>
      <c r="TN48" s="21"/>
      <c r="TO48" s="21"/>
      <c r="TP48" s="20"/>
      <c r="TQ48" s="20"/>
      <c r="TR48" s="20"/>
      <c r="TS48" s="20"/>
      <c r="TT48" s="21"/>
      <c r="TU48" s="21"/>
      <c r="TV48" s="7"/>
      <c r="TW48" s="7"/>
      <c r="TX48" s="21"/>
      <c r="TY48" s="20"/>
      <c r="TZ48" s="20"/>
      <c r="UA48" s="20"/>
      <c r="UB48" s="21"/>
      <c r="UC48" s="21"/>
      <c r="UD48" s="21"/>
      <c r="UE48" s="21"/>
      <c r="UF48" s="21"/>
      <c r="UG48" s="20"/>
      <c r="UH48" s="20"/>
      <c r="UI48" s="20"/>
      <c r="UJ48" s="20"/>
      <c r="UK48" s="21"/>
      <c r="UL48" s="21"/>
      <c r="UM48" s="7"/>
      <c r="UN48" s="7"/>
      <c r="UO48" s="21"/>
      <c r="UP48" s="20"/>
      <c r="UQ48" s="20"/>
      <c r="UR48" s="20"/>
      <c r="US48" s="21"/>
      <c r="UT48" s="21"/>
      <c r="UU48" s="21"/>
      <c r="UV48" s="21"/>
      <c r="UW48" s="21"/>
      <c r="UX48" s="20"/>
      <c r="UY48" s="20"/>
      <c r="UZ48" s="20"/>
      <c r="VA48" s="20"/>
      <c r="VB48" s="21"/>
      <c r="VC48" s="21"/>
      <c r="VD48" s="7"/>
      <c r="VE48" s="7"/>
      <c r="VF48" s="21"/>
      <c r="VG48" s="20"/>
      <c r="VH48" s="20"/>
      <c r="VI48" s="20"/>
      <c r="VJ48" s="21"/>
      <c r="VK48" s="21"/>
      <c r="VL48" s="21"/>
      <c r="VM48" s="21"/>
      <c r="VN48" s="21"/>
      <c r="VO48" s="20"/>
      <c r="VP48" s="20"/>
      <c r="VQ48" s="20"/>
      <c r="VR48" s="20"/>
      <c r="VS48" s="21"/>
      <c r="VT48" s="21"/>
      <c r="VU48" s="7"/>
      <c r="VV48" s="7"/>
      <c r="VW48" s="21"/>
      <c r="VX48" s="20"/>
      <c r="VY48" s="20"/>
      <c r="VZ48" s="20"/>
      <c r="WA48" s="21"/>
      <c r="WB48" s="21"/>
      <c r="WC48" s="21"/>
      <c r="WD48" s="21"/>
      <c r="WE48" s="21"/>
      <c r="WF48" s="20"/>
      <c r="WG48" s="20"/>
      <c r="WH48" s="20"/>
      <c r="WI48" s="20"/>
      <c r="WJ48" s="21"/>
      <c r="WK48" s="21"/>
      <c r="WL48" s="7"/>
      <c r="WM48" s="7"/>
      <c r="WN48" s="21"/>
      <c r="WO48" s="20"/>
      <c r="WP48" s="20"/>
      <c r="WQ48" s="20"/>
      <c r="WR48" s="21"/>
      <c r="WS48" s="21"/>
      <c r="WT48" s="21"/>
      <c r="WU48" s="21"/>
      <c r="WV48" s="21"/>
      <c r="WW48" s="20"/>
      <c r="WX48" s="20"/>
      <c r="WY48" s="20"/>
      <c r="WZ48" s="20"/>
      <c r="XA48" s="21"/>
      <c r="XB48" s="21"/>
      <c r="XC48" s="7"/>
      <c r="XD48" s="7"/>
      <c r="XE48" s="21"/>
      <c r="XF48" s="20"/>
      <c r="XG48" s="20"/>
      <c r="XH48" s="20"/>
      <c r="XI48" s="21"/>
      <c r="XJ48" s="21"/>
      <c r="XK48" s="21"/>
      <c r="XL48" s="21"/>
      <c r="XM48" s="21"/>
      <c r="XN48" s="20"/>
      <c r="XO48" s="20"/>
      <c r="XP48" s="20"/>
      <c r="XQ48" s="20"/>
      <c r="XR48" s="21"/>
      <c r="XS48" s="21"/>
      <c r="XT48" s="7"/>
      <c r="XU48" s="7"/>
      <c r="XV48" s="21"/>
      <c r="XW48" s="20"/>
      <c r="XX48" s="20"/>
      <c r="XY48" s="20"/>
      <c r="XZ48" s="21"/>
      <c r="YA48" s="21"/>
      <c r="YB48" s="21"/>
      <c r="YC48" s="21"/>
      <c r="YD48" s="21"/>
      <c r="YE48" s="20"/>
      <c r="YF48" s="20"/>
      <c r="YG48" s="20"/>
      <c r="YH48" s="20"/>
      <c r="YI48" s="21"/>
      <c r="YJ48" s="21"/>
      <c r="YK48" s="7"/>
      <c r="YL48" s="7"/>
      <c r="YM48" s="21"/>
      <c r="YN48" s="20"/>
      <c r="YO48" s="20"/>
      <c r="YP48" s="20"/>
      <c r="YQ48" s="21"/>
      <c r="YR48" s="21"/>
      <c r="YS48" s="21"/>
      <c r="YT48" s="21"/>
      <c r="YU48" s="21"/>
      <c r="YV48" s="20"/>
      <c r="YW48" s="20"/>
      <c r="YX48" s="20"/>
      <c r="YY48" s="20"/>
      <c r="YZ48" s="21"/>
      <c r="ZA48" s="21"/>
      <c r="ZB48" s="7"/>
      <c r="ZC48" s="7"/>
      <c r="ZD48" s="21"/>
      <c r="ZE48" s="20"/>
      <c r="ZF48" s="20"/>
      <c r="ZG48" s="20"/>
      <c r="ZH48" s="21"/>
      <c r="ZI48" s="21"/>
      <c r="ZJ48" s="21"/>
      <c r="ZK48" s="21"/>
      <c r="ZL48" s="21"/>
      <c r="ZM48" s="20"/>
      <c r="ZN48" s="20"/>
      <c r="ZO48" s="20"/>
      <c r="ZP48" s="20"/>
      <c r="ZQ48" s="21"/>
      <c r="ZR48" s="21"/>
      <c r="ZS48" s="7"/>
      <c r="ZT48" s="7"/>
      <c r="ZU48" s="21"/>
      <c r="ZV48" s="20"/>
      <c r="ZW48" s="20"/>
      <c r="ZX48" s="20"/>
      <c r="ZY48" s="21"/>
      <c r="ZZ48" s="21"/>
      <c r="AAA48" s="21"/>
      <c r="AAB48" s="21"/>
      <c r="AAC48" s="21"/>
      <c r="AAD48" s="20"/>
      <c r="AAE48" s="20"/>
      <c r="AAF48" s="20"/>
      <c r="AAG48" s="20"/>
      <c r="AAH48" s="21"/>
      <c r="AAI48" s="21"/>
      <c r="AAJ48" s="7"/>
      <c r="AAK48" s="7"/>
      <c r="AAL48" s="21"/>
      <c r="AAM48" s="20"/>
      <c r="AAN48" s="20"/>
      <c r="AAO48" s="20"/>
      <c r="AAP48" s="21"/>
      <c r="AAQ48" s="21"/>
      <c r="AAR48" s="21"/>
      <c r="AAS48" s="21"/>
      <c r="AAT48" s="21"/>
      <c r="AAU48" s="20"/>
      <c r="AAV48" s="20"/>
      <c r="AAW48" s="20"/>
      <c r="AAX48" s="20"/>
      <c r="AAY48" s="21"/>
      <c r="AAZ48" s="21"/>
      <c r="ABA48" s="7"/>
      <c r="ABB48" s="7"/>
      <c r="ABC48" s="21"/>
      <c r="ABD48" s="20"/>
      <c r="ABE48" s="20"/>
      <c r="ABF48" s="20"/>
      <c r="ABG48" s="21"/>
      <c r="ABH48" s="21"/>
      <c r="ABI48" s="21"/>
      <c r="ABJ48" s="21"/>
      <c r="ABK48" s="21"/>
      <c r="ABL48" s="20"/>
      <c r="ABM48" s="20"/>
      <c r="ABN48" s="20"/>
      <c r="ABO48" s="20"/>
      <c r="ABP48" s="21"/>
      <c r="ABQ48" s="21"/>
      <c r="ABR48" s="7"/>
      <c r="ABS48" s="7"/>
      <c r="ABT48" s="21"/>
      <c r="ABU48" s="20"/>
      <c r="ABV48" s="20"/>
      <c r="ABW48" s="20"/>
      <c r="ABX48" s="21"/>
      <c r="ABY48" s="21"/>
      <c r="ABZ48" s="21"/>
      <c r="ACA48" s="21"/>
      <c r="ACB48" s="21"/>
      <c r="ACC48" s="20"/>
      <c r="ACD48" s="20"/>
      <c r="ACE48" s="20"/>
      <c r="ACF48" s="20"/>
      <c r="ACG48" s="21"/>
      <c r="ACH48" s="21"/>
      <c r="ACI48" s="7"/>
      <c r="ACJ48" s="7"/>
      <c r="ACK48" s="21"/>
      <c r="ACL48" s="20"/>
      <c r="ACM48" s="20"/>
      <c r="ACN48" s="20"/>
      <c r="ACO48" s="21"/>
      <c r="ACP48" s="21"/>
      <c r="ACQ48" s="21"/>
      <c r="ACR48" s="21"/>
      <c r="ACS48" s="21"/>
      <c r="ACT48" s="20"/>
      <c r="ACU48" s="20"/>
      <c r="ACV48" s="20"/>
      <c r="ACW48" s="20"/>
      <c r="ACX48" s="21"/>
      <c r="ACY48" s="21"/>
      <c r="ACZ48" s="7"/>
      <c r="ADA48" s="7"/>
      <c r="ADB48" s="21"/>
      <c r="ADC48" s="20"/>
      <c r="ADD48" s="20"/>
      <c r="ADE48" s="20"/>
      <c r="ADF48" s="21"/>
      <c r="ADG48" s="21"/>
      <c r="ADH48" s="21"/>
      <c r="ADI48" s="21"/>
      <c r="ADJ48" s="21"/>
      <c r="ADK48" s="20"/>
      <c r="ADL48" s="20"/>
      <c r="ADM48" s="20"/>
      <c r="ADN48" s="20"/>
      <c r="ADO48" s="21"/>
      <c r="ADP48" s="21"/>
      <c r="ADQ48" s="7"/>
      <c r="ADR48" s="7"/>
      <c r="ADS48" s="21"/>
      <c r="ADT48" s="20"/>
      <c r="ADU48" s="20"/>
      <c r="ADV48" s="20"/>
      <c r="ADW48" s="21"/>
      <c r="ADX48" s="21"/>
      <c r="ADY48" s="21"/>
      <c r="ADZ48" s="21"/>
      <c r="AEA48" s="21"/>
      <c r="AEB48" s="20"/>
      <c r="AEC48" s="20"/>
      <c r="AED48" s="20"/>
      <c r="AEE48" s="20"/>
      <c r="AEF48" s="21"/>
      <c r="AEG48" s="21"/>
      <c r="AEH48" s="7"/>
      <c r="AEI48" s="7"/>
      <c r="AEJ48" s="21"/>
      <c r="AEK48" s="20"/>
      <c r="AEL48" s="20"/>
      <c r="AEM48" s="20"/>
      <c r="AEN48" s="21"/>
      <c r="AEO48" s="21"/>
      <c r="AEP48" s="21"/>
      <c r="AEQ48" s="21"/>
      <c r="AER48" s="21"/>
      <c r="AES48" s="20"/>
      <c r="AET48" s="20"/>
      <c r="AEU48" s="20"/>
      <c r="AEV48" s="20"/>
      <c r="AEW48" s="21"/>
      <c r="AEX48" s="21"/>
      <c r="AEY48" s="7"/>
      <c r="AEZ48" s="7"/>
      <c r="AFA48" s="21"/>
      <c r="AFB48" s="20"/>
      <c r="AFC48" s="20"/>
      <c r="AFD48" s="20"/>
      <c r="AFE48" s="21"/>
      <c r="AFF48" s="21"/>
      <c r="AFG48" s="21"/>
      <c r="AFH48" s="21"/>
      <c r="AFI48" s="21"/>
      <c r="AFJ48" s="20"/>
      <c r="AFK48" s="20"/>
      <c r="AFL48" s="20"/>
      <c r="AFM48" s="20"/>
      <c r="AFN48" s="21"/>
      <c r="AFO48" s="21"/>
      <c r="AFP48" s="7"/>
      <c r="AFQ48" s="7"/>
      <c r="AFR48" s="21"/>
      <c r="AFS48" s="20"/>
      <c r="AFT48" s="20"/>
      <c r="AFU48" s="20"/>
      <c r="AFV48" s="21"/>
      <c r="AFW48" s="21"/>
      <c r="AFX48" s="21"/>
      <c r="AFY48" s="21"/>
      <c r="AFZ48" s="21"/>
      <c r="AGA48" s="20"/>
      <c r="AGB48" s="20"/>
      <c r="AGC48" s="20"/>
      <c r="AGD48" s="20"/>
      <c r="AGE48" s="21"/>
      <c r="AGF48" s="21"/>
      <c r="AGG48" s="7"/>
      <c r="AGH48" s="7"/>
      <c r="AGI48" s="21"/>
      <c r="AGJ48" s="20"/>
      <c r="AGK48" s="20"/>
      <c r="AGL48" s="20"/>
      <c r="AGM48" s="21"/>
      <c r="AGN48" s="21"/>
      <c r="AGO48" s="21"/>
      <c r="AGP48" s="21"/>
      <c r="AGQ48" s="21"/>
      <c r="AGR48" s="20"/>
      <c r="AGS48" s="20"/>
      <c r="AGT48" s="20"/>
      <c r="AGU48" s="20"/>
      <c r="AGV48" s="21"/>
      <c r="AGW48" s="21"/>
      <c r="AGX48" s="7"/>
      <c r="AGY48" s="7"/>
      <c r="AGZ48" s="21"/>
      <c r="AHA48" s="20"/>
      <c r="AHB48" s="20"/>
      <c r="AHC48" s="20"/>
      <c r="AHD48" s="21"/>
      <c r="AHE48" s="21"/>
      <c r="AHF48" s="21"/>
      <c r="AHG48" s="21"/>
      <c r="AHH48" s="21"/>
      <c r="AHI48" s="20"/>
      <c r="AHJ48" s="20"/>
      <c r="AHK48" s="20"/>
      <c r="AHL48" s="20"/>
      <c r="AHM48" s="21"/>
      <c r="AHN48" s="21"/>
      <c r="AHO48" s="7"/>
      <c r="AHP48" s="7"/>
      <c r="AHQ48" s="21"/>
      <c r="AHR48" s="20"/>
      <c r="AHS48" s="20"/>
      <c r="AHT48" s="20"/>
      <c r="AHU48" s="21"/>
      <c r="AHV48" s="21"/>
      <c r="AHW48" s="21"/>
      <c r="AHX48" s="21"/>
      <c r="AHY48" s="21"/>
      <c r="AHZ48" s="20"/>
      <c r="AIA48" s="20"/>
      <c r="AIB48" s="20"/>
      <c r="AIC48" s="20"/>
      <c r="AID48" s="21"/>
      <c r="AIE48" s="21"/>
      <c r="AIF48" s="7"/>
      <c r="AIG48" s="7"/>
      <c r="AIH48" s="21"/>
      <c r="AII48" s="20"/>
      <c r="AIJ48" s="20"/>
      <c r="AIK48" s="20"/>
      <c r="AIL48" s="21"/>
      <c r="AIM48" s="21"/>
      <c r="AIN48" s="21"/>
      <c r="AIO48" s="21"/>
      <c r="AIP48" s="21"/>
      <c r="AIQ48" s="20"/>
      <c r="AIR48" s="20"/>
      <c r="AIS48" s="20"/>
      <c r="AIT48" s="20"/>
      <c r="AIU48" s="21"/>
      <c r="AIV48" s="21"/>
      <c r="AIW48" s="7"/>
      <c r="AIX48" s="7"/>
      <c r="AIY48" s="21"/>
      <c r="AIZ48" s="20"/>
      <c r="AJA48" s="20"/>
      <c r="AJB48" s="20"/>
      <c r="AJC48" s="21"/>
      <c r="AJD48" s="21"/>
      <c r="AJE48" s="21"/>
      <c r="AJF48" s="21"/>
      <c r="AJG48" s="21"/>
      <c r="AJH48" s="20"/>
      <c r="AJI48" s="20"/>
      <c r="AJJ48" s="20"/>
      <c r="AJK48" s="20"/>
      <c r="AJL48" s="21"/>
      <c r="AJM48" s="21"/>
      <c r="AJN48" s="7"/>
      <c r="AJO48" s="7"/>
      <c r="AJP48" s="21"/>
      <c r="AJQ48" s="20"/>
      <c r="AJR48" s="20"/>
      <c r="AJS48" s="20"/>
      <c r="AJT48" s="21"/>
      <c r="AJU48" s="21"/>
      <c r="AJV48" s="21"/>
      <c r="AJW48" s="21"/>
      <c r="AJX48" s="21"/>
      <c r="AJY48" s="20"/>
      <c r="AJZ48" s="20"/>
      <c r="AKA48" s="20"/>
      <c r="AKB48" s="20"/>
      <c r="AKC48" s="21"/>
      <c r="AKD48" s="21"/>
      <c r="AKE48" s="7"/>
      <c r="AKF48" s="7"/>
      <c r="AKG48" s="21"/>
      <c r="AKH48" s="20"/>
      <c r="AKI48" s="20"/>
      <c r="AKJ48" s="20"/>
      <c r="AKK48" s="21"/>
      <c r="AKL48" s="21"/>
      <c r="AKM48" s="21"/>
      <c r="AKN48" s="21"/>
      <c r="AKO48" s="21"/>
      <c r="AKP48" s="20"/>
      <c r="AKQ48" s="20"/>
      <c r="AKR48" s="20"/>
      <c r="AKS48" s="20"/>
      <c r="AKT48" s="21"/>
      <c r="AKU48" s="21"/>
      <c r="AKV48" s="7"/>
      <c r="AKW48" s="7"/>
      <c r="AKX48" s="21"/>
      <c r="AKY48" s="20"/>
      <c r="AKZ48" s="20"/>
      <c r="ALA48" s="20"/>
      <c r="ALB48" s="21"/>
      <c r="ALC48" s="21"/>
      <c r="ALD48" s="21"/>
      <c r="ALE48" s="21"/>
      <c r="ALF48" s="21"/>
      <c r="ALG48" s="20"/>
      <c r="ALH48" s="20"/>
      <c r="ALI48" s="20"/>
      <c r="ALJ48" s="20"/>
      <c r="ALK48" s="21"/>
      <c r="ALL48" s="21"/>
      <c r="ALM48" s="7"/>
      <c r="ALN48" s="7"/>
      <c r="ALO48" s="21"/>
      <c r="ALP48" s="20"/>
      <c r="ALQ48" s="20"/>
      <c r="ALR48" s="20"/>
      <c r="ALS48" s="21"/>
      <c r="ALT48" s="21"/>
      <c r="ALU48" s="21"/>
      <c r="ALV48" s="21"/>
      <c r="ALW48" s="21"/>
      <c r="ALX48" s="20"/>
      <c r="ALY48" s="20"/>
      <c r="ALZ48" s="20"/>
      <c r="AMA48" s="20"/>
      <c r="AMB48" s="21"/>
      <c r="AMC48" s="21"/>
      <c r="AMD48" s="7"/>
      <c r="AME48" s="7"/>
      <c r="AMF48" s="21"/>
      <c r="AMG48" s="20"/>
      <c r="AMH48" s="20"/>
      <c r="AMI48" s="20"/>
      <c r="AMJ48" s="21"/>
      <c r="AMK48" s="21"/>
      <c r="AML48" s="21"/>
      <c r="AMM48" s="21"/>
      <c r="AMN48" s="21"/>
      <c r="AMO48" s="20"/>
      <c r="AMP48" s="20"/>
      <c r="AMQ48" s="20"/>
      <c r="AMR48" s="20"/>
      <c r="AMS48" s="21"/>
      <c r="AMT48" s="21"/>
      <c r="AMU48" s="7"/>
      <c r="AMV48" s="7"/>
      <c r="AMW48" s="21"/>
      <c r="AMX48" s="20"/>
      <c r="AMY48" s="20"/>
      <c r="AMZ48" s="20"/>
      <c r="ANA48" s="21"/>
      <c r="ANB48" s="21"/>
      <c r="ANC48" s="21"/>
      <c r="AND48" s="21"/>
      <c r="ANE48" s="21"/>
      <c r="ANF48" s="20"/>
      <c r="ANG48" s="20"/>
      <c r="ANH48" s="20"/>
      <c r="ANI48" s="20"/>
      <c r="ANJ48" s="21"/>
      <c r="ANK48" s="21"/>
      <c r="ANL48" s="7"/>
      <c r="ANM48" s="7"/>
      <c r="ANN48" s="21"/>
      <c r="ANO48" s="20"/>
      <c r="ANP48" s="20"/>
      <c r="ANQ48" s="20"/>
      <c r="ANR48" s="21"/>
      <c r="ANS48" s="21"/>
      <c r="ANT48" s="21"/>
      <c r="ANU48" s="21"/>
      <c r="ANV48" s="21"/>
      <c r="ANW48" s="20"/>
      <c r="ANX48" s="20"/>
      <c r="ANY48" s="20"/>
      <c r="ANZ48" s="20"/>
      <c r="AOA48" s="21"/>
      <c r="AOB48" s="21"/>
      <c r="AOC48" s="7"/>
      <c r="AOD48" s="7"/>
      <c r="AOE48" s="21"/>
      <c r="AOF48" s="20"/>
      <c r="AOG48" s="20"/>
      <c r="AOH48" s="20"/>
      <c r="AOI48" s="21"/>
      <c r="AOJ48" s="21"/>
      <c r="AOK48" s="21"/>
      <c r="AOL48" s="21"/>
      <c r="AOM48" s="21"/>
      <c r="AON48" s="20"/>
      <c r="AOO48" s="20"/>
      <c r="AOP48" s="20"/>
      <c r="AOQ48" s="20"/>
      <c r="AOR48" s="21"/>
      <c r="AOS48" s="21"/>
      <c r="AOT48" s="7"/>
      <c r="AOU48" s="7"/>
      <c r="AOV48" s="21"/>
      <c r="AOW48" s="20"/>
      <c r="AOX48" s="20"/>
      <c r="AOY48" s="20"/>
      <c r="AOZ48" s="21"/>
      <c r="APA48" s="21"/>
      <c r="APB48" s="21"/>
      <c r="APC48" s="21"/>
      <c r="APD48" s="21"/>
      <c r="APE48" s="20"/>
      <c r="APF48" s="20"/>
      <c r="APG48" s="20"/>
      <c r="APH48" s="20"/>
      <c r="API48" s="21"/>
      <c r="APJ48" s="21"/>
      <c r="APK48" s="7"/>
      <c r="APL48" s="7"/>
      <c r="APM48" s="21"/>
      <c r="APN48" s="20"/>
      <c r="APO48" s="20"/>
      <c r="APP48" s="20"/>
      <c r="APQ48" s="21"/>
      <c r="APR48" s="21"/>
      <c r="APS48" s="21"/>
      <c r="APT48" s="21"/>
      <c r="APU48" s="21"/>
      <c r="APV48" s="20"/>
      <c r="APW48" s="20"/>
      <c r="APX48" s="20"/>
      <c r="APY48" s="20"/>
      <c r="APZ48" s="21"/>
      <c r="AQA48" s="21"/>
      <c r="AQB48" s="7"/>
      <c r="AQC48" s="7"/>
      <c r="AQD48" s="21"/>
      <c r="AQE48" s="20"/>
      <c r="AQF48" s="20"/>
      <c r="AQG48" s="20"/>
      <c r="AQH48" s="21"/>
      <c r="AQI48" s="21"/>
      <c r="AQJ48" s="21"/>
      <c r="AQK48" s="21"/>
      <c r="AQL48" s="21"/>
      <c r="AQM48" s="20"/>
      <c r="AQN48" s="20"/>
      <c r="AQO48" s="20"/>
      <c r="AQP48" s="20"/>
      <c r="AQQ48" s="21"/>
      <c r="AQR48" s="21"/>
      <c r="AQS48" s="7"/>
      <c r="AQT48" s="7"/>
      <c r="AQU48" s="21"/>
      <c r="AQV48" s="20"/>
      <c r="AQW48" s="20"/>
      <c r="AQX48" s="20"/>
      <c r="AQY48" s="21"/>
      <c r="AQZ48" s="21"/>
      <c r="ARA48" s="21"/>
      <c r="ARB48" s="21"/>
      <c r="ARC48" s="21"/>
      <c r="ARD48" s="20"/>
      <c r="ARE48" s="20"/>
      <c r="ARF48" s="20"/>
      <c r="ARG48" s="20"/>
      <c r="ARH48" s="21"/>
      <c r="ARI48" s="21"/>
      <c r="ARJ48" s="7"/>
      <c r="ARK48" s="7"/>
      <c r="ARL48" s="21"/>
      <c r="ARM48" s="20"/>
      <c r="ARN48" s="20"/>
      <c r="ARO48" s="20"/>
      <c r="ARP48" s="21"/>
      <c r="ARQ48" s="21"/>
      <c r="ARR48" s="21"/>
      <c r="ARS48" s="21"/>
      <c r="ART48" s="21"/>
      <c r="ARU48" s="20"/>
      <c r="ARV48" s="20"/>
      <c r="ARW48" s="20"/>
      <c r="ARX48" s="20"/>
      <c r="ARY48" s="21"/>
      <c r="ARZ48" s="21"/>
      <c r="ASA48" s="7"/>
      <c r="ASB48" s="7"/>
      <c r="ASC48" s="21"/>
      <c r="ASD48" s="20"/>
      <c r="ASE48" s="20"/>
      <c r="ASF48" s="20"/>
      <c r="ASG48" s="21"/>
      <c r="ASH48" s="21"/>
      <c r="ASI48" s="21"/>
      <c r="ASJ48" s="21"/>
      <c r="ASK48" s="21"/>
      <c r="ASL48" s="20"/>
      <c r="ASM48" s="20"/>
      <c r="ASN48" s="20"/>
      <c r="ASO48" s="20"/>
      <c r="ASP48" s="21"/>
      <c r="ASQ48" s="21"/>
      <c r="ASR48" s="7"/>
      <c r="ASS48" s="7"/>
      <c r="AST48" s="21"/>
      <c r="ASU48" s="20"/>
      <c r="ASV48" s="20"/>
      <c r="ASW48" s="20"/>
      <c r="ASX48" s="21"/>
      <c r="ASY48" s="21"/>
      <c r="ASZ48" s="21"/>
      <c r="ATA48" s="21"/>
      <c r="ATB48" s="21"/>
      <c r="ATC48" s="20"/>
      <c r="ATD48" s="20"/>
      <c r="ATE48" s="20"/>
      <c r="ATF48" s="20"/>
      <c r="ATG48" s="21"/>
      <c r="ATH48" s="21"/>
      <c r="ATI48" s="7"/>
      <c r="ATJ48" s="7"/>
      <c r="ATK48" s="21"/>
      <c r="ATL48" s="20"/>
      <c r="ATM48" s="20"/>
      <c r="ATN48" s="20"/>
      <c r="ATO48" s="21"/>
      <c r="ATP48" s="21"/>
      <c r="ATQ48" s="21"/>
      <c r="ATR48" s="21"/>
      <c r="ATS48" s="21"/>
      <c r="ATT48" s="20"/>
      <c r="ATU48" s="20"/>
      <c r="ATV48" s="20"/>
      <c r="ATW48" s="20"/>
      <c r="ATX48" s="21"/>
      <c r="ATY48" s="21"/>
      <c r="ATZ48" s="7"/>
      <c r="AUA48" s="7"/>
      <c r="AUB48" s="21"/>
      <c r="AUC48" s="20"/>
      <c r="AUD48" s="20"/>
      <c r="AUE48" s="20"/>
      <c r="AUF48" s="21"/>
      <c r="AUG48" s="21"/>
      <c r="AUH48" s="21"/>
      <c r="AUI48" s="21"/>
      <c r="AUJ48" s="21"/>
      <c r="AUK48" s="20"/>
      <c r="AUL48" s="20"/>
      <c r="AUM48" s="20"/>
      <c r="AUN48" s="20"/>
      <c r="AUO48" s="21"/>
      <c r="AUP48" s="21"/>
      <c r="AUQ48" s="7"/>
      <c r="AUR48" s="7"/>
      <c r="AUS48" s="21"/>
      <c r="AUT48" s="20"/>
      <c r="AUU48" s="20"/>
      <c r="AUV48" s="20"/>
      <c r="AUW48" s="21"/>
      <c r="AUX48" s="21"/>
      <c r="AUY48" s="21"/>
      <c r="AUZ48" s="21"/>
      <c r="AVA48" s="21"/>
      <c r="AVB48" s="20"/>
      <c r="AVC48" s="20"/>
      <c r="AVD48" s="20"/>
      <c r="AVE48" s="20"/>
      <c r="AVF48" s="21"/>
      <c r="AVG48" s="21"/>
      <c r="AVH48" s="7"/>
      <c r="AVI48" s="7"/>
      <c r="AVJ48" s="21"/>
      <c r="AVK48" s="20"/>
      <c r="AVL48" s="20"/>
      <c r="AVM48" s="20"/>
      <c r="AVN48" s="21"/>
      <c r="AVO48" s="21"/>
      <c r="AVP48" s="21"/>
      <c r="AVQ48" s="21"/>
      <c r="AVR48" s="21"/>
      <c r="AVS48" s="20"/>
      <c r="AVT48" s="20"/>
      <c r="AVU48" s="20"/>
      <c r="AVV48" s="20"/>
      <c r="AVW48" s="21"/>
      <c r="AVX48" s="21"/>
      <c r="AVY48" s="7"/>
      <c r="AVZ48" s="7"/>
      <c r="AWA48" s="21"/>
      <c r="AWB48" s="20"/>
      <c r="AWC48" s="20"/>
      <c r="AWD48" s="20"/>
      <c r="AWE48" s="21"/>
      <c r="AWF48" s="21"/>
      <c r="AWG48" s="21"/>
      <c r="AWH48" s="21"/>
      <c r="AWI48" s="21"/>
      <c r="AWJ48" s="20"/>
      <c r="AWK48" s="20"/>
      <c r="AWL48" s="20"/>
      <c r="AWM48" s="20"/>
      <c r="AWN48" s="21"/>
      <c r="AWO48" s="21"/>
      <c r="AWP48" s="7"/>
      <c r="AWQ48" s="7"/>
      <c r="AWR48" s="21"/>
      <c r="AWS48" s="20"/>
      <c r="AWT48" s="20"/>
      <c r="AWU48" s="20"/>
      <c r="AWV48" s="21"/>
      <c r="AWW48" s="21"/>
      <c r="AWX48" s="21"/>
      <c r="AWY48" s="21"/>
      <c r="AWZ48" s="21"/>
      <c r="AXA48" s="20"/>
      <c r="AXB48" s="20"/>
      <c r="AXC48" s="20"/>
      <c r="AXD48" s="20"/>
      <c r="AXE48" s="21"/>
      <c r="AXF48" s="21"/>
      <c r="AXG48" s="7"/>
      <c r="AXH48" s="7"/>
      <c r="AXI48" s="21"/>
      <c r="AXJ48" s="20"/>
      <c r="AXK48" s="20"/>
      <c r="AXL48" s="20"/>
      <c r="AXM48" s="21"/>
      <c r="AXN48" s="21"/>
      <c r="AXO48" s="21"/>
      <c r="AXP48" s="21"/>
      <c r="AXQ48" s="21"/>
      <c r="AXR48" s="20"/>
      <c r="AXS48" s="20"/>
      <c r="AXT48" s="20"/>
      <c r="AXU48" s="20"/>
      <c r="AXV48" s="21"/>
      <c r="AXW48" s="21"/>
      <c r="AXX48" s="7"/>
      <c r="AXY48" s="7"/>
      <c r="AXZ48" s="21"/>
      <c r="AYA48" s="20"/>
      <c r="AYB48" s="20"/>
      <c r="AYC48" s="20"/>
      <c r="AYD48" s="21"/>
      <c r="AYE48" s="21"/>
      <c r="AYF48" s="21"/>
      <c r="AYG48" s="21"/>
      <c r="AYH48" s="21"/>
      <c r="AYI48" s="20"/>
      <c r="AYJ48" s="20"/>
      <c r="AYK48" s="20"/>
      <c r="AYL48" s="20"/>
      <c r="AYM48" s="21"/>
      <c r="AYN48" s="21"/>
      <c r="AYO48" s="7"/>
      <c r="AYP48" s="7"/>
      <c r="AYQ48" s="21"/>
      <c r="AYR48" s="20"/>
      <c r="AYS48" s="20"/>
      <c r="AYT48" s="20"/>
      <c r="AYU48" s="21"/>
      <c r="AYV48" s="21"/>
      <c r="AYW48" s="21"/>
      <c r="AYX48" s="21"/>
      <c r="AYY48" s="21"/>
      <c r="AYZ48" s="20"/>
      <c r="AZA48" s="20"/>
      <c r="AZB48" s="20"/>
      <c r="AZC48" s="20"/>
      <c r="AZD48" s="21"/>
      <c r="AZE48" s="21"/>
      <c r="AZF48" s="7"/>
      <c r="AZG48" s="7"/>
      <c r="AZH48" s="21"/>
      <c r="AZI48" s="20"/>
      <c r="AZJ48" s="20"/>
      <c r="AZK48" s="20"/>
      <c r="AZL48" s="21"/>
      <c r="AZM48" s="21"/>
      <c r="AZN48" s="21"/>
      <c r="AZO48" s="21"/>
      <c r="AZP48" s="21"/>
      <c r="AZQ48" s="20"/>
      <c r="AZR48" s="20"/>
      <c r="AZS48" s="20"/>
      <c r="AZT48" s="20"/>
      <c r="AZU48" s="21"/>
      <c r="AZV48" s="21"/>
      <c r="AZW48" s="7"/>
      <c r="AZX48" s="7"/>
      <c r="AZY48" s="21"/>
      <c r="AZZ48" s="20"/>
      <c r="BAA48" s="20"/>
      <c r="BAB48" s="20"/>
      <c r="BAC48" s="21"/>
      <c r="BAD48" s="21"/>
      <c r="BAE48" s="21"/>
      <c r="BAF48" s="21"/>
      <c r="BAG48" s="21"/>
      <c r="BAH48" s="20"/>
      <c r="BAI48" s="20"/>
      <c r="BAJ48" s="20"/>
      <c r="BAK48" s="20"/>
      <c r="BAL48" s="21"/>
      <c r="BAM48" s="21"/>
      <c r="BAN48" s="7"/>
      <c r="BAO48" s="7"/>
      <c r="BAP48" s="21"/>
      <c r="BAQ48" s="20"/>
      <c r="BAR48" s="20"/>
      <c r="BAS48" s="20"/>
      <c r="BAT48" s="21"/>
      <c r="BAU48" s="21"/>
      <c r="BAV48" s="21"/>
      <c r="BAW48" s="21"/>
      <c r="BAX48" s="21"/>
      <c r="BAY48" s="20"/>
      <c r="BAZ48" s="20"/>
      <c r="BBA48" s="20"/>
      <c r="BBB48" s="20"/>
      <c r="BBC48" s="21"/>
      <c r="BBD48" s="21"/>
      <c r="BBE48" s="7"/>
      <c r="BBF48" s="7"/>
      <c r="BBG48" s="21"/>
      <c r="BBH48" s="20"/>
      <c r="BBI48" s="20"/>
      <c r="BBJ48" s="20"/>
      <c r="BBK48" s="21"/>
      <c r="BBL48" s="21"/>
      <c r="BBM48" s="21"/>
      <c r="BBN48" s="21"/>
      <c r="BBO48" s="21"/>
      <c r="BBP48" s="20"/>
      <c r="BBQ48" s="20"/>
      <c r="BBR48" s="20"/>
      <c r="BBS48" s="20"/>
      <c r="BBT48" s="21"/>
      <c r="BBU48" s="21"/>
      <c r="BBV48" s="7"/>
      <c r="BBW48" s="7"/>
      <c r="BBX48" s="21"/>
      <c r="BBY48" s="20"/>
      <c r="BBZ48" s="20"/>
      <c r="BCA48" s="20"/>
      <c r="BCB48" s="21"/>
      <c r="BCC48" s="21"/>
      <c r="BCD48" s="21"/>
      <c r="BCE48" s="21"/>
      <c r="BCF48" s="21"/>
      <c r="BCG48" s="20"/>
      <c r="BCH48" s="20"/>
      <c r="BCI48" s="20"/>
      <c r="BCJ48" s="20"/>
      <c r="BCK48" s="21"/>
      <c r="BCL48" s="21"/>
      <c r="BCM48" s="7"/>
      <c r="BCN48" s="7"/>
      <c r="BCO48" s="21"/>
      <c r="BCP48" s="20"/>
      <c r="BCQ48" s="20"/>
      <c r="BCR48" s="20"/>
      <c r="BCS48" s="21"/>
      <c r="BCT48" s="21"/>
      <c r="BCU48" s="21"/>
      <c r="BCV48" s="21"/>
      <c r="BCW48" s="21"/>
      <c r="BCX48" s="20"/>
      <c r="BCY48" s="20"/>
      <c r="BCZ48" s="20"/>
      <c r="BDA48" s="20"/>
      <c r="BDB48" s="21"/>
      <c r="BDC48" s="21"/>
      <c r="BDD48" s="7"/>
      <c r="BDE48" s="7"/>
      <c r="BDF48" s="21"/>
      <c r="BDG48" s="20"/>
      <c r="BDH48" s="20"/>
      <c r="BDI48" s="20"/>
      <c r="BDJ48" s="21"/>
      <c r="BDK48" s="21"/>
      <c r="BDL48" s="21"/>
      <c r="BDM48" s="21"/>
      <c r="BDN48" s="21"/>
      <c r="BDO48" s="20"/>
      <c r="BDP48" s="20"/>
      <c r="BDQ48" s="20"/>
      <c r="BDR48" s="20"/>
      <c r="BDS48" s="21"/>
      <c r="BDT48" s="21"/>
      <c r="BDU48" s="7"/>
      <c r="BDV48" s="7"/>
      <c r="BDW48" s="21"/>
      <c r="BDX48" s="20"/>
      <c r="BDY48" s="20"/>
      <c r="BDZ48" s="20"/>
      <c r="BEA48" s="21"/>
      <c r="BEB48" s="21"/>
      <c r="BEC48" s="21"/>
      <c r="BED48" s="21"/>
      <c r="BEE48" s="21"/>
      <c r="BEF48" s="20"/>
      <c r="BEG48" s="20"/>
      <c r="BEH48" s="20"/>
      <c r="BEI48" s="20"/>
      <c r="BEJ48" s="21"/>
      <c r="BEK48" s="21"/>
      <c r="BEL48" s="7"/>
      <c r="BEM48" s="7"/>
      <c r="BEN48" s="21"/>
      <c r="BEO48" s="20"/>
      <c r="BEP48" s="20"/>
      <c r="BEQ48" s="20"/>
      <c r="BER48" s="21"/>
      <c r="BES48" s="21"/>
      <c r="BET48" s="21"/>
      <c r="BEU48" s="21"/>
      <c r="BEV48" s="21"/>
      <c r="BEW48" s="20"/>
      <c r="BEX48" s="20"/>
      <c r="BEY48" s="20"/>
      <c r="BEZ48" s="20"/>
      <c r="BFA48" s="21"/>
      <c r="BFB48" s="21"/>
      <c r="BFC48" s="7"/>
      <c r="BFD48" s="7"/>
      <c r="BFE48" s="21"/>
      <c r="BFF48" s="20"/>
      <c r="BFG48" s="20"/>
      <c r="BFH48" s="20"/>
      <c r="BFI48" s="21"/>
      <c r="BFJ48" s="21"/>
      <c r="BFK48" s="21"/>
      <c r="BFL48" s="21"/>
      <c r="BFM48" s="21"/>
      <c r="BFN48" s="20"/>
      <c r="BFO48" s="20"/>
      <c r="BFP48" s="20"/>
      <c r="BFQ48" s="20"/>
      <c r="BFR48" s="21"/>
      <c r="BFS48" s="21"/>
      <c r="BFT48" s="7"/>
      <c r="BFU48" s="7"/>
      <c r="BFV48" s="21"/>
      <c r="BFW48" s="20"/>
      <c r="BFX48" s="20"/>
      <c r="BFY48" s="20"/>
      <c r="BFZ48" s="21"/>
      <c r="BGA48" s="21"/>
      <c r="BGB48" s="21"/>
      <c r="BGC48" s="21"/>
      <c r="BGD48" s="21"/>
      <c r="BGE48" s="20"/>
      <c r="BGF48" s="20"/>
      <c r="BGG48" s="20"/>
      <c r="BGH48" s="20"/>
      <c r="BGI48" s="21"/>
      <c r="BGJ48" s="21"/>
      <c r="BGK48" s="7"/>
      <c r="BGL48" s="7"/>
      <c r="BGM48" s="21"/>
      <c r="BGN48" s="20"/>
      <c r="BGO48" s="20"/>
      <c r="BGP48" s="20"/>
      <c r="BGQ48" s="21"/>
      <c r="BGR48" s="21"/>
      <c r="BGS48" s="21"/>
      <c r="BGT48" s="21"/>
      <c r="BGU48" s="21"/>
      <c r="BGV48" s="20"/>
      <c r="BGW48" s="20"/>
      <c r="BGX48" s="20"/>
      <c r="BGY48" s="20"/>
      <c r="BGZ48" s="21"/>
      <c r="BHA48" s="21"/>
      <c r="BHB48" s="7"/>
      <c r="BHC48" s="7"/>
      <c r="BHD48" s="21"/>
      <c r="BHE48" s="20"/>
      <c r="BHF48" s="20"/>
      <c r="BHG48" s="20"/>
      <c r="BHH48" s="21"/>
      <c r="BHI48" s="21"/>
      <c r="BHJ48" s="21"/>
      <c r="BHK48" s="21"/>
      <c r="BHL48" s="21"/>
      <c r="BHM48" s="20"/>
      <c r="BHN48" s="20"/>
      <c r="BHO48" s="20"/>
      <c r="BHP48" s="20"/>
      <c r="BHQ48" s="21"/>
      <c r="BHR48" s="21"/>
      <c r="BHS48" s="7"/>
      <c r="BHT48" s="7"/>
      <c r="BHU48" s="21"/>
      <c r="BHV48" s="20"/>
      <c r="BHW48" s="20"/>
      <c r="BHX48" s="20"/>
      <c r="BHY48" s="21"/>
      <c r="BHZ48" s="21"/>
      <c r="BIA48" s="21"/>
      <c r="BIB48" s="21"/>
      <c r="BIC48" s="21"/>
      <c r="BID48" s="20"/>
      <c r="BIE48" s="20"/>
      <c r="BIF48" s="20"/>
      <c r="BIG48" s="20"/>
      <c r="BIH48" s="21"/>
      <c r="BII48" s="21"/>
      <c r="BIJ48" s="7"/>
      <c r="BIK48" s="7"/>
      <c r="BIL48" s="21"/>
      <c r="BIM48" s="20"/>
      <c r="BIN48" s="20"/>
      <c r="BIO48" s="20"/>
      <c r="BIP48" s="21"/>
      <c r="BIQ48" s="21"/>
      <c r="BIR48" s="21"/>
      <c r="BIS48" s="21"/>
      <c r="BIT48" s="21"/>
      <c r="BIU48" s="20"/>
      <c r="BIV48" s="20"/>
      <c r="BIW48" s="20"/>
      <c r="BIX48" s="20"/>
      <c r="BIY48" s="21"/>
      <c r="BIZ48" s="21"/>
      <c r="BJA48" s="7"/>
      <c r="BJB48" s="7"/>
      <c r="BJC48" s="21"/>
      <c r="BJD48" s="20"/>
      <c r="BJE48" s="20"/>
      <c r="BJF48" s="20"/>
      <c r="BJG48" s="21"/>
      <c r="BJH48" s="21"/>
      <c r="BJI48" s="21"/>
      <c r="BJJ48" s="21"/>
      <c r="BJK48" s="21"/>
      <c r="BJL48" s="20"/>
      <c r="BJM48" s="20"/>
      <c r="BJN48" s="20"/>
      <c r="BJO48" s="20"/>
      <c r="BJP48" s="21"/>
      <c r="BJQ48" s="21"/>
      <c r="BJR48" s="7"/>
      <c r="BJS48" s="7"/>
      <c r="BJT48" s="21"/>
      <c r="BJU48" s="20"/>
      <c r="BJV48" s="20"/>
      <c r="BJW48" s="20"/>
      <c r="BJX48" s="21"/>
      <c r="BJY48" s="21"/>
      <c r="BJZ48" s="21"/>
      <c r="BKA48" s="21"/>
      <c r="BKB48" s="21"/>
      <c r="BKC48" s="20"/>
      <c r="BKD48" s="20"/>
      <c r="BKE48" s="20"/>
      <c r="BKF48" s="20"/>
      <c r="BKG48" s="21"/>
      <c r="BKH48" s="21"/>
      <c r="BKI48" s="7"/>
      <c r="BKJ48" s="7"/>
      <c r="BKK48" s="21"/>
      <c r="BKL48" s="20"/>
      <c r="BKM48" s="20"/>
      <c r="BKN48" s="20"/>
      <c r="BKO48" s="21"/>
      <c r="BKP48" s="21"/>
      <c r="BKQ48" s="21"/>
      <c r="BKR48" s="21"/>
      <c r="BKS48" s="21"/>
      <c r="BKT48" s="20"/>
      <c r="BKU48" s="20"/>
      <c r="BKV48" s="20"/>
      <c r="BKW48" s="20"/>
      <c r="BKX48" s="21"/>
      <c r="BKY48" s="21"/>
      <c r="BKZ48" s="7"/>
      <c r="BLA48" s="7"/>
      <c r="BLB48" s="21"/>
      <c r="BLC48" s="20"/>
      <c r="BLD48" s="20"/>
      <c r="BLE48" s="20"/>
      <c r="BLF48" s="21"/>
      <c r="BLG48" s="21"/>
      <c r="BLH48" s="21"/>
      <c r="BLI48" s="21"/>
      <c r="BLJ48" s="21"/>
      <c r="BLK48" s="20"/>
      <c r="BLL48" s="20"/>
      <c r="BLM48" s="20"/>
      <c r="BLN48" s="20"/>
      <c r="BLO48" s="21"/>
      <c r="BLP48" s="21"/>
      <c r="BLQ48" s="7"/>
      <c r="BLR48" s="7"/>
      <c r="BLS48" s="21"/>
      <c r="BLT48" s="20"/>
      <c r="BLU48" s="20"/>
      <c r="BLV48" s="20"/>
      <c r="BLW48" s="21"/>
      <c r="BLX48" s="21"/>
      <c r="BLY48" s="21"/>
      <c r="BLZ48" s="21"/>
      <c r="BMA48" s="21"/>
      <c r="BMB48" s="20"/>
      <c r="BMC48" s="20"/>
      <c r="BMD48" s="20"/>
      <c r="BME48" s="20"/>
      <c r="BMF48" s="21"/>
      <c r="BMG48" s="21"/>
      <c r="BMH48" s="7"/>
      <c r="BMI48" s="7"/>
      <c r="BMJ48" s="21"/>
      <c r="BMK48" s="20"/>
      <c r="BML48" s="20"/>
      <c r="BMM48" s="20"/>
      <c r="BMN48" s="21"/>
      <c r="BMO48" s="21"/>
      <c r="BMP48" s="21"/>
      <c r="BMQ48" s="21"/>
      <c r="BMR48" s="21"/>
      <c r="BMS48" s="20"/>
      <c r="BMT48" s="20"/>
      <c r="BMU48" s="20"/>
      <c r="BMV48" s="20"/>
      <c r="BMW48" s="21"/>
      <c r="BMX48" s="21"/>
      <c r="BMY48" s="7"/>
      <c r="BMZ48" s="7"/>
      <c r="BNA48" s="21"/>
      <c r="BNB48" s="20"/>
      <c r="BNC48" s="20"/>
      <c r="BND48" s="20"/>
      <c r="BNE48" s="21"/>
      <c r="BNF48" s="21"/>
      <c r="BNG48" s="21"/>
      <c r="BNH48" s="21"/>
      <c r="BNI48" s="21"/>
      <c r="BNJ48" s="20"/>
      <c r="BNK48" s="20"/>
      <c r="BNL48" s="20"/>
      <c r="BNM48" s="20"/>
      <c r="BNN48" s="21"/>
      <c r="BNO48" s="21"/>
      <c r="BNP48" s="7"/>
      <c r="BNQ48" s="7"/>
      <c r="BNR48" s="21"/>
      <c r="BNS48" s="20"/>
      <c r="BNT48" s="20"/>
      <c r="BNU48" s="20"/>
      <c r="BNV48" s="21"/>
      <c r="BNW48" s="21"/>
      <c r="BNX48" s="21"/>
      <c r="BNY48" s="21"/>
      <c r="BNZ48" s="21"/>
      <c r="BOA48" s="20"/>
      <c r="BOB48" s="20"/>
      <c r="BOC48" s="20"/>
      <c r="BOD48" s="20"/>
      <c r="BOE48" s="21"/>
      <c r="BOF48" s="21"/>
      <c r="BOG48" s="7"/>
      <c r="BOH48" s="7"/>
      <c r="BOI48" s="21"/>
      <c r="BOJ48" s="20"/>
      <c r="BOK48" s="20"/>
      <c r="BOL48" s="20"/>
      <c r="BOM48" s="21"/>
      <c r="BON48" s="21"/>
      <c r="BOO48" s="21"/>
      <c r="BOP48" s="21"/>
      <c r="BOQ48" s="21"/>
      <c r="BOR48" s="20"/>
      <c r="BOS48" s="20"/>
      <c r="BOT48" s="20"/>
      <c r="BOU48" s="20"/>
      <c r="BOV48" s="21"/>
      <c r="BOW48" s="21"/>
      <c r="BOX48" s="7"/>
      <c r="BOY48" s="7"/>
      <c r="BOZ48" s="21"/>
      <c r="BPA48" s="20"/>
      <c r="BPB48" s="20"/>
      <c r="BPC48" s="20"/>
      <c r="BPD48" s="21"/>
      <c r="BPE48" s="21"/>
      <c r="BPF48" s="21"/>
      <c r="BPG48" s="21"/>
      <c r="BPH48" s="21"/>
      <c r="BPI48" s="20"/>
      <c r="BPJ48" s="20"/>
      <c r="BPK48" s="20"/>
      <c r="BPL48" s="20"/>
      <c r="BPM48" s="21"/>
      <c r="BPN48" s="21"/>
      <c r="BPO48" s="7"/>
      <c r="BPP48" s="7"/>
      <c r="BPQ48" s="21"/>
      <c r="BPR48" s="20"/>
      <c r="BPS48" s="20"/>
      <c r="BPT48" s="20"/>
      <c r="BPU48" s="21"/>
      <c r="BPV48" s="21"/>
      <c r="BPW48" s="21"/>
      <c r="BPX48" s="21"/>
      <c r="BPY48" s="21"/>
      <c r="BPZ48" s="20"/>
      <c r="BQA48" s="20"/>
      <c r="BQB48" s="20"/>
      <c r="BQC48" s="20"/>
      <c r="BQD48" s="21"/>
      <c r="BQE48" s="21"/>
      <c r="BQF48" s="7"/>
      <c r="BQG48" s="7"/>
      <c r="BQH48" s="21"/>
      <c r="BQI48" s="20"/>
      <c r="BQJ48" s="20"/>
      <c r="BQK48" s="20"/>
      <c r="BQL48" s="21"/>
      <c r="BQM48" s="21"/>
      <c r="BQN48" s="21"/>
      <c r="BQO48" s="21"/>
      <c r="BQP48" s="21"/>
      <c r="BQQ48" s="20"/>
      <c r="BQR48" s="20"/>
      <c r="BQS48" s="20"/>
      <c r="BQT48" s="20"/>
      <c r="BQU48" s="21"/>
      <c r="BQV48" s="21"/>
      <c r="BQW48" s="7"/>
      <c r="BQX48" s="7"/>
      <c r="BQY48" s="21"/>
      <c r="BQZ48" s="20"/>
      <c r="BRA48" s="20"/>
      <c r="BRB48" s="20"/>
      <c r="BRC48" s="21"/>
      <c r="BRD48" s="21"/>
      <c r="BRE48" s="21"/>
      <c r="BRF48" s="21"/>
      <c r="BRG48" s="21"/>
      <c r="BRH48" s="20"/>
      <c r="BRI48" s="20"/>
      <c r="BRJ48" s="20"/>
      <c r="BRK48" s="20"/>
      <c r="BRL48" s="21"/>
      <c r="BRM48" s="21"/>
      <c r="BRN48" s="7"/>
      <c r="BRO48" s="7"/>
      <c r="BRP48" s="21"/>
      <c r="BRQ48" s="20"/>
      <c r="BRR48" s="20"/>
      <c r="BRS48" s="20"/>
      <c r="BRT48" s="21"/>
      <c r="BRU48" s="21"/>
      <c r="BRV48" s="21"/>
      <c r="BRW48" s="21"/>
      <c r="BRX48" s="21"/>
      <c r="BRY48" s="20"/>
      <c r="BRZ48" s="20"/>
      <c r="BSA48" s="20"/>
      <c r="BSB48" s="20"/>
      <c r="BSC48" s="21"/>
      <c r="BSD48" s="21"/>
      <c r="BSE48" s="7"/>
      <c r="BSF48" s="7"/>
      <c r="BSG48" s="21"/>
      <c r="BSH48" s="20"/>
      <c r="BSI48" s="20"/>
      <c r="BSJ48" s="20"/>
      <c r="BSK48" s="21"/>
      <c r="BSL48" s="21"/>
      <c r="BSM48" s="21"/>
      <c r="BSN48" s="21"/>
      <c r="BSO48" s="21"/>
      <c r="BSP48" s="20"/>
      <c r="BSQ48" s="20"/>
      <c r="BSR48" s="20"/>
      <c r="BSS48" s="20"/>
      <c r="BST48" s="21"/>
      <c r="BSU48" s="21"/>
      <c r="BSV48" s="7"/>
      <c r="BSW48" s="7"/>
      <c r="BSX48" s="21"/>
      <c r="BSY48" s="20"/>
      <c r="BSZ48" s="20"/>
      <c r="BTA48" s="20"/>
      <c r="BTB48" s="21"/>
      <c r="BTC48" s="21"/>
      <c r="BTD48" s="21"/>
      <c r="BTE48" s="21"/>
      <c r="BTF48" s="21"/>
      <c r="BTG48" s="20"/>
      <c r="BTH48" s="20"/>
      <c r="BTI48" s="20"/>
      <c r="BTJ48" s="20"/>
      <c r="BTK48" s="21"/>
      <c r="BTL48" s="21"/>
      <c r="BTM48" s="7"/>
      <c r="BTN48" s="7"/>
      <c r="BTO48" s="21"/>
      <c r="BTP48" s="20"/>
      <c r="BTQ48" s="20"/>
      <c r="BTR48" s="20"/>
      <c r="BTS48" s="21"/>
      <c r="BTT48" s="21"/>
      <c r="BTU48" s="21"/>
      <c r="BTV48" s="21"/>
      <c r="BTW48" s="21"/>
      <c r="BTX48" s="20"/>
      <c r="BTY48" s="20"/>
      <c r="BTZ48" s="20"/>
      <c r="BUA48" s="20"/>
      <c r="BUB48" s="21"/>
      <c r="BUC48" s="21"/>
      <c r="BUD48" s="7"/>
      <c r="BUE48" s="7"/>
      <c r="BUF48" s="21"/>
      <c r="BUG48" s="20"/>
      <c r="BUH48" s="20"/>
      <c r="BUI48" s="20"/>
      <c r="BUJ48" s="21"/>
      <c r="BUK48" s="21"/>
      <c r="BUL48" s="21"/>
      <c r="BUM48" s="21"/>
      <c r="BUN48" s="21"/>
      <c r="BUO48" s="20"/>
      <c r="BUP48" s="20"/>
      <c r="BUQ48" s="20"/>
      <c r="BUR48" s="20"/>
      <c r="BUS48" s="21"/>
      <c r="BUT48" s="21"/>
      <c r="BUU48" s="7"/>
      <c r="BUV48" s="7"/>
      <c r="BUW48" s="21"/>
      <c r="BUX48" s="20"/>
      <c r="BUY48" s="20"/>
      <c r="BUZ48" s="20"/>
      <c r="BVA48" s="21"/>
      <c r="BVB48" s="21"/>
      <c r="BVC48" s="21"/>
      <c r="BVD48" s="21"/>
      <c r="BVE48" s="21"/>
      <c r="BVF48" s="20"/>
      <c r="BVG48" s="20"/>
      <c r="BVH48" s="20"/>
      <c r="BVI48" s="20"/>
      <c r="BVJ48" s="21"/>
      <c r="BVK48" s="21"/>
      <c r="BVL48" s="7"/>
      <c r="BVM48" s="7"/>
      <c r="BVN48" s="21"/>
      <c r="BVO48" s="20"/>
      <c r="BVP48" s="20"/>
      <c r="BVQ48" s="20"/>
      <c r="BVR48" s="21"/>
      <c r="BVS48" s="21"/>
      <c r="BVT48" s="21"/>
      <c r="BVU48" s="21"/>
      <c r="BVV48" s="21"/>
      <c r="BVW48" s="20"/>
      <c r="BVX48" s="20"/>
      <c r="BVY48" s="20"/>
      <c r="BVZ48" s="20"/>
      <c r="BWA48" s="21"/>
      <c r="BWB48" s="21"/>
      <c r="BWC48" s="7"/>
      <c r="BWD48" s="7"/>
      <c r="BWE48" s="21"/>
      <c r="BWF48" s="20"/>
      <c r="BWG48" s="20"/>
      <c r="BWH48" s="20"/>
      <c r="BWI48" s="21"/>
      <c r="BWJ48" s="21"/>
      <c r="BWK48" s="21"/>
      <c r="BWL48" s="21"/>
      <c r="BWM48" s="21"/>
      <c r="BWN48" s="20"/>
      <c r="BWO48" s="20"/>
      <c r="BWP48" s="20"/>
      <c r="BWQ48" s="20"/>
      <c r="BWR48" s="21"/>
      <c r="BWS48" s="21"/>
      <c r="BWT48" s="7"/>
      <c r="BWU48" s="7"/>
      <c r="BWV48" s="21"/>
      <c r="BWW48" s="20"/>
      <c r="BWX48" s="20"/>
      <c r="BWY48" s="20"/>
      <c r="BWZ48" s="21"/>
      <c r="BXA48" s="21"/>
      <c r="BXB48" s="21"/>
      <c r="BXC48" s="21"/>
      <c r="BXD48" s="21"/>
      <c r="BXE48" s="20"/>
      <c r="BXF48" s="20"/>
      <c r="BXG48" s="20"/>
      <c r="BXH48" s="20"/>
      <c r="BXI48" s="21"/>
      <c r="BXJ48" s="21"/>
      <c r="BXK48" s="7"/>
      <c r="BXL48" s="7"/>
      <c r="BXM48" s="21"/>
      <c r="BXN48" s="20"/>
      <c r="BXO48" s="20"/>
      <c r="BXP48" s="20"/>
      <c r="BXQ48" s="21"/>
      <c r="BXR48" s="21"/>
      <c r="BXS48" s="21"/>
      <c r="BXT48" s="21"/>
      <c r="BXU48" s="21"/>
      <c r="BXV48" s="20"/>
      <c r="BXW48" s="20"/>
      <c r="BXX48" s="20"/>
      <c r="BXY48" s="20"/>
      <c r="BXZ48" s="21"/>
      <c r="BYA48" s="21"/>
      <c r="BYB48" s="7"/>
      <c r="BYC48" s="7"/>
      <c r="BYD48" s="21"/>
      <c r="BYE48" s="20"/>
      <c r="BYF48" s="20"/>
      <c r="BYG48" s="20"/>
      <c r="BYH48" s="21"/>
      <c r="BYI48" s="21"/>
      <c r="BYJ48" s="21"/>
      <c r="BYK48" s="21"/>
      <c r="BYL48" s="21"/>
      <c r="BYM48" s="20"/>
      <c r="BYN48" s="20"/>
      <c r="BYO48" s="20"/>
      <c r="BYP48" s="20"/>
      <c r="BYQ48" s="21"/>
      <c r="BYR48" s="21"/>
      <c r="BYS48" s="7"/>
      <c r="BYT48" s="7"/>
      <c r="BYU48" s="21"/>
      <c r="BYV48" s="20"/>
      <c r="BYW48" s="20"/>
      <c r="BYX48" s="20"/>
      <c r="BYY48" s="21"/>
      <c r="BYZ48" s="21"/>
      <c r="BZA48" s="21"/>
      <c r="BZB48" s="21"/>
      <c r="BZC48" s="21"/>
      <c r="BZD48" s="20"/>
      <c r="BZE48" s="20"/>
      <c r="BZF48" s="20"/>
      <c r="BZG48" s="20"/>
      <c r="BZH48" s="21"/>
      <c r="BZI48" s="21"/>
      <c r="BZJ48" s="7"/>
      <c r="BZK48" s="7"/>
      <c r="BZL48" s="21"/>
      <c r="BZM48" s="20"/>
      <c r="BZN48" s="20"/>
      <c r="BZO48" s="20"/>
      <c r="BZP48" s="21"/>
      <c r="BZQ48" s="21"/>
      <c r="BZR48" s="21"/>
      <c r="BZS48" s="21"/>
      <c r="BZT48" s="21"/>
      <c r="BZU48" s="20"/>
      <c r="BZV48" s="20"/>
      <c r="BZW48" s="20"/>
      <c r="BZX48" s="20"/>
      <c r="BZY48" s="21"/>
      <c r="BZZ48" s="21"/>
      <c r="CAA48" s="7"/>
      <c r="CAB48" s="7"/>
      <c r="CAC48" s="21"/>
      <c r="CAD48" s="20"/>
      <c r="CAE48" s="20"/>
      <c r="CAF48" s="20"/>
      <c r="CAG48" s="21"/>
      <c r="CAH48" s="21"/>
      <c r="CAI48" s="21"/>
      <c r="CAJ48" s="21"/>
      <c r="CAK48" s="21"/>
      <c r="CAL48" s="20"/>
      <c r="CAM48" s="20"/>
      <c r="CAN48" s="20"/>
      <c r="CAO48" s="20"/>
      <c r="CAP48" s="21"/>
      <c r="CAQ48" s="21"/>
      <c r="CAR48" s="7"/>
      <c r="CAS48" s="7"/>
      <c r="CAT48" s="21"/>
      <c r="CAU48" s="20"/>
      <c r="CAV48" s="20"/>
      <c r="CAW48" s="20"/>
      <c r="CAX48" s="21"/>
      <c r="CAY48" s="21"/>
      <c r="CAZ48" s="21"/>
      <c r="CBA48" s="21"/>
      <c r="CBB48" s="21"/>
      <c r="CBC48" s="20"/>
      <c r="CBD48" s="20"/>
      <c r="CBE48" s="20"/>
      <c r="CBF48" s="20"/>
      <c r="CBG48" s="21"/>
      <c r="CBH48" s="21"/>
      <c r="CBI48" s="7"/>
      <c r="CBJ48" s="7"/>
      <c r="CBK48" s="21"/>
      <c r="CBL48" s="20"/>
      <c r="CBM48" s="20"/>
      <c r="CBN48" s="20"/>
      <c r="CBO48" s="21"/>
      <c r="CBP48" s="21"/>
      <c r="CBQ48" s="21"/>
      <c r="CBR48" s="21"/>
      <c r="CBS48" s="21"/>
      <c r="CBT48" s="20"/>
      <c r="CBU48" s="20"/>
      <c r="CBV48" s="20"/>
      <c r="CBW48" s="20"/>
      <c r="CBX48" s="21"/>
      <c r="CBY48" s="21"/>
      <c r="CBZ48" s="7"/>
      <c r="CCA48" s="7"/>
      <c r="CCB48" s="21"/>
      <c r="CCC48" s="20"/>
      <c r="CCD48" s="20"/>
      <c r="CCE48" s="20"/>
      <c r="CCF48" s="21"/>
      <c r="CCG48" s="21"/>
      <c r="CCH48" s="21"/>
      <c r="CCI48" s="21"/>
      <c r="CCJ48" s="21"/>
      <c r="CCK48" s="20"/>
      <c r="CCL48" s="20"/>
      <c r="CCM48" s="20"/>
      <c r="CCN48" s="20"/>
      <c r="CCO48" s="21"/>
      <c r="CCP48" s="21"/>
      <c r="CCQ48" s="7"/>
      <c r="CCR48" s="7"/>
      <c r="CCS48" s="21"/>
      <c r="CCT48" s="20"/>
      <c r="CCU48" s="20"/>
      <c r="CCV48" s="20"/>
      <c r="CCW48" s="21"/>
      <c r="CCX48" s="21"/>
      <c r="CCY48" s="21"/>
      <c r="CCZ48" s="21"/>
      <c r="CDA48" s="21"/>
      <c r="CDB48" s="20"/>
      <c r="CDC48" s="20"/>
      <c r="CDD48" s="20"/>
      <c r="CDE48" s="20"/>
      <c r="CDF48" s="21"/>
      <c r="CDG48" s="21"/>
      <c r="CDH48" s="7"/>
      <c r="CDI48" s="7"/>
      <c r="CDJ48" s="21"/>
      <c r="CDK48" s="20"/>
      <c r="CDL48" s="20"/>
      <c r="CDM48" s="20"/>
      <c r="CDN48" s="21"/>
      <c r="CDO48" s="21"/>
      <c r="CDP48" s="21"/>
      <c r="CDQ48" s="21"/>
      <c r="CDR48" s="21"/>
      <c r="CDS48" s="20"/>
      <c r="CDT48" s="20"/>
      <c r="CDU48" s="20"/>
      <c r="CDV48" s="20"/>
      <c r="CDW48" s="21"/>
      <c r="CDX48" s="21"/>
      <c r="CDY48" s="7"/>
      <c r="CDZ48" s="7"/>
      <c r="CEA48" s="21"/>
      <c r="CEB48" s="20"/>
      <c r="CEC48" s="20"/>
      <c r="CED48" s="20"/>
      <c r="CEE48" s="21"/>
      <c r="CEF48" s="21"/>
      <c r="CEG48" s="21"/>
      <c r="CEH48" s="21"/>
      <c r="CEI48" s="21"/>
      <c r="CEJ48" s="20"/>
      <c r="CEK48" s="20"/>
      <c r="CEL48" s="20"/>
      <c r="CEM48" s="20"/>
      <c r="CEN48" s="21"/>
      <c r="CEO48" s="21"/>
      <c r="CEP48" s="7"/>
      <c r="CEQ48" s="7"/>
      <c r="CER48" s="21"/>
      <c r="CES48" s="20"/>
      <c r="CET48" s="20"/>
      <c r="CEU48" s="20"/>
      <c r="CEV48" s="21"/>
      <c r="CEW48" s="21"/>
      <c r="CEX48" s="21"/>
      <c r="CEY48" s="21"/>
      <c r="CEZ48" s="21"/>
      <c r="CFA48" s="20"/>
      <c r="CFB48" s="20"/>
      <c r="CFC48" s="20"/>
      <c r="CFD48" s="20"/>
      <c r="CFE48" s="21"/>
      <c r="CFF48" s="21"/>
      <c r="CFG48" s="7"/>
      <c r="CFH48" s="7"/>
      <c r="CFI48" s="21"/>
      <c r="CFJ48" s="20"/>
      <c r="CFK48" s="20"/>
      <c r="CFL48" s="20"/>
      <c r="CFM48" s="21"/>
      <c r="CFN48" s="21"/>
      <c r="CFO48" s="21"/>
      <c r="CFP48" s="21"/>
      <c r="CFQ48" s="21"/>
      <c r="CFR48" s="20"/>
      <c r="CFS48" s="20"/>
      <c r="CFT48" s="20"/>
      <c r="CFU48" s="20"/>
      <c r="CFV48" s="21"/>
      <c r="CFW48" s="21"/>
      <c r="CFX48" s="7"/>
      <c r="CFY48" s="7"/>
      <c r="CFZ48" s="21"/>
      <c r="CGA48" s="20"/>
      <c r="CGB48" s="20"/>
      <c r="CGC48" s="20"/>
      <c r="CGD48" s="21"/>
      <c r="CGE48" s="21"/>
      <c r="CGF48" s="21"/>
      <c r="CGG48" s="21"/>
      <c r="CGH48" s="21"/>
      <c r="CGI48" s="20"/>
      <c r="CGJ48" s="20"/>
      <c r="CGK48" s="20"/>
      <c r="CGL48" s="20"/>
      <c r="CGM48" s="21"/>
      <c r="CGN48" s="21"/>
      <c r="CGO48" s="7"/>
      <c r="CGP48" s="7"/>
      <c r="CGQ48" s="21"/>
      <c r="CGR48" s="20"/>
      <c r="CGS48" s="20"/>
      <c r="CGT48" s="20"/>
      <c r="CGU48" s="21"/>
      <c r="CGV48" s="21"/>
      <c r="CGW48" s="21"/>
      <c r="CGX48" s="21"/>
      <c r="CGY48" s="21"/>
      <c r="CGZ48" s="20"/>
      <c r="CHA48" s="20"/>
      <c r="CHB48" s="20"/>
      <c r="CHC48" s="20"/>
      <c r="CHD48" s="21"/>
      <c r="CHE48" s="21"/>
      <c r="CHF48" s="7"/>
      <c r="CHG48" s="7"/>
      <c r="CHH48" s="21"/>
      <c r="CHI48" s="20"/>
      <c r="CHJ48" s="20"/>
      <c r="CHK48" s="20"/>
      <c r="CHL48" s="21"/>
      <c r="CHM48" s="21"/>
      <c r="CHN48" s="21"/>
      <c r="CHO48" s="21"/>
      <c r="CHP48" s="21"/>
      <c r="CHQ48" s="20"/>
      <c r="CHR48" s="20"/>
      <c r="CHS48" s="20"/>
      <c r="CHT48" s="20"/>
      <c r="CHU48" s="21"/>
      <c r="CHV48" s="21"/>
      <c r="CHW48" s="7"/>
      <c r="CHX48" s="7"/>
      <c r="CHY48" s="21"/>
      <c r="CHZ48" s="20"/>
      <c r="CIA48" s="20"/>
      <c r="CIB48" s="20"/>
      <c r="CIC48" s="21"/>
      <c r="CID48" s="21"/>
      <c r="CIE48" s="21"/>
      <c r="CIF48" s="21"/>
      <c r="CIG48" s="21"/>
      <c r="CIH48" s="20"/>
      <c r="CII48" s="20"/>
      <c r="CIJ48" s="20"/>
      <c r="CIK48" s="20"/>
      <c r="CIL48" s="21"/>
      <c r="CIM48" s="21"/>
      <c r="CIN48" s="7"/>
      <c r="CIO48" s="7"/>
      <c r="CIP48" s="21"/>
      <c r="CIQ48" s="20"/>
      <c r="CIR48" s="20"/>
      <c r="CIS48" s="20"/>
      <c r="CIT48" s="21"/>
      <c r="CIU48" s="21"/>
      <c r="CIV48" s="21"/>
      <c r="CIW48" s="21"/>
      <c r="CIX48" s="21"/>
      <c r="CIY48" s="20"/>
      <c r="CIZ48" s="20"/>
      <c r="CJA48" s="20"/>
      <c r="CJB48" s="20"/>
      <c r="CJC48" s="21"/>
      <c r="CJD48" s="21"/>
      <c r="CJE48" s="7"/>
      <c r="CJF48" s="7"/>
      <c r="CJG48" s="21"/>
      <c r="CJH48" s="20"/>
      <c r="CJI48" s="20"/>
      <c r="CJJ48" s="20"/>
      <c r="CJK48" s="21"/>
      <c r="CJL48" s="21"/>
      <c r="CJM48" s="21"/>
      <c r="CJN48" s="21"/>
      <c r="CJO48" s="21"/>
      <c r="CJP48" s="20"/>
      <c r="CJQ48" s="20"/>
      <c r="CJR48" s="20"/>
      <c r="CJS48" s="20"/>
      <c r="CJT48" s="21"/>
      <c r="CJU48" s="21"/>
      <c r="CJV48" s="7"/>
      <c r="CJW48" s="7"/>
      <c r="CJX48" s="21"/>
      <c r="CJY48" s="20"/>
      <c r="CJZ48" s="20"/>
      <c r="CKA48" s="20"/>
      <c r="CKB48" s="21"/>
      <c r="CKC48" s="21"/>
      <c r="CKD48" s="21"/>
      <c r="CKE48" s="21"/>
      <c r="CKF48" s="21"/>
      <c r="CKG48" s="20"/>
      <c r="CKH48" s="20"/>
      <c r="CKI48" s="20"/>
      <c r="CKJ48" s="20"/>
      <c r="CKK48" s="21"/>
      <c r="CKL48" s="21"/>
      <c r="CKM48" s="7"/>
      <c r="CKN48" s="7"/>
      <c r="CKO48" s="21"/>
      <c r="CKP48" s="20"/>
      <c r="CKQ48" s="20"/>
      <c r="CKR48" s="20"/>
      <c r="CKS48" s="21"/>
      <c r="CKT48" s="21"/>
      <c r="CKU48" s="21"/>
      <c r="CKV48" s="21"/>
      <c r="CKW48" s="21"/>
      <c r="CKX48" s="20"/>
      <c r="CKY48" s="20"/>
      <c r="CKZ48" s="20"/>
      <c r="CLA48" s="20"/>
      <c r="CLB48" s="21"/>
      <c r="CLC48" s="21"/>
      <c r="CLD48" s="7"/>
      <c r="CLE48" s="7"/>
      <c r="CLF48" s="21"/>
      <c r="CLG48" s="20"/>
      <c r="CLH48" s="20"/>
      <c r="CLI48" s="20"/>
      <c r="CLJ48" s="21"/>
      <c r="CLK48" s="21"/>
      <c r="CLL48" s="21"/>
      <c r="CLM48" s="21"/>
      <c r="CLN48" s="21"/>
      <c r="CLO48" s="20"/>
      <c r="CLP48" s="20"/>
      <c r="CLQ48" s="20"/>
      <c r="CLR48" s="20"/>
      <c r="CLS48" s="21"/>
      <c r="CLT48" s="21"/>
      <c r="CLU48" s="7"/>
      <c r="CLV48" s="7"/>
      <c r="CLW48" s="21"/>
      <c r="CLX48" s="20"/>
      <c r="CLY48" s="20"/>
      <c r="CLZ48" s="20"/>
      <c r="CMA48" s="21"/>
      <c r="CMB48" s="21"/>
      <c r="CMC48" s="21"/>
      <c r="CMD48" s="21"/>
      <c r="CME48" s="21"/>
      <c r="CMF48" s="20"/>
      <c r="CMG48" s="20"/>
      <c r="CMH48" s="20"/>
      <c r="CMI48" s="20"/>
      <c r="CMJ48" s="21"/>
      <c r="CMK48" s="21"/>
      <c r="CML48" s="7"/>
      <c r="CMM48" s="7"/>
      <c r="CMN48" s="21"/>
      <c r="CMO48" s="20"/>
      <c r="CMP48" s="20"/>
      <c r="CMQ48" s="20"/>
      <c r="CMR48" s="21"/>
      <c r="CMS48" s="21"/>
      <c r="CMT48" s="21"/>
      <c r="CMU48" s="21"/>
      <c r="CMV48" s="21"/>
      <c r="CMW48" s="20"/>
      <c r="CMX48" s="20"/>
      <c r="CMY48" s="20"/>
      <c r="CMZ48" s="20"/>
      <c r="CNA48" s="21"/>
      <c r="CNB48" s="21"/>
      <c r="CNC48" s="7"/>
      <c r="CND48" s="7"/>
      <c r="CNE48" s="21"/>
      <c r="CNF48" s="20"/>
      <c r="CNG48" s="20"/>
      <c r="CNH48" s="20"/>
      <c r="CNI48" s="21"/>
      <c r="CNJ48" s="21"/>
      <c r="CNK48" s="21"/>
      <c r="CNL48" s="21"/>
      <c r="CNM48" s="21"/>
      <c r="CNN48" s="20"/>
      <c r="CNO48" s="20"/>
      <c r="CNP48" s="20"/>
      <c r="CNQ48" s="20"/>
      <c r="CNR48" s="21"/>
      <c r="CNS48" s="21"/>
      <c r="CNT48" s="7"/>
      <c r="CNU48" s="7"/>
      <c r="CNV48" s="21"/>
      <c r="CNW48" s="20"/>
      <c r="CNX48" s="20"/>
      <c r="CNY48" s="20"/>
      <c r="CNZ48" s="21"/>
      <c r="COA48" s="21"/>
      <c r="COB48" s="21"/>
      <c r="COC48" s="21"/>
      <c r="COD48" s="21"/>
      <c r="COE48" s="20"/>
      <c r="COF48" s="20"/>
      <c r="COG48" s="20"/>
      <c r="COH48" s="20"/>
      <c r="COI48" s="21"/>
      <c r="COJ48" s="21"/>
      <c r="COK48" s="7"/>
      <c r="COL48" s="7"/>
      <c r="COM48" s="21"/>
      <c r="CON48" s="20"/>
      <c r="COO48" s="20"/>
      <c r="COP48" s="20"/>
      <c r="COQ48" s="21"/>
      <c r="COR48" s="21"/>
      <c r="COS48" s="21"/>
      <c r="COT48" s="21"/>
      <c r="COU48" s="21"/>
      <c r="COV48" s="20"/>
      <c r="COW48" s="20"/>
      <c r="COX48" s="20"/>
      <c r="COY48" s="20"/>
      <c r="COZ48" s="21"/>
      <c r="CPA48" s="21"/>
      <c r="CPB48" s="7"/>
      <c r="CPC48" s="7"/>
      <c r="CPD48" s="21"/>
      <c r="CPE48" s="20"/>
      <c r="CPF48" s="20"/>
      <c r="CPG48" s="20"/>
      <c r="CPH48" s="21"/>
      <c r="CPI48" s="21"/>
      <c r="CPJ48" s="21"/>
      <c r="CPK48" s="21"/>
      <c r="CPL48" s="21"/>
      <c r="CPM48" s="20"/>
      <c r="CPN48" s="20"/>
      <c r="CPO48" s="20"/>
      <c r="CPP48" s="20"/>
      <c r="CPQ48" s="21"/>
      <c r="CPR48" s="21"/>
      <c r="CPS48" s="7"/>
      <c r="CPT48" s="7"/>
      <c r="CPU48" s="21"/>
      <c r="CPV48" s="20"/>
      <c r="CPW48" s="20"/>
      <c r="CPX48" s="20"/>
      <c r="CPY48" s="21"/>
      <c r="CPZ48" s="21"/>
      <c r="CQA48" s="21"/>
      <c r="CQB48" s="21"/>
      <c r="CQC48" s="21"/>
      <c r="CQD48" s="20"/>
      <c r="CQE48" s="20"/>
      <c r="CQF48" s="20"/>
      <c r="CQG48" s="20"/>
      <c r="CQH48" s="21"/>
      <c r="CQI48" s="21"/>
      <c r="CQJ48" s="7"/>
      <c r="CQK48" s="7"/>
      <c r="CQL48" s="21"/>
      <c r="CQM48" s="20"/>
      <c r="CQN48" s="20"/>
      <c r="CQO48" s="20"/>
      <c r="CQP48" s="21"/>
      <c r="CQQ48" s="21"/>
      <c r="CQR48" s="21"/>
      <c r="CQS48" s="21"/>
      <c r="CQT48" s="21"/>
      <c r="CQU48" s="20"/>
      <c r="CQV48" s="20"/>
      <c r="CQW48" s="20"/>
      <c r="CQX48" s="20"/>
      <c r="CQY48" s="21"/>
      <c r="CQZ48" s="21"/>
      <c r="CRA48" s="7"/>
      <c r="CRB48" s="7"/>
      <c r="CRC48" s="21"/>
      <c r="CRD48" s="20"/>
      <c r="CRE48" s="20"/>
      <c r="CRF48" s="20"/>
      <c r="CRG48" s="21"/>
      <c r="CRH48" s="21"/>
      <c r="CRI48" s="21"/>
      <c r="CRJ48" s="21"/>
      <c r="CRK48" s="21"/>
      <c r="CRL48" s="20"/>
      <c r="CRM48" s="20"/>
      <c r="CRN48" s="20"/>
      <c r="CRO48" s="20"/>
      <c r="CRP48" s="21"/>
      <c r="CRQ48" s="21"/>
      <c r="CRR48" s="7"/>
      <c r="CRS48" s="7"/>
      <c r="CRT48" s="21"/>
      <c r="CRU48" s="20"/>
      <c r="CRV48" s="20"/>
      <c r="CRW48" s="20"/>
      <c r="CRX48" s="21"/>
      <c r="CRY48" s="21"/>
      <c r="CRZ48" s="21"/>
      <c r="CSA48" s="21"/>
      <c r="CSB48" s="21"/>
      <c r="CSC48" s="20"/>
      <c r="CSD48" s="20"/>
      <c r="CSE48" s="20"/>
      <c r="CSF48" s="20"/>
      <c r="CSG48" s="21"/>
      <c r="CSH48" s="21"/>
      <c r="CSI48" s="7"/>
      <c r="CSJ48" s="7"/>
      <c r="CSK48" s="21"/>
      <c r="CSL48" s="20"/>
      <c r="CSM48" s="20"/>
      <c r="CSN48" s="20"/>
      <c r="CSO48" s="21"/>
      <c r="CSP48" s="21"/>
      <c r="CSQ48" s="21"/>
      <c r="CSR48" s="21"/>
      <c r="CSS48" s="21"/>
      <c r="CST48" s="20"/>
      <c r="CSU48" s="20"/>
      <c r="CSV48" s="20"/>
      <c r="CSW48" s="20"/>
      <c r="CSX48" s="21"/>
      <c r="CSY48" s="21"/>
      <c r="CSZ48" s="7"/>
      <c r="CTA48" s="7"/>
      <c r="CTB48" s="21"/>
      <c r="CTC48" s="20"/>
      <c r="CTD48" s="20"/>
      <c r="CTE48" s="20"/>
      <c r="CTF48" s="21"/>
      <c r="CTG48" s="21"/>
      <c r="CTH48" s="21"/>
      <c r="CTI48" s="21"/>
      <c r="CTJ48" s="21"/>
      <c r="CTK48" s="20"/>
      <c r="CTL48" s="20"/>
      <c r="CTM48" s="20"/>
      <c r="CTN48" s="20"/>
      <c r="CTO48" s="21"/>
      <c r="CTP48" s="21"/>
      <c r="CTQ48" s="7"/>
      <c r="CTR48" s="7"/>
      <c r="CTS48" s="21"/>
      <c r="CTT48" s="20"/>
      <c r="CTU48" s="20"/>
      <c r="CTV48" s="20"/>
      <c r="CTW48" s="21"/>
      <c r="CTX48" s="21"/>
      <c r="CTY48" s="21"/>
      <c r="CTZ48" s="21"/>
      <c r="CUA48" s="21"/>
      <c r="CUB48" s="20"/>
      <c r="CUC48" s="20"/>
      <c r="CUD48" s="20"/>
      <c r="CUE48" s="20"/>
      <c r="CUF48" s="21"/>
      <c r="CUG48" s="21"/>
      <c r="CUH48" s="7"/>
      <c r="CUI48" s="7"/>
      <c r="CUJ48" s="21"/>
      <c r="CUK48" s="20"/>
      <c r="CUL48" s="20"/>
      <c r="CUM48" s="20"/>
      <c r="CUN48" s="21"/>
      <c r="CUO48" s="21"/>
      <c r="CUP48" s="21"/>
      <c r="CUQ48" s="21"/>
      <c r="CUR48" s="21"/>
      <c r="CUS48" s="20"/>
      <c r="CUT48" s="20"/>
      <c r="CUU48" s="20"/>
      <c r="CUV48" s="20"/>
      <c r="CUW48" s="21"/>
      <c r="CUX48" s="21"/>
      <c r="CUY48" s="7"/>
      <c r="CUZ48" s="7"/>
      <c r="CVA48" s="21"/>
      <c r="CVB48" s="20"/>
      <c r="CVC48" s="20"/>
      <c r="CVD48" s="20"/>
      <c r="CVE48" s="21"/>
      <c r="CVF48" s="21"/>
      <c r="CVG48" s="21"/>
      <c r="CVH48" s="21"/>
      <c r="CVI48" s="21"/>
      <c r="CVJ48" s="20"/>
      <c r="CVK48" s="20"/>
      <c r="CVL48" s="20"/>
      <c r="CVM48" s="20"/>
      <c r="CVN48" s="21"/>
      <c r="CVO48" s="21"/>
      <c r="CVP48" s="7"/>
      <c r="CVQ48" s="7"/>
      <c r="CVR48" s="21"/>
      <c r="CVS48" s="20"/>
      <c r="CVT48" s="20"/>
      <c r="CVU48" s="20"/>
      <c r="CVV48" s="21"/>
      <c r="CVW48" s="21"/>
      <c r="CVX48" s="21"/>
      <c r="CVY48" s="21"/>
      <c r="CVZ48" s="21"/>
      <c r="CWA48" s="20"/>
      <c r="CWB48" s="20"/>
      <c r="CWC48" s="20"/>
      <c r="CWD48" s="20"/>
      <c r="CWE48" s="21"/>
      <c r="CWF48" s="21"/>
      <c r="CWG48" s="7"/>
      <c r="CWH48" s="7"/>
      <c r="CWI48" s="21"/>
      <c r="CWJ48" s="20"/>
      <c r="CWK48" s="20"/>
      <c r="CWL48" s="20"/>
      <c r="CWM48" s="21"/>
      <c r="CWN48" s="21"/>
      <c r="CWO48" s="21"/>
      <c r="CWP48" s="21"/>
      <c r="CWQ48" s="21"/>
      <c r="CWR48" s="20"/>
      <c r="CWS48" s="20"/>
      <c r="CWT48" s="20"/>
      <c r="CWU48" s="20"/>
      <c r="CWV48" s="21"/>
      <c r="CWW48" s="21"/>
      <c r="CWX48" s="7"/>
      <c r="CWY48" s="7"/>
      <c r="CWZ48" s="21"/>
      <c r="CXA48" s="20"/>
      <c r="CXB48" s="20"/>
      <c r="CXC48" s="20"/>
      <c r="CXD48" s="21"/>
      <c r="CXE48" s="21"/>
      <c r="CXF48" s="21"/>
      <c r="CXG48" s="21"/>
      <c r="CXH48" s="21"/>
      <c r="CXI48" s="20"/>
      <c r="CXJ48" s="20"/>
      <c r="CXK48" s="20"/>
      <c r="CXL48" s="20"/>
      <c r="CXM48" s="21"/>
      <c r="CXN48" s="21"/>
      <c r="CXO48" s="7"/>
      <c r="CXP48" s="7"/>
      <c r="CXQ48" s="21"/>
      <c r="CXR48" s="20"/>
      <c r="CXS48" s="20"/>
      <c r="CXT48" s="20"/>
      <c r="CXU48" s="21"/>
      <c r="CXV48" s="21"/>
      <c r="CXW48" s="21"/>
      <c r="CXX48" s="21"/>
      <c r="CXY48" s="21"/>
      <c r="CXZ48" s="20"/>
      <c r="CYA48" s="20"/>
      <c r="CYB48" s="20"/>
      <c r="CYC48" s="20"/>
      <c r="CYD48" s="21"/>
      <c r="CYE48" s="21"/>
      <c r="CYF48" s="7"/>
      <c r="CYG48" s="7"/>
      <c r="CYH48" s="21"/>
      <c r="CYI48" s="20"/>
      <c r="CYJ48" s="20"/>
      <c r="CYK48" s="20"/>
      <c r="CYL48" s="21"/>
      <c r="CYM48" s="21"/>
      <c r="CYN48" s="21"/>
      <c r="CYO48" s="21"/>
      <c r="CYP48" s="21"/>
      <c r="CYQ48" s="20"/>
      <c r="CYR48" s="20"/>
      <c r="CYS48" s="20"/>
      <c r="CYT48" s="20"/>
      <c r="CYU48" s="21"/>
      <c r="CYV48" s="21"/>
      <c r="CYW48" s="7"/>
      <c r="CYX48" s="7"/>
      <c r="CYY48" s="21"/>
      <c r="CYZ48" s="20"/>
      <c r="CZA48" s="20"/>
      <c r="CZB48" s="20"/>
      <c r="CZC48" s="21"/>
      <c r="CZD48" s="21"/>
      <c r="CZE48" s="21"/>
      <c r="CZF48" s="21"/>
      <c r="CZG48" s="21"/>
      <c r="CZH48" s="20"/>
      <c r="CZI48" s="20"/>
      <c r="CZJ48" s="20"/>
      <c r="CZK48" s="20"/>
      <c r="CZL48" s="21"/>
      <c r="CZM48" s="21"/>
      <c r="CZN48" s="7"/>
      <c r="CZO48" s="7"/>
      <c r="CZP48" s="21"/>
      <c r="CZQ48" s="20"/>
      <c r="CZR48" s="20"/>
      <c r="CZS48" s="20"/>
      <c r="CZT48" s="21"/>
      <c r="CZU48" s="21"/>
      <c r="CZV48" s="21"/>
      <c r="CZW48" s="21"/>
      <c r="CZX48" s="21"/>
      <c r="CZY48" s="20"/>
      <c r="CZZ48" s="20"/>
      <c r="DAA48" s="20"/>
      <c r="DAB48" s="20"/>
      <c r="DAC48" s="21"/>
      <c r="DAD48" s="21"/>
      <c r="DAE48" s="7"/>
      <c r="DAF48" s="7"/>
      <c r="DAG48" s="21"/>
      <c r="DAH48" s="20"/>
      <c r="DAI48" s="20"/>
      <c r="DAJ48" s="20"/>
      <c r="DAK48" s="21"/>
      <c r="DAL48" s="21"/>
      <c r="DAM48" s="21"/>
      <c r="DAN48" s="21"/>
      <c r="DAO48" s="21"/>
      <c r="DAP48" s="20"/>
      <c r="DAQ48" s="20"/>
      <c r="DAR48" s="20"/>
      <c r="DAS48" s="20"/>
      <c r="DAT48" s="21"/>
      <c r="DAU48" s="21"/>
      <c r="DAV48" s="7"/>
      <c r="DAW48" s="7"/>
      <c r="DAX48" s="21"/>
      <c r="DAY48" s="20"/>
      <c r="DAZ48" s="20"/>
      <c r="DBA48" s="20"/>
      <c r="DBB48" s="21"/>
      <c r="DBC48" s="21"/>
      <c r="DBD48" s="21"/>
      <c r="DBE48" s="21"/>
      <c r="DBF48" s="21"/>
      <c r="DBG48" s="20"/>
      <c r="DBH48" s="20"/>
      <c r="DBI48" s="20"/>
      <c r="DBJ48" s="20"/>
      <c r="DBK48" s="21"/>
      <c r="DBL48" s="21"/>
      <c r="DBM48" s="7"/>
      <c r="DBN48" s="7"/>
      <c r="DBO48" s="21"/>
      <c r="DBP48" s="20"/>
      <c r="DBQ48" s="20"/>
      <c r="DBR48" s="20"/>
      <c r="DBS48" s="21"/>
      <c r="DBT48" s="21"/>
      <c r="DBU48" s="21"/>
      <c r="DBV48" s="21"/>
      <c r="DBW48" s="21"/>
      <c r="DBX48" s="20"/>
      <c r="DBY48" s="20"/>
      <c r="DBZ48" s="20"/>
      <c r="DCA48" s="20"/>
      <c r="DCB48" s="21"/>
      <c r="DCC48" s="21"/>
      <c r="DCD48" s="7"/>
      <c r="DCE48" s="7"/>
      <c r="DCF48" s="21"/>
      <c r="DCG48" s="20"/>
      <c r="DCH48" s="20"/>
      <c r="DCI48" s="20"/>
      <c r="DCJ48" s="21"/>
      <c r="DCK48" s="21"/>
      <c r="DCL48" s="21"/>
      <c r="DCM48" s="21"/>
      <c r="DCN48" s="21"/>
      <c r="DCO48" s="20"/>
      <c r="DCP48" s="20"/>
      <c r="DCQ48" s="20"/>
      <c r="DCR48" s="20"/>
      <c r="DCS48" s="21"/>
      <c r="DCT48" s="21"/>
      <c r="DCU48" s="7"/>
      <c r="DCV48" s="7"/>
      <c r="DCW48" s="21"/>
      <c r="DCX48" s="20"/>
      <c r="DCY48" s="20"/>
      <c r="DCZ48" s="20"/>
      <c r="DDA48" s="21"/>
      <c r="DDB48" s="21"/>
      <c r="DDC48" s="21"/>
      <c r="DDD48" s="21"/>
      <c r="DDE48" s="21"/>
      <c r="DDF48" s="20"/>
      <c r="DDG48" s="20"/>
      <c r="DDH48" s="20"/>
      <c r="DDI48" s="20"/>
      <c r="DDJ48" s="21"/>
      <c r="DDK48" s="21"/>
      <c r="DDL48" s="7"/>
      <c r="DDM48" s="7"/>
      <c r="DDN48" s="21"/>
      <c r="DDO48" s="20"/>
      <c r="DDP48" s="20"/>
      <c r="DDQ48" s="20"/>
      <c r="DDR48" s="21"/>
      <c r="DDS48" s="21"/>
      <c r="DDT48" s="21"/>
      <c r="DDU48" s="21"/>
      <c r="DDV48" s="21"/>
      <c r="DDW48" s="20"/>
      <c r="DDX48" s="20"/>
      <c r="DDY48" s="20"/>
      <c r="DDZ48" s="20"/>
      <c r="DEA48" s="21"/>
      <c r="DEB48" s="21"/>
      <c r="DEC48" s="7"/>
      <c r="DED48" s="7"/>
      <c r="DEE48" s="21"/>
      <c r="DEF48" s="20"/>
      <c r="DEG48" s="20"/>
      <c r="DEH48" s="20"/>
      <c r="DEI48" s="21"/>
      <c r="DEJ48" s="21"/>
      <c r="DEK48" s="21"/>
      <c r="DEL48" s="21"/>
      <c r="DEM48" s="21"/>
      <c r="DEN48" s="20"/>
      <c r="DEO48" s="20"/>
      <c r="DEP48" s="20"/>
      <c r="DEQ48" s="20"/>
      <c r="DER48" s="21"/>
      <c r="DES48" s="21"/>
      <c r="DET48" s="7"/>
      <c r="DEU48" s="7"/>
      <c r="DEV48" s="21"/>
      <c r="DEW48" s="20"/>
      <c r="DEX48" s="20"/>
      <c r="DEY48" s="20"/>
      <c r="DEZ48" s="21"/>
      <c r="DFA48" s="21"/>
      <c r="DFB48" s="21"/>
      <c r="DFC48" s="21"/>
      <c r="DFD48" s="21"/>
      <c r="DFE48" s="20"/>
      <c r="DFF48" s="20"/>
      <c r="DFG48" s="20"/>
      <c r="DFH48" s="20"/>
      <c r="DFI48" s="21"/>
      <c r="DFJ48" s="21"/>
      <c r="DFK48" s="7"/>
      <c r="DFL48" s="7"/>
      <c r="DFM48" s="21"/>
      <c r="DFN48" s="20"/>
      <c r="DFO48" s="20"/>
      <c r="DFP48" s="20"/>
      <c r="DFQ48" s="21"/>
      <c r="DFR48" s="21"/>
      <c r="DFS48" s="21"/>
      <c r="DFT48" s="21"/>
      <c r="DFU48" s="21"/>
      <c r="DFV48" s="20"/>
      <c r="DFW48" s="20"/>
      <c r="DFX48" s="20"/>
      <c r="DFY48" s="20"/>
      <c r="DFZ48" s="21"/>
      <c r="DGA48" s="21"/>
      <c r="DGB48" s="7"/>
      <c r="DGC48" s="7"/>
      <c r="DGD48" s="21"/>
      <c r="DGE48" s="20"/>
      <c r="DGF48" s="20"/>
      <c r="DGG48" s="20"/>
      <c r="DGH48" s="21"/>
      <c r="DGI48" s="21"/>
      <c r="DGJ48" s="21"/>
      <c r="DGK48" s="21"/>
      <c r="DGL48" s="21"/>
      <c r="DGM48" s="20"/>
      <c r="DGN48" s="20"/>
      <c r="DGO48" s="20"/>
      <c r="DGP48" s="20"/>
      <c r="DGQ48" s="21"/>
      <c r="DGR48" s="21"/>
      <c r="DGS48" s="7"/>
      <c r="DGT48" s="7"/>
      <c r="DGU48" s="21"/>
      <c r="DGV48" s="20"/>
      <c r="DGW48" s="20"/>
      <c r="DGX48" s="20"/>
      <c r="DGY48" s="21"/>
      <c r="DGZ48" s="21"/>
      <c r="DHA48" s="21"/>
      <c r="DHB48" s="21"/>
      <c r="DHC48" s="21"/>
      <c r="DHD48" s="20"/>
      <c r="DHE48" s="20"/>
      <c r="DHF48" s="20"/>
      <c r="DHG48" s="20"/>
      <c r="DHH48" s="21"/>
      <c r="DHI48" s="21"/>
      <c r="DHJ48" s="7"/>
      <c r="DHK48" s="7"/>
      <c r="DHL48" s="21"/>
      <c r="DHM48" s="20"/>
      <c r="DHN48" s="20"/>
      <c r="DHO48" s="20"/>
      <c r="DHP48" s="21"/>
      <c r="DHQ48" s="21"/>
      <c r="DHR48" s="21"/>
      <c r="DHS48" s="21"/>
      <c r="DHT48" s="21"/>
      <c r="DHU48" s="20"/>
      <c r="DHV48" s="20"/>
      <c r="DHW48" s="20"/>
      <c r="DHX48" s="20"/>
      <c r="DHY48" s="21"/>
      <c r="DHZ48" s="21"/>
      <c r="DIA48" s="7"/>
      <c r="DIB48" s="7"/>
      <c r="DIC48" s="21"/>
      <c r="DID48" s="20"/>
      <c r="DIE48" s="20"/>
      <c r="DIF48" s="20"/>
      <c r="DIG48" s="21"/>
      <c r="DIH48" s="21"/>
      <c r="DII48" s="21"/>
      <c r="DIJ48" s="21"/>
      <c r="DIK48" s="21"/>
      <c r="DIL48" s="20"/>
      <c r="DIM48" s="20"/>
      <c r="DIN48" s="20"/>
      <c r="DIO48" s="20"/>
      <c r="DIP48" s="21"/>
      <c r="DIQ48" s="21"/>
      <c r="DIR48" s="7"/>
      <c r="DIS48" s="7"/>
      <c r="DIT48" s="21"/>
      <c r="DIU48" s="20"/>
      <c r="DIV48" s="20"/>
      <c r="DIW48" s="20"/>
      <c r="DIX48" s="21"/>
      <c r="DIY48" s="21"/>
      <c r="DIZ48" s="21"/>
      <c r="DJA48" s="21"/>
      <c r="DJB48" s="21"/>
      <c r="DJC48" s="20"/>
      <c r="DJD48" s="20"/>
      <c r="DJE48" s="20"/>
      <c r="DJF48" s="20"/>
      <c r="DJG48" s="21"/>
      <c r="DJH48" s="21"/>
      <c r="DJI48" s="7"/>
      <c r="DJJ48" s="7"/>
      <c r="DJK48" s="21"/>
      <c r="DJL48" s="20"/>
      <c r="DJM48" s="20"/>
      <c r="DJN48" s="20"/>
      <c r="DJO48" s="21"/>
      <c r="DJP48" s="21"/>
      <c r="DJQ48" s="21"/>
      <c r="DJR48" s="21"/>
      <c r="DJS48" s="21"/>
      <c r="DJT48" s="20"/>
      <c r="DJU48" s="20"/>
      <c r="DJV48" s="20"/>
      <c r="DJW48" s="20"/>
      <c r="DJX48" s="21"/>
      <c r="DJY48" s="21"/>
      <c r="DJZ48" s="7"/>
      <c r="DKA48" s="7"/>
      <c r="DKB48" s="21"/>
      <c r="DKC48" s="20"/>
      <c r="DKD48" s="20"/>
      <c r="DKE48" s="20"/>
      <c r="DKF48" s="21"/>
      <c r="DKG48" s="21"/>
      <c r="DKH48" s="21"/>
      <c r="DKI48" s="21"/>
      <c r="DKJ48" s="21"/>
      <c r="DKK48" s="20"/>
      <c r="DKL48" s="20"/>
      <c r="DKM48" s="20"/>
      <c r="DKN48" s="20"/>
      <c r="DKO48" s="21"/>
      <c r="DKP48" s="21"/>
      <c r="DKQ48" s="7"/>
      <c r="DKR48" s="7"/>
      <c r="DKS48" s="21"/>
      <c r="DKT48" s="20"/>
      <c r="DKU48" s="20"/>
      <c r="DKV48" s="20"/>
      <c r="DKW48" s="21"/>
      <c r="DKX48" s="21"/>
      <c r="DKY48" s="21"/>
      <c r="DKZ48" s="21"/>
      <c r="DLA48" s="21"/>
      <c r="DLB48" s="20"/>
      <c r="DLC48" s="20"/>
      <c r="DLD48" s="20"/>
      <c r="DLE48" s="20"/>
      <c r="DLF48" s="21"/>
      <c r="DLG48" s="21"/>
      <c r="DLH48" s="7"/>
      <c r="DLI48" s="7"/>
      <c r="DLJ48" s="21"/>
      <c r="DLK48" s="20"/>
      <c r="DLL48" s="20"/>
      <c r="DLM48" s="20"/>
      <c r="DLN48" s="21"/>
      <c r="DLO48" s="21"/>
      <c r="DLP48" s="21"/>
      <c r="DLQ48" s="21"/>
      <c r="DLR48" s="21"/>
      <c r="DLS48" s="20"/>
      <c r="DLT48" s="20"/>
      <c r="DLU48" s="20"/>
      <c r="DLV48" s="20"/>
      <c r="DLW48" s="21"/>
      <c r="DLX48" s="21"/>
      <c r="DLY48" s="7"/>
      <c r="DLZ48" s="7"/>
      <c r="DMA48" s="21"/>
      <c r="DMB48" s="20"/>
      <c r="DMC48" s="20"/>
      <c r="DMD48" s="20"/>
      <c r="DME48" s="21"/>
      <c r="DMF48" s="21"/>
      <c r="DMG48" s="21"/>
      <c r="DMH48" s="21"/>
      <c r="DMI48" s="21"/>
      <c r="DMJ48" s="20"/>
      <c r="DMK48" s="20"/>
      <c r="DML48" s="20"/>
      <c r="DMM48" s="20"/>
      <c r="DMN48" s="21"/>
      <c r="DMO48" s="21"/>
      <c r="DMP48" s="7"/>
      <c r="DMQ48" s="7"/>
      <c r="DMR48" s="21"/>
      <c r="DMS48" s="20"/>
      <c r="DMT48" s="20"/>
      <c r="DMU48" s="20"/>
      <c r="DMV48" s="21"/>
      <c r="DMW48" s="21"/>
      <c r="DMX48" s="21"/>
      <c r="DMY48" s="21"/>
      <c r="DMZ48" s="21"/>
      <c r="DNA48" s="20"/>
      <c r="DNB48" s="20"/>
      <c r="DNC48" s="20"/>
      <c r="DND48" s="20"/>
      <c r="DNE48" s="21"/>
      <c r="DNF48" s="21"/>
      <c r="DNG48" s="7"/>
      <c r="DNH48" s="7"/>
      <c r="DNI48" s="21"/>
      <c r="DNJ48" s="20"/>
      <c r="DNK48" s="20"/>
      <c r="DNL48" s="20"/>
      <c r="DNM48" s="21"/>
      <c r="DNN48" s="21"/>
      <c r="DNO48" s="21"/>
      <c r="DNP48" s="21"/>
      <c r="DNQ48" s="21"/>
      <c r="DNR48" s="20"/>
      <c r="DNS48" s="20"/>
      <c r="DNT48" s="20"/>
      <c r="DNU48" s="20"/>
      <c r="DNV48" s="21"/>
      <c r="DNW48" s="21"/>
      <c r="DNX48" s="7"/>
      <c r="DNY48" s="7"/>
      <c r="DNZ48" s="21"/>
      <c r="DOA48" s="20"/>
      <c r="DOB48" s="20"/>
      <c r="DOC48" s="20"/>
      <c r="DOD48" s="21"/>
      <c r="DOE48" s="21"/>
      <c r="DOF48" s="21"/>
      <c r="DOG48" s="21"/>
      <c r="DOH48" s="21"/>
      <c r="DOI48" s="20"/>
      <c r="DOJ48" s="20"/>
      <c r="DOK48" s="20"/>
      <c r="DOL48" s="20"/>
      <c r="DOM48" s="21"/>
      <c r="DON48" s="21"/>
      <c r="DOO48" s="7"/>
      <c r="DOP48" s="7"/>
      <c r="DOQ48" s="21"/>
      <c r="DOR48" s="20"/>
      <c r="DOS48" s="20"/>
      <c r="DOT48" s="20"/>
      <c r="DOU48" s="21"/>
      <c r="DOV48" s="21"/>
      <c r="DOW48" s="21"/>
      <c r="DOX48" s="21"/>
      <c r="DOY48" s="21"/>
      <c r="DOZ48" s="20"/>
      <c r="DPA48" s="20"/>
      <c r="DPB48" s="20"/>
      <c r="DPC48" s="20"/>
      <c r="DPD48" s="21"/>
      <c r="DPE48" s="21"/>
      <c r="DPF48" s="7"/>
      <c r="DPG48" s="7"/>
      <c r="DPH48" s="21"/>
      <c r="DPI48" s="20"/>
      <c r="DPJ48" s="20"/>
      <c r="DPK48" s="20"/>
      <c r="DPL48" s="21"/>
      <c r="DPM48" s="21"/>
      <c r="DPN48" s="21"/>
      <c r="DPO48" s="21"/>
      <c r="DPP48" s="21"/>
      <c r="DPQ48" s="20"/>
      <c r="DPR48" s="20"/>
      <c r="DPS48" s="20"/>
      <c r="DPT48" s="20"/>
      <c r="DPU48" s="21"/>
      <c r="DPV48" s="21"/>
      <c r="DPW48" s="7"/>
      <c r="DPX48" s="7"/>
      <c r="DPY48" s="21"/>
      <c r="DPZ48" s="20"/>
      <c r="DQA48" s="20"/>
      <c r="DQB48" s="20"/>
      <c r="DQC48" s="21"/>
      <c r="DQD48" s="21"/>
      <c r="DQE48" s="21"/>
      <c r="DQF48" s="21"/>
      <c r="DQG48" s="21"/>
      <c r="DQH48" s="20"/>
      <c r="DQI48" s="20"/>
      <c r="DQJ48" s="20"/>
      <c r="DQK48" s="20"/>
      <c r="DQL48" s="21"/>
      <c r="DQM48" s="21"/>
      <c r="DQN48" s="7"/>
      <c r="DQO48" s="7"/>
      <c r="DQP48" s="21"/>
      <c r="DQQ48" s="20"/>
      <c r="DQR48" s="20"/>
      <c r="DQS48" s="20"/>
      <c r="DQT48" s="21"/>
      <c r="DQU48" s="21"/>
      <c r="DQV48" s="21"/>
      <c r="DQW48" s="21"/>
      <c r="DQX48" s="21"/>
      <c r="DQY48" s="20"/>
      <c r="DQZ48" s="20"/>
      <c r="DRA48" s="20"/>
      <c r="DRB48" s="20"/>
      <c r="DRC48" s="21"/>
      <c r="DRD48" s="21"/>
      <c r="DRE48" s="7"/>
      <c r="DRF48" s="7"/>
      <c r="DRG48" s="21"/>
      <c r="DRH48" s="20"/>
      <c r="DRI48" s="20"/>
      <c r="DRJ48" s="20"/>
      <c r="DRK48" s="21"/>
      <c r="DRL48" s="21"/>
      <c r="DRM48" s="21"/>
      <c r="DRN48" s="21"/>
      <c r="DRO48" s="21"/>
      <c r="DRP48" s="20"/>
      <c r="DRQ48" s="20"/>
      <c r="DRR48" s="20"/>
      <c r="DRS48" s="20"/>
      <c r="DRT48" s="21"/>
      <c r="DRU48" s="21"/>
      <c r="DRV48" s="7"/>
      <c r="DRW48" s="7"/>
      <c r="DRX48" s="21"/>
      <c r="DRY48" s="20"/>
      <c r="DRZ48" s="20"/>
      <c r="DSA48" s="20"/>
      <c r="DSB48" s="21"/>
      <c r="DSC48" s="21"/>
      <c r="DSD48" s="21"/>
      <c r="DSE48" s="21"/>
      <c r="DSF48" s="21"/>
      <c r="DSG48" s="20"/>
      <c r="DSH48" s="20"/>
      <c r="DSI48" s="20"/>
      <c r="DSJ48" s="20"/>
      <c r="DSK48" s="21"/>
      <c r="DSL48" s="21"/>
      <c r="DSM48" s="7"/>
      <c r="DSN48" s="7"/>
      <c r="DSO48" s="21"/>
      <c r="DSP48" s="20"/>
      <c r="DSQ48" s="20"/>
      <c r="DSR48" s="20"/>
      <c r="DSS48" s="21"/>
      <c r="DST48" s="21"/>
      <c r="DSU48" s="21"/>
      <c r="DSV48" s="21"/>
      <c r="DSW48" s="21"/>
      <c r="DSX48" s="20"/>
      <c r="DSY48" s="20"/>
      <c r="DSZ48" s="20"/>
      <c r="DTA48" s="20"/>
      <c r="DTB48" s="21"/>
      <c r="DTC48" s="21"/>
      <c r="DTD48" s="7"/>
      <c r="DTE48" s="7"/>
      <c r="DTF48" s="21"/>
      <c r="DTG48" s="20"/>
      <c r="DTH48" s="20"/>
      <c r="DTI48" s="20"/>
      <c r="DTJ48" s="21"/>
      <c r="DTK48" s="21"/>
      <c r="DTL48" s="21"/>
      <c r="DTM48" s="21"/>
      <c r="DTN48" s="21"/>
      <c r="DTO48" s="20"/>
      <c r="DTP48" s="20"/>
      <c r="DTQ48" s="20"/>
      <c r="DTR48" s="20"/>
      <c r="DTS48" s="21"/>
      <c r="DTT48" s="21"/>
      <c r="DTU48" s="7"/>
      <c r="DTV48" s="7"/>
      <c r="DTW48" s="21"/>
      <c r="DTX48" s="20"/>
      <c r="DTY48" s="20"/>
      <c r="DTZ48" s="20"/>
      <c r="DUA48" s="21"/>
      <c r="DUB48" s="21"/>
      <c r="DUC48" s="21"/>
      <c r="DUD48" s="21"/>
      <c r="DUE48" s="21"/>
      <c r="DUF48" s="20"/>
      <c r="DUG48" s="20"/>
      <c r="DUH48" s="20"/>
      <c r="DUI48" s="20"/>
      <c r="DUJ48" s="21"/>
      <c r="DUK48" s="21"/>
      <c r="DUL48" s="7"/>
      <c r="DUM48" s="7"/>
      <c r="DUN48" s="21"/>
      <c r="DUO48" s="20"/>
      <c r="DUP48" s="20"/>
      <c r="DUQ48" s="20"/>
      <c r="DUR48" s="21"/>
      <c r="DUS48" s="21"/>
      <c r="DUT48" s="21"/>
      <c r="DUU48" s="21"/>
      <c r="DUV48" s="21"/>
      <c r="DUW48" s="20"/>
      <c r="DUX48" s="20"/>
      <c r="DUY48" s="20"/>
      <c r="DUZ48" s="20"/>
      <c r="DVA48" s="21"/>
      <c r="DVB48" s="21"/>
      <c r="DVC48" s="7"/>
      <c r="DVD48" s="7"/>
      <c r="DVE48" s="21"/>
      <c r="DVF48" s="20"/>
      <c r="DVG48" s="20"/>
      <c r="DVH48" s="20"/>
      <c r="DVI48" s="21"/>
      <c r="DVJ48" s="21"/>
      <c r="DVK48" s="21"/>
      <c r="DVL48" s="21"/>
      <c r="DVM48" s="21"/>
      <c r="DVN48" s="20"/>
      <c r="DVO48" s="20"/>
      <c r="DVP48" s="20"/>
      <c r="DVQ48" s="20"/>
      <c r="DVR48" s="21"/>
      <c r="DVS48" s="21"/>
      <c r="DVT48" s="7"/>
      <c r="DVU48" s="7"/>
      <c r="DVV48" s="21"/>
      <c r="DVW48" s="20"/>
      <c r="DVX48" s="20"/>
      <c r="DVY48" s="20"/>
      <c r="DVZ48" s="21"/>
      <c r="DWA48" s="21"/>
      <c r="DWB48" s="21"/>
      <c r="DWC48" s="21"/>
      <c r="DWD48" s="21"/>
      <c r="DWE48" s="20"/>
      <c r="DWF48" s="20"/>
      <c r="DWG48" s="20"/>
      <c r="DWH48" s="20"/>
      <c r="DWI48" s="21"/>
      <c r="DWJ48" s="21"/>
      <c r="DWK48" s="7"/>
      <c r="DWL48" s="7"/>
      <c r="DWM48" s="21"/>
      <c r="DWN48" s="20"/>
      <c r="DWO48" s="20"/>
      <c r="DWP48" s="20"/>
      <c r="DWQ48" s="21"/>
      <c r="DWR48" s="21"/>
      <c r="DWS48" s="21"/>
      <c r="DWT48" s="21"/>
      <c r="DWU48" s="21"/>
      <c r="DWV48" s="20"/>
      <c r="DWW48" s="20"/>
      <c r="DWX48" s="20"/>
      <c r="DWY48" s="20"/>
      <c r="DWZ48" s="21"/>
      <c r="DXA48" s="21"/>
      <c r="DXB48" s="7"/>
      <c r="DXC48" s="7"/>
      <c r="DXD48" s="21"/>
      <c r="DXE48" s="20"/>
      <c r="DXF48" s="20"/>
      <c r="DXG48" s="20"/>
      <c r="DXH48" s="21"/>
      <c r="DXI48" s="21"/>
      <c r="DXJ48" s="21"/>
      <c r="DXK48" s="21"/>
      <c r="DXL48" s="21"/>
      <c r="DXM48" s="20"/>
      <c r="DXN48" s="20"/>
      <c r="DXO48" s="20"/>
      <c r="DXP48" s="20"/>
      <c r="DXQ48" s="21"/>
      <c r="DXR48" s="21"/>
      <c r="DXS48" s="7"/>
      <c r="DXT48" s="7"/>
      <c r="DXU48" s="21"/>
      <c r="DXV48" s="20"/>
      <c r="DXW48" s="20"/>
      <c r="DXX48" s="20"/>
      <c r="DXY48" s="21"/>
      <c r="DXZ48" s="21"/>
      <c r="DYA48" s="21"/>
      <c r="DYB48" s="21"/>
      <c r="DYC48" s="21"/>
      <c r="DYD48" s="20"/>
      <c r="DYE48" s="20"/>
      <c r="DYF48" s="20"/>
      <c r="DYG48" s="20"/>
      <c r="DYH48" s="21"/>
      <c r="DYI48" s="21"/>
      <c r="DYJ48" s="7"/>
      <c r="DYK48" s="7"/>
      <c r="DYL48" s="21"/>
      <c r="DYM48" s="20"/>
      <c r="DYN48" s="20"/>
      <c r="DYO48" s="20"/>
      <c r="DYP48" s="21"/>
      <c r="DYQ48" s="21"/>
      <c r="DYR48" s="21"/>
      <c r="DYS48" s="21"/>
      <c r="DYT48" s="21"/>
      <c r="DYU48" s="20"/>
      <c r="DYV48" s="20"/>
      <c r="DYW48" s="20"/>
      <c r="DYX48" s="20"/>
      <c r="DYY48" s="21"/>
      <c r="DYZ48" s="21"/>
      <c r="DZA48" s="7"/>
      <c r="DZB48" s="7"/>
      <c r="DZC48" s="21"/>
      <c r="DZD48" s="20"/>
      <c r="DZE48" s="20"/>
      <c r="DZF48" s="20"/>
      <c r="DZG48" s="21"/>
      <c r="DZH48" s="21"/>
      <c r="DZI48" s="21"/>
      <c r="DZJ48" s="21"/>
      <c r="DZK48" s="21"/>
      <c r="DZL48" s="20"/>
      <c r="DZM48" s="20"/>
      <c r="DZN48" s="20"/>
      <c r="DZO48" s="20"/>
      <c r="DZP48" s="21"/>
      <c r="DZQ48" s="21"/>
      <c r="DZR48" s="7"/>
      <c r="DZS48" s="7"/>
      <c r="DZT48" s="21"/>
      <c r="DZU48" s="20"/>
      <c r="DZV48" s="20"/>
      <c r="DZW48" s="20"/>
      <c r="DZX48" s="21"/>
      <c r="DZY48" s="21"/>
      <c r="DZZ48" s="21"/>
      <c r="EAA48" s="21"/>
      <c r="EAB48" s="21"/>
      <c r="EAC48" s="20"/>
      <c r="EAD48" s="20"/>
      <c r="EAE48" s="20"/>
      <c r="EAF48" s="20"/>
      <c r="EAG48" s="21"/>
      <c r="EAH48" s="21"/>
      <c r="EAI48" s="7"/>
      <c r="EAJ48" s="7"/>
      <c r="EAK48" s="21"/>
      <c r="EAL48" s="20"/>
      <c r="EAM48" s="20"/>
      <c r="EAN48" s="20"/>
      <c r="EAO48" s="21"/>
      <c r="EAP48" s="21"/>
      <c r="EAQ48" s="21"/>
      <c r="EAR48" s="21"/>
      <c r="EAS48" s="21"/>
      <c r="EAT48" s="20"/>
      <c r="EAU48" s="20"/>
      <c r="EAV48" s="20"/>
      <c r="EAW48" s="20"/>
      <c r="EAX48" s="21"/>
      <c r="EAY48" s="21"/>
      <c r="EAZ48" s="7"/>
      <c r="EBA48" s="7"/>
      <c r="EBB48" s="21"/>
      <c r="EBC48" s="20"/>
      <c r="EBD48" s="20"/>
      <c r="EBE48" s="20"/>
      <c r="EBF48" s="21"/>
      <c r="EBG48" s="21"/>
      <c r="EBH48" s="21"/>
      <c r="EBI48" s="21"/>
      <c r="EBJ48" s="21"/>
      <c r="EBK48" s="20"/>
      <c r="EBL48" s="20"/>
      <c r="EBM48" s="20"/>
      <c r="EBN48" s="20"/>
      <c r="EBO48" s="21"/>
      <c r="EBP48" s="21"/>
      <c r="EBQ48" s="7"/>
      <c r="EBR48" s="7"/>
      <c r="EBS48" s="21"/>
      <c r="EBT48" s="20"/>
      <c r="EBU48" s="20"/>
      <c r="EBV48" s="20"/>
      <c r="EBW48" s="21"/>
      <c r="EBX48" s="21"/>
      <c r="EBY48" s="21"/>
      <c r="EBZ48" s="21"/>
      <c r="ECA48" s="21"/>
      <c r="ECB48" s="20"/>
      <c r="ECC48" s="20"/>
      <c r="ECD48" s="20"/>
      <c r="ECE48" s="20"/>
      <c r="ECF48" s="21"/>
      <c r="ECG48" s="21"/>
      <c r="ECH48" s="7"/>
      <c r="ECI48" s="7"/>
      <c r="ECJ48" s="21"/>
      <c r="ECK48" s="20"/>
      <c r="ECL48" s="20"/>
      <c r="ECM48" s="20"/>
      <c r="ECN48" s="21"/>
      <c r="ECO48" s="21"/>
      <c r="ECP48" s="21"/>
      <c r="ECQ48" s="21"/>
      <c r="ECR48" s="21"/>
      <c r="ECS48" s="20"/>
      <c r="ECT48" s="20"/>
      <c r="ECU48" s="20"/>
      <c r="ECV48" s="20"/>
      <c r="ECW48" s="21"/>
      <c r="ECX48" s="21"/>
      <c r="ECY48" s="7"/>
      <c r="ECZ48" s="7"/>
      <c r="EDA48" s="21"/>
      <c r="EDB48" s="20"/>
      <c r="EDC48" s="20"/>
      <c r="EDD48" s="20"/>
      <c r="EDE48" s="21"/>
      <c r="EDF48" s="21"/>
      <c r="EDG48" s="21"/>
      <c r="EDH48" s="21"/>
      <c r="EDI48" s="21"/>
      <c r="EDJ48" s="20"/>
      <c r="EDK48" s="20"/>
      <c r="EDL48" s="20"/>
      <c r="EDM48" s="20"/>
      <c r="EDN48" s="21"/>
      <c r="EDO48" s="21"/>
      <c r="EDP48" s="7"/>
      <c r="EDQ48" s="7"/>
      <c r="EDR48" s="21"/>
      <c r="EDS48" s="20"/>
      <c r="EDT48" s="20"/>
      <c r="EDU48" s="20"/>
      <c r="EDV48" s="21"/>
      <c r="EDW48" s="21"/>
      <c r="EDX48" s="21"/>
      <c r="EDY48" s="21"/>
      <c r="EDZ48" s="21"/>
      <c r="EEA48" s="20"/>
      <c r="EEB48" s="20"/>
      <c r="EEC48" s="20"/>
      <c r="EED48" s="20"/>
      <c r="EEE48" s="21"/>
      <c r="EEF48" s="21"/>
      <c r="EEG48" s="7"/>
      <c r="EEH48" s="7"/>
      <c r="EEI48" s="21"/>
      <c r="EEJ48" s="20"/>
      <c r="EEK48" s="20"/>
      <c r="EEL48" s="20"/>
      <c r="EEM48" s="21"/>
      <c r="EEN48" s="21"/>
      <c r="EEO48" s="21"/>
      <c r="EEP48" s="21"/>
      <c r="EEQ48" s="21"/>
      <c r="EER48" s="20"/>
      <c r="EES48" s="20"/>
      <c r="EET48" s="20"/>
      <c r="EEU48" s="20"/>
      <c r="EEV48" s="21"/>
      <c r="EEW48" s="21"/>
      <c r="EEX48" s="7"/>
      <c r="EEY48" s="7"/>
      <c r="EEZ48" s="21"/>
      <c r="EFA48" s="20"/>
      <c r="EFB48" s="20"/>
      <c r="EFC48" s="20"/>
      <c r="EFD48" s="21"/>
      <c r="EFE48" s="21"/>
      <c r="EFF48" s="21"/>
      <c r="EFG48" s="21"/>
      <c r="EFH48" s="21"/>
      <c r="EFI48" s="20"/>
      <c r="EFJ48" s="20"/>
      <c r="EFK48" s="20"/>
      <c r="EFL48" s="20"/>
      <c r="EFM48" s="21"/>
      <c r="EFN48" s="21"/>
      <c r="EFO48" s="7"/>
      <c r="EFP48" s="7"/>
      <c r="EFQ48" s="21"/>
      <c r="EFR48" s="20"/>
      <c r="EFS48" s="20"/>
      <c r="EFT48" s="20"/>
      <c r="EFU48" s="21"/>
      <c r="EFV48" s="21"/>
      <c r="EFW48" s="21"/>
      <c r="EFX48" s="21"/>
      <c r="EFY48" s="21"/>
      <c r="EFZ48" s="20"/>
      <c r="EGA48" s="20"/>
      <c r="EGB48" s="20"/>
      <c r="EGC48" s="20"/>
      <c r="EGD48" s="21"/>
      <c r="EGE48" s="21"/>
      <c r="EGF48" s="7"/>
      <c r="EGG48" s="7"/>
      <c r="EGH48" s="21"/>
      <c r="EGI48" s="20"/>
      <c r="EGJ48" s="20"/>
      <c r="EGK48" s="20"/>
      <c r="EGL48" s="21"/>
      <c r="EGM48" s="21"/>
      <c r="EGN48" s="21"/>
      <c r="EGO48" s="21"/>
      <c r="EGP48" s="21"/>
      <c r="EGQ48" s="20"/>
      <c r="EGR48" s="20"/>
      <c r="EGS48" s="20"/>
      <c r="EGT48" s="20"/>
      <c r="EGU48" s="21"/>
      <c r="EGV48" s="21"/>
      <c r="EGW48" s="7"/>
      <c r="EGX48" s="7"/>
      <c r="EGY48" s="21"/>
      <c r="EGZ48" s="20"/>
      <c r="EHA48" s="20"/>
      <c r="EHB48" s="20"/>
      <c r="EHC48" s="21"/>
      <c r="EHD48" s="21"/>
      <c r="EHE48" s="21"/>
      <c r="EHF48" s="21"/>
      <c r="EHG48" s="21"/>
      <c r="EHH48" s="20"/>
      <c r="EHI48" s="20"/>
      <c r="EHJ48" s="20"/>
      <c r="EHK48" s="20"/>
      <c r="EHL48" s="21"/>
      <c r="EHM48" s="21"/>
      <c r="EHN48" s="7"/>
      <c r="EHO48" s="7"/>
      <c r="EHP48" s="21"/>
      <c r="EHQ48" s="20"/>
      <c r="EHR48" s="20"/>
      <c r="EHS48" s="20"/>
      <c r="EHT48" s="21"/>
      <c r="EHU48" s="21"/>
      <c r="EHV48" s="21"/>
      <c r="EHW48" s="21"/>
      <c r="EHX48" s="21"/>
      <c r="EHY48" s="20"/>
      <c r="EHZ48" s="20"/>
      <c r="EIA48" s="20"/>
      <c r="EIB48" s="20"/>
      <c r="EIC48" s="21"/>
      <c r="EID48" s="21"/>
      <c r="EIE48" s="7"/>
      <c r="EIF48" s="7"/>
      <c r="EIG48" s="21"/>
      <c r="EIH48" s="20"/>
      <c r="EII48" s="20"/>
      <c r="EIJ48" s="20"/>
      <c r="EIK48" s="21"/>
      <c r="EIL48" s="21"/>
      <c r="EIM48" s="21"/>
      <c r="EIN48" s="21"/>
      <c r="EIO48" s="21"/>
      <c r="EIP48" s="20"/>
      <c r="EIQ48" s="20"/>
      <c r="EIR48" s="20"/>
      <c r="EIS48" s="20"/>
      <c r="EIT48" s="21"/>
      <c r="EIU48" s="21"/>
      <c r="EIV48" s="7"/>
      <c r="EIW48" s="7"/>
      <c r="EIX48" s="21"/>
      <c r="EIY48" s="20"/>
      <c r="EIZ48" s="20"/>
      <c r="EJA48" s="20"/>
      <c r="EJB48" s="21"/>
      <c r="EJC48" s="21"/>
      <c r="EJD48" s="21"/>
      <c r="EJE48" s="21"/>
      <c r="EJF48" s="21"/>
      <c r="EJG48" s="20"/>
      <c r="EJH48" s="20"/>
      <c r="EJI48" s="20"/>
      <c r="EJJ48" s="20"/>
      <c r="EJK48" s="21"/>
      <c r="EJL48" s="21"/>
      <c r="EJM48" s="7"/>
      <c r="EJN48" s="7"/>
      <c r="EJO48" s="21"/>
      <c r="EJP48" s="20"/>
      <c r="EJQ48" s="20"/>
      <c r="EJR48" s="20"/>
      <c r="EJS48" s="21"/>
      <c r="EJT48" s="21"/>
      <c r="EJU48" s="21"/>
      <c r="EJV48" s="21"/>
      <c r="EJW48" s="21"/>
      <c r="EJX48" s="20"/>
      <c r="EJY48" s="20"/>
      <c r="EJZ48" s="20"/>
      <c r="EKA48" s="20"/>
      <c r="EKB48" s="21"/>
      <c r="EKC48" s="21"/>
      <c r="EKD48" s="7"/>
      <c r="EKE48" s="7"/>
      <c r="EKF48" s="21"/>
      <c r="EKG48" s="20"/>
      <c r="EKH48" s="20"/>
      <c r="EKI48" s="20"/>
      <c r="EKJ48" s="21"/>
      <c r="EKK48" s="21"/>
      <c r="EKL48" s="21"/>
      <c r="EKM48" s="21"/>
      <c r="EKN48" s="21"/>
      <c r="EKO48" s="20"/>
      <c r="EKP48" s="20"/>
      <c r="EKQ48" s="20"/>
      <c r="EKR48" s="20"/>
      <c r="EKS48" s="21"/>
      <c r="EKT48" s="21"/>
      <c r="EKU48" s="7"/>
      <c r="EKV48" s="7"/>
      <c r="EKW48" s="21"/>
      <c r="EKX48" s="20"/>
      <c r="EKY48" s="20"/>
      <c r="EKZ48" s="20"/>
      <c r="ELA48" s="21"/>
      <c r="ELB48" s="21"/>
      <c r="ELC48" s="21"/>
      <c r="ELD48" s="21"/>
      <c r="ELE48" s="21"/>
      <c r="ELF48" s="20"/>
      <c r="ELG48" s="20"/>
      <c r="ELH48" s="20"/>
      <c r="ELI48" s="20"/>
      <c r="ELJ48" s="21"/>
      <c r="ELK48" s="21"/>
      <c r="ELL48" s="7"/>
      <c r="ELM48" s="7"/>
      <c r="ELN48" s="21"/>
      <c r="ELO48" s="20"/>
      <c r="ELP48" s="20"/>
      <c r="ELQ48" s="20"/>
      <c r="ELR48" s="21"/>
      <c r="ELS48" s="21"/>
      <c r="ELT48" s="21"/>
      <c r="ELU48" s="21"/>
      <c r="ELV48" s="21"/>
      <c r="ELW48" s="20"/>
      <c r="ELX48" s="20"/>
      <c r="ELY48" s="20"/>
      <c r="ELZ48" s="20"/>
      <c r="EMA48" s="21"/>
      <c r="EMB48" s="21"/>
      <c r="EMC48" s="7"/>
      <c r="EMD48" s="7"/>
      <c r="EME48" s="21"/>
      <c r="EMF48" s="20"/>
      <c r="EMG48" s="20"/>
      <c r="EMH48" s="20"/>
      <c r="EMI48" s="21"/>
      <c r="EMJ48" s="21"/>
      <c r="EMK48" s="21"/>
      <c r="EML48" s="21"/>
      <c r="EMM48" s="21"/>
      <c r="EMN48" s="20"/>
      <c r="EMO48" s="20"/>
      <c r="EMP48" s="20"/>
      <c r="EMQ48" s="20"/>
      <c r="EMR48" s="21"/>
      <c r="EMS48" s="21"/>
      <c r="EMT48" s="7"/>
      <c r="EMU48" s="7"/>
      <c r="EMV48" s="21"/>
      <c r="EMW48" s="20"/>
      <c r="EMX48" s="20"/>
      <c r="EMY48" s="20"/>
      <c r="EMZ48" s="21"/>
      <c r="ENA48" s="21"/>
      <c r="ENB48" s="21"/>
      <c r="ENC48" s="21"/>
      <c r="END48" s="21"/>
      <c r="ENE48" s="20"/>
      <c r="ENF48" s="20"/>
      <c r="ENG48" s="20"/>
      <c r="ENH48" s="20"/>
      <c r="ENI48" s="21"/>
      <c r="ENJ48" s="21"/>
      <c r="ENK48" s="7"/>
      <c r="ENL48" s="7"/>
      <c r="ENM48" s="21"/>
      <c r="ENN48" s="20"/>
      <c r="ENO48" s="20"/>
      <c r="ENP48" s="20"/>
      <c r="ENQ48" s="21"/>
      <c r="ENR48" s="21"/>
      <c r="ENS48" s="21"/>
      <c r="ENT48" s="21"/>
      <c r="ENU48" s="21"/>
      <c r="ENV48" s="20"/>
      <c r="ENW48" s="20"/>
      <c r="ENX48" s="20"/>
      <c r="ENY48" s="20"/>
      <c r="ENZ48" s="21"/>
      <c r="EOA48" s="21"/>
      <c r="EOB48" s="7"/>
      <c r="EOC48" s="7"/>
      <c r="EOD48" s="21"/>
      <c r="EOE48" s="20"/>
      <c r="EOF48" s="20"/>
      <c r="EOG48" s="20"/>
      <c r="EOH48" s="21"/>
      <c r="EOI48" s="21"/>
      <c r="EOJ48" s="21"/>
      <c r="EOK48" s="21"/>
      <c r="EOL48" s="21"/>
      <c r="EOM48" s="20"/>
      <c r="EON48" s="20"/>
      <c r="EOO48" s="20"/>
      <c r="EOP48" s="20"/>
      <c r="EOQ48" s="21"/>
      <c r="EOR48" s="21"/>
      <c r="EOS48" s="7"/>
      <c r="EOT48" s="7"/>
      <c r="EOU48" s="21"/>
      <c r="EOV48" s="20"/>
      <c r="EOW48" s="20"/>
      <c r="EOX48" s="20"/>
      <c r="EOY48" s="21"/>
      <c r="EOZ48" s="21"/>
      <c r="EPA48" s="21"/>
      <c r="EPB48" s="21"/>
      <c r="EPC48" s="21"/>
      <c r="EPD48" s="20"/>
      <c r="EPE48" s="20"/>
      <c r="EPF48" s="20"/>
      <c r="EPG48" s="20"/>
      <c r="EPH48" s="21"/>
      <c r="EPI48" s="21"/>
      <c r="EPJ48" s="7"/>
      <c r="EPK48" s="7"/>
      <c r="EPL48" s="21"/>
      <c r="EPM48" s="20"/>
      <c r="EPN48" s="20"/>
      <c r="EPO48" s="20"/>
      <c r="EPP48" s="21"/>
      <c r="EPQ48" s="21"/>
      <c r="EPR48" s="21"/>
      <c r="EPS48" s="21"/>
      <c r="EPT48" s="21"/>
      <c r="EPU48" s="20"/>
      <c r="EPV48" s="20"/>
      <c r="EPW48" s="20"/>
      <c r="EPX48" s="20"/>
      <c r="EPY48" s="21"/>
      <c r="EPZ48" s="21"/>
      <c r="EQA48" s="7"/>
      <c r="EQB48" s="7"/>
      <c r="EQC48" s="21"/>
      <c r="EQD48" s="20"/>
      <c r="EQE48" s="20"/>
      <c r="EQF48" s="20"/>
      <c r="EQG48" s="21"/>
      <c r="EQH48" s="21"/>
      <c r="EQI48" s="21"/>
      <c r="EQJ48" s="21"/>
      <c r="EQK48" s="21"/>
      <c r="EQL48" s="20"/>
      <c r="EQM48" s="20"/>
      <c r="EQN48" s="20"/>
      <c r="EQO48" s="20"/>
      <c r="EQP48" s="21"/>
      <c r="EQQ48" s="21"/>
      <c r="EQR48" s="7"/>
      <c r="EQS48" s="7"/>
      <c r="EQT48" s="21"/>
      <c r="EQU48" s="20"/>
      <c r="EQV48" s="20"/>
      <c r="EQW48" s="20"/>
      <c r="EQX48" s="21"/>
      <c r="EQY48" s="21"/>
      <c r="EQZ48" s="21"/>
      <c r="ERA48" s="21"/>
      <c r="ERB48" s="21"/>
      <c r="ERC48" s="20"/>
      <c r="ERD48" s="20"/>
      <c r="ERE48" s="20"/>
      <c r="ERF48" s="20"/>
      <c r="ERG48" s="21"/>
      <c r="ERH48" s="21"/>
      <c r="ERI48" s="7"/>
      <c r="ERJ48" s="7"/>
      <c r="ERK48" s="21"/>
      <c r="ERL48" s="20"/>
      <c r="ERM48" s="20"/>
      <c r="ERN48" s="20"/>
      <c r="ERO48" s="21"/>
      <c r="ERP48" s="21"/>
      <c r="ERQ48" s="21"/>
      <c r="ERR48" s="21"/>
      <c r="ERS48" s="21"/>
      <c r="ERT48" s="20"/>
      <c r="ERU48" s="20"/>
      <c r="ERV48" s="20"/>
      <c r="ERW48" s="20"/>
      <c r="ERX48" s="21"/>
      <c r="ERY48" s="21"/>
      <c r="ERZ48" s="7"/>
      <c r="ESA48" s="7"/>
      <c r="ESB48" s="21"/>
      <c r="ESC48" s="20"/>
      <c r="ESD48" s="20"/>
      <c r="ESE48" s="20"/>
      <c r="ESF48" s="21"/>
      <c r="ESG48" s="21"/>
      <c r="ESH48" s="21"/>
      <c r="ESI48" s="21"/>
      <c r="ESJ48" s="21"/>
      <c r="ESK48" s="20"/>
      <c r="ESL48" s="20"/>
      <c r="ESM48" s="20"/>
      <c r="ESN48" s="20"/>
      <c r="ESO48" s="21"/>
      <c r="ESP48" s="21"/>
      <c r="ESQ48" s="7"/>
      <c r="ESR48" s="7"/>
      <c r="ESS48" s="21"/>
      <c r="EST48" s="20"/>
      <c r="ESU48" s="20"/>
      <c r="ESV48" s="20"/>
      <c r="ESW48" s="21"/>
      <c r="ESX48" s="21"/>
      <c r="ESY48" s="21"/>
      <c r="ESZ48" s="21"/>
      <c r="ETA48" s="21"/>
      <c r="ETB48" s="20"/>
      <c r="ETC48" s="20"/>
      <c r="ETD48" s="20"/>
      <c r="ETE48" s="20"/>
      <c r="ETF48" s="21"/>
      <c r="ETG48" s="21"/>
      <c r="ETH48" s="7"/>
      <c r="ETI48" s="7"/>
      <c r="ETJ48" s="21"/>
      <c r="ETK48" s="20"/>
      <c r="ETL48" s="20"/>
      <c r="ETM48" s="20"/>
      <c r="ETN48" s="21"/>
      <c r="ETO48" s="21"/>
      <c r="ETP48" s="21"/>
      <c r="ETQ48" s="21"/>
      <c r="ETR48" s="21"/>
      <c r="ETS48" s="20"/>
      <c r="ETT48" s="20"/>
      <c r="ETU48" s="20"/>
      <c r="ETV48" s="20"/>
      <c r="ETW48" s="21"/>
      <c r="ETX48" s="21"/>
      <c r="ETY48" s="7"/>
      <c r="ETZ48" s="7"/>
      <c r="EUA48" s="21"/>
      <c r="EUB48" s="20"/>
      <c r="EUC48" s="20"/>
      <c r="EUD48" s="20"/>
      <c r="EUE48" s="21"/>
      <c r="EUF48" s="21"/>
      <c r="EUG48" s="21"/>
      <c r="EUH48" s="21"/>
      <c r="EUI48" s="21"/>
      <c r="EUJ48" s="20"/>
      <c r="EUK48" s="20"/>
      <c r="EUL48" s="20"/>
      <c r="EUM48" s="20"/>
      <c r="EUN48" s="21"/>
      <c r="EUO48" s="21"/>
      <c r="EUP48" s="7"/>
      <c r="EUQ48" s="7"/>
      <c r="EUR48" s="21"/>
      <c r="EUS48" s="20"/>
      <c r="EUT48" s="20"/>
      <c r="EUU48" s="20"/>
      <c r="EUV48" s="21"/>
      <c r="EUW48" s="21"/>
      <c r="EUX48" s="21"/>
      <c r="EUY48" s="21"/>
      <c r="EUZ48" s="21"/>
      <c r="EVA48" s="20"/>
      <c r="EVB48" s="20"/>
      <c r="EVC48" s="20"/>
      <c r="EVD48" s="20"/>
      <c r="EVE48" s="21"/>
      <c r="EVF48" s="21"/>
      <c r="EVG48" s="7"/>
      <c r="EVH48" s="7"/>
      <c r="EVI48" s="21"/>
      <c r="EVJ48" s="20"/>
      <c r="EVK48" s="20"/>
      <c r="EVL48" s="20"/>
      <c r="EVM48" s="21"/>
      <c r="EVN48" s="21"/>
      <c r="EVO48" s="21"/>
      <c r="EVP48" s="21"/>
      <c r="EVQ48" s="21"/>
      <c r="EVR48" s="20"/>
      <c r="EVS48" s="20"/>
      <c r="EVT48" s="20"/>
      <c r="EVU48" s="20"/>
      <c r="EVV48" s="21"/>
      <c r="EVW48" s="21"/>
      <c r="EVX48" s="7"/>
      <c r="EVY48" s="7"/>
      <c r="EVZ48" s="21"/>
      <c r="EWA48" s="20"/>
      <c r="EWB48" s="20"/>
      <c r="EWC48" s="20"/>
      <c r="EWD48" s="21"/>
      <c r="EWE48" s="21"/>
      <c r="EWF48" s="21"/>
      <c r="EWG48" s="21"/>
      <c r="EWH48" s="21"/>
      <c r="EWI48" s="20"/>
      <c r="EWJ48" s="20"/>
      <c r="EWK48" s="20"/>
      <c r="EWL48" s="20"/>
      <c r="EWM48" s="21"/>
      <c r="EWN48" s="21"/>
      <c r="EWO48" s="7"/>
      <c r="EWP48" s="7"/>
      <c r="EWQ48" s="21"/>
      <c r="EWR48" s="20"/>
      <c r="EWS48" s="20"/>
      <c r="EWT48" s="20"/>
      <c r="EWU48" s="21"/>
      <c r="EWV48" s="21"/>
      <c r="EWW48" s="21"/>
      <c r="EWX48" s="21"/>
      <c r="EWY48" s="21"/>
      <c r="EWZ48" s="20"/>
      <c r="EXA48" s="20"/>
      <c r="EXB48" s="20"/>
      <c r="EXC48" s="20"/>
      <c r="EXD48" s="21"/>
      <c r="EXE48" s="21"/>
      <c r="EXF48" s="7"/>
      <c r="EXG48" s="7"/>
      <c r="EXH48" s="21"/>
      <c r="EXI48" s="20"/>
      <c r="EXJ48" s="20"/>
      <c r="EXK48" s="20"/>
      <c r="EXL48" s="21"/>
      <c r="EXM48" s="21"/>
      <c r="EXN48" s="21"/>
      <c r="EXO48" s="21"/>
      <c r="EXP48" s="21"/>
      <c r="EXQ48" s="20"/>
      <c r="EXR48" s="20"/>
      <c r="EXS48" s="20"/>
      <c r="EXT48" s="20"/>
      <c r="EXU48" s="21"/>
      <c r="EXV48" s="21"/>
      <c r="EXW48" s="7"/>
      <c r="EXX48" s="7"/>
      <c r="EXY48" s="21"/>
      <c r="EXZ48" s="20"/>
      <c r="EYA48" s="20"/>
      <c r="EYB48" s="20"/>
      <c r="EYC48" s="21"/>
      <c r="EYD48" s="21"/>
      <c r="EYE48" s="21"/>
      <c r="EYF48" s="21"/>
      <c r="EYG48" s="21"/>
      <c r="EYH48" s="20"/>
      <c r="EYI48" s="20"/>
      <c r="EYJ48" s="20"/>
      <c r="EYK48" s="20"/>
      <c r="EYL48" s="21"/>
      <c r="EYM48" s="21"/>
      <c r="EYN48" s="7"/>
      <c r="EYO48" s="7"/>
      <c r="EYP48" s="21"/>
      <c r="EYQ48" s="20"/>
      <c r="EYR48" s="20"/>
      <c r="EYS48" s="20"/>
      <c r="EYT48" s="21"/>
      <c r="EYU48" s="21"/>
      <c r="EYV48" s="21"/>
      <c r="EYW48" s="21"/>
      <c r="EYX48" s="21"/>
      <c r="EYY48" s="20"/>
      <c r="EYZ48" s="20"/>
      <c r="EZA48" s="20"/>
      <c r="EZB48" s="20"/>
      <c r="EZC48" s="21"/>
      <c r="EZD48" s="21"/>
      <c r="EZE48" s="7"/>
      <c r="EZF48" s="7"/>
      <c r="EZG48" s="21"/>
      <c r="EZH48" s="20"/>
      <c r="EZI48" s="20"/>
      <c r="EZJ48" s="20"/>
      <c r="EZK48" s="21"/>
      <c r="EZL48" s="21"/>
      <c r="EZM48" s="21"/>
      <c r="EZN48" s="21"/>
      <c r="EZO48" s="21"/>
      <c r="EZP48" s="20"/>
      <c r="EZQ48" s="20"/>
      <c r="EZR48" s="20"/>
      <c r="EZS48" s="20"/>
      <c r="EZT48" s="21"/>
      <c r="EZU48" s="21"/>
      <c r="EZV48" s="7"/>
      <c r="EZW48" s="7"/>
      <c r="EZX48" s="21"/>
      <c r="EZY48" s="20"/>
      <c r="EZZ48" s="20"/>
      <c r="FAA48" s="20"/>
      <c r="FAB48" s="21"/>
      <c r="FAC48" s="21"/>
      <c r="FAD48" s="21"/>
      <c r="FAE48" s="21"/>
      <c r="FAF48" s="21"/>
      <c r="FAG48" s="20"/>
      <c r="FAH48" s="20"/>
      <c r="FAI48" s="20"/>
      <c r="FAJ48" s="20"/>
      <c r="FAK48" s="21"/>
      <c r="FAL48" s="21"/>
      <c r="FAM48" s="7"/>
      <c r="FAN48" s="7"/>
      <c r="FAO48" s="21"/>
      <c r="FAP48" s="20"/>
      <c r="FAQ48" s="20"/>
      <c r="FAR48" s="20"/>
      <c r="FAS48" s="21"/>
      <c r="FAT48" s="21"/>
      <c r="FAU48" s="21"/>
      <c r="FAV48" s="21"/>
      <c r="FAW48" s="21"/>
      <c r="FAX48" s="20"/>
      <c r="FAY48" s="20"/>
      <c r="FAZ48" s="20"/>
      <c r="FBA48" s="20"/>
      <c r="FBB48" s="21"/>
      <c r="FBC48" s="21"/>
      <c r="FBD48" s="7"/>
      <c r="FBE48" s="7"/>
      <c r="FBF48" s="21"/>
      <c r="FBG48" s="20"/>
      <c r="FBH48" s="20"/>
      <c r="FBI48" s="20"/>
      <c r="FBJ48" s="21"/>
      <c r="FBK48" s="21"/>
      <c r="FBL48" s="21"/>
      <c r="FBM48" s="21"/>
      <c r="FBN48" s="21"/>
      <c r="FBO48" s="20"/>
      <c r="FBP48" s="20"/>
      <c r="FBQ48" s="20"/>
      <c r="FBR48" s="20"/>
      <c r="FBS48" s="21"/>
      <c r="FBT48" s="21"/>
      <c r="FBU48" s="7"/>
      <c r="FBV48" s="7"/>
      <c r="FBW48" s="21"/>
      <c r="FBX48" s="20"/>
      <c r="FBY48" s="20"/>
      <c r="FBZ48" s="20"/>
      <c r="FCA48" s="21"/>
      <c r="FCB48" s="21"/>
      <c r="FCC48" s="21"/>
      <c r="FCD48" s="21"/>
      <c r="FCE48" s="21"/>
      <c r="FCF48" s="20"/>
      <c r="FCG48" s="20"/>
      <c r="FCH48" s="20"/>
      <c r="FCI48" s="20"/>
      <c r="FCJ48" s="21"/>
      <c r="FCK48" s="21"/>
      <c r="FCL48" s="7"/>
      <c r="FCM48" s="7"/>
      <c r="FCN48" s="21"/>
      <c r="FCO48" s="20"/>
      <c r="FCP48" s="20"/>
      <c r="FCQ48" s="20"/>
      <c r="FCR48" s="21"/>
      <c r="FCS48" s="21"/>
      <c r="FCT48" s="21"/>
      <c r="FCU48" s="21"/>
      <c r="FCV48" s="21"/>
      <c r="FCW48" s="20"/>
      <c r="FCX48" s="20"/>
      <c r="FCY48" s="20"/>
      <c r="FCZ48" s="20"/>
      <c r="FDA48" s="21"/>
      <c r="FDB48" s="21"/>
      <c r="FDC48" s="7"/>
      <c r="FDD48" s="7"/>
      <c r="FDE48" s="21"/>
      <c r="FDF48" s="20"/>
      <c r="FDG48" s="20"/>
      <c r="FDH48" s="20"/>
      <c r="FDI48" s="21"/>
      <c r="FDJ48" s="21"/>
      <c r="FDK48" s="21"/>
      <c r="FDL48" s="21"/>
      <c r="FDM48" s="21"/>
      <c r="FDN48" s="20"/>
      <c r="FDO48" s="20"/>
      <c r="FDP48" s="20"/>
      <c r="FDQ48" s="20"/>
      <c r="FDR48" s="21"/>
      <c r="FDS48" s="21"/>
      <c r="FDT48" s="7"/>
      <c r="FDU48" s="7"/>
      <c r="FDV48" s="21"/>
      <c r="FDW48" s="20"/>
      <c r="FDX48" s="20"/>
      <c r="FDY48" s="20"/>
      <c r="FDZ48" s="21"/>
      <c r="FEA48" s="21"/>
      <c r="FEB48" s="21"/>
      <c r="FEC48" s="21"/>
      <c r="FED48" s="21"/>
      <c r="FEE48" s="20"/>
      <c r="FEF48" s="20"/>
      <c r="FEG48" s="20"/>
      <c r="FEH48" s="20"/>
      <c r="FEI48" s="21"/>
      <c r="FEJ48" s="21"/>
      <c r="FEK48" s="7"/>
      <c r="FEL48" s="7"/>
      <c r="FEM48" s="21"/>
      <c r="FEN48" s="20"/>
      <c r="FEO48" s="20"/>
      <c r="FEP48" s="20"/>
      <c r="FEQ48" s="21"/>
      <c r="FER48" s="21"/>
      <c r="FES48" s="21"/>
      <c r="FET48" s="21"/>
      <c r="FEU48" s="21"/>
      <c r="FEV48" s="20"/>
      <c r="FEW48" s="20"/>
      <c r="FEX48" s="20"/>
      <c r="FEY48" s="20"/>
      <c r="FEZ48" s="21"/>
      <c r="FFA48" s="21"/>
      <c r="FFB48" s="7"/>
      <c r="FFC48" s="7"/>
      <c r="FFD48" s="21"/>
      <c r="FFE48" s="20"/>
      <c r="FFF48" s="20"/>
      <c r="FFG48" s="20"/>
      <c r="FFH48" s="21"/>
      <c r="FFI48" s="21"/>
      <c r="FFJ48" s="21"/>
      <c r="FFK48" s="21"/>
      <c r="FFL48" s="21"/>
      <c r="FFM48" s="20"/>
      <c r="FFN48" s="20"/>
      <c r="FFO48" s="20"/>
      <c r="FFP48" s="20"/>
      <c r="FFQ48" s="21"/>
      <c r="FFR48" s="21"/>
      <c r="FFS48" s="7"/>
      <c r="FFT48" s="7"/>
      <c r="FFU48" s="21"/>
      <c r="FFV48" s="20"/>
      <c r="FFW48" s="20"/>
      <c r="FFX48" s="20"/>
      <c r="FFY48" s="21"/>
      <c r="FFZ48" s="21"/>
      <c r="FGA48" s="21"/>
      <c r="FGB48" s="21"/>
      <c r="FGC48" s="21"/>
      <c r="FGD48" s="20"/>
      <c r="FGE48" s="20"/>
      <c r="FGF48" s="20"/>
      <c r="FGG48" s="20"/>
      <c r="FGH48" s="21"/>
      <c r="FGI48" s="21"/>
      <c r="FGJ48" s="7"/>
      <c r="FGK48" s="7"/>
      <c r="FGL48" s="21"/>
      <c r="FGM48" s="20"/>
      <c r="FGN48" s="20"/>
      <c r="FGO48" s="20"/>
      <c r="FGP48" s="21"/>
      <c r="FGQ48" s="21"/>
      <c r="FGR48" s="21"/>
      <c r="FGS48" s="21"/>
      <c r="FGT48" s="21"/>
      <c r="FGU48" s="20"/>
      <c r="FGV48" s="20"/>
      <c r="FGW48" s="20"/>
      <c r="FGX48" s="20"/>
      <c r="FGY48" s="21"/>
      <c r="FGZ48" s="21"/>
      <c r="FHA48" s="7"/>
      <c r="FHB48" s="7"/>
      <c r="FHC48" s="21"/>
      <c r="FHD48" s="20"/>
      <c r="FHE48" s="20"/>
      <c r="FHF48" s="20"/>
      <c r="FHG48" s="21"/>
      <c r="FHH48" s="21"/>
      <c r="FHI48" s="21"/>
      <c r="FHJ48" s="21"/>
      <c r="FHK48" s="21"/>
      <c r="FHL48" s="20"/>
      <c r="FHM48" s="20"/>
      <c r="FHN48" s="20"/>
      <c r="FHO48" s="20"/>
      <c r="FHP48" s="21"/>
      <c r="FHQ48" s="21"/>
      <c r="FHR48" s="7"/>
      <c r="FHS48" s="7"/>
      <c r="FHT48" s="21"/>
      <c r="FHU48" s="20"/>
      <c r="FHV48" s="20"/>
      <c r="FHW48" s="20"/>
      <c r="FHX48" s="21"/>
      <c r="FHY48" s="21"/>
      <c r="FHZ48" s="21"/>
      <c r="FIA48" s="21"/>
      <c r="FIB48" s="21"/>
      <c r="FIC48" s="20"/>
      <c r="FID48" s="20"/>
      <c r="FIE48" s="20"/>
      <c r="FIF48" s="20"/>
      <c r="FIG48" s="21"/>
      <c r="FIH48" s="21"/>
      <c r="FII48" s="7"/>
      <c r="FIJ48" s="7"/>
      <c r="FIK48" s="21"/>
      <c r="FIL48" s="20"/>
      <c r="FIM48" s="20"/>
      <c r="FIN48" s="20"/>
      <c r="FIO48" s="21"/>
      <c r="FIP48" s="21"/>
      <c r="FIQ48" s="21"/>
      <c r="FIR48" s="21"/>
      <c r="FIS48" s="21"/>
      <c r="FIT48" s="20"/>
      <c r="FIU48" s="20"/>
      <c r="FIV48" s="20"/>
      <c r="FIW48" s="20"/>
      <c r="FIX48" s="21"/>
      <c r="FIY48" s="21"/>
      <c r="FIZ48" s="7"/>
      <c r="FJA48" s="7"/>
      <c r="FJB48" s="21"/>
      <c r="FJC48" s="20"/>
      <c r="FJD48" s="20"/>
      <c r="FJE48" s="20"/>
      <c r="FJF48" s="21"/>
      <c r="FJG48" s="21"/>
      <c r="FJH48" s="21"/>
      <c r="FJI48" s="21"/>
      <c r="FJJ48" s="21"/>
      <c r="FJK48" s="20"/>
      <c r="FJL48" s="20"/>
      <c r="FJM48" s="20"/>
      <c r="FJN48" s="20"/>
      <c r="FJO48" s="21"/>
      <c r="FJP48" s="21"/>
      <c r="FJQ48" s="7"/>
      <c r="FJR48" s="7"/>
      <c r="FJS48" s="21"/>
      <c r="FJT48" s="20"/>
      <c r="FJU48" s="20"/>
      <c r="FJV48" s="20"/>
      <c r="FJW48" s="21"/>
      <c r="FJX48" s="21"/>
      <c r="FJY48" s="21"/>
      <c r="FJZ48" s="21"/>
      <c r="FKA48" s="21"/>
      <c r="FKB48" s="20"/>
      <c r="FKC48" s="20"/>
      <c r="FKD48" s="20"/>
      <c r="FKE48" s="20"/>
      <c r="FKF48" s="21"/>
      <c r="FKG48" s="21"/>
      <c r="FKH48" s="7"/>
      <c r="FKI48" s="7"/>
      <c r="FKJ48" s="21"/>
      <c r="FKK48" s="20"/>
      <c r="FKL48" s="20"/>
      <c r="FKM48" s="20"/>
      <c r="FKN48" s="21"/>
      <c r="FKO48" s="21"/>
      <c r="FKP48" s="21"/>
      <c r="FKQ48" s="21"/>
      <c r="FKR48" s="21"/>
      <c r="FKS48" s="20"/>
      <c r="FKT48" s="20"/>
      <c r="FKU48" s="20"/>
      <c r="FKV48" s="20"/>
      <c r="FKW48" s="21"/>
      <c r="FKX48" s="21"/>
      <c r="FKY48" s="7"/>
      <c r="FKZ48" s="7"/>
      <c r="FLA48" s="21"/>
      <c r="FLB48" s="20"/>
      <c r="FLC48" s="20"/>
      <c r="FLD48" s="20"/>
      <c r="FLE48" s="21"/>
      <c r="FLF48" s="21"/>
      <c r="FLG48" s="21"/>
      <c r="FLH48" s="21"/>
      <c r="FLI48" s="21"/>
      <c r="FLJ48" s="20"/>
      <c r="FLK48" s="20"/>
      <c r="FLL48" s="20"/>
      <c r="FLM48" s="20"/>
      <c r="FLN48" s="21"/>
      <c r="FLO48" s="21"/>
      <c r="FLP48" s="7"/>
      <c r="FLQ48" s="7"/>
      <c r="FLR48" s="21"/>
      <c r="FLS48" s="20"/>
      <c r="FLT48" s="20"/>
      <c r="FLU48" s="20"/>
      <c r="FLV48" s="21"/>
      <c r="FLW48" s="21"/>
      <c r="FLX48" s="21"/>
      <c r="FLY48" s="21"/>
      <c r="FLZ48" s="21"/>
      <c r="FMA48" s="20"/>
      <c r="FMB48" s="20"/>
      <c r="FMC48" s="20"/>
      <c r="FMD48" s="20"/>
      <c r="FME48" s="21"/>
      <c r="FMF48" s="21"/>
      <c r="FMG48" s="7"/>
      <c r="FMH48" s="7"/>
      <c r="FMI48" s="21"/>
      <c r="FMJ48" s="20"/>
      <c r="FMK48" s="20"/>
      <c r="FML48" s="20"/>
      <c r="FMM48" s="21"/>
      <c r="FMN48" s="21"/>
      <c r="FMO48" s="21"/>
      <c r="FMP48" s="21"/>
      <c r="FMQ48" s="21"/>
      <c r="FMR48" s="20"/>
      <c r="FMS48" s="20"/>
      <c r="FMT48" s="20"/>
      <c r="FMU48" s="20"/>
      <c r="FMV48" s="21"/>
      <c r="FMW48" s="21"/>
      <c r="FMX48" s="7"/>
      <c r="FMY48" s="7"/>
      <c r="FMZ48" s="21"/>
      <c r="FNA48" s="20"/>
      <c r="FNB48" s="20"/>
      <c r="FNC48" s="20"/>
      <c r="FND48" s="21"/>
      <c r="FNE48" s="21"/>
      <c r="FNF48" s="21"/>
      <c r="FNG48" s="21"/>
      <c r="FNH48" s="21"/>
      <c r="FNI48" s="20"/>
      <c r="FNJ48" s="20"/>
      <c r="FNK48" s="20"/>
      <c r="FNL48" s="20"/>
      <c r="FNM48" s="21"/>
      <c r="FNN48" s="21"/>
      <c r="FNO48" s="7"/>
      <c r="FNP48" s="7"/>
      <c r="FNQ48" s="21"/>
      <c r="FNR48" s="20"/>
      <c r="FNS48" s="20"/>
      <c r="FNT48" s="20"/>
      <c r="FNU48" s="21"/>
      <c r="FNV48" s="21"/>
      <c r="FNW48" s="21"/>
      <c r="FNX48" s="21"/>
      <c r="FNY48" s="21"/>
      <c r="FNZ48" s="20"/>
      <c r="FOA48" s="20"/>
      <c r="FOB48" s="20"/>
      <c r="FOC48" s="20"/>
      <c r="FOD48" s="21"/>
      <c r="FOE48" s="21"/>
      <c r="FOF48" s="7"/>
      <c r="FOG48" s="7"/>
      <c r="FOH48" s="21"/>
      <c r="FOI48" s="20"/>
      <c r="FOJ48" s="20"/>
      <c r="FOK48" s="20"/>
      <c r="FOL48" s="21"/>
      <c r="FOM48" s="21"/>
      <c r="FON48" s="21"/>
      <c r="FOO48" s="21"/>
      <c r="FOP48" s="21"/>
      <c r="FOQ48" s="20"/>
      <c r="FOR48" s="20"/>
      <c r="FOS48" s="20"/>
      <c r="FOT48" s="20"/>
      <c r="FOU48" s="21"/>
      <c r="FOV48" s="21"/>
      <c r="FOW48" s="7"/>
      <c r="FOX48" s="7"/>
      <c r="FOY48" s="21"/>
      <c r="FOZ48" s="20"/>
      <c r="FPA48" s="20"/>
      <c r="FPB48" s="20"/>
      <c r="FPC48" s="21"/>
      <c r="FPD48" s="21"/>
      <c r="FPE48" s="21"/>
      <c r="FPF48" s="21"/>
      <c r="FPG48" s="21"/>
      <c r="FPH48" s="20"/>
      <c r="FPI48" s="20"/>
      <c r="FPJ48" s="20"/>
      <c r="FPK48" s="20"/>
      <c r="FPL48" s="21"/>
      <c r="FPM48" s="21"/>
      <c r="FPN48" s="7"/>
      <c r="FPO48" s="7"/>
      <c r="FPP48" s="21"/>
      <c r="FPQ48" s="20"/>
      <c r="FPR48" s="20"/>
      <c r="FPS48" s="20"/>
      <c r="FPT48" s="21"/>
      <c r="FPU48" s="21"/>
      <c r="FPV48" s="21"/>
      <c r="FPW48" s="21"/>
      <c r="FPX48" s="21"/>
      <c r="FPY48" s="20"/>
      <c r="FPZ48" s="20"/>
      <c r="FQA48" s="20"/>
      <c r="FQB48" s="20"/>
      <c r="FQC48" s="21"/>
      <c r="FQD48" s="21"/>
      <c r="FQE48" s="7"/>
      <c r="FQF48" s="7"/>
      <c r="FQG48" s="21"/>
      <c r="FQH48" s="20"/>
      <c r="FQI48" s="20"/>
      <c r="FQJ48" s="20"/>
      <c r="FQK48" s="21"/>
      <c r="FQL48" s="21"/>
      <c r="FQM48" s="21"/>
      <c r="FQN48" s="21"/>
      <c r="FQO48" s="21"/>
      <c r="FQP48" s="20"/>
      <c r="FQQ48" s="20"/>
      <c r="FQR48" s="20"/>
      <c r="FQS48" s="20"/>
      <c r="FQT48" s="21"/>
      <c r="FQU48" s="21"/>
      <c r="FQV48" s="7"/>
      <c r="FQW48" s="7"/>
      <c r="FQX48" s="21"/>
      <c r="FQY48" s="20"/>
      <c r="FQZ48" s="20"/>
      <c r="FRA48" s="20"/>
      <c r="FRB48" s="21"/>
      <c r="FRC48" s="21"/>
      <c r="FRD48" s="21"/>
      <c r="FRE48" s="21"/>
      <c r="FRF48" s="21"/>
      <c r="FRG48" s="20"/>
      <c r="FRH48" s="20"/>
      <c r="FRI48" s="20"/>
      <c r="FRJ48" s="20"/>
      <c r="FRK48" s="21"/>
      <c r="FRL48" s="21"/>
      <c r="FRM48" s="7"/>
      <c r="FRN48" s="7"/>
      <c r="FRO48" s="21"/>
      <c r="FRP48" s="20"/>
      <c r="FRQ48" s="20"/>
      <c r="FRR48" s="20"/>
      <c r="FRS48" s="21"/>
      <c r="FRT48" s="21"/>
      <c r="FRU48" s="21"/>
      <c r="FRV48" s="21"/>
      <c r="FRW48" s="21"/>
      <c r="FRX48" s="20"/>
      <c r="FRY48" s="20"/>
      <c r="FRZ48" s="20"/>
      <c r="FSA48" s="20"/>
      <c r="FSB48" s="21"/>
      <c r="FSC48" s="21"/>
      <c r="FSD48" s="7"/>
      <c r="FSE48" s="7"/>
      <c r="FSF48" s="21"/>
      <c r="FSG48" s="20"/>
      <c r="FSH48" s="20"/>
      <c r="FSI48" s="20"/>
      <c r="FSJ48" s="21"/>
      <c r="FSK48" s="21"/>
      <c r="FSL48" s="21"/>
      <c r="FSM48" s="21"/>
      <c r="FSN48" s="21"/>
      <c r="FSO48" s="20"/>
      <c r="FSP48" s="20"/>
      <c r="FSQ48" s="20"/>
      <c r="FSR48" s="20"/>
      <c r="FSS48" s="21"/>
      <c r="FST48" s="21"/>
      <c r="FSU48" s="7"/>
      <c r="FSV48" s="7"/>
      <c r="FSW48" s="21"/>
      <c r="FSX48" s="20"/>
      <c r="FSY48" s="20"/>
      <c r="FSZ48" s="20"/>
      <c r="FTA48" s="21"/>
      <c r="FTB48" s="21"/>
      <c r="FTC48" s="21"/>
      <c r="FTD48" s="21"/>
      <c r="FTE48" s="21"/>
      <c r="FTF48" s="20"/>
      <c r="FTG48" s="20"/>
      <c r="FTH48" s="20"/>
      <c r="FTI48" s="20"/>
      <c r="FTJ48" s="21"/>
      <c r="FTK48" s="21"/>
      <c r="FTL48" s="7"/>
      <c r="FTM48" s="7"/>
      <c r="FTN48" s="21"/>
      <c r="FTO48" s="20"/>
      <c r="FTP48" s="20"/>
      <c r="FTQ48" s="20"/>
      <c r="FTR48" s="21"/>
      <c r="FTS48" s="21"/>
      <c r="FTT48" s="21"/>
      <c r="FTU48" s="21"/>
      <c r="FTV48" s="21"/>
      <c r="FTW48" s="20"/>
      <c r="FTX48" s="20"/>
      <c r="FTY48" s="20"/>
      <c r="FTZ48" s="20"/>
      <c r="FUA48" s="21"/>
      <c r="FUB48" s="21"/>
      <c r="FUC48" s="7"/>
      <c r="FUD48" s="7"/>
      <c r="FUE48" s="21"/>
      <c r="FUF48" s="20"/>
      <c r="FUG48" s="20"/>
      <c r="FUH48" s="20"/>
      <c r="FUI48" s="21"/>
      <c r="FUJ48" s="21"/>
      <c r="FUK48" s="21"/>
      <c r="FUL48" s="21"/>
      <c r="FUM48" s="21"/>
      <c r="FUN48" s="20"/>
      <c r="FUO48" s="20"/>
      <c r="FUP48" s="20"/>
      <c r="FUQ48" s="20"/>
      <c r="FUR48" s="21"/>
      <c r="FUS48" s="21"/>
      <c r="FUT48" s="7"/>
      <c r="FUU48" s="7"/>
      <c r="FUV48" s="21"/>
      <c r="FUW48" s="20"/>
      <c r="FUX48" s="20"/>
      <c r="FUY48" s="20"/>
      <c r="FUZ48" s="21"/>
      <c r="FVA48" s="21"/>
      <c r="FVB48" s="21"/>
      <c r="FVC48" s="21"/>
      <c r="FVD48" s="21"/>
      <c r="FVE48" s="20"/>
      <c r="FVF48" s="20"/>
      <c r="FVG48" s="20"/>
      <c r="FVH48" s="20"/>
      <c r="FVI48" s="21"/>
      <c r="FVJ48" s="21"/>
      <c r="FVK48" s="7"/>
      <c r="FVL48" s="7"/>
      <c r="FVM48" s="21"/>
      <c r="FVN48" s="20"/>
      <c r="FVO48" s="20"/>
      <c r="FVP48" s="20"/>
      <c r="FVQ48" s="21"/>
      <c r="FVR48" s="21"/>
      <c r="FVS48" s="21"/>
      <c r="FVT48" s="21"/>
      <c r="FVU48" s="21"/>
      <c r="FVV48" s="20"/>
      <c r="FVW48" s="20"/>
      <c r="FVX48" s="20"/>
      <c r="FVY48" s="20"/>
      <c r="FVZ48" s="21"/>
      <c r="FWA48" s="21"/>
      <c r="FWB48" s="7"/>
      <c r="FWC48" s="7"/>
      <c r="FWD48" s="21"/>
      <c r="FWE48" s="20"/>
      <c r="FWF48" s="20"/>
      <c r="FWG48" s="20"/>
      <c r="FWH48" s="21"/>
      <c r="FWI48" s="21"/>
      <c r="FWJ48" s="21"/>
      <c r="FWK48" s="21"/>
      <c r="FWL48" s="21"/>
      <c r="FWM48" s="20"/>
      <c r="FWN48" s="20"/>
      <c r="FWO48" s="20"/>
      <c r="FWP48" s="20"/>
      <c r="FWQ48" s="21"/>
      <c r="FWR48" s="21"/>
      <c r="FWS48" s="7"/>
      <c r="FWT48" s="7"/>
      <c r="FWU48" s="21"/>
      <c r="FWV48" s="20"/>
      <c r="FWW48" s="20"/>
      <c r="FWX48" s="20"/>
      <c r="FWY48" s="21"/>
      <c r="FWZ48" s="21"/>
      <c r="FXA48" s="21"/>
      <c r="FXB48" s="21"/>
      <c r="FXC48" s="21"/>
      <c r="FXD48" s="20"/>
      <c r="FXE48" s="20"/>
      <c r="FXF48" s="20"/>
      <c r="FXG48" s="20"/>
      <c r="FXH48" s="21"/>
      <c r="FXI48" s="21"/>
      <c r="FXJ48" s="7"/>
      <c r="FXK48" s="7"/>
      <c r="FXL48" s="21"/>
      <c r="FXM48" s="20"/>
      <c r="FXN48" s="20"/>
      <c r="FXO48" s="20"/>
      <c r="FXP48" s="21"/>
      <c r="FXQ48" s="21"/>
      <c r="FXR48" s="21"/>
      <c r="FXS48" s="21"/>
      <c r="FXT48" s="21"/>
      <c r="FXU48" s="20"/>
      <c r="FXV48" s="20"/>
      <c r="FXW48" s="20"/>
      <c r="FXX48" s="20"/>
      <c r="FXY48" s="21"/>
      <c r="FXZ48" s="21"/>
      <c r="FYA48" s="7"/>
      <c r="FYB48" s="7"/>
      <c r="FYC48" s="21"/>
      <c r="FYD48" s="20"/>
      <c r="FYE48" s="20"/>
      <c r="FYF48" s="20"/>
      <c r="FYG48" s="21"/>
      <c r="FYH48" s="21"/>
      <c r="FYI48" s="21"/>
      <c r="FYJ48" s="21"/>
      <c r="FYK48" s="21"/>
      <c r="FYL48" s="20"/>
      <c r="FYM48" s="20"/>
      <c r="FYN48" s="20"/>
      <c r="FYO48" s="20"/>
      <c r="FYP48" s="21"/>
      <c r="FYQ48" s="21"/>
      <c r="FYR48" s="7"/>
      <c r="FYS48" s="7"/>
      <c r="FYT48" s="21"/>
      <c r="FYU48" s="20"/>
      <c r="FYV48" s="20"/>
      <c r="FYW48" s="20"/>
      <c r="FYX48" s="21"/>
      <c r="FYY48" s="21"/>
      <c r="FYZ48" s="21"/>
      <c r="FZA48" s="21"/>
      <c r="FZB48" s="21"/>
      <c r="FZC48" s="20"/>
      <c r="FZD48" s="20"/>
      <c r="FZE48" s="20"/>
      <c r="FZF48" s="20"/>
      <c r="FZG48" s="21"/>
      <c r="FZH48" s="21"/>
      <c r="FZI48" s="7"/>
      <c r="FZJ48" s="7"/>
      <c r="FZK48" s="21"/>
      <c r="FZL48" s="20"/>
      <c r="FZM48" s="20"/>
      <c r="FZN48" s="20"/>
      <c r="FZO48" s="21"/>
      <c r="FZP48" s="21"/>
      <c r="FZQ48" s="21"/>
      <c r="FZR48" s="21"/>
      <c r="FZS48" s="21"/>
      <c r="FZT48" s="20"/>
      <c r="FZU48" s="20"/>
      <c r="FZV48" s="20"/>
      <c r="FZW48" s="20"/>
      <c r="FZX48" s="21"/>
      <c r="FZY48" s="21"/>
      <c r="FZZ48" s="7"/>
      <c r="GAA48" s="7"/>
      <c r="GAB48" s="21"/>
      <c r="GAC48" s="20"/>
      <c r="GAD48" s="20"/>
      <c r="GAE48" s="20"/>
      <c r="GAF48" s="21"/>
      <c r="GAG48" s="21"/>
      <c r="GAH48" s="21"/>
      <c r="GAI48" s="21"/>
      <c r="GAJ48" s="21"/>
      <c r="GAK48" s="20"/>
      <c r="GAL48" s="20"/>
      <c r="GAM48" s="20"/>
      <c r="GAN48" s="20"/>
      <c r="GAO48" s="21"/>
      <c r="GAP48" s="21"/>
      <c r="GAQ48" s="7"/>
      <c r="GAR48" s="7"/>
      <c r="GAS48" s="21"/>
      <c r="GAT48" s="20"/>
      <c r="GAU48" s="20"/>
      <c r="GAV48" s="20"/>
      <c r="GAW48" s="21"/>
      <c r="GAX48" s="21"/>
      <c r="GAY48" s="21"/>
      <c r="GAZ48" s="21"/>
      <c r="GBA48" s="21"/>
      <c r="GBB48" s="20"/>
      <c r="GBC48" s="20"/>
      <c r="GBD48" s="20"/>
      <c r="GBE48" s="20"/>
      <c r="GBF48" s="21"/>
      <c r="GBG48" s="21"/>
      <c r="GBH48" s="7"/>
      <c r="GBI48" s="7"/>
      <c r="GBJ48" s="21"/>
      <c r="GBK48" s="20"/>
      <c r="GBL48" s="20"/>
      <c r="GBM48" s="20"/>
      <c r="GBN48" s="21"/>
      <c r="GBO48" s="21"/>
      <c r="GBP48" s="21"/>
      <c r="GBQ48" s="21"/>
      <c r="GBR48" s="21"/>
      <c r="GBS48" s="20"/>
      <c r="GBT48" s="20"/>
      <c r="GBU48" s="20"/>
      <c r="GBV48" s="20"/>
      <c r="GBW48" s="21"/>
      <c r="GBX48" s="21"/>
      <c r="GBY48" s="7"/>
      <c r="GBZ48" s="7"/>
      <c r="GCA48" s="21"/>
      <c r="GCB48" s="20"/>
      <c r="GCC48" s="20"/>
      <c r="GCD48" s="20"/>
      <c r="GCE48" s="21"/>
      <c r="GCF48" s="21"/>
      <c r="GCG48" s="21"/>
      <c r="GCH48" s="21"/>
      <c r="GCI48" s="21"/>
      <c r="GCJ48" s="20"/>
      <c r="GCK48" s="20"/>
      <c r="GCL48" s="20"/>
      <c r="GCM48" s="20"/>
      <c r="GCN48" s="21"/>
      <c r="GCO48" s="21"/>
      <c r="GCP48" s="7"/>
      <c r="GCQ48" s="7"/>
      <c r="GCR48" s="21"/>
      <c r="GCS48" s="20"/>
      <c r="GCT48" s="20"/>
      <c r="GCU48" s="20"/>
      <c r="GCV48" s="21"/>
      <c r="GCW48" s="21"/>
      <c r="GCX48" s="21"/>
      <c r="GCY48" s="21"/>
      <c r="GCZ48" s="21"/>
      <c r="GDA48" s="20"/>
      <c r="GDB48" s="20"/>
      <c r="GDC48" s="20"/>
      <c r="GDD48" s="20"/>
      <c r="GDE48" s="21"/>
      <c r="GDF48" s="21"/>
      <c r="GDG48" s="7"/>
      <c r="GDH48" s="7"/>
      <c r="GDI48" s="21"/>
      <c r="GDJ48" s="20"/>
      <c r="GDK48" s="20"/>
      <c r="GDL48" s="20"/>
      <c r="GDM48" s="21"/>
      <c r="GDN48" s="21"/>
      <c r="GDO48" s="21"/>
      <c r="GDP48" s="21"/>
      <c r="GDQ48" s="21"/>
      <c r="GDR48" s="20"/>
      <c r="GDS48" s="20"/>
      <c r="GDT48" s="20"/>
      <c r="GDU48" s="20"/>
      <c r="GDV48" s="21"/>
      <c r="GDW48" s="21"/>
      <c r="GDX48" s="7"/>
      <c r="GDY48" s="7"/>
      <c r="GDZ48" s="21"/>
      <c r="GEA48" s="20"/>
      <c r="GEB48" s="20"/>
      <c r="GEC48" s="20"/>
      <c r="GED48" s="21"/>
      <c r="GEE48" s="21"/>
      <c r="GEF48" s="21"/>
      <c r="GEG48" s="21"/>
      <c r="GEH48" s="21"/>
      <c r="GEI48" s="20"/>
      <c r="GEJ48" s="20"/>
      <c r="GEK48" s="20"/>
      <c r="GEL48" s="20"/>
      <c r="GEM48" s="21"/>
      <c r="GEN48" s="21"/>
      <c r="GEO48" s="7"/>
      <c r="GEP48" s="7"/>
      <c r="GEQ48" s="21"/>
      <c r="GER48" s="20"/>
      <c r="GES48" s="20"/>
      <c r="GET48" s="20"/>
      <c r="GEU48" s="21"/>
      <c r="GEV48" s="21"/>
      <c r="GEW48" s="21"/>
      <c r="GEX48" s="21"/>
      <c r="GEY48" s="21"/>
      <c r="GEZ48" s="20"/>
      <c r="GFA48" s="20"/>
      <c r="GFB48" s="20"/>
      <c r="GFC48" s="20"/>
      <c r="GFD48" s="21"/>
      <c r="GFE48" s="21"/>
      <c r="GFF48" s="7"/>
      <c r="GFG48" s="7"/>
      <c r="GFH48" s="21"/>
      <c r="GFI48" s="20"/>
      <c r="GFJ48" s="20"/>
      <c r="GFK48" s="20"/>
      <c r="GFL48" s="21"/>
      <c r="GFM48" s="21"/>
      <c r="GFN48" s="21"/>
      <c r="GFO48" s="21"/>
      <c r="GFP48" s="21"/>
      <c r="GFQ48" s="20"/>
      <c r="GFR48" s="20"/>
      <c r="GFS48" s="20"/>
      <c r="GFT48" s="20"/>
      <c r="GFU48" s="21"/>
      <c r="GFV48" s="21"/>
      <c r="GFW48" s="7"/>
      <c r="GFX48" s="7"/>
      <c r="GFY48" s="21"/>
      <c r="GFZ48" s="20"/>
      <c r="GGA48" s="20"/>
      <c r="GGB48" s="20"/>
      <c r="GGC48" s="21"/>
      <c r="GGD48" s="21"/>
      <c r="GGE48" s="21"/>
      <c r="GGF48" s="21"/>
      <c r="GGG48" s="21"/>
      <c r="GGH48" s="20"/>
      <c r="GGI48" s="20"/>
      <c r="GGJ48" s="20"/>
      <c r="GGK48" s="20"/>
      <c r="GGL48" s="21"/>
      <c r="GGM48" s="21"/>
      <c r="GGN48" s="7"/>
      <c r="GGO48" s="7"/>
      <c r="GGP48" s="21"/>
      <c r="GGQ48" s="20"/>
      <c r="GGR48" s="20"/>
      <c r="GGS48" s="20"/>
      <c r="GGT48" s="21"/>
      <c r="GGU48" s="21"/>
      <c r="GGV48" s="21"/>
      <c r="GGW48" s="21"/>
      <c r="GGX48" s="21"/>
      <c r="GGY48" s="20"/>
      <c r="GGZ48" s="20"/>
      <c r="GHA48" s="20"/>
      <c r="GHB48" s="20"/>
      <c r="GHC48" s="21"/>
      <c r="GHD48" s="21"/>
      <c r="GHE48" s="7"/>
      <c r="GHF48" s="7"/>
      <c r="GHG48" s="21"/>
      <c r="GHH48" s="20"/>
      <c r="GHI48" s="20"/>
      <c r="GHJ48" s="20"/>
      <c r="GHK48" s="21"/>
      <c r="GHL48" s="21"/>
      <c r="GHM48" s="21"/>
      <c r="GHN48" s="21"/>
      <c r="GHO48" s="21"/>
      <c r="GHP48" s="20"/>
      <c r="GHQ48" s="20"/>
      <c r="GHR48" s="20"/>
      <c r="GHS48" s="20"/>
      <c r="GHT48" s="21"/>
      <c r="GHU48" s="21"/>
      <c r="GHV48" s="7"/>
      <c r="GHW48" s="7"/>
      <c r="GHX48" s="21"/>
      <c r="GHY48" s="20"/>
      <c r="GHZ48" s="20"/>
      <c r="GIA48" s="20"/>
      <c r="GIB48" s="21"/>
      <c r="GIC48" s="21"/>
      <c r="GID48" s="21"/>
      <c r="GIE48" s="21"/>
      <c r="GIF48" s="21"/>
      <c r="GIG48" s="20"/>
      <c r="GIH48" s="20"/>
      <c r="GII48" s="20"/>
      <c r="GIJ48" s="20"/>
      <c r="GIK48" s="21"/>
      <c r="GIL48" s="21"/>
      <c r="GIM48" s="7"/>
      <c r="GIN48" s="7"/>
      <c r="GIO48" s="21"/>
      <c r="GIP48" s="20"/>
      <c r="GIQ48" s="20"/>
      <c r="GIR48" s="20"/>
      <c r="GIS48" s="21"/>
      <c r="GIT48" s="21"/>
      <c r="GIU48" s="21"/>
      <c r="GIV48" s="21"/>
      <c r="GIW48" s="21"/>
      <c r="GIX48" s="20"/>
      <c r="GIY48" s="20"/>
      <c r="GIZ48" s="20"/>
      <c r="GJA48" s="20"/>
      <c r="GJB48" s="21"/>
      <c r="GJC48" s="21"/>
      <c r="GJD48" s="7"/>
      <c r="GJE48" s="7"/>
      <c r="GJF48" s="21"/>
      <c r="GJG48" s="20"/>
      <c r="GJH48" s="20"/>
      <c r="GJI48" s="20"/>
      <c r="GJJ48" s="21"/>
      <c r="GJK48" s="21"/>
      <c r="GJL48" s="21"/>
      <c r="GJM48" s="21"/>
      <c r="GJN48" s="21"/>
      <c r="GJO48" s="20"/>
      <c r="GJP48" s="20"/>
      <c r="GJQ48" s="20"/>
      <c r="GJR48" s="20"/>
      <c r="GJS48" s="21"/>
      <c r="GJT48" s="21"/>
      <c r="GJU48" s="7"/>
      <c r="GJV48" s="7"/>
      <c r="GJW48" s="21"/>
      <c r="GJX48" s="20"/>
      <c r="GJY48" s="20"/>
      <c r="GJZ48" s="20"/>
      <c r="GKA48" s="21"/>
      <c r="GKB48" s="21"/>
      <c r="GKC48" s="21"/>
      <c r="GKD48" s="21"/>
      <c r="GKE48" s="21"/>
      <c r="GKF48" s="20"/>
      <c r="GKG48" s="20"/>
      <c r="GKH48" s="20"/>
      <c r="GKI48" s="20"/>
      <c r="GKJ48" s="21"/>
      <c r="GKK48" s="21"/>
      <c r="GKL48" s="7"/>
      <c r="GKM48" s="7"/>
      <c r="GKN48" s="21"/>
      <c r="GKO48" s="20"/>
      <c r="GKP48" s="20"/>
      <c r="GKQ48" s="20"/>
      <c r="GKR48" s="21"/>
      <c r="GKS48" s="21"/>
      <c r="GKT48" s="21"/>
      <c r="GKU48" s="21"/>
      <c r="GKV48" s="21"/>
      <c r="GKW48" s="20"/>
      <c r="GKX48" s="20"/>
      <c r="GKY48" s="20"/>
      <c r="GKZ48" s="20"/>
      <c r="GLA48" s="21"/>
      <c r="GLB48" s="21"/>
      <c r="GLC48" s="7"/>
      <c r="GLD48" s="7"/>
      <c r="GLE48" s="21"/>
      <c r="GLF48" s="20"/>
      <c r="GLG48" s="20"/>
      <c r="GLH48" s="20"/>
      <c r="GLI48" s="21"/>
      <c r="GLJ48" s="21"/>
      <c r="GLK48" s="21"/>
      <c r="GLL48" s="21"/>
      <c r="GLM48" s="21"/>
      <c r="GLN48" s="20"/>
      <c r="GLO48" s="20"/>
      <c r="GLP48" s="20"/>
      <c r="GLQ48" s="20"/>
      <c r="GLR48" s="21"/>
      <c r="GLS48" s="21"/>
      <c r="GLT48" s="7"/>
      <c r="GLU48" s="7"/>
      <c r="GLV48" s="21"/>
      <c r="GLW48" s="20"/>
      <c r="GLX48" s="20"/>
      <c r="GLY48" s="20"/>
      <c r="GLZ48" s="21"/>
      <c r="GMA48" s="21"/>
      <c r="GMB48" s="21"/>
      <c r="GMC48" s="21"/>
      <c r="GMD48" s="21"/>
      <c r="GME48" s="20"/>
      <c r="GMF48" s="20"/>
      <c r="GMG48" s="20"/>
      <c r="GMH48" s="20"/>
      <c r="GMI48" s="21"/>
      <c r="GMJ48" s="21"/>
      <c r="GMK48" s="7"/>
      <c r="GML48" s="7"/>
      <c r="GMM48" s="21"/>
      <c r="GMN48" s="20"/>
      <c r="GMO48" s="20"/>
      <c r="GMP48" s="20"/>
      <c r="GMQ48" s="21"/>
      <c r="GMR48" s="21"/>
      <c r="GMS48" s="21"/>
      <c r="GMT48" s="21"/>
      <c r="GMU48" s="21"/>
      <c r="GMV48" s="20"/>
      <c r="GMW48" s="20"/>
      <c r="GMX48" s="20"/>
      <c r="GMY48" s="20"/>
      <c r="GMZ48" s="21"/>
      <c r="GNA48" s="21"/>
      <c r="GNB48" s="7"/>
      <c r="GNC48" s="7"/>
      <c r="GND48" s="21"/>
      <c r="GNE48" s="20"/>
      <c r="GNF48" s="20"/>
      <c r="GNG48" s="20"/>
      <c r="GNH48" s="21"/>
      <c r="GNI48" s="21"/>
      <c r="GNJ48" s="21"/>
      <c r="GNK48" s="21"/>
      <c r="GNL48" s="21"/>
      <c r="GNM48" s="20"/>
      <c r="GNN48" s="20"/>
      <c r="GNO48" s="20"/>
      <c r="GNP48" s="20"/>
      <c r="GNQ48" s="21"/>
      <c r="GNR48" s="21"/>
      <c r="GNS48" s="7"/>
      <c r="GNT48" s="7"/>
      <c r="GNU48" s="21"/>
      <c r="GNV48" s="20"/>
      <c r="GNW48" s="20"/>
      <c r="GNX48" s="20"/>
      <c r="GNY48" s="21"/>
      <c r="GNZ48" s="21"/>
      <c r="GOA48" s="21"/>
      <c r="GOB48" s="21"/>
      <c r="GOC48" s="21"/>
      <c r="GOD48" s="20"/>
      <c r="GOE48" s="20"/>
      <c r="GOF48" s="20"/>
      <c r="GOG48" s="20"/>
      <c r="GOH48" s="21"/>
      <c r="GOI48" s="21"/>
      <c r="GOJ48" s="7"/>
      <c r="GOK48" s="7"/>
      <c r="GOL48" s="21"/>
      <c r="GOM48" s="20"/>
      <c r="GON48" s="20"/>
      <c r="GOO48" s="20"/>
      <c r="GOP48" s="21"/>
      <c r="GOQ48" s="21"/>
      <c r="GOR48" s="21"/>
      <c r="GOS48" s="21"/>
      <c r="GOT48" s="21"/>
      <c r="GOU48" s="20"/>
      <c r="GOV48" s="20"/>
      <c r="GOW48" s="20"/>
      <c r="GOX48" s="20"/>
      <c r="GOY48" s="21"/>
      <c r="GOZ48" s="21"/>
      <c r="GPA48" s="7"/>
      <c r="GPB48" s="7"/>
      <c r="GPC48" s="21"/>
      <c r="GPD48" s="20"/>
      <c r="GPE48" s="20"/>
      <c r="GPF48" s="20"/>
      <c r="GPG48" s="21"/>
      <c r="GPH48" s="21"/>
      <c r="GPI48" s="21"/>
      <c r="GPJ48" s="21"/>
      <c r="GPK48" s="21"/>
      <c r="GPL48" s="20"/>
      <c r="GPM48" s="20"/>
      <c r="GPN48" s="20"/>
      <c r="GPO48" s="20"/>
      <c r="GPP48" s="21"/>
      <c r="GPQ48" s="21"/>
      <c r="GPR48" s="7"/>
      <c r="GPS48" s="7"/>
      <c r="GPT48" s="21"/>
      <c r="GPU48" s="20"/>
      <c r="GPV48" s="20"/>
      <c r="GPW48" s="20"/>
      <c r="GPX48" s="21"/>
      <c r="GPY48" s="21"/>
      <c r="GPZ48" s="21"/>
      <c r="GQA48" s="21"/>
      <c r="GQB48" s="21"/>
      <c r="GQC48" s="20"/>
      <c r="GQD48" s="20"/>
      <c r="GQE48" s="20"/>
      <c r="GQF48" s="20"/>
      <c r="GQG48" s="21"/>
      <c r="GQH48" s="21"/>
      <c r="GQI48" s="7"/>
      <c r="GQJ48" s="7"/>
      <c r="GQK48" s="21"/>
      <c r="GQL48" s="20"/>
      <c r="GQM48" s="20"/>
      <c r="GQN48" s="20"/>
      <c r="GQO48" s="21"/>
      <c r="GQP48" s="21"/>
      <c r="GQQ48" s="21"/>
      <c r="GQR48" s="21"/>
      <c r="GQS48" s="21"/>
      <c r="GQT48" s="20"/>
      <c r="GQU48" s="20"/>
      <c r="GQV48" s="20"/>
      <c r="GQW48" s="20"/>
      <c r="GQX48" s="21"/>
      <c r="GQY48" s="21"/>
      <c r="GQZ48" s="7"/>
      <c r="GRA48" s="7"/>
      <c r="GRB48" s="21"/>
      <c r="GRC48" s="20"/>
      <c r="GRD48" s="20"/>
      <c r="GRE48" s="20"/>
      <c r="GRF48" s="21"/>
      <c r="GRG48" s="21"/>
      <c r="GRH48" s="21"/>
      <c r="GRI48" s="21"/>
      <c r="GRJ48" s="21"/>
      <c r="GRK48" s="20"/>
      <c r="GRL48" s="20"/>
      <c r="GRM48" s="20"/>
      <c r="GRN48" s="20"/>
      <c r="GRO48" s="21"/>
      <c r="GRP48" s="21"/>
      <c r="GRQ48" s="7"/>
      <c r="GRR48" s="7"/>
      <c r="GRS48" s="21"/>
      <c r="GRT48" s="20"/>
      <c r="GRU48" s="20"/>
      <c r="GRV48" s="20"/>
      <c r="GRW48" s="21"/>
      <c r="GRX48" s="21"/>
      <c r="GRY48" s="21"/>
      <c r="GRZ48" s="21"/>
      <c r="GSA48" s="21"/>
      <c r="GSB48" s="20"/>
      <c r="GSC48" s="20"/>
      <c r="GSD48" s="20"/>
      <c r="GSE48" s="20"/>
      <c r="GSF48" s="21"/>
      <c r="GSG48" s="21"/>
      <c r="GSH48" s="7"/>
      <c r="GSI48" s="7"/>
      <c r="GSJ48" s="21"/>
      <c r="GSK48" s="20"/>
      <c r="GSL48" s="20"/>
      <c r="GSM48" s="20"/>
      <c r="GSN48" s="21"/>
      <c r="GSO48" s="21"/>
      <c r="GSP48" s="21"/>
      <c r="GSQ48" s="21"/>
      <c r="GSR48" s="21"/>
      <c r="GSS48" s="20"/>
      <c r="GST48" s="20"/>
      <c r="GSU48" s="20"/>
      <c r="GSV48" s="20"/>
      <c r="GSW48" s="21"/>
      <c r="GSX48" s="21"/>
      <c r="GSY48" s="7"/>
      <c r="GSZ48" s="7"/>
      <c r="GTA48" s="21"/>
      <c r="GTB48" s="20"/>
      <c r="GTC48" s="20"/>
      <c r="GTD48" s="20"/>
      <c r="GTE48" s="21"/>
      <c r="GTF48" s="21"/>
      <c r="GTG48" s="21"/>
      <c r="GTH48" s="21"/>
      <c r="GTI48" s="21"/>
      <c r="GTJ48" s="20"/>
      <c r="GTK48" s="20"/>
      <c r="GTL48" s="20"/>
      <c r="GTM48" s="20"/>
      <c r="GTN48" s="21"/>
      <c r="GTO48" s="21"/>
      <c r="GTP48" s="7"/>
      <c r="GTQ48" s="7"/>
      <c r="GTR48" s="21"/>
      <c r="GTS48" s="20"/>
      <c r="GTT48" s="20"/>
      <c r="GTU48" s="20"/>
      <c r="GTV48" s="21"/>
      <c r="GTW48" s="21"/>
      <c r="GTX48" s="21"/>
      <c r="GTY48" s="21"/>
      <c r="GTZ48" s="21"/>
      <c r="GUA48" s="20"/>
      <c r="GUB48" s="20"/>
      <c r="GUC48" s="20"/>
      <c r="GUD48" s="20"/>
      <c r="GUE48" s="21"/>
      <c r="GUF48" s="21"/>
      <c r="GUG48" s="7"/>
      <c r="GUH48" s="7"/>
      <c r="GUI48" s="21"/>
      <c r="GUJ48" s="20"/>
      <c r="GUK48" s="20"/>
      <c r="GUL48" s="20"/>
      <c r="GUM48" s="21"/>
      <c r="GUN48" s="21"/>
      <c r="GUO48" s="21"/>
      <c r="GUP48" s="21"/>
      <c r="GUQ48" s="21"/>
      <c r="GUR48" s="20"/>
      <c r="GUS48" s="20"/>
      <c r="GUT48" s="20"/>
      <c r="GUU48" s="20"/>
      <c r="GUV48" s="21"/>
      <c r="GUW48" s="21"/>
      <c r="GUX48" s="7"/>
      <c r="GUY48" s="7"/>
      <c r="GUZ48" s="21"/>
      <c r="GVA48" s="20"/>
      <c r="GVB48" s="20"/>
      <c r="GVC48" s="20"/>
      <c r="GVD48" s="21"/>
      <c r="GVE48" s="21"/>
      <c r="GVF48" s="21"/>
      <c r="GVG48" s="21"/>
      <c r="GVH48" s="21"/>
      <c r="GVI48" s="20"/>
      <c r="GVJ48" s="20"/>
      <c r="GVK48" s="20"/>
      <c r="GVL48" s="20"/>
      <c r="GVM48" s="21"/>
      <c r="GVN48" s="21"/>
      <c r="GVO48" s="7"/>
      <c r="GVP48" s="7"/>
      <c r="GVQ48" s="21"/>
      <c r="GVR48" s="20"/>
      <c r="GVS48" s="20"/>
      <c r="GVT48" s="20"/>
      <c r="GVU48" s="21"/>
      <c r="GVV48" s="21"/>
      <c r="GVW48" s="21"/>
      <c r="GVX48" s="21"/>
      <c r="GVY48" s="21"/>
      <c r="GVZ48" s="20"/>
      <c r="GWA48" s="20"/>
      <c r="GWB48" s="20"/>
      <c r="GWC48" s="20"/>
      <c r="GWD48" s="21"/>
      <c r="GWE48" s="21"/>
      <c r="GWF48" s="7"/>
      <c r="GWG48" s="7"/>
      <c r="GWH48" s="21"/>
      <c r="GWI48" s="20"/>
      <c r="GWJ48" s="20"/>
      <c r="GWK48" s="20"/>
      <c r="GWL48" s="21"/>
      <c r="GWM48" s="21"/>
      <c r="GWN48" s="21"/>
      <c r="GWO48" s="21"/>
      <c r="GWP48" s="21"/>
      <c r="GWQ48" s="20"/>
      <c r="GWR48" s="20"/>
      <c r="GWS48" s="20"/>
      <c r="GWT48" s="20"/>
      <c r="GWU48" s="21"/>
      <c r="GWV48" s="21"/>
      <c r="GWW48" s="7"/>
      <c r="GWX48" s="7"/>
      <c r="GWY48" s="21"/>
      <c r="GWZ48" s="20"/>
      <c r="GXA48" s="20"/>
      <c r="GXB48" s="20"/>
      <c r="GXC48" s="21"/>
      <c r="GXD48" s="21"/>
      <c r="GXE48" s="21"/>
      <c r="GXF48" s="21"/>
      <c r="GXG48" s="21"/>
      <c r="GXH48" s="20"/>
      <c r="GXI48" s="20"/>
      <c r="GXJ48" s="20"/>
      <c r="GXK48" s="20"/>
      <c r="GXL48" s="21"/>
      <c r="GXM48" s="21"/>
      <c r="GXN48" s="7"/>
      <c r="GXO48" s="7"/>
      <c r="GXP48" s="21"/>
      <c r="GXQ48" s="20"/>
      <c r="GXR48" s="20"/>
      <c r="GXS48" s="20"/>
      <c r="GXT48" s="21"/>
      <c r="GXU48" s="21"/>
      <c r="GXV48" s="21"/>
      <c r="GXW48" s="21"/>
      <c r="GXX48" s="21"/>
      <c r="GXY48" s="20"/>
      <c r="GXZ48" s="20"/>
      <c r="GYA48" s="20"/>
      <c r="GYB48" s="20"/>
      <c r="GYC48" s="21"/>
      <c r="GYD48" s="21"/>
      <c r="GYE48" s="7"/>
      <c r="GYF48" s="7"/>
      <c r="GYG48" s="21"/>
      <c r="GYH48" s="20"/>
      <c r="GYI48" s="20"/>
      <c r="GYJ48" s="20"/>
      <c r="GYK48" s="21"/>
      <c r="GYL48" s="21"/>
      <c r="GYM48" s="21"/>
      <c r="GYN48" s="21"/>
      <c r="GYO48" s="21"/>
      <c r="GYP48" s="20"/>
      <c r="GYQ48" s="20"/>
      <c r="GYR48" s="20"/>
      <c r="GYS48" s="20"/>
      <c r="GYT48" s="21"/>
      <c r="GYU48" s="21"/>
      <c r="GYV48" s="7"/>
      <c r="GYW48" s="7"/>
      <c r="GYX48" s="21"/>
      <c r="GYY48" s="20"/>
      <c r="GYZ48" s="20"/>
      <c r="GZA48" s="20"/>
      <c r="GZB48" s="21"/>
      <c r="GZC48" s="21"/>
      <c r="GZD48" s="21"/>
      <c r="GZE48" s="21"/>
      <c r="GZF48" s="21"/>
      <c r="GZG48" s="20"/>
      <c r="GZH48" s="20"/>
      <c r="GZI48" s="20"/>
      <c r="GZJ48" s="20"/>
      <c r="GZK48" s="21"/>
      <c r="GZL48" s="21"/>
      <c r="GZM48" s="7"/>
      <c r="GZN48" s="7"/>
      <c r="GZO48" s="21"/>
      <c r="GZP48" s="20"/>
      <c r="GZQ48" s="20"/>
      <c r="GZR48" s="20"/>
      <c r="GZS48" s="21"/>
      <c r="GZT48" s="21"/>
      <c r="GZU48" s="21"/>
      <c r="GZV48" s="21"/>
      <c r="GZW48" s="21"/>
      <c r="GZX48" s="20"/>
      <c r="GZY48" s="20"/>
      <c r="GZZ48" s="20"/>
      <c r="HAA48" s="20"/>
      <c r="HAB48" s="21"/>
      <c r="HAC48" s="21"/>
      <c r="HAD48" s="7"/>
      <c r="HAE48" s="7"/>
      <c r="HAF48" s="21"/>
      <c r="HAG48" s="20"/>
      <c r="HAH48" s="20"/>
      <c r="HAI48" s="20"/>
      <c r="HAJ48" s="21"/>
      <c r="HAK48" s="21"/>
      <c r="HAL48" s="21"/>
      <c r="HAM48" s="21"/>
      <c r="HAN48" s="21"/>
      <c r="HAO48" s="20"/>
      <c r="HAP48" s="20"/>
      <c r="HAQ48" s="20"/>
      <c r="HAR48" s="20"/>
      <c r="HAS48" s="21"/>
      <c r="HAT48" s="21"/>
      <c r="HAU48" s="7"/>
      <c r="HAV48" s="7"/>
      <c r="HAW48" s="21"/>
      <c r="HAX48" s="20"/>
      <c r="HAY48" s="20"/>
      <c r="HAZ48" s="20"/>
      <c r="HBA48" s="21"/>
      <c r="HBB48" s="21"/>
      <c r="HBC48" s="21"/>
      <c r="HBD48" s="21"/>
      <c r="HBE48" s="21"/>
      <c r="HBF48" s="20"/>
      <c r="HBG48" s="20"/>
      <c r="HBH48" s="20"/>
      <c r="HBI48" s="20"/>
      <c r="HBJ48" s="21"/>
      <c r="HBK48" s="21"/>
      <c r="HBL48" s="7"/>
      <c r="HBM48" s="7"/>
      <c r="HBN48" s="21"/>
      <c r="HBO48" s="20"/>
      <c r="HBP48" s="20"/>
      <c r="HBQ48" s="20"/>
      <c r="HBR48" s="21"/>
      <c r="HBS48" s="21"/>
      <c r="HBT48" s="21"/>
      <c r="HBU48" s="21"/>
      <c r="HBV48" s="21"/>
      <c r="HBW48" s="20"/>
      <c r="HBX48" s="20"/>
      <c r="HBY48" s="20"/>
      <c r="HBZ48" s="20"/>
      <c r="HCA48" s="21"/>
      <c r="HCB48" s="21"/>
      <c r="HCC48" s="7"/>
      <c r="HCD48" s="7"/>
      <c r="HCE48" s="21"/>
      <c r="HCF48" s="20"/>
      <c r="HCG48" s="20"/>
      <c r="HCH48" s="20"/>
      <c r="HCI48" s="21"/>
      <c r="HCJ48" s="21"/>
      <c r="HCK48" s="21"/>
      <c r="HCL48" s="21"/>
      <c r="HCM48" s="21"/>
      <c r="HCN48" s="20"/>
      <c r="HCO48" s="20"/>
      <c r="HCP48" s="20"/>
      <c r="HCQ48" s="20"/>
      <c r="HCR48" s="21"/>
      <c r="HCS48" s="21"/>
      <c r="HCT48" s="7"/>
      <c r="HCU48" s="7"/>
      <c r="HCV48" s="21"/>
      <c r="HCW48" s="20"/>
      <c r="HCX48" s="20"/>
      <c r="HCY48" s="20"/>
      <c r="HCZ48" s="21"/>
      <c r="HDA48" s="21"/>
      <c r="HDB48" s="21"/>
      <c r="HDC48" s="21"/>
      <c r="HDD48" s="21"/>
      <c r="HDE48" s="20"/>
      <c r="HDF48" s="20"/>
      <c r="HDG48" s="20"/>
      <c r="HDH48" s="20"/>
      <c r="HDI48" s="21"/>
      <c r="HDJ48" s="21"/>
      <c r="HDK48" s="7"/>
      <c r="HDL48" s="7"/>
      <c r="HDM48" s="21"/>
      <c r="HDN48" s="20"/>
      <c r="HDO48" s="20"/>
      <c r="HDP48" s="20"/>
      <c r="HDQ48" s="21"/>
      <c r="HDR48" s="21"/>
      <c r="HDS48" s="21"/>
      <c r="HDT48" s="21"/>
      <c r="HDU48" s="21"/>
      <c r="HDV48" s="20"/>
      <c r="HDW48" s="20"/>
      <c r="HDX48" s="20"/>
      <c r="HDY48" s="20"/>
      <c r="HDZ48" s="21"/>
      <c r="HEA48" s="21"/>
      <c r="HEB48" s="7"/>
      <c r="HEC48" s="7"/>
      <c r="HED48" s="21"/>
      <c r="HEE48" s="20"/>
      <c r="HEF48" s="20"/>
      <c r="HEG48" s="20"/>
      <c r="HEH48" s="21"/>
      <c r="HEI48" s="21"/>
      <c r="HEJ48" s="21"/>
      <c r="HEK48" s="21"/>
      <c r="HEL48" s="21"/>
      <c r="HEM48" s="20"/>
      <c r="HEN48" s="20"/>
      <c r="HEO48" s="20"/>
      <c r="HEP48" s="20"/>
      <c r="HEQ48" s="21"/>
      <c r="HER48" s="21"/>
      <c r="HES48" s="7"/>
      <c r="HET48" s="7"/>
      <c r="HEU48" s="21"/>
      <c r="HEV48" s="20"/>
      <c r="HEW48" s="20"/>
      <c r="HEX48" s="20"/>
      <c r="HEY48" s="21"/>
      <c r="HEZ48" s="21"/>
      <c r="HFA48" s="21"/>
      <c r="HFB48" s="21"/>
      <c r="HFC48" s="21"/>
      <c r="HFD48" s="20"/>
      <c r="HFE48" s="20"/>
      <c r="HFF48" s="20"/>
      <c r="HFG48" s="20"/>
      <c r="HFH48" s="21"/>
      <c r="HFI48" s="21"/>
      <c r="HFJ48" s="7"/>
      <c r="HFK48" s="7"/>
      <c r="HFL48" s="21"/>
      <c r="HFM48" s="20"/>
      <c r="HFN48" s="20"/>
      <c r="HFO48" s="20"/>
      <c r="HFP48" s="21"/>
      <c r="HFQ48" s="21"/>
      <c r="HFR48" s="21"/>
      <c r="HFS48" s="21"/>
      <c r="HFT48" s="21"/>
      <c r="HFU48" s="20"/>
      <c r="HFV48" s="20"/>
      <c r="HFW48" s="20"/>
      <c r="HFX48" s="20"/>
      <c r="HFY48" s="21"/>
      <c r="HFZ48" s="21"/>
      <c r="HGA48" s="7"/>
      <c r="HGB48" s="7"/>
      <c r="HGC48" s="21"/>
      <c r="HGD48" s="20"/>
      <c r="HGE48" s="20"/>
      <c r="HGF48" s="20"/>
      <c r="HGG48" s="21"/>
      <c r="HGH48" s="21"/>
      <c r="HGI48" s="21"/>
      <c r="HGJ48" s="21"/>
      <c r="HGK48" s="21"/>
      <c r="HGL48" s="20"/>
      <c r="HGM48" s="20"/>
      <c r="HGN48" s="20"/>
      <c r="HGO48" s="20"/>
      <c r="HGP48" s="21"/>
      <c r="HGQ48" s="21"/>
      <c r="HGR48" s="7"/>
      <c r="HGS48" s="7"/>
      <c r="HGT48" s="21"/>
      <c r="HGU48" s="20"/>
      <c r="HGV48" s="20"/>
      <c r="HGW48" s="20"/>
      <c r="HGX48" s="21"/>
      <c r="HGY48" s="21"/>
      <c r="HGZ48" s="21"/>
      <c r="HHA48" s="21"/>
      <c r="HHB48" s="21"/>
      <c r="HHC48" s="20"/>
      <c r="HHD48" s="20"/>
      <c r="HHE48" s="20"/>
      <c r="HHF48" s="20"/>
      <c r="HHG48" s="21"/>
      <c r="HHH48" s="21"/>
      <c r="HHI48" s="7"/>
      <c r="HHJ48" s="7"/>
      <c r="HHK48" s="21"/>
      <c r="HHL48" s="20"/>
      <c r="HHM48" s="20"/>
      <c r="HHN48" s="20"/>
      <c r="HHO48" s="21"/>
      <c r="HHP48" s="21"/>
      <c r="HHQ48" s="21"/>
      <c r="HHR48" s="21"/>
      <c r="HHS48" s="21"/>
      <c r="HHT48" s="20"/>
      <c r="HHU48" s="20"/>
      <c r="HHV48" s="20"/>
      <c r="HHW48" s="20"/>
      <c r="HHX48" s="21"/>
      <c r="HHY48" s="21"/>
      <c r="HHZ48" s="7"/>
      <c r="HIA48" s="7"/>
      <c r="HIB48" s="21"/>
      <c r="HIC48" s="20"/>
      <c r="HID48" s="20"/>
      <c r="HIE48" s="20"/>
      <c r="HIF48" s="21"/>
      <c r="HIG48" s="21"/>
      <c r="HIH48" s="21"/>
      <c r="HII48" s="21"/>
      <c r="HIJ48" s="21"/>
      <c r="HIK48" s="20"/>
      <c r="HIL48" s="20"/>
      <c r="HIM48" s="20"/>
      <c r="HIN48" s="20"/>
      <c r="HIO48" s="21"/>
      <c r="HIP48" s="21"/>
      <c r="HIQ48" s="7"/>
      <c r="HIR48" s="7"/>
      <c r="HIS48" s="21"/>
      <c r="HIT48" s="20"/>
      <c r="HIU48" s="20"/>
      <c r="HIV48" s="20"/>
      <c r="HIW48" s="21"/>
      <c r="HIX48" s="21"/>
      <c r="HIY48" s="21"/>
      <c r="HIZ48" s="21"/>
      <c r="HJA48" s="21"/>
      <c r="HJB48" s="20"/>
      <c r="HJC48" s="20"/>
      <c r="HJD48" s="20"/>
      <c r="HJE48" s="20"/>
      <c r="HJF48" s="21"/>
      <c r="HJG48" s="21"/>
      <c r="HJH48" s="7"/>
      <c r="HJI48" s="7"/>
      <c r="HJJ48" s="21"/>
      <c r="HJK48" s="20"/>
      <c r="HJL48" s="20"/>
      <c r="HJM48" s="20"/>
      <c r="HJN48" s="21"/>
      <c r="HJO48" s="21"/>
      <c r="HJP48" s="21"/>
      <c r="HJQ48" s="21"/>
      <c r="HJR48" s="21"/>
      <c r="HJS48" s="20"/>
      <c r="HJT48" s="20"/>
      <c r="HJU48" s="20"/>
      <c r="HJV48" s="20"/>
      <c r="HJW48" s="21"/>
      <c r="HJX48" s="21"/>
      <c r="HJY48" s="7"/>
      <c r="HJZ48" s="7"/>
      <c r="HKA48" s="21"/>
      <c r="HKB48" s="20"/>
      <c r="HKC48" s="20"/>
      <c r="HKD48" s="20"/>
      <c r="HKE48" s="21"/>
      <c r="HKF48" s="21"/>
      <c r="HKG48" s="21"/>
      <c r="HKH48" s="21"/>
      <c r="HKI48" s="21"/>
      <c r="HKJ48" s="20"/>
      <c r="HKK48" s="20"/>
      <c r="HKL48" s="20"/>
      <c r="HKM48" s="20"/>
      <c r="HKN48" s="21"/>
      <c r="HKO48" s="21"/>
      <c r="HKP48" s="7"/>
      <c r="HKQ48" s="7"/>
      <c r="HKR48" s="21"/>
      <c r="HKS48" s="20"/>
      <c r="HKT48" s="20"/>
      <c r="HKU48" s="20"/>
      <c r="HKV48" s="21"/>
      <c r="HKW48" s="21"/>
      <c r="HKX48" s="21"/>
      <c r="HKY48" s="21"/>
      <c r="HKZ48" s="21"/>
      <c r="HLA48" s="20"/>
      <c r="HLB48" s="20"/>
      <c r="HLC48" s="20"/>
      <c r="HLD48" s="20"/>
      <c r="HLE48" s="21"/>
      <c r="HLF48" s="21"/>
      <c r="HLG48" s="7"/>
      <c r="HLH48" s="7"/>
      <c r="HLI48" s="21"/>
      <c r="HLJ48" s="20"/>
      <c r="HLK48" s="20"/>
      <c r="HLL48" s="20"/>
      <c r="HLM48" s="21"/>
      <c r="HLN48" s="21"/>
      <c r="HLO48" s="21"/>
      <c r="HLP48" s="21"/>
      <c r="HLQ48" s="21"/>
      <c r="HLR48" s="20"/>
      <c r="HLS48" s="20"/>
      <c r="HLT48" s="20"/>
      <c r="HLU48" s="20"/>
      <c r="HLV48" s="21"/>
      <c r="HLW48" s="21"/>
      <c r="HLX48" s="7"/>
      <c r="HLY48" s="7"/>
      <c r="HLZ48" s="21"/>
      <c r="HMA48" s="20"/>
      <c r="HMB48" s="20"/>
      <c r="HMC48" s="20"/>
      <c r="HMD48" s="21"/>
      <c r="HME48" s="21"/>
      <c r="HMF48" s="21"/>
      <c r="HMG48" s="21"/>
      <c r="HMH48" s="21"/>
      <c r="HMI48" s="20"/>
      <c r="HMJ48" s="20"/>
      <c r="HMK48" s="20"/>
      <c r="HML48" s="20"/>
      <c r="HMM48" s="21"/>
      <c r="HMN48" s="21"/>
      <c r="HMO48" s="7"/>
      <c r="HMP48" s="7"/>
      <c r="HMQ48" s="21"/>
      <c r="HMR48" s="20"/>
      <c r="HMS48" s="20"/>
      <c r="HMT48" s="20"/>
      <c r="HMU48" s="21"/>
      <c r="HMV48" s="21"/>
      <c r="HMW48" s="21"/>
      <c r="HMX48" s="21"/>
      <c r="HMY48" s="21"/>
      <c r="HMZ48" s="20"/>
      <c r="HNA48" s="20"/>
      <c r="HNB48" s="20"/>
      <c r="HNC48" s="20"/>
      <c r="HND48" s="21"/>
      <c r="HNE48" s="21"/>
      <c r="HNF48" s="7"/>
      <c r="HNG48" s="7"/>
      <c r="HNH48" s="21"/>
      <c r="HNI48" s="20"/>
      <c r="HNJ48" s="20"/>
      <c r="HNK48" s="20"/>
      <c r="HNL48" s="21"/>
      <c r="HNM48" s="21"/>
      <c r="HNN48" s="21"/>
      <c r="HNO48" s="21"/>
      <c r="HNP48" s="21"/>
      <c r="HNQ48" s="20"/>
      <c r="HNR48" s="20"/>
      <c r="HNS48" s="20"/>
      <c r="HNT48" s="20"/>
      <c r="HNU48" s="21"/>
      <c r="HNV48" s="21"/>
      <c r="HNW48" s="7"/>
      <c r="HNX48" s="7"/>
      <c r="HNY48" s="21"/>
      <c r="HNZ48" s="20"/>
      <c r="HOA48" s="20"/>
      <c r="HOB48" s="20"/>
      <c r="HOC48" s="21"/>
      <c r="HOD48" s="21"/>
      <c r="HOE48" s="21"/>
      <c r="HOF48" s="21"/>
      <c r="HOG48" s="21"/>
      <c r="HOH48" s="20"/>
      <c r="HOI48" s="20"/>
      <c r="HOJ48" s="20"/>
      <c r="HOK48" s="20"/>
      <c r="HOL48" s="21"/>
      <c r="HOM48" s="21"/>
      <c r="HON48" s="7"/>
      <c r="HOO48" s="7"/>
      <c r="HOP48" s="21"/>
      <c r="HOQ48" s="20"/>
      <c r="HOR48" s="20"/>
      <c r="HOS48" s="20"/>
      <c r="HOT48" s="21"/>
      <c r="HOU48" s="21"/>
      <c r="HOV48" s="21"/>
      <c r="HOW48" s="21"/>
      <c r="HOX48" s="21"/>
      <c r="HOY48" s="20"/>
      <c r="HOZ48" s="20"/>
      <c r="HPA48" s="20"/>
      <c r="HPB48" s="20"/>
      <c r="HPC48" s="21"/>
      <c r="HPD48" s="21"/>
      <c r="HPE48" s="7"/>
      <c r="HPF48" s="7"/>
      <c r="HPG48" s="21"/>
      <c r="HPH48" s="20"/>
      <c r="HPI48" s="20"/>
      <c r="HPJ48" s="20"/>
      <c r="HPK48" s="21"/>
      <c r="HPL48" s="21"/>
      <c r="HPM48" s="21"/>
      <c r="HPN48" s="21"/>
      <c r="HPO48" s="21"/>
      <c r="HPP48" s="20"/>
      <c r="HPQ48" s="20"/>
      <c r="HPR48" s="20"/>
      <c r="HPS48" s="20"/>
      <c r="HPT48" s="21"/>
      <c r="HPU48" s="21"/>
      <c r="HPV48" s="7"/>
      <c r="HPW48" s="7"/>
      <c r="HPX48" s="21"/>
      <c r="HPY48" s="20"/>
      <c r="HPZ48" s="20"/>
      <c r="HQA48" s="20"/>
      <c r="HQB48" s="21"/>
      <c r="HQC48" s="21"/>
      <c r="HQD48" s="21"/>
      <c r="HQE48" s="21"/>
      <c r="HQF48" s="21"/>
      <c r="HQG48" s="20"/>
      <c r="HQH48" s="20"/>
      <c r="HQI48" s="20"/>
      <c r="HQJ48" s="20"/>
      <c r="HQK48" s="21"/>
      <c r="HQL48" s="21"/>
      <c r="HQM48" s="7"/>
      <c r="HQN48" s="7"/>
      <c r="HQO48" s="21"/>
      <c r="HQP48" s="20"/>
      <c r="HQQ48" s="20"/>
      <c r="HQR48" s="20"/>
      <c r="HQS48" s="21"/>
      <c r="HQT48" s="21"/>
      <c r="HQU48" s="21"/>
      <c r="HQV48" s="21"/>
      <c r="HQW48" s="21"/>
      <c r="HQX48" s="20"/>
      <c r="HQY48" s="20"/>
      <c r="HQZ48" s="20"/>
      <c r="HRA48" s="20"/>
      <c r="HRB48" s="21"/>
      <c r="HRC48" s="21"/>
      <c r="HRD48" s="7"/>
      <c r="HRE48" s="7"/>
      <c r="HRF48" s="21"/>
      <c r="HRG48" s="20"/>
      <c r="HRH48" s="20"/>
      <c r="HRI48" s="20"/>
      <c r="HRJ48" s="21"/>
      <c r="HRK48" s="21"/>
      <c r="HRL48" s="21"/>
      <c r="HRM48" s="21"/>
      <c r="HRN48" s="21"/>
      <c r="HRO48" s="20"/>
      <c r="HRP48" s="20"/>
      <c r="HRQ48" s="20"/>
      <c r="HRR48" s="20"/>
      <c r="HRS48" s="21"/>
      <c r="HRT48" s="21"/>
      <c r="HRU48" s="7"/>
      <c r="HRV48" s="7"/>
      <c r="HRW48" s="21"/>
      <c r="HRX48" s="20"/>
      <c r="HRY48" s="20"/>
      <c r="HRZ48" s="20"/>
      <c r="HSA48" s="21"/>
      <c r="HSB48" s="21"/>
      <c r="HSC48" s="21"/>
      <c r="HSD48" s="21"/>
      <c r="HSE48" s="21"/>
      <c r="HSF48" s="20"/>
      <c r="HSG48" s="20"/>
      <c r="HSH48" s="20"/>
      <c r="HSI48" s="20"/>
      <c r="HSJ48" s="21"/>
      <c r="HSK48" s="21"/>
      <c r="HSL48" s="7"/>
      <c r="HSM48" s="7"/>
      <c r="HSN48" s="21"/>
      <c r="HSO48" s="20"/>
      <c r="HSP48" s="20"/>
      <c r="HSQ48" s="20"/>
      <c r="HSR48" s="21"/>
      <c r="HSS48" s="21"/>
      <c r="HST48" s="21"/>
      <c r="HSU48" s="21"/>
      <c r="HSV48" s="21"/>
      <c r="HSW48" s="20"/>
      <c r="HSX48" s="20"/>
      <c r="HSY48" s="20"/>
      <c r="HSZ48" s="20"/>
      <c r="HTA48" s="21"/>
      <c r="HTB48" s="21"/>
      <c r="HTC48" s="7"/>
      <c r="HTD48" s="7"/>
      <c r="HTE48" s="21"/>
      <c r="HTF48" s="20"/>
      <c r="HTG48" s="20"/>
      <c r="HTH48" s="20"/>
      <c r="HTI48" s="21"/>
      <c r="HTJ48" s="21"/>
      <c r="HTK48" s="21"/>
      <c r="HTL48" s="21"/>
      <c r="HTM48" s="21"/>
      <c r="HTN48" s="20"/>
      <c r="HTO48" s="20"/>
      <c r="HTP48" s="20"/>
      <c r="HTQ48" s="20"/>
      <c r="HTR48" s="21"/>
      <c r="HTS48" s="21"/>
      <c r="HTT48" s="7"/>
      <c r="HTU48" s="7"/>
      <c r="HTV48" s="21"/>
      <c r="HTW48" s="20"/>
      <c r="HTX48" s="20"/>
      <c r="HTY48" s="20"/>
      <c r="HTZ48" s="21"/>
      <c r="HUA48" s="21"/>
      <c r="HUB48" s="21"/>
      <c r="HUC48" s="21"/>
      <c r="HUD48" s="21"/>
      <c r="HUE48" s="20"/>
      <c r="HUF48" s="20"/>
      <c r="HUG48" s="20"/>
      <c r="HUH48" s="20"/>
      <c r="HUI48" s="21"/>
      <c r="HUJ48" s="21"/>
      <c r="HUK48" s="7"/>
      <c r="HUL48" s="7"/>
      <c r="HUM48" s="21"/>
      <c r="HUN48" s="20"/>
      <c r="HUO48" s="20"/>
      <c r="HUP48" s="20"/>
      <c r="HUQ48" s="21"/>
      <c r="HUR48" s="21"/>
      <c r="HUS48" s="21"/>
      <c r="HUT48" s="21"/>
      <c r="HUU48" s="21"/>
      <c r="HUV48" s="20"/>
      <c r="HUW48" s="20"/>
      <c r="HUX48" s="20"/>
      <c r="HUY48" s="20"/>
      <c r="HUZ48" s="21"/>
      <c r="HVA48" s="21"/>
      <c r="HVB48" s="7"/>
      <c r="HVC48" s="7"/>
      <c r="HVD48" s="21"/>
      <c r="HVE48" s="20"/>
      <c r="HVF48" s="20"/>
      <c r="HVG48" s="20"/>
      <c r="HVH48" s="21"/>
      <c r="HVI48" s="21"/>
      <c r="HVJ48" s="21"/>
      <c r="HVK48" s="21"/>
      <c r="HVL48" s="21"/>
      <c r="HVM48" s="20"/>
      <c r="HVN48" s="20"/>
      <c r="HVO48" s="20"/>
      <c r="HVP48" s="20"/>
      <c r="HVQ48" s="21"/>
      <c r="HVR48" s="21"/>
      <c r="HVS48" s="7"/>
      <c r="HVT48" s="7"/>
      <c r="HVU48" s="21"/>
      <c r="HVV48" s="20"/>
      <c r="HVW48" s="20"/>
      <c r="HVX48" s="20"/>
      <c r="HVY48" s="21"/>
      <c r="HVZ48" s="21"/>
      <c r="HWA48" s="21"/>
      <c r="HWB48" s="21"/>
      <c r="HWC48" s="21"/>
      <c r="HWD48" s="20"/>
      <c r="HWE48" s="20"/>
      <c r="HWF48" s="20"/>
      <c r="HWG48" s="20"/>
      <c r="HWH48" s="21"/>
      <c r="HWI48" s="21"/>
      <c r="HWJ48" s="7"/>
      <c r="HWK48" s="7"/>
      <c r="HWL48" s="21"/>
      <c r="HWM48" s="20"/>
      <c r="HWN48" s="20"/>
      <c r="HWO48" s="20"/>
      <c r="HWP48" s="21"/>
      <c r="HWQ48" s="21"/>
      <c r="HWR48" s="21"/>
      <c r="HWS48" s="21"/>
      <c r="HWT48" s="21"/>
      <c r="HWU48" s="20"/>
      <c r="HWV48" s="20"/>
      <c r="HWW48" s="20"/>
      <c r="HWX48" s="20"/>
      <c r="HWY48" s="21"/>
      <c r="HWZ48" s="21"/>
      <c r="HXA48" s="7"/>
      <c r="HXB48" s="7"/>
      <c r="HXC48" s="21"/>
      <c r="HXD48" s="20"/>
      <c r="HXE48" s="20"/>
      <c r="HXF48" s="20"/>
      <c r="HXG48" s="21"/>
      <c r="HXH48" s="21"/>
      <c r="HXI48" s="21"/>
      <c r="HXJ48" s="21"/>
      <c r="HXK48" s="21"/>
      <c r="HXL48" s="20"/>
      <c r="HXM48" s="20"/>
      <c r="HXN48" s="20"/>
      <c r="HXO48" s="20"/>
      <c r="HXP48" s="21"/>
      <c r="HXQ48" s="21"/>
      <c r="HXR48" s="7"/>
      <c r="HXS48" s="7"/>
      <c r="HXT48" s="21"/>
      <c r="HXU48" s="20"/>
      <c r="HXV48" s="20"/>
      <c r="HXW48" s="20"/>
      <c r="HXX48" s="21"/>
      <c r="HXY48" s="21"/>
      <c r="HXZ48" s="21"/>
      <c r="HYA48" s="21"/>
      <c r="HYB48" s="21"/>
      <c r="HYC48" s="20"/>
      <c r="HYD48" s="20"/>
      <c r="HYE48" s="20"/>
      <c r="HYF48" s="20"/>
      <c r="HYG48" s="21"/>
      <c r="HYH48" s="21"/>
      <c r="HYI48" s="7"/>
      <c r="HYJ48" s="7"/>
      <c r="HYK48" s="21"/>
      <c r="HYL48" s="20"/>
      <c r="HYM48" s="20"/>
      <c r="HYN48" s="20"/>
      <c r="HYO48" s="21"/>
      <c r="HYP48" s="21"/>
      <c r="HYQ48" s="21"/>
      <c r="HYR48" s="21"/>
      <c r="HYS48" s="21"/>
      <c r="HYT48" s="20"/>
      <c r="HYU48" s="20"/>
      <c r="HYV48" s="20"/>
      <c r="HYW48" s="20"/>
      <c r="HYX48" s="21"/>
      <c r="HYY48" s="21"/>
      <c r="HYZ48" s="7"/>
      <c r="HZA48" s="7"/>
      <c r="HZB48" s="21"/>
      <c r="HZC48" s="20"/>
      <c r="HZD48" s="20"/>
      <c r="HZE48" s="20"/>
      <c r="HZF48" s="21"/>
      <c r="HZG48" s="21"/>
      <c r="HZH48" s="21"/>
      <c r="HZI48" s="21"/>
      <c r="HZJ48" s="21"/>
      <c r="HZK48" s="20"/>
      <c r="HZL48" s="20"/>
      <c r="HZM48" s="20"/>
      <c r="HZN48" s="20"/>
      <c r="HZO48" s="21"/>
      <c r="HZP48" s="21"/>
      <c r="HZQ48" s="7"/>
      <c r="HZR48" s="7"/>
      <c r="HZS48" s="21"/>
      <c r="HZT48" s="20"/>
      <c r="HZU48" s="20"/>
      <c r="HZV48" s="20"/>
      <c r="HZW48" s="21"/>
      <c r="HZX48" s="21"/>
      <c r="HZY48" s="21"/>
      <c r="HZZ48" s="21"/>
      <c r="IAA48" s="21"/>
      <c r="IAB48" s="20"/>
      <c r="IAC48" s="20"/>
      <c r="IAD48" s="20"/>
      <c r="IAE48" s="20"/>
      <c r="IAF48" s="21"/>
      <c r="IAG48" s="21"/>
      <c r="IAH48" s="7"/>
      <c r="IAI48" s="7"/>
      <c r="IAJ48" s="21"/>
      <c r="IAK48" s="20"/>
      <c r="IAL48" s="20"/>
      <c r="IAM48" s="20"/>
      <c r="IAN48" s="21"/>
      <c r="IAO48" s="21"/>
      <c r="IAP48" s="21"/>
      <c r="IAQ48" s="21"/>
      <c r="IAR48" s="21"/>
      <c r="IAS48" s="20"/>
      <c r="IAT48" s="20"/>
      <c r="IAU48" s="20"/>
      <c r="IAV48" s="20"/>
      <c r="IAW48" s="21"/>
      <c r="IAX48" s="21"/>
      <c r="IAY48" s="7"/>
      <c r="IAZ48" s="7"/>
      <c r="IBA48" s="21"/>
      <c r="IBB48" s="20"/>
      <c r="IBC48" s="20"/>
      <c r="IBD48" s="20"/>
      <c r="IBE48" s="21"/>
      <c r="IBF48" s="21"/>
      <c r="IBG48" s="21"/>
      <c r="IBH48" s="21"/>
      <c r="IBI48" s="21"/>
      <c r="IBJ48" s="20"/>
      <c r="IBK48" s="20"/>
      <c r="IBL48" s="20"/>
      <c r="IBM48" s="20"/>
      <c r="IBN48" s="21"/>
      <c r="IBO48" s="21"/>
      <c r="IBP48" s="7"/>
      <c r="IBQ48" s="7"/>
      <c r="IBR48" s="21"/>
      <c r="IBS48" s="20"/>
      <c r="IBT48" s="20"/>
      <c r="IBU48" s="20"/>
      <c r="IBV48" s="21"/>
      <c r="IBW48" s="21"/>
      <c r="IBX48" s="21"/>
      <c r="IBY48" s="21"/>
      <c r="IBZ48" s="21"/>
      <c r="ICA48" s="20"/>
      <c r="ICB48" s="20"/>
      <c r="ICC48" s="20"/>
      <c r="ICD48" s="20"/>
      <c r="ICE48" s="21"/>
      <c r="ICF48" s="21"/>
      <c r="ICG48" s="7"/>
      <c r="ICH48" s="7"/>
      <c r="ICI48" s="21"/>
      <c r="ICJ48" s="20"/>
      <c r="ICK48" s="20"/>
      <c r="ICL48" s="20"/>
      <c r="ICM48" s="21"/>
      <c r="ICN48" s="21"/>
      <c r="ICO48" s="21"/>
      <c r="ICP48" s="21"/>
      <c r="ICQ48" s="21"/>
      <c r="ICR48" s="20"/>
      <c r="ICS48" s="20"/>
      <c r="ICT48" s="20"/>
      <c r="ICU48" s="20"/>
      <c r="ICV48" s="21"/>
      <c r="ICW48" s="21"/>
      <c r="ICX48" s="7"/>
      <c r="ICY48" s="7"/>
      <c r="ICZ48" s="21"/>
      <c r="IDA48" s="20"/>
      <c r="IDB48" s="20"/>
      <c r="IDC48" s="20"/>
      <c r="IDD48" s="21"/>
      <c r="IDE48" s="21"/>
      <c r="IDF48" s="21"/>
      <c r="IDG48" s="21"/>
      <c r="IDH48" s="21"/>
      <c r="IDI48" s="20"/>
      <c r="IDJ48" s="20"/>
      <c r="IDK48" s="20"/>
      <c r="IDL48" s="20"/>
      <c r="IDM48" s="21"/>
      <c r="IDN48" s="21"/>
      <c r="IDO48" s="7"/>
      <c r="IDP48" s="7"/>
      <c r="IDQ48" s="21"/>
      <c r="IDR48" s="20"/>
      <c r="IDS48" s="20"/>
      <c r="IDT48" s="20"/>
      <c r="IDU48" s="21"/>
      <c r="IDV48" s="21"/>
      <c r="IDW48" s="21"/>
      <c r="IDX48" s="21"/>
      <c r="IDY48" s="21"/>
      <c r="IDZ48" s="20"/>
      <c r="IEA48" s="20"/>
      <c r="IEB48" s="20"/>
      <c r="IEC48" s="20"/>
      <c r="IED48" s="21"/>
      <c r="IEE48" s="21"/>
      <c r="IEF48" s="7"/>
      <c r="IEG48" s="7"/>
      <c r="IEH48" s="21"/>
      <c r="IEI48" s="20"/>
      <c r="IEJ48" s="20"/>
      <c r="IEK48" s="20"/>
      <c r="IEL48" s="21"/>
      <c r="IEM48" s="21"/>
      <c r="IEN48" s="21"/>
      <c r="IEO48" s="21"/>
      <c r="IEP48" s="21"/>
      <c r="IEQ48" s="20"/>
      <c r="IER48" s="20"/>
      <c r="IES48" s="20"/>
      <c r="IET48" s="20"/>
      <c r="IEU48" s="21"/>
      <c r="IEV48" s="21"/>
      <c r="IEW48" s="7"/>
      <c r="IEX48" s="7"/>
      <c r="IEY48" s="21"/>
      <c r="IEZ48" s="20"/>
      <c r="IFA48" s="20"/>
      <c r="IFB48" s="20"/>
      <c r="IFC48" s="21"/>
      <c r="IFD48" s="21"/>
      <c r="IFE48" s="21"/>
      <c r="IFF48" s="21"/>
      <c r="IFG48" s="21"/>
      <c r="IFH48" s="20"/>
      <c r="IFI48" s="20"/>
      <c r="IFJ48" s="20"/>
      <c r="IFK48" s="20"/>
      <c r="IFL48" s="21"/>
      <c r="IFM48" s="21"/>
      <c r="IFN48" s="7"/>
      <c r="IFO48" s="7"/>
      <c r="IFP48" s="21"/>
      <c r="IFQ48" s="20"/>
      <c r="IFR48" s="20"/>
      <c r="IFS48" s="20"/>
      <c r="IFT48" s="21"/>
      <c r="IFU48" s="21"/>
      <c r="IFV48" s="21"/>
      <c r="IFW48" s="21"/>
      <c r="IFX48" s="21"/>
      <c r="IFY48" s="20"/>
      <c r="IFZ48" s="20"/>
      <c r="IGA48" s="20"/>
      <c r="IGB48" s="20"/>
      <c r="IGC48" s="21"/>
      <c r="IGD48" s="21"/>
      <c r="IGE48" s="7"/>
      <c r="IGF48" s="7"/>
      <c r="IGG48" s="21"/>
      <c r="IGH48" s="20"/>
      <c r="IGI48" s="20"/>
      <c r="IGJ48" s="20"/>
      <c r="IGK48" s="21"/>
      <c r="IGL48" s="21"/>
      <c r="IGM48" s="21"/>
      <c r="IGN48" s="21"/>
      <c r="IGO48" s="21"/>
      <c r="IGP48" s="20"/>
      <c r="IGQ48" s="20"/>
      <c r="IGR48" s="20"/>
      <c r="IGS48" s="20"/>
      <c r="IGT48" s="21"/>
      <c r="IGU48" s="21"/>
      <c r="IGV48" s="7"/>
      <c r="IGW48" s="7"/>
      <c r="IGX48" s="21"/>
      <c r="IGY48" s="20"/>
      <c r="IGZ48" s="20"/>
      <c r="IHA48" s="20"/>
      <c r="IHB48" s="21"/>
      <c r="IHC48" s="21"/>
      <c r="IHD48" s="21"/>
      <c r="IHE48" s="21"/>
      <c r="IHF48" s="21"/>
      <c r="IHG48" s="20"/>
      <c r="IHH48" s="20"/>
      <c r="IHI48" s="20"/>
      <c r="IHJ48" s="20"/>
      <c r="IHK48" s="21"/>
      <c r="IHL48" s="21"/>
      <c r="IHM48" s="7"/>
      <c r="IHN48" s="7"/>
      <c r="IHO48" s="21"/>
      <c r="IHP48" s="20"/>
      <c r="IHQ48" s="20"/>
      <c r="IHR48" s="20"/>
      <c r="IHS48" s="21"/>
      <c r="IHT48" s="21"/>
      <c r="IHU48" s="21"/>
      <c r="IHV48" s="21"/>
      <c r="IHW48" s="21"/>
      <c r="IHX48" s="20"/>
      <c r="IHY48" s="20"/>
      <c r="IHZ48" s="20"/>
      <c r="IIA48" s="20"/>
      <c r="IIB48" s="21"/>
      <c r="IIC48" s="21"/>
      <c r="IID48" s="7"/>
      <c r="IIE48" s="7"/>
      <c r="IIF48" s="21"/>
      <c r="IIG48" s="20"/>
      <c r="IIH48" s="20"/>
      <c r="III48" s="20"/>
      <c r="IIJ48" s="21"/>
      <c r="IIK48" s="21"/>
      <c r="IIL48" s="21"/>
      <c r="IIM48" s="21"/>
      <c r="IIN48" s="21"/>
      <c r="IIO48" s="20"/>
      <c r="IIP48" s="20"/>
      <c r="IIQ48" s="20"/>
      <c r="IIR48" s="20"/>
      <c r="IIS48" s="21"/>
      <c r="IIT48" s="21"/>
      <c r="IIU48" s="7"/>
      <c r="IIV48" s="7"/>
      <c r="IIW48" s="21"/>
      <c r="IIX48" s="20"/>
      <c r="IIY48" s="20"/>
      <c r="IIZ48" s="20"/>
      <c r="IJA48" s="21"/>
      <c r="IJB48" s="21"/>
      <c r="IJC48" s="21"/>
      <c r="IJD48" s="21"/>
      <c r="IJE48" s="21"/>
      <c r="IJF48" s="20"/>
      <c r="IJG48" s="20"/>
      <c r="IJH48" s="20"/>
      <c r="IJI48" s="20"/>
      <c r="IJJ48" s="21"/>
      <c r="IJK48" s="21"/>
      <c r="IJL48" s="7"/>
      <c r="IJM48" s="7"/>
      <c r="IJN48" s="21"/>
      <c r="IJO48" s="20"/>
      <c r="IJP48" s="20"/>
      <c r="IJQ48" s="20"/>
      <c r="IJR48" s="21"/>
      <c r="IJS48" s="21"/>
      <c r="IJT48" s="21"/>
      <c r="IJU48" s="21"/>
      <c r="IJV48" s="21"/>
      <c r="IJW48" s="20"/>
      <c r="IJX48" s="20"/>
      <c r="IJY48" s="20"/>
      <c r="IJZ48" s="20"/>
      <c r="IKA48" s="21"/>
      <c r="IKB48" s="21"/>
      <c r="IKC48" s="7"/>
      <c r="IKD48" s="7"/>
      <c r="IKE48" s="21"/>
      <c r="IKF48" s="20"/>
      <c r="IKG48" s="20"/>
      <c r="IKH48" s="20"/>
      <c r="IKI48" s="21"/>
      <c r="IKJ48" s="21"/>
      <c r="IKK48" s="21"/>
      <c r="IKL48" s="21"/>
      <c r="IKM48" s="21"/>
      <c r="IKN48" s="20"/>
      <c r="IKO48" s="20"/>
      <c r="IKP48" s="20"/>
      <c r="IKQ48" s="20"/>
      <c r="IKR48" s="21"/>
      <c r="IKS48" s="21"/>
      <c r="IKT48" s="7"/>
      <c r="IKU48" s="7"/>
      <c r="IKV48" s="21"/>
      <c r="IKW48" s="20"/>
      <c r="IKX48" s="20"/>
      <c r="IKY48" s="20"/>
      <c r="IKZ48" s="21"/>
      <c r="ILA48" s="21"/>
      <c r="ILB48" s="21"/>
      <c r="ILC48" s="21"/>
      <c r="ILD48" s="21"/>
      <c r="ILE48" s="20"/>
      <c r="ILF48" s="20"/>
      <c r="ILG48" s="20"/>
      <c r="ILH48" s="20"/>
      <c r="ILI48" s="21"/>
      <c r="ILJ48" s="21"/>
      <c r="ILK48" s="7"/>
      <c r="ILL48" s="7"/>
      <c r="ILM48" s="21"/>
      <c r="ILN48" s="20"/>
      <c r="ILO48" s="20"/>
      <c r="ILP48" s="20"/>
      <c r="ILQ48" s="21"/>
      <c r="ILR48" s="21"/>
      <c r="ILS48" s="21"/>
      <c r="ILT48" s="21"/>
      <c r="ILU48" s="21"/>
      <c r="ILV48" s="20"/>
      <c r="ILW48" s="20"/>
      <c r="ILX48" s="20"/>
      <c r="ILY48" s="20"/>
      <c r="ILZ48" s="21"/>
      <c r="IMA48" s="21"/>
      <c r="IMB48" s="7"/>
      <c r="IMC48" s="7"/>
      <c r="IMD48" s="21"/>
      <c r="IME48" s="20"/>
      <c r="IMF48" s="20"/>
      <c r="IMG48" s="20"/>
      <c r="IMH48" s="21"/>
      <c r="IMI48" s="21"/>
      <c r="IMJ48" s="21"/>
      <c r="IMK48" s="21"/>
      <c r="IML48" s="21"/>
      <c r="IMM48" s="20"/>
      <c r="IMN48" s="20"/>
      <c r="IMO48" s="20"/>
      <c r="IMP48" s="20"/>
      <c r="IMQ48" s="21"/>
      <c r="IMR48" s="21"/>
      <c r="IMS48" s="7"/>
      <c r="IMT48" s="7"/>
      <c r="IMU48" s="21"/>
      <c r="IMV48" s="20"/>
      <c r="IMW48" s="20"/>
      <c r="IMX48" s="20"/>
      <c r="IMY48" s="21"/>
      <c r="IMZ48" s="21"/>
      <c r="INA48" s="21"/>
      <c r="INB48" s="21"/>
      <c r="INC48" s="21"/>
      <c r="IND48" s="20"/>
      <c r="INE48" s="20"/>
      <c r="INF48" s="20"/>
      <c r="ING48" s="20"/>
      <c r="INH48" s="21"/>
      <c r="INI48" s="21"/>
      <c r="INJ48" s="7"/>
      <c r="INK48" s="7"/>
      <c r="INL48" s="21"/>
      <c r="INM48" s="20"/>
      <c r="INN48" s="20"/>
      <c r="INO48" s="20"/>
      <c r="INP48" s="21"/>
      <c r="INQ48" s="21"/>
      <c r="INR48" s="21"/>
      <c r="INS48" s="21"/>
      <c r="INT48" s="21"/>
      <c r="INU48" s="20"/>
      <c r="INV48" s="20"/>
      <c r="INW48" s="20"/>
      <c r="INX48" s="20"/>
      <c r="INY48" s="21"/>
      <c r="INZ48" s="21"/>
      <c r="IOA48" s="7"/>
      <c r="IOB48" s="7"/>
      <c r="IOC48" s="21"/>
      <c r="IOD48" s="20"/>
      <c r="IOE48" s="20"/>
      <c r="IOF48" s="20"/>
      <c r="IOG48" s="21"/>
      <c r="IOH48" s="21"/>
      <c r="IOI48" s="21"/>
      <c r="IOJ48" s="21"/>
      <c r="IOK48" s="21"/>
      <c r="IOL48" s="20"/>
      <c r="IOM48" s="20"/>
      <c r="ION48" s="20"/>
      <c r="IOO48" s="20"/>
      <c r="IOP48" s="21"/>
      <c r="IOQ48" s="21"/>
      <c r="IOR48" s="7"/>
      <c r="IOS48" s="7"/>
      <c r="IOT48" s="21"/>
      <c r="IOU48" s="20"/>
      <c r="IOV48" s="20"/>
      <c r="IOW48" s="20"/>
      <c r="IOX48" s="21"/>
      <c r="IOY48" s="21"/>
      <c r="IOZ48" s="21"/>
      <c r="IPA48" s="21"/>
      <c r="IPB48" s="21"/>
      <c r="IPC48" s="20"/>
      <c r="IPD48" s="20"/>
      <c r="IPE48" s="20"/>
      <c r="IPF48" s="20"/>
      <c r="IPG48" s="21"/>
      <c r="IPH48" s="21"/>
      <c r="IPI48" s="7"/>
      <c r="IPJ48" s="7"/>
      <c r="IPK48" s="21"/>
      <c r="IPL48" s="20"/>
      <c r="IPM48" s="20"/>
      <c r="IPN48" s="20"/>
      <c r="IPO48" s="21"/>
      <c r="IPP48" s="21"/>
      <c r="IPQ48" s="21"/>
      <c r="IPR48" s="21"/>
      <c r="IPS48" s="21"/>
      <c r="IPT48" s="20"/>
      <c r="IPU48" s="20"/>
      <c r="IPV48" s="20"/>
      <c r="IPW48" s="20"/>
      <c r="IPX48" s="21"/>
      <c r="IPY48" s="21"/>
      <c r="IPZ48" s="7"/>
      <c r="IQA48" s="7"/>
      <c r="IQB48" s="21"/>
      <c r="IQC48" s="20"/>
      <c r="IQD48" s="20"/>
      <c r="IQE48" s="20"/>
      <c r="IQF48" s="21"/>
      <c r="IQG48" s="21"/>
      <c r="IQH48" s="21"/>
      <c r="IQI48" s="21"/>
      <c r="IQJ48" s="21"/>
      <c r="IQK48" s="20"/>
      <c r="IQL48" s="20"/>
      <c r="IQM48" s="20"/>
      <c r="IQN48" s="20"/>
      <c r="IQO48" s="21"/>
      <c r="IQP48" s="21"/>
      <c r="IQQ48" s="7"/>
      <c r="IQR48" s="7"/>
      <c r="IQS48" s="21"/>
      <c r="IQT48" s="20"/>
      <c r="IQU48" s="20"/>
      <c r="IQV48" s="20"/>
      <c r="IQW48" s="21"/>
      <c r="IQX48" s="21"/>
      <c r="IQY48" s="21"/>
      <c r="IQZ48" s="21"/>
      <c r="IRA48" s="21"/>
      <c r="IRB48" s="20"/>
      <c r="IRC48" s="20"/>
      <c r="IRD48" s="20"/>
      <c r="IRE48" s="20"/>
      <c r="IRF48" s="21"/>
      <c r="IRG48" s="21"/>
      <c r="IRH48" s="7"/>
      <c r="IRI48" s="7"/>
      <c r="IRJ48" s="21"/>
      <c r="IRK48" s="20"/>
      <c r="IRL48" s="20"/>
      <c r="IRM48" s="20"/>
      <c r="IRN48" s="21"/>
      <c r="IRO48" s="21"/>
      <c r="IRP48" s="21"/>
      <c r="IRQ48" s="21"/>
      <c r="IRR48" s="21"/>
      <c r="IRS48" s="20"/>
      <c r="IRT48" s="20"/>
      <c r="IRU48" s="20"/>
      <c r="IRV48" s="20"/>
      <c r="IRW48" s="21"/>
      <c r="IRX48" s="21"/>
      <c r="IRY48" s="7"/>
      <c r="IRZ48" s="7"/>
      <c r="ISA48" s="21"/>
      <c r="ISB48" s="20"/>
      <c r="ISC48" s="20"/>
      <c r="ISD48" s="20"/>
      <c r="ISE48" s="21"/>
      <c r="ISF48" s="21"/>
      <c r="ISG48" s="21"/>
      <c r="ISH48" s="21"/>
      <c r="ISI48" s="21"/>
      <c r="ISJ48" s="20"/>
      <c r="ISK48" s="20"/>
      <c r="ISL48" s="20"/>
      <c r="ISM48" s="20"/>
      <c r="ISN48" s="21"/>
      <c r="ISO48" s="21"/>
      <c r="ISP48" s="7"/>
      <c r="ISQ48" s="7"/>
      <c r="ISR48" s="21"/>
      <c r="ISS48" s="20"/>
      <c r="IST48" s="20"/>
      <c r="ISU48" s="20"/>
      <c r="ISV48" s="21"/>
      <c r="ISW48" s="21"/>
      <c r="ISX48" s="21"/>
      <c r="ISY48" s="21"/>
      <c r="ISZ48" s="21"/>
      <c r="ITA48" s="20"/>
      <c r="ITB48" s="20"/>
      <c r="ITC48" s="20"/>
      <c r="ITD48" s="20"/>
      <c r="ITE48" s="21"/>
      <c r="ITF48" s="21"/>
      <c r="ITG48" s="7"/>
      <c r="ITH48" s="7"/>
      <c r="ITI48" s="21"/>
      <c r="ITJ48" s="20"/>
      <c r="ITK48" s="20"/>
      <c r="ITL48" s="20"/>
      <c r="ITM48" s="21"/>
      <c r="ITN48" s="21"/>
      <c r="ITO48" s="21"/>
      <c r="ITP48" s="21"/>
      <c r="ITQ48" s="21"/>
      <c r="ITR48" s="20"/>
      <c r="ITS48" s="20"/>
      <c r="ITT48" s="20"/>
      <c r="ITU48" s="20"/>
      <c r="ITV48" s="21"/>
      <c r="ITW48" s="21"/>
      <c r="ITX48" s="7"/>
      <c r="ITY48" s="7"/>
      <c r="ITZ48" s="21"/>
      <c r="IUA48" s="20"/>
      <c r="IUB48" s="20"/>
      <c r="IUC48" s="20"/>
      <c r="IUD48" s="21"/>
      <c r="IUE48" s="21"/>
      <c r="IUF48" s="21"/>
      <c r="IUG48" s="21"/>
      <c r="IUH48" s="21"/>
      <c r="IUI48" s="20"/>
      <c r="IUJ48" s="20"/>
      <c r="IUK48" s="20"/>
      <c r="IUL48" s="20"/>
      <c r="IUM48" s="21"/>
      <c r="IUN48" s="21"/>
      <c r="IUO48" s="7"/>
      <c r="IUP48" s="7"/>
      <c r="IUQ48" s="21"/>
      <c r="IUR48" s="20"/>
      <c r="IUS48" s="20"/>
      <c r="IUT48" s="20"/>
      <c r="IUU48" s="21"/>
      <c r="IUV48" s="21"/>
      <c r="IUW48" s="21"/>
      <c r="IUX48" s="21"/>
      <c r="IUY48" s="21"/>
      <c r="IUZ48" s="20"/>
      <c r="IVA48" s="20"/>
      <c r="IVB48" s="20"/>
      <c r="IVC48" s="20"/>
      <c r="IVD48" s="21"/>
      <c r="IVE48" s="21"/>
      <c r="IVF48" s="7"/>
      <c r="IVG48" s="7"/>
      <c r="IVH48" s="21"/>
      <c r="IVI48" s="20"/>
      <c r="IVJ48" s="20"/>
      <c r="IVK48" s="20"/>
      <c r="IVL48" s="21"/>
      <c r="IVM48" s="21"/>
      <c r="IVN48" s="21"/>
      <c r="IVO48" s="21"/>
      <c r="IVP48" s="21"/>
      <c r="IVQ48" s="20"/>
      <c r="IVR48" s="20"/>
      <c r="IVS48" s="20"/>
      <c r="IVT48" s="20"/>
      <c r="IVU48" s="21"/>
      <c r="IVV48" s="21"/>
      <c r="IVW48" s="7"/>
      <c r="IVX48" s="7"/>
      <c r="IVY48" s="21"/>
      <c r="IVZ48" s="20"/>
      <c r="IWA48" s="20"/>
      <c r="IWB48" s="20"/>
      <c r="IWC48" s="21"/>
      <c r="IWD48" s="21"/>
      <c r="IWE48" s="21"/>
      <c r="IWF48" s="21"/>
      <c r="IWG48" s="21"/>
      <c r="IWH48" s="20"/>
      <c r="IWI48" s="20"/>
      <c r="IWJ48" s="20"/>
      <c r="IWK48" s="20"/>
      <c r="IWL48" s="21"/>
      <c r="IWM48" s="21"/>
      <c r="IWN48" s="7"/>
      <c r="IWO48" s="7"/>
      <c r="IWP48" s="21"/>
      <c r="IWQ48" s="20"/>
      <c r="IWR48" s="20"/>
      <c r="IWS48" s="20"/>
      <c r="IWT48" s="21"/>
      <c r="IWU48" s="21"/>
      <c r="IWV48" s="21"/>
      <c r="IWW48" s="21"/>
      <c r="IWX48" s="21"/>
      <c r="IWY48" s="20"/>
      <c r="IWZ48" s="20"/>
      <c r="IXA48" s="20"/>
      <c r="IXB48" s="20"/>
      <c r="IXC48" s="21"/>
      <c r="IXD48" s="21"/>
      <c r="IXE48" s="7"/>
      <c r="IXF48" s="7"/>
      <c r="IXG48" s="21"/>
      <c r="IXH48" s="20"/>
      <c r="IXI48" s="20"/>
      <c r="IXJ48" s="20"/>
      <c r="IXK48" s="21"/>
      <c r="IXL48" s="21"/>
      <c r="IXM48" s="21"/>
      <c r="IXN48" s="21"/>
      <c r="IXO48" s="21"/>
      <c r="IXP48" s="20"/>
      <c r="IXQ48" s="20"/>
      <c r="IXR48" s="20"/>
      <c r="IXS48" s="20"/>
      <c r="IXT48" s="21"/>
      <c r="IXU48" s="21"/>
      <c r="IXV48" s="7"/>
      <c r="IXW48" s="7"/>
      <c r="IXX48" s="21"/>
      <c r="IXY48" s="20"/>
      <c r="IXZ48" s="20"/>
      <c r="IYA48" s="20"/>
      <c r="IYB48" s="21"/>
      <c r="IYC48" s="21"/>
      <c r="IYD48" s="21"/>
      <c r="IYE48" s="21"/>
      <c r="IYF48" s="21"/>
      <c r="IYG48" s="20"/>
      <c r="IYH48" s="20"/>
      <c r="IYI48" s="20"/>
      <c r="IYJ48" s="20"/>
      <c r="IYK48" s="21"/>
      <c r="IYL48" s="21"/>
      <c r="IYM48" s="7"/>
      <c r="IYN48" s="7"/>
      <c r="IYO48" s="21"/>
      <c r="IYP48" s="20"/>
      <c r="IYQ48" s="20"/>
      <c r="IYR48" s="20"/>
      <c r="IYS48" s="21"/>
      <c r="IYT48" s="21"/>
      <c r="IYU48" s="21"/>
      <c r="IYV48" s="21"/>
      <c r="IYW48" s="21"/>
      <c r="IYX48" s="20"/>
      <c r="IYY48" s="20"/>
      <c r="IYZ48" s="20"/>
      <c r="IZA48" s="20"/>
      <c r="IZB48" s="21"/>
      <c r="IZC48" s="21"/>
      <c r="IZD48" s="7"/>
      <c r="IZE48" s="7"/>
      <c r="IZF48" s="21"/>
      <c r="IZG48" s="20"/>
      <c r="IZH48" s="20"/>
      <c r="IZI48" s="20"/>
      <c r="IZJ48" s="21"/>
      <c r="IZK48" s="21"/>
      <c r="IZL48" s="21"/>
      <c r="IZM48" s="21"/>
      <c r="IZN48" s="21"/>
      <c r="IZO48" s="20"/>
      <c r="IZP48" s="20"/>
      <c r="IZQ48" s="20"/>
      <c r="IZR48" s="20"/>
      <c r="IZS48" s="21"/>
      <c r="IZT48" s="21"/>
      <c r="IZU48" s="7"/>
      <c r="IZV48" s="7"/>
      <c r="IZW48" s="21"/>
      <c r="IZX48" s="20"/>
      <c r="IZY48" s="20"/>
      <c r="IZZ48" s="20"/>
      <c r="JAA48" s="21"/>
      <c r="JAB48" s="21"/>
      <c r="JAC48" s="21"/>
      <c r="JAD48" s="21"/>
      <c r="JAE48" s="21"/>
      <c r="JAF48" s="20"/>
      <c r="JAG48" s="20"/>
      <c r="JAH48" s="20"/>
      <c r="JAI48" s="20"/>
      <c r="JAJ48" s="21"/>
      <c r="JAK48" s="21"/>
      <c r="JAL48" s="7"/>
      <c r="JAM48" s="7"/>
      <c r="JAN48" s="21"/>
      <c r="JAO48" s="20"/>
      <c r="JAP48" s="20"/>
      <c r="JAQ48" s="20"/>
      <c r="JAR48" s="21"/>
      <c r="JAS48" s="21"/>
      <c r="JAT48" s="21"/>
      <c r="JAU48" s="21"/>
      <c r="JAV48" s="21"/>
      <c r="JAW48" s="20"/>
      <c r="JAX48" s="20"/>
      <c r="JAY48" s="20"/>
      <c r="JAZ48" s="20"/>
      <c r="JBA48" s="21"/>
      <c r="JBB48" s="21"/>
      <c r="JBC48" s="7"/>
      <c r="JBD48" s="7"/>
      <c r="JBE48" s="21"/>
      <c r="JBF48" s="20"/>
      <c r="JBG48" s="20"/>
      <c r="JBH48" s="20"/>
      <c r="JBI48" s="21"/>
      <c r="JBJ48" s="21"/>
      <c r="JBK48" s="21"/>
      <c r="JBL48" s="21"/>
      <c r="JBM48" s="21"/>
      <c r="JBN48" s="20"/>
      <c r="JBO48" s="20"/>
      <c r="JBP48" s="20"/>
      <c r="JBQ48" s="20"/>
      <c r="JBR48" s="21"/>
      <c r="JBS48" s="21"/>
      <c r="JBT48" s="7"/>
      <c r="JBU48" s="7"/>
      <c r="JBV48" s="21"/>
      <c r="JBW48" s="20"/>
      <c r="JBX48" s="20"/>
      <c r="JBY48" s="20"/>
      <c r="JBZ48" s="21"/>
      <c r="JCA48" s="21"/>
      <c r="JCB48" s="21"/>
      <c r="JCC48" s="21"/>
      <c r="JCD48" s="21"/>
      <c r="JCE48" s="20"/>
      <c r="JCF48" s="20"/>
      <c r="JCG48" s="20"/>
      <c r="JCH48" s="20"/>
      <c r="JCI48" s="21"/>
      <c r="JCJ48" s="21"/>
      <c r="JCK48" s="7"/>
      <c r="JCL48" s="7"/>
      <c r="JCM48" s="21"/>
      <c r="JCN48" s="20"/>
      <c r="JCO48" s="20"/>
      <c r="JCP48" s="20"/>
      <c r="JCQ48" s="21"/>
      <c r="JCR48" s="21"/>
      <c r="JCS48" s="21"/>
      <c r="JCT48" s="21"/>
      <c r="JCU48" s="21"/>
      <c r="JCV48" s="20"/>
      <c r="JCW48" s="20"/>
      <c r="JCX48" s="20"/>
      <c r="JCY48" s="20"/>
      <c r="JCZ48" s="21"/>
      <c r="JDA48" s="21"/>
      <c r="JDB48" s="7"/>
      <c r="JDC48" s="7"/>
      <c r="JDD48" s="21"/>
      <c r="JDE48" s="20"/>
      <c r="JDF48" s="20"/>
      <c r="JDG48" s="20"/>
      <c r="JDH48" s="21"/>
      <c r="JDI48" s="21"/>
      <c r="JDJ48" s="21"/>
      <c r="JDK48" s="21"/>
      <c r="JDL48" s="21"/>
      <c r="JDM48" s="20"/>
      <c r="JDN48" s="20"/>
      <c r="JDO48" s="20"/>
      <c r="JDP48" s="20"/>
      <c r="JDQ48" s="21"/>
      <c r="JDR48" s="21"/>
      <c r="JDS48" s="7"/>
      <c r="JDT48" s="7"/>
      <c r="JDU48" s="21"/>
      <c r="JDV48" s="20"/>
      <c r="JDW48" s="20"/>
      <c r="JDX48" s="20"/>
      <c r="JDY48" s="21"/>
      <c r="JDZ48" s="21"/>
      <c r="JEA48" s="21"/>
      <c r="JEB48" s="21"/>
      <c r="JEC48" s="21"/>
      <c r="JED48" s="20"/>
      <c r="JEE48" s="20"/>
      <c r="JEF48" s="20"/>
      <c r="JEG48" s="20"/>
      <c r="JEH48" s="21"/>
      <c r="JEI48" s="21"/>
      <c r="JEJ48" s="7"/>
      <c r="JEK48" s="7"/>
      <c r="JEL48" s="21"/>
      <c r="JEM48" s="20"/>
      <c r="JEN48" s="20"/>
      <c r="JEO48" s="20"/>
      <c r="JEP48" s="21"/>
      <c r="JEQ48" s="21"/>
      <c r="JER48" s="21"/>
      <c r="JES48" s="21"/>
      <c r="JET48" s="21"/>
      <c r="JEU48" s="20"/>
      <c r="JEV48" s="20"/>
      <c r="JEW48" s="20"/>
      <c r="JEX48" s="20"/>
      <c r="JEY48" s="21"/>
      <c r="JEZ48" s="21"/>
      <c r="JFA48" s="7"/>
      <c r="JFB48" s="7"/>
      <c r="JFC48" s="21"/>
      <c r="JFD48" s="20"/>
      <c r="JFE48" s="20"/>
      <c r="JFF48" s="20"/>
      <c r="JFG48" s="21"/>
      <c r="JFH48" s="21"/>
      <c r="JFI48" s="21"/>
      <c r="JFJ48" s="21"/>
      <c r="JFK48" s="21"/>
      <c r="JFL48" s="20"/>
      <c r="JFM48" s="20"/>
      <c r="JFN48" s="20"/>
      <c r="JFO48" s="20"/>
      <c r="JFP48" s="21"/>
      <c r="JFQ48" s="21"/>
      <c r="JFR48" s="7"/>
      <c r="JFS48" s="7"/>
      <c r="JFT48" s="21"/>
      <c r="JFU48" s="20"/>
      <c r="JFV48" s="20"/>
      <c r="JFW48" s="20"/>
      <c r="JFX48" s="21"/>
      <c r="JFY48" s="21"/>
      <c r="JFZ48" s="21"/>
      <c r="JGA48" s="21"/>
      <c r="JGB48" s="21"/>
      <c r="JGC48" s="20"/>
      <c r="JGD48" s="20"/>
      <c r="JGE48" s="20"/>
      <c r="JGF48" s="20"/>
      <c r="JGG48" s="21"/>
      <c r="JGH48" s="21"/>
      <c r="JGI48" s="7"/>
      <c r="JGJ48" s="7"/>
      <c r="JGK48" s="21"/>
      <c r="JGL48" s="20"/>
      <c r="JGM48" s="20"/>
      <c r="JGN48" s="20"/>
      <c r="JGO48" s="21"/>
      <c r="JGP48" s="21"/>
      <c r="JGQ48" s="21"/>
      <c r="JGR48" s="21"/>
      <c r="JGS48" s="21"/>
      <c r="JGT48" s="20"/>
      <c r="JGU48" s="20"/>
      <c r="JGV48" s="20"/>
      <c r="JGW48" s="20"/>
      <c r="JGX48" s="21"/>
      <c r="JGY48" s="21"/>
      <c r="JGZ48" s="7"/>
      <c r="JHA48" s="7"/>
      <c r="JHB48" s="21"/>
      <c r="JHC48" s="20"/>
      <c r="JHD48" s="20"/>
      <c r="JHE48" s="20"/>
      <c r="JHF48" s="21"/>
      <c r="JHG48" s="21"/>
      <c r="JHH48" s="21"/>
      <c r="JHI48" s="21"/>
      <c r="JHJ48" s="21"/>
      <c r="JHK48" s="20"/>
      <c r="JHL48" s="20"/>
      <c r="JHM48" s="20"/>
      <c r="JHN48" s="20"/>
      <c r="JHO48" s="21"/>
      <c r="JHP48" s="21"/>
      <c r="JHQ48" s="7"/>
      <c r="JHR48" s="7"/>
      <c r="JHS48" s="21"/>
      <c r="JHT48" s="20"/>
      <c r="JHU48" s="20"/>
      <c r="JHV48" s="20"/>
      <c r="JHW48" s="21"/>
      <c r="JHX48" s="21"/>
      <c r="JHY48" s="21"/>
      <c r="JHZ48" s="21"/>
      <c r="JIA48" s="21"/>
      <c r="JIB48" s="20"/>
      <c r="JIC48" s="20"/>
      <c r="JID48" s="20"/>
      <c r="JIE48" s="20"/>
      <c r="JIF48" s="21"/>
      <c r="JIG48" s="21"/>
      <c r="JIH48" s="7"/>
      <c r="JII48" s="7"/>
      <c r="JIJ48" s="21"/>
      <c r="JIK48" s="20"/>
      <c r="JIL48" s="20"/>
      <c r="JIM48" s="20"/>
      <c r="JIN48" s="21"/>
      <c r="JIO48" s="21"/>
      <c r="JIP48" s="21"/>
      <c r="JIQ48" s="21"/>
      <c r="JIR48" s="21"/>
      <c r="JIS48" s="20"/>
      <c r="JIT48" s="20"/>
      <c r="JIU48" s="20"/>
      <c r="JIV48" s="20"/>
      <c r="JIW48" s="21"/>
      <c r="JIX48" s="21"/>
      <c r="JIY48" s="7"/>
      <c r="JIZ48" s="7"/>
      <c r="JJA48" s="21"/>
      <c r="JJB48" s="20"/>
      <c r="JJC48" s="20"/>
      <c r="JJD48" s="20"/>
      <c r="JJE48" s="21"/>
      <c r="JJF48" s="21"/>
      <c r="JJG48" s="21"/>
      <c r="JJH48" s="21"/>
      <c r="JJI48" s="21"/>
      <c r="JJJ48" s="20"/>
      <c r="JJK48" s="20"/>
      <c r="JJL48" s="20"/>
      <c r="JJM48" s="20"/>
      <c r="JJN48" s="21"/>
      <c r="JJO48" s="21"/>
      <c r="JJP48" s="7"/>
      <c r="JJQ48" s="7"/>
      <c r="JJR48" s="21"/>
      <c r="JJS48" s="20"/>
      <c r="JJT48" s="20"/>
      <c r="JJU48" s="20"/>
      <c r="JJV48" s="21"/>
      <c r="JJW48" s="21"/>
      <c r="JJX48" s="21"/>
      <c r="JJY48" s="21"/>
      <c r="JJZ48" s="21"/>
      <c r="JKA48" s="20"/>
      <c r="JKB48" s="20"/>
      <c r="JKC48" s="20"/>
      <c r="JKD48" s="20"/>
      <c r="JKE48" s="21"/>
      <c r="JKF48" s="21"/>
      <c r="JKG48" s="7"/>
      <c r="JKH48" s="7"/>
      <c r="JKI48" s="21"/>
      <c r="JKJ48" s="20"/>
      <c r="JKK48" s="20"/>
      <c r="JKL48" s="20"/>
      <c r="JKM48" s="21"/>
      <c r="JKN48" s="21"/>
      <c r="JKO48" s="21"/>
      <c r="JKP48" s="21"/>
      <c r="JKQ48" s="21"/>
      <c r="JKR48" s="20"/>
      <c r="JKS48" s="20"/>
      <c r="JKT48" s="20"/>
      <c r="JKU48" s="20"/>
      <c r="JKV48" s="21"/>
      <c r="JKW48" s="21"/>
      <c r="JKX48" s="7"/>
      <c r="JKY48" s="7"/>
      <c r="JKZ48" s="21"/>
      <c r="JLA48" s="20"/>
      <c r="JLB48" s="20"/>
      <c r="JLC48" s="20"/>
      <c r="JLD48" s="21"/>
      <c r="JLE48" s="21"/>
      <c r="JLF48" s="21"/>
      <c r="JLG48" s="21"/>
      <c r="JLH48" s="21"/>
      <c r="JLI48" s="20"/>
      <c r="JLJ48" s="20"/>
      <c r="JLK48" s="20"/>
      <c r="JLL48" s="20"/>
      <c r="JLM48" s="21"/>
      <c r="JLN48" s="21"/>
      <c r="JLO48" s="7"/>
      <c r="JLP48" s="7"/>
      <c r="JLQ48" s="21"/>
      <c r="JLR48" s="20"/>
      <c r="JLS48" s="20"/>
      <c r="JLT48" s="20"/>
      <c r="JLU48" s="21"/>
      <c r="JLV48" s="21"/>
      <c r="JLW48" s="21"/>
      <c r="JLX48" s="21"/>
      <c r="JLY48" s="21"/>
      <c r="JLZ48" s="20"/>
      <c r="JMA48" s="20"/>
      <c r="JMB48" s="20"/>
      <c r="JMC48" s="20"/>
      <c r="JMD48" s="21"/>
      <c r="JME48" s="21"/>
      <c r="JMF48" s="7"/>
      <c r="JMG48" s="7"/>
      <c r="JMH48" s="21"/>
      <c r="JMI48" s="20"/>
      <c r="JMJ48" s="20"/>
      <c r="JMK48" s="20"/>
      <c r="JML48" s="21"/>
      <c r="JMM48" s="21"/>
      <c r="JMN48" s="21"/>
      <c r="JMO48" s="21"/>
      <c r="JMP48" s="21"/>
      <c r="JMQ48" s="20"/>
      <c r="JMR48" s="20"/>
      <c r="JMS48" s="20"/>
      <c r="JMT48" s="20"/>
      <c r="JMU48" s="21"/>
      <c r="JMV48" s="21"/>
      <c r="JMW48" s="7"/>
      <c r="JMX48" s="7"/>
      <c r="JMY48" s="21"/>
      <c r="JMZ48" s="20"/>
      <c r="JNA48" s="20"/>
      <c r="JNB48" s="20"/>
      <c r="JNC48" s="21"/>
      <c r="JND48" s="21"/>
      <c r="JNE48" s="21"/>
      <c r="JNF48" s="21"/>
      <c r="JNG48" s="21"/>
      <c r="JNH48" s="20"/>
      <c r="JNI48" s="20"/>
      <c r="JNJ48" s="20"/>
      <c r="JNK48" s="20"/>
      <c r="JNL48" s="21"/>
      <c r="JNM48" s="21"/>
      <c r="JNN48" s="7"/>
      <c r="JNO48" s="7"/>
      <c r="JNP48" s="21"/>
      <c r="JNQ48" s="20"/>
      <c r="JNR48" s="20"/>
      <c r="JNS48" s="20"/>
      <c r="JNT48" s="21"/>
      <c r="JNU48" s="21"/>
      <c r="JNV48" s="21"/>
      <c r="JNW48" s="21"/>
      <c r="JNX48" s="21"/>
      <c r="JNY48" s="20"/>
      <c r="JNZ48" s="20"/>
      <c r="JOA48" s="20"/>
      <c r="JOB48" s="20"/>
      <c r="JOC48" s="21"/>
      <c r="JOD48" s="21"/>
      <c r="JOE48" s="7"/>
      <c r="JOF48" s="7"/>
      <c r="JOG48" s="21"/>
      <c r="JOH48" s="20"/>
      <c r="JOI48" s="20"/>
      <c r="JOJ48" s="20"/>
      <c r="JOK48" s="21"/>
      <c r="JOL48" s="21"/>
      <c r="JOM48" s="21"/>
      <c r="JON48" s="21"/>
      <c r="JOO48" s="21"/>
      <c r="JOP48" s="20"/>
      <c r="JOQ48" s="20"/>
      <c r="JOR48" s="20"/>
      <c r="JOS48" s="20"/>
      <c r="JOT48" s="21"/>
      <c r="JOU48" s="21"/>
      <c r="JOV48" s="7"/>
      <c r="JOW48" s="7"/>
      <c r="JOX48" s="21"/>
      <c r="JOY48" s="20"/>
      <c r="JOZ48" s="20"/>
      <c r="JPA48" s="20"/>
      <c r="JPB48" s="21"/>
      <c r="JPC48" s="21"/>
      <c r="JPD48" s="21"/>
      <c r="JPE48" s="21"/>
      <c r="JPF48" s="21"/>
      <c r="JPG48" s="20"/>
      <c r="JPH48" s="20"/>
      <c r="JPI48" s="20"/>
      <c r="JPJ48" s="20"/>
      <c r="JPK48" s="21"/>
      <c r="JPL48" s="21"/>
      <c r="JPM48" s="7"/>
      <c r="JPN48" s="7"/>
      <c r="JPO48" s="21"/>
      <c r="JPP48" s="20"/>
      <c r="JPQ48" s="20"/>
      <c r="JPR48" s="20"/>
      <c r="JPS48" s="21"/>
      <c r="JPT48" s="21"/>
      <c r="JPU48" s="21"/>
      <c r="JPV48" s="21"/>
      <c r="JPW48" s="21"/>
      <c r="JPX48" s="20"/>
      <c r="JPY48" s="20"/>
      <c r="JPZ48" s="20"/>
      <c r="JQA48" s="20"/>
      <c r="JQB48" s="21"/>
      <c r="JQC48" s="21"/>
      <c r="JQD48" s="7"/>
      <c r="JQE48" s="7"/>
      <c r="JQF48" s="21"/>
      <c r="JQG48" s="20"/>
      <c r="JQH48" s="20"/>
      <c r="JQI48" s="20"/>
      <c r="JQJ48" s="21"/>
      <c r="JQK48" s="21"/>
      <c r="JQL48" s="21"/>
      <c r="JQM48" s="21"/>
      <c r="JQN48" s="21"/>
      <c r="JQO48" s="20"/>
      <c r="JQP48" s="20"/>
      <c r="JQQ48" s="20"/>
      <c r="JQR48" s="20"/>
      <c r="JQS48" s="21"/>
      <c r="JQT48" s="21"/>
      <c r="JQU48" s="7"/>
      <c r="JQV48" s="7"/>
      <c r="JQW48" s="21"/>
      <c r="JQX48" s="20"/>
      <c r="JQY48" s="20"/>
      <c r="JQZ48" s="20"/>
      <c r="JRA48" s="21"/>
      <c r="JRB48" s="21"/>
      <c r="JRC48" s="21"/>
      <c r="JRD48" s="21"/>
      <c r="JRE48" s="21"/>
      <c r="JRF48" s="20"/>
      <c r="JRG48" s="20"/>
      <c r="JRH48" s="20"/>
      <c r="JRI48" s="20"/>
      <c r="JRJ48" s="21"/>
      <c r="JRK48" s="21"/>
      <c r="JRL48" s="7"/>
      <c r="JRM48" s="7"/>
      <c r="JRN48" s="21"/>
      <c r="JRO48" s="20"/>
      <c r="JRP48" s="20"/>
      <c r="JRQ48" s="20"/>
      <c r="JRR48" s="21"/>
      <c r="JRS48" s="21"/>
      <c r="JRT48" s="21"/>
      <c r="JRU48" s="21"/>
      <c r="JRV48" s="21"/>
      <c r="JRW48" s="20"/>
      <c r="JRX48" s="20"/>
      <c r="JRY48" s="20"/>
      <c r="JRZ48" s="20"/>
      <c r="JSA48" s="21"/>
      <c r="JSB48" s="21"/>
      <c r="JSC48" s="7"/>
      <c r="JSD48" s="7"/>
      <c r="JSE48" s="21"/>
      <c r="JSF48" s="20"/>
      <c r="JSG48" s="20"/>
      <c r="JSH48" s="20"/>
      <c r="JSI48" s="21"/>
      <c r="JSJ48" s="21"/>
      <c r="JSK48" s="21"/>
      <c r="JSL48" s="21"/>
      <c r="JSM48" s="21"/>
      <c r="JSN48" s="20"/>
      <c r="JSO48" s="20"/>
      <c r="JSP48" s="20"/>
      <c r="JSQ48" s="20"/>
      <c r="JSR48" s="21"/>
      <c r="JSS48" s="21"/>
      <c r="JST48" s="7"/>
      <c r="JSU48" s="7"/>
      <c r="JSV48" s="21"/>
      <c r="JSW48" s="20"/>
      <c r="JSX48" s="20"/>
      <c r="JSY48" s="20"/>
      <c r="JSZ48" s="21"/>
      <c r="JTA48" s="21"/>
      <c r="JTB48" s="21"/>
      <c r="JTC48" s="21"/>
      <c r="JTD48" s="21"/>
      <c r="JTE48" s="20"/>
      <c r="JTF48" s="20"/>
      <c r="JTG48" s="20"/>
      <c r="JTH48" s="20"/>
      <c r="JTI48" s="21"/>
      <c r="JTJ48" s="21"/>
      <c r="JTK48" s="7"/>
      <c r="JTL48" s="7"/>
      <c r="JTM48" s="21"/>
      <c r="JTN48" s="20"/>
      <c r="JTO48" s="20"/>
      <c r="JTP48" s="20"/>
      <c r="JTQ48" s="21"/>
      <c r="JTR48" s="21"/>
      <c r="JTS48" s="21"/>
      <c r="JTT48" s="21"/>
      <c r="JTU48" s="21"/>
      <c r="JTV48" s="20"/>
      <c r="JTW48" s="20"/>
      <c r="JTX48" s="20"/>
      <c r="JTY48" s="20"/>
      <c r="JTZ48" s="21"/>
      <c r="JUA48" s="21"/>
      <c r="JUB48" s="7"/>
      <c r="JUC48" s="7"/>
      <c r="JUD48" s="21"/>
      <c r="JUE48" s="20"/>
      <c r="JUF48" s="20"/>
      <c r="JUG48" s="20"/>
      <c r="JUH48" s="21"/>
      <c r="JUI48" s="21"/>
      <c r="JUJ48" s="21"/>
      <c r="JUK48" s="21"/>
      <c r="JUL48" s="21"/>
      <c r="JUM48" s="20"/>
      <c r="JUN48" s="20"/>
      <c r="JUO48" s="20"/>
      <c r="JUP48" s="20"/>
      <c r="JUQ48" s="21"/>
      <c r="JUR48" s="21"/>
      <c r="JUS48" s="7"/>
      <c r="JUT48" s="7"/>
      <c r="JUU48" s="21"/>
      <c r="JUV48" s="20"/>
      <c r="JUW48" s="20"/>
      <c r="JUX48" s="20"/>
      <c r="JUY48" s="21"/>
      <c r="JUZ48" s="21"/>
      <c r="JVA48" s="21"/>
      <c r="JVB48" s="21"/>
      <c r="JVC48" s="21"/>
      <c r="JVD48" s="20"/>
      <c r="JVE48" s="20"/>
      <c r="JVF48" s="20"/>
      <c r="JVG48" s="20"/>
      <c r="JVH48" s="21"/>
      <c r="JVI48" s="21"/>
      <c r="JVJ48" s="7"/>
      <c r="JVK48" s="7"/>
      <c r="JVL48" s="21"/>
      <c r="JVM48" s="20"/>
      <c r="JVN48" s="20"/>
      <c r="JVO48" s="20"/>
      <c r="JVP48" s="21"/>
      <c r="JVQ48" s="21"/>
      <c r="JVR48" s="21"/>
      <c r="JVS48" s="21"/>
      <c r="JVT48" s="21"/>
      <c r="JVU48" s="20"/>
      <c r="JVV48" s="20"/>
      <c r="JVW48" s="20"/>
      <c r="JVX48" s="20"/>
      <c r="JVY48" s="21"/>
      <c r="JVZ48" s="21"/>
      <c r="JWA48" s="7"/>
      <c r="JWB48" s="7"/>
      <c r="JWC48" s="21"/>
      <c r="JWD48" s="20"/>
      <c r="JWE48" s="20"/>
      <c r="JWF48" s="20"/>
      <c r="JWG48" s="21"/>
      <c r="JWH48" s="21"/>
      <c r="JWI48" s="21"/>
      <c r="JWJ48" s="21"/>
      <c r="JWK48" s="21"/>
      <c r="JWL48" s="20"/>
      <c r="JWM48" s="20"/>
      <c r="JWN48" s="20"/>
      <c r="JWO48" s="20"/>
      <c r="JWP48" s="21"/>
      <c r="JWQ48" s="21"/>
      <c r="JWR48" s="7"/>
      <c r="JWS48" s="7"/>
      <c r="JWT48" s="21"/>
      <c r="JWU48" s="20"/>
      <c r="JWV48" s="20"/>
      <c r="JWW48" s="20"/>
      <c r="JWX48" s="21"/>
      <c r="JWY48" s="21"/>
      <c r="JWZ48" s="21"/>
      <c r="JXA48" s="21"/>
      <c r="JXB48" s="21"/>
      <c r="JXC48" s="20"/>
      <c r="JXD48" s="20"/>
      <c r="JXE48" s="20"/>
      <c r="JXF48" s="20"/>
      <c r="JXG48" s="21"/>
      <c r="JXH48" s="21"/>
      <c r="JXI48" s="7"/>
      <c r="JXJ48" s="7"/>
      <c r="JXK48" s="21"/>
      <c r="JXL48" s="20"/>
      <c r="JXM48" s="20"/>
      <c r="JXN48" s="20"/>
      <c r="JXO48" s="21"/>
      <c r="JXP48" s="21"/>
      <c r="JXQ48" s="21"/>
      <c r="JXR48" s="21"/>
      <c r="JXS48" s="21"/>
      <c r="JXT48" s="20"/>
      <c r="JXU48" s="20"/>
      <c r="JXV48" s="20"/>
      <c r="JXW48" s="20"/>
      <c r="JXX48" s="21"/>
      <c r="JXY48" s="21"/>
      <c r="JXZ48" s="7"/>
      <c r="JYA48" s="7"/>
      <c r="JYB48" s="21"/>
      <c r="JYC48" s="20"/>
      <c r="JYD48" s="20"/>
      <c r="JYE48" s="20"/>
      <c r="JYF48" s="21"/>
      <c r="JYG48" s="21"/>
      <c r="JYH48" s="21"/>
      <c r="JYI48" s="21"/>
      <c r="JYJ48" s="21"/>
      <c r="JYK48" s="20"/>
      <c r="JYL48" s="20"/>
      <c r="JYM48" s="20"/>
      <c r="JYN48" s="20"/>
      <c r="JYO48" s="21"/>
      <c r="JYP48" s="21"/>
      <c r="JYQ48" s="7"/>
      <c r="JYR48" s="7"/>
      <c r="JYS48" s="21"/>
      <c r="JYT48" s="20"/>
      <c r="JYU48" s="20"/>
      <c r="JYV48" s="20"/>
      <c r="JYW48" s="21"/>
      <c r="JYX48" s="21"/>
      <c r="JYY48" s="21"/>
      <c r="JYZ48" s="21"/>
      <c r="JZA48" s="21"/>
      <c r="JZB48" s="20"/>
      <c r="JZC48" s="20"/>
      <c r="JZD48" s="20"/>
      <c r="JZE48" s="20"/>
      <c r="JZF48" s="21"/>
      <c r="JZG48" s="21"/>
      <c r="JZH48" s="7"/>
      <c r="JZI48" s="7"/>
      <c r="JZJ48" s="21"/>
      <c r="JZK48" s="20"/>
      <c r="JZL48" s="20"/>
      <c r="JZM48" s="20"/>
      <c r="JZN48" s="21"/>
      <c r="JZO48" s="21"/>
      <c r="JZP48" s="21"/>
      <c r="JZQ48" s="21"/>
      <c r="JZR48" s="21"/>
      <c r="JZS48" s="20"/>
      <c r="JZT48" s="20"/>
      <c r="JZU48" s="20"/>
      <c r="JZV48" s="20"/>
      <c r="JZW48" s="21"/>
      <c r="JZX48" s="21"/>
      <c r="JZY48" s="7"/>
      <c r="JZZ48" s="7"/>
      <c r="KAA48" s="21"/>
      <c r="KAB48" s="20"/>
      <c r="KAC48" s="20"/>
      <c r="KAD48" s="20"/>
      <c r="KAE48" s="21"/>
      <c r="KAF48" s="21"/>
      <c r="KAG48" s="21"/>
      <c r="KAH48" s="21"/>
      <c r="KAI48" s="21"/>
      <c r="KAJ48" s="20"/>
      <c r="KAK48" s="20"/>
      <c r="KAL48" s="20"/>
      <c r="KAM48" s="20"/>
      <c r="KAN48" s="21"/>
      <c r="KAO48" s="21"/>
      <c r="KAP48" s="7"/>
      <c r="KAQ48" s="7"/>
      <c r="KAR48" s="21"/>
      <c r="KAS48" s="20"/>
      <c r="KAT48" s="20"/>
      <c r="KAU48" s="20"/>
      <c r="KAV48" s="21"/>
      <c r="KAW48" s="21"/>
      <c r="KAX48" s="21"/>
      <c r="KAY48" s="21"/>
      <c r="KAZ48" s="21"/>
      <c r="KBA48" s="20"/>
      <c r="KBB48" s="20"/>
      <c r="KBC48" s="20"/>
      <c r="KBD48" s="20"/>
      <c r="KBE48" s="21"/>
      <c r="KBF48" s="21"/>
      <c r="KBG48" s="7"/>
      <c r="KBH48" s="7"/>
      <c r="KBI48" s="21"/>
      <c r="KBJ48" s="20"/>
      <c r="KBK48" s="20"/>
      <c r="KBL48" s="20"/>
      <c r="KBM48" s="21"/>
      <c r="KBN48" s="21"/>
      <c r="KBO48" s="21"/>
      <c r="KBP48" s="21"/>
      <c r="KBQ48" s="21"/>
      <c r="KBR48" s="20"/>
      <c r="KBS48" s="20"/>
      <c r="KBT48" s="20"/>
      <c r="KBU48" s="20"/>
      <c r="KBV48" s="21"/>
      <c r="KBW48" s="21"/>
      <c r="KBX48" s="7"/>
      <c r="KBY48" s="7"/>
      <c r="KBZ48" s="21"/>
      <c r="KCA48" s="20"/>
      <c r="KCB48" s="20"/>
      <c r="KCC48" s="20"/>
      <c r="KCD48" s="21"/>
      <c r="KCE48" s="21"/>
      <c r="KCF48" s="21"/>
      <c r="KCG48" s="21"/>
      <c r="KCH48" s="21"/>
      <c r="KCI48" s="20"/>
      <c r="KCJ48" s="20"/>
      <c r="KCK48" s="20"/>
      <c r="KCL48" s="20"/>
      <c r="KCM48" s="21"/>
      <c r="KCN48" s="21"/>
      <c r="KCO48" s="7"/>
      <c r="KCP48" s="7"/>
      <c r="KCQ48" s="21"/>
      <c r="KCR48" s="20"/>
      <c r="KCS48" s="20"/>
      <c r="KCT48" s="20"/>
      <c r="KCU48" s="21"/>
      <c r="KCV48" s="21"/>
      <c r="KCW48" s="21"/>
      <c r="KCX48" s="21"/>
      <c r="KCY48" s="21"/>
      <c r="KCZ48" s="20"/>
      <c r="KDA48" s="20"/>
      <c r="KDB48" s="20"/>
      <c r="KDC48" s="20"/>
      <c r="KDD48" s="21"/>
      <c r="KDE48" s="21"/>
      <c r="KDF48" s="7"/>
      <c r="KDG48" s="7"/>
      <c r="KDH48" s="21"/>
      <c r="KDI48" s="20"/>
      <c r="KDJ48" s="20"/>
      <c r="KDK48" s="20"/>
      <c r="KDL48" s="21"/>
      <c r="KDM48" s="21"/>
      <c r="KDN48" s="21"/>
      <c r="KDO48" s="21"/>
      <c r="KDP48" s="21"/>
      <c r="KDQ48" s="20"/>
      <c r="KDR48" s="20"/>
      <c r="KDS48" s="20"/>
      <c r="KDT48" s="20"/>
      <c r="KDU48" s="21"/>
      <c r="KDV48" s="21"/>
      <c r="KDW48" s="7"/>
      <c r="KDX48" s="7"/>
      <c r="KDY48" s="21"/>
      <c r="KDZ48" s="20"/>
      <c r="KEA48" s="20"/>
      <c r="KEB48" s="20"/>
      <c r="KEC48" s="21"/>
      <c r="KED48" s="21"/>
      <c r="KEE48" s="21"/>
      <c r="KEF48" s="21"/>
      <c r="KEG48" s="21"/>
      <c r="KEH48" s="20"/>
      <c r="KEI48" s="20"/>
      <c r="KEJ48" s="20"/>
      <c r="KEK48" s="20"/>
      <c r="KEL48" s="21"/>
      <c r="KEM48" s="21"/>
      <c r="KEN48" s="7"/>
      <c r="KEO48" s="7"/>
      <c r="KEP48" s="21"/>
      <c r="KEQ48" s="20"/>
      <c r="KER48" s="20"/>
      <c r="KES48" s="20"/>
      <c r="KET48" s="21"/>
      <c r="KEU48" s="21"/>
      <c r="KEV48" s="21"/>
      <c r="KEW48" s="21"/>
      <c r="KEX48" s="21"/>
      <c r="KEY48" s="20"/>
      <c r="KEZ48" s="20"/>
      <c r="KFA48" s="20"/>
      <c r="KFB48" s="20"/>
      <c r="KFC48" s="21"/>
      <c r="KFD48" s="21"/>
      <c r="KFE48" s="7"/>
      <c r="KFF48" s="7"/>
      <c r="KFG48" s="21"/>
      <c r="KFH48" s="20"/>
      <c r="KFI48" s="20"/>
      <c r="KFJ48" s="20"/>
      <c r="KFK48" s="21"/>
      <c r="KFL48" s="21"/>
      <c r="KFM48" s="21"/>
      <c r="KFN48" s="21"/>
      <c r="KFO48" s="21"/>
      <c r="KFP48" s="20"/>
      <c r="KFQ48" s="20"/>
      <c r="KFR48" s="20"/>
      <c r="KFS48" s="20"/>
      <c r="KFT48" s="21"/>
      <c r="KFU48" s="21"/>
      <c r="KFV48" s="7"/>
      <c r="KFW48" s="7"/>
      <c r="KFX48" s="21"/>
      <c r="KFY48" s="20"/>
      <c r="KFZ48" s="20"/>
      <c r="KGA48" s="20"/>
      <c r="KGB48" s="21"/>
      <c r="KGC48" s="21"/>
      <c r="KGD48" s="21"/>
      <c r="KGE48" s="21"/>
      <c r="KGF48" s="21"/>
      <c r="KGG48" s="20"/>
      <c r="KGH48" s="20"/>
      <c r="KGI48" s="20"/>
      <c r="KGJ48" s="20"/>
      <c r="KGK48" s="21"/>
      <c r="KGL48" s="21"/>
      <c r="KGM48" s="7"/>
      <c r="KGN48" s="7"/>
      <c r="KGO48" s="21"/>
      <c r="KGP48" s="20"/>
      <c r="KGQ48" s="20"/>
      <c r="KGR48" s="20"/>
      <c r="KGS48" s="21"/>
      <c r="KGT48" s="21"/>
      <c r="KGU48" s="21"/>
      <c r="KGV48" s="21"/>
      <c r="KGW48" s="21"/>
      <c r="KGX48" s="20"/>
      <c r="KGY48" s="20"/>
      <c r="KGZ48" s="20"/>
      <c r="KHA48" s="20"/>
      <c r="KHB48" s="21"/>
      <c r="KHC48" s="21"/>
      <c r="KHD48" s="7"/>
      <c r="KHE48" s="7"/>
      <c r="KHF48" s="21"/>
      <c r="KHG48" s="20"/>
      <c r="KHH48" s="20"/>
      <c r="KHI48" s="20"/>
      <c r="KHJ48" s="21"/>
      <c r="KHK48" s="21"/>
      <c r="KHL48" s="21"/>
      <c r="KHM48" s="21"/>
      <c r="KHN48" s="21"/>
      <c r="KHO48" s="20"/>
      <c r="KHP48" s="20"/>
      <c r="KHQ48" s="20"/>
      <c r="KHR48" s="20"/>
      <c r="KHS48" s="21"/>
      <c r="KHT48" s="21"/>
      <c r="KHU48" s="7"/>
      <c r="KHV48" s="7"/>
      <c r="KHW48" s="21"/>
      <c r="KHX48" s="20"/>
      <c r="KHY48" s="20"/>
      <c r="KHZ48" s="20"/>
      <c r="KIA48" s="21"/>
      <c r="KIB48" s="21"/>
      <c r="KIC48" s="21"/>
      <c r="KID48" s="21"/>
      <c r="KIE48" s="21"/>
      <c r="KIF48" s="20"/>
      <c r="KIG48" s="20"/>
      <c r="KIH48" s="20"/>
      <c r="KII48" s="20"/>
      <c r="KIJ48" s="21"/>
      <c r="KIK48" s="21"/>
      <c r="KIL48" s="7"/>
      <c r="KIM48" s="7"/>
      <c r="KIN48" s="21"/>
      <c r="KIO48" s="20"/>
      <c r="KIP48" s="20"/>
      <c r="KIQ48" s="20"/>
      <c r="KIR48" s="21"/>
      <c r="KIS48" s="21"/>
      <c r="KIT48" s="21"/>
      <c r="KIU48" s="21"/>
      <c r="KIV48" s="21"/>
      <c r="KIW48" s="20"/>
      <c r="KIX48" s="20"/>
      <c r="KIY48" s="20"/>
      <c r="KIZ48" s="20"/>
      <c r="KJA48" s="21"/>
      <c r="KJB48" s="21"/>
      <c r="KJC48" s="7"/>
      <c r="KJD48" s="7"/>
      <c r="KJE48" s="21"/>
      <c r="KJF48" s="20"/>
      <c r="KJG48" s="20"/>
      <c r="KJH48" s="20"/>
      <c r="KJI48" s="21"/>
      <c r="KJJ48" s="21"/>
      <c r="KJK48" s="21"/>
      <c r="KJL48" s="21"/>
      <c r="KJM48" s="21"/>
      <c r="KJN48" s="20"/>
      <c r="KJO48" s="20"/>
      <c r="KJP48" s="20"/>
      <c r="KJQ48" s="20"/>
      <c r="KJR48" s="21"/>
      <c r="KJS48" s="21"/>
      <c r="KJT48" s="7"/>
      <c r="KJU48" s="7"/>
      <c r="KJV48" s="21"/>
      <c r="KJW48" s="20"/>
      <c r="KJX48" s="20"/>
      <c r="KJY48" s="20"/>
      <c r="KJZ48" s="21"/>
      <c r="KKA48" s="21"/>
      <c r="KKB48" s="21"/>
      <c r="KKC48" s="21"/>
      <c r="KKD48" s="21"/>
      <c r="KKE48" s="20"/>
      <c r="KKF48" s="20"/>
      <c r="KKG48" s="20"/>
      <c r="KKH48" s="20"/>
      <c r="KKI48" s="21"/>
      <c r="KKJ48" s="21"/>
      <c r="KKK48" s="7"/>
      <c r="KKL48" s="7"/>
      <c r="KKM48" s="21"/>
      <c r="KKN48" s="20"/>
      <c r="KKO48" s="20"/>
      <c r="KKP48" s="20"/>
      <c r="KKQ48" s="21"/>
      <c r="KKR48" s="21"/>
      <c r="KKS48" s="21"/>
      <c r="KKT48" s="21"/>
      <c r="KKU48" s="21"/>
      <c r="KKV48" s="20"/>
      <c r="KKW48" s="20"/>
      <c r="KKX48" s="20"/>
      <c r="KKY48" s="20"/>
      <c r="KKZ48" s="21"/>
      <c r="KLA48" s="21"/>
      <c r="KLB48" s="7"/>
      <c r="KLC48" s="7"/>
      <c r="KLD48" s="21"/>
      <c r="KLE48" s="20"/>
      <c r="KLF48" s="20"/>
      <c r="KLG48" s="20"/>
      <c r="KLH48" s="21"/>
      <c r="KLI48" s="21"/>
      <c r="KLJ48" s="21"/>
      <c r="KLK48" s="21"/>
      <c r="KLL48" s="21"/>
      <c r="KLM48" s="20"/>
      <c r="KLN48" s="20"/>
      <c r="KLO48" s="20"/>
      <c r="KLP48" s="20"/>
      <c r="KLQ48" s="21"/>
      <c r="KLR48" s="21"/>
      <c r="KLS48" s="7"/>
      <c r="KLT48" s="7"/>
      <c r="KLU48" s="21"/>
      <c r="KLV48" s="20"/>
      <c r="KLW48" s="20"/>
      <c r="KLX48" s="20"/>
      <c r="KLY48" s="21"/>
      <c r="KLZ48" s="21"/>
      <c r="KMA48" s="21"/>
      <c r="KMB48" s="21"/>
      <c r="KMC48" s="21"/>
      <c r="KMD48" s="20"/>
      <c r="KME48" s="20"/>
      <c r="KMF48" s="20"/>
      <c r="KMG48" s="20"/>
      <c r="KMH48" s="21"/>
      <c r="KMI48" s="21"/>
      <c r="KMJ48" s="7"/>
      <c r="KMK48" s="7"/>
      <c r="KML48" s="21"/>
      <c r="KMM48" s="20"/>
      <c r="KMN48" s="20"/>
      <c r="KMO48" s="20"/>
      <c r="KMP48" s="21"/>
      <c r="KMQ48" s="21"/>
      <c r="KMR48" s="21"/>
      <c r="KMS48" s="21"/>
      <c r="KMT48" s="21"/>
      <c r="KMU48" s="20"/>
      <c r="KMV48" s="20"/>
      <c r="KMW48" s="20"/>
      <c r="KMX48" s="20"/>
      <c r="KMY48" s="21"/>
      <c r="KMZ48" s="21"/>
      <c r="KNA48" s="7"/>
      <c r="KNB48" s="7"/>
      <c r="KNC48" s="21"/>
      <c r="KND48" s="20"/>
      <c r="KNE48" s="20"/>
      <c r="KNF48" s="20"/>
      <c r="KNG48" s="21"/>
      <c r="KNH48" s="21"/>
      <c r="KNI48" s="21"/>
      <c r="KNJ48" s="21"/>
      <c r="KNK48" s="21"/>
      <c r="KNL48" s="20"/>
      <c r="KNM48" s="20"/>
      <c r="KNN48" s="20"/>
      <c r="KNO48" s="20"/>
      <c r="KNP48" s="21"/>
      <c r="KNQ48" s="21"/>
      <c r="KNR48" s="7"/>
      <c r="KNS48" s="7"/>
      <c r="KNT48" s="21"/>
      <c r="KNU48" s="20"/>
      <c r="KNV48" s="20"/>
      <c r="KNW48" s="20"/>
      <c r="KNX48" s="21"/>
      <c r="KNY48" s="21"/>
      <c r="KNZ48" s="21"/>
      <c r="KOA48" s="21"/>
      <c r="KOB48" s="21"/>
      <c r="KOC48" s="20"/>
      <c r="KOD48" s="20"/>
      <c r="KOE48" s="20"/>
      <c r="KOF48" s="20"/>
      <c r="KOG48" s="21"/>
      <c r="KOH48" s="21"/>
      <c r="KOI48" s="7"/>
      <c r="KOJ48" s="7"/>
      <c r="KOK48" s="21"/>
      <c r="KOL48" s="20"/>
      <c r="KOM48" s="20"/>
      <c r="KON48" s="20"/>
      <c r="KOO48" s="21"/>
      <c r="KOP48" s="21"/>
      <c r="KOQ48" s="21"/>
      <c r="KOR48" s="21"/>
      <c r="KOS48" s="21"/>
      <c r="KOT48" s="20"/>
      <c r="KOU48" s="20"/>
      <c r="KOV48" s="20"/>
      <c r="KOW48" s="20"/>
      <c r="KOX48" s="21"/>
      <c r="KOY48" s="21"/>
      <c r="KOZ48" s="7"/>
      <c r="KPA48" s="7"/>
      <c r="KPB48" s="21"/>
      <c r="KPC48" s="20"/>
      <c r="KPD48" s="20"/>
      <c r="KPE48" s="20"/>
      <c r="KPF48" s="21"/>
      <c r="KPG48" s="21"/>
      <c r="KPH48" s="21"/>
      <c r="KPI48" s="21"/>
      <c r="KPJ48" s="21"/>
      <c r="KPK48" s="20"/>
      <c r="KPL48" s="20"/>
      <c r="KPM48" s="20"/>
      <c r="KPN48" s="20"/>
      <c r="KPO48" s="21"/>
      <c r="KPP48" s="21"/>
      <c r="KPQ48" s="7"/>
      <c r="KPR48" s="7"/>
      <c r="KPS48" s="21"/>
      <c r="KPT48" s="20"/>
      <c r="KPU48" s="20"/>
      <c r="KPV48" s="20"/>
      <c r="KPW48" s="21"/>
      <c r="KPX48" s="21"/>
      <c r="KPY48" s="21"/>
      <c r="KPZ48" s="21"/>
      <c r="KQA48" s="21"/>
      <c r="KQB48" s="20"/>
      <c r="KQC48" s="20"/>
      <c r="KQD48" s="20"/>
      <c r="KQE48" s="20"/>
      <c r="KQF48" s="21"/>
      <c r="KQG48" s="21"/>
      <c r="KQH48" s="7"/>
      <c r="KQI48" s="7"/>
      <c r="KQJ48" s="21"/>
      <c r="KQK48" s="20"/>
      <c r="KQL48" s="20"/>
      <c r="KQM48" s="20"/>
      <c r="KQN48" s="21"/>
      <c r="KQO48" s="21"/>
      <c r="KQP48" s="21"/>
      <c r="KQQ48" s="21"/>
      <c r="KQR48" s="21"/>
      <c r="KQS48" s="20"/>
      <c r="KQT48" s="20"/>
      <c r="KQU48" s="20"/>
      <c r="KQV48" s="20"/>
      <c r="KQW48" s="21"/>
      <c r="KQX48" s="21"/>
      <c r="KQY48" s="7"/>
      <c r="KQZ48" s="7"/>
      <c r="KRA48" s="21"/>
      <c r="KRB48" s="20"/>
      <c r="KRC48" s="20"/>
      <c r="KRD48" s="20"/>
      <c r="KRE48" s="21"/>
      <c r="KRF48" s="21"/>
      <c r="KRG48" s="21"/>
      <c r="KRH48" s="21"/>
      <c r="KRI48" s="21"/>
      <c r="KRJ48" s="20"/>
      <c r="KRK48" s="20"/>
      <c r="KRL48" s="20"/>
      <c r="KRM48" s="20"/>
      <c r="KRN48" s="21"/>
      <c r="KRO48" s="21"/>
      <c r="KRP48" s="7"/>
      <c r="KRQ48" s="7"/>
      <c r="KRR48" s="21"/>
      <c r="KRS48" s="20"/>
      <c r="KRT48" s="20"/>
      <c r="KRU48" s="20"/>
      <c r="KRV48" s="21"/>
      <c r="KRW48" s="21"/>
      <c r="KRX48" s="21"/>
      <c r="KRY48" s="21"/>
      <c r="KRZ48" s="21"/>
      <c r="KSA48" s="20"/>
      <c r="KSB48" s="20"/>
      <c r="KSC48" s="20"/>
      <c r="KSD48" s="20"/>
      <c r="KSE48" s="21"/>
      <c r="KSF48" s="21"/>
      <c r="KSG48" s="7"/>
      <c r="KSH48" s="7"/>
      <c r="KSI48" s="21"/>
      <c r="KSJ48" s="20"/>
      <c r="KSK48" s="20"/>
      <c r="KSL48" s="20"/>
      <c r="KSM48" s="21"/>
      <c r="KSN48" s="21"/>
      <c r="KSO48" s="21"/>
      <c r="KSP48" s="21"/>
      <c r="KSQ48" s="21"/>
      <c r="KSR48" s="20"/>
      <c r="KSS48" s="20"/>
      <c r="KST48" s="20"/>
      <c r="KSU48" s="20"/>
      <c r="KSV48" s="21"/>
      <c r="KSW48" s="21"/>
      <c r="KSX48" s="7"/>
      <c r="KSY48" s="7"/>
      <c r="KSZ48" s="21"/>
      <c r="KTA48" s="20"/>
      <c r="KTB48" s="20"/>
      <c r="KTC48" s="20"/>
      <c r="KTD48" s="21"/>
      <c r="KTE48" s="21"/>
      <c r="KTF48" s="21"/>
      <c r="KTG48" s="21"/>
      <c r="KTH48" s="21"/>
      <c r="KTI48" s="20"/>
      <c r="KTJ48" s="20"/>
      <c r="KTK48" s="20"/>
      <c r="KTL48" s="20"/>
      <c r="KTM48" s="21"/>
      <c r="KTN48" s="21"/>
      <c r="KTO48" s="7"/>
      <c r="KTP48" s="7"/>
      <c r="KTQ48" s="21"/>
      <c r="KTR48" s="20"/>
      <c r="KTS48" s="20"/>
      <c r="KTT48" s="20"/>
      <c r="KTU48" s="21"/>
      <c r="KTV48" s="21"/>
      <c r="KTW48" s="21"/>
      <c r="KTX48" s="21"/>
      <c r="KTY48" s="21"/>
      <c r="KTZ48" s="20"/>
      <c r="KUA48" s="20"/>
      <c r="KUB48" s="20"/>
      <c r="KUC48" s="20"/>
      <c r="KUD48" s="21"/>
      <c r="KUE48" s="21"/>
      <c r="KUF48" s="7"/>
      <c r="KUG48" s="7"/>
      <c r="KUH48" s="21"/>
      <c r="KUI48" s="20"/>
      <c r="KUJ48" s="20"/>
      <c r="KUK48" s="20"/>
      <c r="KUL48" s="21"/>
      <c r="KUM48" s="21"/>
      <c r="KUN48" s="21"/>
      <c r="KUO48" s="21"/>
      <c r="KUP48" s="21"/>
      <c r="KUQ48" s="20"/>
      <c r="KUR48" s="20"/>
      <c r="KUS48" s="20"/>
      <c r="KUT48" s="20"/>
      <c r="KUU48" s="21"/>
      <c r="KUV48" s="21"/>
      <c r="KUW48" s="7"/>
      <c r="KUX48" s="7"/>
      <c r="KUY48" s="21"/>
      <c r="KUZ48" s="20"/>
      <c r="KVA48" s="20"/>
      <c r="KVB48" s="20"/>
      <c r="KVC48" s="21"/>
      <c r="KVD48" s="21"/>
      <c r="KVE48" s="21"/>
      <c r="KVF48" s="21"/>
      <c r="KVG48" s="21"/>
      <c r="KVH48" s="20"/>
      <c r="KVI48" s="20"/>
      <c r="KVJ48" s="20"/>
      <c r="KVK48" s="20"/>
      <c r="KVL48" s="21"/>
      <c r="KVM48" s="21"/>
      <c r="KVN48" s="7"/>
      <c r="KVO48" s="7"/>
      <c r="KVP48" s="21"/>
      <c r="KVQ48" s="20"/>
      <c r="KVR48" s="20"/>
      <c r="KVS48" s="20"/>
      <c r="KVT48" s="21"/>
      <c r="KVU48" s="21"/>
      <c r="KVV48" s="21"/>
      <c r="KVW48" s="21"/>
      <c r="KVX48" s="21"/>
      <c r="KVY48" s="20"/>
      <c r="KVZ48" s="20"/>
      <c r="KWA48" s="20"/>
      <c r="KWB48" s="20"/>
      <c r="KWC48" s="21"/>
      <c r="KWD48" s="21"/>
      <c r="KWE48" s="7"/>
      <c r="KWF48" s="7"/>
      <c r="KWG48" s="21"/>
      <c r="KWH48" s="20"/>
      <c r="KWI48" s="20"/>
      <c r="KWJ48" s="20"/>
      <c r="KWK48" s="21"/>
      <c r="KWL48" s="21"/>
      <c r="KWM48" s="21"/>
      <c r="KWN48" s="21"/>
      <c r="KWO48" s="21"/>
      <c r="KWP48" s="20"/>
      <c r="KWQ48" s="20"/>
      <c r="KWR48" s="20"/>
      <c r="KWS48" s="20"/>
      <c r="KWT48" s="21"/>
      <c r="KWU48" s="21"/>
      <c r="KWV48" s="7"/>
      <c r="KWW48" s="7"/>
      <c r="KWX48" s="21"/>
      <c r="KWY48" s="20"/>
      <c r="KWZ48" s="20"/>
      <c r="KXA48" s="20"/>
      <c r="KXB48" s="21"/>
      <c r="KXC48" s="21"/>
      <c r="KXD48" s="21"/>
      <c r="KXE48" s="21"/>
      <c r="KXF48" s="21"/>
      <c r="KXG48" s="20"/>
      <c r="KXH48" s="20"/>
      <c r="KXI48" s="20"/>
      <c r="KXJ48" s="20"/>
      <c r="KXK48" s="21"/>
      <c r="KXL48" s="21"/>
      <c r="KXM48" s="7"/>
      <c r="KXN48" s="7"/>
      <c r="KXO48" s="21"/>
      <c r="KXP48" s="20"/>
      <c r="KXQ48" s="20"/>
      <c r="KXR48" s="20"/>
      <c r="KXS48" s="21"/>
      <c r="KXT48" s="21"/>
      <c r="KXU48" s="21"/>
      <c r="KXV48" s="21"/>
      <c r="KXW48" s="21"/>
      <c r="KXX48" s="20"/>
      <c r="KXY48" s="20"/>
      <c r="KXZ48" s="20"/>
      <c r="KYA48" s="20"/>
      <c r="KYB48" s="21"/>
      <c r="KYC48" s="21"/>
      <c r="KYD48" s="7"/>
      <c r="KYE48" s="7"/>
      <c r="KYF48" s="21"/>
      <c r="KYG48" s="20"/>
      <c r="KYH48" s="20"/>
      <c r="KYI48" s="20"/>
      <c r="KYJ48" s="21"/>
      <c r="KYK48" s="21"/>
      <c r="KYL48" s="21"/>
      <c r="KYM48" s="21"/>
      <c r="KYN48" s="21"/>
      <c r="KYO48" s="20"/>
      <c r="KYP48" s="20"/>
      <c r="KYQ48" s="20"/>
      <c r="KYR48" s="20"/>
      <c r="KYS48" s="21"/>
      <c r="KYT48" s="21"/>
      <c r="KYU48" s="7"/>
      <c r="KYV48" s="7"/>
      <c r="KYW48" s="21"/>
      <c r="KYX48" s="20"/>
      <c r="KYY48" s="20"/>
      <c r="KYZ48" s="20"/>
      <c r="KZA48" s="21"/>
      <c r="KZB48" s="21"/>
      <c r="KZC48" s="21"/>
      <c r="KZD48" s="21"/>
      <c r="KZE48" s="21"/>
      <c r="KZF48" s="20"/>
      <c r="KZG48" s="20"/>
      <c r="KZH48" s="20"/>
      <c r="KZI48" s="20"/>
      <c r="KZJ48" s="21"/>
      <c r="KZK48" s="21"/>
      <c r="KZL48" s="7"/>
      <c r="KZM48" s="7"/>
      <c r="KZN48" s="21"/>
      <c r="KZO48" s="20"/>
      <c r="KZP48" s="20"/>
      <c r="KZQ48" s="20"/>
      <c r="KZR48" s="21"/>
      <c r="KZS48" s="21"/>
      <c r="KZT48" s="21"/>
      <c r="KZU48" s="21"/>
      <c r="KZV48" s="21"/>
      <c r="KZW48" s="20"/>
      <c r="KZX48" s="20"/>
      <c r="KZY48" s="20"/>
      <c r="KZZ48" s="20"/>
      <c r="LAA48" s="21"/>
      <c r="LAB48" s="21"/>
      <c r="LAC48" s="7"/>
      <c r="LAD48" s="7"/>
      <c r="LAE48" s="21"/>
      <c r="LAF48" s="20"/>
      <c r="LAG48" s="20"/>
      <c r="LAH48" s="20"/>
      <c r="LAI48" s="21"/>
      <c r="LAJ48" s="21"/>
      <c r="LAK48" s="21"/>
      <c r="LAL48" s="21"/>
      <c r="LAM48" s="21"/>
      <c r="LAN48" s="20"/>
      <c r="LAO48" s="20"/>
      <c r="LAP48" s="20"/>
      <c r="LAQ48" s="20"/>
      <c r="LAR48" s="21"/>
      <c r="LAS48" s="21"/>
      <c r="LAT48" s="7"/>
      <c r="LAU48" s="7"/>
      <c r="LAV48" s="21"/>
      <c r="LAW48" s="20"/>
      <c r="LAX48" s="20"/>
      <c r="LAY48" s="20"/>
      <c r="LAZ48" s="21"/>
      <c r="LBA48" s="21"/>
      <c r="LBB48" s="21"/>
      <c r="LBC48" s="21"/>
      <c r="LBD48" s="21"/>
      <c r="LBE48" s="20"/>
      <c r="LBF48" s="20"/>
      <c r="LBG48" s="20"/>
      <c r="LBH48" s="20"/>
      <c r="LBI48" s="21"/>
      <c r="LBJ48" s="21"/>
      <c r="LBK48" s="7"/>
      <c r="LBL48" s="7"/>
      <c r="LBM48" s="21"/>
      <c r="LBN48" s="20"/>
      <c r="LBO48" s="20"/>
      <c r="LBP48" s="20"/>
      <c r="LBQ48" s="21"/>
      <c r="LBR48" s="21"/>
      <c r="LBS48" s="21"/>
      <c r="LBT48" s="21"/>
      <c r="LBU48" s="21"/>
      <c r="LBV48" s="20"/>
      <c r="LBW48" s="20"/>
      <c r="LBX48" s="20"/>
      <c r="LBY48" s="20"/>
      <c r="LBZ48" s="21"/>
      <c r="LCA48" s="21"/>
      <c r="LCB48" s="7"/>
      <c r="LCC48" s="7"/>
      <c r="LCD48" s="21"/>
      <c r="LCE48" s="20"/>
      <c r="LCF48" s="20"/>
      <c r="LCG48" s="20"/>
      <c r="LCH48" s="21"/>
      <c r="LCI48" s="21"/>
      <c r="LCJ48" s="21"/>
      <c r="LCK48" s="21"/>
      <c r="LCL48" s="21"/>
      <c r="LCM48" s="20"/>
      <c r="LCN48" s="20"/>
      <c r="LCO48" s="20"/>
      <c r="LCP48" s="20"/>
      <c r="LCQ48" s="21"/>
      <c r="LCR48" s="21"/>
      <c r="LCS48" s="7"/>
      <c r="LCT48" s="7"/>
      <c r="LCU48" s="21"/>
      <c r="LCV48" s="20"/>
      <c r="LCW48" s="20"/>
      <c r="LCX48" s="20"/>
      <c r="LCY48" s="21"/>
      <c r="LCZ48" s="21"/>
      <c r="LDA48" s="21"/>
      <c r="LDB48" s="21"/>
      <c r="LDC48" s="21"/>
      <c r="LDD48" s="20"/>
      <c r="LDE48" s="20"/>
      <c r="LDF48" s="20"/>
      <c r="LDG48" s="20"/>
      <c r="LDH48" s="21"/>
      <c r="LDI48" s="21"/>
      <c r="LDJ48" s="7"/>
      <c r="LDK48" s="7"/>
      <c r="LDL48" s="21"/>
      <c r="LDM48" s="20"/>
      <c r="LDN48" s="20"/>
      <c r="LDO48" s="20"/>
      <c r="LDP48" s="21"/>
      <c r="LDQ48" s="21"/>
      <c r="LDR48" s="21"/>
      <c r="LDS48" s="21"/>
      <c r="LDT48" s="21"/>
      <c r="LDU48" s="20"/>
      <c r="LDV48" s="20"/>
      <c r="LDW48" s="20"/>
      <c r="LDX48" s="20"/>
      <c r="LDY48" s="21"/>
      <c r="LDZ48" s="21"/>
      <c r="LEA48" s="7"/>
      <c r="LEB48" s="7"/>
      <c r="LEC48" s="21"/>
      <c r="LED48" s="20"/>
      <c r="LEE48" s="20"/>
      <c r="LEF48" s="20"/>
      <c r="LEG48" s="21"/>
      <c r="LEH48" s="21"/>
      <c r="LEI48" s="21"/>
      <c r="LEJ48" s="21"/>
      <c r="LEK48" s="21"/>
      <c r="LEL48" s="20"/>
      <c r="LEM48" s="20"/>
      <c r="LEN48" s="20"/>
      <c r="LEO48" s="20"/>
      <c r="LEP48" s="21"/>
      <c r="LEQ48" s="21"/>
      <c r="LER48" s="7"/>
      <c r="LES48" s="7"/>
      <c r="LET48" s="21"/>
      <c r="LEU48" s="20"/>
      <c r="LEV48" s="20"/>
      <c r="LEW48" s="20"/>
      <c r="LEX48" s="21"/>
      <c r="LEY48" s="21"/>
      <c r="LEZ48" s="21"/>
      <c r="LFA48" s="21"/>
      <c r="LFB48" s="21"/>
      <c r="LFC48" s="20"/>
      <c r="LFD48" s="20"/>
      <c r="LFE48" s="20"/>
      <c r="LFF48" s="20"/>
      <c r="LFG48" s="21"/>
      <c r="LFH48" s="21"/>
      <c r="LFI48" s="7"/>
      <c r="LFJ48" s="7"/>
      <c r="LFK48" s="21"/>
      <c r="LFL48" s="20"/>
      <c r="LFM48" s="20"/>
      <c r="LFN48" s="20"/>
      <c r="LFO48" s="21"/>
      <c r="LFP48" s="21"/>
      <c r="LFQ48" s="21"/>
      <c r="LFR48" s="21"/>
      <c r="LFS48" s="21"/>
      <c r="LFT48" s="20"/>
      <c r="LFU48" s="20"/>
      <c r="LFV48" s="20"/>
      <c r="LFW48" s="20"/>
      <c r="LFX48" s="21"/>
      <c r="LFY48" s="21"/>
      <c r="LFZ48" s="7"/>
      <c r="LGA48" s="7"/>
      <c r="LGB48" s="21"/>
      <c r="LGC48" s="20"/>
      <c r="LGD48" s="20"/>
      <c r="LGE48" s="20"/>
      <c r="LGF48" s="21"/>
      <c r="LGG48" s="21"/>
      <c r="LGH48" s="21"/>
      <c r="LGI48" s="21"/>
      <c r="LGJ48" s="21"/>
      <c r="LGK48" s="20"/>
      <c r="LGL48" s="20"/>
      <c r="LGM48" s="20"/>
      <c r="LGN48" s="20"/>
      <c r="LGO48" s="21"/>
      <c r="LGP48" s="21"/>
      <c r="LGQ48" s="7"/>
      <c r="LGR48" s="7"/>
      <c r="LGS48" s="21"/>
      <c r="LGT48" s="20"/>
      <c r="LGU48" s="20"/>
      <c r="LGV48" s="20"/>
      <c r="LGW48" s="21"/>
      <c r="LGX48" s="21"/>
      <c r="LGY48" s="21"/>
      <c r="LGZ48" s="21"/>
      <c r="LHA48" s="21"/>
      <c r="LHB48" s="20"/>
      <c r="LHC48" s="20"/>
      <c r="LHD48" s="20"/>
      <c r="LHE48" s="20"/>
      <c r="LHF48" s="21"/>
      <c r="LHG48" s="21"/>
      <c r="LHH48" s="7"/>
      <c r="LHI48" s="7"/>
      <c r="LHJ48" s="21"/>
      <c r="LHK48" s="20"/>
      <c r="LHL48" s="20"/>
      <c r="LHM48" s="20"/>
      <c r="LHN48" s="21"/>
      <c r="LHO48" s="21"/>
      <c r="LHP48" s="21"/>
      <c r="LHQ48" s="21"/>
      <c r="LHR48" s="21"/>
      <c r="LHS48" s="20"/>
      <c r="LHT48" s="20"/>
      <c r="LHU48" s="20"/>
      <c r="LHV48" s="20"/>
      <c r="LHW48" s="21"/>
      <c r="LHX48" s="21"/>
      <c r="LHY48" s="7"/>
      <c r="LHZ48" s="7"/>
      <c r="LIA48" s="21"/>
      <c r="LIB48" s="20"/>
      <c r="LIC48" s="20"/>
      <c r="LID48" s="20"/>
      <c r="LIE48" s="21"/>
      <c r="LIF48" s="21"/>
      <c r="LIG48" s="21"/>
      <c r="LIH48" s="21"/>
      <c r="LII48" s="21"/>
      <c r="LIJ48" s="20"/>
      <c r="LIK48" s="20"/>
      <c r="LIL48" s="20"/>
      <c r="LIM48" s="20"/>
      <c r="LIN48" s="21"/>
      <c r="LIO48" s="21"/>
      <c r="LIP48" s="7"/>
      <c r="LIQ48" s="7"/>
      <c r="LIR48" s="21"/>
      <c r="LIS48" s="20"/>
      <c r="LIT48" s="20"/>
      <c r="LIU48" s="20"/>
      <c r="LIV48" s="21"/>
      <c r="LIW48" s="21"/>
      <c r="LIX48" s="21"/>
      <c r="LIY48" s="21"/>
      <c r="LIZ48" s="21"/>
      <c r="LJA48" s="20"/>
      <c r="LJB48" s="20"/>
      <c r="LJC48" s="20"/>
      <c r="LJD48" s="20"/>
      <c r="LJE48" s="21"/>
      <c r="LJF48" s="21"/>
      <c r="LJG48" s="7"/>
      <c r="LJH48" s="7"/>
      <c r="LJI48" s="21"/>
      <c r="LJJ48" s="20"/>
      <c r="LJK48" s="20"/>
      <c r="LJL48" s="20"/>
      <c r="LJM48" s="21"/>
      <c r="LJN48" s="21"/>
      <c r="LJO48" s="21"/>
      <c r="LJP48" s="21"/>
      <c r="LJQ48" s="21"/>
      <c r="LJR48" s="20"/>
      <c r="LJS48" s="20"/>
      <c r="LJT48" s="20"/>
      <c r="LJU48" s="20"/>
      <c r="LJV48" s="21"/>
      <c r="LJW48" s="21"/>
      <c r="LJX48" s="7"/>
      <c r="LJY48" s="7"/>
      <c r="LJZ48" s="21"/>
      <c r="LKA48" s="20"/>
      <c r="LKB48" s="20"/>
      <c r="LKC48" s="20"/>
      <c r="LKD48" s="21"/>
      <c r="LKE48" s="21"/>
      <c r="LKF48" s="21"/>
      <c r="LKG48" s="21"/>
      <c r="LKH48" s="21"/>
      <c r="LKI48" s="20"/>
      <c r="LKJ48" s="20"/>
      <c r="LKK48" s="20"/>
      <c r="LKL48" s="20"/>
      <c r="LKM48" s="21"/>
      <c r="LKN48" s="21"/>
      <c r="LKO48" s="7"/>
      <c r="LKP48" s="7"/>
      <c r="LKQ48" s="21"/>
      <c r="LKR48" s="20"/>
      <c r="LKS48" s="20"/>
      <c r="LKT48" s="20"/>
      <c r="LKU48" s="21"/>
      <c r="LKV48" s="21"/>
      <c r="LKW48" s="21"/>
      <c r="LKX48" s="21"/>
      <c r="LKY48" s="21"/>
      <c r="LKZ48" s="20"/>
      <c r="LLA48" s="20"/>
      <c r="LLB48" s="20"/>
      <c r="LLC48" s="20"/>
      <c r="LLD48" s="21"/>
      <c r="LLE48" s="21"/>
      <c r="LLF48" s="7"/>
      <c r="LLG48" s="7"/>
      <c r="LLH48" s="21"/>
      <c r="LLI48" s="20"/>
      <c r="LLJ48" s="20"/>
      <c r="LLK48" s="20"/>
      <c r="LLL48" s="21"/>
      <c r="LLM48" s="21"/>
      <c r="LLN48" s="21"/>
      <c r="LLO48" s="21"/>
      <c r="LLP48" s="21"/>
      <c r="LLQ48" s="20"/>
      <c r="LLR48" s="20"/>
      <c r="LLS48" s="20"/>
      <c r="LLT48" s="20"/>
      <c r="LLU48" s="21"/>
      <c r="LLV48" s="21"/>
      <c r="LLW48" s="7"/>
      <c r="LLX48" s="7"/>
      <c r="LLY48" s="21"/>
      <c r="LLZ48" s="20"/>
      <c r="LMA48" s="20"/>
      <c r="LMB48" s="20"/>
      <c r="LMC48" s="21"/>
      <c r="LMD48" s="21"/>
      <c r="LME48" s="21"/>
      <c r="LMF48" s="21"/>
      <c r="LMG48" s="21"/>
      <c r="LMH48" s="20"/>
      <c r="LMI48" s="20"/>
      <c r="LMJ48" s="20"/>
      <c r="LMK48" s="20"/>
      <c r="LML48" s="21"/>
      <c r="LMM48" s="21"/>
      <c r="LMN48" s="7"/>
      <c r="LMO48" s="7"/>
      <c r="LMP48" s="21"/>
      <c r="LMQ48" s="20"/>
      <c r="LMR48" s="20"/>
      <c r="LMS48" s="20"/>
      <c r="LMT48" s="21"/>
      <c r="LMU48" s="21"/>
      <c r="LMV48" s="21"/>
      <c r="LMW48" s="21"/>
      <c r="LMX48" s="21"/>
      <c r="LMY48" s="20"/>
      <c r="LMZ48" s="20"/>
      <c r="LNA48" s="20"/>
      <c r="LNB48" s="20"/>
      <c r="LNC48" s="21"/>
      <c r="LND48" s="21"/>
      <c r="LNE48" s="7"/>
      <c r="LNF48" s="7"/>
      <c r="LNG48" s="21"/>
      <c r="LNH48" s="20"/>
      <c r="LNI48" s="20"/>
      <c r="LNJ48" s="20"/>
      <c r="LNK48" s="21"/>
      <c r="LNL48" s="21"/>
      <c r="LNM48" s="21"/>
      <c r="LNN48" s="21"/>
      <c r="LNO48" s="21"/>
      <c r="LNP48" s="20"/>
      <c r="LNQ48" s="20"/>
      <c r="LNR48" s="20"/>
      <c r="LNS48" s="20"/>
      <c r="LNT48" s="21"/>
      <c r="LNU48" s="21"/>
      <c r="LNV48" s="7"/>
      <c r="LNW48" s="7"/>
      <c r="LNX48" s="21"/>
      <c r="LNY48" s="20"/>
      <c r="LNZ48" s="20"/>
      <c r="LOA48" s="20"/>
      <c r="LOB48" s="21"/>
      <c r="LOC48" s="21"/>
      <c r="LOD48" s="21"/>
      <c r="LOE48" s="21"/>
      <c r="LOF48" s="21"/>
      <c r="LOG48" s="20"/>
      <c r="LOH48" s="20"/>
      <c r="LOI48" s="20"/>
      <c r="LOJ48" s="20"/>
      <c r="LOK48" s="21"/>
      <c r="LOL48" s="21"/>
      <c r="LOM48" s="7"/>
      <c r="LON48" s="7"/>
      <c r="LOO48" s="21"/>
      <c r="LOP48" s="20"/>
      <c r="LOQ48" s="20"/>
      <c r="LOR48" s="20"/>
      <c r="LOS48" s="21"/>
      <c r="LOT48" s="21"/>
      <c r="LOU48" s="21"/>
      <c r="LOV48" s="21"/>
      <c r="LOW48" s="21"/>
      <c r="LOX48" s="20"/>
      <c r="LOY48" s="20"/>
      <c r="LOZ48" s="20"/>
      <c r="LPA48" s="20"/>
      <c r="LPB48" s="21"/>
      <c r="LPC48" s="21"/>
      <c r="LPD48" s="7"/>
      <c r="LPE48" s="7"/>
      <c r="LPF48" s="21"/>
      <c r="LPG48" s="20"/>
      <c r="LPH48" s="20"/>
      <c r="LPI48" s="20"/>
      <c r="LPJ48" s="21"/>
      <c r="LPK48" s="21"/>
      <c r="LPL48" s="21"/>
      <c r="LPM48" s="21"/>
      <c r="LPN48" s="21"/>
      <c r="LPO48" s="20"/>
      <c r="LPP48" s="20"/>
      <c r="LPQ48" s="20"/>
      <c r="LPR48" s="20"/>
      <c r="LPS48" s="21"/>
      <c r="LPT48" s="21"/>
      <c r="LPU48" s="7"/>
      <c r="LPV48" s="7"/>
      <c r="LPW48" s="21"/>
      <c r="LPX48" s="20"/>
      <c r="LPY48" s="20"/>
      <c r="LPZ48" s="20"/>
      <c r="LQA48" s="21"/>
      <c r="LQB48" s="21"/>
      <c r="LQC48" s="21"/>
      <c r="LQD48" s="21"/>
      <c r="LQE48" s="21"/>
      <c r="LQF48" s="20"/>
      <c r="LQG48" s="20"/>
      <c r="LQH48" s="20"/>
      <c r="LQI48" s="20"/>
      <c r="LQJ48" s="21"/>
      <c r="LQK48" s="21"/>
      <c r="LQL48" s="7"/>
      <c r="LQM48" s="7"/>
      <c r="LQN48" s="21"/>
      <c r="LQO48" s="20"/>
      <c r="LQP48" s="20"/>
      <c r="LQQ48" s="20"/>
      <c r="LQR48" s="21"/>
      <c r="LQS48" s="21"/>
      <c r="LQT48" s="21"/>
      <c r="LQU48" s="21"/>
      <c r="LQV48" s="21"/>
      <c r="LQW48" s="20"/>
      <c r="LQX48" s="20"/>
      <c r="LQY48" s="20"/>
      <c r="LQZ48" s="20"/>
      <c r="LRA48" s="21"/>
      <c r="LRB48" s="21"/>
      <c r="LRC48" s="7"/>
      <c r="LRD48" s="7"/>
      <c r="LRE48" s="21"/>
      <c r="LRF48" s="20"/>
      <c r="LRG48" s="20"/>
      <c r="LRH48" s="20"/>
      <c r="LRI48" s="21"/>
      <c r="LRJ48" s="21"/>
      <c r="LRK48" s="21"/>
      <c r="LRL48" s="21"/>
      <c r="LRM48" s="21"/>
      <c r="LRN48" s="20"/>
      <c r="LRO48" s="20"/>
      <c r="LRP48" s="20"/>
      <c r="LRQ48" s="20"/>
      <c r="LRR48" s="21"/>
      <c r="LRS48" s="21"/>
      <c r="LRT48" s="7"/>
      <c r="LRU48" s="7"/>
      <c r="LRV48" s="21"/>
      <c r="LRW48" s="20"/>
      <c r="LRX48" s="20"/>
      <c r="LRY48" s="20"/>
      <c r="LRZ48" s="21"/>
      <c r="LSA48" s="21"/>
      <c r="LSB48" s="21"/>
      <c r="LSC48" s="21"/>
      <c r="LSD48" s="21"/>
      <c r="LSE48" s="20"/>
      <c r="LSF48" s="20"/>
      <c r="LSG48" s="20"/>
      <c r="LSH48" s="20"/>
      <c r="LSI48" s="21"/>
      <c r="LSJ48" s="21"/>
      <c r="LSK48" s="7"/>
      <c r="LSL48" s="7"/>
      <c r="LSM48" s="21"/>
      <c r="LSN48" s="20"/>
      <c r="LSO48" s="20"/>
      <c r="LSP48" s="20"/>
      <c r="LSQ48" s="21"/>
      <c r="LSR48" s="21"/>
      <c r="LSS48" s="21"/>
      <c r="LST48" s="21"/>
      <c r="LSU48" s="21"/>
      <c r="LSV48" s="20"/>
      <c r="LSW48" s="20"/>
      <c r="LSX48" s="20"/>
      <c r="LSY48" s="20"/>
      <c r="LSZ48" s="21"/>
      <c r="LTA48" s="21"/>
      <c r="LTB48" s="7"/>
      <c r="LTC48" s="7"/>
      <c r="LTD48" s="21"/>
      <c r="LTE48" s="20"/>
      <c r="LTF48" s="20"/>
      <c r="LTG48" s="20"/>
      <c r="LTH48" s="21"/>
      <c r="LTI48" s="21"/>
      <c r="LTJ48" s="21"/>
      <c r="LTK48" s="21"/>
      <c r="LTL48" s="21"/>
      <c r="LTM48" s="20"/>
      <c r="LTN48" s="20"/>
      <c r="LTO48" s="20"/>
      <c r="LTP48" s="20"/>
      <c r="LTQ48" s="21"/>
      <c r="LTR48" s="21"/>
      <c r="LTS48" s="7"/>
      <c r="LTT48" s="7"/>
      <c r="LTU48" s="21"/>
      <c r="LTV48" s="20"/>
      <c r="LTW48" s="20"/>
      <c r="LTX48" s="20"/>
      <c r="LTY48" s="21"/>
      <c r="LTZ48" s="21"/>
      <c r="LUA48" s="21"/>
      <c r="LUB48" s="21"/>
      <c r="LUC48" s="21"/>
      <c r="LUD48" s="20"/>
      <c r="LUE48" s="20"/>
      <c r="LUF48" s="20"/>
      <c r="LUG48" s="20"/>
      <c r="LUH48" s="21"/>
      <c r="LUI48" s="21"/>
      <c r="LUJ48" s="7"/>
      <c r="LUK48" s="7"/>
      <c r="LUL48" s="21"/>
      <c r="LUM48" s="20"/>
      <c r="LUN48" s="20"/>
      <c r="LUO48" s="20"/>
      <c r="LUP48" s="21"/>
      <c r="LUQ48" s="21"/>
      <c r="LUR48" s="21"/>
      <c r="LUS48" s="21"/>
      <c r="LUT48" s="21"/>
      <c r="LUU48" s="20"/>
      <c r="LUV48" s="20"/>
      <c r="LUW48" s="20"/>
      <c r="LUX48" s="20"/>
      <c r="LUY48" s="21"/>
      <c r="LUZ48" s="21"/>
      <c r="LVA48" s="7"/>
      <c r="LVB48" s="7"/>
      <c r="LVC48" s="21"/>
      <c r="LVD48" s="20"/>
      <c r="LVE48" s="20"/>
      <c r="LVF48" s="20"/>
      <c r="LVG48" s="21"/>
      <c r="LVH48" s="21"/>
      <c r="LVI48" s="21"/>
      <c r="LVJ48" s="21"/>
      <c r="LVK48" s="21"/>
      <c r="LVL48" s="20"/>
      <c r="LVM48" s="20"/>
      <c r="LVN48" s="20"/>
      <c r="LVO48" s="20"/>
      <c r="LVP48" s="21"/>
      <c r="LVQ48" s="21"/>
      <c r="LVR48" s="7"/>
      <c r="LVS48" s="7"/>
      <c r="LVT48" s="21"/>
      <c r="LVU48" s="20"/>
      <c r="LVV48" s="20"/>
      <c r="LVW48" s="20"/>
      <c r="LVX48" s="21"/>
      <c r="LVY48" s="21"/>
      <c r="LVZ48" s="21"/>
      <c r="LWA48" s="21"/>
      <c r="LWB48" s="21"/>
      <c r="LWC48" s="20"/>
      <c r="LWD48" s="20"/>
      <c r="LWE48" s="20"/>
      <c r="LWF48" s="20"/>
      <c r="LWG48" s="21"/>
      <c r="LWH48" s="21"/>
      <c r="LWI48" s="7"/>
      <c r="LWJ48" s="7"/>
      <c r="LWK48" s="21"/>
      <c r="LWL48" s="20"/>
      <c r="LWM48" s="20"/>
      <c r="LWN48" s="20"/>
      <c r="LWO48" s="21"/>
      <c r="LWP48" s="21"/>
      <c r="LWQ48" s="21"/>
      <c r="LWR48" s="21"/>
      <c r="LWS48" s="21"/>
      <c r="LWT48" s="20"/>
      <c r="LWU48" s="20"/>
      <c r="LWV48" s="20"/>
      <c r="LWW48" s="20"/>
      <c r="LWX48" s="21"/>
      <c r="LWY48" s="21"/>
      <c r="LWZ48" s="7"/>
      <c r="LXA48" s="7"/>
      <c r="LXB48" s="21"/>
      <c r="LXC48" s="20"/>
      <c r="LXD48" s="20"/>
      <c r="LXE48" s="20"/>
      <c r="LXF48" s="21"/>
      <c r="LXG48" s="21"/>
      <c r="LXH48" s="21"/>
      <c r="LXI48" s="21"/>
      <c r="LXJ48" s="21"/>
      <c r="LXK48" s="20"/>
      <c r="LXL48" s="20"/>
      <c r="LXM48" s="20"/>
      <c r="LXN48" s="20"/>
      <c r="LXO48" s="21"/>
      <c r="LXP48" s="21"/>
      <c r="LXQ48" s="7"/>
      <c r="LXR48" s="7"/>
      <c r="LXS48" s="21"/>
      <c r="LXT48" s="20"/>
      <c r="LXU48" s="20"/>
      <c r="LXV48" s="20"/>
      <c r="LXW48" s="21"/>
      <c r="LXX48" s="21"/>
      <c r="LXY48" s="21"/>
      <c r="LXZ48" s="21"/>
      <c r="LYA48" s="21"/>
      <c r="LYB48" s="20"/>
      <c r="LYC48" s="20"/>
      <c r="LYD48" s="20"/>
      <c r="LYE48" s="20"/>
      <c r="LYF48" s="21"/>
      <c r="LYG48" s="21"/>
      <c r="LYH48" s="7"/>
      <c r="LYI48" s="7"/>
      <c r="LYJ48" s="21"/>
      <c r="LYK48" s="20"/>
      <c r="LYL48" s="20"/>
      <c r="LYM48" s="20"/>
      <c r="LYN48" s="21"/>
      <c r="LYO48" s="21"/>
      <c r="LYP48" s="21"/>
      <c r="LYQ48" s="21"/>
      <c r="LYR48" s="21"/>
      <c r="LYS48" s="20"/>
      <c r="LYT48" s="20"/>
      <c r="LYU48" s="20"/>
      <c r="LYV48" s="20"/>
      <c r="LYW48" s="21"/>
      <c r="LYX48" s="21"/>
      <c r="LYY48" s="7"/>
      <c r="LYZ48" s="7"/>
      <c r="LZA48" s="21"/>
      <c r="LZB48" s="20"/>
      <c r="LZC48" s="20"/>
      <c r="LZD48" s="20"/>
      <c r="LZE48" s="21"/>
      <c r="LZF48" s="21"/>
      <c r="LZG48" s="21"/>
      <c r="LZH48" s="21"/>
      <c r="LZI48" s="21"/>
      <c r="LZJ48" s="20"/>
      <c r="LZK48" s="20"/>
      <c r="LZL48" s="20"/>
      <c r="LZM48" s="20"/>
      <c r="LZN48" s="21"/>
      <c r="LZO48" s="21"/>
      <c r="LZP48" s="7"/>
      <c r="LZQ48" s="7"/>
      <c r="LZR48" s="21"/>
      <c r="LZS48" s="20"/>
      <c r="LZT48" s="20"/>
      <c r="LZU48" s="20"/>
      <c r="LZV48" s="21"/>
      <c r="LZW48" s="21"/>
      <c r="LZX48" s="21"/>
      <c r="LZY48" s="21"/>
      <c r="LZZ48" s="21"/>
      <c r="MAA48" s="20"/>
      <c r="MAB48" s="20"/>
      <c r="MAC48" s="20"/>
      <c r="MAD48" s="20"/>
      <c r="MAE48" s="21"/>
      <c r="MAF48" s="21"/>
      <c r="MAG48" s="7"/>
      <c r="MAH48" s="7"/>
      <c r="MAI48" s="21"/>
      <c r="MAJ48" s="20"/>
      <c r="MAK48" s="20"/>
      <c r="MAL48" s="20"/>
      <c r="MAM48" s="21"/>
      <c r="MAN48" s="21"/>
      <c r="MAO48" s="21"/>
      <c r="MAP48" s="21"/>
      <c r="MAQ48" s="21"/>
      <c r="MAR48" s="20"/>
      <c r="MAS48" s="20"/>
      <c r="MAT48" s="20"/>
      <c r="MAU48" s="20"/>
      <c r="MAV48" s="21"/>
      <c r="MAW48" s="21"/>
      <c r="MAX48" s="7"/>
      <c r="MAY48" s="7"/>
      <c r="MAZ48" s="21"/>
      <c r="MBA48" s="20"/>
      <c r="MBB48" s="20"/>
      <c r="MBC48" s="20"/>
      <c r="MBD48" s="21"/>
      <c r="MBE48" s="21"/>
      <c r="MBF48" s="21"/>
      <c r="MBG48" s="21"/>
      <c r="MBH48" s="21"/>
      <c r="MBI48" s="20"/>
      <c r="MBJ48" s="20"/>
      <c r="MBK48" s="20"/>
      <c r="MBL48" s="20"/>
      <c r="MBM48" s="21"/>
      <c r="MBN48" s="21"/>
      <c r="MBO48" s="7"/>
      <c r="MBP48" s="7"/>
      <c r="MBQ48" s="21"/>
      <c r="MBR48" s="20"/>
      <c r="MBS48" s="20"/>
      <c r="MBT48" s="20"/>
      <c r="MBU48" s="21"/>
      <c r="MBV48" s="21"/>
      <c r="MBW48" s="21"/>
      <c r="MBX48" s="21"/>
      <c r="MBY48" s="21"/>
      <c r="MBZ48" s="20"/>
      <c r="MCA48" s="20"/>
      <c r="MCB48" s="20"/>
      <c r="MCC48" s="20"/>
      <c r="MCD48" s="21"/>
      <c r="MCE48" s="21"/>
      <c r="MCF48" s="7"/>
      <c r="MCG48" s="7"/>
      <c r="MCH48" s="21"/>
      <c r="MCI48" s="20"/>
      <c r="MCJ48" s="20"/>
      <c r="MCK48" s="20"/>
      <c r="MCL48" s="21"/>
      <c r="MCM48" s="21"/>
      <c r="MCN48" s="21"/>
      <c r="MCO48" s="21"/>
      <c r="MCP48" s="21"/>
      <c r="MCQ48" s="20"/>
      <c r="MCR48" s="20"/>
      <c r="MCS48" s="20"/>
      <c r="MCT48" s="20"/>
      <c r="MCU48" s="21"/>
      <c r="MCV48" s="21"/>
      <c r="MCW48" s="7"/>
      <c r="MCX48" s="7"/>
      <c r="MCY48" s="21"/>
      <c r="MCZ48" s="20"/>
      <c r="MDA48" s="20"/>
      <c r="MDB48" s="20"/>
      <c r="MDC48" s="21"/>
      <c r="MDD48" s="21"/>
      <c r="MDE48" s="21"/>
      <c r="MDF48" s="21"/>
      <c r="MDG48" s="21"/>
      <c r="MDH48" s="20"/>
      <c r="MDI48" s="20"/>
      <c r="MDJ48" s="20"/>
      <c r="MDK48" s="20"/>
      <c r="MDL48" s="21"/>
      <c r="MDM48" s="21"/>
      <c r="MDN48" s="7"/>
      <c r="MDO48" s="7"/>
      <c r="MDP48" s="21"/>
      <c r="MDQ48" s="20"/>
      <c r="MDR48" s="20"/>
      <c r="MDS48" s="20"/>
      <c r="MDT48" s="21"/>
      <c r="MDU48" s="21"/>
      <c r="MDV48" s="21"/>
      <c r="MDW48" s="21"/>
      <c r="MDX48" s="21"/>
      <c r="MDY48" s="20"/>
      <c r="MDZ48" s="20"/>
      <c r="MEA48" s="20"/>
      <c r="MEB48" s="20"/>
      <c r="MEC48" s="21"/>
      <c r="MED48" s="21"/>
      <c r="MEE48" s="7"/>
      <c r="MEF48" s="7"/>
      <c r="MEG48" s="21"/>
      <c r="MEH48" s="20"/>
      <c r="MEI48" s="20"/>
      <c r="MEJ48" s="20"/>
      <c r="MEK48" s="21"/>
      <c r="MEL48" s="21"/>
      <c r="MEM48" s="21"/>
      <c r="MEN48" s="21"/>
      <c r="MEO48" s="21"/>
      <c r="MEP48" s="20"/>
      <c r="MEQ48" s="20"/>
      <c r="MER48" s="20"/>
      <c r="MES48" s="20"/>
      <c r="MET48" s="21"/>
      <c r="MEU48" s="21"/>
      <c r="MEV48" s="7"/>
      <c r="MEW48" s="7"/>
      <c r="MEX48" s="21"/>
      <c r="MEY48" s="20"/>
      <c r="MEZ48" s="20"/>
      <c r="MFA48" s="20"/>
      <c r="MFB48" s="21"/>
      <c r="MFC48" s="21"/>
      <c r="MFD48" s="21"/>
      <c r="MFE48" s="21"/>
      <c r="MFF48" s="21"/>
      <c r="MFG48" s="20"/>
      <c r="MFH48" s="20"/>
      <c r="MFI48" s="20"/>
      <c r="MFJ48" s="20"/>
      <c r="MFK48" s="21"/>
      <c r="MFL48" s="21"/>
      <c r="MFM48" s="7"/>
      <c r="MFN48" s="7"/>
      <c r="MFO48" s="21"/>
      <c r="MFP48" s="20"/>
      <c r="MFQ48" s="20"/>
      <c r="MFR48" s="20"/>
      <c r="MFS48" s="21"/>
      <c r="MFT48" s="21"/>
      <c r="MFU48" s="21"/>
      <c r="MFV48" s="21"/>
      <c r="MFW48" s="21"/>
      <c r="MFX48" s="20"/>
      <c r="MFY48" s="20"/>
      <c r="MFZ48" s="20"/>
      <c r="MGA48" s="20"/>
      <c r="MGB48" s="21"/>
      <c r="MGC48" s="21"/>
      <c r="MGD48" s="7"/>
      <c r="MGE48" s="7"/>
      <c r="MGF48" s="21"/>
      <c r="MGG48" s="20"/>
      <c r="MGH48" s="20"/>
      <c r="MGI48" s="20"/>
      <c r="MGJ48" s="21"/>
      <c r="MGK48" s="21"/>
      <c r="MGL48" s="21"/>
      <c r="MGM48" s="21"/>
      <c r="MGN48" s="21"/>
      <c r="MGO48" s="20"/>
      <c r="MGP48" s="20"/>
      <c r="MGQ48" s="20"/>
      <c r="MGR48" s="20"/>
      <c r="MGS48" s="21"/>
      <c r="MGT48" s="21"/>
      <c r="MGU48" s="7"/>
      <c r="MGV48" s="7"/>
      <c r="MGW48" s="21"/>
      <c r="MGX48" s="20"/>
      <c r="MGY48" s="20"/>
      <c r="MGZ48" s="20"/>
      <c r="MHA48" s="21"/>
      <c r="MHB48" s="21"/>
      <c r="MHC48" s="21"/>
      <c r="MHD48" s="21"/>
      <c r="MHE48" s="21"/>
      <c r="MHF48" s="20"/>
      <c r="MHG48" s="20"/>
      <c r="MHH48" s="20"/>
      <c r="MHI48" s="20"/>
      <c r="MHJ48" s="21"/>
      <c r="MHK48" s="21"/>
      <c r="MHL48" s="7"/>
      <c r="MHM48" s="7"/>
      <c r="MHN48" s="21"/>
      <c r="MHO48" s="20"/>
      <c r="MHP48" s="20"/>
      <c r="MHQ48" s="20"/>
      <c r="MHR48" s="21"/>
      <c r="MHS48" s="21"/>
      <c r="MHT48" s="21"/>
      <c r="MHU48" s="21"/>
      <c r="MHV48" s="21"/>
      <c r="MHW48" s="20"/>
      <c r="MHX48" s="20"/>
      <c r="MHY48" s="20"/>
      <c r="MHZ48" s="20"/>
      <c r="MIA48" s="21"/>
      <c r="MIB48" s="21"/>
      <c r="MIC48" s="7"/>
      <c r="MID48" s="7"/>
      <c r="MIE48" s="21"/>
      <c r="MIF48" s="20"/>
      <c r="MIG48" s="20"/>
      <c r="MIH48" s="20"/>
      <c r="MII48" s="21"/>
      <c r="MIJ48" s="21"/>
      <c r="MIK48" s="21"/>
      <c r="MIL48" s="21"/>
      <c r="MIM48" s="21"/>
      <c r="MIN48" s="20"/>
      <c r="MIO48" s="20"/>
      <c r="MIP48" s="20"/>
      <c r="MIQ48" s="20"/>
      <c r="MIR48" s="21"/>
      <c r="MIS48" s="21"/>
      <c r="MIT48" s="7"/>
      <c r="MIU48" s="7"/>
      <c r="MIV48" s="21"/>
      <c r="MIW48" s="20"/>
      <c r="MIX48" s="20"/>
      <c r="MIY48" s="20"/>
      <c r="MIZ48" s="21"/>
      <c r="MJA48" s="21"/>
      <c r="MJB48" s="21"/>
      <c r="MJC48" s="21"/>
      <c r="MJD48" s="21"/>
      <c r="MJE48" s="20"/>
      <c r="MJF48" s="20"/>
      <c r="MJG48" s="20"/>
      <c r="MJH48" s="20"/>
      <c r="MJI48" s="21"/>
      <c r="MJJ48" s="21"/>
      <c r="MJK48" s="7"/>
      <c r="MJL48" s="7"/>
      <c r="MJM48" s="21"/>
      <c r="MJN48" s="20"/>
      <c r="MJO48" s="20"/>
      <c r="MJP48" s="20"/>
      <c r="MJQ48" s="21"/>
      <c r="MJR48" s="21"/>
      <c r="MJS48" s="21"/>
      <c r="MJT48" s="21"/>
      <c r="MJU48" s="21"/>
      <c r="MJV48" s="20"/>
      <c r="MJW48" s="20"/>
      <c r="MJX48" s="20"/>
      <c r="MJY48" s="20"/>
      <c r="MJZ48" s="21"/>
      <c r="MKA48" s="21"/>
      <c r="MKB48" s="7"/>
      <c r="MKC48" s="7"/>
      <c r="MKD48" s="21"/>
      <c r="MKE48" s="20"/>
      <c r="MKF48" s="20"/>
      <c r="MKG48" s="20"/>
      <c r="MKH48" s="21"/>
      <c r="MKI48" s="21"/>
      <c r="MKJ48" s="21"/>
      <c r="MKK48" s="21"/>
      <c r="MKL48" s="21"/>
      <c r="MKM48" s="20"/>
      <c r="MKN48" s="20"/>
      <c r="MKO48" s="20"/>
      <c r="MKP48" s="20"/>
      <c r="MKQ48" s="21"/>
      <c r="MKR48" s="21"/>
      <c r="MKS48" s="7"/>
      <c r="MKT48" s="7"/>
      <c r="MKU48" s="21"/>
      <c r="MKV48" s="20"/>
      <c r="MKW48" s="20"/>
      <c r="MKX48" s="20"/>
      <c r="MKY48" s="21"/>
      <c r="MKZ48" s="21"/>
      <c r="MLA48" s="21"/>
      <c r="MLB48" s="21"/>
      <c r="MLC48" s="21"/>
      <c r="MLD48" s="20"/>
      <c r="MLE48" s="20"/>
      <c r="MLF48" s="20"/>
      <c r="MLG48" s="20"/>
      <c r="MLH48" s="21"/>
      <c r="MLI48" s="21"/>
      <c r="MLJ48" s="7"/>
      <c r="MLK48" s="7"/>
      <c r="MLL48" s="21"/>
      <c r="MLM48" s="20"/>
      <c r="MLN48" s="20"/>
      <c r="MLO48" s="20"/>
      <c r="MLP48" s="21"/>
      <c r="MLQ48" s="21"/>
      <c r="MLR48" s="21"/>
      <c r="MLS48" s="21"/>
      <c r="MLT48" s="21"/>
      <c r="MLU48" s="20"/>
      <c r="MLV48" s="20"/>
      <c r="MLW48" s="20"/>
      <c r="MLX48" s="20"/>
      <c r="MLY48" s="21"/>
      <c r="MLZ48" s="21"/>
      <c r="MMA48" s="7"/>
      <c r="MMB48" s="7"/>
      <c r="MMC48" s="21"/>
      <c r="MMD48" s="20"/>
      <c r="MME48" s="20"/>
      <c r="MMF48" s="20"/>
      <c r="MMG48" s="21"/>
      <c r="MMH48" s="21"/>
      <c r="MMI48" s="21"/>
      <c r="MMJ48" s="21"/>
      <c r="MMK48" s="21"/>
      <c r="MML48" s="20"/>
      <c r="MMM48" s="20"/>
      <c r="MMN48" s="20"/>
      <c r="MMO48" s="20"/>
      <c r="MMP48" s="21"/>
      <c r="MMQ48" s="21"/>
      <c r="MMR48" s="7"/>
      <c r="MMS48" s="7"/>
      <c r="MMT48" s="21"/>
      <c r="MMU48" s="20"/>
      <c r="MMV48" s="20"/>
      <c r="MMW48" s="20"/>
      <c r="MMX48" s="21"/>
      <c r="MMY48" s="21"/>
      <c r="MMZ48" s="21"/>
      <c r="MNA48" s="21"/>
      <c r="MNB48" s="21"/>
      <c r="MNC48" s="20"/>
      <c r="MND48" s="20"/>
      <c r="MNE48" s="20"/>
      <c r="MNF48" s="20"/>
      <c r="MNG48" s="21"/>
      <c r="MNH48" s="21"/>
      <c r="MNI48" s="7"/>
      <c r="MNJ48" s="7"/>
      <c r="MNK48" s="21"/>
      <c r="MNL48" s="20"/>
      <c r="MNM48" s="20"/>
      <c r="MNN48" s="20"/>
      <c r="MNO48" s="21"/>
      <c r="MNP48" s="21"/>
      <c r="MNQ48" s="21"/>
      <c r="MNR48" s="21"/>
      <c r="MNS48" s="21"/>
      <c r="MNT48" s="20"/>
      <c r="MNU48" s="20"/>
      <c r="MNV48" s="20"/>
      <c r="MNW48" s="20"/>
      <c r="MNX48" s="21"/>
      <c r="MNY48" s="21"/>
      <c r="MNZ48" s="7"/>
      <c r="MOA48" s="7"/>
      <c r="MOB48" s="21"/>
      <c r="MOC48" s="20"/>
      <c r="MOD48" s="20"/>
      <c r="MOE48" s="20"/>
      <c r="MOF48" s="21"/>
      <c r="MOG48" s="21"/>
      <c r="MOH48" s="21"/>
      <c r="MOI48" s="21"/>
      <c r="MOJ48" s="21"/>
      <c r="MOK48" s="20"/>
      <c r="MOL48" s="20"/>
      <c r="MOM48" s="20"/>
      <c r="MON48" s="20"/>
      <c r="MOO48" s="21"/>
      <c r="MOP48" s="21"/>
      <c r="MOQ48" s="7"/>
      <c r="MOR48" s="7"/>
      <c r="MOS48" s="21"/>
      <c r="MOT48" s="20"/>
      <c r="MOU48" s="20"/>
      <c r="MOV48" s="20"/>
      <c r="MOW48" s="21"/>
      <c r="MOX48" s="21"/>
      <c r="MOY48" s="21"/>
      <c r="MOZ48" s="21"/>
      <c r="MPA48" s="21"/>
      <c r="MPB48" s="20"/>
      <c r="MPC48" s="20"/>
      <c r="MPD48" s="20"/>
      <c r="MPE48" s="20"/>
      <c r="MPF48" s="21"/>
      <c r="MPG48" s="21"/>
      <c r="MPH48" s="7"/>
      <c r="MPI48" s="7"/>
      <c r="MPJ48" s="21"/>
      <c r="MPK48" s="20"/>
      <c r="MPL48" s="20"/>
      <c r="MPM48" s="20"/>
      <c r="MPN48" s="21"/>
      <c r="MPO48" s="21"/>
      <c r="MPP48" s="21"/>
      <c r="MPQ48" s="21"/>
      <c r="MPR48" s="21"/>
      <c r="MPS48" s="20"/>
      <c r="MPT48" s="20"/>
      <c r="MPU48" s="20"/>
      <c r="MPV48" s="20"/>
      <c r="MPW48" s="21"/>
      <c r="MPX48" s="21"/>
      <c r="MPY48" s="7"/>
      <c r="MPZ48" s="7"/>
      <c r="MQA48" s="21"/>
      <c r="MQB48" s="20"/>
      <c r="MQC48" s="20"/>
      <c r="MQD48" s="20"/>
      <c r="MQE48" s="21"/>
      <c r="MQF48" s="21"/>
      <c r="MQG48" s="21"/>
      <c r="MQH48" s="21"/>
      <c r="MQI48" s="21"/>
      <c r="MQJ48" s="20"/>
      <c r="MQK48" s="20"/>
      <c r="MQL48" s="20"/>
      <c r="MQM48" s="20"/>
      <c r="MQN48" s="21"/>
      <c r="MQO48" s="21"/>
      <c r="MQP48" s="7"/>
      <c r="MQQ48" s="7"/>
      <c r="MQR48" s="21"/>
      <c r="MQS48" s="20"/>
      <c r="MQT48" s="20"/>
      <c r="MQU48" s="20"/>
      <c r="MQV48" s="21"/>
      <c r="MQW48" s="21"/>
      <c r="MQX48" s="21"/>
      <c r="MQY48" s="21"/>
      <c r="MQZ48" s="21"/>
      <c r="MRA48" s="20"/>
      <c r="MRB48" s="20"/>
      <c r="MRC48" s="20"/>
      <c r="MRD48" s="20"/>
      <c r="MRE48" s="21"/>
      <c r="MRF48" s="21"/>
      <c r="MRG48" s="7"/>
      <c r="MRH48" s="7"/>
      <c r="MRI48" s="21"/>
      <c r="MRJ48" s="20"/>
      <c r="MRK48" s="20"/>
      <c r="MRL48" s="20"/>
      <c r="MRM48" s="21"/>
      <c r="MRN48" s="21"/>
      <c r="MRO48" s="21"/>
      <c r="MRP48" s="21"/>
      <c r="MRQ48" s="21"/>
      <c r="MRR48" s="20"/>
      <c r="MRS48" s="20"/>
      <c r="MRT48" s="20"/>
      <c r="MRU48" s="20"/>
      <c r="MRV48" s="21"/>
      <c r="MRW48" s="21"/>
      <c r="MRX48" s="7"/>
      <c r="MRY48" s="7"/>
      <c r="MRZ48" s="21"/>
      <c r="MSA48" s="20"/>
      <c r="MSB48" s="20"/>
      <c r="MSC48" s="20"/>
      <c r="MSD48" s="21"/>
      <c r="MSE48" s="21"/>
      <c r="MSF48" s="21"/>
      <c r="MSG48" s="21"/>
      <c r="MSH48" s="21"/>
      <c r="MSI48" s="20"/>
      <c r="MSJ48" s="20"/>
      <c r="MSK48" s="20"/>
      <c r="MSL48" s="20"/>
      <c r="MSM48" s="21"/>
      <c r="MSN48" s="21"/>
      <c r="MSO48" s="7"/>
      <c r="MSP48" s="7"/>
      <c r="MSQ48" s="21"/>
      <c r="MSR48" s="20"/>
      <c r="MSS48" s="20"/>
      <c r="MST48" s="20"/>
      <c r="MSU48" s="21"/>
      <c r="MSV48" s="21"/>
      <c r="MSW48" s="21"/>
      <c r="MSX48" s="21"/>
      <c r="MSY48" s="21"/>
      <c r="MSZ48" s="20"/>
      <c r="MTA48" s="20"/>
      <c r="MTB48" s="20"/>
      <c r="MTC48" s="20"/>
      <c r="MTD48" s="21"/>
      <c r="MTE48" s="21"/>
      <c r="MTF48" s="7"/>
      <c r="MTG48" s="7"/>
      <c r="MTH48" s="21"/>
      <c r="MTI48" s="20"/>
      <c r="MTJ48" s="20"/>
      <c r="MTK48" s="20"/>
      <c r="MTL48" s="21"/>
      <c r="MTM48" s="21"/>
      <c r="MTN48" s="21"/>
      <c r="MTO48" s="21"/>
      <c r="MTP48" s="21"/>
      <c r="MTQ48" s="20"/>
      <c r="MTR48" s="20"/>
      <c r="MTS48" s="20"/>
      <c r="MTT48" s="20"/>
      <c r="MTU48" s="21"/>
      <c r="MTV48" s="21"/>
      <c r="MTW48" s="7"/>
      <c r="MTX48" s="7"/>
      <c r="MTY48" s="21"/>
      <c r="MTZ48" s="20"/>
      <c r="MUA48" s="20"/>
      <c r="MUB48" s="20"/>
      <c r="MUC48" s="21"/>
      <c r="MUD48" s="21"/>
      <c r="MUE48" s="21"/>
      <c r="MUF48" s="21"/>
      <c r="MUG48" s="21"/>
      <c r="MUH48" s="20"/>
      <c r="MUI48" s="20"/>
      <c r="MUJ48" s="20"/>
      <c r="MUK48" s="20"/>
      <c r="MUL48" s="21"/>
      <c r="MUM48" s="21"/>
      <c r="MUN48" s="7"/>
      <c r="MUO48" s="7"/>
      <c r="MUP48" s="21"/>
      <c r="MUQ48" s="20"/>
      <c r="MUR48" s="20"/>
      <c r="MUS48" s="20"/>
      <c r="MUT48" s="21"/>
      <c r="MUU48" s="21"/>
      <c r="MUV48" s="21"/>
      <c r="MUW48" s="21"/>
      <c r="MUX48" s="21"/>
      <c r="MUY48" s="20"/>
      <c r="MUZ48" s="20"/>
      <c r="MVA48" s="20"/>
      <c r="MVB48" s="20"/>
      <c r="MVC48" s="21"/>
      <c r="MVD48" s="21"/>
      <c r="MVE48" s="7"/>
      <c r="MVF48" s="7"/>
      <c r="MVG48" s="21"/>
      <c r="MVH48" s="20"/>
      <c r="MVI48" s="20"/>
      <c r="MVJ48" s="20"/>
      <c r="MVK48" s="21"/>
      <c r="MVL48" s="21"/>
      <c r="MVM48" s="21"/>
      <c r="MVN48" s="21"/>
      <c r="MVO48" s="21"/>
      <c r="MVP48" s="20"/>
      <c r="MVQ48" s="20"/>
      <c r="MVR48" s="20"/>
      <c r="MVS48" s="20"/>
      <c r="MVT48" s="21"/>
      <c r="MVU48" s="21"/>
      <c r="MVV48" s="7"/>
      <c r="MVW48" s="7"/>
      <c r="MVX48" s="21"/>
      <c r="MVY48" s="20"/>
      <c r="MVZ48" s="20"/>
      <c r="MWA48" s="20"/>
      <c r="MWB48" s="21"/>
      <c r="MWC48" s="21"/>
      <c r="MWD48" s="21"/>
      <c r="MWE48" s="21"/>
      <c r="MWF48" s="21"/>
      <c r="MWG48" s="20"/>
      <c r="MWH48" s="20"/>
      <c r="MWI48" s="20"/>
      <c r="MWJ48" s="20"/>
      <c r="MWK48" s="21"/>
      <c r="MWL48" s="21"/>
      <c r="MWM48" s="7"/>
      <c r="MWN48" s="7"/>
      <c r="MWO48" s="21"/>
      <c r="MWP48" s="20"/>
      <c r="MWQ48" s="20"/>
      <c r="MWR48" s="20"/>
      <c r="MWS48" s="21"/>
      <c r="MWT48" s="21"/>
      <c r="MWU48" s="21"/>
      <c r="MWV48" s="21"/>
      <c r="MWW48" s="21"/>
      <c r="MWX48" s="20"/>
      <c r="MWY48" s="20"/>
      <c r="MWZ48" s="20"/>
      <c r="MXA48" s="20"/>
      <c r="MXB48" s="21"/>
      <c r="MXC48" s="21"/>
      <c r="MXD48" s="7"/>
      <c r="MXE48" s="7"/>
      <c r="MXF48" s="21"/>
      <c r="MXG48" s="20"/>
      <c r="MXH48" s="20"/>
      <c r="MXI48" s="20"/>
      <c r="MXJ48" s="21"/>
      <c r="MXK48" s="21"/>
      <c r="MXL48" s="21"/>
      <c r="MXM48" s="21"/>
      <c r="MXN48" s="21"/>
      <c r="MXO48" s="20"/>
      <c r="MXP48" s="20"/>
      <c r="MXQ48" s="20"/>
      <c r="MXR48" s="20"/>
      <c r="MXS48" s="21"/>
      <c r="MXT48" s="21"/>
      <c r="MXU48" s="7"/>
      <c r="MXV48" s="7"/>
      <c r="MXW48" s="21"/>
      <c r="MXX48" s="20"/>
      <c r="MXY48" s="20"/>
      <c r="MXZ48" s="20"/>
      <c r="MYA48" s="21"/>
      <c r="MYB48" s="21"/>
      <c r="MYC48" s="21"/>
      <c r="MYD48" s="21"/>
      <c r="MYE48" s="21"/>
      <c r="MYF48" s="20"/>
      <c r="MYG48" s="20"/>
      <c r="MYH48" s="20"/>
      <c r="MYI48" s="20"/>
      <c r="MYJ48" s="21"/>
      <c r="MYK48" s="21"/>
      <c r="MYL48" s="7"/>
      <c r="MYM48" s="7"/>
      <c r="MYN48" s="21"/>
      <c r="MYO48" s="20"/>
      <c r="MYP48" s="20"/>
      <c r="MYQ48" s="20"/>
      <c r="MYR48" s="21"/>
      <c r="MYS48" s="21"/>
      <c r="MYT48" s="21"/>
      <c r="MYU48" s="21"/>
      <c r="MYV48" s="21"/>
      <c r="MYW48" s="20"/>
      <c r="MYX48" s="20"/>
      <c r="MYY48" s="20"/>
      <c r="MYZ48" s="20"/>
      <c r="MZA48" s="21"/>
      <c r="MZB48" s="21"/>
      <c r="MZC48" s="7"/>
      <c r="MZD48" s="7"/>
      <c r="MZE48" s="21"/>
      <c r="MZF48" s="20"/>
      <c r="MZG48" s="20"/>
      <c r="MZH48" s="20"/>
      <c r="MZI48" s="21"/>
      <c r="MZJ48" s="21"/>
      <c r="MZK48" s="21"/>
      <c r="MZL48" s="21"/>
      <c r="MZM48" s="21"/>
      <c r="MZN48" s="20"/>
      <c r="MZO48" s="20"/>
      <c r="MZP48" s="20"/>
      <c r="MZQ48" s="20"/>
      <c r="MZR48" s="21"/>
      <c r="MZS48" s="21"/>
      <c r="MZT48" s="7"/>
      <c r="MZU48" s="7"/>
      <c r="MZV48" s="21"/>
      <c r="MZW48" s="20"/>
      <c r="MZX48" s="20"/>
      <c r="MZY48" s="20"/>
      <c r="MZZ48" s="21"/>
      <c r="NAA48" s="21"/>
      <c r="NAB48" s="21"/>
      <c r="NAC48" s="21"/>
      <c r="NAD48" s="21"/>
      <c r="NAE48" s="20"/>
      <c r="NAF48" s="20"/>
      <c r="NAG48" s="20"/>
      <c r="NAH48" s="20"/>
      <c r="NAI48" s="21"/>
      <c r="NAJ48" s="21"/>
      <c r="NAK48" s="7"/>
      <c r="NAL48" s="7"/>
      <c r="NAM48" s="21"/>
      <c r="NAN48" s="20"/>
      <c r="NAO48" s="20"/>
      <c r="NAP48" s="20"/>
      <c r="NAQ48" s="21"/>
      <c r="NAR48" s="21"/>
      <c r="NAS48" s="21"/>
      <c r="NAT48" s="21"/>
      <c r="NAU48" s="21"/>
      <c r="NAV48" s="20"/>
      <c r="NAW48" s="20"/>
      <c r="NAX48" s="20"/>
      <c r="NAY48" s="20"/>
      <c r="NAZ48" s="21"/>
      <c r="NBA48" s="21"/>
      <c r="NBB48" s="7"/>
      <c r="NBC48" s="7"/>
      <c r="NBD48" s="21"/>
      <c r="NBE48" s="20"/>
      <c r="NBF48" s="20"/>
      <c r="NBG48" s="20"/>
      <c r="NBH48" s="21"/>
      <c r="NBI48" s="21"/>
      <c r="NBJ48" s="21"/>
      <c r="NBK48" s="21"/>
      <c r="NBL48" s="21"/>
      <c r="NBM48" s="20"/>
      <c r="NBN48" s="20"/>
      <c r="NBO48" s="20"/>
      <c r="NBP48" s="20"/>
      <c r="NBQ48" s="21"/>
      <c r="NBR48" s="21"/>
      <c r="NBS48" s="7"/>
      <c r="NBT48" s="7"/>
      <c r="NBU48" s="21"/>
      <c r="NBV48" s="20"/>
      <c r="NBW48" s="20"/>
      <c r="NBX48" s="20"/>
      <c r="NBY48" s="21"/>
      <c r="NBZ48" s="21"/>
      <c r="NCA48" s="21"/>
      <c r="NCB48" s="21"/>
      <c r="NCC48" s="21"/>
      <c r="NCD48" s="20"/>
      <c r="NCE48" s="20"/>
      <c r="NCF48" s="20"/>
      <c r="NCG48" s="20"/>
      <c r="NCH48" s="21"/>
      <c r="NCI48" s="21"/>
      <c r="NCJ48" s="7"/>
      <c r="NCK48" s="7"/>
      <c r="NCL48" s="21"/>
      <c r="NCM48" s="20"/>
      <c r="NCN48" s="20"/>
      <c r="NCO48" s="20"/>
      <c r="NCP48" s="21"/>
      <c r="NCQ48" s="21"/>
      <c r="NCR48" s="21"/>
      <c r="NCS48" s="21"/>
      <c r="NCT48" s="21"/>
      <c r="NCU48" s="20"/>
      <c r="NCV48" s="20"/>
      <c r="NCW48" s="20"/>
      <c r="NCX48" s="20"/>
      <c r="NCY48" s="21"/>
      <c r="NCZ48" s="21"/>
      <c r="NDA48" s="7"/>
      <c r="NDB48" s="7"/>
      <c r="NDC48" s="21"/>
      <c r="NDD48" s="20"/>
      <c r="NDE48" s="20"/>
      <c r="NDF48" s="20"/>
      <c r="NDG48" s="21"/>
      <c r="NDH48" s="21"/>
      <c r="NDI48" s="21"/>
      <c r="NDJ48" s="21"/>
      <c r="NDK48" s="21"/>
      <c r="NDL48" s="20"/>
      <c r="NDM48" s="20"/>
      <c r="NDN48" s="20"/>
      <c r="NDO48" s="20"/>
      <c r="NDP48" s="21"/>
      <c r="NDQ48" s="21"/>
      <c r="NDR48" s="7"/>
      <c r="NDS48" s="7"/>
      <c r="NDT48" s="21"/>
      <c r="NDU48" s="20"/>
      <c r="NDV48" s="20"/>
      <c r="NDW48" s="20"/>
      <c r="NDX48" s="21"/>
      <c r="NDY48" s="21"/>
      <c r="NDZ48" s="21"/>
      <c r="NEA48" s="21"/>
      <c r="NEB48" s="21"/>
      <c r="NEC48" s="20"/>
      <c r="NED48" s="20"/>
      <c r="NEE48" s="20"/>
      <c r="NEF48" s="20"/>
      <c r="NEG48" s="21"/>
      <c r="NEH48" s="21"/>
      <c r="NEI48" s="7"/>
      <c r="NEJ48" s="7"/>
      <c r="NEK48" s="21"/>
      <c r="NEL48" s="20"/>
      <c r="NEM48" s="20"/>
      <c r="NEN48" s="20"/>
      <c r="NEO48" s="21"/>
      <c r="NEP48" s="21"/>
      <c r="NEQ48" s="21"/>
      <c r="NER48" s="21"/>
      <c r="NES48" s="21"/>
      <c r="NET48" s="20"/>
      <c r="NEU48" s="20"/>
      <c r="NEV48" s="20"/>
      <c r="NEW48" s="20"/>
      <c r="NEX48" s="21"/>
      <c r="NEY48" s="21"/>
      <c r="NEZ48" s="7"/>
      <c r="NFA48" s="7"/>
      <c r="NFB48" s="21"/>
      <c r="NFC48" s="20"/>
      <c r="NFD48" s="20"/>
      <c r="NFE48" s="20"/>
      <c r="NFF48" s="21"/>
      <c r="NFG48" s="21"/>
      <c r="NFH48" s="21"/>
      <c r="NFI48" s="21"/>
      <c r="NFJ48" s="21"/>
      <c r="NFK48" s="20"/>
      <c r="NFL48" s="20"/>
      <c r="NFM48" s="20"/>
      <c r="NFN48" s="20"/>
      <c r="NFO48" s="21"/>
      <c r="NFP48" s="21"/>
      <c r="NFQ48" s="7"/>
      <c r="NFR48" s="7"/>
      <c r="NFS48" s="21"/>
      <c r="NFT48" s="20"/>
      <c r="NFU48" s="20"/>
      <c r="NFV48" s="20"/>
      <c r="NFW48" s="21"/>
      <c r="NFX48" s="21"/>
      <c r="NFY48" s="21"/>
      <c r="NFZ48" s="21"/>
      <c r="NGA48" s="21"/>
      <c r="NGB48" s="20"/>
      <c r="NGC48" s="20"/>
      <c r="NGD48" s="20"/>
      <c r="NGE48" s="20"/>
      <c r="NGF48" s="21"/>
      <c r="NGG48" s="21"/>
      <c r="NGH48" s="7"/>
      <c r="NGI48" s="7"/>
      <c r="NGJ48" s="21"/>
      <c r="NGK48" s="20"/>
      <c r="NGL48" s="20"/>
      <c r="NGM48" s="20"/>
      <c r="NGN48" s="21"/>
      <c r="NGO48" s="21"/>
      <c r="NGP48" s="21"/>
      <c r="NGQ48" s="21"/>
      <c r="NGR48" s="21"/>
      <c r="NGS48" s="20"/>
      <c r="NGT48" s="20"/>
      <c r="NGU48" s="20"/>
      <c r="NGV48" s="20"/>
      <c r="NGW48" s="21"/>
      <c r="NGX48" s="21"/>
      <c r="NGY48" s="7"/>
      <c r="NGZ48" s="7"/>
      <c r="NHA48" s="21"/>
      <c r="NHB48" s="20"/>
      <c r="NHC48" s="20"/>
      <c r="NHD48" s="20"/>
      <c r="NHE48" s="21"/>
      <c r="NHF48" s="21"/>
      <c r="NHG48" s="21"/>
      <c r="NHH48" s="21"/>
      <c r="NHI48" s="21"/>
      <c r="NHJ48" s="20"/>
      <c r="NHK48" s="20"/>
      <c r="NHL48" s="20"/>
      <c r="NHM48" s="20"/>
      <c r="NHN48" s="21"/>
      <c r="NHO48" s="21"/>
      <c r="NHP48" s="7"/>
      <c r="NHQ48" s="7"/>
      <c r="NHR48" s="21"/>
      <c r="NHS48" s="20"/>
      <c r="NHT48" s="20"/>
      <c r="NHU48" s="20"/>
      <c r="NHV48" s="21"/>
      <c r="NHW48" s="21"/>
      <c r="NHX48" s="21"/>
      <c r="NHY48" s="21"/>
      <c r="NHZ48" s="21"/>
      <c r="NIA48" s="20"/>
      <c r="NIB48" s="20"/>
      <c r="NIC48" s="20"/>
      <c r="NID48" s="20"/>
      <c r="NIE48" s="21"/>
      <c r="NIF48" s="21"/>
      <c r="NIG48" s="7"/>
      <c r="NIH48" s="7"/>
      <c r="NII48" s="21"/>
      <c r="NIJ48" s="20"/>
      <c r="NIK48" s="20"/>
      <c r="NIL48" s="20"/>
      <c r="NIM48" s="21"/>
      <c r="NIN48" s="21"/>
      <c r="NIO48" s="21"/>
      <c r="NIP48" s="21"/>
      <c r="NIQ48" s="21"/>
      <c r="NIR48" s="20"/>
      <c r="NIS48" s="20"/>
      <c r="NIT48" s="20"/>
      <c r="NIU48" s="20"/>
      <c r="NIV48" s="21"/>
      <c r="NIW48" s="21"/>
      <c r="NIX48" s="7"/>
      <c r="NIY48" s="7"/>
      <c r="NIZ48" s="21"/>
      <c r="NJA48" s="20"/>
      <c r="NJB48" s="20"/>
      <c r="NJC48" s="20"/>
      <c r="NJD48" s="21"/>
      <c r="NJE48" s="21"/>
      <c r="NJF48" s="21"/>
      <c r="NJG48" s="21"/>
      <c r="NJH48" s="21"/>
      <c r="NJI48" s="20"/>
      <c r="NJJ48" s="20"/>
      <c r="NJK48" s="20"/>
      <c r="NJL48" s="20"/>
      <c r="NJM48" s="21"/>
      <c r="NJN48" s="21"/>
      <c r="NJO48" s="7"/>
      <c r="NJP48" s="7"/>
      <c r="NJQ48" s="21"/>
      <c r="NJR48" s="20"/>
      <c r="NJS48" s="20"/>
      <c r="NJT48" s="20"/>
      <c r="NJU48" s="21"/>
      <c r="NJV48" s="21"/>
      <c r="NJW48" s="21"/>
      <c r="NJX48" s="21"/>
      <c r="NJY48" s="21"/>
      <c r="NJZ48" s="20"/>
      <c r="NKA48" s="20"/>
      <c r="NKB48" s="20"/>
      <c r="NKC48" s="20"/>
      <c r="NKD48" s="21"/>
      <c r="NKE48" s="21"/>
      <c r="NKF48" s="7"/>
      <c r="NKG48" s="7"/>
      <c r="NKH48" s="21"/>
      <c r="NKI48" s="20"/>
      <c r="NKJ48" s="20"/>
      <c r="NKK48" s="20"/>
      <c r="NKL48" s="21"/>
      <c r="NKM48" s="21"/>
      <c r="NKN48" s="21"/>
      <c r="NKO48" s="21"/>
      <c r="NKP48" s="21"/>
      <c r="NKQ48" s="20"/>
      <c r="NKR48" s="20"/>
      <c r="NKS48" s="20"/>
      <c r="NKT48" s="20"/>
      <c r="NKU48" s="21"/>
      <c r="NKV48" s="21"/>
      <c r="NKW48" s="7"/>
      <c r="NKX48" s="7"/>
      <c r="NKY48" s="21"/>
      <c r="NKZ48" s="20"/>
      <c r="NLA48" s="20"/>
      <c r="NLB48" s="20"/>
      <c r="NLC48" s="21"/>
      <c r="NLD48" s="21"/>
      <c r="NLE48" s="21"/>
      <c r="NLF48" s="21"/>
      <c r="NLG48" s="21"/>
      <c r="NLH48" s="20"/>
      <c r="NLI48" s="20"/>
      <c r="NLJ48" s="20"/>
      <c r="NLK48" s="20"/>
      <c r="NLL48" s="21"/>
      <c r="NLM48" s="21"/>
      <c r="NLN48" s="7"/>
      <c r="NLO48" s="7"/>
      <c r="NLP48" s="21"/>
      <c r="NLQ48" s="20"/>
      <c r="NLR48" s="20"/>
      <c r="NLS48" s="20"/>
      <c r="NLT48" s="21"/>
      <c r="NLU48" s="21"/>
      <c r="NLV48" s="21"/>
      <c r="NLW48" s="21"/>
      <c r="NLX48" s="21"/>
      <c r="NLY48" s="20"/>
      <c r="NLZ48" s="20"/>
      <c r="NMA48" s="20"/>
      <c r="NMB48" s="20"/>
      <c r="NMC48" s="21"/>
      <c r="NMD48" s="21"/>
      <c r="NME48" s="7"/>
      <c r="NMF48" s="7"/>
      <c r="NMG48" s="21"/>
      <c r="NMH48" s="20"/>
      <c r="NMI48" s="20"/>
      <c r="NMJ48" s="20"/>
      <c r="NMK48" s="21"/>
      <c r="NML48" s="21"/>
      <c r="NMM48" s="21"/>
      <c r="NMN48" s="21"/>
      <c r="NMO48" s="21"/>
      <c r="NMP48" s="20"/>
      <c r="NMQ48" s="20"/>
      <c r="NMR48" s="20"/>
      <c r="NMS48" s="20"/>
      <c r="NMT48" s="21"/>
      <c r="NMU48" s="21"/>
      <c r="NMV48" s="7"/>
      <c r="NMW48" s="7"/>
      <c r="NMX48" s="21"/>
      <c r="NMY48" s="20"/>
      <c r="NMZ48" s="20"/>
      <c r="NNA48" s="20"/>
      <c r="NNB48" s="21"/>
      <c r="NNC48" s="21"/>
      <c r="NND48" s="21"/>
      <c r="NNE48" s="21"/>
      <c r="NNF48" s="21"/>
      <c r="NNG48" s="20"/>
      <c r="NNH48" s="20"/>
      <c r="NNI48" s="20"/>
      <c r="NNJ48" s="20"/>
      <c r="NNK48" s="21"/>
      <c r="NNL48" s="21"/>
      <c r="NNM48" s="7"/>
      <c r="NNN48" s="7"/>
      <c r="NNO48" s="21"/>
      <c r="NNP48" s="20"/>
      <c r="NNQ48" s="20"/>
      <c r="NNR48" s="20"/>
      <c r="NNS48" s="21"/>
      <c r="NNT48" s="21"/>
      <c r="NNU48" s="21"/>
      <c r="NNV48" s="21"/>
      <c r="NNW48" s="21"/>
      <c r="NNX48" s="20"/>
      <c r="NNY48" s="20"/>
      <c r="NNZ48" s="20"/>
      <c r="NOA48" s="20"/>
      <c r="NOB48" s="21"/>
      <c r="NOC48" s="21"/>
      <c r="NOD48" s="7"/>
      <c r="NOE48" s="7"/>
      <c r="NOF48" s="21"/>
      <c r="NOG48" s="20"/>
      <c r="NOH48" s="20"/>
      <c r="NOI48" s="20"/>
      <c r="NOJ48" s="21"/>
      <c r="NOK48" s="21"/>
      <c r="NOL48" s="21"/>
      <c r="NOM48" s="21"/>
      <c r="NON48" s="21"/>
      <c r="NOO48" s="20"/>
      <c r="NOP48" s="20"/>
      <c r="NOQ48" s="20"/>
      <c r="NOR48" s="20"/>
      <c r="NOS48" s="21"/>
      <c r="NOT48" s="21"/>
      <c r="NOU48" s="7"/>
      <c r="NOV48" s="7"/>
      <c r="NOW48" s="21"/>
      <c r="NOX48" s="20"/>
      <c r="NOY48" s="20"/>
      <c r="NOZ48" s="20"/>
      <c r="NPA48" s="21"/>
      <c r="NPB48" s="21"/>
      <c r="NPC48" s="21"/>
      <c r="NPD48" s="21"/>
      <c r="NPE48" s="21"/>
      <c r="NPF48" s="20"/>
      <c r="NPG48" s="20"/>
      <c r="NPH48" s="20"/>
      <c r="NPI48" s="20"/>
      <c r="NPJ48" s="21"/>
      <c r="NPK48" s="21"/>
      <c r="NPL48" s="7"/>
      <c r="NPM48" s="7"/>
      <c r="NPN48" s="21"/>
      <c r="NPO48" s="20"/>
      <c r="NPP48" s="20"/>
      <c r="NPQ48" s="20"/>
      <c r="NPR48" s="21"/>
      <c r="NPS48" s="21"/>
      <c r="NPT48" s="21"/>
      <c r="NPU48" s="21"/>
      <c r="NPV48" s="21"/>
      <c r="NPW48" s="20"/>
      <c r="NPX48" s="20"/>
      <c r="NPY48" s="20"/>
      <c r="NPZ48" s="20"/>
      <c r="NQA48" s="21"/>
      <c r="NQB48" s="21"/>
      <c r="NQC48" s="7"/>
      <c r="NQD48" s="7"/>
      <c r="NQE48" s="21"/>
      <c r="NQF48" s="20"/>
      <c r="NQG48" s="20"/>
      <c r="NQH48" s="20"/>
      <c r="NQI48" s="21"/>
      <c r="NQJ48" s="21"/>
      <c r="NQK48" s="21"/>
      <c r="NQL48" s="21"/>
      <c r="NQM48" s="21"/>
      <c r="NQN48" s="20"/>
      <c r="NQO48" s="20"/>
      <c r="NQP48" s="20"/>
      <c r="NQQ48" s="20"/>
      <c r="NQR48" s="21"/>
      <c r="NQS48" s="21"/>
      <c r="NQT48" s="7"/>
      <c r="NQU48" s="7"/>
      <c r="NQV48" s="21"/>
      <c r="NQW48" s="20"/>
      <c r="NQX48" s="20"/>
      <c r="NQY48" s="20"/>
      <c r="NQZ48" s="21"/>
      <c r="NRA48" s="21"/>
      <c r="NRB48" s="21"/>
      <c r="NRC48" s="21"/>
      <c r="NRD48" s="21"/>
      <c r="NRE48" s="20"/>
      <c r="NRF48" s="20"/>
      <c r="NRG48" s="20"/>
      <c r="NRH48" s="20"/>
      <c r="NRI48" s="21"/>
      <c r="NRJ48" s="21"/>
      <c r="NRK48" s="7"/>
      <c r="NRL48" s="7"/>
      <c r="NRM48" s="21"/>
      <c r="NRN48" s="20"/>
      <c r="NRO48" s="20"/>
      <c r="NRP48" s="20"/>
      <c r="NRQ48" s="21"/>
      <c r="NRR48" s="21"/>
      <c r="NRS48" s="21"/>
      <c r="NRT48" s="21"/>
      <c r="NRU48" s="21"/>
      <c r="NRV48" s="20"/>
      <c r="NRW48" s="20"/>
      <c r="NRX48" s="20"/>
      <c r="NRY48" s="20"/>
      <c r="NRZ48" s="21"/>
      <c r="NSA48" s="21"/>
      <c r="NSB48" s="7"/>
      <c r="NSC48" s="7"/>
      <c r="NSD48" s="21"/>
      <c r="NSE48" s="20"/>
      <c r="NSF48" s="20"/>
      <c r="NSG48" s="20"/>
      <c r="NSH48" s="21"/>
      <c r="NSI48" s="21"/>
      <c r="NSJ48" s="21"/>
      <c r="NSK48" s="21"/>
      <c r="NSL48" s="21"/>
      <c r="NSM48" s="20"/>
      <c r="NSN48" s="20"/>
      <c r="NSO48" s="20"/>
      <c r="NSP48" s="20"/>
      <c r="NSQ48" s="21"/>
      <c r="NSR48" s="21"/>
      <c r="NSS48" s="7"/>
      <c r="NST48" s="7"/>
      <c r="NSU48" s="21"/>
      <c r="NSV48" s="20"/>
      <c r="NSW48" s="20"/>
      <c r="NSX48" s="20"/>
      <c r="NSY48" s="21"/>
      <c r="NSZ48" s="21"/>
      <c r="NTA48" s="21"/>
      <c r="NTB48" s="21"/>
      <c r="NTC48" s="21"/>
      <c r="NTD48" s="20"/>
      <c r="NTE48" s="20"/>
      <c r="NTF48" s="20"/>
      <c r="NTG48" s="20"/>
      <c r="NTH48" s="21"/>
      <c r="NTI48" s="21"/>
      <c r="NTJ48" s="7"/>
      <c r="NTK48" s="7"/>
      <c r="NTL48" s="21"/>
      <c r="NTM48" s="20"/>
      <c r="NTN48" s="20"/>
      <c r="NTO48" s="20"/>
      <c r="NTP48" s="21"/>
      <c r="NTQ48" s="21"/>
      <c r="NTR48" s="21"/>
      <c r="NTS48" s="21"/>
      <c r="NTT48" s="21"/>
      <c r="NTU48" s="20"/>
      <c r="NTV48" s="20"/>
      <c r="NTW48" s="20"/>
      <c r="NTX48" s="20"/>
      <c r="NTY48" s="21"/>
      <c r="NTZ48" s="21"/>
      <c r="NUA48" s="7"/>
      <c r="NUB48" s="7"/>
      <c r="NUC48" s="21"/>
      <c r="NUD48" s="20"/>
      <c r="NUE48" s="20"/>
      <c r="NUF48" s="20"/>
      <c r="NUG48" s="21"/>
      <c r="NUH48" s="21"/>
      <c r="NUI48" s="21"/>
      <c r="NUJ48" s="21"/>
      <c r="NUK48" s="21"/>
      <c r="NUL48" s="20"/>
      <c r="NUM48" s="20"/>
      <c r="NUN48" s="20"/>
      <c r="NUO48" s="20"/>
      <c r="NUP48" s="21"/>
      <c r="NUQ48" s="21"/>
      <c r="NUR48" s="7"/>
      <c r="NUS48" s="7"/>
      <c r="NUT48" s="21"/>
      <c r="NUU48" s="20"/>
      <c r="NUV48" s="20"/>
      <c r="NUW48" s="20"/>
      <c r="NUX48" s="21"/>
      <c r="NUY48" s="21"/>
      <c r="NUZ48" s="21"/>
      <c r="NVA48" s="21"/>
      <c r="NVB48" s="21"/>
      <c r="NVC48" s="20"/>
      <c r="NVD48" s="20"/>
      <c r="NVE48" s="20"/>
      <c r="NVF48" s="20"/>
      <c r="NVG48" s="21"/>
      <c r="NVH48" s="21"/>
      <c r="NVI48" s="7"/>
      <c r="NVJ48" s="7"/>
      <c r="NVK48" s="21"/>
      <c r="NVL48" s="20"/>
      <c r="NVM48" s="20"/>
      <c r="NVN48" s="20"/>
      <c r="NVO48" s="21"/>
      <c r="NVP48" s="21"/>
      <c r="NVQ48" s="21"/>
      <c r="NVR48" s="21"/>
      <c r="NVS48" s="21"/>
      <c r="NVT48" s="20"/>
      <c r="NVU48" s="20"/>
      <c r="NVV48" s="20"/>
      <c r="NVW48" s="20"/>
      <c r="NVX48" s="21"/>
      <c r="NVY48" s="21"/>
      <c r="NVZ48" s="7"/>
      <c r="NWA48" s="7"/>
      <c r="NWB48" s="21"/>
      <c r="NWC48" s="20"/>
      <c r="NWD48" s="20"/>
      <c r="NWE48" s="20"/>
      <c r="NWF48" s="21"/>
      <c r="NWG48" s="21"/>
      <c r="NWH48" s="21"/>
      <c r="NWI48" s="21"/>
      <c r="NWJ48" s="21"/>
      <c r="NWK48" s="20"/>
      <c r="NWL48" s="20"/>
      <c r="NWM48" s="20"/>
      <c r="NWN48" s="20"/>
      <c r="NWO48" s="21"/>
      <c r="NWP48" s="21"/>
      <c r="NWQ48" s="7"/>
      <c r="NWR48" s="7"/>
      <c r="NWS48" s="21"/>
      <c r="NWT48" s="20"/>
      <c r="NWU48" s="20"/>
      <c r="NWV48" s="20"/>
      <c r="NWW48" s="21"/>
      <c r="NWX48" s="21"/>
      <c r="NWY48" s="21"/>
      <c r="NWZ48" s="21"/>
      <c r="NXA48" s="21"/>
      <c r="NXB48" s="20"/>
      <c r="NXC48" s="20"/>
      <c r="NXD48" s="20"/>
      <c r="NXE48" s="20"/>
      <c r="NXF48" s="21"/>
      <c r="NXG48" s="21"/>
      <c r="NXH48" s="7"/>
      <c r="NXI48" s="7"/>
      <c r="NXJ48" s="21"/>
      <c r="NXK48" s="20"/>
      <c r="NXL48" s="20"/>
      <c r="NXM48" s="20"/>
      <c r="NXN48" s="21"/>
      <c r="NXO48" s="21"/>
      <c r="NXP48" s="21"/>
      <c r="NXQ48" s="21"/>
      <c r="NXR48" s="21"/>
      <c r="NXS48" s="20"/>
      <c r="NXT48" s="20"/>
      <c r="NXU48" s="20"/>
      <c r="NXV48" s="20"/>
      <c r="NXW48" s="21"/>
      <c r="NXX48" s="21"/>
      <c r="NXY48" s="7"/>
      <c r="NXZ48" s="7"/>
      <c r="NYA48" s="21"/>
      <c r="NYB48" s="20"/>
      <c r="NYC48" s="20"/>
      <c r="NYD48" s="20"/>
      <c r="NYE48" s="21"/>
      <c r="NYF48" s="21"/>
      <c r="NYG48" s="21"/>
      <c r="NYH48" s="21"/>
      <c r="NYI48" s="21"/>
      <c r="NYJ48" s="20"/>
      <c r="NYK48" s="20"/>
      <c r="NYL48" s="20"/>
      <c r="NYM48" s="20"/>
      <c r="NYN48" s="21"/>
      <c r="NYO48" s="21"/>
      <c r="NYP48" s="7"/>
      <c r="NYQ48" s="7"/>
      <c r="NYR48" s="21"/>
      <c r="NYS48" s="20"/>
      <c r="NYT48" s="20"/>
      <c r="NYU48" s="20"/>
      <c r="NYV48" s="21"/>
      <c r="NYW48" s="21"/>
      <c r="NYX48" s="21"/>
      <c r="NYY48" s="21"/>
      <c r="NYZ48" s="21"/>
      <c r="NZA48" s="20"/>
      <c r="NZB48" s="20"/>
      <c r="NZC48" s="20"/>
      <c r="NZD48" s="20"/>
      <c r="NZE48" s="21"/>
      <c r="NZF48" s="21"/>
      <c r="NZG48" s="7"/>
      <c r="NZH48" s="7"/>
      <c r="NZI48" s="21"/>
      <c r="NZJ48" s="20"/>
      <c r="NZK48" s="20"/>
      <c r="NZL48" s="20"/>
      <c r="NZM48" s="21"/>
      <c r="NZN48" s="21"/>
      <c r="NZO48" s="21"/>
      <c r="NZP48" s="21"/>
      <c r="NZQ48" s="21"/>
      <c r="NZR48" s="20"/>
      <c r="NZS48" s="20"/>
      <c r="NZT48" s="20"/>
      <c r="NZU48" s="20"/>
      <c r="NZV48" s="21"/>
      <c r="NZW48" s="21"/>
      <c r="NZX48" s="7"/>
      <c r="NZY48" s="7"/>
      <c r="NZZ48" s="21"/>
      <c r="OAA48" s="20"/>
      <c r="OAB48" s="20"/>
      <c r="OAC48" s="20"/>
      <c r="OAD48" s="21"/>
      <c r="OAE48" s="21"/>
      <c r="OAF48" s="21"/>
      <c r="OAG48" s="21"/>
      <c r="OAH48" s="21"/>
      <c r="OAI48" s="20"/>
      <c r="OAJ48" s="20"/>
      <c r="OAK48" s="20"/>
      <c r="OAL48" s="20"/>
      <c r="OAM48" s="21"/>
      <c r="OAN48" s="21"/>
      <c r="OAO48" s="7"/>
      <c r="OAP48" s="7"/>
      <c r="OAQ48" s="21"/>
      <c r="OAR48" s="20"/>
      <c r="OAS48" s="20"/>
      <c r="OAT48" s="20"/>
      <c r="OAU48" s="21"/>
      <c r="OAV48" s="21"/>
      <c r="OAW48" s="21"/>
      <c r="OAX48" s="21"/>
      <c r="OAY48" s="21"/>
      <c r="OAZ48" s="20"/>
      <c r="OBA48" s="20"/>
      <c r="OBB48" s="20"/>
      <c r="OBC48" s="20"/>
      <c r="OBD48" s="21"/>
      <c r="OBE48" s="21"/>
      <c r="OBF48" s="7"/>
      <c r="OBG48" s="7"/>
      <c r="OBH48" s="21"/>
      <c r="OBI48" s="20"/>
      <c r="OBJ48" s="20"/>
      <c r="OBK48" s="20"/>
      <c r="OBL48" s="21"/>
      <c r="OBM48" s="21"/>
      <c r="OBN48" s="21"/>
      <c r="OBO48" s="21"/>
      <c r="OBP48" s="21"/>
      <c r="OBQ48" s="20"/>
      <c r="OBR48" s="20"/>
      <c r="OBS48" s="20"/>
      <c r="OBT48" s="20"/>
      <c r="OBU48" s="21"/>
      <c r="OBV48" s="21"/>
      <c r="OBW48" s="7"/>
      <c r="OBX48" s="7"/>
      <c r="OBY48" s="21"/>
      <c r="OBZ48" s="20"/>
      <c r="OCA48" s="20"/>
      <c r="OCB48" s="20"/>
      <c r="OCC48" s="21"/>
      <c r="OCD48" s="21"/>
      <c r="OCE48" s="21"/>
      <c r="OCF48" s="21"/>
      <c r="OCG48" s="21"/>
      <c r="OCH48" s="20"/>
      <c r="OCI48" s="20"/>
      <c r="OCJ48" s="20"/>
      <c r="OCK48" s="20"/>
      <c r="OCL48" s="21"/>
      <c r="OCM48" s="21"/>
      <c r="OCN48" s="7"/>
      <c r="OCO48" s="7"/>
      <c r="OCP48" s="21"/>
      <c r="OCQ48" s="20"/>
      <c r="OCR48" s="20"/>
      <c r="OCS48" s="20"/>
      <c r="OCT48" s="21"/>
      <c r="OCU48" s="21"/>
      <c r="OCV48" s="21"/>
      <c r="OCW48" s="21"/>
      <c r="OCX48" s="21"/>
      <c r="OCY48" s="20"/>
      <c r="OCZ48" s="20"/>
      <c r="ODA48" s="20"/>
      <c r="ODB48" s="20"/>
      <c r="ODC48" s="21"/>
      <c r="ODD48" s="21"/>
      <c r="ODE48" s="7"/>
      <c r="ODF48" s="7"/>
      <c r="ODG48" s="21"/>
      <c r="ODH48" s="20"/>
      <c r="ODI48" s="20"/>
      <c r="ODJ48" s="20"/>
      <c r="ODK48" s="21"/>
      <c r="ODL48" s="21"/>
      <c r="ODM48" s="21"/>
      <c r="ODN48" s="21"/>
      <c r="ODO48" s="21"/>
      <c r="ODP48" s="20"/>
      <c r="ODQ48" s="20"/>
      <c r="ODR48" s="20"/>
      <c r="ODS48" s="20"/>
      <c r="ODT48" s="21"/>
      <c r="ODU48" s="21"/>
      <c r="ODV48" s="7"/>
      <c r="ODW48" s="7"/>
      <c r="ODX48" s="21"/>
      <c r="ODY48" s="20"/>
      <c r="ODZ48" s="20"/>
      <c r="OEA48" s="20"/>
      <c r="OEB48" s="21"/>
      <c r="OEC48" s="21"/>
      <c r="OED48" s="21"/>
      <c r="OEE48" s="21"/>
      <c r="OEF48" s="21"/>
      <c r="OEG48" s="20"/>
      <c r="OEH48" s="20"/>
      <c r="OEI48" s="20"/>
      <c r="OEJ48" s="20"/>
      <c r="OEK48" s="21"/>
      <c r="OEL48" s="21"/>
      <c r="OEM48" s="7"/>
      <c r="OEN48" s="7"/>
      <c r="OEO48" s="21"/>
      <c r="OEP48" s="20"/>
      <c r="OEQ48" s="20"/>
      <c r="OER48" s="20"/>
      <c r="OES48" s="21"/>
      <c r="OET48" s="21"/>
      <c r="OEU48" s="21"/>
      <c r="OEV48" s="21"/>
      <c r="OEW48" s="21"/>
      <c r="OEX48" s="20"/>
      <c r="OEY48" s="20"/>
      <c r="OEZ48" s="20"/>
      <c r="OFA48" s="20"/>
      <c r="OFB48" s="21"/>
      <c r="OFC48" s="21"/>
      <c r="OFD48" s="7"/>
      <c r="OFE48" s="7"/>
      <c r="OFF48" s="21"/>
      <c r="OFG48" s="20"/>
      <c r="OFH48" s="20"/>
      <c r="OFI48" s="20"/>
      <c r="OFJ48" s="21"/>
      <c r="OFK48" s="21"/>
      <c r="OFL48" s="21"/>
      <c r="OFM48" s="21"/>
      <c r="OFN48" s="21"/>
      <c r="OFO48" s="20"/>
      <c r="OFP48" s="20"/>
      <c r="OFQ48" s="20"/>
      <c r="OFR48" s="20"/>
      <c r="OFS48" s="21"/>
      <c r="OFT48" s="21"/>
      <c r="OFU48" s="7"/>
      <c r="OFV48" s="7"/>
      <c r="OFW48" s="21"/>
      <c r="OFX48" s="20"/>
      <c r="OFY48" s="20"/>
      <c r="OFZ48" s="20"/>
      <c r="OGA48" s="21"/>
      <c r="OGB48" s="21"/>
      <c r="OGC48" s="21"/>
      <c r="OGD48" s="21"/>
      <c r="OGE48" s="21"/>
      <c r="OGF48" s="20"/>
      <c r="OGG48" s="20"/>
      <c r="OGH48" s="20"/>
      <c r="OGI48" s="20"/>
      <c r="OGJ48" s="21"/>
      <c r="OGK48" s="21"/>
      <c r="OGL48" s="7"/>
      <c r="OGM48" s="7"/>
      <c r="OGN48" s="21"/>
      <c r="OGO48" s="20"/>
      <c r="OGP48" s="20"/>
      <c r="OGQ48" s="20"/>
      <c r="OGR48" s="21"/>
      <c r="OGS48" s="21"/>
      <c r="OGT48" s="21"/>
      <c r="OGU48" s="21"/>
      <c r="OGV48" s="21"/>
      <c r="OGW48" s="20"/>
      <c r="OGX48" s="20"/>
      <c r="OGY48" s="20"/>
      <c r="OGZ48" s="20"/>
      <c r="OHA48" s="21"/>
      <c r="OHB48" s="21"/>
      <c r="OHC48" s="7"/>
      <c r="OHD48" s="7"/>
      <c r="OHE48" s="21"/>
      <c r="OHF48" s="20"/>
      <c r="OHG48" s="20"/>
      <c r="OHH48" s="20"/>
      <c r="OHI48" s="21"/>
      <c r="OHJ48" s="21"/>
      <c r="OHK48" s="21"/>
      <c r="OHL48" s="21"/>
      <c r="OHM48" s="21"/>
      <c r="OHN48" s="20"/>
      <c r="OHO48" s="20"/>
      <c r="OHP48" s="20"/>
      <c r="OHQ48" s="20"/>
      <c r="OHR48" s="21"/>
      <c r="OHS48" s="21"/>
      <c r="OHT48" s="7"/>
      <c r="OHU48" s="7"/>
      <c r="OHV48" s="21"/>
      <c r="OHW48" s="20"/>
      <c r="OHX48" s="20"/>
      <c r="OHY48" s="20"/>
      <c r="OHZ48" s="21"/>
      <c r="OIA48" s="21"/>
      <c r="OIB48" s="21"/>
      <c r="OIC48" s="21"/>
      <c r="OID48" s="21"/>
      <c r="OIE48" s="20"/>
      <c r="OIF48" s="20"/>
      <c r="OIG48" s="20"/>
      <c r="OIH48" s="20"/>
      <c r="OII48" s="21"/>
      <c r="OIJ48" s="21"/>
      <c r="OIK48" s="7"/>
      <c r="OIL48" s="7"/>
      <c r="OIM48" s="21"/>
      <c r="OIN48" s="20"/>
      <c r="OIO48" s="20"/>
      <c r="OIP48" s="20"/>
      <c r="OIQ48" s="21"/>
      <c r="OIR48" s="21"/>
      <c r="OIS48" s="21"/>
      <c r="OIT48" s="21"/>
      <c r="OIU48" s="21"/>
      <c r="OIV48" s="20"/>
      <c r="OIW48" s="20"/>
      <c r="OIX48" s="20"/>
      <c r="OIY48" s="20"/>
      <c r="OIZ48" s="21"/>
      <c r="OJA48" s="21"/>
      <c r="OJB48" s="7"/>
      <c r="OJC48" s="7"/>
      <c r="OJD48" s="21"/>
      <c r="OJE48" s="20"/>
      <c r="OJF48" s="20"/>
      <c r="OJG48" s="20"/>
      <c r="OJH48" s="21"/>
      <c r="OJI48" s="21"/>
      <c r="OJJ48" s="21"/>
      <c r="OJK48" s="21"/>
      <c r="OJL48" s="21"/>
      <c r="OJM48" s="20"/>
      <c r="OJN48" s="20"/>
      <c r="OJO48" s="20"/>
      <c r="OJP48" s="20"/>
      <c r="OJQ48" s="21"/>
      <c r="OJR48" s="21"/>
      <c r="OJS48" s="7"/>
      <c r="OJT48" s="7"/>
      <c r="OJU48" s="21"/>
      <c r="OJV48" s="20"/>
      <c r="OJW48" s="20"/>
      <c r="OJX48" s="20"/>
      <c r="OJY48" s="21"/>
      <c r="OJZ48" s="21"/>
      <c r="OKA48" s="21"/>
      <c r="OKB48" s="21"/>
      <c r="OKC48" s="21"/>
      <c r="OKD48" s="20"/>
      <c r="OKE48" s="20"/>
      <c r="OKF48" s="20"/>
      <c r="OKG48" s="20"/>
      <c r="OKH48" s="21"/>
      <c r="OKI48" s="21"/>
      <c r="OKJ48" s="7"/>
      <c r="OKK48" s="7"/>
      <c r="OKL48" s="21"/>
      <c r="OKM48" s="20"/>
      <c r="OKN48" s="20"/>
      <c r="OKO48" s="20"/>
      <c r="OKP48" s="21"/>
      <c r="OKQ48" s="21"/>
      <c r="OKR48" s="21"/>
      <c r="OKS48" s="21"/>
      <c r="OKT48" s="21"/>
      <c r="OKU48" s="20"/>
      <c r="OKV48" s="20"/>
      <c r="OKW48" s="20"/>
      <c r="OKX48" s="20"/>
      <c r="OKY48" s="21"/>
      <c r="OKZ48" s="21"/>
      <c r="OLA48" s="7"/>
      <c r="OLB48" s="7"/>
      <c r="OLC48" s="21"/>
      <c r="OLD48" s="20"/>
      <c r="OLE48" s="20"/>
      <c r="OLF48" s="20"/>
      <c r="OLG48" s="21"/>
      <c r="OLH48" s="21"/>
      <c r="OLI48" s="21"/>
      <c r="OLJ48" s="21"/>
      <c r="OLK48" s="21"/>
      <c r="OLL48" s="20"/>
      <c r="OLM48" s="20"/>
      <c r="OLN48" s="20"/>
      <c r="OLO48" s="20"/>
      <c r="OLP48" s="21"/>
      <c r="OLQ48" s="21"/>
      <c r="OLR48" s="7"/>
      <c r="OLS48" s="7"/>
      <c r="OLT48" s="21"/>
      <c r="OLU48" s="20"/>
      <c r="OLV48" s="20"/>
      <c r="OLW48" s="20"/>
      <c r="OLX48" s="21"/>
      <c r="OLY48" s="21"/>
      <c r="OLZ48" s="21"/>
      <c r="OMA48" s="21"/>
      <c r="OMB48" s="21"/>
      <c r="OMC48" s="20"/>
      <c r="OMD48" s="20"/>
      <c r="OME48" s="20"/>
      <c r="OMF48" s="20"/>
      <c r="OMG48" s="21"/>
      <c r="OMH48" s="21"/>
      <c r="OMI48" s="7"/>
      <c r="OMJ48" s="7"/>
      <c r="OMK48" s="21"/>
      <c r="OML48" s="20"/>
      <c r="OMM48" s="20"/>
      <c r="OMN48" s="20"/>
      <c r="OMO48" s="21"/>
      <c r="OMP48" s="21"/>
      <c r="OMQ48" s="21"/>
      <c r="OMR48" s="21"/>
      <c r="OMS48" s="21"/>
      <c r="OMT48" s="20"/>
      <c r="OMU48" s="20"/>
      <c r="OMV48" s="20"/>
      <c r="OMW48" s="20"/>
      <c r="OMX48" s="21"/>
      <c r="OMY48" s="21"/>
      <c r="OMZ48" s="7"/>
      <c r="ONA48" s="7"/>
      <c r="ONB48" s="21"/>
      <c r="ONC48" s="20"/>
      <c r="OND48" s="20"/>
      <c r="ONE48" s="20"/>
      <c r="ONF48" s="21"/>
      <c r="ONG48" s="21"/>
      <c r="ONH48" s="21"/>
      <c r="ONI48" s="21"/>
      <c r="ONJ48" s="21"/>
      <c r="ONK48" s="20"/>
      <c r="ONL48" s="20"/>
      <c r="ONM48" s="20"/>
      <c r="ONN48" s="20"/>
      <c r="ONO48" s="21"/>
      <c r="ONP48" s="21"/>
      <c r="ONQ48" s="7"/>
      <c r="ONR48" s="7"/>
      <c r="ONS48" s="21"/>
      <c r="ONT48" s="20"/>
      <c r="ONU48" s="20"/>
      <c r="ONV48" s="20"/>
      <c r="ONW48" s="21"/>
      <c r="ONX48" s="21"/>
      <c r="ONY48" s="21"/>
      <c r="ONZ48" s="21"/>
      <c r="OOA48" s="21"/>
      <c r="OOB48" s="20"/>
      <c r="OOC48" s="20"/>
      <c r="OOD48" s="20"/>
      <c r="OOE48" s="20"/>
      <c r="OOF48" s="21"/>
      <c r="OOG48" s="21"/>
      <c r="OOH48" s="7"/>
      <c r="OOI48" s="7"/>
      <c r="OOJ48" s="21"/>
      <c r="OOK48" s="20"/>
      <c r="OOL48" s="20"/>
      <c r="OOM48" s="20"/>
      <c r="OON48" s="21"/>
      <c r="OOO48" s="21"/>
      <c r="OOP48" s="21"/>
      <c r="OOQ48" s="21"/>
      <c r="OOR48" s="21"/>
      <c r="OOS48" s="20"/>
      <c r="OOT48" s="20"/>
      <c r="OOU48" s="20"/>
      <c r="OOV48" s="20"/>
      <c r="OOW48" s="21"/>
      <c r="OOX48" s="21"/>
      <c r="OOY48" s="7"/>
      <c r="OOZ48" s="7"/>
      <c r="OPA48" s="21"/>
      <c r="OPB48" s="20"/>
      <c r="OPC48" s="20"/>
      <c r="OPD48" s="20"/>
      <c r="OPE48" s="21"/>
      <c r="OPF48" s="21"/>
      <c r="OPG48" s="21"/>
      <c r="OPH48" s="21"/>
      <c r="OPI48" s="21"/>
      <c r="OPJ48" s="20"/>
      <c r="OPK48" s="20"/>
      <c r="OPL48" s="20"/>
      <c r="OPM48" s="20"/>
      <c r="OPN48" s="21"/>
      <c r="OPO48" s="21"/>
      <c r="OPP48" s="7"/>
      <c r="OPQ48" s="7"/>
      <c r="OPR48" s="21"/>
      <c r="OPS48" s="20"/>
      <c r="OPT48" s="20"/>
      <c r="OPU48" s="20"/>
      <c r="OPV48" s="21"/>
      <c r="OPW48" s="21"/>
      <c r="OPX48" s="21"/>
      <c r="OPY48" s="21"/>
      <c r="OPZ48" s="21"/>
      <c r="OQA48" s="20"/>
      <c r="OQB48" s="20"/>
      <c r="OQC48" s="20"/>
      <c r="OQD48" s="20"/>
      <c r="OQE48" s="21"/>
      <c r="OQF48" s="21"/>
      <c r="OQG48" s="7"/>
      <c r="OQH48" s="7"/>
      <c r="OQI48" s="21"/>
      <c r="OQJ48" s="20"/>
      <c r="OQK48" s="20"/>
      <c r="OQL48" s="20"/>
      <c r="OQM48" s="21"/>
      <c r="OQN48" s="21"/>
      <c r="OQO48" s="21"/>
      <c r="OQP48" s="21"/>
      <c r="OQQ48" s="21"/>
      <c r="OQR48" s="20"/>
      <c r="OQS48" s="20"/>
      <c r="OQT48" s="20"/>
      <c r="OQU48" s="20"/>
      <c r="OQV48" s="21"/>
      <c r="OQW48" s="21"/>
      <c r="OQX48" s="7"/>
      <c r="OQY48" s="7"/>
      <c r="OQZ48" s="21"/>
      <c r="ORA48" s="20"/>
      <c r="ORB48" s="20"/>
      <c r="ORC48" s="20"/>
      <c r="ORD48" s="21"/>
      <c r="ORE48" s="21"/>
      <c r="ORF48" s="21"/>
      <c r="ORG48" s="21"/>
      <c r="ORH48" s="21"/>
      <c r="ORI48" s="20"/>
      <c r="ORJ48" s="20"/>
      <c r="ORK48" s="20"/>
      <c r="ORL48" s="20"/>
      <c r="ORM48" s="21"/>
      <c r="ORN48" s="21"/>
      <c r="ORO48" s="7"/>
      <c r="ORP48" s="7"/>
      <c r="ORQ48" s="21"/>
      <c r="ORR48" s="20"/>
      <c r="ORS48" s="20"/>
      <c r="ORT48" s="20"/>
      <c r="ORU48" s="21"/>
      <c r="ORV48" s="21"/>
      <c r="ORW48" s="21"/>
      <c r="ORX48" s="21"/>
      <c r="ORY48" s="21"/>
      <c r="ORZ48" s="20"/>
      <c r="OSA48" s="20"/>
      <c r="OSB48" s="20"/>
      <c r="OSC48" s="20"/>
      <c r="OSD48" s="21"/>
      <c r="OSE48" s="21"/>
      <c r="OSF48" s="7"/>
      <c r="OSG48" s="7"/>
      <c r="OSH48" s="21"/>
      <c r="OSI48" s="20"/>
      <c r="OSJ48" s="20"/>
      <c r="OSK48" s="20"/>
      <c r="OSL48" s="21"/>
      <c r="OSM48" s="21"/>
      <c r="OSN48" s="21"/>
      <c r="OSO48" s="21"/>
      <c r="OSP48" s="21"/>
      <c r="OSQ48" s="20"/>
      <c r="OSR48" s="20"/>
      <c r="OSS48" s="20"/>
      <c r="OST48" s="20"/>
      <c r="OSU48" s="21"/>
      <c r="OSV48" s="21"/>
      <c r="OSW48" s="7"/>
      <c r="OSX48" s="7"/>
      <c r="OSY48" s="21"/>
      <c r="OSZ48" s="20"/>
      <c r="OTA48" s="20"/>
      <c r="OTB48" s="20"/>
      <c r="OTC48" s="21"/>
      <c r="OTD48" s="21"/>
      <c r="OTE48" s="21"/>
      <c r="OTF48" s="21"/>
      <c r="OTG48" s="21"/>
      <c r="OTH48" s="20"/>
      <c r="OTI48" s="20"/>
      <c r="OTJ48" s="20"/>
      <c r="OTK48" s="20"/>
      <c r="OTL48" s="21"/>
      <c r="OTM48" s="21"/>
      <c r="OTN48" s="7"/>
      <c r="OTO48" s="7"/>
      <c r="OTP48" s="21"/>
      <c r="OTQ48" s="20"/>
      <c r="OTR48" s="20"/>
      <c r="OTS48" s="20"/>
      <c r="OTT48" s="21"/>
      <c r="OTU48" s="21"/>
      <c r="OTV48" s="21"/>
      <c r="OTW48" s="21"/>
      <c r="OTX48" s="21"/>
      <c r="OTY48" s="20"/>
      <c r="OTZ48" s="20"/>
      <c r="OUA48" s="20"/>
      <c r="OUB48" s="20"/>
      <c r="OUC48" s="21"/>
      <c r="OUD48" s="21"/>
      <c r="OUE48" s="7"/>
      <c r="OUF48" s="7"/>
      <c r="OUG48" s="21"/>
      <c r="OUH48" s="20"/>
      <c r="OUI48" s="20"/>
      <c r="OUJ48" s="20"/>
      <c r="OUK48" s="21"/>
      <c r="OUL48" s="21"/>
      <c r="OUM48" s="21"/>
      <c r="OUN48" s="21"/>
      <c r="OUO48" s="21"/>
      <c r="OUP48" s="20"/>
      <c r="OUQ48" s="20"/>
      <c r="OUR48" s="20"/>
      <c r="OUS48" s="20"/>
      <c r="OUT48" s="21"/>
      <c r="OUU48" s="21"/>
      <c r="OUV48" s="7"/>
      <c r="OUW48" s="7"/>
      <c r="OUX48" s="21"/>
      <c r="OUY48" s="20"/>
      <c r="OUZ48" s="20"/>
      <c r="OVA48" s="20"/>
      <c r="OVB48" s="21"/>
      <c r="OVC48" s="21"/>
      <c r="OVD48" s="21"/>
      <c r="OVE48" s="21"/>
      <c r="OVF48" s="21"/>
      <c r="OVG48" s="20"/>
      <c r="OVH48" s="20"/>
      <c r="OVI48" s="20"/>
      <c r="OVJ48" s="20"/>
      <c r="OVK48" s="21"/>
      <c r="OVL48" s="21"/>
      <c r="OVM48" s="7"/>
      <c r="OVN48" s="7"/>
      <c r="OVO48" s="21"/>
      <c r="OVP48" s="20"/>
      <c r="OVQ48" s="20"/>
      <c r="OVR48" s="20"/>
      <c r="OVS48" s="21"/>
      <c r="OVT48" s="21"/>
      <c r="OVU48" s="21"/>
      <c r="OVV48" s="21"/>
      <c r="OVW48" s="21"/>
      <c r="OVX48" s="20"/>
      <c r="OVY48" s="20"/>
      <c r="OVZ48" s="20"/>
      <c r="OWA48" s="20"/>
      <c r="OWB48" s="21"/>
      <c r="OWC48" s="21"/>
      <c r="OWD48" s="7"/>
      <c r="OWE48" s="7"/>
      <c r="OWF48" s="21"/>
      <c r="OWG48" s="20"/>
      <c r="OWH48" s="20"/>
      <c r="OWI48" s="20"/>
      <c r="OWJ48" s="21"/>
      <c r="OWK48" s="21"/>
      <c r="OWL48" s="21"/>
      <c r="OWM48" s="21"/>
      <c r="OWN48" s="21"/>
      <c r="OWO48" s="20"/>
      <c r="OWP48" s="20"/>
      <c r="OWQ48" s="20"/>
      <c r="OWR48" s="20"/>
      <c r="OWS48" s="21"/>
      <c r="OWT48" s="21"/>
      <c r="OWU48" s="7"/>
      <c r="OWV48" s="7"/>
      <c r="OWW48" s="21"/>
      <c r="OWX48" s="20"/>
      <c r="OWY48" s="20"/>
      <c r="OWZ48" s="20"/>
      <c r="OXA48" s="21"/>
      <c r="OXB48" s="21"/>
      <c r="OXC48" s="21"/>
      <c r="OXD48" s="21"/>
      <c r="OXE48" s="21"/>
      <c r="OXF48" s="20"/>
      <c r="OXG48" s="20"/>
      <c r="OXH48" s="20"/>
      <c r="OXI48" s="20"/>
      <c r="OXJ48" s="21"/>
      <c r="OXK48" s="21"/>
      <c r="OXL48" s="7"/>
      <c r="OXM48" s="7"/>
      <c r="OXN48" s="21"/>
      <c r="OXO48" s="20"/>
      <c r="OXP48" s="20"/>
      <c r="OXQ48" s="20"/>
      <c r="OXR48" s="21"/>
      <c r="OXS48" s="21"/>
      <c r="OXT48" s="21"/>
      <c r="OXU48" s="21"/>
      <c r="OXV48" s="21"/>
      <c r="OXW48" s="20"/>
      <c r="OXX48" s="20"/>
      <c r="OXY48" s="20"/>
      <c r="OXZ48" s="20"/>
      <c r="OYA48" s="21"/>
      <c r="OYB48" s="21"/>
      <c r="OYC48" s="7"/>
      <c r="OYD48" s="7"/>
      <c r="OYE48" s="21"/>
      <c r="OYF48" s="20"/>
      <c r="OYG48" s="20"/>
      <c r="OYH48" s="20"/>
      <c r="OYI48" s="21"/>
      <c r="OYJ48" s="21"/>
      <c r="OYK48" s="21"/>
      <c r="OYL48" s="21"/>
      <c r="OYM48" s="21"/>
      <c r="OYN48" s="20"/>
      <c r="OYO48" s="20"/>
      <c r="OYP48" s="20"/>
      <c r="OYQ48" s="20"/>
      <c r="OYR48" s="21"/>
      <c r="OYS48" s="21"/>
      <c r="OYT48" s="7"/>
      <c r="OYU48" s="7"/>
      <c r="OYV48" s="21"/>
      <c r="OYW48" s="20"/>
      <c r="OYX48" s="20"/>
      <c r="OYY48" s="20"/>
      <c r="OYZ48" s="21"/>
      <c r="OZA48" s="21"/>
      <c r="OZB48" s="21"/>
      <c r="OZC48" s="21"/>
      <c r="OZD48" s="21"/>
      <c r="OZE48" s="20"/>
      <c r="OZF48" s="20"/>
      <c r="OZG48" s="20"/>
      <c r="OZH48" s="20"/>
      <c r="OZI48" s="21"/>
      <c r="OZJ48" s="21"/>
      <c r="OZK48" s="7"/>
      <c r="OZL48" s="7"/>
      <c r="OZM48" s="21"/>
      <c r="OZN48" s="20"/>
      <c r="OZO48" s="20"/>
      <c r="OZP48" s="20"/>
      <c r="OZQ48" s="21"/>
      <c r="OZR48" s="21"/>
      <c r="OZS48" s="21"/>
      <c r="OZT48" s="21"/>
      <c r="OZU48" s="21"/>
      <c r="OZV48" s="20"/>
      <c r="OZW48" s="20"/>
      <c r="OZX48" s="20"/>
      <c r="OZY48" s="20"/>
      <c r="OZZ48" s="21"/>
      <c r="PAA48" s="21"/>
      <c r="PAB48" s="7"/>
      <c r="PAC48" s="7"/>
      <c r="PAD48" s="21"/>
      <c r="PAE48" s="20"/>
      <c r="PAF48" s="20"/>
      <c r="PAG48" s="20"/>
      <c r="PAH48" s="21"/>
      <c r="PAI48" s="21"/>
      <c r="PAJ48" s="21"/>
      <c r="PAK48" s="21"/>
      <c r="PAL48" s="21"/>
      <c r="PAM48" s="20"/>
      <c r="PAN48" s="20"/>
      <c r="PAO48" s="20"/>
      <c r="PAP48" s="20"/>
      <c r="PAQ48" s="21"/>
      <c r="PAR48" s="21"/>
      <c r="PAS48" s="7"/>
      <c r="PAT48" s="7"/>
      <c r="PAU48" s="21"/>
      <c r="PAV48" s="20"/>
      <c r="PAW48" s="20"/>
      <c r="PAX48" s="20"/>
      <c r="PAY48" s="21"/>
      <c r="PAZ48" s="21"/>
      <c r="PBA48" s="21"/>
      <c r="PBB48" s="21"/>
      <c r="PBC48" s="21"/>
      <c r="PBD48" s="20"/>
      <c r="PBE48" s="20"/>
      <c r="PBF48" s="20"/>
      <c r="PBG48" s="20"/>
      <c r="PBH48" s="21"/>
      <c r="PBI48" s="21"/>
      <c r="PBJ48" s="7"/>
      <c r="PBK48" s="7"/>
      <c r="PBL48" s="21"/>
      <c r="PBM48" s="20"/>
      <c r="PBN48" s="20"/>
      <c r="PBO48" s="20"/>
      <c r="PBP48" s="21"/>
      <c r="PBQ48" s="21"/>
      <c r="PBR48" s="21"/>
      <c r="PBS48" s="21"/>
      <c r="PBT48" s="21"/>
      <c r="PBU48" s="20"/>
      <c r="PBV48" s="20"/>
      <c r="PBW48" s="20"/>
      <c r="PBX48" s="20"/>
      <c r="PBY48" s="21"/>
      <c r="PBZ48" s="21"/>
      <c r="PCA48" s="7"/>
      <c r="PCB48" s="7"/>
      <c r="PCC48" s="21"/>
      <c r="PCD48" s="20"/>
      <c r="PCE48" s="20"/>
      <c r="PCF48" s="20"/>
      <c r="PCG48" s="21"/>
      <c r="PCH48" s="21"/>
      <c r="PCI48" s="21"/>
      <c r="PCJ48" s="21"/>
      <c r="PCK48" s="21"/>
      <c r="PCL48" s="20"/>
      <c r="PCM48" s="20"/>
      <c r="PCN48" s="20"/>
      <c r="PCO48" s="20"/>
      <c r="PCP48" s="21"/>
      <c r="PCQ48" s="21"/>
      <c r="PCR48" s="7"/>
      <c r="PCS48" s="7"/>
      <c r="PCT48" s="21"/>
      <c r="PCU48" s="20"/>
      <c r="PCV48" s="20"/>
      <c r="PCW48" s="20"/>
      <c r="PCX48" s="21"/>
      <c r="PCY48" s="21"/>
      <c r="PCZ48" s="21"/>
      <c r="PDA48" s="21"/>
      <c r="PDB48" s="21"/>
      <c r="PDC48" s="20"/>
      <c r="PDD48" s="20"/>
      <c r="PDE48" s="20"/>
      <c r="PDF48" s="20"/>
      <c r="PDG48" s="21"/>
      <c r="PDH48" s="21"/>
      <c r="PDI48" s="7"/>
      <c r="PDJ48" s="7"/>
      <c r="PDK48" s="21"/>
      <c r="PDL48" s="20"/>
      <c r="PDM48" s="20"/>
      <c r="PDN48" s="20"/>
      <c r="PDO48" s="21"/>
      <c r="PDP48" s="21"/>
      <c r="PDQ48" s="21"/>
      <c r="PDR48" s="21"/>
      <c r="PDS48" s="21"/>
      <c r="PDT48" s="20"/>
      <c r="PDU48" s="20"/>
      <c r="PDV48" s="20"/>
      <c r="PDW48" s="20"/>
      <c r="PDX48" s="21"/>
      <c r="PDY48" s="21"/>
      <c r="PDZ48" s="7"/>
      <c r="PEA48" s="7"/>
      <c r="PEB48" s="21"/>
      <c r="PEC48" s="20"/>
      <c r="PED48" s="20"/>
      <c r="PEE48" s="20"/>
      <c r="PEF48" s="21"/>
      <c r="PEG48" s="21"/>
      <c r="PEH48" s="21"/>
      <c r="PEI48" s="21"/>
      <c r="PEJ48" s="21"/>
      <c r="PEK48" s="20"/>
      <c r="PEL48" s="20"/>
      <c r="PEM48" s="20"/>
      <c r="PEN48" s="20"/>
      <c r="PEO48" s="21"/>
      <c r="PEP48" s="21"/>
      <c r="PEQ48" s="7"/>
      <c r="PER48" s="7"/>
      <c r="PES48" s="21"/>
      <c r="PET48" s="20"/>
      <c r="PEU48" s="20"/>
      <c r="PEV48" s="20"/>
      <c r="PEW48" s="21"/>
      <c r="PEX48" s="21"/>
      <c r="PEY48" s="21"/>
      <c r="PEZ48" s="21"/>
      <c r="PFA48" s="21"/>
      <c r="PFB48" s="20"/>
      <c r="PFC48" s="20"/>
      <c r="PFD48" s="20"/>
      <c r="PFE48" s="20"/>
      <c r="PFF48" s="21"/>
      <c r="PFG48" s="21"/>
      <c r="PFH48" s="7"/>
      <c r="PFI48" s="7"/>
      <c r="PFJ48" s="21"/>
      <c r="PFK48" s="20"/>
      <c r="PFL48" s="20"/>
      <c r="PFM48" s="20"/>
      <c r="PFN48" s="21"/>
      <c r="PFO48" s="21"/>
      <c r="PFP48" s="21"/>
      <c r="PFQ48" s="21"/>
      <c r="PFR48" s="21"/>
      <c r="PFS48" s="20"/>
      <c r="PFT48" s="20"/>
      <c r="PFU48" s="20"/>
      <c r="PFV48" s="20"/>
      <c r="PFW48" s="21"/>
      <c r="PFX48" s="21"/>
      <c r="PFY48" s="7"/>
      <c r="PFZ48" s="7"/>
      <c r="PGA48" s="21"/>
      <c r="PGB48" s="20"/>
      <c r="PGC48" s="20"/>
      <c r="PGD48" s="20"/>
      <c r="PGE48" s="21"/>
      <c r="PGF48" s="21"/>
      <c r="PGG48" s="21"/>
      <c r="PGH48" s="21"/>
      <c r="PGI48" s="21"/>
      <c r="PGJ48" s="20"/>
      <c r="PGK48" s="20"/>
      <c r="PGL48" s="20"/>
      <c r="PGM48" s="20"/>
      <c r="PGN48" s="21"/>
      <c r="PGO48" s="21"/>
      <c r="PGP48" s="7"/>
      <c r="PGQ48" s="7"/>
      <c r="PGR48" s="21"/>
      <c r="PGS48" s="20"/>
      <c r="PGT48" s="20"/>
      <c r="PGU48" s="20"/>
      <c r="PGV48" s="21"/>
      <c r="PGW48" s="21"/>
      <c r="PGX48" s="21"/>
      <c r="PGY48" s="21"/>
      <c r="PGZ48" s="21"/>
      <c r="PHA48" s="20"/>
      <c r="PHB48" s="20"/>
      <c r="PHC48" s="20"/>
      <c r="PHD48" s="20"/>
      <c r="PHE48" s="21"/>
      <c r="PHF48" s="21"/>
      <c r="PHG48" s="7"/>
      <c r="PHH48" s="7"/>
      <c r="PHI48" s="21"/>
      <c r="PHJ48" s="20"/>
      <c r="PHK48" s="20"/>
      <c r="PHL48" s="20"/>
      <c r="PHM48" s="21"/>
      <c r="PHN48" s="21"/>
      <c r="PHO48" s="21"/>
      <c r="PHP48" s="21"/>
      <c r="PHQ48" s="21"/>
      <c r="PHR48" s="20"/>
      <c r="PHS48" s="20"/>
      <c r="PHT48" s="20"/>
      <c r="PHU48" s="20"/>
      <c r="PHV48" s="21"/>
      <c r="PHW48" s="21"/>
      <c r="PHX48" s="7"/>
      <c r="PHY48" s="7"/>
      <c r="PHZ48" s="21"/>
      <c r="PIA48" s="20"/>
      <c r="PIB48" s="20"/>
      <c r="PIC48" s="20"/>
      <c r="PID48" s="21"/>
      <c r="PIE48" s="21"/>
      <c r="PIF48" s="21"/>
      <c r="PIG48" s="21"/>
      <c r="PIH48" s="21"/>
      <c r="PII48" s="20"/>
      <c r="PIJ48" s="20"/>
      <c r="PIK48" s="20"/>
      <c r="PIL48" s="20"/>
      <c r="PIM48" s="21"/>
      <c r="PIN48" s="21"/>
      <c r="PIO48" s="7"/>
      <c r="PIP48" s="7"/>
      <c r="PIQ48" s="21"/>
      <c r="PIR48" s="20"/>
      <c r="PIS48" s="20"/>
      <c r="PIT48" s="20"/>
      <c r="PIU48" s="21"/>
      <c r="PIV48" s="21"/>
      <c r="PIW48" s="21"/>
      <c r="PIX48" s="21"/>
      <c r="PIY48" s="21"/>
      <c r="PIZ48" s="20"/>
      <c r="PJA48" s="20"/>
      <c r="PJB48" s="20"/>
      <c r="PJC48" s="20"/>
      <c r="PJD48" s="21"/>
      <c r="PJE48" s="21"/>
      <c r="PJF48" s="7"/>
      <c r="PJG48" s="7"/>
      <c r="PJH48" s="21"/>
      <c r="PJI48" s="20"/>
      <c r="PJJ48" s="20"/>
      <c r="PJK48" s="20"/>
      <c r="PJL48" s="21"/>
      <c r="PJM48" s="21"/>
      <c r="PJN48" s="21"/>
      <c r="PJO48" s="21"/>
      <c r="PJP48" s="21"/>
      <c r="PJQ48" s="20"/>
      <c r="PJR48" s="20"/>
      <c r="PJS48" s="20"/>
      <c r="PJT48" s="20"/>
      <c r="PJU48" s="21"/>
      <c r="PJV48" s="21"/>
      <c r="PJW48" s="7"/>
      <c r="PJX48" s="7"/>
      <c r="PJY48" s="21"/>
      <c r="PJZ48" s="20"/>
      <c r="PKA48" s="20"/>
      <c r="PKB48" s="20"/>
      <c r="PKC48" s="21"/>
      <c r="PKD48" s="21"/>
      <c r="PKE48" s="21"/>
      <c r="PKF48" s="21"/>
      <c r="PKG48" s="21"/>
      <c r="PKH48" s="20"/>
      <c r="PKI48" s="20"/>
      <c r="PKJ48" s="20"/>
      <c r="PKK48" s="20"/>
      <c r="PKL48" s="21"/>
      <c r="PKM48" s="21"/>
      <c r="PKN48" s="7"/>
      <c r="PKO48" s="7"/>
      <c r="PKP48" s="21"/>
      <c r="PKQ48" s="20"/>
      <c r="PKR48" s="20"/>
      <c r="PKS48" s="20"/>
      <c r="PKT48" s="21"/>
      <c r="PKU48" s="21"/>
      <c r="PKV48" s="21"/>
      <c r="PKW48" s="21"/>
      <c r="PKX48" s="21"/>
      <c r="PKY48" s="20"/>
      <c r="PKZ48" s="20"/>
      <c r="PLA48" s="20"/>
      <c r="PLB48" s="20"/>
      <c r="PLC48" s="21"/>
      <c r="PLD48" s="21"/>
      <c r="PLE48" s="7"/>
      <c r="PLF48" s="7"/>
      <c r="PLG48" s="21"/>
      <c r="PLH48" s="20"/>
      <c r="PLI48" s="20"/>
      <c r="PLJ48" s="20"/>
      <c r="PLK48" s="21"/>
      <c r="PLL48" s="21"/>
      <c r="PLM48" s="21"/>
      <c r="PLN48" s="21"/>
      <c r="PLO48" s="21"/>
      <c r="PLP48" s="20"/>
      <c r="PLQ48" s="20"/>
      <c r="PLR48" s="20"/>
      <c r="PLS48" s="20"/>
      <c r="PLT48" s="21"/>
      <c r="PLU48" s="21"/>
      <c r="PLV48" s="7"/>
      <c r="PLW48" s="7"/>
      <c r="PLX48" s="21"/>
      <c r="PLY48" s="20"/>
      <c r="PLZ48" s="20"/>
      <c r="PMA48" s="20"/>
      <c r="PMB48" s="21"/>
      <c r="PMC48" s="21"/>
      <c r="PMD48" s="21"/>
      <c r="PME48" s="21"/>
      <c r="PMF48" s="21"/>
      <c r="PMG48" s="20"/>
      <c r="PMH48" s="20"/>
      <c r="PMI48" s="20"/>
      <c r="PMJ48" s="20"/>
      <c r="PMK48" s="21"/>
      <c r="PML48" s="21"/>
      <c r="PMM48" s="7"/>
      <c r="PMN48" s="7"/>
      <c r="PMO48" s="21"/>
      <c r="PMP48" s="20"/>
      <c r="PMQ48" s="20"/>
      <c r="PMR48" s="20"/>
      <c r="PMS48" s="21"/>
      <c r="PMT48" s="21"/>
      <c r="PMU48" s="21"/>
      <c r="PMV48" s="21"/>
      <c r="PMW48" s="21"/>
      <c r="PMX48" s="20"/>
      <c r="PMY48" s="20"/>
      <c r="PMZ48" s="20"/>
      <c r="PNA48" s="20"/>
      <c r="PNB48" s="21"/>
      <c r="PNC48" s="21"/>
      <c r="PND48" s="7"/>
      <c r="PNE48" s="7"/>
      <c r="PNF48" s="21"/>
      <c r="PNG48" s="20"/>
      <c r="PNH48" s="20"/>
      <c r="PNI48" s="20"/>
      <c r="PNJ48" s="21"/>
      <c r="PNK48" s="21"/>
      <c r="PNL48" s="21"/>
      <c r="PNM48" s="21"/>
      <c r="PNN48" s="21"/>
      <c r="PNO48" s="20"/>
      <c r="PNP48" s="20"/>
      <c r="PNQ48" s="20"/>
      <c r="PNR48" s="20"/>
      <c r="PNS48" s="21"/>
      <c r="PNT48" s="21"/>
      <c r="PNU48" s="7"/>
      <c r="PNV48" s="7"/>
      <c r="PNW48" s="21"/>
      <c r="PNX48" s="20"/>
      <c r="PNY48" s="20"/>
      <c r="PNZ48" s="20"/>
      <c r="POA48" s="21"/>
      <c r="POB48" s="21"/>
      <c r="POC48" s="21"/>
      <c r="POD48" s="21"/>
      <c r="POE48" s="21"/>
      <c r="POF48" s="20"/>
      <c r="POG48" s="20"/>
      <c r="POH48" s="20"/>
      <c r="POI48" s="20"/>
      <c r="POJ48" s="21"/>
      <c r="POK48" s="21"/>
      <c r="POL48" s="7"/>
      <c r="POM48" s="7"/>
      <c r="PON48" s="21"/>
      <c r="POO48" s="20"/>
      <c r="POP48" s="20"/>
      <c r="POQ48" s="20"/>
      <c r="POR48" s="21"/>
      <c r="POS48" s="21"/>
      <c r="POT48" s="21"/>
      <c r="POU48" s="21"/>
      <c r="POV48" s="21"/>
      <c r="POW48" s="20"/>
      <c r="POX48" s="20"/>
      <c r="POY48" s="20"/>
      <c r="POZ48" s="20"/>
      <c r="PPA48" s="21"/>
      <c r="PPB48" s="21"/>
      <c r="PPC48" s="7"/>
      <c r="PPD48" s="7"/>
      <c r="PPE48" s="21"/>
      <c r="PPF48" s="20"/>
      <c r="PPG48" s="20"/>
      <c r="PPH48" s="20"/>
      <c r="PPI48" s="21"/>
      <c r="PPJ48" s="21"/>
      <c r="PPK48" s="21"/>
      <c r="PPL48" s="21"/>
      <c r="PPM48" s="21"/>
      <c r="PPN48" s="20"/>
      <c r="PPO48" s="20"/>
      <c r="PPP48" s="20"/>
      <c r="PPQ48" s="20"/>
      <c r="PPR48" s="21"/>
      <c r="PPS48" s="21"/>
      <c r="PPT48" s="7"/>
      <c r="PPU48" s="7"/>
      <c r="PPV48" s="21"/>
      <c r="PPW48" s="20"/>
      <c r="PPX48" s="20"/>
      <c r="PPY48" s="20"/>
      <c r="PPZ48" s="21"/>
      <c r="PQA48" s="21"/>
      <c r="PQB48" s="21"/>
      <c r="PQC48" s="21"/>
      <c r="PQD48" s="21"/>
      <c r="PQE48" s="20"/>
      <c r="PQF48" s="20"/>
      <c r="PQG48" s="20"/>
      <c r="PQH48" s="20"/>
      <c r="PQI48" s="21"/>
      <c r="PQJ48" s="21"/>
      <c r="PQK48" s="7"/>
      <c r="PQL48" s="7"/>
      <c r="PQM48" s="21"/>
      <c r="PQN48" s="20"/>
      <c r="PQO48" s="20"/>
      <c r="PQP48" s="20"/>
      <c r="PQQ48" s="21"/>
      <c r="PQR48" s="21"/>
      <c r="PQS48" s="21"/>
      <c r="PQT48" s="21"/>
      <c r="PQU48" s="21"/>
      <c r="PQV48" s="20"/>
      <c r="PQW48" s="20"/>
      <c r="PQX48" s="20"/>
      <c r="PQY48" s="20"/>
      <c r="PQZ48" s="21"/>
      <c r="PRA48" s="21"/>
      <c r="PRB48" s="7"/>
      <c r="PRC48" s="7"/>
      <c r="PRD48" s="21"/>
      <c r="PRE48" s="20"/>
      <c r="PRF48" s="20"/>
      <c r="PRG48" s="20"/>
      <c r="PRH48" s="21"/>
      <c r="PRI48" s="21"/>
      <c r="PRJ48" s="21"/>
      <c r="PRK48" s="21"/>
      <c r="PRL48" s="21"/>
      <c r="PRM48" s="20"/>
      <c r="PRN48" s="20"/>
      <c r="PRO48" s="20"/>
      <c r="PRP48" s="20"/>
      <c r="PRQ48" s="21"/>
      <c r="PRR48" s="21"/>
      <c r="PRS48" s="7"/>
      <c r="PRT48" s="7"/>
      <c r="PRU48" s="21"/>
      <c r="PRV48" s="20"/>
      <c r="PRW48" s="20"/>
      <c r="PRX48" s="20"/>
      <c r="PRY48" s="21"/>
      <c r="PRZ48" s="21"/>
      <c r="PSA48" s="21"/>
      <c r="PSB48" s="21"/>
      <c r="PSC48" s="21"/>
      <c r="PSD48" s="20"/>
      <c r="PSE48" s="20"/>
      <c r="PSF48" s="20"/>
      <c r="PSG48" s="20"/>
      <c r="PSH48" s="21"/>
      <c r="PSI48" s="21"/>
      <c r="PSJ48" s="7"/>
      <c r="PSK48" s="7"/>
      <c r="PSL48" s="21"/>
      <c r="PSM48" s="20"/>
      <c r="PSN48" s="20"/>
      <c r="PSO48" s="20"/>
      <c r="PSP48" s="21"/>
      <c r="PSQ48" s="21"/>
      <c r="PSR48" s="21"/>
      <c r="PSS48" s="21"/>
      <c r="PST48" s="21"/>
      <c r="PSU48" s="20"/>
      <c r="PSV48" s="20"/>
      <c r="PSW48" s="20"/>
      <c r="PSX48" s="20"/>
      <c r="PSY48" s="21"/>
      <c r="PSZ48" s="21"/>
      <c r="PTA48" s="7"/>
      <c r="PTB48" s="7"/>
      <c r="PTC48" s="21"/>
      <c r="PTD48" s="20"/>
      <c r="PTE48" s="20"/>
      <c r="PTF48" s="20"/>
      <c r="PTG48" s="21"/>
      <c r="PTH48" s="21"/>
      <c r="PTI48" s="21"/>
      <c r="PTJ48" s="21"/>
      <c r="PTK48" s="21"/>
      <c r="PTL48" s="20"/>
      <c r="PTM48" s="20"/>
      <c r="PTN48" s="20"/>
      <c r="PTO48" s="20"/>
      <c r="PTP48" s="21"/>
      <c r="PTQ48" s="21"/>
      <c r="PTR48" s="7"/>
      <c r="PTS48" s="7"/>
      <c r="PTT48" s="21"/>
      <c r="PTU48" s="20"/>
      <c r="PTV48" s="20"/>
      <c r="PTW48" s="20"/>
      <c r="PTX48" s="21"/>
      <c r="PTY48" s="21"/>
      <c r="PTZ48" s="21"/>
      <c r="PUA48" s="21"/>
      <c r="PUB48" s="21"/>
      <c r="PUC48" s="20"/>
      <c r="PUD48" s="20"/>
      <c r="PUE48" s="20"/>
      <c r="PUF48" s="20"/>
      <c r="PUG48" s="21"/>
      <c r="PUH48" s="21"/>
      <c r="PUI48" s="7"/>
      <c r="PUJ48" s="7"/>
      <c r="PUK48" s="21"/>
      <c r="PUL48" s="20"/>
      <c r="PUM48" s="20"/>
      <c r="PUN48" s="20"/>
      <c r="PUO48" s="21"/>
      <c r="PUP48" s="21"/>
      <c r="PUQ48" s="21"/>
      <c r="PUR48" s="21"/>
      <c r="PUS48" s="21"/>
      <c r="PUT48" s="20"/>
      <c r="PUU48" s="20"/>
      <c r="PUV48" s="20"/>
      <c r="PUW48" s="20"/>
      <c r="PUX48" s="21"/>
      <c r="PUY48" s="21"/>
      <c r="PUZ48" s="7"/>
      <c r="PVA48" s="7"/>
      <c r="PVB48" s="21"/>
      <c r="PVC48" s="20"/>
      <c r="PVD48" s="20"/>
      <c r="PVE48" s="20"/>
      <c r="PVF48" s="21"/>
      <c r="PVG48" s="21"/>
      <c r="PVH48" s="21"/>
      <c r="PVI48" s="21"/>
      <c r="PVJ48" s="21"/>
      <c r="PVK48" s="20"/>
      <c r="PVL48" s="20"/>
      <c r="PVM48" s="20"/>
      <c r="PVN48" s="20"/>
      <c r="PVO48" s="21"/>
      <c r="PVP48" s="21"/>
      <c r="PVQ48" s="7"/>
      <c r="PVR48" s="7"/>
      <c r="PVS48" s="21"/>
      <c r="PVT48" s="20"/>
      <c r="PVU48" s="20"/>
      <c r="PVV48" s="20"/>
      <c r="PVW48" s="21"/>
      <c r="PVX48" s="21"/>
      <c r="PVY48" s="21"/>
      <c r="PVZ48" s="21"/>
      <c r="PWA48" s="21"/>
      <c r="PWB48" s="20"/>
      <c r="PWC48" s="20"/>
      <c r="PWD48" s="20"/>
      <c r="PWE48" s="20"/>
      <c r="PWF48" s="21"/>
      <c r="PWG48" s="21"/>
      <c r="PWH48" s="7"/>
      <c r="PWI48" s="7"/>
      <c r="PWJ48" s="21"/>
      <c r="PWK48" s="20"/>
      <c r="PWL48" s="20"/>
      <c r="PWM48" s="20"/>
      <c r="PWN48" s="21"/>
      <c r="PWO48" s="21"/>
      <c r="PWP48" s="21"/>
      <c r="PWQ48" s="21"/>
      <c r="PWR48" s="21"/>
      <c r="PWS48" s="20"/>
      <c r="PWT48" s="20"/>
      <c r="PWU48" s="20"/>
      <c r="PWV48" s="20"/>
      <c r="PWW48" s="21"/>
      <c r="PWX48" s="21"/>
      <c r="PWY48" s="7"/>
      <c r="PWZ48" s="7"/>
      <c r="PXA48" s="21"/>
      <c r="PXB48" s="20"/>
      <c r="PXC48" s="20"/>
      <c r="PXD48" s="20"/>
      <c r="PXE48" s="21"/>
      <c r="PXF48" s="21"/>
      <c r="PXG48" s="21"/>
      <c r="PXH48" s="21"/>
      <c r="PXI48" s="21"/>
      <c r="PXJ48" s="20"/>
      <c r="PXK48" s="20"/>
      <c r="PXL48" s="20"/>
      <c r="PXM48" s="20"/>
      <c r="PXN48" s="21"/>
      <c r="PXO48" s="21"/>
      <c r="PXP48" s="7"/>
      <c r="PXQ48" s="7"/>
      <c r="PXR48" s="21"/>
      <c r="PXS48" s="20"/>
      <c r="PXT48" s="20"/>
      <c r="PXU48" s="20"/>
      <c r="PXV48" s="21"/>
      <c r="PXW48" s="21"/>
      <c r="PXX48" s="21"/>
      <c r="PXY48" s="21"/>
      <c r="PXZ48" s="21"/>
      <c r="PYA48" s="20"/>
      <c r="PYB48" s="20"/>
      <c r="PYC48" s="20"/>
      <c r="PYD48" s="20"/>
      <c r="PYE48" s="21"/>
      <c r="PYF48" s="21"/>
      <c r="PYG48" s="7"/>
      <c r="PYH48" s="7"/>
      <c r="PYI48" s="21"/>
      <c r="PYJ48" s="20"/>
      <c r="PYK48" s="20"/>
      <c r="PYL48" s="20"/>
      <c r="PYM48" s="21"/>
      <c r="PYN48" s="21"/>
      <c r="PYO48" s="21"/>
      <c r="PYP48" s="21"/>
      <c r="PYQ48" s="21"/>
      <c r="PYR48" s="20"/>
      <c r="PYS48" s="20"/>
      <c r="PYT48" s="20"/>
      <c r="PYU48" s="20"/>
      <c r="PYV48" s="21"/>
      <c r="PYW48" s="21"/>
      <c r="PYX48" s="7"/>
      <c r="PYY48" s="7"/>
      <c r="PYZ48" s="21"/>
      <c r="PZA48" s="20"/>
      <c r="PZB48" s="20"/>
      <c r="PZC48" s="20"/>
      <c r="PZD48" s="21"/>
      <c r="PZE48" s="21"/>
      <c r="PZF48" s="21"/>
      <c r="PZG48" s="21"/>
      <c r="PZH48" s="21"/>
      <c r="PZI48" s="20"/>
      <c r="PZJ48" s="20"/>
      <c r="PZK48" s="20"/>
      <c r="PZL48" s="20"/>
      <c r="PZM48" s="21"/>
      <c r="PZN48" s="21"/>
      <c r="PZO48" s="7"/>
      <c r="PZP48" s="7"/>
      <c r="PZQ48" s="21"/>
      <c r="PZR48" s="20"/>
      <c r="PZS48" s="20"/>
      <c r="PZT48" s="20"/>
      <c r="PZU48" s="21"/>
      <c r="PZV48" s="21"/>
      <c r="PZW48" s="21"/>
      <c r="PZX48" s="21"/>
      <c r="PZY48" s="21"/>
      <c r="PZZ48" s="20"/>
      <c r="QAA48" s="20"/>
      <c r="QAB48" s="20"/>
      <c r="QAC48" s="20"/>
      <c r="QAD48" s="21"/>
      <c r="QAE48" s="21"/>
      <c r="QAF48" s="7"/>
      <c r="QAG48" s="7"/>
      <c r="QAH48" s="21"/>
      <c r="QAI48" s="20"/>
      <c r="QAJ48" s="20"/>
      <c r="QAK48" s="20"/>
      <c r="QAL48" s="21"/>
      <c r="QAM48" s="21"/>
      <c r="QAN48" s="21"/>
      <c r="QAO48" s="21"/>
      <c r="QAP48" s="21"/>
      <c r="QAQ48" s="20"/>
      <c r="QAR48" s="20"/>
      <c r="QAS48" s="20"/>
      <c r="QAT48" s="20"/>
      <c r="QAU48" s="21"/>
      <c r="QAV48" s="21"/>
      <c r="QAW48" s="7"/>
      <c r="QAX48" s="7"/>
      <c r="QAY48" s="21"/>
      <c r="QAZ48" s="20"/>
      <c r="QBA48" s="20"/>
      <c r="QBB48" s="20"/>
      <c r="QBC48" s="21"/>
      <c r="QBD48" s="21"/>
      <c r="QBE48" s="21"/>
      <c r="QBF48" s="21"/>
      <c r="QBG48" s="21"/>
      <c r="QBH48" s="20"/>
      <c r="QBI48" s="20"/>
      <c r="QBJ48" s="20"/>
      <c r="QBK48" s="20"/>
      <c r="QBL48" s="21"/>
      <c r="QBM48" s="21"/>
      <c r="QBN48" s="7"/>
      <c r="QBO48" s="7"/>
      <c r="QBP48" s="21"/>
      <c r="QBQ48" s="20"/>
      <c r="QBR48" s="20"/>
      <c r="QBS48" s="20"/>
      <c r="QBT48" s="21"/>
      <c r="QBU48" s="21"/>
      <c r="QBV48" s="21"/>
      <c r="QBW48" s="21"/>
      <c r="QBX48" s="21"/>
      <c r="QBY48" s="20"/>
      <c r="QBZ48" s="20"/>
      <c r="QCA48" s="20"/>
      <c r="QCB48" s="20"/>
      <c r="QCC48" s="21"/>
      <c r="QCD48" s="21"/>
      <c r="QCE48" s="7"/>
      <c r="QCF48" s="7"/>
      <c r="QCG48" s="21"/>
      <c r="QCH48" s="20"/>
      <c r="QCI48" s="20"/>
      <c r="QCJ48" s="20"/>
      <c r="QCK48" s="21"/>
      <c r="QCL48" s="21"/>
      <c r="QCM48" s="21"/>
      <c r="QCN48" s="21"/>
      <c r="QCO48" s="21"/>
      <c r="QCP48" s="20"/>
      <c r="QCQ48" s="20"/>
      <c r="QCR48" s="20"/>
      <c r="QCS48" s="20"/>
      <c r="QCT48" s="21"/>
      <c r="QCU48" s="21"/>
      <c r="QCV48" s="7"/>
      <c r="QCW48" s="7"/>
      <c r="QCX48" s="21"/>
      <c r="QCY48" s="20"/>
      <c r="QCZ48" s="20"/>
      <c r="QDA48" s="20"/>
      <c r="QDB48" s="21"/>
      <c r="QDC48" s="21"/>
      <c r="QDD48" s="21"/>
      <c r="QDE48" s="21"/>
      <c r="QDF48" s="21"/>
      <c r="QDG48" s="20"/>
      <c r="QDH48" s="20"/>
      <c r="QDI48" s="20"/>
      <c r="QDJ48" s="20"/>
      <c r="QDK48" s="21"/>
      <c r="QDL48" s="21"/>
      <c r="QDM48" s="7"/>
      <c r="QDN48" s="7"/>
      <c r="QDO48" s="21"/>
      <c r="QDP48" s="20"/>
      <c r="QDQ48" s="20"/>
      <c r="QDR48" s="20"/>
      <c r="QDS48" s="21"/>
      <c r="QDT48" s="21"/>
      <c r="QDU48" s="21"/>
      <c r="QDV48" s="21"/>
      <c r="QDW48" s="21"/>
      <c r="QDX48" s="20"/>
      <c r="QDY48" s="20"/>
      <c r="QDZ48" s="20"/>
      <c r="QEA48" s="20"/>
      <c r="QEB48" s="21"/>
      <c r="QEC48" s="21"/>
      <c r="QED48" s="7"/>
      <c r="QEE48" s="7"/>
      <c r="QEF48" s="21"/>
      <c r="QEG48" s="20"/>
      <c r="QEH48" s="20"/>
      <c r="QEI48" s="20"/>
      <c r="QEJ48" s="21"/>
      <c r="QEK48" s="21"/>
      <c r="QEL48" s="21"/>
      <c r="QEM48" s="21"/>
      <c r="QEN48" s="21"/>
      <c r="QEO48" s="20"/>
      <c r="QEP48" s="20"/>
      <c r="QEQ48" s="20"/>
      <c r="QER48" s="20"/>
      <c r="QES48" s="21"/>
      <c r="QET48" s="21"/>
      <c r="QEU48" s="7"/>
      <c r="QEV48" s="7"/>
      <c r="QEW48" s="21"/>
      <c r="QEX48" s="20"/>
      <c r="QEY48" s="20"/>
      <c r="QEZ48" s="20"/>
      <c r="QFA48" s="21"/>
      <c r="QFB48" s="21"/>
      <c r="QFC48" s="21"/>
      <c r="QFD48" s="21"/>
      <c r="QFE48" s="21"/>
      <c r="QFF48" s="20"/>
      <c r="QFG48" s="20"/>
      <c r="QFH48" s="20"/>
      <c r="QFI48" s="20"/>
      <c r="QFJ48" s="21"/>
      <c r="QFK48" s="21"/>
      <c r="QFL48" s="7"/>
      <c r="QFM48" s="7"/>
      <c r="QFN48" s="21"/>
      <c r="QFO48" s="20"/>
      <c r="QFP48" s="20"/>
      <c r="QFQ48" s="20"/>
      <c r="QFR48" s="21"/>
      <c r="QFS48" s="21"/>
      <c r="QFT48" s="21"/>
      <c r="QFU48" s="21"/>
      <c r="QFV48" s="21"/>
      <c r="QFW48" s="20"/>
      <c r="QFX48" s="20"/>
      <c r="QFY48" s="20"/>
      <c r="QFZ48" s="20"/>
      <c r="QGA48" s="21"/>
      <c r="QGB48" s="21"/>
      <c r="QGC48" s="7"/>
      <c r="QGD48" s="7"/>
      <c r="QGE48" s="21"/>
      <c r="QGF48" s="20"/>
      <c r="QGG48" s="20"/>
      <c r="QGH48" s="20"/>
      <c r="QGI48" s="21"/>
      <c r="QGJ48" s="21"/>
      <c r="QGK48" s="21"/>
      <c r="QGL48" s="21"/>
      <c r="QGM48" s="21"/>
      <c r="QGN48" s="20"/>
      <c r="QGO48" s="20"/>
      <c r="QGP48" s="20"/>
      <c r="QGQ48" s="20"/>
      <c r="QGR48" s="21"/>
      <c r="QGS48" s="21"/>
      <c r="QGT48" s="7"/>
      <c r="QGU48" s="7"/>
      <c r="QGV48" s="21"/>
      <c r="QGW48" s="20"/>
      <c r="QGX48" s="20"/>
      <c r="QGY48" s="20"/>
      <c r="QGZ48" s="21"/>
      <c r="QHA48" s="21"/>
      <c r="QHB48" s="21"/>
      <c r="QHC48" s="21"/>
      <c r="QHD48" s="21"/>
      <c r="QHE48" s="20"/>
      <c r="QHF48" s="20"/>
      <c r="QHG48" s="20"/>
      <c r="QHH48" s="20"/>
      <c r="QHI48" s="21"/>
      <c r="QHJ48" s="21"/>
      <c r="QHK48" s="7"/>
      <c r="QHL48" s="7"/>
      <c r="QHM48" s="21"/>
      <c r="QHN48" s="20"/>
      <c r="QHO48" s="20"/>
      <c r="QHP48" s="20"/>
      <c r="QHQ48" s="21"/>
      <c r="QHR48" s="21"/>
      <c r="QHS48" s="21"/>
      <c r="QHT48" s="21"/>
      <c r="QHU48" s="21"/>
      <c r="QHV48" s="20"/>
      <c r="QHW48" s="20"/>
      <c r="QHX48" s="20"/>
      <c r="QHY48" s="20"/>
      <c r="QHZ48" s="21"/>
      <c r="QIA48" s="21"/>
      <c r="QIB48" s="7"/>
      <c r="QIC48" s="7"/>
      <c r="QID48" s="21"/>
      <c r="QIE48" s="20"/>
      <c r="QIF48" s="20"/>
      <c r="QIG48" s="20"/>
      <c r="QIH48" s="21"/>
      <c r="QII48" s="21"/>
      <c r="QIJ48" s="21"/>
      <c r="QIK48" s="21"/>
      <c r="QIL48" s="21"/>
      <c r="QIM48" s="20"/>
      <c r="QIN48" s="20"/>
      <c r="QIO48" s="20"/>
      <c r="QIP48" s="20"/>
      <c r="QIQ48" s="21"/>
      <c r="QIR48" s="21"/>
      <c r="QIS48" s="7"/>
      <c r="QIT48" s="7"/>
      <c r="QIU48" s="21"/>
      <c r="QIV48" s="20"/>
      <c r="QIW48" s="20"/>
      <c r="QIX48" s="20"/>
      <c r="QIY48" s="21"/>
      <c r="QIZ48" s="21"/>
      <c r="QJA48" s="21"/>
      <c r="QJB48" s="21"/>
      <c r="QJC48" s="21"/>
      <c r="QJD48" s="20"/>
      <c r="QJE48" s="20"/>
      <c r="QJF48" s="20"/>
      <c r="QJG48" s="20"/>
      <c r="QJH48" s="21"/>
      <c r="QJI48" s="21"/>
      <c r="QJJ48" s="7"/>
      <c r="QJK48" s="7"/>
      <c r="QJL48" s="21"/>
      <c r="QJM48" s="20"/>
      <c r="QJN48" s="20"/>
      <c r="QJO48" s="20"/>
      <c r="QJP48" s="21"/>
      <c r="QJQ48" s="21"/>
      <c r="QJR48" s="21"/>
      <c r="QJS48" s="21"/>
      <c r="QJT48" s="21"/>
      <c r="QJU48" s="20"/>
      <c r="QJV48" s="20"/>
      <c r="QJW48" s="20"/>
      <c r="QJX48" s="20"/>
      <c r="QJY48" s="21"/>
      <c r="QJZ48" s="21"/>
      <c r="QKA48" s="7"/>
      <c r="QKB48" s="7"/>
      <c r="QKC48" s="21"/>
      <c r="QKD48" s="20"/>
      <c r="QKE48" s="20"/>
      <c r="QKF48" s="20"/>
      <c r="QKG48" s="21"/>
      <c r="QKH48" s="21"/>
      <c r="QKI48" s="21"/>
      <c r="QKJ48" s="21"/>
      <c r="QKK48" s="21"/>
      <c r="QKL48" s="20"/>
      <c r="QKM48" s="20"/>
      <c r="QKN48" s="20"/>
      <c r="QKO48" s="20"/>
      <c r="QKP48" s="21"/>
      <c r="QKQ48" s="21"/>
      <c r="QKR48" s="7"/>
      <c r="QKS48" s="7"/>
      <c r="QKT48" s="21"/>
      <c r="QKU48" s="20"/>
      <c r="QKV48" s="20"/>
      <c r="QKW48" s="20"/>
      <c r="QKX48" s="21"/>
      <c r="QKY48" s="21"/>
      <c r="QKZ48" s="21"/>
      <c r="QLA48" s="21"/>
      <c r="QLB48" s="21"/>
      <c r="QLC48" s="20"/>
      <c r="QLD48" s="20"/>
      <c r="QLE48" s="20"/>
      <c r="QLF48" s="20"/>
      <c r="QLG48" s="21"/>
      <c r="QLH48" s="21"/>
      <c r="QLI48" s="7"/>
      <c r="QLJ48" s="7"/>
      <c r="QLK48" s="21"/>
      <c r="QLL48" s="20"/>
      <c r="QLM48" s="20"/>
      <c r="QLN48" s="20"/>
      <c r="QLO48" s="21"/>
      <c r="QLP48" s="21"/>
      <c r="QLQ48" s="21"/>
      <c r="QLR48" s="21"/>
      <c r="QLS48" s="21"/>
      <c r="QLT48" s="20"/>
      <c r="QLU48" s="20"/>
      <c r="QLV48" s="20"/>
      <c r="QLW48" s="20"/>
      <c r="QLX48" s="21"/>
      <c r="QLY48" s="21"/>
      <c r="QLZ48" s="7"/>
      <c r="QMA48" s="7"/>
      <c r="QMB48" s="21"/>
      <c r="QMC48" s="20"/>
      <c r="QMD48" s="20"/>
      <c r="QME48" s="20"/>
      <c r="QMF48" s="21"/>
      <c r="QMG48" s="21"/>
      <c r="QMH48" s="21"/>
      <c r="QMI48" s="21"/>
      <c r="QMJ48" s="21"/>
      <c r="QMK48" s="20"/>
      <c r="QML48" s="20"/>
      <c r="QMM48" s="20"/>
      <c r="QMN48" s="20"/>
      <c r="QMO48" s="21"/>
      <c r="QMP48" s="21"/>
      <c r="QMQ48" s="7"/>
      <c r="QMR48" s="7"/>
      <c r="QMS48" s="21"/>
      <c r="QMT48" s="20"/>
      <c r="QMU48" s="20"/>
      <c r="QMV48" s="20"/>
      <c r="QMW48" s="21"/>
      <c r="QMX48" s="21"/>
      <c r="QMY48" s="21"/>
      <c r="QMZ48" s="21"/>
      <c r="QNA48" s="21"/>
      <c r="QNB48" s="20"/>
      <c r="QNC48" s="20"/>
      <c r="QND48" s="20"/>
      <c r="QNE48" s="20"/>
      <c r="QNF48" s="21"/>
      <c r="QNG48" s="21"/>
      <c r="QNH48" s="7"/>
      <c r="QNI48" s="7"/>
      <c r="QNJ48" s="21"/>
      <c r="QNK48" s="20"/>
      <c r="QNL48" s="20"/>
      <c r="QNM48" s="20"/>
      <c r="QNN48" s="21"/>
      <c r="QNO48" s="21"/>
      <c r="QNP48" s="21"/>
      <c r="QNQ48" s="21"/>
      <c r="QNR48" s="21"/>
      <c r="QNS48" s="20"/>
      <c r="QNT48" s="20"/>
      <c r="QNU48" s="20"/>
      <c r="QNV48" s="20"/>
      <c r="QNW48" s="21"/>
      <c r="QNX48" s="21"/>
      <c r="QNY48" s="7"/>
      <c r="QNZ48" s="7"/>
      <c r="QOA48" s="21"/>
      <c r="QOB48" s="20"/>
      <c r="QOC48" s="20"/>
      <c r="QOD48" s="20"/>
      <c r="QOE48" s="21"/>
      <c r="QOF48" s="21"/>
      <c r="QOG48" s="21"/>
      <c r="QOH48" s="21"/>
      <c r="QOI48" s="21"/>
      <c r="QOJ48" s="20"/>
      <c r="QOK48" s="20"/>
      <c r="QOL48" s="20"/>
      <c r="QOM48" s="20"/>
      <c r="QON48" s="21"/>
      <c r="QOO48" s="21"/>
      <c r="QOP48" s="7"/>
      <c r="QOQ48" s="7"/>
      <c r="QOR48" s="21"/>
      <c r="QOS48" s="20"/>
      <c r="QOT48" s="20"/>
      <c r="QOU48" s="20"/>
      <c r="QOV48" s="21"/>
      <c r="QOW48" s="21"/>
      <c r="QOX48" s="21"/>
      <c r="QOY48" s="21"/>
      <c r="QOZ48" s="21"/>
      <c r="QPA48" s="20"/>
      <c r="QPB48" s="20"/>
      <c r="QPC48" s="20"/>
      <c r="QPD48" s="20"/>
      <c r="QPE48" s="21"/>
      <c r="QPF48" s="21"/>
      <c r="QPG48" s="7"/>
      <c r="QPH48" s="7"/>
      <c r="QPI48" s="21"/>
      <c r="QPJ48" s="20"/>
      <c r="QPK48" s="20"/>
      <c r="QPL48" s="20"/>
      <c r="QPM48" s="21"/>
      <c r="QPN48" s="21"/>
      <c r="QPO48" s="21"/>
      <c r="QPP48" s="21"/>
      <c r="QPQ48" s="21"/>
      <c r="QPR48" s="20"/>
      <c r="QPS48" s="20"/>
      <c r="QPT48" s="20"/>
      <c r="QPU48" s="20"/>
      <c r="QPV48" s="21"/>
      <c r="QPW48" s="21"/>
      <c r="QPX48" s="7"/>
      <c r="QPY48" s="7"/>
      <c r="QPZ48" s="21"/>
      <c r="QQA48" s="20"/>
      <c r="QQB48" s="20"/>
      <c r="QQC48" s="20"/>
      <c r="QQD48" s="21"/>
      <c r="QQE48" s="21"/>
      <c r="QQF48" s="21"/>
      <c r="QQG48" s="21"/>
      <c r="QQH48" s="21"/>
      <c r="QQI48" s="20"/>
      <c r="QQJ48" s="20"/>
      <c r="QQK48" s="20"/>
      <c r="QQL48" s="20"/>
      <c r="QQM48" s="21"/>
      <c r="QQN48" s="21"/>
      <c r="QQO48" s="7"/>
      <c r="QQP48" s="7"/>
      <c r="QQQ48" s="21"/>
      <c r="QQR48" s="20"/>
      <c r="QQS48" s="20"/>
      <c r="QQT48" s="20"/>
      <c r="QQU48" s="21"/>
      <c r="QQV48" s="21"/>
      <c r="QQW48" s="21"/>
      <c r="QQX48" s="21"/>
      <c r="QQY48" s="21"/>
      <c r="QQZ48" s="20"/>
      <c r="QRA48" s="20"/>
      <c r="QRB48" s="20"/>
      <c r="QRC48" s="20"/>
      <c r="QRD48" s="21"/>
      <c r="QRE48" s="21"/>
      <c r="QRF48" s="7"/>
      <c r="QRG48" s="7"/>
      <c r="QRH48" s="21"/>
      <c r="QRI48" s="20"/>
      <c r="QRJ48" s="20"/>
      <c r="QRK48" s="20"/>
      <c r="QRL48" s="21"/>
      <c r="QRM48" s="21"/>
      <c r="QRN48" s="21"/>
      <c r="QRO48" s="21"/>
      <c r="QRP48" s="21"/>
      <c r="QRQ48" s="20"/>
      <c r="QRR48" s="20"/>
      <c r="QRS48" s="20"/>
      <c r="QRT48" s="20"/>
      <c r="QRU48" s="21"/>
      <c r="QRV48" s="21"/>
      <c r="QRW48" s="7"/>
      <c r="QRX48" s="7"/>
      <c r="QRY48" s="21"/>
      <c r="QRZ48" s="20"/>
      <c r="QSA48" s="20"/>
      <c r="QSB48" s="20"/>
      <c r="QSC48" s="21"/>
      <c r="QSD48" s="21"/>
      <c r="QSE48" s="21"/>
      <c r="QSF48" s="21"/>
      <c r="QSG48" s="21"/>
      <c r="QSH48" s="20"/>
      <c r="QSI48" s="20"/>
      <c r="QSJ48" s="20"/>
      <c r="QSK48" s="20"/>
      <c r="QSL48" s="21"/>
      <c r="QSM48" s="21"/>
      <c r="QSN48" s="7"/>
      <c r="QSO48" s="7"/>
      <c r="QSP48" s="21"/>
      <c r="QSQ48" s="20"/>
      <c r="QSR48" s="20"/>
      <c r="QSS48" s="20"/>
      <c r="QST48" s="21"/>
      <c r="QSU48" s="21"/>
      <c r="QSV48" s="21"/>
      <c r="QSW48" s="21"/>
      <c r="QSX48" s="21"/>
      <c r="QSY48" s="20"/>
      <c r="QSZ48" s="20"/>
      <c r="QTA48" s="20"/>
      <c r="QTB48" s="20"/>
      <c r="QTC48" s="21"/>
      <c r="QTD48" s="21"/>
      <c r="QTE48" s="7"/>
      <c r="QTF48" s="7"/>
      <c r="QTG48" s="21"/>
      <c r="QTH48" s="20"/>
      <c r="QTI48" s="20"/>
      <c r="QTJ48" s="20"/>
      <c r="QTK48" s="21"/>
      <c r="QTL48" s="21"/>
      <c r="QTM48" s="21"/>
      <c r="QTN48" s="21"/>
      <c r="QTO48" s="21"/>
      <c r="QTP48" s="20"/>
      <c r="QTQ48" s="20"/>
      <c r="QTR48" s="20"/>
      <c r="QTS48" s="20"/>
      <c r="QTT48" s="21"/>
      <c r="QTU48" s="21"/>
      <c r="QTV48" s="7"/>
      <c r="QTW48" s="7"/>
      <c r="QTX48" s="21"/>
      <c r="QTY48" s="20"/>
      <c r="QTZ48" s="20"/>
      <c r="QUA48" s="20"/>
      <c r="QUB48" s="21"/>
      <c r="QUC48" s="21"/>
      <c r="QUD48" s="21"/>
      <c r="QUE48" s="21"/>
      <c r="QUF48" s="21"/>
      <c r="QUG48" s="20"/>
      <c r="QUH48" s="20"/>
      <c r="QUI48" s="20"/>
      <c r="QUJ48" s="20"/>
      <c r="QUK48" s="21"/>
      <c r="QUL48" s="21"/>
      <c r="QUM48" s="7"/>
      <c r="QUN48" s="7"/>
      <c r="QUO48" s="21"/>
      <c r="QUP48" s="20"/>
      <c r="QUQ48" s="20"/>
      <c r="QUR48" s="20"/>
      <c r="QUS48" s="21"/>
      <c r="QUT48" s="21"/>
      <c r="QUU48" s="21"/>
      <c r="QUV48" s="21"/>
      <c r="QUW48" s="21"/>
      <c r="QUX48" s="20"/>
      <c r="QUY48" s="20"/>
      <c r="QUZ48" s="20"/>
      <c r="QVA48" s="20"/>
      <c r="QVB48" s="21"/>
      <c r="QVC48" s="21"/>
      <c r="QVD48" s="7"/>
      <c r="QVE48" s="7"/>
      <c r="QVF48" s="21"/>
      <c r="QVG48" s="20"/>
      <c r="QVH48" s="20"/>
      <c r="QVI48" s="20"/>
      <c r="QVJ48" s="21"/>
      <c r="QVK48" s="21"/>
      <c r="QVL48" s="21"/>
      <c r="QVM48" s="21"/>
      <c r="QVN48" s="21"/>
      <c r="QVO48" s="20"/>
      <c r="QVP48" s="20"/>
      <c r="QVQ48" s="20"/>
      <c r="QVR48" s="20"/>
      <c r="QVS48" s="21"/>
      <c r="QVT48" s="21"/>
      <c r="QVU48" s="7"/>
      <c r="QVV48" s="7"/>
      <c r="QVW48" s="21"/>
      <c r="QVX48" s="20"/>
      <c r="QVY48" s="20"/>
      <c r="QVZ48" s="20"/>
      <c r="QWA48" s="21"/>
      <c r="QWB48" s="21"/>
      <c r="QWC48" s="21"/>
      <c r="QWD48" s="21"/>
      <c r="QWE48" s="21"/>
      <c r="QWF48" s="20"/>
      <c r="QWG48" s="20"/>
      <c r="QWH48" s="20"/>
      <c r="QWI48" s="20"/>
      <c r="QWJ48" s="21"/>
      <c r="QWK48" s="21"/>
      <c r="QWL48" s="7"/>
      <c r="QWM48" s="7"/>
      <c r="QWN48" s="21"/>
      <c r="QWO48" s="20"/>
      <c r="QWP48" s="20"/>
      <c r="QWQ48" s="20"/>
      <c r="QWR48" s="21"/>
      <c r="QWS48" s="21"/>
      <c r="QWT48" s="21"/>
      <c r="QWU48" s="21"/>
      <c r="QWV48" s="21"/>
      <c r="QWW48" s="20"/>
      <c r="QWX48" s="20"/>
      <c r="QWY48" s="20"/>
      <c r="QWZ48" s="20"/>
      <c r="QXA48" s="21"/>
      <c r="QXB48" s="21"/>
      <c r="QXC48" s="7"/>
      <c r="QXD48" s="7"/>
      <c r="QXE48" s="21"/>
      <c r="QXF48" s="20"/>
      <c r="QXG48" s="20"/>
      <c r="QXH48" s="20"/>
      <c r="QXI48" s="21"/>
      <c r="QXJ48" s="21"/>
      <c r="QXK48" s="21"/>
      <c r="QXL48" s="21"/>
      <c r="QXM48" s="21"/>
      <c r="QXN48" s="20"/>
      <c r="QXO48" s="20"/>
      <c r="QXP48" s="20"/>
      <c r="QXQ48" s="20"/>
      <c r="QXR48" s="21"/>
      <c r="QXS48" s="21"/>
      <c r="QXT48" s="7"/>
      <c r="QXU48" s="7"/>
      <c r="QXV48" s="21"/>
      <c r="QXW48" s="20"/>
      <c r="QXX48" s="20"/>
      <c r="QXY48" s="20"/>
      <c r="QXZ48" s="21"/>
      <c r="QYA48" s="21"/>
      <c r="QYB48" s="21"/>
      <c r="QYC48" s="21"/>
      <c r="QYD48" s="21"/>
      <c r="QYE48" s="20"/>
      <c r="QYF48" s="20"/>
      <c r="QYG48" s="20"/>
      <c r="QYH48" s="20"/>
      <c r="QYI48" s="21"/>
      <c r="QYJ48" s="21"/>
      <c r="QYK48" s="7"/>
      <c r="QYL48" s="7"/>
      <c r="QYM48" s="21"/>
      <c r="QYN48" s="20"/>
      <c r="QYO48" s="20"/>
      <c r="QYP48" s="20"/>
      <c r="QYQ48" s="21"/>
      <c r="QYR48" s="21"/>
      <c r="QYS48" s="21"/>
      <c r="QYT48" s="21"/>
      <c r="QYU48" s="21"/>
      <c r="QYV48" s="20"/>
      <c r="QYW48" s="20"/>
      <c r="QYX48" s="20"/>
      <c r="QYY48" s="20"/>
      <c r="QYZ48" s="21"/>
      <c r="QZA48" s="21"/>
      <c r="QZB48" s="7"/>
      <c r="QZC48" s="7"/>
      <c r="QZD48" s="21"/>
      <c r="QZE48" s="20"/>
      <c r="QZF48" s="20"/>
      <c r="QZG48" s="20"/>
      <c r="QZH48" s="21"/>
      <c r="QZI48" s="21"/>
      <c r="QZJ48" s="21"/>
      <c r="QZK48" s="21"/>
      <c r="QZL48" s="21"/>
      <c r="QZM48" s="20"/>
      <c r="QZN48" s="20"/>
      <c r="QZO48" s="20"/>
      <c r="QZP48" s="20"/>
      <c r="QZQ48" s="21"/>
      <c r="QZR48" s="21"/>
      <c r="QZS48" s="7"/>
      <c r="QZT48" s="7"/>
      <c r="QZU48" s="21"/>
      <c r="QZV48" s="20"/>
      <c r="QZW48" s="20"/>
      <c r="QZX48" s="20"/>
      <c r="QZY48" s="21"/>
      <c r="QZZ48" s="21"/>
      <c r="RAA48" s="21"/>
      <c r="RAB48" s="21"/>
      <c r="RAC48" s="21"/>
      <c r="RAD48" s="20"/>
      <c r="RAE48" s="20"/>
      <c r="RAF48" s="20"/>
      <c r="RAG48" s="20"/>
      <c r="RAH48" s="21"/>
      <c r="RAI48" s="21"/>
      <c r="RAJ48" s="7"/>
      <c r="RAK48" s="7"/>
      <c r="RAL48" s="21"/>
      <c r="RAM48" s="20"/>
      <c r="RAN48" s="20"/>
      <c r="RAO48" s="20"/>
      <c r="RAP48" s="21"/>
      <c r="RAQ48" s="21"/>
      <c r="RAR48" s="21"/>
      <c r="RAS48" s="21"/>
      <c r="RAT48" s="21"/>
      <c r="RAU48" s="20"/>
      <c r="RAV48" s="20"/>
      <c r="RAW48" s="20"/>
      <c r="RAX48" s="20"/>
      <c r="RAY48" s="21"/>
      <c r="RAZ48" s="21"/>
      <c r="RBA48" s="7"/>
      <c r="RBB48" s="7"/>
      <c r="RBC48" s="21"/>
      <c r="RBD48" s="20"/>
      <c r="RBE48" s="20"/>
      <c r="RBF48" s="20"/>
      <c r="RBG48" s="21"/>
      <c r="RBH48" s="21"/>
      <c r="RBI48" s="21"/>
      <c r="RBJ48" s="21"/>
      <c r="RBK48" s="21"/>
      <c r="RBL48" s="20"/>
      <c r="RBM48" s="20"/>
      <c r="RBN48" s="20"/>
      <c r="RBO48" s="20"/>
      <c r="RBP48" s="21"/>
      <c r="RBQ48" s="21"/>
      <c r="RBR48" s="7"/>
      <c r="RBS48" s="7"/>
      <c r="RBT48" s="21"/>
      <c r="RBU48" s="20"/>
      <c r="RBV48" s="20"/>
      <c r="RBW48" s="20"/>
      <c r="RBX48" s="21"/>
      <c r="RBY48" s="21"/>
      <c r="RBZ48" s="21"/>
      <c r="RCA48" s="21"/>
      <c r="RCB48" s="21"/>
      <c r="RCC48" s="20"/>
      <c r="RCD48" s="20"/>
      <c r="RCE48" s="20"/>
      <c r="RCF48" s="20"/>
      <c r="RCG48" s="21"/>
      <c r="RCH48" s="21"/>
      <c r="RCI48" s="7"/>
      <c r="RCJ48" s="7"/>
      <c r="RCK48" s="21"/>
      <c r="RCL48" s="20"/>
      <c r="RCM48" s="20"/>
      <c r="RCN48" s="20"/>
      <c r="RCO48" s="21"/>
      <c r="RCP48" s="21"/>
      <c r="RCQ48" s="21"/>
      <c r="RCR48" s="21"/>
      <c r="RCS48" s="21"/>
      <c r="RCT48" s="20"/>
      <c r="RCU48" s="20"/>
      <c r="RCV48" s="20"/>
      <c r="RCW48" s="20"/>
      <c r="RCX48" s="21"/>
      <c r="RCY48" s="21"/>
      <c r="RCZ48" s="7"/>
      <c r="RDA48" s="7"/>
      <c r="RDB48" s="21"/>
      <c r="RDC48" s="20"/>
      <c r="RDD48" s="20"/>
      <c r="RDE48" s="20"/>
      <c r="RDF48" s="21"/>
      <c r="RDG48" s="21"/>
      <c r="RDH48" s="21"/>
      <c r="RDI48" s="21"/>
      <c r="RDJ48" s="21"/>
      <c r="RDK48" s="20"/>
      <c r="RDL48" s="20"/>
      <c r="RDM48" s="20"/>
      <c r="RDN48" s="20"/>
      <c r="RDO48" s="21"/>
      <c r="RDP48" s="21"/>
      <c r="RDQ48" s="7"/>
      <c r="RDR48" s="7"/>
      <c r="RDS48" s="21"/>
      <c r="RDT48" s="20"/>
      <c r="RDU48" s="20"/>
      <c r="RDV48" s="20"/>
      <c r="RDW48" s="21"/>
      <c r="RDX48" s="21"/>
      <c r="RDY48" s="21"/>
      <c r="RDZ48" s="21"/>
      <c r="REA48" s="21"/>
      <c r="REB48" s="20"/>
      <c r="REC48" s="20"/>
      <c r="RED48" s="20"/>
      <c r="REE48" s="20"/>
      <c r="REF48" s="21"/>
      <c r="REG48" s="21"/>
      <c r="REH48" s="7"/>
      <c r="REI48" s="7"/>
      <c r="REJ48" s="21"/>
      <c r="REK48" s="20"/>
      <c r="REL48" s="20"/>
      <c r="REM48" s="20"/>
      <c r="REN48" s="21"/>
      <c r="REO48" s="21"/>
      <c r="REP48" s="21"/>
      <c r="REQ48" s="21"/>
      <c r="RER48" s="21"/>
      <c r="RES48" s="20"/>
      <c r="RET48" s="20"/>
      <c r="REU48" s="20"/>
      <c r="REV48" s="20"/>
      <c r="REW48" s="21"/>
      <c r="REX48" s="21"/>
      <c r="REY48" s="7"/>
      <c r="REZ48" s="7"/>
      <c r="RFA48" s="21"/>
      <c r="RFB48" s="20"/>
      <c r="RFC48" s="20"/>
      <c r="RFD48" s="20"/>
      <c r="RFE48" s="21"/>
      <c r="RFF48" s="21"/>
      <c r="RFG48" s="21"/>
      <c r="RFH48" s="21"/>
      <c r="RFI48" s="21"/>
      <c r="RFJ48" s="20"/>
      <c r="RFK48" s="20"/>
      <c r="RFL48" s="20"/>
      <c r="RFM48" s="20"/>
      <c r="RFN48" s="21"/>
      <c r="RFO48" s="21"/>
      <c r="RFP48" s="7"/>
      <c r="RFQ48" s="7"/>
      <c r="RFR48" s="21"/>
      <c r="RFS48" s="20"/>
      <c r="RFT48" s="20"/>
      <c r="RFU48" s="20"/>
      <c r="RFV48" s="21"/>
      <c r="RFW48" s="21"/>
      <c r="RFX48" s="21"/>
      <c r="RFY48" s="21"/>
      <c r="RFZ48" s="21"/>
      <c r="RGA48" s="20"/>
      <c r="RGB48" s="20"/>
      <c r="RGC48" s="20"/>
      <c r="RGD48" s="20"/>
      <c r="RGE48" s="21"/>
      <c r="RGF48" s="21"/>
      <c r="RGG48" s="7"/>
      <c r="RGH48" s="7"/>
      <c r="RGI48" s="21"/>
      <c r="RGJ48" s="20"/>
      <c r="RGK48" s="20"/>
      <c r="RGL48" s="20"/>
      <c r="RGM48" s="21"/>
      <c r="RGN48" s="21"/>
      <c r="RGO48" s="21"/>
      <c r="RGP48" s="21"/>
      <c r="RGQ48" s="21"/>
      <c r="RGR48" s="20"/>
      <c r="RGS48" s="20"/>
      <c r="RGT48" s="20"/>
      <c r="RGU48" s="20"/>
      <c r="RGV48" s="21"/>
      <c r="RGW48" s="21"/>
      <c r="RGX48" s="7"/>
      <c r="RGY48" s="7"/>
      <c r="RGZ48" s="21"/>
      <c r="RHA48" s="20"/>
      <c r="RHB48" s="20"/>
      <c r="RHC48" s="20"/>
      <c r="RHD48" s="21"/>
      <c r="RHE48" s="21"/>
      <c r="RHF48" s="21"/>
      <c r="RHG48" s="21"/>
      <c r="RHH48" s="21"/>
      <c r="RHI48" s="20"/>
      <c r="RHJ48" s="20"/>
      <c r="RHK48" s="20"/>
      <c r="RHL48" s="20"/>
      <c r="RHM48" s="21"/>
      <c r="RHN48" s="21"/>
      <c r="RHO48" s="7"/>
      <c r="RHP48" s="7"/>
      <c r="RHQ48" s="21"/>
      <c r="RHR48" s="20"/>
      <c r="RHS48" s="20"/>
      <c r="RHT48" s="20"/>
      <c r="RHU48" s="21"/>
      <c r="RHV48" s="21"/>
      <c r="RHW48" s="21"/>
      <c r="RHX48" s="21"/>
      <c r="RHY48" s="21"/>
      <c r="RHZ48" s="20"/>
      <c r="RIA48" s="20"/>
      <c r="RIB48" s="20"/>
      <c r="RIC48" s="20"/>
      <c r="RID48" s="21"/>
      <c r="RIE48" s="21"/>
      <c r="RIF48" s="7"/>
      <c r="RIG48" s="7"/>
      <c r="RIH48" s="21"/>
      <c r="RII48" s="20"/>
      <c r="RIJ48" s="20"/>
      <c r="RIK48" s="20"/>
      <c r="RIL48" s="21"/>
      <c r="RIM48" s="21"/>
      <c r="RIN48" s="21"/>
      <c r="RIO48" s="21"/>
      <c r="RIP48" s="21"/>
      <c r="RIQ48" s="20"/>
      <c r="RIR48" s="20"/>
      <c r="RIS48" s="20"/>
      <c r="RIT48" s="20"/>
      <c r="RIU48" s="21"/>
      <c r="RIV48" s="21"/>
      <c r="RIW48" s="7"/>
      <c r="RIX48" s="7"/>
      <c r="RIY48" s="21"/>
      <c r="RIZ48" s="20"/>
      <c r="RJA48" s="20"/>
      <c r="RJB48" s="20"/>
      <c r="RJC48" s="21"/>
      <c r="RJD48" s="21"/>
      <c r="RJE48" s="21"/>
      <c r="RJF48" s="21"/>
      <c r="RJG48" s="21"/>
      <c r="RJH48" s="20"/>
      <c r="RJI48" s="20"/>
      <c r="RJJ48" s="20"/>
      <c r="RJK48" s="20"/>
      <c r="RJL48" s="21"/>
      <c r="RJM48" s="21"/>
      <c r="RJN48" s="7"/>
      <c r="RJO48" s="7"/>
      <c r="RJP48" s="21"/>
      <c r="RJQ48" s="20"/>
      <c r="RJR48" s="20"/>
      <c r="RJS48" s="20"/>
      <c r="RJT48" s="21"/>
      <c r="RJU48" s="21"/>
      <c r="RJV48" s="21"/>
      <c r="RJW48" s="21"/>
      <c r="RJX48" s="21"/>
      <c r="RJY48" s="20"/>
      <c r="RJZ48" s="20"/>
      <c r="RKA48" s="20"/>
      <c r="RKB48" s="20"/>
      <c r="RKC48" s="21"/>
      <c r="RKD48" s="21"/>
      <c r="RKE48" s="7"/>
      <c r="RKF48" s="7"/>
      <c r="RKG48" s="21"/>
      <c r="RKH48" s="20"/>
      <c r="RKI48" s="20"/>
      <c r="RKJ48" s="20"/>
      <c r="RKK48" s="21"/>
      <c r="RKL48" s="21"/>
      <c r="RKM48" s="21"/>
      <c r="RKN48" s="21"/>
      <c r="RKO48" s="21"/>
      <c r="RKP48" s="20"/>
      <c r="RKQ48" s="20"/>
      <c r="RKR48" s="20"/>
      <c r="RKS48" s="20"/>
      <c r="RKT48" s="21"/>
      <c r="RKU48" s="21"/>
      <c r="RKV48" s="7"/>
      <c r="RKW48" s="7"/>
      <c r="RKX48" s="21"/>
      <c r="RKY48" s="20"/>
      <c r="RKZ48" s="20"/>
      <c r="RLA48" s="20"/>
      <c r="RLB48" s="21"/>
      <c r="RLC48" s="21"/>
      <c r="RLD48" s="21"/>
      <c r="RLE48" s="21"/>
      <c r="RLF48" s="21"/>
      <c r="RLG48" s="20"/>
      <c r="RLH48" s="20"/>
      <c r="RLI48" s="20"/>
      <c r="RLJ48" s="20"/>
      <c r="RLK48" s="21"/>
      <c r="RLL48" s="21"/>
      <c r="RLM48" s="7"/>
      <c r="RLN48" s="7"/>
      <c r="RLO48" s="21"/>
      <c r="RLP48" s="20"/>
      <c r="RLQ48" s="20"/>
      <c r="RLR48" s="20"/>
      <c r="RLS48" s="21"/>
      <c r="RLT48" s="21"/>
      <c r="RLU48" s="21"/>
      <c r="RLV48" s="21"/>
      <c r="RLW48" s="21"/>
      <c r="RLX48" s="20"/>
      <c r="RLY48" s="20"/>
      <c r="RLZ48" s="20"/>
      <c r="RMA48" s="20"/>
      <c r="RMB48" s="21"/>
      <c r="RMC48" s="21"/>
      <c r="RMD48" s="7"/>
      <c r="RME48" s="7"/>
      <c r="RMF48" s="21"/>
      <c r="RMG48" s="20"/>
      <c r="RMH48" s="20"/>
      <c r="RMI48" s="20"/>
      <c r="RMJ48" s="21"/>
      <c r="RMK48" s="21"/>
      <c r="RML48" s="21"/>
      <c r="RMM48" s="21"/>
      <c r="RMN48" s="21"/>
      <c r="RMO48" s="20"/>
      <c r="RMP48" s="20"/>
      <c r="RMQ48" s="20"/>
      <c r="RMR48" s="20"/>
      <c r="RMS48" s="21"/>
      <c r="RMT48" s="21"/>
      <c r="RMU48" s="7"/>
      <c r="RMV48" s="7"/>
      <c r="RMW48" s="21"/>
      <c r="RMX48" s="20"/>
      <c r="RMY48" s="20"/>
      <c r="RMZ48" s="20"/>
      <c r="RNA48" s="21"/>
      <c r="RNB48" s="21"/>
      <c r="RNC48" s="21"/>
      <c r="RND48" s="21"/>
      <c r="RNE48" s="21"/>
      <c r="RNF48" s="20"/>
      <c r="RNG48" s="20"/>
      <c r="RNH48" s="20"/>
      <c r="RNI48" s="20"/>
      <c r="RNJ48" s="21"/>
      <c r="RNK48" s="21"/>
      <c r="RNL48" s="7"/>
      <c r="RNM48" s="7"/>
      <c r="RNN48" s="21"/>
      <c r="RNO48" s="20"/>
      <c r="RNP48" s="20"/>
      <c r="RNQ48" s="20"/>
      <c r="RNR48" s="21"/>
      <c r="RNS48" s="21"/>
      <c r="RNT48" s="21"/>
      <c r="RNU48" s="21"/>
      <c r="RNV48" s="21"/>
      <c r="RNW48" s="20"/>
      <c r="RNX48" s="20"/>
      <c r="RNY48" s="20"/>
      <c r="RNZ48" s="20"/>
      <c r="ROA48" s="21"/>
      <c r="ROB48" s="21"/>
      <c r="ROC48" s="7"/>
      <c r="ROD48" s="7"/>
      <c r="ROE48" s="21"/>
      <c r="ROF48" s="20"/>
      <c r="ROG48" s="20"/>
      <c r="ROH48" s="20"/>
      <c r="ROI48" s="21"/>
      <c r="ROJ48" s="21"/>
      <c r="ROK48" s="21"/>
      <c r="ROL48" s="21"/>
      <c r="ROM48" s="21"/>
      <c r="RON48" s="20"/>
      <c r="ROO48" s="20"/>
      <c r="ROP48" s="20"/>
      <c r="ROQ48" s="20"/>
      <c r="ROR48" s="21"/>
      <c r="ROS48" s="21"/>
      <c r="ROT48" s="7"/>
      <c r="ROU48" s="7"/>
      <c r="ROV48" s="21"/>
      <c r="ROW48" s="20"/>
      <c r="ROX48" s="20"/>
      <c r="ROY48" s="20"/>
      <c r="ROZ48" s="21"/>
      <c r="RPA48" s="21"/>
      <c r="RPB48" s="21"/>
      <c r="RPC48" s="21"/>
      <c r="RPD48" s="21"/>
      <c r="RPE48" s="20"/>
      <c r="RPF48" s="20"/>
      <c r="RPG48" s="20"/>
      <c r="RPH48" s="20"/>
      <c r="RPI48" s="21"/>
      <c r="RPJ48" s="21"/>
      <c r="RPK48" s="7"/>
      <c r="RPL48" s="7"/>
      <c r="RPM48" s="21"/>
      <c r="RPN48" s="20"/>
      <c r="RPO48" s="20"/>
      <c r="RPP48" s="20"/>
      <c r="RPQ48" s="21"/>
      <c r="RPR48" s="21"/>
      <c r="RPS48" s="21"/>
      <c r="RPT48" s="21"/>
      <c r="RPU48" s="21"/>
      <c r="RPV48" s="20"/>
      <c r="RPW48" s="20"/>
      <c r="RPX48" s="20"/>
      <c r="RPY48" s="20"/>
      <c r="RPZ48" s="21"/>
      <c r="RQA48" s="21"/>
      <c r="RQB48" s="7"/>
      <c r="RQC48" s="7"/>
      <c r="RQD48" s="21"/>
      <c r="RQE48" s="20"/>
      <c r="RQF48" s="20"/>
      <c r="RQG48" s="20"/>
      <c r="RQH48" s="21"/>
      <c r="RQI48" s="21"/>
      <c r="RQJ48" s="21"/>
      <c r="RQK48" s="21"/>
      <c r="RQL48" s="21"/>
      <c r="RQM48" s="20"/>
      <c r="RQN48" s="20"/>
      <c r="RQO48" s="20"/>
      <c r="RQP48" s="20"/>
      <c r="RQQ48" s="21"/>
      <c r="RQR48" s="21"/>
      <c r="RQS48" s="7"/>
      <c r="RQT48" s="7"/>
      <c r="RQU48" s="21"/>
      <c r="RQV48" s="20"/>
      <c r="RQW48" s="20"/>
      <c r="RQX48" s="20"/>
      <c r="RQY48" s="21"/>
      <c r="RQZ48" s="21"/>
      <c r="RRA48" s="21"/>
      <c r="RRB48" s="21"/>
      <c r="RRC48" s="21"/>
      <c r="RRD48" s="20"/>
      <c r="RRE48" s="20"/>
      <c r="RRF48" s="20"/>
      <c r="RRG48" s="20"/>
      <c r="RRH48" s="21"/>
      <c r="RRI48" s="21"/>
      <c r="RRJ48" s="7"/>
      <c r="RRK48" s="7"/>
      <c r="RRL48" s="21"/>
      <c r="RRM48" s="20"/>
      <c r="RRN48" s="20"/>
      <c r="RRO48" s="20"/>
      <c r="RRP48" s="21"/>
      <c r="RRQ48" s="21"/>
      <c r="RRR48" s="21"/>
      <c r="RRS48" s="21"/>
      <c r="RRT48" s="21"/>
      <c r="RRU48" s="20"/>
      <c r="RRV48" s="20"/>
      <c r="RRW48" s="20"/>
      <c r="RRX48" s="20"/>
      <c r="RRY48" s="21"/>
      <c r="RRZ48" s="21"/>
      <c r="RSA48" s="7"/>
      <c r="RSB48" s="7"/>
      <c r="RSC48" s="21"/>
      <c r="RSD48" s="20"/>
      <c r="RSE48" s="20"/>
      <c r="RSF48" s="20"/>
      <c r="RSG48" s="21"/>
      <c r="RSH48" s="21"/>
      <c r="RSI48" s="21"/>
      <c r="RSJ48" s="21"/>
      <c r="RSK48" s="21"/>
      <c r="RSL48" s="20"/>
      <c r="RSM48" s="20"/>
      <c r="RSN48" s="20"/>
      <c r="RSO48" s="20"/>
      <c r="RSP48" s="21"/>
      <c r="RSQ48" s="21"/>
      <c r="RSR48" s="7"/>
      <c r="RSS48" s="7"/>
      <c r="RST48" s="21"/>
      <c r="RSU48" s="20"/>
      <c r="RSV48" s="20"/>
      <c r="RSW48" s="20"/>
      <c r="RSX48" s="21"/>
      <c r="RSY48" s="21"/>
      <c r="RSZ48" s="21"/>
      <c r="RTA48" s="21"/>
      <c r="RTB48" s="21"/>
      <c r="RTC48" s="20"/>
      <c r="RTD48" s="20"/>
      <c r="RTE48" s="20"/>
      <c r="RTF48" s="20"/>
      <c r="RTG48" s="21"/>
      <c r="RTH48" s="21"/>
      <c r="RTI48" s="7"/>
      <c r="RTJ48" s="7"/>
      <c r="RTK48" s="21"/>
      <c r="RTL48" s="20"/>
      <c r="RTM48" s="20"/>
      <c r="RTN48" s="20"/>
      <c r="RTO48" s="21"/>
      <c r="RTP48" s="21"/>
      <c r="RTQ48" s="21"/>
      <c r="RTR48" s="21"/>
      <c r="RTS48" s="21"/>
      <c r="RTT48" s="20"/>
      <c r="RTU48" s="20"/>
      <c r="RTV48" s="20"/>
      <c r="RTW48" s="20"/>
      <c r="RTX48" s="21"/>
      <c r="RTY48" s="21"/>
      <c r="RTZ48" s="7"/>
      <c r="RUA48" s="7"/>
      <c r="RUB48" s="21"/>
      <c r="RUC48" s="20"/>
      <c r="RUD48" s="20"/>
      <c r="RUE48" s="20"/>
      <c r="RUF48" s="21"/>
      <c r="RUG48" s="21"/>
      <c r="RUH48" s="21"/>
      <c r="RUI48" s="21"/>
      <c r="RUJ48" s="21"/>
      <c r="RUK48" s="20"/>
      <c r="RUL48" s="20"/>
      <c r="RUM48" s="20"/>
      <c r="RUN48" s="20"/>
      <c r="RUO48" s="21"/>
      <c r="RUP48" s="21"/>
      <c r="RUQ48" s="7"/>
      <c r="RUR48" s="7"/>
      <c r="RUS48" s="21"/>
      <c r="RUT48" s="20"/>
      <c r="RUU48" s="20"/>
      <c r="RUV48" s="20"/>
      <c r="RUW48" s="21"/>
      <c r="RUX48" s="21"/>
      <c r="RUY48" s="21"/>
      <c r="RUZ48" s="21"/>
      <c r="RVA48" s="21"/>
      <c r="RVB48" s="20"/>
      <c r="RVC48" s="20"/>
      <c r="RVD48" s="20"/>
      <c r="RVE48" s="20"/>
      <c r="RVF48" s="21"/>
      <c r="RVG48" s="21"/>
      <c r="RVH48" s="7"/>
      <c r="RVI48" s="7"/>
      <c r="RVJ48" s="21"/>
      <c r="RVK48" s="20"/>
      <c r="RVL48" s="20"/>
      <c r="RVM48" s="20"/>
      <c r="RVN48" s="21"/>
      <c r="RVO48" s="21"/>
      <c r="RVP48" s="21"/>
      <c r="RVQ48" s="21"/>
      <c r="RVR48" s="21"/>
      <c r="RVS48" s="20"/>
      <c r="RVT48" s="20"/>
      <c r="RVU48" s="20"/>
      <c r="RVV48" s="20"/>
      <c r="RVW48" s="21"/>
      <c r="RVX48" s="21"/>
      <c r="RVY48" s="7"/>
      <c r="RVZ48" s="7"/>
      <c r="RWA48" s="21"/>
      <c r="RWB48" s="20"/>
      <c r="RWC48" s="20"/>
      <c r="RWD48" s="20"/>
      <c r="RWE48" s="21"/>
      <c r="RWF48" s="21"/>
      <c r="RWG48" s="21"/>
      <c r="RWH48" s="21"/>
      <c r="RWI48" s="21"/>
      <c r="RWJ48" s="20"/>
      <c r="RWK48" s="20"/>
      <c r="RWL48" s="20"/>
      <c r="RWM48" s="20"/>
      <c r="RWN48" s="21"/>
      <c r="RWO48" s="21"/>
      <c r="RWP48" s="7"/>
      <c r="RWQ48" s="7"/>
      <c r="RWR48" s="21"/>
      <c r="RWS48" s="20"/>
      <c r="RWT48" s="20"/>
      <c r="RWU48" s="20"/>
      <c r="RWV48" s="21"/>
      <c r="RWW48" s="21"/>
      <c r="RWX48" s="21"/>
      <c r="RWY48" s="21"/>
      <c r="RWZ48" s="21"/>
      <c r="RXA48" s="20"/>
      <c r="RXB48" s="20"/>
      <c r="RXC48" s="20"/>
      <c r="RXD48" s="20"/>
      <c r="RXE48" s="21"/>
      <c r="RXF48" s="21"/>
      <c r="RXG48" s="7"/>
      <c r="RXH48" s="7"/>
      <c r="RXI48" s="21"/>
      <c r="RXJ48" s="20"/>
      <c r="RXK48" s="20"/>
      <c r="RXL48" s="20"/>
      <c r="RXM48" s="21"/>
      <c r="RXN48" s="21"/>
      <c r="RXO48" s="21"/>
      <c r="RXP48" s="21"/>
      <c r="RXQ48" s="21"/>
      <c r="RXR48" s="20"/>
      <c r="RXS48" s="20"/>
      <c r="RXT48" s="20"/>
      <c r="RXU48" s="20"/>
      <c r="RXV48" s="21"/>
      <c r="RXW48" s="21"/>
      <c r="RXX48" s="7"/>
      <c r="RXY48" s="7"/>
      <c r="RXZ48" s="21"/>
      <c r="RYA48" s="20"/>
      <c r="RYB48" s="20"/>
      <c r="RYC48" s="20"/>
      <c r="RYD48" s="21"/>
      <c r="RYE48" s="21"/>
      <c r="RYF48" s="21"/>
      <c r="RYG48" s="21"/>
      <c r="RYH48" s="21"/>
      <c r="RYI48" s="20"/>
      <c r="RYJ48" s="20"/>
      <c r="RYK48" s="20"/>
      <c r="RYL48" s="20"/>
      <c r="RYM48" s="21"/>
      <c r="RYN48" s="21"/>
      <c r="RYO48" s="7"/>
      <c r="RYP48" s="7"/>
      <c r="RYQ48" s="21"/>
      <c r="RYR48" s="20"/>
      <c r="RYS48" s="20"/>
      <c r="RYT48" s="20"/>
      <c r="RYU48" s="21"/>
      <c r="RYV48" s="21"/>
      <c r="RYW48" s="21"/>
      <c r="RYX48" s="21"/>
      <c r="RYY48" s="21"/>
      <c r="RYZ48" s="20"/>
      <c r="RZA48" s="20"/>
      <c r="RZB48" s="20"/>
      <c r="RZC48" s="20"/>
      <c r="RZD48" s="21"/>
      <c r="RZE48" s="21"/>
      <c r="RZF48" s="7"/>
      <c r="RZG48" s="7"/>
      <c r="RZH48" s="21"/>
      <c r="RZI48" s="20"/>
      <c r="RZJ48" s="20"/>
      <c r="RZK48" s="20"/>
      <c r="RZL48" s="21"/>
      <c r="RZM48" s="21"/>
      <c r="RZN48" s="21"/>
      <c r="RZO48" s="21"/>
      <c r="RZP48" s="21"/>
      <c r="RZQ48" s="20"/>
      <c r="RZR48" s="20"/>
      <c r="RZS48" s="20"/>
      <c r="RZT48" s="20"/>
      <c r="RZU48" s="21"/>
      <c r="RZV48" s="21"/>
      <c r="RZW48" s="7"/>
      <c r="RZX48" s="7"/>
      <c r="RZY48" s="21"/>
      <c r="RZZ48" s="20"/>
      <c r="SAA48" s="20"/>
      <c r="SAB48" s="20"/>
      <c r="SAC48" s="21"/>
      <c r="SAD48" s="21"/>
      <c r="SAE48" s="21"/>
      <c r="SAF48" s="21"/>
      <c r="SAG48" s="21"/>
      <c r="SAH48" s="20"/>
      <c r="SAI48" s="20"/>
      <c r="SAJ48" s="20"/>
      <c r="SAK48" s="20"/>
      <c r="SAL48" s="21"/>
      <c r="SAM48" s="21"/>
      <c r="SAN48" s="7"/>
      <c r="SAO48" s="7"/>
      <c r="SAP48" s="21"/>
      <c r="SAQ48" s="20"/>
      <c r="SAR48" s="20"/>
      <c r="SAS48" s="20"/>
      <c r="SAT48" s="21"/>
      <c r="SAU48" s="21"/>
      <c r="SAV48" s="21"/>
      <c r="SAW48" s="21"/>
      <c r="SAX48" s="21"/>
      <c r="SAY48" s="20"/>
      <c r="SAZ48" s="20"/>
      <c r="SBA48" s="20"/>
      <c r="SBB48" s="20"/>
      <c r="SBC48" s="21"/>
      <c r="SBD48" s="21"/>
      <c r="SBE48" s="7"/>
      <c r="SBF48" s="7"/>
      <c r="SBG48" s="21"/>
      <c r="SBH48" s="20"/>
      <c r="SBI48" s="20"/>
      <c r="SBJ48" s="20"/>
      <c r="SBK48" s="21"/>
      <c r="SBL48" s="21"/>
      <c r="SBM48" s="21"/>
      <c r="SBN48" s="21"/>
      <c r="SBO48" s="21"/>
      <c r="SBP48" s="20"/>
      <c r="SBQ48" s="20"/>
      <c r="SBR48" s="20"/>
      <c r="SBS48" s="20"/>
      <c r="SBT48" s="21"/>
      <c r="SBU48" s="21"/>
      <c r="SBV48" s="7"/>
      <c r="SBW48" s="7"/>
      <c r="SBX48" s="21"/>
      <c r="SBY48" s="20"/>
      <c r="SBZ48" s="20"/>
      <c r="SCA48" s="20"/>
      <c r="SCB48" s="21"/>
      <c r="SCC48" s="21"/>
      <c r="SCD48" s="21"/>
      <c r="SCE48" s="21"/>
      <c r="SCF48" s="21"/>
      <c r="SCG48" s="20"/>
      <c r="SCH48" s="20"/>
      <c r="SCI48" s="20"/>
      <c r="SCJ48" s="20"/>
      <c r="SCK48" s="21"/>
      <c r="SCL48" s="21"/>
      <c r="SCM48" s="7"/>
      <c r="SCN48" s="7"/>
      <c r="SCO48" s="21"/>
      <c r="SCP48" s="20"/>
      <c r="SCQ48" s="20"/>
      <c r="SCR48" s="20"/>
      <c r="SCS48" s="21"/>
      <c r="SCT48" s="21"/>
      <c r="SCU48" s="21"/>
      <c r="SCV48" s="21"/>
      <c r="SCW48" s="21"/>
      <c r="SCX48" s="20"/>
      <c r="SCY48" s="20"/>
      <c r="SCZ48" s="20"/>
      <c r="SDA48" s="20"/>
      <c r="SDB48" s="21"/>
      <c r="SDC48" s="21"/>
      <c r="SDD48" s="7"/>
      <c r="SDE48" s="7"/>
      <c r="SDF48" s="21"/>
      <c r="SDG48" s="20"/>
      <c r="SDH48" s="20"/>
      <c r="SDI48" s="20"/>
      <c r="SDJ48" s="21"/>
      <c r="SDK48" s="21"/>
      <c r="SDL48" s="21"/>
      <c r="SDM48" s="21"/>
      <c r="SDN48" s="21"/>
      <c r="SDO48" s="20"/>
      <c r="SDP48" s="20"/>
      <c r="SDQ48" s="20"/>
      <c r="SDR48" s="20"/>
      <c r="SDS48" s="21"/>
      <c r="SDT48" s="21"/>
      <c r="SDU48" s="7"/>
      <c r="SDV48" s="7"/>
      <c r="SDW48" s="21"/>
      <c r="SDX48" s="20"/>
      <c r="SDY48" s="20"/>
      <c r="SDZ48" s="20"/>
      <c r="SEA48" s="21"/>
      <c r="SEB48" s="21"/>
      <c r="SEC48" s="21"/>
      <c r="SED48" s="21"/>
      <c r="SEE48" s="21"/>
      <c r="SEF48" s="20"/>
      <c r="SEG48" s="20"/>
      <c r="SEH48" s="20"/>
      <c r="SEI48" s="20"/>
      <c r="SEJ48" s="21"/>
      <c r="SEK48" s="21"/>
      <c r="SEL48" s="7"/>
      <c r="SEM48" s="7"/>
      <c r="SEN48" s="21"/>
      <c r="SEO48" s="20"/>
      <c r="SEP48" s="20"/>
      <c r="SEQ48" s="20"/>
      <c r="SER48" s="21"/>
      <c r="SES48" s="21"/>
      <c r="SET48" s="21"/>
      <c r="SEU48" s="21"/>
      <c r="SEV48" s="21"/>
      <c r="SEW48" s="20"/>
      <c r="SEX48" s="20"/>
      <c r="SEY48" s="20"/>
      <c r="SEZ48" s="20"/>
      <c r="SFA48" s="21"/>
      <c r="SFB48" s="21"/>
      <c r="SFC48" s="7"/>
      <c r="SFD48" s="7"/>
      <c r="SFE48" s="21"/>
      <c r="SFF48" s="20"/>
      <c r="SFG48" s="20"/>
      <c r="SFH48" s="20"/>
      <c r="SFI48" s="21"/>
      <c r="SFJ48" s="21"/>
      <c r="SFK48" s="21"/>
      <c r="SFL48" s="21"/>
      <c r="SFM48" s="21"/>
      <c r="SFN48" s="20"/>
      <c r="SFO48" s="20"/>
      <c r="SFP48" s="20"/>
      <c r="SFQ48" s="20"/>
      <c r="SFR48" s="21"/>
      <c r="SFS48" s="21"/>
      <c r="SFT48" s="7"/>
      <c r="SFU48" s="7"/>
      <c r="SFV48" s="21"/>
      <c r="SFW48" s="20"/>
      <c r="SFX48" s="20"/>
      <c r="SFY48" s="20"/>
      <c r="SFZ48" s="21"/>
      <c r="SGA48" s="21"/>
      <c r="SGB48" s="21"/>
      <c r="SGC48" s="21"/>
      <c r="SGD48" s="21"/>
      <c r="SGE48" s="20"/>
      <c r="SGF48" s="20"/>
      <c r="SGG48" s="20"/>
      <c r="SGH48" s="20"/>
      <c r="SGI48" s="21"/>
      <c r="SGJ48" s="21"/>
      <c r="SGK48" s="7"/>
      <c r="SGL48" s="7"/>
      <c r="SGM48" s="21"/>
      <c r="SGN48" s="20"/>
      <c r="SGO48" s="20"/>
      <c r="SGP48" s="20"/>
      <c r="SGQ48" s="21"/>
      <c r="SGR48" s="21"/>
      <c r="SGS48" s="21"/>
      <c r="SGT48" s="21"/>
      <c r="SGU48" s="21"/>
      <c r="SGV48" s="20"/>
      <c r="SGW48" s="20"/>
      <c r="SGX48" s="20"/>
      <c r="SGY48" s="20"/>
      <c r="SGZ48" s="21"/>
      <c r="SHA48" s="21"/>
      <c r="SHB48" s="7"/>
      <c r="SHC48" s="7"/>
      <c r="SHD48" s="21"/>
      <c r="SHE48" s="20"/>
      <c r="SHF48" s="20"/>
      <c r="SHG48" s="20"/>
      <c r="SHH48" s="21"/>
      <c r="SHI48" s="21"/>
      <c r="SHJ48" s="21"/>
      <c r="SHK48" s="21"/>
      <c r="SHL48" s="21"/>
      <c r="SHM48" s="20"/>
      <c r="SHN48" s="20"/>
      <c r="SHO48" s="20"/>
      <c r="SHP48" s="20"/>
      <c r="SHQ48" s="21"/>
      <c r="SHR48" s="21"/>
      <c r="SHS48" s="7"/>
      <c r="SHT48" s="7"/>
      <c r="SHU48" s="21"/>
      <c r="SHV48" s="20"/>
      <c r="SHW48" s="20"/>
      <c r="SHX48" s="20"/>
      <c r="SHY48" s="21"/>
      <c r="SHZ48" s="21"/>
      <c r="SIA48" s="21"/>
      <c r="SIB48" s="21"/>
      <c r="SIC48" s="21"/>
      <c r="SID48" s="20"/>
      <c r="SIE48" s="20"/>
      <c r="SIF48" s="20"/>
      <c r="SIG48" s="20"/>
      <c r="SIH48" s="21"/>
      <c r="SII48" s="21"/>
      <c r="SIJ48" s="7"/>
      <c r="SIK48" s="7"/>
      <c r="SIL48" s="21"/>
      <c r="SIM48" s="20"/>
      <c r="SIN48" s="20"/>
      <c r="SIO48" s="20"/>
      <c r="SIP48" s="21"/>
      <c r="SIQ48" s="21"/>
      <c r="SIR48" s="21"/>
      <c r="SIS48" s="21"/>
      <c r="SIT48" s="21"/>
      <c r="SIU48" s="20"/>
      <c r="SIV48" s="20"/>
      <c r="SIW48" s="20"/>
      <c r="SIX48" s="20"/>
      <c r="SIY48" s="21"/>
      <c r="SIZ48" s="21"/>
      <c r="SJA48" s="7"/>
      <c r="SJB48" s="7"/>
      <c r="SJC48" s="21"/>
      <c r="SJD48" s="20"/>
      <c r="SJE48" s="20"/>
      <c r="SJF48" s="20"/>
      <c r="SJG48" s="21"/>
      <c r="SJH48" s="21"/>
      <c r="SJI48" s="21"/>
      <c r="SJJ48" s="21"/>
      <c r="SJK48" s="21"/>
      <c r="SJL48" s="20"/>
      <c r="SJM48" s="20"/>
      <c r="SJN48" s="20"/>
      <c r="SJO48" s="20"/>
      <c r="SJP48" s="21"/>
      <c r="SJQ48" s="21"/>
      <c r="SJR48" s="7"/>
      <c r="SJS48" s="7"/>
      <c r="SJT48" s="21"/>
      <c r="SJU48" s="20"/>
      <c r="SJV48" s="20"/>
      <c r="SJW48" s="20"/>
      <c r="SJX48" s="21"/>
      <c r="SJY48" s="21"/>
      <c r="SJZ48" s="21"/>
      <c r="SKA48" s="21"/>
      <c r="SKB48" s="21"/>
      <c r="SKC48" s="20"/>
      <c r="SKD48" s="20"/>
      <c r="SKE48" s="20"/>
      <c r="SKF48" s="20"/>
      <c r="SKG48" s="21"/>
      <c r="SKH48" s="21"/>
      <c r="SKI48" s="7"/>
      <c r="SKJ48" s="7"/>
      <c r="SKK48" s="21"/>
      <c r="SKL48" s="20"/>
      <c r="SKM48" s="20"/>
      <c r="SKN48" s="20"/>
      <c r="SKO48" s="21"/>
      <c r="SKP48" s="21"/>
      <c r="SKQ48" s="21"/>
      <c r="SKR48" s="21"/>
      <c r="SKS48" s="21"/>
      <c r="SKT48" s="20"/>
      <c r="SKU48" s="20"/>
      <c r="SKV48" s="20"/>
      <c r="SKW48" s="20"/>
      <c r="SKX48" s="21"/>
      <c r="SKY48" s="21"/>
      <c r="SKZ48" s="7"/>
      <c r="SLA48" s="7"/>
      <c r="SLB48" s="21"/>
      <c r="SLC48" s="20"/>
      <c r="SLD48" s="20"/>
      <c r="SLE48" s="20"/>
      <c r="SLF48" s="21"/>
      <c r="SLG48" s="21"/>
      <c r="SLH48" s="21"/>
      <c r="SLI48" s="21"/>
      <c r="SLJ48" s="21"/>
      <c r="SLK48" s="20"/>
      <c r="SLL48" s="20"/>
      <c r="SLM48" s="20"/>
      <c r="SLN48" s="20"/>
      <c r="SLO48" s="21"/>
      <c r="SLP48" s="21"/>
      <c r="SLQ48" s="7"/>
      <c r="SLR48" s="7"/>
      <c r="SLS48" s="21"/>
      <c r="SLT48" s="20"/>
      <c r="SLU48" s="20"/>
      <c r="SLV48" s="20"/>
      <c r="SLW48" s="21"/>
      <c r="SLX48" s="21"/>
      <c r="SLY48" s="21"/>
      <c r="SLZ48" s="21"/>
      <c r="SMA48" s="21"/>
      <c r="SMB48" s="20"/>
      <c r="SMC48" s="20"/>
      <c r="SMD48" s="20"/>
      <c r="SME48" s="20"/>
      <c r="SMF48" s="21"/>
      <c r="SMG48" s="21"/>
      <c r="SMH48" s="7"/>
      <c r="SMI48" s="7"/>
      <c r="SMJ48" s="21"/>
      <c r="SMK48" s="20"/>
      <c r="SML48" s="20"/>
      <c r="SMM48" s="20"/>
      <c r="SMN48" s="21"/>
      <c r="SMO48" s="21"/>
      <c r="SMP48" s="21"/>
      <c r="SMQ48" s="21"/>
      <c r="SMR48" s="21"/>
      <c r="SMS48" s="20"/>
      <c r="SMT48" s="20"/>
      <c r="SMU48" s="20"/>
      <c r="SMV48" s="20"/>
      <c r="SMW48" s="21"/>
      <c r="SMX48" s="21"/>
      <c r="SMY48" s="7"/>
      <c r="SMZ48" s="7"/>
      <c r="SNA48" s="21"/>
      <c r="SNB48" s="20"/>
      <c r="SNC48" s="20"/>
      <c r="SND48" s="20"/>
      <c r="SNE48" s="21"/>
      <c r="SNF48" s="21"/>
      <c r="SNG48" s="21"/>
      <c r="SNH48" s="21"/>
      <c r="SNI48" s="21"/>
      <c r="SNJ48" s="20"/>
      <c r="SNK48" s="20"/>
      <c r="SNL48" s="20"/>
      <c r="SNM48" s="20"/>
      <c r="SNN48" s="21"/>
      <c r="SNO48" s="21"/>
      <c r="SNP48" s="7"/>
      <c r="SNQ48" s="7"/>
      <c r="SNR48" s="21"/>
      <c r="SNS48" s="20"/>
      <c r="SNT48" s="20"/>
      <c r="SNU48" s="20"/>
      <c r="SNV48" s="21"/>
      <c r="SNW48" s="21"/>
      <c r="SNX48" s="21"/>
      <c r="SNY48" s="21"/>
      <c r="SNZ48" s="21"/>
      <c r="SOA48" s="20"/>
      <c r="SOB48" s="20"/>
      <c r="SOC48" s="20"/>
      <c r="SOD48" s="20"/>
      <c r="SOE48" s="21"/>
      <c r="SOF48" s="21"/>
      <c r="SOG48" s="7"/>
      <c r="SOH48" s="7"/>
      <c r="SOI48" s="21"/>
      <c r="SOJ48" s="20"/>
      <c r="SOK48" s="20"/>
      <c r="SOL48" s="20"/>
      <c r="SOM48" s="21"/>
      <c r="SON48" s="21"/>
      <c r="SOO48" s="21"/>
      <c r="SOP48" s="21"/>
      <c r="SOQ48" s="21"/>
      <c r="SOR48" s="20"/>
      <c r="SOS48" s="20"/>
      <c r="SOT48" s="20"/>
      <c r="SOU48" s="20"/>
      <c r="SOV48" s="21"/>
      <c r="SOW48" s="21"/>
      <c r="SOX48" s="7"/>
      <c r="SOY48" s="7"/>
      <c r="SOZ48" s="21"/>
      <c r="SPA48" s="20"/>
      <c r="SPB48" s="20"/>
      <c r="SPC48" s="20"/>
      <c r="SPD48" s="21"/>
      <c r="SPE48" s="21"/>
      <c r="SPF48" s="21"/>
      <c r="SPG48" s="21"/>
      <c r="SPH48" s="21"/>
      <c r="SPI48" s="20"/>
      <c r="SPJ48" s="20"/>
      <c r="SPK48" s="20"/>
      <c r="SPL48" s="20"/>
      <c r="SPM48" s="21"/>
      <c r="SPN48" s="21"/>
      <c r="SPO48" s="7"/>
      <c r="SPP48" s="7"/>
      <c r="SPQ48" s="21"/>
      <c r="SPR48" s="20"/>
      <c r="SPS48" s="20"/>
      <c r="SPT48" s="20"/>
      <c r="SPU48" s="21"/>
      <c r="SPV48" s="21"/>
      <c r="SPW48" s="21"/>
      <c r="SPX48" s="21"/>
      <c r="SPY48" s="21"/>
      <c r="SPZ48" s="20"/>
      <c r="SQA48" s="20"/>
      <c r="SQB48" s="20"/>
      <c r="SQC48" s="20"/>
      <c r="SQD48" s="21"/>
      <c r="SQE48" s="21"/>
      <c r="SQF48" s="7"/>
      <c r="SQG48" s="7"/>
      <c r="SQH48" s="21"/>
      <c r="SQI48" s="20"/>
      <c r="SQJ48" s="20"/>
      <c r="SQK48" s="20"/>
      <c r="SQL48" s="21"/>
      <c r="SQM48" s="21"/>
      <c r="SQN48" s="21"/>
      <c r="SQO48" s="21"/>
      <c r="SQP48" s="21"/>
      <c r="SQQ48" s="20"/>
      <c r="SQR48" s="20"/>
      <c r="SQS48" s="20"/>
      <c r="SQT48" s="20"/>
      <c r="SQU48" s="21"/>
      <c r="SQV48" s="21"/>
      <c r="SQW48" s="7"/>
      <c r="SQX48" s="7"/>
      <c r="SQY48" s="21"/>
      <c r="SQZ48" s="20"/>
      <c r="SRA48" s="20"/>
      <c r="SRB48" s="20"/>
      <c r="SRC48" s="21"/>
      <c r="SRD48" s="21"/>
      <c r="SRE48" s="21"/>
      <c r="SRF48" s="21"/>
      <c r="SRG48" s="21"/>
      <c r="SRH48" s="20"/>
      <c r="SRI48" s="20"/>
      <c r="SRJ48" s="20"/>
      <c r="SRK48" s="20"/>
      <c r="SRL48" s="21"/>
      <c r="SRM48" s="21"/>
      <c r="SRN48" s="7"/>
      <c r="SRO48" s="7"/>
      <c r="SRP48" s="21"/>
      <c r="SRQ48" s="20"/>
      <c r="SRR48" s="20"/>
      <c r="SRS48" s="20"/>
      <c r="SRT48" s="21"/>
      <c r="SRU48" s="21"/>
      <c r="SRV48" s="21"/>
      <c r="SRW48" s="21"/>
      <c r="SRX48" s="21"/>
      <c r="SRY48" s="20"/>
      <c r="SRZ48" s="20"/>
      <c r="SSA48" s="20"/>
      <c r="SSB48" s="20"/>
      <c r="SSC48" s="21"/>
      <c r="SSD48" s="21"/>
      <c r="SSE48" s="7"/>
      <c r="SSF48" s="7"/>
      <c r="SSG48" s="21"/>
      <c r="SSH48" s="20"/>
      <c r="SSI48" s="20"/>
      <c r="SSJ48" s="20"/>
      <c r="SSK48" s="21"/>
      <c r="SSL48" s="21"/>
      <c r="SSM48" s="21"/>
      <c r="SSN48" s="21"/>
      <c r="SSO48" s="21"/>
      <c r="SSP48" s="20"/>
      <c r="SSQ48" s="20"/>
      <c r="SSR48" s="20"/>
      <c r="SSS48" s="20"/>
      <c r="SST48" s="21"/>
      <c r="SSU48" s="21"/>
      <c r="SSV48" s="7"/>
      <c r="SSW48" s="7"/>
      <c r="SSX48" s="21"/>
      <c r="SSY48" s="20"/>
      <c r="SSZ48" s="20"/>
      <c r="STA48" s="20"/>
      <c r="STB48" s="21"/>
      <c r="STC48" s="21"/>
      <c r="STD48" s="21"/>
      <c r="STE48" s="21"/>
      <c r="STF48" s="21"/>
      <c r="STG48" s="20"/>
      <c r="STH48" s="20"/>
      <c r="STI48" s="20"/>
      <c r="STJ48" s="20"/>
      <c r="STK48" s="21"/>
      <c r="STL48" s="21"/>
      <c r="STM48" s="7"/>
      <c r="STN48" s="7"/>
      <c r="STO48" s="21"/>
      <c r="STP48" s="20"/>
      <c r="STQ48" s="20"/>
      <c r="STR48" s="20"/>
      <c r="STS48" s="21"/>
      <c r="STT48" s="21"/>
      <c r="STU48" s="21"/>
      <c r="STV48" s="21"/>
      <c r="STW48" s="21"/>
      <c r="STX48" s="20"/>
      <c r="STY48" s="20"/>
      <c r="STZ48" s="20"/>
      <c r="SUA48" s="20"/>
      <c r="SUB48" s="21"/>
      <c r="SUC48" s="21"/>
      <c r="SUD48" s="7"/>
      <c r="SUE48" s="7"/>
      <c r="SUF48" s="21"/>
      <c r="SUG48" s="20"/>
      <c r="SUH48" s="20"/>
      <c r="SUI48" s="20"/>
      <c r="SUJ48" s="21"/>
      <c r="SUK48" s="21"/>
      <c r="SUL48" s="21"/>
      <c r="SUM48" s="21"/>
      <c r="SUN48" s="21"/>
      <c r="SUO48" s="20"/>
      <c r="SUP48" s="20"/>
      <c r="SUQ48" s="20"/>
      <c r="SUR48" s="20"/>
      <c r="SUS48" s="21"/>
      <c r="SUT48" s="21"/>
      <c r="SUU48" s="7"/>
      <c r="SUV48" s="7"/>
      <c r="SUW48" s="21"/>
      <c r="SUX48" s="20"/>
      <c r="SUY48" s="20"/>
      <c r="SUZ48" s="20"/>
      <c r="SVA48" s="21"/>
      <c r="SVB48" s="21"/>
      <c r="SVC48" s="21"/>
      <c r="SVD48" s="21"/>
      <c r="SVE48" s="21"/>
      <c r="SVF48" s="20"/>
      <c r="SVG48" s="20"/>
      <c r="SVH48" s="20"/>
      <c r="SVI48" s="20"/>
      <c r="SVJ48" s="21"/>
      <c r="SVK48" s="21"/>
      <c r="SVL48" s="7"/>
      <c r="SVM48" s="7"/>
      <c r="SVN48" s="21"/>
      <c r="SVO48" s="20"/>
      <c r="SVP48" s="20"/>
      <c r="SVQ48" s="20"/>
      <c r="SVR48" s="21"/>
      <c r="SVS48" s="21"/>
      <c r="SVT48" s="21"/>
      <c r="SVU48" s="21"/>
      <c r="SVV48" s="21"/>
      <c r="SVW48" s="20"/>
      <c r="SVX48" s="20"/>
      <c r="SVY48" s="20"/>
      <c r="SVZ48" s="20"/>
      <c r="SWA48" s="21"/>
      <c r="SWB48" s="21"/>
      <c r="SWC48" s="7"/>
      <c r="SWD48" s="7"/>
      <c r="SWE48" s="21"/>
      <c r="SWF48" s="20"/>
      <c r="SWG48" s="20"/>
      <c r="SWH48" s="20"/>
      <c r="SWI48" s="21"/>
      <c r="SWJ48" s="21"/>
      <c r="SWK48" s="21"/>
      <c r="SWL48" s="21"/>
      <c r="SWM48" s="21"/>
      <c r="SWN48" s="20"/>
      <c r="SWO48" s="20"/>
      <c r="SWP48" s="20"/>
      <c r="SWQ48" s="20"/>
      <c r="SWR48" s="21"/>
      <c r="SWS48" s="21"/>
      <c r="SWT48" s="7"/>
      <c r="SWU48" s="7"/>
      <c r="SWV48" s="21"/>
      <c r="SWW48" s="20"/>
      <c r="SWX48" s="20"/>
      <c r="SWY48" s="20"/>
      <c r="SWZ48" s="21"/>
      <c r="SXA48" s="21"/>
      <c r="SXB48" s="21"/>
      <c r="SXC48" s="21"/>
      <c r="SXD48" s="21"/>
      <c r="SXE48" s="20"/>
      <c r="SXF48" s="20"/>
      <c r="SXG48" s="20"/>
      <c r="SXH48" s="20"/>
      <c r="SXI48" s="21"/>
      <c r="SXJ48" s="21"/>
      <c r="SXK48" s="7"/>
      <c r="SXL48" s="7"/>
      <c r="SXM48" s="21"/>
      <c r="SXN48" s="20"/>
      <c r="SXO48" s="20"/>
      <c r="SXP48" s="20"/>
      <c r="SXQ48" s="21"/>
      <c r="SXR48" s="21"/>
      <c r="SXS48" s="21"/>
      <c r="SXT48" s="21"/>
      <c r="SXU48" s="21"/>
      <c r="SXV48" s="20"/>
      <c r="SXW48" s="20"/>
      <c r="SXX48" s="20"/>
      <c r="SXY48" s="20"/>
      <c r="SXZ48" s="21"/>
      <c r="SYA48" s="21"/>
      <c r="SYB48" s="7"/>
      <c r="SYC48" s="7"/>
      <c r="SYD48" s="21"/>
      <c r="SYE48" s="20"/>
      <c r="SYF48" s="20"/>
      <c r="SYG48" s="20"/>
      <c r="SYH48" s="21"/>
      <c r="SYI48" s="21"/>
      <c r="SYJ48" s="21"/>
      <c r="SYK48" s="21"/>
      <c r="SYL48" s="21"/>
      <c r="SYM48" s="20"/>
      <c r="SYN48" s="20"/>
      <c r="SYO48" s="20"/>
      <c r="SYP48" s="20"/>
      <c r="SYQ48" s="21"/>
      <c r="SYR48" s="21"/>
      <c r="SYS48" s="7"/>
      <c r="SYT48" s="7"/>
      <c r="SYU48" s="21"/>
      <c r="SYV48" s="20"/>
      <c r="SYW48" s="20"/>
      <c r="SYX48" s="20"/>
      <c r="SYY48" s="21"/>
      <c r="SYZ48" s="21"/>
      <c r="SZA48" s="21"/>
      <c r="SZB48" s="21"/>
      <c r="SZC48" s="21"/>
      <c r="SZD48" s="20"/>
      <c r="SZE48" s="20"/>
      <c r="SZF48" s="20"/>
      <c r="SZG48" s="20"/>
      <c r="SZH48" s="21"/>
      <c r="SZI48" s="21"/>
      <c r="SZJ48" s="7"/>
      <c r="SZK48" s="7"/>
      <c r="SZL48" s="21"/>
      <c r="SZM48" s="20"/>
      <c r="SZN48" s="20"/>
      <c r="SZO48" s="20"/>
      <c r="SZP48" s="21"/>
      <c r="SZQ48" s="21"/>
      <c r="SZR48" s="21"/>
      <c r="SZS48" s="21"/>
      <c r="SZT48" s="21"/>
      <c r="SZU48" s="20"/>
      <c r="SZV48" s="20"/>
      <c r="SZW48" s="20"/>
      <c r="SZX48" s="20"/>
      <c r="SZY48" s="21"/>
      <c r="SZZ48" s="21"/>
      <c r="TAA48" s="7"/>
      <c r="TAB48" s="7"/>
      <c r="TAC48" s="21"/>
      <c r="TAD48" s="20"/>
      <c r="TAE48" s="20"/>
      <c r="TAF48" s="20"/>
      <c r="TAG48" s="21"/>
      <c r="TAH48" s="21"/>
      <c r="TAI48" s="21"/>
      <c r="TAJ48" s="21"/>
      <c r="TAK48" s="21"/>
      <c r="TAL48" s="20"/>
      <c r="TAM48" s="20"/>
      <c r="TAN48" s="20"/>
      <c r="TAO48" s="20"/>
      <c r="TAP48" s="21"/>
      <c r="TAQ48" s="21"/>
      <c r="TAR48" s="7"/>
      <c r="TAS48" s="7"/>
      <c r="TAT48" s="21"/>
      <c r="TAU48" s="20"/>
      <c r="TAV48" s="20"/>
      <c r="TAW48" s="20"/>
      <c r="TAX48" s="21"/>
      <c r="TAY48" s="21"/>
      <c r="TAZ48" s="21"/>
      <c r="TBA48" s="21"/>
      <c r="TBB48" s="21"/>
      <c r="TBC48" s="20"/>
      <c r="TBD48" s="20"/>
      <c r="TBE48" s="20"/>
      <c r="TBF48" s="20"/>
      <c r="TBG48" s="21"/>
      <c r="TBH48" s="21"/>
      <c r="TBI48" s="7"/>
      <c r="TBJ48" s="7"/>
      <c r="TBK48" s="21"/>
      <c r="TBL48" s="20"/>
      <c r="TBM48" s="20"/>
      <c r="TBN48" s="20"/>
      <c r="TBO48" s="21"/>
      <c r="TBP48" s="21"/>
      <c r="TBQ48" s="21"/>
      <c r="TBR48" s="21"/>
      <c r="TBS48" s="21"/>
      <c r="TBT48" s="20"/>
      <c r="TBU48" s="20"/>
      <c r="TBV48" s="20"/>
      <c r="TBW48" s="20"/>
      <c r="TBX48" s="21"/>
      <c r="TBY48" s="21"/>
      <c r="TBZ48" s="7"/>
      <c r="TCA48" s="7"/>
      <c r="TCB48" s="21"/>
      <c r="TCC48" s="20"/>
      <c r="TCD48" s="20"/>
      <c r="TCE48" s="20"/>
      <c r="TCF48" s="21"/>
      <c r="TCG48" s="21"/>
      <c r="TCH48" s="21"/>
      <c r="TCI48" s="21"/>
      <c r="TCJ48" s="21"/>
      <c r="TCK48" s="20"/>
      <c r="TCL48" s="20"/>
      <c r="TCM48" s="20"/>
      <c r="TCN48" s="20"/>
      <c r="TCO48" s="21"/>
      <c r="TCP48" s="21"/>
      <c r="TCQ48" s="7"/>
      <c r="TCR48" s="7"/>
      <c r="TCS48" s="21"/>
      <c r="TCT48" s="20"/>
      <c r="TCU48" s="20"/>
      <c r="TCV48" s="20"/>
      <c r="TCW48" s="21"/>
      <c r="TCX48" s="21"/>
      <c r="TCY48" s="21"/>
      <c r="TCZ48" s="21"/>
      <c r="TDA48" s="21"/>
      <c r="TDB48" s="20"/>
      <c r="TDC48" s="20"/>
      <c r="TDD48" s="20"/>
      <c r="TDE48" s="20"/>
      <c r="TDF48" s="21"/>
      <c r="TDG48" s="21"/>
      <c r="TDH48" s="7"/>
      <c r="TDI48" s="7"/>
      <c r="TDJ48" s="21"/>
      <c r="TDK48" s="20"/>
      <c r="TDL48" s="20"/>
      <c r="TDM48" s="20"/>
      <c r="TDN48" s="21"/>
      <c r="TDO48" s="21"/>
      <c r="TDP48" s="21"/>
      <c r="TDQ48" s="21"/>
      <c r="TDR48" s="21"/>
      <c r="TDS48" s="20"/>
      <c r="TDT48" s="20"/>
      <c r="TDU48" s="20"/>
      <c r="TDV48" s="20"/>
      <c r="TDW48" s="21"/>
      <c r="TDX48" s="21"/>
      <c r="TDY48" s="7"/>
      <c r="TDZ48" s="7"/>
      <c r="TEA48" s="21"/>
      <c r="TEB48" s="20"/>
      <c r="TEC48" s="20"/>
      <c r="TED48" s="20"/>
      <c r="TEE48" s="21"/>
      <c r="TEF48" s="21"/>
      <c r="TEG48" s="21"/>
      <c r="TEH48" s="21"/>
      <c r="TEI48" s="21"/>
      <c r="TEJ48" s="20"/>
      <c r="TEK48" s="20"/>
      <c r="TEL48" s="20"/>
      <c r="TEM48" s="20"/>
      <c r="TEN48" s="21"/>
      <c r="TEO48" s="21"/>
      <c r="TEP48" s="7"/>
      <c r="TEQ48" s="7"/>
      <c r="TER48" s="21"/>
      <c r="TES48" s="20"/>
      <c r="TET48" s="20"/>
      <c r="TEU48" s="20"/>
      <c r="TEV48" s="21"/>
      <c r="TEW48" s="21"/>
      <c r="TEX48" s="21"/>
      <c r="TEY48" s="21"/>
      <c r="TEZ48" s="21"/>
      <c r="TFA48" s="20"/>
      <c r="TFB48" s="20"/>
      <c r="TFC48" s="20"/>
      <c r="TFD48" s="20"/>
      <c r="TFE48" s="21"/>
      <c r="TFF48" s="21"/>
      <c r="TFG48" s="7"/>
      <c r="TFH48" s="7"/>
      <c r="TFI48" s="21"/>
      <c r="TFJ48" s="20"/>
      <c r="TFK48" s="20"/>
      <c r="TFL48" s="20"/>
      <c r="TFM48" s="21"/>
      <c r="TFN48" s="21"/>
      <c r="TFO48" s="21"/>
      <c r="TFP48" s="21"/>
      <c r="TFQ48" s="21"/>
      <c r="TFR48" s="20"/>
      <c r="TFS48" s="20"/>
      <c r="TFT48" s="20"/>
      <c r="TFU48" s="20"/>
      <c r="TFV48" s="21"/>
      <c r="TFW48" s="21"/>
      <c r="TFX48" s="7"/>
      <c r="TFY48" s="7"/>
      <c r="TFZ48" s="21"/>
      <c r="TGA48" s="20"/>
      <c r="TGB48" s="20"/>
      <c r="TGC48" s="20"/>
      <c r="TGD48" s="21"/>
      <c r="TGE48" s="21"/>
      <c r="TGF48" s="21"/>
      <c r="TGG48" s="21"/>
      <c r="TGH48" s="21"/>
      <c r="TGI48" s="20"/>
      <c r="TGJ48" s="20"/>
      <c r="TGK48" s="20"/>
      <c r="TGL48" s="20"/>
      <c r="TGM48" s="21"/>
      <c r="TGN48" s="21"/>
      <c r="TGO48" s="7"/>
      <c r="TGP48" s="7"/>
      <c r="TGQ48" s="21"/>
      <c r="TGR48" s="20"/>
      <c r="TGS48" s="20"/>
      <c r="TGT48" s="20"/>
      <c r="TGU48" s="21"/>
      <c r="TGV48" s="21"/>
      <c r="TGW48" s="21"/>
      <c r="TGX48" s="21"/>
      <c r="TGY48" s="21"/>
      <c r="TGZ48" s="20"/>
      <c r="THA48" s="20"/>
      <c r="THB48" s="20"/>
      <c r="THC48" s="20"/>
      <c r="THD48" s="21"/>
      <c r="THE48" s="21"/>
      <c r="THF48" s="7"/>
      <c r="THG48" s="7"/>
      <c r="THH48" s="21"/>
      <c r="THI48" s="20"/>
      <c r="THJ48" s="20"/>
      <c r="THK48" s="20"/>
      <c r="THL48" s="21"/>
      <c r="THM48" s="21"/>
      <c r="THN48" s="21"/>
      <c r="THO48" s="21"/>
      <c r="THP48" s="21"/>
      <c r="THQ48" s="20"/>
      <c r="THR48" s="20"/>
      <c r="THS48" s="20"/>
      <c r="THT48" s="20"/>
      <c r="THU48" s="21"/>
      <c r="THV48" s="21"/>
      <c r="THW48" s="7"/>
      <c r="THX48" s="7"/>
      <c r="THY48" s="21"/>
      <c r="THZ48" s="20"/>
      <c r="TIA48" s="20"/>
      <c r="TIB48" s="20"/>
      <c r="TIC48" s="21"/>
      <c r="TID48" s="21"/>
      <c r="TIE48" s="21"/>
      <c r="TIF48" s="21"/>
      <c r="TIG48" s="21"/>
      <c r="TIH48" s="20"/>
      <c r="TII48" s="20"/>
      <c r="TIJ48" s="20"/>
      <c r="TIK48" s="20"/>
      <c r="TIL48" s="21"/>
      <c r="TIM48" s="21"/>
      <c r="TIN48" s="7"/>
      <c r="TIO48" s="7"/>
      <c r="TIP48" s="21"/>
      <c r="TIQ48" s="20"/>
      <c r="TIR48" s="20"/>
      <c r="TIS48" s="20"/>
      <c r="TIT48" s="21"/>
      <c r="TIU48" s="21"/>
      <c r="TIV48" s="21"/>
      <c r="TIW48" s="21"/>
      <c r="TIX48" s="21"/>
      <c r="TIY48" s="20"/>
      <c r="TIZ48" s="20"/>
      <c r="TJA48" s="20"/>
      <c r="TJB48" s="20"/>
      <c r="TJC48" s="21"/>
      <c r="TJD48" s="21"/>
      <c r="TJE48" s="7"/>
      <c r="TJF48" s="7"/>
      <c r="TJG48" s="21"/>
      <c r="TJH48" s="20"/>
      <c r="TJI48" s="20"/>
      <c r="TJJ48" s="20"/>
      <c r="TJK48" s="21"/>
      <c r="TJL48" s="21"/>
      <c r="TJM48" s="21"/>
      <c r="TJN48" s="21"/>
      <c r="TJO48" s="21"/>
      <c r="TJP48" s="20"/>
      <c r="TJQ48" s="20"/>
      <c r="TJR48" s="20"/>
      <c r="TJS48" s="20"/>
      <c r="TJT48" s="21"/>
      <c r="TJU48" s="21"/>
      <c r="TJV48" s="7"/>
      <c r="TJW48" s="7"/>
      <c r="TJX48" s="21"/>
      <c r="TJY48" s="20"/>
      <c r="TJZ48" s="20"/>
      <c r="TKA48" s="20"/>
      <c r="TKB48" s="21"/>
      <c r="TKC48" s="21"/>
      <c r="TKD48" s="21"/>
      <c r="TKE48" s="21"/>
      <c r="TKF48" s="21"/>
      <c r="TKG48" s="20"/>
      <c r="TKH48" s="20"/>
      <c r="TKI48" s="20"/>
      <c r="TKJ48" s="20"/>
      <c r="TKK48" s="21"/>
      <c r="TKL48" s="21"/>
      <c r="TKM48" s="7"/>
      <c r="TKN48" s="7"/>
      <c r="TKO48" s="21"/>
      <c r="TKP48" s="20"/>
      <c r="TKQ48" s="20"/>
      <c r="TKR48" s="20"/>
      <c r="TKS48" s="21"/>
      <c r="TKT48" s="21"/>
      <c r="TKU48" s="21"/>
      <c r="TKV48" s="21"/>
      <c r="TKW48" s="21"/>
      <c r="TKX48" s="20"/>
      <c r="TKY48" s="20"/>
      <c r="TKZ48" s="20"/>
      <c r="TLA48" s="20"/>
      <c r="TLB48" s="21"/>
      <c r="TLC48" s="21"/>
      <c r="TLD48" s="7"/>
      <c r="TLE48" s="7"/>
      <c r="TLF48" s="21"/>
      <c r="TLG48" s="20"/>
      <c r="TLH48" s="20"/>
      <c r="TLI48" s="20"/>
      <c r="TLJ48" s="21"/>
      <c r="TLK48" s="21"/>
      <c r="TLL48" s="21"/>
      <c r="TLM48" s="21"/>
      <c r="TLN48" s="21"/>
      <c r="TLO48" s="20"/>
      <c r="TLP48" s="20"/>
      <c r="TLQ48" s="20"/>
      <c r="TLR48" s="20"/>
      <c r="TLS48" s="21"/>
      <c r="TLT48" s="21"/>
      <c r="TLU48" s="7"/>
      <c r="TLV48" s="7"/>
      <c r="TLW48" s="21"/>
      <c r="TLX48" s="20"/>
      <c r="TLY48" s="20"/>
      <c r="TLZ48" s="20"/>
      <c r="TMA48" s="21"/>
      <c r="TMB48" s="21"/>
      <c r="TMC48" s="21"/>
      <c r="TMD48" s="21"/>
      <c r="TME48" s="21"/>
      <c r="TMF48" s="20"/>
      <c r="TMG48" s="20"/>
      <c r="TMH48" s="20"/>
      <c r="TMI48" s="20"/>
      <c r="TMJ48" s="21"/>
      <c r="TMK48" s="21"/>
      <c r="TML48" s="7"/>
      <c r="TMM48" s="7"/>
      <c r="TMN48" s="21"/>
      <c r="TMO48" s="20"/>
      <c r="TMP48" s="20"/>
      <c r="TMQ48" s="20"/>
      <c r="TMR48" s="21"/>
      <c r="TMS48" s="21"/>
      <c r="TMT48" s="21"/>
      <c r="TMU48" s="21"/>
      <c r="TMV48" s="21"/>
      <c r="TMW48" s="20"/>
      <c r="TMX48" s="20"/>
      <c r="TMY48" s="20"/>
      <c r="TMZ48" s="20"/>
      <c r="TNA48" s="21"/>
      <c r="TNB48" s="21"/>
      <c r="TNC48" s="7"/>
      <c r="TND48" s="7"/>
      <c r="TNE48" s="21"/>
      <c r="TNF48" s="20"/>
      <c r="TNG48" s="20"/>
      <c r="TNH48" s="20"/>
      <c r="TNI48" s="21"/>
      <c r="TNJ48" s="21"/>
      <c r="TNK48" s="21"/>
      <c r="TNL48" s="21"/>
      <c r="TNM48" s="21"/>
      <c r="TNN48" s="20"/>
      <c r="TNO48" s="20"/>
      <c r="TNP48" s="20"/>
      <c r="TNQ48" s="20"/>
      <c r="TNR48" s="21"/>
      <c r="TNS48" s="21"/>
      <c r="TNT48" s="7"/>
      <c r="TNU48" s="7"/>
      <c r="TNV48" s="21"/>
      <c r="TNW48" s="20"/>
      <c r="TNX48" s="20"/>
      <c r="TNY48" s="20"/>
      <c r="TNZ48" s="21"/>
      <c r="TOA48" s="21"/>
      <c r="TOB48" s="21"/>
      <c r="TOC48" s="21"/>
      <c r="TOD48" s="21"/>
      <c r="TOE48" s="20"/>
      <c r="TOF48" s="20"/>
      <c r="TOG48" s="20"/>
      <c r="TOH48" s="20"/>
      <c r="TOI48" s="21"/>
      <c r="TOJ48" s="21"/>
      <c r="TOK48" s="7"/>
      <c r="TOL48" s="7"/>
      <c r="TOM48" s="21"/>
      <c r="TON48" s="20"/>
      <c r="TOO48" s="20"/>
      <c r="TOP48" s="20"/>
      <c r="TOQ48" s="21"/>
      <c r="TOR48" s="21"/>
      <c r="TOS48" s="21"/>
      <c r="TOT48" s="21"/>
      <c r="TOU48" s="21"/>
      <c r="TOV48" s="20"/>
      <c r="TOW48" s="20"/>
      <c r="TOX48" s="20"/>
      <c r="TOY48" s="20"/>
      <c r="TOZ48" s="21"/>
      <c r="TPA48" s="21"/>
      <c r="TPB48" s="7"/>
      <c r="TPC48" s="7"/>
      <c r="TPD48" s="21"/>
      <c r="TPE48" s="20"/>
      <c r="TPF48" s="20"/>
      <c r="TPG48" s="20"/>
      <c r="TPH48" s="21"/>
      <c r="TPI48" s="21"/>
      <c r="TPJ48" s="21"/>
      <c r="TPK48" s="21"/>
      <c r="TPL48" s="21"/>
      <c r="TPM48" s="20"/>
      <c r="TPN48" s="20"/>
      <c r="TPO48" s="20"/>
      <c r="TPP48" s="20"/>
      <c r="TPQ48" s="21"/>
      <c r="TPR48" s="21"/>
      <c r="TPS48" s="7"/>
      <c r="TPT48" s="7"/>
      <c r="TPU48" s="21"/>
      <c r="TPV48" s="20"/>
      <c r="TPW48" s="20"/>
      <c r="TPX48" s="20"/>
      <c r="TPY48" s="21"/>
      <c r="TPZ48" s="21"/>
      <c r="TQA48" s="21"/>
      <c r="TQB48" s="21"/>
      <c r="TQC48" s="21"/>
      <c r="TQD48" s="20"/>
      <c r="TQE48" s="20"/>
      <c r="TQF48" s="20"/>
      <c r="TQG48" s="20"/>
      <c r="TQH48" s="21"/>
      <c r="TQI48" s="21"/>
      <c r="TQJ48" s="7"/>
      <c r="TQK48" s="7"/>
      <c r="TQL48" s="21"/>
      <c r="TQM48" s="20"/>
      <c r="TQN48" s="20"/>
      <c r="TQO48" s="20"/>
      <c r="TQP48" s="21"/>
      <c r="TQQ48" s="21"/>
      <c r="TQR48" s="21"/>
      <c r="TQS48" s="21"/>
      <c r="TQT48" s="21"/>
      <c r="TQU48" s="20"/>
      <c r="TQV48" s="20"/>
      <c r="TQW48" s="20"/>
      <c r="TQX48" s="20"/>
      <c r="TQY48" s="21"/>
      <c r="TQZ48" s="21"/>
      <c r="TRA48" s="7"/>
      <c r="TRB48" s="7"/>
      <c r="TRC48" s="21"/>
      <c r="TRD48" s="20"/>
      <c r="TRE48" s="20"/>
      <c r="TRF48" s="20"/>
      <c r="TRG48" s="21"/>
      <c r="TRH48" s="21"/>
      <c r="TRI48" s="21"/>
      <c r="TRJ48" s="21"/>
      <c r="TRK48" s="21"/>
      <c r="TRL48" s="20"/>
      <c r="TRM48" s="20"/>
      <c r="TRN48" s="20"/>
      <c r="TRO48" s="20"/>
      <c r="TRP48" s="21"/>
      <c r="TRQ48" s="21"/>
      <c r="TRR48" s="7"/>
      <c r="TRS48" s="7"/>
      <c r="TRT48" s="21"/>
      <c r="TRU48" s="20"/>
      <c r="TRV48" s="20"/>
      <c r="TRW48" s="20"/>
      <c r="TRX48" s="21"/>
      <c r="TRY48" s="21"/>
      <c r="TRZ48" s="21"/>
      <c r="TSA48" s="21"/>
      <c r="TSB48" s="21"/>
      <c r="TSC48" s="20"/>
      <c r="TSD48" s="20"/>
      <c r="TSE48" s="20"/>
      <c r="TSF48" s="20"/>
      <c r="TSG48" s="21"/>
      <c r="TSH48" s="21"/>
      <c r="TSI48" s="7"/>
      <c r="TSJ48" s="7"/>
      <c r="TSK48" s="21"/>
      <c r="TSL48" s="20"/>
      <c r="TSM48" s="20"/>
      <c r="TSN48" s="20"/>
      <c r="TSO48" s="21"/>
      <c r="TSP48" s="21"/>
      <c r="TSQ48" s="21"/>
      <c r="TSR48" s="21"/>
      <c r="TSS48" s="21"/>
      <c r="TST48" s="20"/>
      <c r="TSU48" s="20"/>
      <c r="TSV48" s="20"/>
      <c r="TSW48" s="20"/>
      <c r="TSX48" s="21"/>
      <c r="TSY48" s="21"/>
      <c r="TSZ48" s="7"/>
      <c r="TTA48" s="7"/>
      <c r="TTB48" s="21"/>
      <c r="TTC48" s="20"/>
      <c r="TTD48" s="20"/>
      <c r="TTE48" s="20"/>
      <c r="TTF48" s="21"/>
      <c r="TTG48" s="21"/>
      <c r="TTH48" s="21"/>
      <c r="TTI48" s="21"/>
      <c r="TTJ48" s="21"/>
      <c r="TTK48" s="20"/>
      <c r="TTL48" s="20"/>
      <c r="TTM48" s="20"/>
      <c r="TTN48" s="20"/>
      <c r="TTO48" s="21"/>
      <c r="TTP48" s="21"/>
      <c r="TTQ48" s="7"/>
      <c r="TTR48" s="7"/>
      <c r="TTS48" s="21"/>
      <c r="TTT48" s="20"/>
      <c r="TTU48" s="20"/>
      <c r="TTV48" s="20"/>
      <c r="TTW48" s="21"/>
      <c r="TTX48" s="21"/>
      <c r="TTY48" s="21"/>
      <c r="TTZ48" s="21"/>
      <c r="TUA48" s="21"/>
      <c r="TUB48" s="20"/>
      <c r="TUC48" s="20"/>
      <c r="TUD48" s="20"/>
      <c r="TUE48" s="20"/>
      <c r="TUF48" s="21"/>
      <c r="TUG48" s="21"/>
      <c r="TUH48" s="7"/>
      <c r="TUI48" s="7"/>
      <c r="TUJ48" s="21"/>
      <c r="TUK48" s="20"/>
      <c r="TUL48" s="20"/>
      <c r="TUM48" s="20"/>
      <c r="TUN48" s="21"/>
      <c r="TUO48" s="21"/>
      <c r="TUP48" s="21"/>
      <c r="TUQ48" s="21"/>
      <c r="TUR48" s="21"/>
      <c r="TUS48" s="20"/>
      <c r="TUT48" s="20"/>
      <c r="TUU48" s="20"/>
      <c r="TUV48" s="20"/>
      <c r="TUW48" s="21"/>
      <c r="TUX48" s="21"/>
      <c r="TUY48" s="7"/>
      <c r="TUZ48" s="7"/>
      <c r="TVA48" s="21"/>
      <c r="TVB48" s="20"/>
      <c r="TVC48" s="20"/>
      <c r="TVD48" s="20"/>
      <c r="TVE48" s="21"/>
      <c r="TVF48" s="21"/>
      <c r="TVG48" s="21"/>
      <c r="TVH48" s="21"/>
      <c r="TVI48" s="21"/>
      <c r="TVJ48" s="20"/>
      <c r="TVK48" s="20"/>
      <c r="TVL48" s="20"/>
      <c r="TVM48" s="20"/>
      <c r="TVN48" s="21"/>
      <c r="TVO48" s="21"/>
      <c r="TVP48" s="7"/>
      <c r="TVQ48" s="7"/>
      <c r="TVR48" s="21"/>
      <c r="TVS48" s="20"/>
      <c r="TVT48" s="20"/>
      <c r="TVU48" s="20"/>
      <c r="TVV48" s="21"/>
      <c r="TVW48" s="21"/>
      <c r="TVX48" s="21"/>
      <c r="TVY48" s="21"/>
      <c r="TVZ48" s="21"/>
      <c r="TWA48" s="20"/>
      <c r="TWB48" s="20"/>
      <c r="TWC48" s="20"/>
      <c r="TWD48" s="20"/>
      <c r="TWE48" s="21"/>
      <c r="TWF48" s="21"/>
      <c r="TWG48" s="7"/>
      <c r="TWH48" s="7"/>
      <c r="TWI48" s="21"/>
      <c r="TWJ48" s="20"/>
      <c r="TWK48" s="20"/>
      <c r="TWL48" s="20"/>
      <c r="TWM48" s="21"/>
      <c r="TWN48" s="21"/>
      <c r="TWO48" s="21"/>
      <c r="TWP48" s="21"/>
      <c r="TWQ48" s="21"/>
      <c r="TWR48" s="20"/>
      <c r="TWS48" s="20"/>
      <c r="TWT48" s="20"/>
      <c r="TWU48" s="20"/>
      <c r="TWV48" s="21"/>
      <c r="TWW48" s="21"/>
      <c r="TWX48" s="7"/>
      <c r="TWY48" s="7"/>
      <c r="TWZ48" s="21"/>
      <c r="TXA48" s="20"/>
      <c r="TXB48" s="20"/>
      <c r="TXC48" s="20"/>
      <c r="TXD48" s="21"/>
      <c r="TXE48" s="21"/>
      <c r="TXF48" s="21"/>
      <c r="TXG48" s="21"/>
      <c r="TXH48" s="21"/>
      <c r="TXI48" s="20"/>
      <c r="TXJ48" s="20"/>
      <c r="TXK48" s="20"/>
      <c r="TXL48" s="20"/>
      <c r="TXM48" s="21"/>
      <c r="TXN48" s="21"/>
      <c r="TXO48" s="7"/>
      <c r="TXP48" s="7"/>
      <c r="TXQ48" s="21"/>
      <c r="TXR48" s="20"/>
      <c r="TXS48" s="20"/>
      <c r="TXT48" s="20"/>
      <c r="TXU48" s="21"/>
      <c r="TXV48" s="21"/>
      <c r="TXW48" s="21"/>
      <c r="TXX48" s="21"/>
      <c r="TXY48" s="21"/>
      <c r="TXZ48" s="20"/>
      <c r="TYA48" s="20"/>
      <c r="TYB48" s="20"/>
      <c r="TYC48" s="20"/>
      <c r="TYD48" s="21"/>
      <c r="TYE48" s="21"/>
      <c r="TYF48" s="7"/>
      <c r="TYG48" s="7"/>
      <c r="TYH48" s="21"/>
      <c r="TYI48" s="20"/>
      <c r="TYJ48" s="20"/>
      <c r="TYK48" s="20"/>
      <c r="TYL48" s="21"/>
      <c r="TYM48" s="21"/>
      <c r="TYN48" s="21"/>
      <c r="TYO48" s="21"/>
      <c r="TYP48" s="21"/>
      <c r="TYQ48" s="20"/>
      <c r="TYR48" s="20"/>
      <c r="TYS48" s="20"/>
      <c r="TYT48" s="20"/>
      <c r="TYU48" s="21"/>
      <c r="TYV48" s="21"/>
      <c r="TYW48" s="7"/>
      <c r="TYX48" s="7"/>
      <c r="TYY48" s="21"/>
      <c r="TYZ48" s="20"/>
      <c r="TZA48" s="20"/>
      <c r="TZB48" s="20"/>
      <c r="TZC48" s="21"/>
      <c r="TZD48" s="21"/>
      <c r="TZE48" s="21"/>
      <c r="TZF48" s="21"/>
      <c r="TZG48" s="21"/>
      <c r="TZH48" s="20"/>
      <c r="TZI48" s="20"/>
      <c r="TZJ48" s="20"/>
      <c r="TZK48" s="20"/>
      <c r="TZL48" s="21"/>
      <c r="TZM48" s="21"/>
      <c r="TZN48" s="7"/>
      <c r="TZO48" s="7"/>
      <c r="TZP48" s="21"/>
      <c r="TZQ48" s="20"/>
      <c r="TZR48" s="20"/>
      <c r="TZS48" s="20"/>
      <c r="TZT48" s="21"/>
      <c r="TZU48" s="21"/>
      <c r="TZV48" s="21"/>
      <c r="TZW48" s="21"/>
      <c r="TZX48" s="21"/>
      <c r="TZY48" s="20"/>
      <c r="TZZ48" s="20"/>
      <c r="UAA48" s="20"/>
      <c r="UAB48" s="20"/>
      <c r="UAC48" s="21"/>
      <c r="UAD48" s="21"/>
      <c r="UAE48" s="7"/>
      <c r="UAF48" s="7"/>
      <c r="UAG48" s="21"/>
      <c r="UAH48" s="20"/>
      <c r="UAI48" s="20"/>
      <c r="UAJ48" s="20"/>
      <c r="UAK48" s="21"/>
      <c r="UAL48" s="21"/>
      <c r="UAM48" s="21"/>
      <c r="UAN48" s="21"/>
      <c r="UAO48" s="21"/>
      <c r="UAP48" s="20"/>
      <c r="UAQ48" s="20"/>
      <c r="UAR48" s="20"/>
      <c r="UAS48" s="20"/>
      <c r="UAT48" s="21"/>
      <c r="UAU48" s="21"/>
      <c r="UAV48" s="7"/>
      <c r="UAW48" s="7"/>
      <c r="UAX48" s="21"/>
      <c r="UAY48" s="20"/>
      <c r="UAZ48" s="20"/>
      <c r="UBA48" s="20"/>
      <c r="UBB48" s="21"/>
      <c r="UBC48" s="21"/>
      <c r="UBD48" s="21"/>
      <c r="UBE48" s="21"/>
      <c r="UBF48" s="21"/>
      <c r="UBG48" s="20"/>
      <c r="UBH48" s="20"/>
      <c r="UBI48" s="20"/>
      <c r="UBJ48" s="20"/>
      <c r="UBK48" s="21"/>
      <c r="UBL48" s="21"/>
      <c r="UBM48" s="7"/>
      <c r="UBN48" s="7"/>
      <c r="UBO48" s="21"/>
      <c r="UBP48" s="20"/>
      <c r="UBQ48" s="20"/>
      <c r="UBR48" s="20"/>
      <c r="UBS48" s="21"/>
      <c r="UBT48" s="21"/>
      <c r="UBU48" s="21"/>
      <c r="UBV48" s="21"/>
      <c r="UBW48" s="21"/>
      <c r="UBX48" s="20"/>
      <c r="UBY48" s="20"/>
      <c r="UBZ48" s="20"/>
      <c r="UCA48" s="20"/>
      <c r="UCB48" s="21"/>
      <c r="UCC48" s="21"/>
      <c r="UCD48" s="7"/>
      <c r="UCE48" s="7"/>
      <c r="UCF48" s="21"/>
      <c r="UCG48" s="20"/>
      <c r="UCH48" s="20"/>
      <c r="UCI48" s="20"/>
      <c r="UCJ48" s="21"/>
      <c r="UCK48" s="21"/>
      <c r="UCL48" s="21"/>
      <c r="UCM48" s="21"/>
      <c r="UCN48" s="21"/>
      <c r="UCO48" s="20"/>
      <c r="UCP48" s="20"/>
      <c r="UCQ48" s="20"/>
      <c r="UCR48" s="20"/>
      <c r="UCS48" s="21"/>
      <c r="UCT48" s="21"/>
      <c r="UCU48" s="7"/>
      <c r="UCV48" s="7"/>
      <c r="UCW48" s="21"/>
      <c r="UCX48" s="20"/>
      <c r="UCY48" s="20"/>
      <c r="UCZ48" s="20"/>
      <c r="UDA48" s="21"/>
      <c r="UDB48" s="21"/>
      <c r="UDC48" s="21"/>
      <c r="UDD48" s="21"/>
      <c r="UDE48" s="21"/>
      <c r="UDF48" s="20"/>
      <c r="UDG48" s="20"/>
      <c r="UDH48" s="20"/>
      <c r="UDI48" s="20"/>
      <c r="UDJ48" s="21"/>
      <c r="UDK48" s="21"/>
      <c r="UDL48" s="7"/>
      <c r="UDM48" s="7"/>
      <c r="UDN48" s="21"/>
      <c r="UDO48" s="20"/>
      <c r="UDP48" s="20"/>
      <c r="UDQ48" s="20"/>
      <c r="UDR48" s="21"/>
      <c r="UDS48" s="21"/>
      <c r="UDT48" s="21"/>
      <c r="UDU48" s="21"/>
      <c r="UDV48" s="21"/>
      <c r="UDW48" s="20"/>
      <c r="UDX48" s="20"/>
      <c r="UDY48" s="20"/>
      <c r="UDZ48" s="20"/>
      <c r="UEA48" s="21"/>
      <c r="UEB48" s="21"/>
      <c r="UEC48" s="7"/>
      <c r="UED48" s="7"/>
      <c r="UEE48" s="21"/>
      <c r="UEF48" s="20"/>
      <c r="UEG48" s="20"/>
      <c r="UEH48" s="20"/>
      <c r="UEI48" s="21"/>
      <c r="UEJ48" s="21"/>
      <c r="UEK48" s="21"/>
      <c r="UEL48" s="21"/>
      <c r="UEM48" s="21"/>
      <c r="UEN48" s="20"/>
      <c r="UEO48" s="20"/>
      <c r="UEP48" s="20"/>
      <c r="UEQ48" s="20"/>
      <c r="UER48" s="21"/>
      <c r="UES48" s="21"/>
      <c r="UET48" s="7"/>
      <c r="UEU48" s="7"/>
      <c r="UEV48" s="21"/>
      <c r="UEW48" s="20"/>
      <c r="UEX48" s="20"/>
      <c r="UEY48" s="20"/>
      <c r="UEZ48" s="21"/>
      <c r="UFA48" s="21"/>
      <c r="UFB48" s="21"/>
      <c r="UFC48" s="21"/>
      <c r="UFD48" s="21"/>
      <c r="UFE48" s="20"/>
      <c r="UFF48" s="20"/>
      <c r="UFG48" s="20"/>
      <c r="UFH48" s="20"/>
      <c r="UFI48" s="21"/>
      <c r="UFJ48" s="21"/>
      <c r="UFK48" s="7"/>
      <c r="UFL48" s="7"/>
      <c r="UFM48" s="21"/>
      <c r="UFN48" s="20"/>
      <c r="UFO48" s="20"/>
      <c r="UFP48" s="20"/>
      <c r="UFQ48" s="21"/>
      <c r="UFR48" s="21"/>
      <c r="UFS48" s="21"/>
      <c r="UFT48" s="21"/>
      <c r="UFU48" s="21"/>
      <c r="UFV48" s="20"/>
      <c r="UFW48" s="20"/>
      <c r="UFX48" s="20"/>
      <c r="UFY48" s="20"/>
      <c r="UFZ48" s="21"/>
      <c r="UGA48" s="21"/>
      <c r="UGB48" s="7"/>
      <c r="UGC48" s="7"/>
      <c r="UGD48" s="21"/>
      <c r="UGE48" s="20"/>
      <c r="UGF48" s="20"/>
      <c r="UGG48" s="20"/>
      <c r="UGH48" s="21"/>
      <c r="UGI48" s="21"/>
      <c r="UGJ48" s="21"/>
      <c r="UGK48" s="21"/>
      <c r="UGL48" s="21"/>
      <c r="UGM48" s="20"/>
      <c r="UGN48" s="20"/>
      <c r="UGO48" s="20"/>
      <c r="UGP48" s="20"/>
      <c r="UGQ48" s="21"/>
      <c r="UGR48" s="21"/>
      <c r="UGS48" s="7"/>
      <c r="UGT48" s="7"/>
      <c r="UGU48" s="21"/>
      <c r="UGV48" s="20"/>
      <c r="UGW48" s="20"/>
      <c r="UGX48" s="20"/>
      <c r="UGY48" s="21"/>
      <c r="UGZ48" s="21"/>
      <c r="UHA48" s="21"/>
      <c r="UHB48" s="21"/>
      <c r="UHC48" s="21"/>
      <c r="UHD48" s="20"/>
      <c r="UHE48" s="20"/>
      <c r="UHF48" s="20"/>
      <c r="UHG48" s="20"/>
      <c r="UHH48" s="21"/>
      <c r="UHI48" s="21"/>
      <c r="UHJ48" s="7"/>
      <c r="UHK48" s="7"/>
      <c r="UHL48" s="21"/>
      <c r="UHM48" s="20"/>
      <c r="UHN48" s="20"/>
      <c r="UHO48" s="20"/>
      <c r="UHP48" s="21"/>
      <c r="UHQ48" s="21"/>
      <c r="UHR48" s="21"/>
      <c r="UHS48" s="21"/>
      <c r="UHT48" s="21"/>
      <c r="UHU48" s="20"/>
      <c r="UHV48" s="20"/>
      <c r="UHW48" s="20"/>
      <c r="UHX48" s="20"/>
      <c r="UHY48" s="21"/>
      <c r="UHZ48" s="21"/>
      <c r="UIA48" s="7"/>
      <c r="UIB48" s="7"/>
      <c r="UIC48" s="21"/>
      <c r="UID48" s="20"/>
      <c r="UIE48" s="20"/>
      <c r="UIF48" s="20"/>
      <c r="UIG48" s="21"/>
      <c r="UIH48" s="21"/>
      <c r="UII48" s="21"/>
      <c r="UIJ48" s="21"/>
      <c r="UIK48" s="21"/>
      <c r="UIL48" s="20"/>
      <c r="UIM48" s="20"/>
      <c r="UIN48" s="20"/>
      <c r="UIO48" s="20"/>
      <c r="UIP48" s="21"/>
      <c r="UIQ48" s="21"/>
      <c r="UIR48" s="7"/>
      <c r="UIS48" s="7"/>
      <c r="UIT48" s="21"/>
      <c r="UIU48" s="20"/>
      <c r="UIV48" s="20"/>
      <c r="UIW48" s="20"/>
      <c r="UIX48" s="21"/>
      <c r="UIY48" s="21"/>
      <c r="UIZ48" s="21"/>
      <c r="UJA48" s="21"/>
      <c r="UJB48" s="21"/>
      <c r="UJC48" s="20"/>
      <c r="UJD48" s="20"/>
      <c r="UJE48" s="20"/>
      <c r="UJF48" s="20"/>
      <c r="UJG48" s="21"/>
      <c r="UJH48" s="21"/>
      <c r="UJI48" s="7"/>
      <c r="UJJ48" s="7"/>
      <c r="UJK48" s="21"/>
      <c r="UJL48" s="20"/>
      <c r="UJM48" s="20"/>
      <c r="UJN48" s="20"/>
      <c r="UJO48" s="21"/>
      <c r="UJP48" s="21"/>
      <c r="UJQ48" s="21"/>
      <c r="UJR48" s="21"/>
      <c r="UJS48" s="21"/>
      <c r="UJT48" s="20"/>
      <c r="UJU48" s="20"/>
      <c r="UJV48" s="20"/>
      <c r="UJW48" s="20"/>
      <c r="UJX48" s="21"/>
      <c r="UJY48" s="21"/>
      <c r="UJZ48" s="7"/>
      <c r="UKA48" s="7"/>
      <c r="UKB48" s="21"/>
      <c r="UKC48" s="20"/>
      <c r="UKD48" s="20"/>
      <c r="UKE48" s="20"/>
      <c r="UKF48" s="21"/>
      <c r="UKG48" s="21"/>
      <c r="UKH48" s="21"/>
      <c r="UKI48" s="21"/>
      <c r="UKJ48" s="21"/>
      <c r="UKK48" s="20"/>
      <c r="UKL48" s="20"/>
      <c r="UKM48" s="20"/>
      <c r="UKN48" s="20"/>
      <c r="UKO48" s="21"/>
      <c r="UKP48" s="21"/>
      <c r="UKQ48" s="7"/>
      <c r="UKR48" s="7"/>
      <c r="UKS48" s="21"/>
      <c r="UKT48" s="20"/>
      <c r="UKU48" s="20"/>
      <c r="UKV48" s="20"/>
      <c r="UKW48" s="21"/>
      <c r="UKX48" s="21"/>
      <c r="UKY48" s="21"/>
      <c r="UKZ48" s="21"/>
      <c r="ULA48" s="21"/>
      <c r="ULB48" s="20"/>
      <c r="ULC48" s="20"/>
      <c r="ULD48" s="20"/>
      <c r="ULE48" s="20"/>
      <c r="ULF48" s="21"/>
      <c r="ULG48" s="21"/>
      <c r="ULH48" s="7"/>
      <c r="ULI48" s="7"/>
      <c r="ULJ48" s="21"/>
      <c r="ULK48" s="20"/>
      <c r="ULL48" s="20"/>
      <c r="ULM48" s="20"/>
      <c r="ULN48" s="21"/>
      <c r="ULO48" s="21"/>
      <c r="ULP48" s="21"/>
      <c r="ULQ48" s="21"/>
      <c r="ULR48" s="21"/>
      <c r="ULS48" s="20"/>
      <c r="ULT48" s="20"/>
      <c r="ULU48" s="20"/>
      <c r="ULV48" s="20"/>
      <c r="ULW48" s="21"/>
      <c r="ULX48" s="21"/>
      <c r="ULY48" s="7"/>
      <c r="ULZ48" s="7"/>
      <c r="UMA48" s="21"/>
      <c r="UMB48" s="20"/>
      <c r="UMC48" s="20"/>
      <c r="UMD48" s="20"/>
      <c r="UME48" s="21"/>
      <c r="UMF48" s="21"/>
      <c r="UMG48" s="21"/>
      <c r="UMH48" s="21"/>
      <c r="UMI48" s="21"/>
      <c r="UMJ48" s="20"/>
      <c r="UMK48" s="20"/>
      <c r="UML48" s="20"/>
      <c r="UMM48" s="20"/>
      <c r="UMN48" s="21"/>
      <c r="UMO48" s="21"/>
      <c r="UMP48" s="7"/>
      <c r="UMQ48" s="7"/>
      <c r="UMR48" s="21"/>
      <c r="UMS48" s="20"/>
      <c r="UMT48" s="20"/>
      <c r="UMU48" s="20"/>
      <c r="UMV48" s="21"/>
      <c r="UMW48" s="21"/>
      <c r="UMX48" s="21"/>
      <c r="UMY48" s="21"/>
      <c r="UMZ48" s="21"/>
      <c r="UNA48" s="20"/>
      <c r="UNB48" s="20"/>
      <c r="UNC48" s="20"/>
      <c r="UND48" s="20"/>
      <c r="UNE48" s="21"/>
      <c r="UNF48" s="21"/>
      <c r="UNG48" s="7"/>
      <c r="UNH48" s="7"/>
      <c r="UNI48" s="21"/>
      <c r="UNJ48" s="20"/>
      <c r="UNK48" s="20"/>
      <c r="UNL48" s="20"/>
      <c r="UNM48" s="21"/>
      <c r="UNN48" s="21"/>
      <c r="UNO48" s="21"/>
      <c r="UNP48" s="21"/>
      <c r="UNQ48" s="21"/>
      <c r="UNR48" s="20"/>
      <c r="UNS48" s="20"/>
      <c r="UNT48" s="20"/>
      <c r="UNU48" s="20"/>
      <c r="UNV48" s="21"/>
      <c r="UNW48" s="21"/>
      <c r="UNX48" s="7"/>
      <c r="UNY48" s="7"/>
      <c r="UNZ48" s="21"/>
      <c r="UOA48" s="20"/>
      <c r="UOB48" s="20"/>
      <c r="UOC48" s="20"/>
      <c r="UOD48" s="21"/>
      <c r="UOE48" s="21"/>
      <c r="UOF48" s="21"/>
      <c r="UOG48" s="21"/>
      <c r="UOH48" s="21"/>
      <c r="UOI48" s="20"/>
      <c r="UOJ48" s="20"/>
      <c r="UOK48" s="20"/>
      <c r="UOL48" s="20"/>
      <c r="UOM48" s="21"/>
      <c r="UON48" s="21"/>
      <c r="UOO48" s="7"/>
      <c r="UOP48" s="7"/>
      <c r="UOQ48" s="21"/>
      <c r="UOR48" s="20"/>
      <c r="UOS48" s="20"/>
      <c r="UOT48" s="20"/>
      <c r="UOU48" s="21"/>
      <c r="UOV48" s="21"/>
      <c r="UOW48" s="21"/>
      <c r="UOX48" s="21"/>
      <c r="UOY48" s="21"/>
      <c r="UOZ48" s="20"/>
      <c r="UPA48" s="20"/>
      <c r="UPB48" s="20"/>
      <c r="UPC48" s="20"/>
      <c r="UPD48" s="21"/>
      <c r="UPE48" s="21"/>
      <c r="UPF48" s="7"/>
      <c r="UPG48" s="7"/>
      <c r="UPH48" s="21"/>
      <c r="UPI48" s="20"/>
      <c r="UPJ48" s="20"/>
      <c r="UPK48" s="20"/>
      <c r="UPL48" s="21"/>
      <c r="UPM48" s="21"/>
      <c r="UPN48" s="21"/>
      <c r="UPO48" s="21"/>
      <c r="UPP48" s="21"/>
      <c r="UPQ48" s="20"/>
      <c r="UPR48" s="20"/>
      <c r="UPS48" s="20"/>
      <c r="UPT48" s="20"/>
      <c r="UPU48" s="21"/>
      <c r="UPV48" s="21"/>
      <c r="UPW48" s="7"/>
      <c r="UPX48" s="7"/>
      <c r="UPY48" s="21"/>
      <c r="UPZ48" s="20"/>
      <c r="UQA48" s="20"/>
      <c r="UQB48" s="20"/>
      <c r="UQC48" s="21"/>
      <c r="UQD48" s="21"/>
      <c r="UQE48" s="21"/>
      <c r="UQF48" s="21"/>
      <c r="UQG48" s="21"/>
      <c r="UQH48" s="20"/>
      <c r="UQI48" s="20"/>
      <c r="UQJ48" s="20"/>
      <c r="UQK48" s="20"/>
      <c r="UQL48" s="21"/>
      <c r="UQM48" s="21"/>
      <c r="UQN48" s="7"/>
      <c r="UQO48" s="7"/>
      <c r="UQP48" s="21"/>
      <c r="UQQ48" s="20"/>
      <c r="UQR48" s="20"/>
      <c r="UQS48" s="20"/>
      <c r="UQT48" s="21"/>
      <c r="UQU48" s="21"/>
      <c r="UQV48" s="21"/>
      <c r="UQW48" s="21"/>
      <c r="UQX48" s="21"/>
      <c r="UQY48" s="20"/>
      <c r="UQZ48" s="20"/>
      <c r="URA48" s="20"/>
      <c r="URB48" s="20"/>
      <c r="URC48" s="21"/>
      <c r="URD48" s="21"/>
      <c r="URE48" s="7"/>
      <c r="URF48" s="7"/>
      <c r="URG48" s="21"/>
      <c r="URH48" s="20"/>
      <c r="URI48" s="20"/>
      <c r="URJ48" s="20"/>
      <c r="URK48" s="21"/>
      <c r="URL48" s="21"/>
      <c r="URM48" s="21"/>
      <c r="URN48" s="21"/>
      <c r="URO48" s="21"/>
      <c r="URP48" s="20"/>
      <c r="URQ48" s="20"/>
      <c r="URR48" s="20"/>
      <c r="URS48" s="20"/>
      <c r="URT48" s="21"/>
      <c r="URU48" s="21"/>
      <c r="URV48" s="7"/>
      <c r="URW48" s="7"/>
      <c r="URX48" s="21"/>
      <c r="URY48" s="20"/>
      <c r="URZ48" s="20"/>
      <c r="USA48" s="20"/>
      <c r="USB48" s="21"/>
      <c r="USC48" s="21"/>
      <c r="USD48" s="21"/>
      <c r="USE48" s="21"/>
      <c r="USF48" s="21"/>
      <c r="USG48" s="20"/>
      <c r="USH48" s="20"/>
      <c r="USI48" s="20"/>
      <c r="USJ48" s="20"/>
      <c r="USK48" s="21"/>
      <c r="USL48" s="21"/>
      <c r="USM48" s="7"/>
      <c r="USN48" s="7"/>
      <c r="USO48" s="21"/>
      <c r="USP48" s="20"/>
      <c r="USQ48" s="20"/>
      <c r="USR48" s="20"/>
      <c r="USS48" s="21"/>
      <c r="UST48" s="21"/>
      <c r="USU48" s="21"/>
      <c r="USV48" s="21"/>
      <c r="USW48" s="21"/>
      <c r="USX48" s="20"/>
      <c r="USY48" s="20"/>
      <c r="USZ48" s="20"/>
      <c r="UTA48" s="20"/>
      <c r="UTB48" s="21"/>
      <c r="UTC48" s="21"/>
      <c r="UTD48" s="7"/>
      <c r="UTE48" s="7"/>
      <c r="UTF48" s="21"/>
      <c r="UTG48" s="20"/>
      <c r="UTH48" s="20"/>
      <c r="UTI48" s="20"/>
      <c r="UTJ48" s="21"/>
      <c r="UTK48" s="21"/>
      <c r="UTL48" s="21"/>
      <c r="UTM48" s="21"/>
      <c r="UTN48" s="21"/>
      <c r="UTO48" s="20"/>
      <c r="UTP48" s="20"/>
      <c r="UTQ48" s="20"/>
      <c r="UTR48" s="20"/>
      <c r="UTS48" s="21"/>
      <c r="UTT48" s="21"/>
      <c r="UTU48" s="7"/>
      <c r="UTV48" s="7"/>
      <c r="UTW48" s="21"/>
      <c r="UTX48" s="20"/>
      <c r="UTY48" s="20"/>
      <c r="UTZ48" s="20"/>
      <c r="UUA48" s="21"/>
      <c r="UUB48" s="21"/>
      <c r="UUC48" s="21"/>
      <c r="UUD48" s="21"/>
      <c r="UUE48" s="21"/>
      <c r="UUF48" s="20"/>
      <c r="UUG48" s="20"/>
      <c r="UUH48" s="20"/>
      <c r="UUI48" s="20"/>
      <c r="UUJ48" s="21"/>
      <c r="UUK48" s="21"/>
      <c r="UUL48" s="7"/>
      <c r="UUM48" s="7"/>
      <c r="UUN48" s="21"/>
      <c r="UUO48" s="20"/>
      <c r="UUP48" s="20"/>
      <c r="UUQ48" s="20"/>
      <c r="UUR48" s="21"/>
      <c r="UUS48" s="21"/>
      <c r="UUT48" s="21"/>
      <c r="UUU48" s="21"/>
      <c r="UUV48" s="21"/>
      <c r="UUW48" s="20"/>
      <c r="UUX48" s="20"/>
      <c r="UUY48" s="20"/>
      <c r="UUZ48" s="20"/>
      <c r="UVA48" s="21"/>
      <c r="UVB48" s="21"/>
      <c r="UVC48" s="7"/>
      <c r="UVD48" s="7"/>
      <c r="UVE48" s="21"/>
      <c r="UVF48" s="20"/>
      <c r="UVG48" s="20"/>
      <c r="UVH48" s="20"/>
      <c r="UVI48" s="21"/>
      <c r="UVJ48" s="21"/>
      <c r="UVK48" s="21"/>
      <c r="UVL48" s="21"/>
      <c r="UVM48" s="21"/>
      <c r="UVN48" s="20"/>
      <c r="UVO48" s="20"/>
      <c r="UVP48" s="20"/>
      <c r="UVQ48" s="20"/>
      <c r="UVR48" s="21"/>
      <c r="UVS48" s="21"/>
      <c r="UVT48" s="7"/>
      <c r="UVU48" s="7"/>
      <c r="UVV48" s="21"/>
      <c r="UVW48" s="20"/>
      <c r="UVX48" s="20"/>
      <c r="UVY48" s="20"/>
      <c r="UVZ48" s="21"/>
      <c r="UWA48" s="21"/>
      <c r="UWB48" s="21"/>
      <c r="UWC48" s="21"/>
      <c r="UWD48" s="21"/>
      <c r="UWE48" s="20"/>
      <c r="UWF48" s="20"/>
      <c r="UWG48" s="20"/>
      <c r="UWH48" s="20"/>
      <c r="UWI48" s="21"/>
      <c r="UWJ48" s="21"/>
      <c r="UWK48" s="7"/>
      <c r="UWL48" s="7"/>
      <c r="UWM48" s="21"/>
      <c r="UWN48" s="20"/>
      <c r="UWO48" s="20"/>
      <c r="UWP48" s="20"/>
      <c r="UWQ48" s="21"/>
      <c r="UWR48" s="21"/>
      <c r="UWS48" s="21"/>
      <c r="UWT48" s="21"/>
      <c r="UWU48" s="21"/>
      <c r="UWV48" s="20"/>
      <c r="UWW48" s="20"/>
      <c r="UWX48" s="20"/>
      <c r="UWY48" s="20"/>
      <c r="UWZ48" s="21"/>
      <c r="UXA48" s="21"/>
      <c r="UXB48" s="7"/>
      <c r="UXC48" s="7"/>
      <c r="UXD48" s="21"/>
      <c r="UXE48" s="20"/>
      <c r="UXF48" s="20"/>
      <c r="UXG48" s="20"/>
      <c r="UXH48" s="21"/>
      <c r="UXI48" s="21"/>
      <c r="UXJ48" s="21"/>
      <c r="UXK48" s="21"/>
      <c r="UXL48" s="21"/>
      <c r="UXM48" s="20"/>
      <c r="UXN48" s="20"/>
      <c r="UXO48" s="20"/>
      <c r="UXP48" s="20"/>
      <c r="UXQ48" s="21"/>
      <c r="UXR48" s="21"/>
      <c r="UXS48" s="7"/>
      <c r="UXT48" s="7"/>
      <c r="UXU48" s="21"/>
      <c r="UXV48" s="20"/>
      <c r="UXW48" s="20"/>
      <c r="UXX48" s="20"/>
      <c r="UXY48" s="21"/>
      <c r="UXZ48" s="21"/>
      <c r="UYA48" s="21"/>
      <c r="UYB48" s="21"/>
      <c r="UYC48" s="21"/>
      <c r="UYD48" s="20"/>
      <c r="UYE48" s="20"/>
      <c r="UYF48" s="20"/>
      <c r="UYG48" s="20"/>
      <c r="UYH48" s="21"/>
      <c r="UYI48" s="21"/>
      <c r="UYJ48" s="7"/>
      <c r="UYK48" s="7"/>
      <c r="UYL48" s="21"/>
      <c r="UYM48" s="20"/>
      <c r="UYN48" s="20"/>
      <c r="UYO48" s="20"/>
      <c r="UYP48" s="21"/>
      <c r="UYQ48" s="21"/>
      <c r="UYR48" s="21"/>
      <c r="UYS48" s="21"/>
      <c r="UYT48" s="21"/>
      <c r="UYU48" s="20"/>
      <c r="UYV48" s="20"/>
      <c r="UYW48" s="20"/>
      <c r="UYX48" s="20"/>
      <c r="UYY48" s="21"/>
      <c r="UYZ48" s="21"/>
      <c r="UZA48" s="7"/>
      <c r="UZB48" s="7"/>
      <c r="UZC48" s="21"/>
      <c r="UZD48" s="20"/>
      <c r="UZE48" s="20"/>
      <c r="UZF48" s="20"/>
      <c r="UZG48" s="21"/>
      <c r="UZH48" s="21"/>
      <c r="UZI48" s="21"/>
      <c r="UZJ48" s="21"/>
      <c r="UZK48" s="21"/>
      <c r="UZL48" s="20"/>
      <c r="UZM48" s="20"/>
      <c r="UZN48" s="20"/>
      <c r="UZO48" s="20"/>
      <c r="UZP48" s="21"/>
      <c r="UZQ48" s="21"/>
      <c r="UZR48" s="7"/>
      <c r="UZS48" s="7"/>
      <c r="UZT48" s="21"/>
      <c r="UZU48" s="20"/>
      <c r="UZV48" s="20"/>
      <c r="UZW48" s="20"/>
      <c r="UZX48" s="21"/>
      <c r="UZY48" s="21"/>
      <c r="UZZ48" s="21"/>
      <c r="VAA48" s="21"/>
      <c r="VAB48" s="21"/>
      <c r="VAC48" s="20"/>
      <c r="VAD48" s="20"/>
      <c r="VAE48" s="20"/>
      <c r="VAF48" s="20"/>
      <c r="VAG48" s="21"/>
      <c r="VAH48" s="21"/>
      <c r="VAI48" s="7"/>
      <c r="VAJ48" s="7"/>
      <c r="VAK48" s="21"/>
      <c r="VAL48" s="20"/>
      <c r="VAM48" s="20"/>
      <c r="VAN48" s="20"/>
      <c r="VAO48" s="21"/>
      <c r="VAP48" s="21"/>
      <c r="VAQ48" s="21"/>
      <c r="VAR48" s="21"/>
      <c r="VAS48" s="21"/>
      <c r="VAT48" s="20"/>
      <c r="VAU48" s="20"/>
      <c r="VAV48" s="20"/>
      <c r="VAW48" s="20"/>
      <c r="VAX48" s="21"/>
      <c r="VAY48" s="21"/>
      <c r="VAZ48" s="7"/>
      <c r="VBA48" s="7"/>
      <c r="VBB48" s="21"/>
      <c r="VBC48" s="20"/>
      <c r="VBD48" s="20"/>
      <c r="VBE48" s="20"/>
      <c r="VBF48" s="21"/>
      <c r="VBG48" s="21"/>
      <c r="VBH48" s="21"/>
      <c r="VBI48" s="21"/>
      <c r="VBJ48" s="21"/>
      <c r="VBK48" s="20"/>
      <c r="VBL48" s="20"/>
      <c r="VBM48" s="20"/>
      <c r="VBN48" s="20"/>
      <c r="VBO48" s="21"/>
      <c r="VBP48" s="21"/>
      <c r="VBQ48" s="7"/>
      <c r="VBR48" s="7"/>
      <c r="VBS48" s="21"/>
      <c r="VBT48" s="20"/>
      <c r="VBU48" s="20"/>
      <c r="VBV48" s="20"/>
      <c r="VBW48" s="21"/>
      <c r="VBX48" s="21"/>
      <c r="VBY48" s="21"/>
      <c r="VBZ48" s="21"/>
      <c r="VCA48" s="21"/>
      <c r="VCB48" s="20"/>
      <c r="VCC48" s="20"/>
      <c r="VCD48" s="20"/>
      <c r="VCE48" s="20"/>
      <c r="VCF48" s="21"/>
      <c r="VCG48" s="21"/>
      <c r="VCH48" s="7"/>
      <c r="VCI48" s="7"/>
      <c r="VCJ48" s="21"/>
      <c r="VCK48" s="20"/>
      <c r="VCL48" s="20"/>
      <c r="VCM48" s="20"/>
      <c r="VCN48" s="21"/>
      <c r="VCO48" s="21"/>
      <c r="VCP48" s="21"/>
      <c r="VCQ48" s="21"/>
      <c r="VCR48" s="21"/>
      <c r="VCS48" s="20"/>
      <c r="VCT48" s="20"/>
      <c r="VCU48" s="20"/>
      <c r="VCV48" s="20"/>
      <c r="VCW48" s="21"/>
      <c r="VCX48" s="21"/>
      <c r="VCY48" s="7"/>
      <c r="VCZ48" s="7"/>
      <c r="VDA48" s="21"/>
      <c r="VDB48" s="20"/>
      <c r="VDC48" s="20"/>
      <c r="VDD48" s="20"/>
      <c r="VDE48" s="21"/>
      <c r="VDF48" s="21"/>
      <c r="VDG48" s="21"/>
      <c r="VDH48" s="21"/>
      <c r="VDI48" s="21"/>
      <c r="VDJ48" s="20"/>
      <c r="VDK48" s="20"/>
      <c r="VDL48" s="20"/>
      <c r="VDM48" s="20"/>
      <c r="VDN48" s="21"/>
      <c r="VDO48" s="21"/>
      <c r="VDP48" s="7"/>
      <c r="VDQ48" s="7"/>
      <c r="VDR48" s="21"/>
      <c r="VDS48" s="20"/>
      <c r="VDT48" s="20"/>
      <c r="VDU48" s="20"/>
      <c r="VDV48" s="21"/>
      <c r="VDW48" s="21"/>
      <c r="VDX48" s="21"/>
      <c r="VDY48" s="21"/>
      <c r="VDZ48" s="21"/>
      <c r="VEA48" s="20"/>
      <c r="VEB48" s="20"/>
      <c r="VEC48" s="20"/>
      <c r="VED48" s="20"/>
      <c r="VEE48" s="21"/>
      <c r="VEF48" s="21"/>
      <c r="VEG48" s="7"/>
      <c r="VEH48" s="7"/>
      <c r="VEI48" s="21"/>
      <c r="VEJ48" s="20"/>
      <c r="VEK48" s="20"/>
      <c r="VEL48" s="20"/>
      <c r="VEM48" s="21"/>
      <c r="VEN48" s="21"/>
      <c r="VEO48" s="21"/>
      <c r="VEP48" s="21"/>
      <c r="VEQ48" s="21"/>
      <c r="VER48" s="20"/>
      <c r="VES48" s="20"/>
      <c r="VET48" s="20"/>
      <c r="VEU48" s="20"/>
      <c r="VEV48" s="21"/>
      <c r="VEW48" s="21"/>
      <c r="VEX48" s="7"/>
      <c r="VEY48" s="7"/>
      <c r="VEZ48" s="21"/>
      <c r="VFA48" s="20"/>
      <c r="VFB48" s="20"/>
      <c r="VFC48" s="20"/>
      <c r="VFD48" s="21"/>
      <c r="VFE48" s="21"/>
      <c r="VFF48" s="21"/>
      <c r="VFG48" s="21"/>
      <c r="VFH48" s="21"/>
      <c r="VFI48" s="20"/>
      <c r="VFJ48" s="20"/>
      <c r="VFK48" s="20"/>
      <c r="VFL48" s="20"/>
      <c r="VFM48" s="21"/>
      <c r="VFN48" s="21"/>
      <c r="VFO48" s="7"/>
      <c r="VFP48" s="7"/>
      <c r="VFQ48" s="21"/>
      <c r="VFR48" s="20"/>
      <c r="VFS48" s="20"/>
      <c r="VFT48" s="20"/>
      <c r="VFU48" s="21"/>
      <c r="VFV48" s="21"/>
      <c r="VFW48" s="21"/>
      <c r="VFX48" s="21"/>
      <c r="VFY48" s="21"/>
      <c r="VFZ48" s="20"/>
      <c r="VGA48" s="20"/>
      <c r="VGB48" s="20"/>
      <c r="VGC48" s="20"/>
      <c r="VGD48" s="21"/>
      <c r="VGE48" s="21"/>
      <c r="VGF48" s="7"/>
      <c r="VGG48" s="7"/>
      <c r="VGH48" s="21"/>
      <c r="VGI48" s="20"/>
      <c r="VGJ48" s="20"/>
      <c r="VGK48" s="20"/>
      <c r="VGL48" s="21"/>
      <c r="VGM48" s="21"/>
      <c r="VGN48" s="21"/>
      <c r="VGO48" s="21"/>
      <c r="VGP48" s="21"/>
      <c r="VGQ48" s="20"/>
      <c r="VGR48" s="20"/>
      <c r="VGS48" s="20"/>
      <c r="VGT48" s="20"/>
      <c r="VGU48" s="21"/>
      <c r="VGV48" s="21"/>
      <c r="VGW48" s="7"/>
      <c r="VGX48" s="7"/>
      <c r="VGY48" s="21"/>
      <c r="VGZ48" s="20"/>
      <c r="VHA48" s="20"/>
      <c r="VHB48" s="20"/>
      <c r="VHC48" s="21"/>
      <c r="VHD48" s="21"/>
      <c r="VHE48" s="21"/>
      <c r="VHF48" s="21"/>
      <c r="VHG48" s="21"/>
      <c r="VHH48" s="20"/>
      <c r="VHI48" s="20"/>
      <c r="VHJ48" s="20"/>
      <c r="VHK48" s="20"/>
      <c r="VHL48" s="21"/>
      <c r="VHM48" s="21"/>
      <c r="VHN48" s="7"/>
      <c r="VHO48" s="7"/>
      <c r="VHP48" s="21"/>
      <c r="VHQ48" s="20"/>
      <c r="VHR48" s="20"/>
      <c r="VHS48" s="20"/>
      <c r="VHT48" s="21"/>
      <c r="VHU48" s="21"/>
      <c r="VHV48" s="21"/>
      <c r="VHW48" s="21"/>
      <c r="VHX48" s="21"/>
      <c r="VHY48" s="20"/>
      <c r="VHZ48" s="20"/>
      <c r="VIA48" s="20"/>
      <c r="VIB48" s="20"/>
      <c r="VIC48" s="21"/>
      <c r="VID48" s="21"/>
      <c r="VIE48" s="7"/>
      <c r="VIF48" s="7"/>
      <c r="VIG48" s="21"/>
      <c r="VIH48" s="20"/>
      <c r="VII48" s="20"/>
      <c r="VIJ48" s="20"/>
      <c r="VIK48" s="21"/>
      <c r="VIL48" s="21"/>
      <c r="VIM48" s="21"/>
      <c r="VIN48" s="21"/>
      <c r="VIO48" s="21"/>
      <c r="VIP48" s="20"/>
      <c r="VIQ48" s="20"/>
      <c r="VIR48" s="20"/>
      <c r="VIS48" s="20"/>
      <c r="VIT48" s="21"/>
      <c r="VIU48" s="21"/>
      <c r="VIV48" s="7"/>
      <c r="VIW48" s="7"/>
      <c r="VIX48" s="21"/>
      <c r="VIY48" s="20"/>
      <c r="VIZ48" s="20"/>
      <c r="VJA48" s="20"/>
      <c r="VJB48" s="21"/>
      <c r="VJC48" s="21"/>
      <c r="VJD48" s="21"/>
      <c r="VJE48" s="21"/>
      <c r="VJF48" s="21"/>
      <c r="VJG48" s="20"/>
      <c r="VJH48" s="20"/>
      <c r="VJI48" s="20"/>
      <c r="VJJ48" s="20"/>
      <c r="VJK48" s="21"/>
      <c r="VJL48" s="21"/>
      <c r="VJM48" s="7"/>
      <c r="VJN48" s="7"/>
      <c r="VJO48" s="21"/>
      <c r="VJP48" s="20"/>
      <c r="VJQ48" s="20"/>
      <c r="VJR48" s="20"/>
      <c r="VJS48" s="21"/>
      <c r="VJT48" s="21"/>
      <c r="VJU48" s="21"/>
      <c r="VJV48" s="21"/>
      <c r="VJW48" s="21"/>
      <c r="VJX48" s="20"/>
      <c r="VJY48" s="20"/>
      <c r="VJZ48" s="20"/>
      <c r="VKA48" s="20"/>
      <c r="VKB48" s="21"/>
      <c r="VKC48" s="21"/>
      <c r="VKD48" s="7"/>
      <c r="VKE48" s="7"/>
      <c r="VKF48" s="21"/>
      <c r="VKG48" s="20"/>
      <c r="VKH48" s="20"/>
      <c r="VKI48" s="20"/>
      <c r="VKJ48" s="21"/>
      <c r="VKK48" s="21"/>
      <c r="VKL48" s="21"/>
      <c r="VKM48" s="21"/>
      <c r="VKN48" s="21"/>
      <c r="VKO48" s="20"/>
      <c r="VKP48" s="20"/>
      <c r="VKQ48" s="20"/>
      <c r="VKR48" s="20"/>
      <c r="VKS48" s="21"/>
      <c r="VKT48" s="21"/>
      <c r="VKU48" s="7"/>
      <c r="VKV48" s="7"/>
      <c r="VKW48" s="21"/>
      <c r="VKX48" s="20"/>
      <c r="VKY48" s="20"/>
      <c r="VKZ48" s="20"/>
      <c r="VLA48" s="21"/>
      <c r="VLB48" s="21"/>
      <c r="VLC48" s="21"/>
      <c r="VLD48" s="21"/>
      <c r="VLE48" s="21"/>
      <c r="VLF48" s="20"/>
      <c r="VLG48" s="20"/>
      <c r="VLH48" s="20"/>
      <c r="VLI48" s="20"/>
      <c r="VLJ48" s="21"/>
      <c r="VLK48" s="21"/>
      <c r="VLL48" s="7"/>
      <c r="VLM48" s="7"/>
      <c r="VLN48" s="21"/>
      <c r="VLO48" s="20"/>
      <c r="VLP48" s="20"/>
      <c r="VLQ48" s="20"/>
      <c r="VLR48" s="21"/>
      <c r="VLS48" s="21"/>
      <c r="VLT48" s="21"/>
      <c r="VLU48" s="21"/>
      <c r="VLV48" s="21"/>
      <c r="VLW48" s="20"/>
      <c r="VLX48" s="20"/>
      <c r="VLY48" s="20"/>
      <c r="VLZ48" s="20"/>
      <c r="VMA48" s="21"/>
      <c r="VMB48" s="21"/>
      <c r="VMC48" s="7"/>
      <c r="VMD48" s="7"/>
      <c r="VME48" s="21"/>
      <c r="VMF48" s="20"/>
      <c r="VMG48" s="20"/>
      <c r="VMH48" s="20"/>
      <c r="VMI48" s="21"/>
      <c r="VMJ48" s="21"/>
      <c r="VMK48" s="21"/>
      <c r="VML48" s="21"/>
      <c r="VMM48" s="21"/>
      <c r="VMN48" s="20"/>
      <c r="VMO48" s="20"/>
      <c r="VMP48" s="20"/>
      <c r="VMQ48" s="20"/>
      <c r="VMR48" s="21"/>
      <c r="VMS48" s="21"/>
      <c r="VMT48" s="7"/>
      <c r="VMU48" s="7"/>
      <c r="VMV48" s="21"/>
      <c r="VMW48" s="20"/>
      <c r="VMX48" s="20"/>
      <c r="VMY48" s="20"/>
      <c r="VMZ48" s="21"/>
      <c r="VNA48" s="21"/>
      <c r="VNB48" s="21"/>
      <c r="VNC48" s="21"/>
      <c r="VND48" s="21"/>
      <c r="VNE48" s="20"/>
      <c r="VNF48" s="20"/>
      <c r="VNG48" s="20"/>
      <c r="VNH48" s="20"/>
      <c r="VNI48" s="21"/>
      <c r="VNJ48" s="21"/>
      <c r="VNK48" s="7"/>
      <c r="VNL48" s="7"/>
      <c r="VNM48" s="21"/>
      <c r="VNN48" s="20"/>
      <c r="VNO48" s="20"/>
      <c r="VNP48" s="20"/>
      <c r="VNQ48" s="21"/>
      <c r="VNR48" s="21"/>
      <c r="VNS48" s="21"/>
      <c r="VNT48" s="21"/>
      <c r="VNU48" s="21"/>
      <c r="VNV48" s="20"/>
      <c r="VNW48" s="20"/>
      <c r="VNX48" s="20"/>
      <c r="VNY48" s="20"/>
      <c r="VNZ48" s="21"/>
      <c r="VOA48" s="21"/>
      <c r="VOB48" s="7"/>
      <c r="VOC48" s="7"/>
      <c r="VOD48" s="21"/>
      <c r="VOE48" s="20"/>
      <c r="VOF48" s="20"/>
      <c r="VOG48" s="20"/>
      <c r="VOH48" s="21"/>
      <c r="VOI48" s="21"/>
      <c r="VOJ48" s="21"/>
      <c r="VOK48" s="21"/>
      <c r="VOL48" s="21"/>
      <c r="VOM48" s="20"/>
      <c r="VON48" s="20"/>
      <c r="VOO48" s="20"/>
      <c r="VOP48" s="20"/>
      <c r="VOQ48" s="21"/>
      <c r="VOR48" s="21"/>
      <c r="VOS48" s="7"/>
      <c r="VOT48" s="7"/>
      <c r="VOU48" s="21"/>
      <c r="VOV48" s="20"/>
      <c r="VOW48" s="20"/>
      <c r="VOX48" s="20"/>
      <c r="VOY48" s="21"/>
      <c r="VOZ48" s="21"/>
      <c r="VPA48" s="21"/>
      <c r="VPB48" s="21"/>
      <c r="VPC48" s="21"/>
      <c r="VPD48" s="20"/>
      <c r="VPE48" s="20"/>
      <c r="VPF48" s="20"/>
      <c r="VPG48" s="20"/>
      <c r="VPH48" s="21"/>
      <c r="VPI48" s="21"/>
      <c r="VPJ48" s="7"/>
      <c r="VPK48" s="7"/>
      <c r="VPL48" s="21"/>
      <c r="VPM48" s="20"/>
      <c r="VPN48" s="20"/>
      <c r="VPO48" s="20"/>
      <c r="VPP48" s="21"/>
      <c r="VPQ48" s="21"/>
      <c r="VPR48" s="21"/>
      <c r="VPS48" s="21"/>
      <c r="VPT48" s="21"/>
      <c r="VPU48" s="20"/>
      <c r="VPV48" s="20"/>
      <c r="VPW48" s="20"/>
      <c r="VPX48" s="20"/>
      <c r="VPY48" s="21"/>
      <c r="VPZ48" s="21"/>
      <c r="VQA48" s="7"/>
      <c r="VQB48" s="7"/>
      <c r="VQC48" s="21"/>
      <c r="VQD48" s="20"/>
      <c r="VQE48" s="20"/>
      <c r="VQF48" s="20"/>
      <c r="VQG48" s="21"/>
      <c r="VQH48" s="21"/>
      <c r="VQI48" s="21"/>
      <c r="VQJ48" s="21"/>
      <c r="VQK48" s="21"/>
      <c r="VQL48" s="20"/>
      <c r="VQM48" s="20"/>
      <c r="VQN48" s="20"/>
      <c r="VQO48" s="20"/>
      <c r="VQP48" s="21"/>
      <c r="VQQ48" s="21"/>
      <c r="VQR48" s="7"/>
      <c r="VQS48" s="7"/>
      <c r="VQT48" s="21"/>
      <c r="VQU48" s="20"/>
      <c r="VQV48" s="20"/>
      <c r="VQW48" s="20"/>
      <c r="VQX48" s="21"/>
      <c r="VQY48" s="21"/>
      <c r="VQZ48" s="21"/>
      <c r="VRA48" s="21"/>
      <c r="VRB48" s="21"/>
      <c r="VRC48" s="20"/>
      <c r="VRD48" s="20"/>
      <c r="VRE48" s="20"/>
      <c r="VRF48" s="20"/>
      <c r="VRG48" s="21"/>
      <c r="VRH48" s="21"/>
      <c r="VRI48" s="7"/>
      <c r="VRJ48" s="7"/>
      <c r="VRK48" s="21"/>
      <c r="VRL48" s="20"/>
      <c r="VRM48" s="20"/>
      <c r="VRN48" s="20"/>
      <c r="VRO48" s="21"/>
      <c r="VRP48" s="21"/>
      <c r="VRQ48" s="21"/>
      <c r="VRR48" s="21"/>
      <c r="VRS48" s="21"/>
      <c r="VRT48" s="20"/>
      <c r="VRU48" s="20"/>
      <c r="VRV48" s="20"/>
      <c r="VRW48" s="20"/>
      <c r="VRX48" s="21"/>
      <c r="VRY48" s="21"/>
      <c r="VRZ48" s="7"/>
      <c r="VSA48" s="7"/>
      <c r="VSB48" s="21"/>
      <c r="VSC48" s="20"/>
      <c r="VSD48" s="20"/>
      <c r="VSE48" s="20"/>
      <c r="VSF48" s="21"/>
      <c r="VSG48" s="21"/>
      <c r="VSH48" s="21"/>
      <c r="VSI48" s="21"/>
      <c r="VSJ48" s="21"/>
      <c r="VSK48" s="20"/>
      <c r="VSL48" s="20"/>
      <c r="VSM48" s="20"/>
      <c r="VSN48" s="20"/>
      <c r="VSO48" s="21"/>
      <c r="VSP48" s="21"/>
      <c r="VSQ48" s="7"/>
      <c r="VSR48" s="7"/>
      <c r="VSS48" s="21"/>
      <c r="VST48" s="20"/>
      <c r="VSU48" s="20"/>
      <c r="VSV48" s="20"/>
      <c r="VSW48" s="21"/>
      <c r="VSX48" s="21"/>
      <c r="VSY48" s="21"/>
      <c r="VSZ48" s="21"/>
      <c r="VTA48" s="21"/>
      <c r="VTB48" s="20"/>
      <c r="VTC48" s="20"/>
      <c r="VTD48" s="20"/>
      <c r="VTE48" s="20"/>
      <c r="VTF48" s="21"/>
      <c r="VTG48" s="21"/>
      <c r="VTH48" s="7"/>
      <c r="VTI48" s="7"/>
      <c r="VTJ48" s="21"/>
      <c r="VTK48" s="20"/>
      <c r="VTL48" s="20"/>
      <c r="VTM48" s="20"/>
      <c r="VTN48" s="21"/>
      <c r="VTO48" s="21"/>
      <c r="VTP48" s="21"/>
      <c r="VTQ48" s="21"/>
      <c r="VTR48" s="21"/>
      <c r="VTS48" s="20"/>
      <c r="VTT48" s="20"/>
      <c r="VTU48" s="20"/>
      <c r="VTV48" s="20"/>
      <c r="VTW48" s="21"/>
      <c r="VTX48" s="21"/>
      <c r="VTY48" s="7"/>
      <c r="VTZ48" s="7"/>
      <c r="VUA48" s="21"/>
      <c r="VUB48" s="20"/>
      <c r="VUC48" s="20"/>
      <c r="VUD48" s="20"/>
      <c r="VUE48" s="21"/>
      <c r="VUF48" s="21"/>
      <c r="VUG48" s="21"/>
      <c r="VUH48" s="21"/>
      <c r="VUI48" s="21"/>
      <c r="VUJ48" s="20"/>
      <c r="VUK48" s="20"/>
      <c r="VUL48" s="20"/>
      <c r="VUM48" s="20"/>
      <c r="VUN48" s="21"/>
      <c r="VUO48" s="21"/>
      <c r="VUP48" s="7"/>
      <c r="VUQ48" s="7"/>
      <c r="VUR48" s="21"/>
      <c r="VUS48" s="20"/>
      <c r="VUT48" s="20"/>
      <c r="VUU48" s="20"/>
      <c r="VUV48" s="21"/>
      <c r="VUW48" s="21"/>
      <c r="VUX48" s="21"/>
      <c r="VUY48" s="21"/>
      <c r="VUZ48" s="21"/>
      <c r="VVA48" s="20"/>
      <c r="VVB48" s="20"/>
      <c r="VVC48" s="20"/>
      <c r="VVD48" s="20"/>
      <c r="VVE48" s="21"/>
      <c r="VVF48" s="21"/>
      <c r="VVG48" s="7"/>
      <c r="VVH48" s="7"/>
      <c r="VVI48" s="21"/>
      <c r="VVJ48" s="20"/>
      <c r="VVK48" s="20"/>
      <c r="VVL48" s="20"/>
      <c r="VVM48" s="21"/>
      <c r="VVN48" s="21"/>
      <c r="VVO48" s="21"/>
      <c r="VVP48" s="21"/>
      <c r="VVQ48" s="21"/>
      <c r="VVR48" s="20"/>
      <c r="VVS48" s="20"/>
      <c r="VVT48" s="20"/>
      <c r="VVU48" s="20"/>
      <c r="VVV48" s="21"/>
      <c r="VVW48" s="21"/>
      <c r="VVX48" s="7"/>
      <c r="VVY48" s="7"/>
      <c r="VVZ48" s="21"/>
      <c r="VWA48" s="20"/>
      <c r="VWB48" s="20"/>
      <c r="VWC48" s="20"/>
      <c r="VWD48" s="21"/>
      <c r="VWE48" s="21"/>
      <c r="VWF48" s="21"/>
      <c r="VWG48" s="21"/>
      <c r="VWH48" s="21"/>
      <c r="VWI48" s="20"/>
      <c r="VWJ48" s="20"/>
      <c r="VWK48" s="20"/>
      <c r="VWL48" s="20"/>
      <c r="VWM48" s="21"/>
      <c r="VWN48" s="21"/>
      <c r="VWO48" s="7"/>
      <c r="VWP48" s="7"/>
      <c r="VWQ48" s="21"/>
      <c r="VWR48" s="20"/>
      <c r="VWS48" s="20"/>
      <c r="VWT48" s="20"/>
      <c r="VWU48" s="21"/>
      <c r="VWV48" s="21"/>
      <c r="VWW48" s="21"/>
      <c r="VWX48" s="21"/>
      <c r="VWY48" s="21"/>
      <c r="VWZ48" s="20"/>
      <c r="VXA48" s="20"/>
      <c r="VXB48" s="20"/>
      <c r="VXC48" s="20"/>
      <c r="VXD48" s="21"/>
      <c r="VXE48" s="21"/>
      <c r="VXF48" s="7"/>
      <c r="VXG48" s="7"/>
      <c r="VXH48" s="21"/>
      <c r="VXI48" s="20"/>
      <c r="VXJ48" s="20"/>
      <c r="VXK48" s="20"/>
      <c r="VXL48" s="21"/>
      <c r="VXM48" s="21"/>
      <c r="VXN48" s="21"/>
      <c r="VXO48" s="21"/>
      <c r="VXP48" s="21"/>
      <c r="VXQ48" s="20"/>
      <c r="VXR48" s="20"/>
      <c r="VXS48" s="20"/>
      <c r="VXT48" s="20"/>
      <c r="VXU48" s="21"/>
      <c r="VXV48" s="21"/>
      <c r="VXW48" s="7"/>
      <c r="VXX48" s="7"/>
      <c r="VXY48" s="21"/>
      <c r="VXZ48" s="20"/>
      <c r="VYA48" s="20"/>
      <c r="VYB48" s="20"/>
      <c r="VYC48" s="21"/>
      <c r="VYD48" s="21"/>
      <c r="VYE48" s="21"/>
      <c r="VYF48" s="21"/>
      <c r="VYG48" s="21"/>
      <c r="VYH48" s="20"/>
      <c r="VYI48" s="20"/>
      <c r="VYJ48" s="20"/>
      <c r="VYK48" s="20"/>
      <c r="VYL48" s="21"/>
      <c r="VYM48" s="21"/>
      <c r="VYN48" s="7"/>
      <c r="VYO48" s="7"/>
      <c r="VYP48" s="21"/>
      <c r="VYQ48" s="20"/>
      <c r="VYR48" s="20"/>
      <c r="VYS48" s="20"/>
      <c r="VYT48" s="21"/>
      <c r="VYU48" s="21"/>
      <c r="VYV48" s="21"/>
      <c r="VYW48" s="21"/>
      <c r="VYX48" s="21"/>
      <c r="VYY48" s="20"/>
      <c r="VYZ48" s="20"/>
      <c r="VZA48" s="20"/>
      <c r="VZB48" s="20"/>
      <c r="VZC48" s="21"/>
      <c r="VZD48" s="21"/>
      <c r="VZE48" s="7"/>
      <c r="VZF48" s="7"/>
      <c r="VZG48" s="21"/>
      <c r="VZH48" s="20"/>
      <c r="VZI48" s="20"/>
      <c r="VZJ48" s="20"/>
      <c r="VZK48" s="21"/>
      <c r="VZL48" s="21"/>
      <c r="VZM48" s="21"/>
      <c r="VZN48" s="21"/>
      <c r="VZO48" s="21"/>
      <c r="VZP48" s="20"/>
      <c r="VZQ48" s="20"/>
      <c r="VZR48" s="20"/>
      <c r="VZS48" s="20"/>
      <c r="VZT48" s="21"/>
      <c r="VZU48" s="21"/>
      <c r="VZV48" s="7"/>
      <c r="VZW48" s="7"/>
      <c r="VZX48" s="21"/>
      <c r="VZY48" s="20"/>
      <c r="VZZ48" s="20"/>
      <c r="WAA48" s="20"/>
      <c r="WAB48" s="21"/>
      <c r="WAC48" s="21"/>
      <c r="WAD48" s="21"/>
      <c r="WAE48" s="21"/>
      <c r="WAF48" s="21"/>
      <c r="WAG48" s="20"/>
      <c r="WAH48" s="20"/>
      <c r="WAI48" s="20"/>
      <c r="WAJ48" s="20"/>
      <c r="WAK48" s="21"/>
      <c r="WAL48" s="21"/>
      <c r="WAM48" s="7"/>
      <c r="WAN48" s="7"/>
      <c r="WAO48" s="21"/>
      <c r="WAP48" s="20"/>
      <c r="WAQ48" s="20"/>
      <c r="WAR48" s="20"/>
      <c r="WAS48" s="21"/>
      <c r="WAT48" s="21"/>
      <c r="WAU48" s="21"/>
      <c r="WAV48" s="21"/>
      <c r="WAW48" s="21"/>
      <c r="WAX48" s="20"/>
      <c r="WAY48" s="20"/>
      <c r="WAZ48" s="20"/>
      <c r="WBA48" s="20"/>
      <c r="WBB48" s="21"/>
      <c r="WBC48" s="21"/>
      <c r="WBD48" s="7"/>
      <c r="WBE48" s="7"/>
      <c r="WBF48" s="21"/>
      <c r="WBG48" s="20"/>
      <c r="WBH48" s="20"/>
      <c r="WBI48" s="20"/>
      <c r="WBJ48" s="21"/>
      <c r="WBK48" s="21"/>
      <c r="WBL48" s="21"/>
      <c r="WBM48" s="21"/>
      <c r="WBN48" s="21"/>
      <c r="WBO48" s="20"/>
      <c r="WBP48" s="20"/>
      <c r="WBQ48" s="20"/>
      <c r="WBR48" s="20"/>
      <c r="WBS48" s="21"/>
      <c r="WBT48" s="21"/>
      <c r="WBU48" s="7"/>
      <c r="WBV48" s="7"/>
      <c r="WBW48" s="21"/>
      <c r="WBX48" s="20"/>
      <c r="WBY48" s="20"/>
      <c r="WBZ48" s="20"/>
      <c r="WCA48" s="21"/>
      <c r="WCB48" s="21"/>
      <c r="WCC48" s="21"/>
      <c r="WCD48" s="21"/>
      <c r="WCE48" s="21"/>
      <c r="WCF48" s="20"/>
      <c r="WCG48" s="20"/>
      <c r="WCH48" s="20"/>
      <c r="WCI48" s="20"/>
      <c r="WCJ48" s="21"/>
      <c r="WCK48" s="21"/>
      <c r="WCL48" s="7"/>
      <c r="WCM48" s="7"/>
      <c r="WCN48" s="21"/>
      <c r="WCO48" s="20"/>
      <c r="WCP48" s="20"/>
      <c r="WCQ48" s="20"/>
      <c r="WCR48" s="21"/>
      <c r="WCS48" s="21"/>
      <c r="WCT48" s="21"/>
      <c r="WCU48" s="21"/>
      <c r="WCV48" s="21"/>
      <c r="WCW48" s="20"/>
      <c r="WCX48" s="20"/>
      <c r="WCY48" s="20"/>
      <c r="WCZ48" s="20"/>
      <c r="WDA48" s="21"/>
      <c r="WDB48" s="21"/>
      <c r="WDC48" s="7"/>
      <c r="WDD48" s="7"/>
      <c r="WDE48" s="21"/>
      <c r="WDF48" s="20"/>
      <c r="WDG48" s="20"/>
      <c r="WDH48" s="20"/>
      <c r="WDI48" s="21"/>
      <c r="WDJ48" s="21"/>
      <c r="WDK48" s="21"/>
      <c r="WDL48" s="21"/>
      <c r="WDM48" s="21"/>
      <c r="WDN48" s="20"/>
      <c r="WDO48" s="20"/>
      <c r="WDP48" s="20"/>
      <c r="WDQ48" s="20"/>
      <c r="WDR48" s="21"/>
      <c r="WDS48" s="21"/>
      <c r="WDT48" s="7"/>
      <c r="WDU48" s="7"/>
      <c r="WDV48" s="21"/>
      <c r="WDW48" s="20"/>
      <c r="WDX48" s="20"/>
      <c r="WDY48" s="20"/>
      <c r="WDZ48" s="21"/>
      <c r="WEA48" s="21"/>
      <c r="WEB48" s="21"/>
      <c r="WEC48" s="21"/>
      <c r="WED48" s="21"/>
      <c r="WEE48" s="20"/>
      <c r="WEF48" s="20"/>
      <c r="WEG48" s="20"/>
      <c r="WEH48" s="20"/>
      <c r="WEI48" s="21"/>
      <c r="WEJ48" s="21"/>
      <c r="WEK48" s="7"/>
      <c r="WEL48" s="7"/>
      <c r="WEM48" s="21"/>
      <c r="WEN48" s="20"/>
      <c r="WEO48" s="20"/>
      <c r="WEP48" s="20"/>
      <c r="WEQ48" s="21"/>
      <c r="WER48" s="21"/>
      <c r="WES48" s="21"/>
      <c r="WET48" s="21"/>
      <c r="WEU48" s="21"/>
      <c r="WEV48" s="20"/>
      <c r="WEW48" s="20"/>
      <c r="WEX48" s="20"/>
      <c r="WEY48" s="20"/>
      <c r="WEZ48" s="21"/>
      <c r="WFA48" s="21"/>
      <c r="WFB48" s="7"/>
      <c r="WFC48" s="7"/>
      <c r="WFD48" s="21"/>
      <c r="WFE48" s="20"/>
      <c r="WFF48" s="20"/>
      <c r="WFG48" s="20"/>
      <c r="WFH48" s="21"/>
      <c r="WFI48" s="21"/>
      <c r="WFJ48" s="21"/>
      <c r="WFK48" s="21"/>
      <c r="WFL48" s="21"/>
      <c r="WFM48" s="20"/>
      <c r="WFN48" s="20"/>
      <c r="WFO48" s="20"/>
      <c r="WFP48" s="20"/>
      <c r="WFQ48" s="21"/>
      <c r="WFR48" s="21"/>
      <c r="WFS48" s="7"/>
      <c r="WFT48" s="7"/>
      <c r="WFU48" s="21"/>
      <c r="WFV48" s="20"/>
      <c r="WFW48" s="20"/>
      <c r="WFX48" s="20"/>
      <c r="WFY48" s="21"/>
      <c r="WFZ48" s="21"/>
      <c r="WGA48" s="21"/>
      <c r="WGB48" s="21"/>
      <c r="WGC48" s="21"/>
      <c r="WGD48" s="20"/>
      <c r="WGE48" s="20"/>
      <c r="WGF48" s="20"/>
      <c r="WGG48" s="20"/>
      <c r="WGH48" s="21"/>
      <c r="WGI48" s="21"/>
      <c r="WGJ48" s="7"/>
      <c r="WGK48" s="7"/>
      <c r="WGL48" s="21"/>
      <c r="WGM48" s="20"/>
      <c r="WGN48" s="20"/>
      <c r="WGO48" s="20"/>
      <c r="WGP48" s="21"/>
      <c r="WGQ48" s="21"/>
      <c r="WGR48" s="21"/>
      <c r="WGS48" s="21"/>
      <c r="WGT48" s="21"/>
      <c r="WGU48" s="20"/>
      <c r="WGV48" s="20"/>
      <c r="WGW48" s="20"/>
      <c r="WGX48" s="20"/>
      <c r="WGY48" s="21"/>
      <c r="WGZ48" s="21"/>
      <c r="WHA48" s="7"/>
      <c r="WHB48" s="7"/>
      <c r="WHC48" s="21"/>
      <c r="WHD48" s="20"/>
      <c r="WHE48" s="20"/>
      <c r="WHF48" s="20"/>
      <c r="WHG48" s="21"/>
      <c r="WHH48" s="21"/>
      <c r="WHI48" s="21"/>
      <c r="WHJ48" s="21"/>
      <c r="WHK48" s="21"/>
      <c r="WHL48" s="20"/>
      <c r="WHM48" s="20"/>
      <c r="WHN48" s="20"/>
      <c r="WHO48" s="20"/>
      <c r="WHP48" s="21"/>
      <c r="WHQ48" s="21"/>
      <c r="WHR48" s="7"/>
      <c r="WHS48" s="7"/>
      <c r="WHT48" s="21"/>
      <c r="WHU48" s="20"/>
      <c r="WHV48" s="20"/>
      <c r="WHW48" s="20"/>
      <c r="WHX48" s="21"/>
      <c r="WHY48" s="21"/>
      <c r="WHZ48" s="21"/>
      <c r="WIA48" s="21"/>
      <c r="WIB48" s="21"/>
      <c r="WIC48" s="20"/>
      <c r="WID48" s="20"/>
      <c r="WIE48" s="20"/>
      <c r="WIF48" s="20"/>
      <c r="WIG48" s="21"/>
      <c r="WIH48" s="21"/>
      <c r="WII48" s="7"/>
      <c r="WIJ48" s="7"/>
      <c r="WIK48" s="21"/>
      <c r="WIL48" s="20"/>
      <c r="WIM48" s="20"/>
      <c r="WIN48" s="20"/>
      <c r="WIO48" s="21"/>
      <c r="WIP48" s="21"/>
      <c r="WIQ48" s="21"/>
      <c r="WIR48" s="21"/>
      <c r="WIS48" s="21"/>
      <c r="WIT48" s="20"/>
      <c r="WIU48" s="20"/>
      <c r="WIV48" s="20"/>
      <c r="WIW48" s="20"/>
      <c r="WIX48" s="21"/>
      <c r="WIY48" s="21"/>
      <c r="WIZ48" s="7"/>
      <c r="WJA48" s="7"/>
      <c r="WJB48" s="21"/>
      <c r="WJC48" s="20"/>
      <c r="WJD48" s="20"/>
      <c r="WJE48" s="20"/>
      <c r="WJF48" s="21"/>
      <c r="WJG48" s="21"/>
      <c r="WJH48" s="21"/>
      <c r="WJI48" s="21"/>
      <c r="WJJ48" s="21"/>
      <c r="WJK48" s="20"/>
      <c r="WJL48" s="20"/>
      <c r="WJM48" s="20"/>
      <c r="WJN48" s="20"/>
      <c r="WJO48" s="21"/>
      <c r="WJP48" s="21"/>
      <c r="WJQ48" s="7"/>
      <c r="WJR48" s="7"/>
      <c r="WJS48" s="21"/>
      <c r="WJT48" s="20"/>
      <c r="WJU48" s="20"/>
      <c r="WJV48" s="20"/>
      <c r="WJW48" s="21"/>
      <c r="WJX48" s="21"/>
      <c r="WJY48" s="21"/>
      <c r="WJZ48" s="21"/>
      <c r="WKA48" s="21"/>
      <c r="WKB48" s="20"/>
      <c r="WKC48" s="20"/>
      <c r="WKD48" s="20"/>
      <c r="WKE48" s="20"/>
      <c r="WKF48" s="21"/>
      <c r="WKG48" s="21"/>
      <c r="WKH48" s="7"/>
      <c r="WKI48" s="7"/>
      <c r="WKJ48" s="21"/>
      <c r="WKK48" s="20"/>
      <c r="WKL48" s="20"/>
      <c r="WKM48" s="20"/>
      <c r="WKN48" s="21"/>
      <c r="WKO48" s="21"/>
      <c r="WKP48" s="21"/>
      <c r="WKQ48" s="21"/>
      <c r="WKR48" s="21"/>
      <c r="WKS48" s="20"/>
      <c r="WKT48" s="20"/>
      <c r="WKU48" s="20"/>
      <c r="WKV48" s="20"/>
      <c r="WKW48" s="21"/>
      <c r="WKX48" s="21"/>
      <c r="WKY48" s="7"/>
      <c r="WKZ48" s="7"/>
      <c r="WLA48" s="21"/>
      <c r="WLB48" s="20"/>
      <c r="WLC48" s="20"/>
      <c r="WLD48" s="20"/>
      <c r="WLE48" s="21"/>
      <c r="WLF48" s="21"/>
      <c r="WLG48" s="21"/>
      <c r="WLH48" s="21"/>
      <c r="WLI48" s="21"/>
      <c r="WLJ48" s="20"/>
      <c r="WLK48" s="20"/>
      <c r="WLL48" s="20"/>
      <c r="WLM48" s="20"/>
      <c r="WLN48" s="21"/>
      <c r="WLO48" s="21"/>
      <c r="WLP48" s="7"/>
      <c r="WLQ48" s="7"/>
      <c r="WLR48" s="21"/>
      <c r="WLS48" s="20"/>
      <c r="WLT48" s="20"/>
      <c r="WLU48" s="20"/>
      <c r="WLV48" s="21"/>
      <c r="WLW48" s="21"/>
      <c r="WLX48" s="21"/>
      <c r="WLY48" s="21"/>
      <c r="WLZ48" s="21"/>
      <c r="WMA48" s="20"/>
      <c r="WMB48" s="20"/>
      <c r="WMC48" s="20"/>
      <c r="WMD48" s="20"/>
      <c r="WME48" s="21"/>
      <c r="WMF48" s="21"/>
      <c r="WMG48" s="7"/>
      <c r="WMH48" s="7"/>
      <c r="WMI48" s="21"/>
      <c r="WMJ48" s="20"/>
      <c r="WMK48" s="20"/>
      <c r="WML48" s="20"/>
      <c r="WMM48" s="21"/>
      <c r="WMN48" s="21"/>
      <c r="WMO48" s="21"/>
      <c r="WMP48" s="21"/>
      <c r="WMQ48" s="21"/>
      <c r="WMR48" s="20"/>
      <c r="WMS48" s="20"/>
      <c r="WMT48" s="20"/>
      <c r="WMU48" s="20"/>
      <c r="WMV48" s="21"/>
      <c r="WMW48" s="21"/>
      <c r="WMX48" s="7"/>
      <c r="WMY48" s="7"/>
      <c r="WMZ48" s="21"/>
      <c r="WNA48" s="20"/>
      <c r="WNB48" s="20"/>
      <c r="WNC48" s="20"/>
      <c r="WND48" s="21"/>
      <c r="WNE48" s="21"/>
      <c r="WNF48" s="21"/>
      <c r="WNG48" s="21"/>
      <c r="WNH48" s="21"/>
      <c r="WNI48" s="20"/>
      <c r="WNJ48" s="20"/>
      <c r="WNK48" s="20"/>
      <c r="WNL48" s="20"/>
      <c r="WNM48" s="21"/>
      <c r="WNN48" s="21"/>
      <c r="WNO48" s="7"/>
      <c r="WNP48" s="7"/>
      <c r="WNQ48" s="21"/>
      <c r="WNR48" s="20"/>
      <c r="WNS48" s="20"/>
      <c r="WNT48" s="20"/>
      <c r="WNU48" s="21"/>
      <c r="WNV48" s="21"/>
      <c r="WNW48" s="21"/>
      <c r="WNX48" s="21"/>
      <c r="WNY48" s="21"/>
      <c r="WNZ48" s="20"/>
      <c r="WOA48" s="20"/>
      <c r="WOB48" s="20"/>
      <c r="WOC48" s="20"/>
      <c r="WOD48" s="21"/>
      <c r="WOE48" s="21"/>
      <c r="WOF48" s="7"/>
      <c r="WOG48" s="7"/>
      <c r="WOH48" s="21"/>
      <c r="WOI48" s="20"/>
      <c r="WOJ48" s="20"/>
      <c r="WOK48" s="20"/>
      <c r="WOL48" s="21"/>
      <c r="WOM48" s="21"/>
      <c r="WON48" s="21"/>
      <c r="WOO48" s="21"/>
      <c r="WOP48" s="21"/>
      <c r="WOQ48" s="20"/>
      <c r="WOR48" s="20"/>
      <c r="WOS48" s="20"/>
      <c r="WOT48" s="20"/>
      <c r="WOU48" s="21"/>
      <c r="WOV48" s="21"/>
      <c r="WOW48" s="7"/>
      <c r="WOX48" s="7"/>
      <c r="WOY48" s="21"/>
      <c r="WOZ48" s="20"/>
      <c r="WPA48" s="20"/>
      <c r="WPB48" s="20"/>
      <c r="WPC48" s="21"/>
      <c r="WPD48" s="21"/>
      <c r="WPE48" s="21"/>
      <c r="WPF48" s="21"/>
      <c r="WPG48" s="21"/>
      <c r="WPH48" s="20"/>
      <c r="WPI48" s="20"/>
      <c r="WPJ48" s="20"/>
      <c r="WPK48" s="20"/>
      <c r="WPL48" s="21"/>
      <c r="WPM48" s="21"/>
      <c r="WPN48" s="7"/>
      <c r="WPO48" s="7"/>
      <c r="WPP48" s="21"/>
      <c r="WPQ48" s="20"/>
      <c r="WPR48" s="20"/>
      <c r="WPS48" s="20"/>
      <c r="WPT48" s="21"/>
      <c r="WPU48" s="21"/>
      <c r="WPV48" s="21"/>
      <c r="WPW48" s="21"/>
      <c r="WPX48" s="21"/>
      <c r="WPY48" s="20"/>
      <c r="WPZ48" s="20"/>
      <c r="WQA48" s="20"/>
      <c r="WQB48" s="20"/>
      <c r="WQC48" s="21"/>
      <c r="WQD48" s="21"/>
      <c r="WQE48" s="7"/>
      <c r="WQF48" s="7"/>
      <c r="WQG48" s="21"/>
      <c r="WQH48" s="20"/>
      <c r="WQI48" s="20"/>
      <c r="WQJ48" s="20"/>
      <c r="WQK48" s="21"/>
      <c r="WQL48" s="21"/>
      <c r="WQM48" s="21"/>
      <c r="WQN48" s="21"/>
      <c r="WQO48" s="21"/>
      <c r="WQP48" s="20"/>
      <c r="WQQ48" s="20"/>
      <c r="WQR48" s="20"/>
      <c r="WQS48" s="20"/>
      <c r="WQT48" s="21"/>
      <c r="WQU48" s="21"/>
      <c r="WQV48" s="7"/>
      <c r="WQW48" s="7"/>
      <c r="WQX48" s="21"/>
      <c r="WQY48" s="20"/>
      <c r="WQZ48" s="20"/>
      <c r="WRA48" s="20"/>
      <c r="WRB48" s="21"/>
      <c r="WRC48" s="21"/>
      <c r="WRD48" s="21"/>
      <c r="WRE48" s="21"/>
      <c r="WRF48" s="21"/>
      <c r="WRG48" s="20"/>
      <c r="WRH48" s="20"/>
      <c r="WRI48" s="20"/>
      <c r="WRJ48" s="20"/>
      <c r="WRK48" s="21"/>
      <c r="WRL48" s="21"/>
      <c r="WRM48" s="7"/>
      <c r="WRN48" s="7"/>
      <c r="WRO48" s="21"/>
      <c r="WRP48" s="20"/>
      <c r="WRQ48" s="20"/>
      <c r="WRR48" s="20"/>
      <c r="WRS48" s="21"/>
      <c r="WRT48" s="21"/>
      <c r="WRU48" s="21"/>
      <c r="WRV48" s="21"/>
      <c r="WRW48" s="21"/>
      <c r="WRX48" s="20"/>
      <c r="WRY48" s="20"/>
      <c r="WRZ48" s="20"/>
      <c r="WSA48" s="20"/>
      <c r="WSB48" s="21"/>
      <c r="WSC48" s="21"/>
      <c r="WSD48" s="7"/>
      <c r="WSE48" s="7"/>
      <c r="WSF48" s="21"/>
      <c r="WSG48" s="20"/>
      <c r="WSH48" s="20"/>
      <c r="WSI48" s="20"/>
      <c r="WSJ48" s="21"/>
      <c r="WSK48" s="21"/>
      <c r="WSL48" s="21"/>
      <c r="WSM48" s="21"/>
      <c r="WSN48" s="21"/>
      <c r="WSO48" s="20"/>
      <c r="WSP48" s="20"/>
      <c r="WSQ48" s="20"/>
      <c r="WSR48" s="20"/>
      <c r="WSS48" s="21"/>
      <c r="WST48" s="21"/>
      <c r="WSU48" s="7"/>
      <c r="WSV48" s="7"/>
      <c r="WSW48" s="21"/>
      <c r="WSX48" s="20"/>
      <c r="WSY48" s="20"/>
      <c r="WSZ48" s="20"/>
      <c r="WTA48" s="21"/>
      <c r="WTB48" s="21"/>
      <c r="WTC48" s="21"/>
      <c r="WTD48" s="21"/>
      <c r="WTE48" s="21"/>
      <c r="WTF48" s="20"/>
      <c r="WTG48" s="20"/>
      <c r="WTH48" s="20"/>
      <c r="WTI48" s="20"/>
      <c r="WTJ48" s="21"/>
      <c r="WTK48" s="21"/>
      <c r="WTL48" s="7"/>
      <c r="WTM48" s="7"/>
      <c r="WTN48" s="21"/>
      <c r="WTO48" s="20"/>
      <c r="WTP48" s="20"/>
      <c r="WTQ48" s="20"/>
      <c r="WTR48" s="21"/>
      <c r="WTS48" s="21"/>
      <c r="WTT48" s="21"/>
      <c r="WTU48" s="21"/>
      <c r="WTV48" s="21"/>
      <c r="WTW48" s="20"/>
      <c r="WTX48" s="20"/>
      <c r="WTY48" s="20"/>
      <c r="WTZ48" s="20"/>
      <c r="WUA48" s="21"/>
      <c r="WUB48" s="21"/>
      <c r="WUC48" s="7"/>
      <c r="WUD48" s="7"/>
      <c r="WUE48" s="21"/>
      <c r="WUF48" s="20"/>
      <c r="WUG48" s="20"/>
      <c r="WUH48" s="20"/>
      <c r="WUI48" s="21"/>
      <c r="WUJ48" s="21"/>
      <c r="WUK48" s="21"/>
      <c r="WUL48" s="21"/>
      <c r="WUM48" s="21"/>
      <c r="WUN48" s="20"/>
      <c r="WUO48" s="20"/>
      <c r="WUP48" s="20"/>
      <c r="WUQ48" s="20"/>
      <c r="WUR48" s="21"/>
      <c r="WUS48" s="21"/>
      <c r="WUT48" s="7"/>
      <c r="WUU48" s="7"/>
      <c r="WUV48" s="21"/>
      <c r="WUW48" s="20"/>
      <c r="WUX48" s="20"/>
      <c r="WUY48" s="20"/>
      <c r="WUZ48" s="21"/>
      <c r="WVA48" s="21"/>
      <c r="WVB48" s="21"/>
      <c r="WVC48" s="21"/>
      <c r="WVD48" s="21"/>
      <c r="WVE48" s="20"/>
      <c r="WVF48" s="20"/>
      <c r="WVG48" s="20"/>
      <c r="WVH48" s="20"/>
      <c r="WVI48" s="21"/>
      <c r="WVJ48" s="21"/>
      <c r="WVK48" s="7"/>
      <c r="WVL48" s="7"/>
      <c r="WVM48" s="21"/>
      <c r="WVN48" s="20"/>
      <c r="WVO48" s="20"/>
      <c r="WVP48" s="20"/>
      <c r="WVQ48" s="21"/>
      <c r="WVR48" s="21"/>
      <c r="WVS48" s="21"/>
      <c r="WVT48" s="21"/>
      <c r="WVU48" s="21"/>
      <c r="WVV48" s="20"/>
      <c r="WVW48" s="20"/>
      <c r="WVX48" s="20"/>
      <c r="WVY48" s="20"/>
      <c r="WVZ48" s="21"/>
      <c r="WWA48" s="21"/>
      <c r="WWB48" s="7"/>
      <c r="WWC48" s="7"/>
      <c r="WWD48" s="21"/>
      <c r="WWE48" s="20"/>
      <c r="WWF48" s="20"/>
      <c r="WWG48" s="20"/>
      <c r="WWH48" s="21"/>
      <c r="WWI48" s="21"/>
      <c r="WWJ48" s="21"/>
      <c r="WWK48" s="21"/>
      <c r="WWL48" s="21"/>
      <c r="WWM48" s="20"/>
      <c r="WWN48" s="20"/>
      <c r="WWO48" s="20"/>
      <c r="WWP48" s="20"/>
      <c r="WWQ48" s="21"/>
      <c r="WWR48" s="21"/>
      <c r="WWS48" s="7"/>
      <c r="WWT48" s="7"/>
      <c r="WWU48" s="21"/>
      <c r="WWV48" s="20"/>
      <c r="WWW48" s="20"/>
      <c r="WWX48" s="20"/>
      <c r="WWY48" s="21"/>
      <c r="WWZ48" s="21"/>
      <c r="WXA48" s="21"/>
      <c r="WXB48" s="21"/>
      <c r="WXC48" s="21"/>
      <c r="WXD48" s="20"/>
      <c r="WXE48" s="20"/>
      <c r="WXF48" s="20"/>
      <c r="WXG48" s="20"/>
      <c r="WXH48" s="21"/>
      <c r="WXI48" s="21"/>
      <c r="WXJ48" s="7"/>
      <c r="WXK48" s="7"/>
      <c r="WXL48" s="21"/>
      <c r="WXM48" s="20"/>
      <c r="WXN48" s="20"/>
      <c r="WXO48" s="20"/>
      <c r="WXP48" s="21"/>
      <c r="WXQ48" s="21"/>
      <c r="WXR48" s="21"/>
      <c r="WXS48" s="21"/>
      <c r="WXT48" s="21"/>
      <c r="WXU48" s="20"/>
      <c r="WXV48" s="20"/>
      <c r="WXW48" s="20"/>
      <c r="WXX48" s="20"/>
      <c r="WXY48" s="21"/>
      <c r="WXZ48" s="21"/>
      <c r="WYA48" s="7"/>
      <c r="WYB48" s="7"/>
      <c r="WYC48" s="21"/>
      <c r="WYD48" s="20"/>
      <c r="WYE48" s="20"/>
      <c r="WYF48" s="20"/>
      <c r="WYG48" s="21"/>
      <c r="WYH48" s="21"/>
      <c r="WYI48" s="21"/>
      <c r="WYJ48" s="21"/>
      <c r="WYK48" s="21"/>
      <c r="WYL48" s="20"/>
      <c r="WYM48" s="20"/>
      <c r="WYN48" s="20"/>
      <c r="WYO48" s="20"/>
      <c r="WYP48" s="21"/>
      <c r="WYQ48" s="21"/>
      <c r="WYR48" s="7"/>
      <c r="WYS48" s="7"/>
      <c r="WYT48" s="21"/>
      <c r="WYU48" s="20"/>
      <c r="WYV48" s="20"/>
      <c r="WYW48" s="20"/>
      <c r="WYX48" s="21"/>
      <c r="WYY48" s="21"/>
      <c r="WYZ48" s="21"/>
      <c r="WZA48" s="21"/>
      <c r="WZB48" s="21"/>
      <c r="WZC48" s="20"/>
      <c r="WZD48" s="20"/>
      <c r="WZE48" s="20"/>
      <c r="WZF48" s="20"/>
      <c r="WZG48" s="21"/>
      <c r="WZH48" s="21"/>
      <c r="WZI48" s="7"/>
      <c r="WZJ48" s="7"/>
      <c r="WZK48" s="21"/>
      <c r="WZL48" s="20"/>
      <c r="WZM48" s="20"/>
      <c r="WZN48" s="20"/>
      <c r="WZO48" s="21"/>
      <c r="WZP48" s="21"/>
      <c r="WZQ48" s="21"/>
      <c r="WZR48" s="21"/>
      <c r="WZS48" s="21"/>
      <c r="WZT48" s="20"/>
      <c r="WZU48" s="20"/>
      <c r="WZV48" s="20"/>
      <c r="WZW48" s="20"/>
      <c r="WZX48" s="21"/>
      <c r="WZY48" s="21"/>
      <c r="WZZ48" s="7"/>
      <c r="XAA48" s="7"/>
      <c r="XAB48" s="21"/>
      <c r="XAC48" s="20"/>
      <c r="XAD48" s="20"/>
      <c r="XAE48" s="20"/>
      <c r="XAF48" s="21"/>
      <c r="XAG48" s="21"/>
      <c r="XAH48" s="21"/>
      <c r="XAI48" s="21"/>
      <c r="XAJ48" s="21"/>
      <c r="XAK48" s="20"/>
      <c r="XAL48" s="20"/>
      <c r="XAM48" s="20"/>
      <c r="XAN48" s="20"/>
      <c r="XAO48" s="21"/>
      <c r="XAP48" s="21"/>
      <c r="XAQ48" s="7"/>
      <c r="XAR48" s="7"/>
      <c r="XAS48" s="21"/>
      <c r="XAT48" s="20"/>
      <c r="XAU48" s="20"/>
      <c r="XAV48" s="20"/>
      <c r="XAW48" s="21"/>
      <c r="XAX48" s="21"/>
      <c r="XAY48" s="21"/>
      <c r="XAZ48" s="21"/>
      <c r="XBA48" s="21"/>
      <c r="XBB48" s="20"/>
      <c r="XBC48" s="20"/>
      <c r="XBD48" s="20"/>
      <c r="XBE48" s="20"/>
      <c r="XBF48" s="21"/>
      <c r="XBG48" s="21"/>
      <c r="XBH48" s="7"/>
      <c r="XBI48" s="7"/>
      <c r="XBJ48" s="21"/>
      <c r="XBK48" s="20"/>
      <c r="XBL48" s="20"/>
      <c r="XBM48" s="20"/>
      <c r="XBN48" s="21"/>
      <c r="XBO48" s="21"/>
      <c r="XBP48" s="21"/>
      <c r="XBQ48" s="21"/>
      <c r="XBR48" s="21"/>
      <c r="XBS48" s="20"/>
      <c r="XBT48" s="20"/>
      <c r="XBU48" s="20"/>
      <c r="XBV48" s="20"/>
      <c r="XBW48" s="21"/>
      <c r="XBX48" s="21"/>
      <c r="XBY48" s="7"/>
      <c r="XBZ48" s="7"/>
      <c r="XCA48" s="21"/>
      <c r="XCB48" s="20"/>
      <c r="XCC48" s="20"/>
      <c r="XCD48" s="20"/>
      <c r="XCE48" s="21"/>
      <c r="XCF48" s="21"/>
      <c r="XCG48" s="21"/>
      <c r="XCH48" s="21"/>
      <c r="XCI48" s="21"/>
      <c r="XCJ48" s="20"/>
      <c r="XCK48" s="20"/>
      <c r="XCL48" s="20"/>
      <c r="XCM48" s="20"/>
      <c r="XCN48" s="21"/>
      <c r="XCO48" s="21"/>
      <c r="XCP48" s="7"/>
      <c r="XCQ48" s="7"/>
      <c r="XCR48" s="21"/>
      <c r="XCS48" s="20"/>
      <c r="XCT48" s="20"/>
      <c r="XCU48" s="20"/>
      <c r="XCV48" s="21"/>
      <c r="XCW48" s="21"/>
      <c r="XCX48" s="21"/>
      <c r="XCY48" s="21"/>
      <c r="XCZ48" s="21"/>
      <c r="XDA48" s="20"/>
      <c r="XDB48" s="20"/>
      <c r="XDC48" s="20"/>
      <c r="XDD48" s="20"/>
      <c r="XDE48" s="21"/>
      <c r="XDF48" s="21"/>
      <c r="XDG48" s="7"/>
      <c r="XDH48" s="7"/>
      <c r="XDI48" s="21"/>
      <c r="XDJ48" s="20"/>
      <c r="XDK48" s="20"/>
      <c r="XDL48" s="20"/>
      <c r="XDM48" s="21"/>
      <c r="XDN48" s="21"/>
      <c r="XDO48" s="21"/>
      <c r="XDP48" s="21"/>
      <c r="XDQ48" s="21"/>
      <c r="XDR48" s="20"/>
      <c r="XDS48" s="20"/>
      <c r="XDT48" s="20"/>
      <c r="XDU48" s="20"/>
      <c r="XDV48" s="21"/>
      <c r="XDW48" s="21"/>
      <c r="XDX48" s="7"/>
      <c r="XDY48" s="7"/>
      <c r="XDZ48" s="21"/>
      <c r="XEA48" s="20"/>
      <c r="XEB48" s="20"/>
      <c r="XEC48" s="20"/>
      <c r="XED48" s="21"/>
      <c r="XEE48" s="21"/>
      <c r="XEF48" s="21"/>
      <c r="XEG48" s="21"/>
      <c r="XEH48" s="21"/>
      <c r="XEI48" s="20"/>
      <c r="XEJ48" s="20"/>
      <c r="XEK48" s="20"/>
      <c r="XEL48" s="20"/>
      <c r="XEM48" s="21"/>
      <c r="XEN48" s="21"/>
      <c r="XEO48" s="7"/>
      <c r="XEP48" s="7"/>
      <c r="XEQ48" s="21"/>
      <c r="XER48" s="20"/>
      <c r="XES48" s="20"/>
      <c r="XET48" s="20"/>
      <c r="XEU48" s="21"/>
      <c r="XEV48" s="21"/>
      <c r="XEW48" s="21"/>
      <c r="XEX48" s="21"/>
      <c r="XEY48" s="21"/>
      <c r="XEZ48" s="20"/>
      <c r="XFA48" s="20"/>
      <c r="XFB48" s="20"/>
      <c r="XFC48" s="20"/>
      <c r="XFD48" s="21"/>
    </row>
    <row r="49" spans="1:35" ht="14.25" customHeight="1" x14ac:dyDescent="0.25">
      <c r="A49" s="26">
        <v>0</v>
      </c>
      <c r="B49" s="26">
        <v>1</v>
      </c>
      <c r="C49" s="26">
        <v>3</v>
      </c>
      <c r="D49" s="27" t="s">
        <v>76</v>
      </c>
      <c r="E49" s="27" t="s">
        <v>259</v>
      </c>
      <c r="F49" s="27" t="s">
        <v>159</v>
      </c>
      <c r="G49" s="27" t="s">
        <v>130</v>
      </c>
      <c r="H49" s="27" t="s">
        <v>165</v>
      </c>
      <c r="I49" s="26" t="s">
        <v>200</v>
      </c>
      <c r="J49" s="26">
        <v>10</v>
      </c>
      <c r="K49" s="26" t="s">
        <v>322</v>
      </c>
      <c r="L49" s="26" t="s">
        <v>341</v>
      </c>
      <c r="M49" s="27" t="s">
        <v>266</v>
      </c>
      <c r="N49" s="27"/>
      <c r="O49" s="28"/>
      <c r="P49" s="28">
        <v>1</v>
      </c>
      <c r="Q49" s="27"/>
      <c r="S49" s="2">
        <f t="shared" si="7"/>
        <v>0</v>
      </c>
      <c r="T49" s="2">
        <f t="shared" si="8"/>
        <v>0</v>
      </c>
      <c r="U49" s="2">
        <f t="shared" si="9"/>
        <v>0</v>
      </c>
      <c r="V49" s="2">
        <f t="shared" si="10"/>
        <v>0</v>
      </c>
      <c r="W49" s="2">
        <f t="shared" si="11"/>
        <v>0</v>
      </c>
      <c r="X49" s="2">
        <f t="shared" si="12"/>
        <v>0</v>
      </c>
      <c r="Y49" s="2">
        <f t="shared" si="13"/>
        <v>0</v>
      </c>
      <c r="Z49" s="2">
        <f t="shared" si="14"/>
        <v>0</v>
      </c>
      <c r="AA49" s="2">
        <f t="shared" si="15"/>
        <v>0</v>
      </c>
      <c r="AB49" s="2">
        <f t="shared" si="16"/>
        <v>1</v>
      </c>
      <c r="AD49" s="2">
        <f t="shared" si="17"/>
        <v>0</v>
      </c>
      <c r="AE49" s="2">
        <f t="shared" si="18"/>
        <v>0</v>
      </c>
      <c r="AF49" s="2">
        <f t="shared" si="19"/>
        <v>0</v>
      </c>
      <c r="AG49" s="2">
        <f t="shared" si="20"/>
        <v>0</v>
      </c>
      <c r="AH49" s="2">
        <f t="shared" si="21"/>
        <v>1</v>
      </c>
      <c r="AI49" s="2">
        <f t="shared" si="22"/>
        <v>0</v>
      </c>
    </row>
    <row r="50" spans="1:35" ht="14.25" customHeight="1" x14ac:dyDescent="0.25">
      <c r="A50" s="29">
        <v>0</v>
      </c>
      <c r="B50" s="29">
        <v>1</v>
      </c>
      <c r="C50" s="29">
        <v>3</v>
      </c>
      <c r="D50" s="30" t="s">
        <v>635</v>
      </c>
      <c r="E50" s="30" t="s">
        <v>636</v>
      </c>
      <c r="F50" s="30" t="s">
        <v>637</v>
      </c>
      <c r="G50" s="30" t="s">
        <v>515</v>
      </c>
      <c r="H50" s="30" t="s">
        <v>165</v>
      </c>
      <c r="I50" s="29" t="s">
        <v>638</v>
      </c>
      <c r="J50" s="29"/>
      <c r="K50" s="29" t="s">
        <v>377</v>
      </c>
      <c r="L50" s="29">
        <v>55</v>
      </c>
      <c r="M50" s="30" t="s">
        <v>639</v>
      </c>
      <c r="N50" s="30" t="s">
        <v>928</v>
      </c>
      <c r="O50" s="31">
        <v>1</v>
      </c>
      <c r="P50" s="31"/>
      <c r="Q50" s="30"/>
      <c r="S50" s="2">
        <f t="shared" si="7"/>
        <v>0</v>
      </c>
      <c r="T50" s="2">
        <f t="shared" si="8"/>
        <v>0</v>
      </c>
      <c r="U50" s="2">
        <f t="shared" si="9"/>
        <v>0</v>
      </c>
      <c r="V50" s="2">
        <f t="shared" si="10"/>
        <v>0</v>
      </c>
      <c r="W50" s="2">
        <f t="shared" si="11"/>
        <v>0</v>
      </c>
      <c r="X50" s="2">
        <f t="shared" si="12"/>
        <v>0</v>
      </c>
      <c r="Y50" s="2">
        <f t="shared" si="13"/>
        <v>0</v>
      </c>
      <c r="Z50" s="2">
        <f t="shared" si="14"/>
        <v>0</v>
      </c>
      <c r="AA50" s="2">
        <f t="shared" si="15"/>
        <v>0</v>
      </c>
      <c r="AB50" s="2">
        <f t="shared" si="16"/>
        <v>0</v>
      </c>
      <c r="AD50" s="2">
        <f t="shared" si="17"/>
        <v>0</v>
      </c>
      <c r="AE50" s="2">
        <f t="shared" si="18"/>
        <v>1</v>
      </c>
      <c r="AF50" s="2">
        <f t="shared" si="19"/>
        <v>0</v>
      </c>
      <c r="AG50" s="2">
        <f t="shared" si="20"/>
        <v>1</v>
      </c>
      <c r="AH50" s="2">
        <f t="shared" si="21"/>
        <v>0</v>
      </c>
      <c r="AI50" s="2">
        <f t="shared" si="22"/>
        <v>1</v>
      </c>
    </row>
    <row r="51" spans="1:35" ht="14.25" customHeight="1" x14ac:dyDescent="0.25">
      <c r="A51" s="29">
        <v>0</v>
      </c>
      <c r="B51" s="29">
        <v>1</v>
      </c>
      <c r="C51" s="29">
        <v>3</v>
      </c>
      <c r="D51" s="30" t="s">
        <v>725</v>
      </c>
      <c r="E51" s="30" t="s">
        <v>259</v>
      </c>
      <c r="F51" s="30" t="s">
        <v>829</v>
      </c>
      <c r="G51" s="30" t="s">
        <v>728</v>
      </c>
      <c r="H51" s="30" t="s">
        <v>165</v>
      </c>
      <c r="I51" s="29" t="s">
        <v>727</v>
      </c>
      <c r="J51" s="29">
        <v>99</v>
      </c>
      <c r="K51" s="29" t="s">
        <v>331</v>
      </c>
      <c r="L51" s="29" t="s">
        <v>346</v>
      </c>
      <c r="M51" s="30" t="s">
        <v>726</v>
      </c>
      <c r="N51" s="30" t="s">
        <v>894</v>
      </c>
      <c r="O51" s="31">
        <v>1</v>
      </c>
      <c r="P51" s="31"/>
      <c r="Q51" s="30"/>
      <c r="S51" s="2">
        <f t="shared" si="7"/>
        <v>0</v>
      </c>
      <c r="T51" s="2">
        <f t="shared" si="8"/>
        <v>0</v>
      </c>
      <c r="U51" s="2">
        <f t="shared" si="9"/>
        <v>0</v>
      </c>
      <c r="V51" s="2">
        <f t="shared" si="10"/>
        <v>0</v>
      </c>
      <c r="W51" s="2">
        <f t="shared" si="11"/>
        <v>0</v>
      </c>
      <c r="X51" s="2">
        <f t="shared" si="12"/>
        <v>0</v>
      </c>
      <c r="Y51" s="2">
        <f t="shared" si="13"/>
        <v>0</v>
      </c>
      <c r="Z51" s="2">
        <f t="shared" si="14"/>
        <v>0</v>
      </c>
      <c r="AA51" s="2">
        <f t="shared" si="15"/>
        <v>0</v>
      </c>
      <c r="AB51" s="2">
        <f t="shared" si="16"/>
        <v>0</v>
      </c>
      <c r="AD51" s="2">
        <f t="shared" si="17"/>
        <v>0</v>
      </c>
      <c r="AE51" s="2">
        <f t="shared" si="18"/>
        <v>1</v>
      </c>
      <c r="AF51" s="2">
        <f t="shared" si="19"/>
        <v>0</v>
      </c>
      <c r="AG51" s="2">
        <f t="shared" si="20"/>
        <v>1</v>
      </c>
      <c r="AH51" s="2">
        <f t="shared" si="21"/>
        <v>0</v>
      </c>
      <c r="AI51" s="2">
        <f t="shared" si="22"/>
        <v>1</v>
      </c>
    </row>
    <row r="52" spans="1:35" ht="14.25" customHeight="1" x14ac:dyDescent="0.25">
      <c r="A52" s="20">
        <v>0</v>
      </c>
      <c r="B52" s="20">
        <v>1</v>
      </c>
      <c r="C52" s="20">
        <v>3</v>
      </c>
      <c r="D52" s="21" t="s">
        <v>978</v>
      </c>
      <c r="E52" s="21" t="s">
        <v>259</v>
      </c>
      <c r="F52" s="21" t="s">
        <v>979</v>
      </c>
      <c r="G52" s="21" t="s">
        <v>980</v>
      </c>
      <c r="H52" s="21" t="s">
        <v>165</v>
      </c>
      <c r="I52" s="20" t="s">
        <v>981</v>
      </c>
      <c r="J52" s="20"/>
      <c r="K52" s="20" t="s">
        <v>377</v>
      </c>
      <c r="L52" s="20">
        <v>65</v>
      </c>
      <c r="M52" s="21" t="s">
        <v>982</v>
      </c>
      <c r="N52" s="21"/>
      <c r="O52" s="20"/>
      <c r="P52" s="20"/>
      <c r="Q52" s="21"/>
      <c r="S52" s="2">
        <f t="shared" si="7"/>
        <v>0</v>
      </c>
      <c r="T52" s="2">
        <f t="shared" si="8"/>
        <v>0</v>
      </c>
      <c r="U52" s="2">
        <f t="shared" si="9"/>
        <v>0</v>
      </c>
      <c r="V52" s="2">
        <f t="shared" si="10"/>
        <v>0</v>
      </c>
      <c r="W52" s="2">
        <f t="shared" si="11"/>
        <v>0</v>
      </c>
      <c r="X52" s="2">
        <f t="shared" si="12"/>
        <v>0</v>
      </c>
      <c r="Y52" s="2">
        <f t="shared" si="13"/>
        <v>0</v>
      </c>
      <c r="Z52" s="2">
        <f t="shared" si="14"/>
        <v>0</v>
      </c>
      <c r="AA52" s="2">
        <f t="shared" si="15"/>
        <v>0</v>
      </c>
      <c r="AB52" s="2">
        <f t="shared" si="16"/>
        <v>0</v>
      </c>
      <c r="AD52" s="2">
        <f t="shared" si="17"/>
        <v>0</v>
      </c>
      <c r="AE52" s="2">
        <f t="shared" si="18"/>
        <v>0</v>
      </c>
      <c r="AF52" s="2">
        <f t="shared" si="19"/>
        <v>0</v>
      </c>
      <c r="AG52" s="2">
        <f t="shared" si="20"/>
        <v>0</v>
      </c>
      <c r="AH52" s="2">
        <f t="shared" si="21"/>
        <v>0</v>
      </c>
      <c r="AI52" s="2">
        <f t="shared" si="22"/>
        <v>1</v>
      </c>
    </row>
    <row r="53" spans="1:35" ht="14.25" customHeight="1" x14ac:dyDescent="0.25">
      <c r="A53" s="29">
        <v>0</v>
      </c>
      <c r="B53" s="29">
        <v>1</v>
      </c>
      <c r="C53" s="29">
        <v>3</v>
      </c>
      <c r="D53" s="30" t="s">
        <v>56</v>
      </c>
      <c r="E53" s="30" t="s">
        <v>259</v>
      </c>
      <c r="F53" s="30" t="s">
        <v>111</v>
      </c>
      <c r="G53" s="30" t="s">
        <v>112</v>
      </c>
      <c r="H53" s="30" t="s">
        <v>165</v>
      </c>
      <c r="I53" s="29" t="s">
        <v>175</v>
      </c>
      <c r="J53" s="29">
        <v>99</v>
      </c>
      <c r="K53" s="29" t="s">
        <v>326</v>
      </c>
      <c r="L53" s="29">
        <v>65</v>
      </c>
      <c r="M53" s="30" t="s">
        <v>733</v>
      </c>
      <c r="N53" s="30" t="s">
        <v>928</v>
      </c>
      <c r="O53" s="31">
        <v>1</v>
      </c>
      <c r="P53" s="31"/>
      <c r="Q53" s="30"/>
      <c r="S53" s="2">
        <f t="shared" si="7"/>
        <v>0</v>
      </c>
      <c r="T53" s="2">
        <f t="shared" si="8"/>
        <v>0</v>
      </c>
      <c r="U53" s="2">
        <f t="shared" si="9"/>
        <v>0</v>
      </c>
      <c r="V53" s="2">
        <f t="shared" si="10"/>
        <v>0</v>
      </c>
      <c r="W53" s="2">
        <f t="shared" si="11"/>
        <v>0</v>
      </c>
      <c r="X53" s="2">
        <f t="shared" si="12"/>
        <v>0</v>
      </c>
      <c r="Y53" s="2">
        <f t="shared" si="13"/>
        <v>0</v>
      </c>
      <c r="Z53" s="2">
        <f t="shared" si="14"/>
        <v>0</v>
      </c>
      <c r="AA53" s="2">
        <f t="shared" si="15"/>
        <v>0</v>
      </c>
      <c r="AB53" s="2">
        <f t="shared" si="16"/>
        <v>0</v>
      </c>
      <c r="AD53" s="2">
        <f t="shared" si="17"/>
        <v>0</v>
      </c>
      <c r="AE53" s="2">
        <f t="shared" si="18"/>
        <v>1</v>
      </c>
      <c r="AF53" s="2">
        <f t="shared" si="19"/>
        <v>0</v>
      </c>
      <c r="AG53" s="2">
        <f t="shared" si="20"/>
        <v>1</v>
      </c>
      <c r="AH53" s="2">
        <f t="shared" si="21"/>
        <v>0</v>
      </c>
      <c r="AI53" s="2">
        <f t="shared" si="22"/>
        <v>1</v>
      </c>
    </row>
    <row r="54" spans="1:35" ht="14.25" customHeight="1" x14ac:dyDescent="0.25">
      <c r="A54" s="20">
        <v>0</v>
      </c>
      <c r="B54" s="20">
        <v>1</v>
      </c>
      <c r="C54" s="20">
        <v>3</v>
      </c>
      <c r="D54" s="21" t="s">
        <v>49</v>
      </c>
      <c r="E54" s="21" t="s">
        <v>259</v>
      </c>
      <c r="F54" s="21" t="s">
        <v>101</v>
      </c>
      <c r="G54" s="21" t="s">
        <v>93</v>
      </c>
      <c r="H54" s="21" t="s">
        <v>165</v>
      </c>
      <c r="I54" s="20" t="s">
        <v>169</v>
      </c>
      <c r="J54" s="20">
        <v>8</v>
      </c>
      <c r="K54" s="20" t="s">
        <v>332</v>
      </c>
      <c r="L54" s="20">
        <v>50</v>
      </c>
      <c r="M54" s="21" t="s">
        <v>903</v>
      </c>
      <c r="N54" s="21"/>
      <c r="O54" s="7"/>
      <c r="P54" s="7"/>
      <c r="Q54" s="21"/>
      <c r="S54" s="2">
        <f t="shared" si="7"/>
        <v>0</v>
      </c>
      <c r="T54" s="2">
        <f t="shared" si="8"/>
        <v>0</v>
      </c>
      <c r="U54" s="2">
        <f t="shared" si="9"/>
        <v>0</v>
      </c>
      <c r="V54" s="2">
        <f t="shared" si="10"/>
        <v>0</v>
      </c>
      <c r="W54" s="2">
        <f t="shared" si="11"/>
        <v>0</v>
      </c>
      <c r="X54" s="2">
        <f t="shared" si="12"/>
        <v>0</v>
      </c>
      <c r="Y54" s="2">
        <f t="shared" si="13"/>
        <v>0</v>
      </c>
      <c r="Z54" s="2">
        <f t="shared" si="14"/>
        <v>1</v>
      </c>
      <c r="AA54" s="2">
        <f t="shared" si="15"/>
        <v>0</v>
      </c>
      <c r="AB54" s="2">
        <f t="shared" si="16"/>
        <v>0</v>
      </c>
      <c r="AD54" s="2">
        <f t="shared" si="17"/>
        <v>0</v>
      </c>
      <c r="AE54" s="2">
        <f t="shared" si="18"/>
        <v>0</v>
      </c>
      <c r="AF54" s="2">
        <f t="shared" si="19"/>
        <v>0</v>
      </c>
      <c r="AG54" s="2">
        <f t="shared" si="20"/>
        <v>0</v>
      </c>
      <c r="AH54" s="2">
        <f t="shared" si="21"/>
        <v>0</v>
      </c>
      <c r="AI54" s="2">
        <f t="shared" si="22"/>
        <v>1</v>
      </c>
    </row>
    <row r="55" spans="1:35" ht="14.25" customHeight="1" x14ac:dyDescent="0.25">
      <c r="A55" s="29">
        <v>0</v>
      </c>
      <c r="B55" s="29">
        <v>1</v>
      </c>
      <c r="C55" s="29">
        <v>4</v>
      </c>
      <c r="D55" s="30" t="s">
        <v>252</v>
      </c>
      <c r="E55" s="30" t="s">
        <v>234</v>
      </c>
      <c r="F55" s="30" t="s">
        <v>235</v>
      </c>
      <c r="G55" s="30" t="s">
        <v>109</v>
      </c>
      <c r="H55" s="30" t="s">
        <v>165</v>
      </c>
      <c r="I55" s="29" t="s">
        <v>236</v>
      </c>
      <c r="J55" s="29">
        <v>9</v>
      </c>
      <c r="K55" s="29" t="s">
        <v>332</v>
      </c>
      <c r="L55" s="29" t="s">
        <v>345</v>
      </c>
      <c r="M55" s="30" t="s">
        <v>778</v>
      </c>
      <c r="N55" s="30" t="s">
        <v>886</v>
      </c>
      <c r="O55" s="31">
        <v>1</v>
      </c>
      <c r="P55" s="31">
        <v>1</v>
      </c>
      <c r="Q55" s="30"/>
      <c r="S55" s="2">
        <f t="shared" si="7"/>
        <v>0</v>
      </c>
      <c r="T55" s="2">
        <f t="shared" si="8"/>
        <v>0</v>
      </c>
      <c r="U55" s="2">
        <f t="shared" si="9"/>
        <v>0</v>
      </c>
      <c r="V55" s="2">
        <f t="shared" si="10"/>
        <v>0</v>
      </c>
      <c r="W55" s="2">
        <f t="shared" si="11"/>
        <v>0</v>
      </c>
      <c r="X55" s="2">
        <f t="shared" si="12"/>
        <v>0</v>
      </c>
      <c r="Y55" s="2">
        <f t="shared" si="13"/>
        <v>0</v>
      </c>
      <c r="Z55" s="2">
        <f t="shared" si="14"/>
        <v>0</v>
      </c>
      <c r="AA55" s="2">
        <f t="shared" si="15"/>
        <v>1</v>
      </c>
      <c r="AB55" s="2">
        <f t="shared" si="16"/>
        <v>0</v>
      </c>
      <c r="AD55" s="2">
        <f t="shared" si="17"/>
        <v>1</v>
      </c>
      <c r="AE55" s="2">
        <f t="shared" si="18"/>
        <v>0</v>
      </c>
      <c r="AF55" s="2">
        <f t="shared" si="19"/>
        <v>1</v>
      </c>
      <c r="AG55" s="2">
        <f t="shared" si="20"/>
        <v>0</v>
      </c>
      <c r="AH55" s="2">
        <f t="shared" si="21"/>
        <v>1</v>
      </c>
      <c r="AI55" s="2">
        <f t="shared" si="22"/>
        <v>0</v>
      </c>
    </row>
    <row r="56" spans="1:35" ht="14.25" customHeight="1" x14ac:dyDescent="0.25">
      <c r="A56" s="32">
        <v>0</v>
      </c>
      <c r="B56" s="32">
        <v>1</v>
      </c>
      <c r="C56" s="32">
        <v>4</v>
      </c>
      <c r="D56" s="33" t="s">
        <v>307</v>
      </c>
      <c r="E56" s="33" t="s">
        <v>29</v>
      </c>
      <c r="F56" s="33" t="s">
        <v>283</v>
      </c>
      <c r="G56" s="33" t="s">
        <v>284</v>
      </c>
      <c r="H56" s="33" t="s">
        <v>165</v>
      </c>
      <c r="I56" s="32" t="s">
        <v>285</v>
      </c>
      <c r="J56" s="32">
        <v>99</v>
      </c>
      <c r="K56" s="32" t="s">
        <v>377</v>
      </c>
      <c r="L56" s="32" t="s">
        <v>334</v>
      </c>
      <c r="M56" s="33" t="s">
        <v>266</v>
      </c>
      <c r="N56" s="33" t="s">
        <v>922</v>
      </c>
      <c r="O56" s="34"/>
      <c r="P56" s="34"/>
      <c r="Q56" s="33"/>
      <c r="S56" s="2">
        <f t="shared" si="7"/>
        <v>0</v>
      </c>
      <c r="T56" s="2">
        <f t="shared" si="8"/>
        <v>0</v>
      </c>
      <c r="U56" s="2">
        <f t="shared" si="9"/>
        <v>0</v>
      </c>
      <c r="V56" s="2">
        <f t="shared" si="10"/>
        <v>0</v>
      </c>
      <c r="W56" s="2">
        <f t="shared" si="11"/>
        <v>0</v>
      </c>
      <c r="X56" s="2">
        <f t="shared" si="12"/>
        <v>0</v>
      </c>
      <c r="Y56" s="2">
        <f t="shared" si="13"/>
        <v>0</v>
      </c>
      <c r="Z56" s="2">
        <f t="shared" si="14"/>
        <v>0</v>
      </c>
      <c r="AA56" s="2">
        <f t="shared" si="15"/>
        <v>0</v>
      </c>
      <c r="AB56" s="2">
        <f t="shared" si="16"/>
        <v>0</v>
      </c>
      <c r="AD56" s="2">
        <f t="shared" si="17"/>
        <v>0</v>
      </c>
      <c r="AE56" s="2">
        <f t="shared" si="18"/>
        <v>0</v>
      </c>
      <c r="AF56" s="2">
        <f t="shared" si="19"/>
        <v>0</v>
      </c>
      <c r="AG56" s="2">
        <f t="shared" si="20"/>
        <v>0</v>
      </c>
      <c r="AH56" s="2">
        <f t="shared" si="21"/>
        <v>0</v>
      </c>
      <c r="AI56" s="2">
        <f t="shared" si="22"/>
        <v>1</v>
      </c>
    </row>
    <row r="57" spans="1:35" ht="14.25" customHeight="1" x14ac:dyDescent="0.25">
      <c r="A57" s="20">
        <v>0</v>
      </c>
      <c r="B57" s="20">
        <v>1</v>
      </c>
      <c r="C57" s="20">
        <v>5</v>
      </c>
      <c r="D57" s="21" t="s">
        <v>710</v>
      </c>
      <c r="E57" s="21" t="s">
        <v>707</v>
      </c>
      <c r="F57" s="21" t="s">
        <v>706</v>
      </c>
      <c r="G57" s="21" t="s">
        <v>303</v>
      </c>
      <c r="H57" s="21" t="s">
        <v>165</v>
      </c>
      <c r="I57" s="20" t="s">
        <v>708</v>
      </c>
      <c r="J57" s="20">
        <v>99</v>
      </c>
      <c r="K57" s="20" t="s">
        <v>377</v>
      </c>
      <c r="L57" s="20">
        <v>55</v>
      </c>
      <c r="M57" s="21" t="s">
        <v>705</v>
      </c>
      <c r="N57" s="21"/>
      <c r="O57" s="7"/>
      <c r="P57" s="7"/>
      <c r="Q57" s="21"/>
      <c r="S57" s="2">
        <f t="shared" si="7"/>
        <v>0</v>
      </c>
      <c r="T57" s="2">
        <f t="shared" si="8"/>
        <v>0</v>
      </c>
      <c r="U57" s="2">
        <f t="shared" si="9"/>
        <v>0</v>
      </c>
      <c r="V57" s="2">
        <f t="shared" si="10"/>
        <v>0</v>
      </c>
      <c r="W57" s="2">
        <f t="shared" si="11"/>
        <v>0</v>
      </c>
      <c r="X57" s="2">
        <f t="shared" si="12"/>
        <v>0</v>
      </c>
      <c r="Y57" s="2">
        <f t="shared" si="13"/>
        <v>0</v>
      </c>
      <c r="Z57" s="2">
        <f t="shared" si="14"/>
        <v>0</v>
      </c>
      <c r="AA57" s="2">
        <f t="shared" si="15"/>
        <v>0</v>
      </c>
      <c r="AB57" s="2">
        <f t="shared" si="16"/>
        <v>0</v>
      </c>
      <c r="AD57" s="2">
        <f t="shared" si="17"/>
        <v>0</v>
      </c>
      <c r="AE57" s="2">
        <f t="shared" si="18"/>
        <v>0</v>
      </c>
      <c r="AF57" s="2">
        <f t="shared" si="19"/>
        <v>0</v>
      </c>
      <c r="AG57" s="2">
        <f t="shared" si="20"/>
        <v>0</v>
      </c>
      <c r="AH57" s="2">
        <f t="shared" si="21"/>
        <v>0</v>
      </c>
      <c r="AI57" s="2">
        <f t="shared" si="22"/>
        <v>1</v>
      </c>
    </row>
    <row r="58" spans="1:35" ht="14.25" customHeight="1" x14ac:dyDescent="0.25">
      <c r="A58" s="29">
        <v>0</v>
      </c>
      <c r="B58" s="29">
        <v>1</v>
      </c>
      <c r="C58" s="29">
        <v>5</v>
      </c>
      <c r="D58" s="30" t="s">
        <v>880</v>
      </c>
      <c r="E58" s="30" t="s">
        <v>883</v>
      </c>
      <c r="F58" s="30" t="s">
        <v>881</v>
      </c>
      <c r="G58" s="30" t="s">
        <v>402</v>
      </c>
      <c r="H58" s="30" t="s">
        <v>165</v>
      </c>
      <c r="I58" s="29" t="s">
        <v>882</v>
      </c>
      <c r="J58" s="29"/>
      <c r="K58" s="29" t="s">
        <v>377</v>
      </c>
      <c r="L58" s="29">
        <v>55</v>
      </c>
      <c r="M58" s="30" t="s">
        <v>884</v>
      </c>
      <c r="N58" s="30" t="s">
        <v>928</v>
      </c>
      <c r="O58" s="31">
        <v>1</v>
      </c>
      <c r="P58" s="31"/>
      <c r="Q58" s="30"/>
      <c r="S58" s="2">
        <f t="shared" si="7"/>
        <v>0</v>
      </c>
      <c r="T58" s="2">
        <f t="shared" si="8"/>
        <v>0</v>
      </c>
      <c r="U58" s="2">
        <f t="shared" si="9"/>
        <v>0</v>
      </c>
      <c r="V58" s="2">
        <f t="shared" si="10"/>
        <v>0</v>
      </c>
      <c r="W58" s="2">
        <f t="shared" si="11"/>
        <v>0</v>
      </c>
      <c r="X58" s="2">
        <f t="shared" si="12"/>
        <v>0</v>
      </c>
      <c r="Y58" s="2">
        <f t="shared" si="13"/>
        <v>0</v>
      </c>
      <c r="Z58" s="2">
        <f t="shared" si="14"/>
        <v>0</v>
      </c>
      <c r="AA58" s="2">
        <f t="shared" si="15"/>
        <v>0</v>
      </c>
      <c r="AB58" s="2">
        <f t="shared" si="16"/>
        <v>0</v>
      </c>
      <c r="AD58" s="2">
        <f t="shared" si="17"/>
        <v>0</v>
      </c>
      <c r="AE58" s="2">
        <f t="shared" si="18"/>
        <v>1</v>
      </c>
      <c r="AF58" s="2">
        <f t="shared" si="19"/>
        <v>0</v>
      </c>
      <c r="AG58" s="2">
        <f t="shared" si="20"/>
        <v>1</v>
      </c>
      <c r="AH58" s="2">
        <f t="shared" si="21"/>
        <v>0</v>
      </c>
      <c r="AI58" s="2">
        <f t="shared" si="22"/>
        <v>1</v>
      </c>
    </row>
    <row r="59" spans="1:35" ht="14.25" customHeight="1" x14ac:dyDescent="0.25">
      <c r="A59" s="29">
        <v>0</v>
      </c>
      <c r="B59" s="29">
        <v>1</v>
      </c>
      <c r="C59" s="29">
        <v>5</v>
      </c>
      <c r="D59" s="30" t="s">
        <v>865</v>
      </c>
      <c r="E59" s="30" t="s">
        <v>800</v>
      </c>
      <c r="F59" s="30" t="s">
        <v>866</v>
      </c>
      <c r="G59" s="30" t="s">
        <v>309</v>
      </c>
      <c r="H59" s="30" t="s">
        <v>165</v>
      </c>
      <c r="I59" s="29" t="s">
        <v>867</v>
      </c>
      <c r="J59" s="29"/>
      <c r="K59" s="29" t="s">
        <v>377</v>
      </c>
      <c r="L59" s="29">
        <v>50</v>
      </c>
      <c r="M59" s="30" t="s">
        <v>868</v>
      </c>
      <c r="N59" s="30" t="s">
        <v>928</v>
      </c>
      <c r="O59" s="31">
        <v>1</v>
      </c>
      <c r="P59" s="31"/>
      <c r="Q59" s="30"/>
      <c r="S59" s="2">
        <f t="shared" si="7"/>
        <v>0</v>
      </c>
      <c r="T59" s="2">
        <f t="shared" si="8"/>
        <v>0</v>
      </c>
      <c r="U59" s="2">
        <f t="shared" si="9"/>
        <v>0</v>
      </c>
      <c r="V59" s="2">
        <f t="shared" si="10"/>
        <v>0</v>
      </c>
      <c r="W59" s="2">
        <f t="shared" si="11"/>
        <v>0</v>
      </c>
      <c r="X59" s="2">
        <f t="shared" si="12"/>
        <v>0</v>
      </c>
      <c r="Y59" s="2">
        <f t="shared" si="13"/>
        <v>0</v>
      </c>
      <c r="Z59" s="2">
        <f t="shared" si="14"/>
        <v>0</v>
      </c>
      <c r="AA59" s="2">
        <f t="shared" si="15"/>
        <v>0</v>
      </c>
      <c r="AB59" s="2">
        <f t="shared" si="16"/>
        <v>0</v>
      </c>
      <c r="AD59" s="2">
        <f t="shared" si="17"/>
        <v>0</v>
      </c>
      <c r="AE59" s="2">
        <f t="shared" si="18"/>
        <v>1</v>
      </c>
      <c r="AF59" s="2">
        <f t="shared" si="19"/>
        <v>0</v>
      </c>
      <c r="AG59" s="2">
        <f t="shared" si="20"/>
        <v>1</v>
      </c>
      <c r="AH59" s="2">
        <f t="shared" si="21"/>
        <v>0</v>
      </c>
      <c r="AI59" s="2">
        <f t="shared" si="22"/>
        <v>1</v>
      </c>
    </row>
    <row r="60" spans="1:35" ht="14.25" customHeight="1" x14ac:dyDescent="0.25">
      <c r="A60" s="20">
        <v>0</v>
      </c>
      <c r="B60" s="20">
        <v>1</v>
      </c>
      <c r="C60" s="20">
        <v>5</v>
      </c>
      <c r="D60" s="21" t="s">
        <v>801</v>
      </c>
      <c r="E60" s="21" t="s">
        <v>800</v>
      </c>
      <c r="F60" s="21" t="s">
        <v>834</v>
      </c>
      <c r="G60" s="21" t="s">
        <v>93</v>
      </c>
      <c r="H60" s="21" t="s">
        <v>165</v>
      </c>
      <c r="I60" s="20" t="s">
        <v>848</v>
      </c>
      <c r="J60" s="20">
        <v>8</v>
      </c>
      <c r="K60" s="20" t="s">
        <v>332</v>
      </c>
      <c r="L60" s="20">
        <v>50</v>
      </c>
      <c r="M60" s="21" t="s">
        <v>868</v>
      </c>
      <c r="N60" s="21"/>
      <c r="O60" s="7"/>
      <c r="P60" s="7"/>
      <c r="Q60" s="21"/>
      <c r="S60" s="2">
        <f t="shared" si="7"/>
        <v>0</v>
      </c>
      <c r="T60" s="2">
        <f t="shared" si="8"/>
        <v>0</v>
      </c>
      <c r="U60" s="2">
        <f t="shared" si="9"/>
        <v>0</v>
      </c>
      <c r="V60" s="2">
        <f t="shared" si="10"/>
        <v>0</v>
      </c>
      <c r="W60" s="2">
        <f t="shared" si="11"/>
        <v>0</v>
      </c>
      <c r="X60" s="2">
        <f t="shared" si="12"/>
        <v>0</v>
      </c>
      <c r="Y60" s="2">
        <f t="shared" si="13"/>
        <v>0</v>
      </c>
      <c r="Z60" s="2">
        <f t="shared" si="14"/>
        <v>1</v>
      </c>
      <c r="AA60" s="2">
        <f t="shared" si="15"/>
        <v>0</v>
      </c>
      <c r="AB60" s="2">
        <f t="shared" si="16"/>
        <v>0</v>
      </c>
      <c r="AD60" s="2">
        <f t="shared" si="17"/>
        <v>0</v>
      </c>
      <c r="AE60" s="2">
        <f t="shared" si="18"/>
        <v>0</v>
      </c>
      <c r="AF60" s="2">
        <f t="shared" si="19"/>
        <v>0</v>
      </c>
      <c r="AG60" s="2">
        <f t="shared" si="20"/>
        <v>0</v>
      </c>
      <c r="AH60" s="2">
        <f t="shared" si="21"/>
        <v>0</v>
      </c>
      <c r="AI60" s="2">
        <f t="shared" si="22"/>
        <v>1</v>
      </c>
    </row>
    <row r="61" spans="1:35" ht="14.25" customHeight="1" x14ac:dyDescent="0.25">
      <c r="A61" s="29">
        <v>0</v>
      </c>
      <c r="B61" s="29">
        <v>1</v>
      </c>
      <c r="C61" s="29">
        <v>5</v>
      </c>
      <c r="D61" s="30" t="s">
        <v>862</v>
      </c>
      <c r="E61" s="30" t="s">
        <v>800</v>
      </c>
      <c r="F61" s="30" t="s">
        <v>863</v>
      </c>
      <c r="G61" s="30" t="s">
        <v>369</v>
      </c>
      <c r="H61" s="30" t="s">
        <v>165</v>
      </c>
      <c r="I61" s="29" t="s">
        <v>864</v>
      </c>
      <c r="J61" s="29"/>
      <c r="K61" s="29" t="s">
        <v>377</v>
      </c>
      <c r="L61" s="29">
        <v>45</v>
      </c>
      <c r="M61" s="30" t="s">
        <v>419</v>
      </c>
      <c r="N61" s="30" t="s">
        <v>886</v>
      </c>
      <c r="O61" s="31">
        <v>1</v>
      </c>
      <c r="P61" s="31">
        <v>1</v>
      </c>
      <c r="Q61" s="30"/>
      <c r="S61" s="2">
        <f t="shared" si="7"/>
        <v>0</v>
      </c>
      <c r="T61" s="2">
        <f t="shared" si="8"/>
        <v>0</v>
      </c>
      <c r="U61" s="2">
        <f t="shared" si="9"/>
        <v>0</v>
      </c>
      <c r="V61" s="2">
        <f t="shared" si="10"/>
        <v>0</v>
      </c>
      <c r="W61" s="2">
        <f t="shared" si="11"/>
        <v>0</v>
      </c>
      <c r="X61" s="2">
        <f t="shared" si="12"/>
        <v>0</v>
      </c>
      <c r="Y61" s="2">
        <f t="shared" si="13"/>
        <v>0</v>
      </c>
      <c r="Z61" s="2">
        <f t="shared" si="14"/>
        <v>0</v>
      </c>
      <c r="AA61" s="2">
        <f t="shared" si="15"/>
        <v>0</v>
      </c>
      <c r="AB61" s="2">
        <f t="shared" si="16"/>
        <v>0</v>
      </c>
      <c r="AD61" s="2">
        <f t="shared" si="17"/>
        <v>1</v>
      </c>
      <c r="AE61" s="2">
        <f t="shared" si="18"/>
        <v>0</v>
      </c>
      <c r="AF61" s="2">
        <f t="shared" si="19"/>
        <v>1</v>
      </c>
      <c r="AG61" s="2">
        <f t="shared" si="20"/>
        <v>0</v>
      </c>
      <c r="AH61" s="2">
        <f t="shared" si="21"/>
        <v>1</v>
      </c>
      <c r="AI61" s="2">
        <f t="shared" si="22"/>
        <v>0</v>
      </c>
    </row>
    <row r="62" spans="1:35" ht="14.25" customHeight="1" x14ac:dyDescent="0.25">
      <c r="A62" s="29">
        <v>0</v>
      </c>
      <c r="B62" s="29">
        <v>1</v>
      </c>
      <c r="C62" s="29">
        <v>5</v>
      </c>
      <c r="D62" s="30" t="s">
        <v>57</v>
      </c>
      <c r="E62" s="30" t="s">
        <v>259</v>
      </c>
      <c r="F62" s="30" t="s">
        <v>113</v>
      </c>
      <c r="G62" s="30" t="s">
        <v>114</v>
      </c>
      <c r="H62" s="30" t="s">
        <v>165</v>
      </c>
      <c r="I62" s="29" t="s">
        <v>176</v>
      </c>
      <c r="J62" s="29">
        <v>99</v>
      </c>
      <c r="K62" s="29" t="s">
        <v>377</v>
      </c>
      <c r="L62" s="29">
        <v>30</v>
      </c>
      <c r="M62" s="30" t="s">
        <v>266</v>
      </c>
      <c r="N62" s="30" t="s">
        <v>905</v>
      </c>
      <c r="O62" s="31">
        <v>1</v>
      </c>
      <c r="P62" s="31"/>
      <c r="Q62" s="30"/>
      <c r="S62" s="2">
        <f t="shared" si="7"/>
        <v>0</v>
      </c>
      <c r="T62" s="2">
        <f t="shared" si="8"/>
        <v>0</v>
      </c>
      <c r="U62" s="2">
        <f t="shared" si="9"/>
        <v>0</v>
      </c>
      <c r="V62" s="2">
        <f t="shared" si="10"/>
        <v>0</v>
      </c>
      <c r="W62" s="2">
        <f t="shared" si="11"/>
        <v>0</v>
      </c>
      <c r="X62" s="2">
        <f t="shared" si="12"/>
        <v>0</v>
      </c>
      <c r="Y62" s="2">
        <f t="shared" si="13"/>
        <v>0</v>
      </c>
      <c r="Z62" s="2">
        <f t="shared" si="14"/>
        <v>0</v>
      </c>
      <c r="AA62" s="2">
        <f t="shared" si="15"/>
        <v>0</v>
      </c>
      <c r="AB62" s="2">
        <f t="shared" si="16"/>
        <v>0</v>
      </c>
      <c r="AD62" s="2">
        <f t="shared" si="17"/>
        <v>0</v>
      </c>
      <c r="AE62" s="2">
        <f t="shared" si="18"/>
        <v>1</v>
      </c>
      <c r="AF62" s="2">
        <f t="shared" si="19"/>
        <v>0</v>
      </c>
      <c r="AG62" s="2">
        <f t="shared" si="20"/>
        <v>1</v>
      </c>
      <c r="AH62" s="2">
        <f t="shared" si="21"/>
        <v>0</v>
      </c>
      <c r="AI62" s="2">
        <f t="shared" si="22"/>
        <v>1</v>
      </c>
    </row>
    <row r="63" spans="1:35" ht="14.25" customHeight="1" x14ac:dyDescent="0.25">
      <c r="A63" s="29">
        <v>0</v>
      </c>
      <c r="B63" s="29">
        <v>1</v>
      </c>
      <c r="C63" s="29">
        <v>5</v>
      </c>
      <c r="D63" s="30" t="s">
        <v>998</v>
      </c>
      <c r="E63" s="30" t="s">
        <v>362</v>
      </c>
      <c r="F63" s="30" t="s">
        <v>294</v>
      </c>
      <c r="G63" s="30" t="s">
        <v>129</v>
      </c>
      <c r="H63" s="30" t="s">
        <v>165</v>
      </c>
      <c r="I63" s="29" t="s">
        <v>295</v>
      </c>
      <c r="J63" s="29">
        <v>99</v>
      </c>
      <c r="K63" s="29" t="s">
        <v>377</v>
      </c>
      <c r="L63" s="29">
        <v>42</v>
      </c>
      <c r="M63" s="30" t="s">
        <v>419</v>
      </c>
      <c r="N63" s="30" t="s">
        <v>905</v>
      </c>
      <c r="O63" s="31">
        <v>1</v>
      </c>
      <c r="P63" s="31"/>
      <c r="Q63" s="30"/>
      <c r="S63" s="2">
        <f t="shared" si="7"/>
        <v>0</v>
      </c>
      <c r="T63" s="2">
        <f t="shared" si="8"/>
        <v>0</v>
      </c>
      <c r="U63" s="2">
        <f t="shared" si="9"/>
        <v>0</v>
      </c>
      <c r="V63" s="2">
        <f t="shared" si="10"/>
        <v>0</v>
      </c>
      <c r="W63" s="2">
        <f t="shared" si="11"/>
        <v>0</v>
      </c>
      <c r="X63" s="2">
        <f t="shared" si="12"/>
        <v>0</v>
      </c>
      <c r="Y63" s="2">
        <f t="shared" si="13"/>
        <v>0</v>
      </c>
      <c r="Z63" s="2">
        <f t="shared" si="14"/>
        <v>0</v>
      </c>
      <c r="AA63" s="2">
        <f t="shared" si="15"/>
        <v>0</v>
      </c>
      <c r="AB63" s="2">
        <f t="shared" si="16"/>
        <v>0</v>
      </c>
      <c r="AD63" s="2">
        <f t="shared" si="17"/>
        <v>0</v>
      </c>
      <c r="AE63" s="2">
        <f t="shared" si="18"/>
        <v>1</v>
      </c>
      <c r="AF63" s="2">
        <f t="shared" si="19"/>
        <v>0</v>
      </c>
      <c r="AG63" s="2">
        <f t="shared" si="20"/>
        <v>1</v>
      </c>
      <c r="AH63" s="2">
        <f t="shared" si="21"/>
        <v>0</v>
      </c>
      <c r="AI63" s="2">
        <f t="shared" si="22"/>
        <v>1</v>
      </c>
    </row>
    <row r="64" spans="1:35" ht="14.25" customHeight="1" x14ac:dyDescent="0.25">
      <c r="A64" s="29">
        <v>0</v>
      </c>
      <c r="B64" s="29">
        <v>1</v>
      </c>
      <c r="C64" s="29">
        <v>5</v>
      </c>
      <c r="D64" s="30" t="s">
        <v>556</v>
      </c>
      <c r="E64" s="30" t="s">
        <v>296</v>
      </c>
      <c r="F64" s="30" t="s">
        <v>557</v>
      </c>
      <c r="G64" s="30" t="s">
        <v>590</v>
      </c>
      <c r="H64" s="30" t="s">
        <v>165</v>
      </c>
      <c r="I64" s="29" t="s">
        <v>558</v>
      </c>
      <c r="J64" s="29">
        <v>99</v>
      </c>
      <c r="K64" s="29" t="s">
        <v>330</v>
      </c>
      <c r="L64" s="29" t="s">
        <v>595</v>
      </c>
      <c r="M64" s="30" t="s">
        <v>419</v>
      </c>
      <c r="N64" s="30" t="s">
        <v>905</v>
      </c>
      <c r="O64" s="31">
        <v>1</v>
      </c>
      <c r="P64" s="31"/>
      <c r="Q64" s="30"/>
      <c r="S64" s="2">
        <f t="shared" si="7"/>
        <v>0</v>
      </c>
      <c r="T64" s="2">
        <f t="shared" si="8"/>
        <v>0</v>
      </c>
      <c r="U64" s="2">
        <f t="shared" si="9"/>
        <v>0</v>
      </c>
      <c r="V64" s="2">
        <f t="shared" si="10"/>
        <v>0</v>
      </c>
      <c r="W64" s="2">
        <f t="shared" si="11"/>
        <v>0</v>
      </c>
      <c r="X64" s="2">
        <f t="shared" si="12"/>
        <v>0</v>
      </c>
      <c r="Y64" s="2">
        <f t="shared" si="13"/>
        <v>0</v>
      </c>
      <c r="Z64" s="2">
        <f t="shared" si="14"/>
        <v>0</v>
      </c>
      <c r="AA64" s="2">
        <f t="shared" si="15"/>
        <v>0</v>
      </c>
      <c r="AB64" s="2">
        <f t="shared" si="16"/>
        <v>0</v>
      </c>
      <c r="AD64" s="2">
        <f t="shared" si="17"/>
        <v>0</v>
      </c>
      <c r="AE64" s="2">
        <f t="shared" si="18"/>
        <v>1</v>
      </c>
      <c r="AF64" s="2">
        <f t="shared" si="19"/>
        <v>0</v>
      </c>
      <c r="AG64" s="2">
        <f t="shared" si="20"/>
        <v>1</v>
      </c>
      <c r="AH64" s="2">
        <f t="shared" si="21"/>
        <v>0</v>
      </c>
      <c r="AI64" s="2">
        <f t="shared" si="22"/>
        <v>1</v>
      </c>
    </row>
    <row r="65" spans="1:35" ht="14.25" customHeight="1" x14ac:dyDescent="0.25">
      <c r="A65" s="29">
        <v>0</v>
      </c>
      <c r="B65" s="29">
        <v>1</v>
      </c>
      <c r="C65" s="29">
        <v>5</v>
      </c>
      <c r="D65" s="30" t="s">
        <v>78</v>
      </c>
      <c r="E65" s="30" t="s">
        <v>259</v>
      </c>
      <c r="F65" s="30" t="s">
        <v>161</v>
      </c>
      <c r="G65" s="30" t="s">
        <v>95</v>
      </c>
      <c r="H65" s="30" t="s">
        <v>165</v>
      </c>
      <c r="I65" s="29" t="s">
        <v>371</v>
      </c>
      <c r="J65" s="29">
        <v>99</v>
      </c>
      <c r="K65" s="29" t="s">
        <v>329</v>
      </c>
      <c r="L65" s="29" t="s">
        <v>341</v>
      </c>
      <c r="M65" s="30" t="s">
        <v>782</v>
      </c>
      <c r="N65" s="30" t="s">
        <v>905</v>
      </c>
      <c r="O65" s="31">
        <v>1</v>
      </c>
      <c r="P65" s="31"/>
      <c r="Q65" s="30"/>
      <c r="S65" s="2">
        <f t="shared" si="7"/>
        <v>0</v>
      </c>
      <c r="T65" s="2">
        <f t="shared" si="8"/>
        <v>0</v>
      </c>
      <c r="U65" s="2">
        <f t="shared" si="9"/>
        <v>0</v>
      </c>
      <c r="V65" s="2">
        <f t="shared" si="10"/>
        <v>0</v>
      </c>
      <c r="W65" s="2">
        <f t="shared" si="11"/>
        <v>0</v>
      </c>
      <c r="X65" s="2">
        <f t="shared" si="12"/>
        <v>0</v>
      </c>
      <c r="Y65" s="2">
        <f t="shared" si="13"/>
        <v>0</v>
      </c>
      <c r="Z65" s="2">
        <f t="shared" si="14"/>
        <v>0</v>
      </c>
      <c r="AA65" s="2">
        <f t="shared" si="15"/>
        <v>0</v>
      </c>
      <c r="AB65" s="2">
        <f t="shared" si="16"/>
        <v>0</v>
      </c>
      <c r="AD65" s="2">
        <f t="shared" si="17"/>
        <v>0</v>
      </c>
      <c r="AE65" s="2">
        <f t="shared" si="18"/>
        <v>1</v>
      </c>
      <c r="AF65" s="2">
        <f t="shared" si="19"/>
        <v>0</v>
      </c>
      <c r="AG65" s="2">
        <f t="shared" si="20"/>
        <v>1</v>
      </c>
      <c r="AH65" s="2">
        <f t="shared" si="21"/>
        <v>0</v>
      </c>
      <c r="AI65" s="2">
        <f t="shared" si="22"/>
        <v>1</v>
      </c>
    </row>
    <row r="66" spans="1:35" ht="14.25" customHeight="1" x14ac:dyDescent="0.25">
      <c r="A66" s="29">
        <v>0</v>
      </c>
      <c r="B66" s="29">
        <v>1</v>
      </c>
      <c r="C66" s="29">
        <v>5</v>
      </c>
      <c r="D66" s="30" t="s">
        <v>290</v>
      </c>
      <c r="E66" s="30" t="s">
        <v>296</v>
      </c>
      <c r="F66" s="30" t="s">
        <v>291</v>
      </c>
      <c r="G66" s="30" t="s">
        <v>96</v>
      </c>
      <c r="H66" s="30" t="s">
        <v>165</v>
      </c>
      <c r="I66" s="29" t="s">
        <v>292</v>
      </c>
      <c r="J66" s="29">
        <v>3</v>
      </c>
      <c r="K66" s="29" t="s">
        <v>377</v>
      </c>
      <c r="L66" s="29" t="s">
        <v>335</v>
      </c>
      <c r="M66" s="30" t="s">
        <v>495</v>
      </c>
      <c r="N66" s="30" t="s">
        <v>923</v>
      </c>
      <c r="O66" s="31">
        <v>1</v>
      </c>
      <c r="P66" s="31"/>
      <c r="Q66" s="30"/>
      <c r="S66" s="2">
        <f t="shared" si="7"/>
        <v>0</v>
      </c>
      <c r="T66" s="2">
        <f t="shared" si="8"/>
        <v>0</v>
      </c>
      <c r="U66" s="2">
        <f t="shared" si="9"/>
        <v>1</v>
      </c>
      <c r="V66" s="2">
        <f t="shared" si="10"/>
        <v>0</v>
      </c>
      <c r="W66" s="2">
        <f t="shared" si="11"/>
        <v>0</v>
      </c>
      <c r="X66" s="2">
        <f t="shared" si="12"/>
        <v>0</v>
      </c>
      <c r="Y66" s="2">
        <f t="shared" si="13"/>
        <v>0</v>
      </c>
      <c r="Z66" s="2">
        <f t="shared" si="14"/>
        <v>0</v>
      </c>
      <c r="AA66" s="2">
        <f t="shared" si="15"/>
        <v>0</v>
      </c>
      <c r="AB66" s="2">
        <f t="shared" si="16"/>
        <v>0</v>
      </c>
      <c r="AD66" s="2">
        <f t="shared" si="17"/>
        <v>0</v>
      </c>
      <c r="AE66" s="2">
        <f t="shared" si="18"/>
        <v>1</v>
      </c>
      <c r="AF66" s="2">
        <f t="shared" si="19"/>
        <v>0</v>
      </c>
      <c r="AG66" s="2">
        <f t="shared" si="20"/>
        <v>1</v>
      </c>
      <c r="AH66" s="2">
        <f t="shared" si="21"/>
        <v>0</v>
      </c>
      <c r="AI66" s="2">
        <f t="shared" si="22"/>
        <v>1</v>
      </c>
    </row>
    <row r="67" spans="1:35" ht="14.25" customHeight="1" x14ac:dyDescent="0.25">
      <c r="A67" s="20">
        <v>0</v>
      </c>
      <c r="B67" s="20">
        <v>1</v>
      </c>
      <c r="C67" s="20">
        <v>5</v>
      </c>
      <c r="D67" s="21" t="s">
        <v>625</v>
      </c>
      <c r="E67" s="21" t="s">
        <v>628</v>
      </c>
      <c r="F67" s="21" t="s">
        <v>624</v>
      </c>
      <c r="G67" s="21" t="s">
        <v>163</v>
      </c>
      <c r="H67" s="21" t="s">
        <v>165</v>
      </c>
      <c r="I67" s="20" t="s">
        <v>626</v>
      </c>
      <c r="J67" s="20">
        <v>5</v>
      </c>
      <c r="K67" s="20" t="s">
        <v>377</v>
      </c>
      <c r="L67" s="20">
        <v>40</v>
      </c>
      <c r="M67" s="21" t="s">
        <v>739</v>
      </c>
      <c r="N67" s="21"/>
      <c r="O67" s="7"/>
      <c r="P67" s="7"/>
      <c r="Q67" s="21"/>
      <c r="S67" s="2">
        <f t="shared" si="7"/>
        <v>0</v>
      </c>
      <c r="T67" s="2">
        <f t="shared" si="8"/>
        <v>0</v>
      </c>
      <c r="U67" s="2">
        <f t="shared" si="9"/>
        <v>0</v>
      </c>
      <c r="V67" s="2">
        <f t="shared" si="10"/>
        <v>0</v>
      </c>
      <c r="W67" s="2">
        <f t="shared" si="11"/>
        <v>1</v>
      </c>
      <c r="X67" s="2">
        <f t="shared" si="12"/>
        <v>0</v>
      </c>
      <c r="Y67" s="2">
        <f t="shared" si="13"/>
        <v>0</v>
      </c>
      <c r="Z67" s="2">
        <f t="shared" si="14"/>
        <v>0</v>
      </c>
      <c r="AA67" s="2">
        <f t="shared" si="15"/>
        <v>0</v>
      </c>
      <c r="AB67" s="2">
        <f t="shared" si="16"/>
        <v>0</v>
      </c>
      <c r="AD67" s="2">
        <f t="shared" si="17"/>
        <v>0</v>
      </c>
      <c r="AE67" s="2">
        <f t="shared" si="18"/>
        <v>0</v>
      </c>
      <c r="AF67" s="2">
        <f t="shared" si="19"/>
        <v>0</v>
      </c>
      <c r="AG67" s="2">
        <f t="shared" si="20"/>
        <v>0</v>
      </c>
      <c r="AH67" s="2">
        <f t="shared" si="21"/>
        <v>0</v>
      </c>
      <c r="AI67" s="2">
        <f t="shared" si="22"/>
        <v>1</v>
      </c>
    </row>
    <row r="68" spans="1:35" ht="14.25" customHeight="1" x14ac:dyDescent="0.25">
      <c r="A68" s="29">
        <v>0</v>
      </c>
      <c r="B68" s="29">
        <v>1</v>
      </c>
      <c r="C68" s="29">
        <v>5</v>
      </c>
      <c r="D68" s="30" t="s">
        <v>46</v>
      </c>
      <c r="E68" s="30" t="s">
        <v>468</v>
      </c>
      <c r="F68" s="30" t="s">
        <v>690</v>
      </c>
      <c r="G68" s="30" t="s">
        <v>93</v>
      </c>
      <c r="H68" s="30" t="s">
        <v>165</v>
      </c>
      <c r="I68" s="29" t="s">
        <v>166</v>
      </c>
      <c r="J68" s="29">
        <v>8</v>
      </c>
      <c r="K68" s="29" t="s">
        <v>326</v>
      </c>
      <c r="L68" s="29" t="s">
        <v>346</v>
      </c>
      <c r="M68" s="30" t="s">
        <v>419</v>
      </c>
      <c r="N68" s="30" t="s">
        <v>892</v>
      </c>
      <c r="O68" s="31">
        <v>1</v>
      </c>
      <c r="P68" s="31"/>
      <c r="Q68" s="30"/>
      <c r="S68" s="2">
        <f t="shared" si="7"/>
        <v>0</v>
      </c>
      <c r="T68" s="2">
        <f t="shared" si="8"/>
        <v>0</v>
      </c>
      <c r="U68" s="2">
        <f t="shared" si="9"/>
        <v>0</v>
      </c>
      <c r="V68" s="2">
        <f t="shared" si="10"/>
        <v>0</v>
      </c>
      <c r="W68" s="2">
        <f t="shared" si="11"/>
        <v>0</v>
      </c>
      <c r="X68" s="2">
        <f t="shared" si="12"/>
        <v>0</v>
      </c>
      <c r="Y68" s="2">
        <f t="shared" si="13"/>
        <v>0</v>
      </c>
      <c r="Z68" s="2">
        <f t="shared" si="14"/>
        <v>1</v>
      </c>
      <c r="AA68" s="2">
        <f t="shared" si="15"/>
        <v>0</v>
      </c>
      <c r="AB68" s="2">
        <f t="shared" si="16"/>
        <v>0</v>
      </c>
      <c r="AD68" s="2">
        <f t="shared" si="17"/>
        <v>0</v>
      </c>
      <c r="AE68" s="2">
        <f t="shared" si="18"/>
        <v>1</v>
      </c>
      <c r="AF68" s="2">
        <f t="shared" si="19"/>
        <v>0</v>
      </c>
      <c r="AG68" s="2">
        <f t="shared" si="20"/>
        <v>1</v>
      </c>
      <c r="AH68" s="2">
        <f t="shared" si="21"/>
        <v>0</v>
      </c>
      <c r="AI68" s="2">
        <f t="shared" si="22"/>
        <v>1</v>
      </c>
    </row>
    <row r="69" spans="1:35" ht="14.25" customHeight="1" x14ac:dyDescent="0.25">
      <c r="A69" s="32">
        <v>0</v>
      </c>
      <c r="B69" s="32">
        <v>1</v>
      </c>
      <c r="C69" s="32">
        <v>5</v>
      </c>
      <c r="D69" s="33" t="s">
        <v>811</v>
      </c>
      <c r="E69" s="33" t="s">
        <v>264</v>
      </c>
      <c r="F69" s="33" t="s">
        <v>118</v>
      </c>
      <c r="G69" s="33" t="s">
        <v>119</v>
      </c>
      <c r="H69" s="33" t="s">
        <v>165</v>
      </c>
      <c r="I69" s="32" t="s">
        <v>178</v>
      </c>
      <c r="J69" s="32">
        <v>8</v>
      </c>
      <c r="K69" s="32" t="s">
        <v>329</v>
      </c>
      <c r="L69" s="32" t="s">
        <v>343</v>
      </c>
      <c r="M69" s="33" t="s">
        <v>266</v>
      </c>
      <c r="N69" s="33" t="s">
        <v>887</v>
      </c>
      <c r="O69" s="34"/>
      <c r="P69" s="34"/>
      <c r="Q69" s="33"/>
      <c r="S69" s="2">
        <f t="shared" si="7"/>
        <v>0</v>
      </c>
      <c r="T69" s="2">
        <f t="shared" si="8"/>
        <v>0</v>
      </c>
      <c r="U69" s="2">
        <f t="shared" si="9"/>
        <v>0</v>
      </c>
      <c r="V69" s="2">
        <f t="shared" si="10"/>
        <v>0</v>
      </c>
      <c r="W69" s="2">
        <f t="shared" si="11"/>
        <v>0</v>
      </c>
      <c r="X69" s="2">
        <f t="shared" si="12"/>
        <v>0</v>
      </c>
      <c r="Y69" s="2">
        <f t="shared" si="13"/>
        <v>0</v>
      </c>
      <c r="Z69" s="2">
        <f t="shared" si="14"/>
        <v>1</v>
      </c>
      <c r="AA69" s="2">
        <f t="shared" si="15"/>
        <v>0</v>
      </c>
      <c r="AB69" s="2">
        <f t="shared" si="16"/>
        <v>0</v>
      </c>
      <c r="AD69" s="2">
        <f t="shared" si="17"/>
        <v>0</v>
      </c>
      <c r="AE69" s="2">
        <f t="shared" si="18"/>
        <v>0</v>
      </c>
      <c r="AF69" s="2">
        <f t="shared" si="19"/>
        <v>0</v>
      </c>
      <c r="AG69" s="2">
        <f t="shared" si="20"/>
        <v>0</v>
      </c>
      <c r="AH69" s="2">
        <f t="shared" si="21"/>
        <v>0</v>
      </c>
      <c r="AI69" s="2">
        <f t="shared" si="22"/>
        <v>1</v>
      </c>
    </row>
    <row r="70" spans="1:35" ht="14.25" customHeight="1" x14ac:dyDescent="0.25">
      <c r="A70" s="20">
        <v>0</v>
      </c>
      <c r="B70" s="20">
        <v>1</v>
      </c>
      <c r="C70" s="20">
        <v>5</v>
      </c>
      <c r="D70" s="21" t="s">
        <v>812</v>
      </c>
      <c r="E70" s="21" t="s">
        <v>800</v>
      </c>
      <c r="F70" s="21" t="s">
        <v>802</v>
      </c>
      <c r="G70" s="21" t="s">
        <v>117</v>
      </c>
      <c r="H70" s="21" t="s">
        <v>165</v>
      </c>
      <c r="I70" s="20" t="s">
        <v>803</v>
      </c>
      <c r="J70" s="20">
        <v>1</v>
      </c>
      <c r="K70" s="20" t="s">
        <v>329</v>
      </c>
      <c r="L70" s="20">
        <v>45</v>
      </c>
      <c r="M70" s="21" t="s">
        <v>40</v>
      </c>
      <c r="N70" s="21"/>
      <c r="O70" s="7"/>
      <c r="P70" s="7"/>
      <c r="Q70" s="21"/>
      <c r="S70" s="2">
        <f t="shared" si="7"/>
        <v>1</v>
      </c>
      <c r="T70" s="2">
        <f t="shared" si="8"/>
        <v>0</v>
      </c>
      <c r="U70" s="2">
        <f t="shared" si="9"/>
        <v>0</v>
      </c>
      <c r="V70" s="2">
        <f t="shared" si="10"/>
        <v>0</v>
      </c>
      <c r="W70" s="2">
        <f t="shared" si="11"/>
        <v>0</v>
      </c>
      <c r="X70" s="2">
        <f t="shared" si="12"/>
        <v>0</v>
      </c>
      <c r="Y70" s="2">
        <f t="shared" si="13"/>
        <v>0</v>
      </c>
      <c r="Z70" s="2">
        <f t="shared" si="14"/>
        <v>0</v>
      </c>
      <c r="AA70" s="2">
        <f t="shared" si="15"/>
        <v>0</v>
      </c>
      <c r="AB70" s="2">
        <f t="shared" si="16"/>
        <v>0</v>
      </c>
      <c r="AD70" s="2">
        <f t="shared" si="17"/>
        <v>0</v>
      </c>
      <c r="AE70" s="2">
        <f t="shared" si="18"/>
        <v>0</v>
      </c>
      <c r="AF70" s="2">
        <f t="shared" si="19"/>
        <v>0</v>
      </c>
      <c r="AG70" s="2">
        <f t="shared" si="20"/>
        <v>0</v>
      </c>
      <c r="AH70" s="2">
        <f t="shared" si="21"/>
        <v>0</v>
      </c>
      <c r="AI70" s="2">
        <f t="shared" si="22"/>
        <v>1</v>
      </c>
    </row>
    <row r="71" spans="1:35" ht="14.25" customHeight="1" x14ac:dyDescent="0.25">
      <c r="A71" s="20">
        <v>1</v>
      </c>
      <c r="B71" s="20">
        <v>1</v>
      </c>
      <c r="C71" s="20">
        <v>5</v>
      </c>
      <c r="D71" s="21" t="s">
        <v>812</v>
      </c>
      <c r="E71" s="21" t="s">
        <v>800</v>
      </c>
      <c r="F71" s="21" t="s">
        <v>835</v>
      </c>
      <c r="G71" s="21" t="s">
        <v>96</v>
      </c>
      <c r="H71" s="21" t="s">
        <v>165</v>
      </c>
      <c r="I71" s="20" t="s">
        <v>804</v>
      </c>
      <c r="J71" s="20">
        <v>3</v>
      </c>
      <c r="K71" s="20">
        <v>7</v>
      </c>
      <c r="L71" s="20">
        <v>45</v>
      </c>
      <c r="M71" s="21" t="s">
        <v>40</v>
      </c>
      <c r="N71" s="21"/>
      <c r="O71" s="7"/>
      <c r="P71" s="7"/>
      <c r="Q71" s="21"/>
      <c r="S71" s="2">
        <f t="shared" si="7"/>
        <v>0</v>
      </c>
      <c r="T71" s="2">
        <f t="shared" si="8"/>
        <v>0</v>
      </c>
      <c r="U71" s="2">
        <f t="shared" si="9"/>
        <v>1</v>
      </c>
      <c r="V71" s="2">
        <f t="shared" si="10"/>
        <v>0</v>
      </c>
      <c r="W71" s="2">
        <f t="shared" si="11"/>
        <v>0</v>
      </c>
      <c r="X71" s="2">
        <f t="shared" si="12"/>
        <v>0</v>
      </c>
      <c r="Y71" s="2">
        <f t="shared" si="13"/>
        <v>0</v>
      </c>
      <c r="Z71" s="2">
        <f t="shared" si="14"/>
        <v>0</v>
      </c>
      <c r="AA71" s="2">
        <f t="shared" si="15"/>
        <v>0</v>
      </c>
      <c r="AB71" s="2">
        <f t="shared" si="16"/>
        <v>0</v>
      </c>
      <c r="AD71" s="2">
        <f t="shared" si="17"/>
        <v>0</v>
      </c>
      <c r="AE71" s="2">
        <f t="shared" si="18"/>
        <v>0</v>
      </c>
      <c r="AF71" s="2">
        <f t="shared" si="19"/>
        <v>0</v>
      </c>
      <c r="AG71" s="2">
        <f t="shared" si="20"/>
        <v>0</v>
      </c>
      <c r="AH71" s="2">
        <f t="shared" si="21"/>
        <v>0</v>
      </c>
      <c r="AI71" s="2">
        <f t="shared" si="22"/>
        <v>0</v>
      </c>
    </row>
    <row r="72" spans="1:35" ht="14.25" customHeight="1" x14ac:dyDescent="0.25">
      <c r="A72" s="29">
        <v>0</v>
      </c>
      <c r="B72" s="29">
        <v>1</v>
      </c>
      <c r="C72" s="29">
        <v>6</v>
      </c>
      <c r="D72" s="30" t="s">
        <v>805</v>
      </c>
      <c r="E72" s="30" t="s">
        <v>261</v>
      </c>
      <c r="F72" s="30" t="s">
        <v>767</v>
      </c>
      <c r="G72" s="30" t="s">
        <v>518</v>
      </c>
      <c r="H72" s="30" t="s">
        <v>165</v>
      </c>
      <c r="I72" s="29" t="s">
        <v>768</v>
      </c>
      <c r="J72" s="29">
        <v>99</v>
      </c>
      <c r="K72" s="29" t="s">
        <v>326</v>
      </c>
      <c r="L72" s="29" t="s">
        <v>40</v>
      </c>
      <c r="M72" s="30" t="s">
        <v>40</v>
      </c>
      <c r="N72" s="30" t="s">
        <v>886</v>
      </c>
      <c r="O72" s="31">
        <v>1</v>
      </c>
      <c r="P72" s="31">
        <v>1</v>
      </c>
      <c r="Q72" s="30"/>
      <c r="S72" s="2">
        <f t="shared" si="7"/>
        <v>0</v>
      </c>
      <c r="T72" s="2">
        <f t="shared" si="8"/>
        <v>0</v>
      </c>
      <c r="U72" s="2">
        <f t="shared" si="9"/>
        <v>0</v>
      </c>
      <c r="V72" s="2">
        <f t="shared" si="10"/>
        <v>0</v>
      </c>
      <c r="W72" s="2">
        <f t="shared" si="11"/>
        <v>0</v>
      </c>
      <c r="X72" s="2">
        <f t="shared" si="12"/>
        <v>0</v>
      </c>
      <c r="Y72" s="2">
        <f t="shared" si="13"/>
        <v>0</v>
      </c>
      <c r="Z72" s="2">
        <f t="shared" si="14"/>
        <v>0</v>
      </c>
      <c r="AA72" s="2">
        <f t="shared" si="15"/>
        <v>0</v>
      </c>
      <c r="AB72" s="2">
        <f t="shared" si="16"/>
        <v>0</v>
      </c>
      <c r="AD72" s="2">
        <f t="shared" si="17"/>
        <v>1</v>
      </c>
      <c r="AE72" s="2">
        <f t="shared" si="18"/>
        <v>0</v>
      </c>
      <c r="AF72" s="2">
        <f t="shared" si="19"/>
        <v>1</v>
      </c>
      <c r="AG72" s="2">
        <f t="shared" si="20"/>
        <v>0</v>
      </c>
      <c r="AH72" s="2">
        <f t="shared" si="21"/>
        <v>1</v>
      </c>
      <c r="AI72" s="2">
        <f t="shared" si="22"/>
        <v>0</v>
      </c>
    </row>
    <row r="73" spans="1:35" ht="14.25" customHeight="1" x14ac:dyDescent="0.25">
      <c r="A73" s="29">
        <v>0</v>
      </c>
      <c r="B73" s="29">
        <v>1</v>
      </c>
      <c r="C73" s="29">
        <v>6</v>
      </c>
      <c r="D73" s="30" t="s">
        <v>299</v>
      </c>
      <c r="E73" s="30" t="s">
        <v>258</v>
      </c>
      <c r="F73" s="30" t="s">
        <v>300</v>
      </c>
      <c r="G73" s="30" t="s">
        <v>309</v>
      </c>
      <c r="H73" s="30" t="s">
        <v>165</v>
      </c>
      <c r="I73" s="29" t="s">
        <v>301</v>
      </c>
      <c r="J73" s="29">
        <v>1</v>
      </c>
      <c r="K73" s="29" t="s">
        <v>323</v>
      </c>
      <c r="L73" s="29" t="s">
        <v>40</v>
      </c>
      <c r="M73" s="30" t="s">
        <v>40</v>
      </c>
      <c r="N73" s="30" t="s">
        <v>886</v>
      </c>
      <c r="O73" s="31">
        <v>1</v>
      </c>
      <c r="P73" s="31">
        <v>1</v>
      </c>
      <c r="Q73" s="30"/>
      <c r="S73" s="2">
        <f t="shared" si="7"/>
        <v>1</v>
      </c>
      <c r="T73" s="2">
        <f t="shared" si="8"/>
        <v>0</v>
      </c>
      <c r="U73" s="2">
        <f t="shared" si="9"/>
        <v>0</v>
      </c>
      <c r="V73" s="2">
        <f t="shared" si="10"/>
        <v>0</v>
      </c>
      <c r="W73" s="2">
        <f t="shared" si="11"/>
        <v>0</v>
      </c>
      <c r="X73" s="2">
        <f t="shared" si="12"/>
        <v>0</v>
      </c>
      <c r="Y73" s="2">
        <f t="shared" si="13"/>
        <v>0</v>
      </c>
      <c r="Z73" s="2">
        <f t="shared" si="14"/>
        <v>0</v>
      </c>
      <c r="AA73" s="2">
        <f t="shared" si="15"/>
        <v>0</v>
      </c>
      <c r="AB73" s="2">
        <f t="shared" si="16"/>
        <v>0</v>
      </c>
      <c r="AD73" s="2">
        <f t="shared" si="17"/>
        <v>1</v>
      </c>
      <c r="AE73" s="2">
        <f t="shared" si="18"/>
        <v>0</v>
      </c>
      <c r="AF73" s="2">
        <f t="shared" si="19"/>
        <v>1</v>
      </c>
      <c r="AG73" s="2">
        <f t="shared" si="20"/>
        <v>0</v>
      </c>
      <c r="AH73" s="2">
        <f t="shared" si="21"/>
        <v>1</v>
      </c>
      <c r="AI73" s="2">
        <f t="shared" si="22"/>
        <v>0</v>
      </c>
    </row>
    <row r="74" spans="1:35" ht="14.25" customHeight="1" x14ac:dyDescent="0.25">
      <c r="A74" s="29">
        <v>0</v>
      </c>
      <c r="B74" s="29">
        <v>1</v>
      </c>
      <c r="C74" s="29">
        <v>6</v>
      </c>
      <c r="D74" s="30" t="s">
        <v>227</v>
      </c>
      <c r="E74" s="30" t="s">
        <v>671</v>
      </c>
      <c r="F74" s="30" t="s">
        <v>663</v>
      </c>
      <c r="G74" s="30" t="s">
        <v>664</v>
      </c>
      <c r="H74" s="30" t="s">
        <v>165</v>
      </c>
      <c r="I74" s="29" t="s">
        <v>665</v>
      </c>
      <c r="J74" s="29"/>
      <c r="K74" s="29" t="s">
        <v>332</v>
      </c>
      <c r="L74" s="29">
        <v>45</v>
      </c>
      <c r="M74" s="30" t="s">
        <v>749</v>
      </c>
      <c r="N74" s="30" t="s">
        <v>892</v>
      </c>
      <c r="O74" s="31">
        <v>1</v>
      </c>
      <c r="P74" s="31"/>
      <c r="Q74" s="30"/>
      <c r="S74" s="2">
        <f t="shared" si="7"/>
        <v>0</v>
      </c>
      <c r="T74" s="2">
        <f t="shared" si="8"/>
        <v>0</v>
      </c>
      <c r="U74" s="2">
        <f t="shared" si="9"/>
        <v>0</v>
      </c>
      <c r="V74" s="2">
        <f t="shared" si="10"/>
        <v>0</v>
      </c>
      <c r="W74" s="2">
        <f t="shared" si="11"/>
        <v>0</v>
      </c>
      <c r="X74" s="2">
        <f t="shared" si="12"/>
        <v>0</v>
      </c>
      <c r="Y74" s="2">
        <f t="shared" si="13"/>
        <v>0</v>
      </c>
      <c r="Z74" s="2">
        <f t="shared" si="14"/>
        <v>0</v>
      </c>
      <c r="AA74" s="2">
        <f t="shared" si="15"/>
        <v>0</v>
      </c>
      <c r="AB74" s="2">
        <f t="shared" si="16"/>
        <v>0</v>
      </c>
      <c r="AD74" s="2">
        <f t="shared" si="17"/>
        <v>0</v>
      </c>
      <c r="AE74" s="2">
        <f t="shared" si="18"/>
        <v>1</v>
      </c>
      <c r="AF74" s="2">
        <f t="shared" si="19"/>
        <v>0</v>
      </c>
      <c r="AG74" s="2">
        <f t="shared" si="20"/>
        <v>1</v>
      </c>
      <c r="AH74" s="2">
        <f t="shared" si="21"/>
        <v>0</v>
      </c>
      <c r="AI74" s="2">
        <f t="shared" si="22"/>
        <v>1</v>
      </c>
    </row>
    <row r="75" spans="1:35" ht="14.25" customHeight="1" x14ac:dyDescent="0.25">
      <c r="A75" s="29">
        <v>1</v>
      </c>
      <c r="B75" s="29">
        <v>1</v>
      </c>
      <c r="C75" s="29">
        <v>6</v>
      </c>
      <c r="D75" s="30" t="s">
        <v>227</v>
      </c>
      <c r="E75" s="30" t="s">
        <v>671</v>
      </c>
      <c r="F75" s="30" t="s">
        <v>228</v>
      </c>
      <c r="G75" s="30" t="s">
        <v>122</v>
      </c>
      <c r="H75" s="30" t="s">
        <v>165</v>
      </c>
      <c r="I75" s="29" t="s">
        <v>229</v>
      </c>
      <c r="J75" s="29">
        <v>6</v>
      </c>
      <c r="K75" s="29" t="s">
        <v>332</v>
      </c>
      <c r="L75" s="29">
        <v>45</v>
      </c>
      <c r="M75" s="30" t="s">
        <v>749</v>
      </c>
      <c r="N75" s="30" t="s">
        <v>892</v>
      </c>
      <c r="O75" s="31">
        <v>1</v>
      </c>
      <c r="P75" s="31"/>
      <c r="Q75" s="30"/>
      <c r="S75" s="2">
        <f t="shared" ref="S75:S139" si="23">IF(J75=$S$7,1,0)</f>
        <v>0</v>
      </c>
      <c r="T75" s="2">
        <f t="shared" ref="T75:T139" si="24">IF(J75=$T$7,1,0)</f>
        <v>0</v>
      </c>
      <c r="U75" s="2">
        <f t="shared" ref="U75:U139" si="25">IF(J75=$U$7,1,0)</f>
        <v>0</v>
      </c>
      <c r="V75" s="2">
        <f t="shared" ref="V75:V139" si="26">IF(J75=$V$7,1,0)</f>
        <v>0</v>
      </c>
      <c r="W75" s="2">
        <f t="shared" ref="W75:W139" si="27">IF(J75=$W$7,1,0)</f>
        <v>0</v>
      </c>
      <c r="X75" s="2">
        <f t="shared" ref="X75:X139" si="28">IF(J75=$X$7,1,0)</f>
        <v>1</v>
      </c>
      <c r="Y75" s="2">
        <f t="shared" ref="Y75:Y139" si="29">IF(J75=$Y$7,1,0)</f>
        <v>0</v>
      </c>
      <c r="Z75" s="2">
        <f t="shared" ref="Z75:Z139" si="30">IF(J75=$Z$7,1,0)</f>
        <v>0</v>
      </c>
      <c r="AA75" s="2">
        <f t="shared" ref="AA75:AA139" si="31">IF(J75=$AA$7,1,0)</f>
        <v>0</v>
      </c>
      <c r="AB75" s="2">
        <f t="shared" ref="AB75:AB139" si="32">IF(J75=$AB$7,1,0)</f>
        <v>0</v>
      </c>
      <c r="AD75" s="2">
        <f t="shared" ref="AD75:AD139" si="33">+O75*P75</f>
        <v>0</v>
      </c>
      <c r="AE75" s="2">
        <f t="shared" ref="AE75:AE139" si="34">O75*(1-P75)</f>
        <v>1</v>
      </c>
      <c r="AF75" s="2">
        <f t="shared" ref="AF75:AF139" si="35">+O75*P75*(1-A75)</f>
        <v>0</v>
      </c>
      <c r="AG75" s="2">
        <f t="shared" ref="AG75:AG139" si="36">O75*(1-P75)*(1-A75)</f>
        <v>0</v>
      </c>
      <c r="AH75" s="2">
        <f t="shared" ref="AH75:AH139" si="37">+P75*(1-A75)</f>
        <v>0</v>
      </c>
      <c r="AI75" s="2">
        <f t="shared" ref="AI75:AI139" si="38">+(1-A75)*(1-P75)</f>
        <v>0</v>
      </c>
    </row>
    <row r="76" spans="1:35" ht="14.25" customHeight="1" x14ac:dyDescent="0.25">
      <c r="A76" s="29">
        <v>0</v>
      </c>
      <c r="B76" s="29">
        <v>1</v>
      </c>
      <c r="C76" s="29">
        <v>6</v>
      </c>
      <c r="D76" s="30" t="s">
        <v>714</v>
      </c>
      <c r="E76" s="30" t="s">
        <v>258</v>
      </c>
      <c r="F76" s="30" t="s">
        <v>715</v>
      </c>
      <c r="G76" s="30" t="s">
        <v>130</v>
      </c>
      <c r="H76" s="30" t="s">
        <v>165</v>
      </c>
      <c r="I76" s="29" t="s">
        <v>716</v>
      </c>
      <c r="J76" s="29"/>
      <c r="K76" s="29" t="s">
        <v>329</v>
      </c>
      <c r="L76" s="29">
        <v>35</v>
      </c>
      <c r="M76" s="30" t="s">
        <v>875</v>
      </c>
      <c r="N76" s="30" t="s">
        <v>892</v>
      </c>
      <c r="O76" s="31">
        <v>1</v>
      </c>
      <c r="P76" s="31"/>
      <c r="Q76" s="30"/>
      <c r="S76" s="2">
        <f t="shared" si="23"/>
        <v>0</v>
      </c>
      <c r="T76" s="2">
        <f t="shared" si="24"/>
        <v>0</v>
      </c>
      <c r="U76" s="2">
        <f t="shared" si="25"/>
        <v>0</v>
      </c>
      <c r="V76" s="2">
        <f t="shared" si="26"/>
        <v>0</v>
      </c>
      <c r="W76" s="2">
        <f t="shared" si="27"/>
        <v>0</v>
      </c>
      <c r="X76" s="2">
        <f t="shared" si="28"/>
        <v>0</v>
      </c>
      <c r="Y76" s="2">
        <f t="shared" si="29"/>
        <v>0</v>
      </c>
      <c r="Z76" s="2">
        <f t="shared" si="30"/>
        <v>0</v>
      </c>
      <c r="AA76" s="2">
        <f t="shared" si="31"/>
        <v>0</v>
      </c>
      <c r="AB76" s="2">
        <f t="shared" si="32"/>
        <v>0</v>
      </c>
      <c r="AD76" s="2">
        <f t="shared" si="33"/>
        <v>0</v>
      </c>
      <c r="AE76" s="2">
        <f t="shared" si="34"/>
        <v>1</v>
      </c>
      <c r="AF76" s="2">
        <f t="shared" si="35"/>
        <v>0</v>
      </c>
      <c r="AG76" s="2">
        <f t="shared" si="36"/>
        <v>1</v>
      </c>
      <c r="AH76" s="2">
        <f t="shared" si="37"/>
        <v>0</v>
      </c>
      <c r="AI76" s="2">
        <f t="shared" si="38"/>
        <v>1</v>
      </c>
    </row>
    <row r="77" spans="1:35" ht="14.25" customHeight="1" x14ac:dyDescent="0.25">
      <c r="A77" s="29">
        <v>0</v>
      </c>
      <c r="B77" s="29">
        <v>1</v>
      </c>
      <c r="C77" s="29">
        <v>6</v>
      </c>
      <c r="D77" s="30" t="s">
        <v>70</v>
      </c>
      <c r="E77" s="30" t="s">
        <v>258</v>
      </c>
      <c r="F77" s="30" t="s">
        <v>149</v>
      </c>
      <c r="G77" s="30" t="s">
        <v>130</v>
      </c>
      <c r="H77" s="30" t="s">
        <v>165</v>
      </c>
      <c r="I77" s="29" t="s">
        <v>193</v>
      </c>
      <c r="J77" s="29">
        <v>10</v>
      </c>
      <c r="K77" s="29" t="s">
        <v>326</v>
      </c>
      <c r="L77" s="29">
        <v>40</v>
      </c>
      <c r="M77" s="30" t="s">
        <v>927</v>
      </c>
      <c r="N77" s="30" t="s">
        <v>892</v>
      </c>
      <c r="O77" s="31">
        <v>1</v>
      </c>
      <c r="P77" s="31"/>
      <c r="Q77" s="30"/>
      <c r="S77" s="2">
        <f t="shared" si="23"/>
        <v>0</v>
      </c>
      <c r="T77" s="2">
        <f t="shared" si="24"/>
        <v>0</v>
      </c>
      <c r="U77" s="2">
        <f t="shared" si="25"/>
        <v>0</v>
      </c>
      <c r="V77" s="2">
        <f t="shared" si="26"/>
        <v>0</v>
      </c>
      <c r="W77" s="2">
        <f t="shared" si="27"/>
        <v>0</v>
      </c>
      <c r="X77" s="2">
        <f t="shared" si="28"/>
        <v>0</v>
      </c>
      <c r="Y77" s="2">
        <f t="shared" si="29"/>
        <v>0</v>
      </c>
      <c r="Z77" s="2">
        <f t="shared" si="30"/>
        <v>0</v>
      </c>
      <c r="AA77" s="2">
        <f t="shared" si="31"/>
        <v>0</v>
      </c>
      <c r="AB77" s="2">
        <f t="shared" si="32"/>
        <v>1</v>
      </c>
      <c r="AD77" s="2">
        <f t="shared" si="33"/>
        <v>0</v>
      </c>
      <c r="AE77" s="2">
        <f t="shared" si="34"/>
        <v>1</v>
      </c>
      <c r="AF77" s="2">
        <f t="shared" si="35"/>
        <v>0</v>
      </c>
      <c r="AG77" s="2">
        <f t="shared" si="36"/>
        <v>1</v>
      </c>
      <c r="AH77" s="2">
        <f t="shared" si="37"/>
        <v>0</v>
      </c>
      <c r="AI77" s="2">
        <f t="shared" si="38"/>
        <v>1</v>
      </c>
    </row>
    <row r="78" spans="1:35" ht="14.25" customHeight="1" x14ac:dyDescent="0.25">
      <c r="A78" s="29">
        <v>0</v>
      </c>
      <c r="B78" s="29">
        <v>1</v>
      </c>
      <c r="C78" s="29">
        <v>6</v>
      </c>
      <c r="D78" s="30" t="s">
        <v>241</v>
      </c>
      <c r="E78" s="30" t="s">
        <v>261</v>
      </c>
      <c r="F78" s="30" t="s">
        <v>242</v>
      </c>
      <c r="G78" s="30" t="s">
        <v>243</v>
      </c>
      <c r="H78" s="30" t="s">
        <v>165</v>
      </c>
      <c r="I78" s="29" t="s">
        <v>244</v>
      </c>
      <c r="J78" s="29">
        <v>9</v>
      </c>
      <c r="K78" s="29" t="s">
        <v>328</v>
      </c>
      <c r="L78" s="29" t="s">
        <v>40</v>
      </c>
      <c r="M78" s="30" t="s">
        <v>40</v>
      </c>
      <c r="N78" s="30" t="s">
        <v>886</v>
      </c>
      <c r="O78" s="31">
        <v>1</v>
      </c>
      <c r="P78" s="31">
        <v>1</v>
      </c>
      <c r="Q78" s="30"/>
      <c r="S78" s="2">
        <f t="shared" si="23"/>
        <v>0</v>
      </c>
      <c r="T78" s="2">
        <f t="shared" si="24"/>
        <v>0</v>
      </c>
      <c r="U78" s="2">
        <f t="shared" si="25"/>
        <v>0</v>
      </c>
      <c r="V78" s="2">
        <f t="shared" si="26"/>
        <v>0</v>
      </c>
      <c r="W78" s="2">
        <f t="shared" si="27"/>
        <v>0</v>
      </c>
      <c r="X78" s="2">
        <f t="shared" si="28"/>
        <v>0</v>
      </c>
      <c r="Y78" s="2">
        <f t="shared" si="29"/>
        <v>0</v>
      </c>
      <c r="Z78" s="2">
        <f t="shared" si="30"/>
        <v>0</v>
      </c>
      <c r="AA78" s="2">
        <f t="shared" si="31"/>
        <v>1</v>
      </c>
      <c r="AB78" s="2">
        <f t="shared" si="32"/>
        <v>0</v>
      </c>
      <c r="AD78" s="2">
        <f t="shared" si="33"/>
        <v>1</v>
      </c>
      <c r="AE78" s="2">
        <f t="shared" si="34"/>
        <v>0</v>
      </c>
      <c r="AF78" s="2">
        <f t="shared" si="35"/>
        <v>1</v>
      </c>
      <c r="AG78" s="2">
        <f t="shared" si="36"/>
        <v>0</v>
      </c>
      <c r="AH78" s="2">
        <f t="shared" si="37"/>
        <v>1</v>
      </c>
      <c r="AI78" s="2">
        <f t="shared" si="38"/>
        <v>0</v>
      </c>
    </row>
    <row r="79" spans="1:35" ht="14.25" customHeight="1" x14ac:dyDescent="0.25">
      <c r="A79" s="32">
        <v>0</v>
      </c>
      <c r="B79" s="32">
        <v>1</v>
      </c>
      <c r="C79" s="32">
        <v>6</v>
      </c>
      <c r="D79" s="33" t="s">
        <v>358</v>
      </c>
      <c r="E79" s="33" t="s">
        <v>261</v>
      </c>
      <c r="F79" s="33" t="s">
        <v>293</v>
      </c>
      <c r="G79" s="33" t="s">
        <v>127</v>
      </c>
      <c r="H79" s="33" t="s">
        <v>165</v>
      </c>
      <c r="I79" s="32" t="s">
        <v>486</v>
      </c>
      <c r="J79" s="32">
        <v>2</v>
      </c>
      <c r="K79" s="32" t="s">
        <v>330</v>
      </c>
      <c r="L79" s="32" t="s">
        <v>334</v>
      </c>
      <c r="M79" s="33" t="s">
        <v>206</v>
      </c>
      <c r="N79" s="33" t="s">
        <v>922</v>
      </c>
      <c r="O79" s="34"/>
      <c r="P79" s="34"/>
      <c r="Q79" s="33"/>
      <c r="S79" s="2">
        <f t="shared" si="23"/>
        <v>0</v>
      </c>
      <c r="T79" s="2">
        <f t="shared" si="24"/>
        <v>1</v>
      </c>
      <c r="U79" s="2">
        <f t="shared" si="25"/>
        <v>0</v>
      </c>
      <c r="V79" s="2">
        <f t="shared" si="26"/>
        <v>0</v>
      </c>
      <c r="W79" s="2">
        <f t="shared" si="27"/>
        <v>0</v>
      </c>
      <c r="X79" s="2">
        <f t="shared" si="28"/>
        <v>0</v>
      </c>
      <c r="Y79" s="2">
        <f t="shared" si="29"/>
        <v>0</v>
      </c>
      <c r="Z79" s="2">
        <f t="shared" si="30"/>
        <v>0</v>
      </c>
      <c r="AA79" s="2">
        <f t="shared" si="31"/>
        <v>0</v>
      </c>
      <c r="AB79" s="2">
        <f t="shared" si="32"/>
        <v>0</v>
      </c>
      <c r="AD79" s="2">
        <f t="shared" si="33"/>
        <v>0</v>
      </c>
      <c r="AE79" s="2">
        <f t="shared" si="34"/>
        <v>0</v>
      </c>
      <c r="AF79" s="2">
        <f t="shared" si="35"/>
        <v>0</v>
      </c>
      <c r="AG79" s="2">
        <f t="shared" si="36"/>
        <v>0</v>
      </c>
      <c r="AH79" s="2">
        <f t="shared" si="37"/>
        <v>0</v>
      </c>
      <c r="AI79" s="2">
        <f t="shared" si="38"/>
        <v>1</v>
      </c>
    </row>
    <row r="80" spans="1:35" ht="14.25" customHeight="1" x14ac:dyDescent="0.25">
      <c r="A80" s="29">
        <v>0</v>
      </c>
      <c r="B80" s="29">
        <v>1</v>
      </c>
      <c r="C80" s="29">
        <v>6</v>
      </c>
      <c r="D80" s="30" t="s">
        <v>53</v>
      </c>
      <c r="E80" s="30" t="s">
        <v>258</v>
      </c>
      <c r="F80" s="30" t="s">
        <v>106</v>
      </c>
      <c r="G80" s="30" t="s">
        <v>107</v>
      </c>
      <c r="H80" s="30" t="s">
        <v>165</v>
      </c>
      <c r="I80" s="29" t="s">
        <v>172</v>
      </c>
      <c r="J80" s="29">
        <v>99</v>
      </c>
      <c r="K80" s="29" t="s">
        <v>324</v>
      </c>
      <c r="L80" s="29" t="s">
        <v>40</v>
      </c>
      <c r="M80" s="30" t="s">
        <v>40</v>
      </c>
      <c r="N80" s="30" t="s">
        <v>886</v>
      </c>
      <c r="O80" s="31">
        <v>1</v>
      </c>
      <c r="P80" s="31">
        <v>1</v>
      </c>
      <c r="Q80" s="30"/>
      <c r="S80" s="2">
        <f t="shared" si="23"/>
        <v>0</v>
      </c>
      <c r="T80" s="2">
        <f t="shared" si="24"/>
        <v>0</v>
      </c>
      <c r="U80" s="2">
        <f t="shared" si="25"/>
        <v>0</v>
      </c>
      <c r="V80" s="2">
        <f t="shared" si="26"/>
        <v>0</v>
      </c>
      <c r="W80" s="2">
        <f t="shared" si="27"/>
        <v>0</v>
      </c>
      <c r="X80" s="2">
        <f t="shared" si="28"/>
        <v>0</v>
      </c>
      <c r="Y80" s="2">
        <f t="shared" si="29"/>
        <v>0</v>
      </c>
      <c r="Z80" s="2">
        <f t="shared" si="30"/>
        <v>0</v>
      </c>
      <c r="AA80" s="2">
        <f t="shared" si="31"/>
        <v>0</v>
      </c>
      <c r="AB80" s="2">
        <f t="shared" si="32"/>
        <v>0</v>
      </c>
      <c r="AD80" s="2">
        <f t="shared" si="33"/>
        <v>1</v>
      </c>
      <c r="AE80" s="2">
        <f t="shared" si="34"/>
        <v>0</v>
      </c>
      <c r="AF80" s="2">
        <f t="shared" si="35"/>
        <v>1</v>
      </c>
      <c r="AG80" s="2">
        <f t="shared" si="36"/>
        <v>0</v>
      </c>
      <c r="AH80" s="2">
        <f t="shared" si="37"/>
        <v>1</v>
      </c>
      <c r="AI80" s="2">
        <f t="shared" si="38"/>
        <v>0</v>
      </c>
    </row>
    <row r="81" spans="1:16384" s="3" customFormat="1" ht="14.25" customHeight="1" x14ac:dyDescent="0.25">
      <c r="A81" s="29">
        <v>0</v>
      </c>
      <c r="B81" s="29">
        <v>1</v>
      </c>
      <c r="C81" s="29">
        <v>6</v>
      </c>
      <c r="D81" s="30" t="s">
        <v>286</v>
      </c>
      <c r="E81" s="30" t="s">
        <v>258</v>
      </c>
      <c r="F81" s="30" t="s">
        <v>287</v>
      </c>
      <c r="G81" s="30" t="s">
        <v>96</v>
      </c>
      <c r="H81" s="30" t="s">
        <v>165</v>
      </c>
      <c r="I81" s="29" t="s">
        <v>838</v>
      </c>
      <c r="J81" s="29">
        <v>3</v>
      </c>
      <c r="K81" s="29" t="s">
        <v>330</v>
      </c>
      <c r="L81" s="29" t="s">
        <v>346</v>
      </c>
      <c r="M81" s="30" t="s">
        <v>762</v>
      </c>
      <c r="N81" s="30" t="s">
        <v>894</v>
      </c>
      <c r="O81" s="31">
        <v>1</v>
      </c>
      <c r="P81" s="31"/>
      <c r="Q81" s="30"/>
      <c r="R81" s="20"/>
      <c r="S81" s="2">
        <f t="shared" si="23"/>
        <v>0</v>
      </c>
      <c r="T81" s="2">
        <f t="shared" si="24"/>
        <v>0</v>
      </c>
      <c r="U81" s="2">
        <f t="shared" si="25"/>
        <v>1</v>
      </c>
      <c r="V81" s="2">
        <f t="shared" si="26"/>
        <v>0</v>
      </c>
      <c r="W81" s="2">
        <f t="shared" si="27"/>
        <v>0</v>
      </c>
      <c r="X81" s="2">
        <f t="shared" si="28"/>
        <v>0</v>
      </c>
      <c r="Y81" s="2">
        <f t="shared" si="29"/>
        <v>0</v>
      </c>
      <c r="Z81" s="2">
        <f t="shared" si="30"/>
        <v>0</v>
      </c>
      <c r="AA81" s="2">
        <f t="shared" si="31"/>
        <v>0</v>
      </c>
      <c r="AB81" s="2">
        <f t="shared" si="32"/>
        <v>0</v>
      </c>
      <c r="AC81" s="2"/>
      <c r="AD81" s="2">
        <f t="shared" si="33"/>
        <v>0</v>
      </c>
      <c r="AE81" s="2">
        <f t="shared" si="34"/>
        <v>1</v>
      </c>
      <c r="AF81" s="2">
        <f t="shared" si="35"/>
        <v>0</v>
      </c>
      <c r="AG81" s="2">
        <f t="shared" si="36"/>
        <v>1</v>
      </c>
      <c r="AH81" s="2">
        <f t="shared" si="37"/>
        <v>0</v>
      </c>
      <c r="AI81" s="2">
        <f t="shared" si="38"/>
        <v>1</v>
      </c>
      <c r="AJ81" s="20"/>
      <c r="AK81" s="20"/>
      <c r="AL81" s="21"/>
      <c r="AM81" s="21"/>
      <c r="AN81" s="21"/>
      <c r="AO81" s="21"/>
      <c r="AP81" s="21"/>
      <c r="AQ81" s="20"/>
      <c r="AR81" s="20"/>
      <c r="AS81" s="20"/>
      <c r="AT81" s="20"/>
      <c r="AU81" s="21"/>
      <c r="AV81" s="21"/>
      <c r="AW81" s="7"/>
      <c r="AX81" s="7"/>
      <c r="AY81" s="21"/>
      <c r="AZ81" s="20"/>
      <c r="BA81" s="20"/>
      <c r="BB81" s="20"/>
      <c r="BC81" s="21"/>
      <c r="BD81" s="21"/>
      <c r="BE81" s="21"/>
      <c r="BF81" s="21"/>
      <c r="BG81" s="21"/>
      <c r="BH81" s="20"/>
      <c r="BI81" s="20"/>
      <c r="BJ81" s="20"/>
      <c r="BK81" s="20"/>
      <c r="BL81" s="21"/>
      <c r="BM81" s="21"/>
      <c r="BN81" s="7"/>
      <c r="BO81" s="7"/>
      <c r="BP81" s="21"/>
      <c r="BQ81" s="20"/>
      <c r="BR81" s="20"/>
      <c r="BS81" s="20"/>
      <c r="BT81" s="21"/>
      <c r="BU81" s="21"/>
      <c r="BV81" s="21"/>
      <c r="BW81" s="21"/>
      <c r="BX81" s="21"/>
      <c r="BY81" s="20"/>
      <c r="BZ81" s="20"/>
      <c r="CA81" s="20"/>
      <c r="CB81" s="20"/>
      <c r="CC81" s="21"/>
      <c r="CD81" s="21"/>
      <c r="CE81" s="7"/>
      <c r="CF81" s="7"/>
      <c r="CG81" s="21"/>
      <c r="CH81" s="20"/>
      <c r="CI81" s="20"/>
      <c r="CJ81" s="20"/>
      <c r="CK81" s="21"/>
      <c r="CL81" s="21"/>
      <c r="CM81" s="21"/>
      <c r="CN81" s="21"/>
      <c r="CO81" s="21"/>
      <c r="CP81" s="20"/>
      <c r="CQ81" s="20"/>
      <c r="CR81" s="20"/>
      <c r="CS81" s="20"/>
      <c r="CT81" s="21"/>
      <c r="CU81" s="21"/>
      <c r="CV81" s="7"/>
      <c r="CW81" s="7"/>
      <c r="CX81" s="21"/>
      <c r="CY81" s="20"/>
      <c r="CZ81" s="20"/>
      <c r="DA81" s="20"/>
      <c r="DB81" s="21"/>
      <c r="DC81" s="21"/>
      <c r="DD81" s="21"/>
      <c r="DE81" s="21"/>
      <c r="DF81" s="21"/>
      <c r="DG81" s="20"/>
      <c r="DH81" s="20"/>
      <c r="DI81" s="20"/>
      <c r="DJ81" s="20"/>
      <c r="DK81" s="21"/>
      <c r="DL81" s="21"/>
      <c r="DM81" s="7"/>
      <c r="DN81" s="7"/>
      <c r="DO81" s="21"/>
      <c r="DP81" s="20"/>
      <c r="DQ81" s="20"/>
      <c r="DR81" s="20"/>
      <c r="DS81" s="21"/>
      <c r="DT81" s="21"/>
      <c r="DU81" s="21"/>
      <c r="DV81" s="21"/>
      <c r="DW81" s="21"/>
      <c r="DX81" s="20"/>
      <c r="DY81" s="20"/>
      <c r="DZ81" s="20"/>
      <c r="EA81" s="20"/>
      <c r="EB81" s="21"/>
      <c r="EC81" s="21"/>
      <c r="ED81" s="7"/>
      <c r="EE81" s="7"/>
      <c r="EF81" s="21"/>
      <c r="EG81" s="20"/>
      <c r="EH81" s="20"/>
      <c r="EI81" s="20"/>
      <c r="EJ81" s="21"/>
      <c r="EK81" s="21"/>
      <c r="EL81" s="21"/>
      <c r="EM81" s="21"/>
      <c r="EN81" s="21"/>
      <c r="EO81" s="20"/>
      <c r="EP81" s="20"/>
      <c r="EQ81" s="20"/>
      <c r="ER81" s="20"/>
      <c r="ES81" s="21"/>
      <c r="ET81" s="21"/>
      <c r="EU81" s="7"/>
      <c r="EV81" s="7"/>
      <c r="EW81" s="21"/>
      <c r="EX81" s="20"/>
      <c r="EY81" s="20"/>
      <c r="EZ81" s="20"/>
      <c r="FA81" s="21"/>
      <c r="FB81" s="21"/>
      <c r="FC81" s="21"/>
      <c r="FD81" s="21"/>
      <c r="FE81" s="21"/>
      <c r="FF81" s="20"/>
      <c r="FG81" s="20"/>
      <c r="FH81" s="20"/>
      <c r="FI81" s="20"/>
      <c r="FJ81" s="21"/>
      <c r="FK81" s="21"/>
      <c r="FL81" s="7"/>
      <c r="FM81" s="7"/>
      <c r="FN81" s="21"/>
      <c r="FO81" s="20"/>
      <c r="FP81" s="20"/>
      <c r="FQ81" s="20"/>
      <c r="FR81" s="21"/>
      <c r="FS81" s="21"/>
      <c r="FT81" s="21"/>
      <c r="FU81" s="21"/>
      <c r="FV81" s="21"/>
      <c r="FW81" s="20"/>
      <c r="FX81" s="20"/>
      <c r="FY81" s="20"/>
      <c r="FZ81" s="20"/>
      <c r="GA81" s="21"/>
      <c r="GB81" s="21"/>
      <c r="GC81" s="7"/>
      <c r="GD81" s="7"/>
      <c r="GE81" s="21"/>
      <c r="GF81" s="20"/>
      <c r="GG81" s="20"/>
      <c r="GH81" s="20"/>
      <c r="GI81" s="21"/>
      <c r="GJ81" s="21"/>
      <c r="GK81" s="21"/>
      <c r="GL81" s="21"/>
      <c r="GM81" s="21"/>
      <c r="GN81" s="20"/>
      <c r="GO81" s="20"/>
      <c r="GP81" s="20"/>
      <c r="GQ81" s="20"/>
      <c r="GR81" s="21"/>
      <c r="GS81" s="21"/>
      <c r="GT81" s="7"/>
      <c r="GU81" s="7"/>
      <c r="GV81" s="21"/>
      <c r="GW81" s="20"/>
      <c r="GX81" s="20"/>
      <c r="GY81" s="20"/>
      <c r="GZ81" s="21"/>
      <c r="HA81" s="21"/>
      <c r="HB81" s="21"/>
      <c r="HC81" s="21"/>
      <c r="HD81" s="21"/>
      <c r="HE81" s="20"/>
      <c r="HF81" s="20"/>
      <c r="HG81" s="20"/>
      <c r="HH81" s="20"/>
      <c r="HI81" s="21"/>
      <c r="HJ81" s="21"/>
      <c r="HK81" s="7"/>
      <c r="HL81" s="7"/>
      <c r="HM81" s="21"/>
      <c r="HN81" s="20"/>
      <c r="HO81" s="20"/>
      <c r="HP81" s="20"/>
      <c r="HQ81" s="21"/>
      <c r="HR81" s="21"/>
      <c r="HS81" s="21"/>
      <c r="HT81" s="21"/>
      <c r="HU81" s="21"/>
      <c r="HV81" s="20"/>
      <c r="HW81" s="20"/>
      <c r="HX81" s="20"/>
      <c r="HY81" s="20"/>
      <c r="HZ81" s="21"/>
      <c r="IA81" s="21"/>
      <c r="IB81" s="7"/>
      <c r="IC81" s="7"/>
      <c r="ID81" s="21"/>
      <c r="IE81" s="20"/>
      <c r="IF81" s="20"/>
      <c r="IG81" s="20"/>
      <c r="IH81" s="21"/>
      <c r="II81" s="21"/>
      <c r="IJ81" s="21"/>
      <c r="IK81" s="21"/>
      <c r="IL81" s="21"/>
      <c r="IM81" s="20"/>
      <c r="IN81" s="20"/>
      <c r="IO81" s="20"/>
      <c r="IP81" s="20"/>
      <c r="IQ81" s="21"/>
      <c r="IR81" s="21"/>
      <c r="IS81" s="7"/>
      <c r="IT81" s="7"/>
      <c r="IU81" s="21"/>
      <c r="IV81" s="20"/>
      <c r="IW81" s="20"/>
      <c r="IX81" s="20"/>
      <c r="IY81" s="21"/>
      <c r="IZ81" s="21"/>
      <c r="JA81" s="21"/>
      <c r="JB81" s="21"/>
      <c r="JC81" s="21"/>
      <c r="JD81" s="20"/>
      <c r="JE81" s="20"/>
      <c r="JF81" s="20"/>
      <c r="JG81" s="20"/>
      <c r="JH81" s="21"/>
      <c r="JI81" s="21"/>
      <c r="JJ81" s="7"/>
      <c r="JK81" s="7"/>
      <c r="JL81" s="21"/>
      <c r="JM81" s="20"/>
      <c r="JN81" s="20"/>
      <c r="JO81" s="20"/>
      <c r="JP81" s="21"/>
      <c r="JQ81" s="21"/>
      <c r="JR81" s="21"/>
      <c r="JS81" s="21"/>
      <c r="JT81" s="21"/>
      <c r="JU81" s="20"/>
      <c r="JV81" s="20"/>
      <c r="JW81" s="20"/>
      <c r="JX81" s="20"/>
      <c r="JY81" s="21"/>
      <c r="JZ81" s="21"/>
      <c r="KA81" s="7"/>
      <c r="KB81" s="7"/>
      <c r="KC81" s="21"/>
      <c r="KD81" s="20"/>
      <c r="KE81" s="20"/>
      <c r="KF81" s="20"/>
      <c r="KG81" s="21"/>
      <c r="KH81" s="21"/>
      <c r="KI81" s="21"/>
      <c r="KJ81" s="21"/>
      <c r="KK81" s="21"/>
      <c r="KL81" s="20"/>
      <c r="KM81" s="20"/>
      <c r="KN81" s="20"/>
      <c r="KO81" s="20"/>
      <c r="KP81" s="21"/>
      <c r="KQ81" s="21"/>
      <c r="KR81" s="7"/>
      <c r="KS81" s="7"/>
      <c r="KT81" s="21"/>
      <c r="KU81" s="20"/>
      <c r="KV81" s="20"/>
      <c r="KW81" s="20"/>
      <c r="KX81" s="21"/>
      <c r="KY81" s="21"/>
      <c r="KZ81" s="21"/>
      <c r="LA81" s="21"/>
      <c r="LB81" s="21"/>
      <c r="LC81" s="20"/>
      <c r="LD81" s="20"/>
      <c r="LE81" s="20"/>
      <c r="LF81" s="20"/>
      <c r="LG81" s="21"/>
      <c r="LH81" s="21"/>
      <c r="LI81" s="7"/>
      <c r="LJ81" s="7"/>
      <c r="LK81" s="21"/>
      <c r="LL81" s="20"/>
      <c r="LM81" s="20"/>
      <c r="LN81" s="20"/>
      <c r="LO81" s="21"/>
      <c r="LP81" s="21"/>
      <c r="LQ81" s="21"/>
      <c r="LR81" s="21"/>
      <c r="LS81" s="21"/>
      <c r="LT81" s="20"/>
      <c r="LU81" s="20"/>
      <c r="LV81" s="20"/>
      <c r="LW81" s="20"/>
      <c r="LX81" s="21"/>
      <c r="LY81" s="21"/>
      <c r="LZ81" s="7"/>
      <c r="MA81" s="7"/>
      <c r="MB81" s="21"/>
      <c r="MC81" s="20"/>
      <c r="MD81" s="20"/>
      <c r="ME81" s="20"/>
      <c r="MF81" s="21"/>
      <c r="MG81" s="21"/>
      <c r="MH81" s="21"/>
      <c r="MI81" s="21"/>
      <c r="MJ81" s="21"/>
      <c r="MK81" s="20"/>
      <c r="ML81" s="20"/>
      <c r="MM81" s="20"/>
      <c r="MN81" s="20"/>
      <c r="MO81" s="21"/>
      <c r="MP81" s="21"/>
      <c r="MQ81" s="7"/>
      <c r="MR81" s="7"/>
      <c r="MS81" s="21"/>
      <c r="MT81" s="20"/>
      <c r="MU81" s="20"/>
      <c r="MV81" s="20"/>
      <c r="MW81" s="21"/>
      <c r="MX81" s="21"/>
      <c r="MY81" s="21"/>
      <c r="MZ81" s="21"/>
      <c r="NA81" s="21"/>
      <c r="NB81" s="20"/>
      <c r="NC81" s="20"/>
      <c r="ND81" s="20"/>
      <c r="NE81" s="20"/>
      <c r="NF81" s="21"/>
      <c r="NG81" s="21"/>
      <c r="NH81" s="7"/>
      <c r="NI81" s="7"/>
      <c r="NJ81" s="21"/>
      <c r="NK81" s="20"/>
      <c r="NL81" s="20"/>
      <c r="NM81" s="20"/>
      <c r="NN81" s="21"/>
      <c r="NO81" s="21"/>
      <c r="NP81" s="21"/>
      <c r="NQ81" s="21"/>
      <c r="NR81" s="21"/>
      <c r="NS81" s="20"/>
      <c r="NT81" s="20"/>
      <c r="NU81" s="20"/>
      <c r="NV81" s="20"/>
      <c r="NW81" s="21"/>
      <c r="NX81" s="21"/>
      <c r="NY81" s="7"/>
      <c r="NZ81" s="7"/>
      <c r="OA81" s="21"/>
      <c r="OB81" s="20"/>
      <c r="OC81" s="20"/>
      <c r="OD81" s="20"/>
      <c r="OE81" s="21"/>
      <c r="OF81" s="21"/>
      <c r="OG81" s="21"/>
      <c r="OH81" s="21"/>
      <c r="OI81" s="21"/>
      <c r="OJ81" s="20"/>
      <c r="OK81" s="20"/>
      <c r="OL81" s="20"/>
      <c r="OM81" s="20"/>
      <c r="ON81" s="21"/>
      <c r="OO81" s="21"/>
      <c r="OP81" s="7"/>
      <c r="OQ81" s="7"/>
      <c r="OR81" s="21"/>
      <c r="OS81" s="20"/>
      <c r="OT81" s="20"/>
      <c r="OU81" s="20"/>
      <c r="OV81" s="21"/>
      <c r="OW81" s="21"/>
      <c r="OX81" s="21"/>
      <c r="OY81" s="21"/>
      <c r="OZ81" s="21"/>
      <c r="PA81" s="20"/>
      <c r="PB81" s="20"/>
      <c r="PC81" s="20"/>
      <c r="PD81" s="20"/>
      <c r="PE81" s="21"/>
      <c r="PF81" s="21"/>
      <c r="PG81" s="7"/>
      <c r="PH81" s="7"/>
      <c r="PI81" s="21"/>
      <c r="PJ81" s="20"/>
      <c r="PK81" s="20"/>
      <c r="PL81" s="20"/>
      <c r="PM81" s="21"/>
      <c r="PN81" s="21"/>
      <c r="PO81" s="21"/>
      <c r="PP81" s="21"/>
      <c r="PQ81" s="21"/>
      <c r="PR81" s="20"/>
      <c r="PS81" s="20"/>
      <c r="PT81" s="20"/>
      <c r="PU81" s="20"/>
      <c r="PV81" s="21"/>
      <c r="PW81" s="21"/>
      <c r="PX81" s="7"/>
      <c r="PY81" s="7"/>
      <c r="PZ81" s="21"/>
      <c r="QA81" s="20"/>
      <c r="QB81" s="20"/>
      <c r="QC81" s="20"/>
      <c r="QD81" s="21"/>
      <c r="QE81" s="21"/>
      <c r="QF81" s="21"/>
      <c r="QG81" s="21"/>
      <c r="QH81" s="21"/>
      <c r="QI81" s="20"/>
      <c r="QJ81" s="20"/>
      <c r="QK81" s="20"/>
      <c r="QL81" s="20"/>
      <c r="QM81" s="21"/>
      <c r="QN81" s="21"/>
      <c r="QO81" s="7"/>
      <c r="QP81" s="7"/>
      <c r="QQ81" s="21"/>
      <c r="QR81" s="20"/>
      <c r="QS81" s="20"/>
      <c r="QT81" s="20"/>
      <c r="QU81" s="21"/>
      <c r="QV81" s="21"/>
      <c r="QW81" s="21"/>
      <c r="QX81" s="21"/>
      <c r="QY81" s="21"/>
      <c r="QZ81" s="20"/>
      <c r="RA81" s="20"/>
      <c r="RB81" s="20"/>
      <c r="RC81" s="20"/>
      <c r="RD81" s="21"/>
      <c r="RE81" s="21"/>
      <c r="RF81" s="7"/>
      <c r="RG81" s="7"/>
      <c r="RH81" s="21"/>
      <c r="RI81" s="20"/>
      <c r="RJ81" s="20"/>
      <c r="RK81" s="20"/>
      <c r="RL81" s="21"/>
      <c r="RM81" s="21"/>
      <c r="RN81" s="21"/>
      <c r="RO81" s="21"/>
      <c r="RP81" s="21"/>
      <c r="RQ81" s="20"/>
      <c r="RR81" s="20"/>
      <c r="RS81" s="20"/>
      <c r="RT81" s="20"/>
      <c r="RU81" s="21"/>
      <c r="RV81" s="21"/>
      <c r="RW81" s="7"/>
      <c r="RX81" s="7"/>
      <c r="RY81" s="21"/>
      <c r="RZ81" s="20"/>
      <c r="SA81" s="20"/>
      <c r="SB81" s="20"/>
      <c r="SC81" s="21"/>
      <c r="SD81" s="21"/>
      <c r="SE81" s="21"/>
      <c r="SF81" s="21"/>
      <c r="SG81" s="21"/>
      <c r="SH81" s="20"/>
      <c r="SI81" s="20"/>
      <c r="SJ81" s="20"/>
      <c r="SK81" s="20"/>
      <c r="SL81" s="21"/>
      <c r="SM81" s="21"/>
      <c r="SN81" s="7"/>
      <c r="SO81" s="7"/>
      <c r="SP81" s="21"/>
      <c r="SQ81" s="20"/>
      <c r="SR81" s="20"/>
      <c r="SS81" s="20"/>
      <c r="ST81" s="21"/>
      <c r="SU81" s="21"/>
      <c r="SV81" s="21"/>
      <c r="SW81" s="21"/>
      <c r="SX81" s="21"/>
      <c r="SY81" s="20"/>
      <c r="SZ81" s="20"/>
      <c r="TA81" s="20"/>
      <c r="TB81" s="20"/>
      <c r="TC81" s="21"/>
      <c r="TD81" s="21"/>
      <c r="TE81" s="7"/>
      <c r="TF81" s="7"/>
      <c r="TG81" s="21"/>
      <c r="TH81" s="20"/>
      <c r="TI81" s="20"/>
      <c r="TJ81" s="20"/>
      <c r="TK81" s="21"/>
      <c r="TL81" s="21"/>
      <c r="TM81" s="21"/>
      <c r="TN81" s="21"/>
      <c r="TO81" s="21"/>
      <c r="TP81" s="20"/>
      <c r="TQ81" s="20"/>
      <c r="TR81" s="20"/>
      <c r="TS81" s="20"/>
      <c r="TT81" s="21"/>
      <c r="TU81" s="21"/>
      <c r="TV81" s="7"/>
      <c r="TW81" s="7"/>
      <c r="TX81" s="21"/>
      <c r="TY81" s="20"/>
      <c r="TZ81" s="20"/>
      <c r="UA81" s="20"/>
      <c r="UB81" s="21"/>
      <c r="UC81" s="21"/>
      <c r="UD81" s="21"/>
      <c r="UE81" s="21"/>
      <c r="UF81" s="21"/>
      <c r="UG81" s="20"/>
      <c r="UH81" s="20"/>
      <c r="UI81" s="20"/>
      <c r="UJ81" s="20"/>
      <c r="UK81" s="21"/>
      <c r="UL81" s="21"/>
      <c r="UM81" s="7"/>
      <c r="UN81" s="7"/>
      <c r="UO81" s="21"/>
      <c r="UP81" s="20"/>
      <c r="UQ81" s="20"/>
      <c r="UR81" s="20"/>
      <c r="US81" s="21"/>
      <c r="UT81" s="21"/>
      <c r="UU81" s="21"/>
      <c r="UV81" s="21"/>
      <c r="UW81" s="21"/>
      <c r="UX81" s="20"/>
      <c r="UY81" s="20"/>
      <c r="UZ81" s="20"/>
      <c r="VA81" s="20"/>
      <c r="VB81" s="21"/>
      <c r="VC81" s="21"/>
      <c r="VD81" s="7"/>
      <c r="VE81" s="7"/>
      <c r="VF81" s="21"/>
      <c r="VG81" s="20"/>
      <c r="VH81" s="20"/>
      <c r="VI81" s="20"/>
      <c r="VJ81" s="21"/>
      <c r="VK81" s="21"/>
      <c r="VL81" s="21"/>
      <c r="VM81" s="21"/>
      <c r="VN81" s="21"/>
      <c r="VO81" s="20"/>
      <c r="VP81" s="20"/>
      <c r="VQ81" s="20"/>
      <c r="VR81" s="20"/>
      <c r="VS81" s="21"/>
      <c r="VT81" s="21"/>
      <c r="VU81" s="7"/>
      <c r="VV81" s="7"/>
      <c r="VW81" s="21"/>
      <c r="VX81" s="20"/>
      <c r="VY81" s="20"/>
      <c r="VZ81" s="20"/>
      <c r="WA81" s="21"/>
      <c r="WB81" s="21"/>
      <c r="WC81" s="21"/>
      <c r="WD81" s="21"/>
      <c r="WE81" s="21"/>
      <c r="WF81" s="20"/>
      <c r="WG81" s="20"/>
      <c r="WH81" s="20"/>
      <c r="WI81" s="20"/>
      <c r="WJ81" s="21"/>
      <c r="WK81" s="21"/>
      <c r="WL81" s="7"/>
      <c r="WM81" s="7"/>
      <c r="WN81" s="21"/>
      <c r="WO81" s="20"/>
      <c r="WP81" s="20"/>
      <c r="WQ81" s="20"/>
      <c r="WR81" s="21"/>
      <c r="WS81" s="21"/>
      <c r="WT81" s="21"/>
      <c r="WU81" s="21"/>
      <c r="WV81" s="21"/>
      <c r="WW81" s="20"/>
      <c r="WX81" s="20"/>
      <c r="WY81" s="20"/>
      <c r="WZ81" s="20"/>
      <c r="XA81" s="21"/>
      <c r="XB81" s="21"/>
      <c r="XC81" s="7"/>
      <c r="XD81" s="7"/>
      <c r="XE81" s="21"/>
      <c r="XF81" s="20"/>
      <c r="XG81" s="20"/>
      <c r="XH81" s="20"/>
      <c r="XI81" s="21"/>
      <c r="XJ81" s="21"/>
      <c r="XK81" s="21"/>
      <c r="XL81" s="21"/>
      <c r="XM81" s="21"/>
      <c r="XN81" s="20"/>
      <c r="XO81" s="20"/>
      <c r="XP81" s="20"/>
      <c r="XQ81" s="20"/>
      <c r="XR81" s="21"/>
      <c r="XS81" s="21"/>
      <c r="XT81" s="7"/>
      <c r="XU81" s="7"/>
      <c r="XV81" s="21"/>
      <c r="XW81" s="20"/>
      <c r="XX81" s="20"/>
      <c r="XY81" s="20"/>
      <c r="XZ81" s="21"/>
      <c r="YA81" s="21"/>
      <c r="YB81" s="21"/>
      <c r="YC81" s="21"/>
      <c r="YD81" s="21"/>
      <c r="YE81" s="20"/>
      <c r="YF81" s="20"/>
      <c r="YG81" s="20"/>
      <c r="YH81" s="20"/>
      <c r="YI81" s="21"/>
      <c r="YJ81" s="21"/>
      <c r="YK81" s="7"/>
      <c r="YL81" s="7"/>
      <c r="YM81" s="21"/>
      <c r="YN81" s="20"/>
      <c r="YO81" s="20"/>
      <c r="YP81" s="20"/>
      <c r="YQ81" s="21"/>
      <c r="YR81" s="21"/>
      <c r="YS81" s="21"/>
      <c r="YT81" s="21"/>
      <c r="YU81" s="21"/>
      <c r="YV81" s="20"/>
      <c r="YW81" s="20"/>
      <c r="YX81" s="20"/>
      <c r="YY81" s="20"/>
      <c r="YZ81" s="21"/>
      <c r="ZA81" s="21"/>
      <c r="ZB81" s="7"/>
      <c r="ZC81" s="7"/>
      <c r="ZD81" s="21"/>
      <c r="ZE81" s="20"/>
      <c r="ZF81" s="20"/>
      <c r="ZG81" s="20"/>
      <c r="ZH81" s="21"/>
      <c r="ZI81" s="21"/>
      <c r="ZJ81" s="21"/>
      <c r="ZK81" s="21"/>
      <c r="ZL81" s="21"/>
      <c r="ZM81" s="20"/>
      <c r="ZN81" s="20"/>
      <c r="ZO81" s="20"/>
      <c r="ZP81" s="20"/>
      <c r="ZQ81" s="21"/>
      <c r="ZR81" s="21"/>
      <c r="ZS81" s="7"/>
      <c r="ZT81" s="7"/>
      <c r="ZU81" s="21"/>
      <c r="ZV81" s="20"/>
      <c r="ZW81" s="20"/>
      <c r="ZX81" s="20"/>
      <c r="ZY81" s="21"/>
      <c r="ZZ81" s="21"/>
      <c r="AAA81" s="21"/>
      <c r="AAB81" s="21"/>
      <c r="AAC81" s="21"/>
      <c r="AAD81" s="20"/>
      <c r="AAE81" s="20"/>
      <c r="AAF81" s="20"/>
      <c r="AAG81" s="20"/>
      <c r="AAH81" s="21"/>
      <c r="AAI81" s="21"/>
      <c r="AAJ81" s="7"/>
      <c r="AAK81" s="7"/>
      <c r="AAL81" s="21"/>
      <c r="AAM81" s="20"/>
      <c r="AAN81" s="20"/>
      <c r="AAO81" s="20"/>
      <c r="AAP81" s="21"/>
      <c r="AAQ81" s="21"/>
      <c r="AAR81" s="21"/>
      <c r="AAS81" s="21"/>
      <c r="AAT81" s="21"/>
      <c r="AAU81" s="20"/>
      <c r="AAV81" s="20"/>
      <c r="AAW81" s="20"/>
      <c r="AAX81" s="20"/>
      <c r="AAY81" s="21"/>
      <c r="AAZ81" s="21"/>
      <c r="ABA81" s="7"/>
      <c r="ABB81" s="7"/>
      <c r="ABC81" s="21"/>
      <c r="ABD81" s="20"/>
      <c r="ABE81" s="20"/>
      <c r="ABF81" s="20"/>
      <c r="ABG81" s="21"/>
      <c r="ABH81" s="21"/>
      <c r="ABI81" s="21"/>
      <c r="ABJ81" s="21"/>
      <c r="ABK81" s="21"/>
      <c r="ABL81" s="20"/>
      <c r="ABM81" s="20"/>
      <c r="ABN81" s="20"/>
      <c r="ABO81" s="20"/>
      <c r="ABP81" s="21"/>
      <c r="ABQ81" s="21"/>
      <c r="ABR81" s="7"/>
      <c r="ABS81" s="7"/>
      <c r="ABT81" s="21"/>
      <c r="ABU81" s="20"/>
      <c r="ABV81" s="20"/>
      <c r="ABW81" s="20"/>
      <c r="ABX81" s="21"/>
      <c r="ABY81" s="21"/>
      <c r="ABZ81" s="21"/>
      <c r="ACA81" s="21"/>
      <c r="ACB81" s="21"/>
      <c r="ACC81" s="20"/>
      <c r="ACD81" s="20"/>
      <c r="ACE81" s="20"/>
      <c r="ACF81" s="20"/>
      <c r="ACG81" s="21"/>
      <c r="ACH81" s="21"/>
      <c r="ACI81" s="7"/>
      <c r="ACJ81" s="7"/>
      <c r="ACK81" s="21"/>
      <c r="ACL81" s="20"/>
      <c r="ACM81" s="20"/>
      <c r="ACN81" s="20"/>
      <c r="ACO81" s="21"/>
      <c r="ACP81" s="21"/>
      <c r="ACQ81" s="21"/>
      <c r="ACR81" s="21"/>
      <c r="ACS81" s="21"/>
      <c r="ACT81" s="20"/>
      <c r="ACU81" s="20"/>
      <c r="ACV81" s="20"/>
      <c r="ACW81" s="20"/>
      <c r="ACX81" s="21"/>
      <c r="ACY81" s="21"/>
      <c r="ACZ81" s="7"/>
      <c r="ADA81" s="7"/>
      <c r="ADB81" s="21"/>
      <c r="ADC81" s="20"/>
      <c r="ADD81" s="20"/>
      <c r="ADE81" s="20"/>
      <c r="ADF81" s="21"/>
      <c r="ADG81" s="21"/>
      <c r="ADH81" s="21"/>
      <c r="ADI81" s="21"/>
      <c r="ADJ81" s="21"/>
      <c r="ADK81" s="20"/>
      <c r="ADL81" s="20"/>
      <c r="ADM81" s="20"/>
      <c r="ADN81" s="20"/>
      <c r="ADO81" s="21"/>
      <c r="ADP81" s="21"/>
      <c r="ADQ81" s="7"/>
      <c r="ADR81" s="7"/>
      <c r="ADS81" s="21"/>
      <c r="ADT81" s="20"/>
      <c r="ADU81" s="20"/>
      <c r="ADV81" s="20"/>
      <c r="ADW81" s="21"/>
      <c r="ADX81" s="21"/>
      <c r="ADY81" s="21"/>
      <c r="ADZ81" s="21"/>
      <c r="AEA81" s="21"/>
      <c r="AEB81" s="20"/>
      <c r="AEC81" s="20"/>
      <c r="AED81" s="20"/>
      <c r="AEE81" s="20"/>
      <c r="AEF81" s="21"/>
      <c r="AEG81" s="21"/>
      <c r="AEH81" s="7"/>
      <c r="AEI81" s="7"/>
      <c r="AEJ81" s="21"/>
      <c r="AEK81" s="20"/>
      <c r="AEL81" s="20"/>
      <c r="AEM81" s="20"/>
      <c r="AEN81" s="21"/>
      <c r="AEO81" s="21"/>
      <c r="AEP81" s="21"/>
      <c r="AEQ81" s="21"/>
      <c r="AER81" s="21"/>
      <c r="AES81" s="20"/>
      <c r="AET81" s="20"/>
      <c r="AEU81" s="20"/>
      <c r="AEV81" s="20"/>
      <c r="AEW81" s="21"/>
      <c r="AEX81" s="21"/>
      <c r="AEY81" s="7"/>
      <c r="AEZ81" s="7"/>
      <c r="AFA81" s="21"/>
      <c r="AFB81" s="20"/>
      <c r="AFC81" s="20"/>
      <c r="AFD81" s="20"/>
      <c r="AFE81" s="21"/>
      <c r="AFF81" s="21"/>
      <c r="AFG81" s="21"/>
      <c r="AFH81" s="21"/>
      <c r="AFI81" s="21"/>
      <c r="AFJ81" s="20"/>
      <c r="AFK81" s="20"/>
      <c r="AFL81" s="20"/>
      <c r="AFM81" s="20"/>
      <c r="AFN81" s="21"/>
      <c r="AFO81" s="21"/>
      <c r="AFP81" s="7"/>
      <c r="AFQ81" s="7"/>
      <c r="AFR81" s="21"/>
      <c r="AFS81" s="20"/>
      <c r="AFT81" s="20"/>
      <c r="AFU81" s="20"/>
      <c r="AFV81" s="21"/>
      <c r="AFW81" s="21"/>
      <c r="AFX81" s="21"/>
      <c r="AFY81" s="21"/>
      <c r="AFZ81" s="21"/>
      <c r="AGA81" s="20"/>
      <c r="AGB81" s="20"/>
      <c r="AGC81" s="20"/>
      <c r="AGD81" s="20"/>
      <c r="AGE81" s="21"/>
      <c r="AGF81" s="21"/>
      <c r="AGG81" s="7"/>
      <c r="AGH81" s="7"/>
      <c r="AGI81" s="21"/>
      <c r="AGJ81" s="20"/>
      <c r="AGK81" s="20"/>
      <c r="AGL81" s="20"/>
      <c r="AGM81" s="21"/>
      <c r="AGN81" s="21"/>
      <c r="AGO81" s="21"/>
      <c r="AGP81" s="21"/>
      <c r="AGQ81" s="21"/>
      <c r="AGR81" s="20"/>
      <c r="AGS81" s="20"/>
      <c r="AGT81" s="20"/>
      <c r="AGU81" s="20"/>
      <c r="AGV81" s="21"/>
      <c r="AGW81" s="21"/>
      <c r="AGX81" s="7"/>
      <c r="AGY81" s="7"/>
      <c r="AGZ81" s="21"/>
      <c r="AHA81" s="20"/>
      <c r="AHB81" s="20"/>
      <c r="AHC81" s="20"/>
      <c r="AHD81" s="21"/>
      <c r="AHE81" s="21"/>
      <c r="AHF81" s="21"/>
      <c r="AHG81" s="21"/>
      <c r="AHH81" s="21"/>
      <c r="AHI81" s="20"/>
      <c r="AHJ81" s="20"/>
      <c r="AHK81" s="20"/>
      <c r="AHL81" s="20"/>
      <c r="AHM81" s="21"/>
      <c r="AHN81" s="21"/>
      <c r="AHO81" s="7"/>
      <c r="AHP81" s="7"/>
      <c r="AHQ81" s="21"/>
      <c r="AHR81" s="20"/>
      <c r="AHS81" s="20"/>
      <c r="AHT81" s="20"/>
      <c r="AHU81" s="21"/>
      <c r="AHV81" s="21"/>
      <c r="AHW81" s="21"/>
      <c r="AHX81" s="21"/>
      <c r="AHY81" s="21"/>
      <c r="AHZ81" s="20"/>
      <c r="AIA81" s="20"/>
      <c r="AIB81" s="20"/>
      <c r="AIC81" s="20"/>
      <c r="AID81" s="21"/>
      <c r="AIE81" s="21"/>
      <c r="AIF81" s="7"/>
      <c r="AIG81" s="7"/>
      <c r="AIH81" s="21"/>
      <c r="AII81" s="20"/>
      <c r="AIJ81" s="20"/>
      <c r="AIK81" s="20"/>
      <c r="AIL81" s="21"/>
      <c r="AIM81" s="21"/>
      <c r="AIN81" s="21"/>
      <c r="AIO81" s="21"/>
      <c r="AIP81" s="21"/>
      <c r="AIQ81" s="20"/>
      <c r="AIR81" s="20"/>
      <c r="AIS81" s="20"/>
      <c r="AIT81" s="20"/>
      <c r="AIU81" s="21"/>
      <c r="AIV81" s="21"/>
      <c r="AIW81" s="7"/>
      <c r="AIX81" s="7"/>
      <c r="AIY81" s="21"/>
      <c r="AIZ81" s="20"/>
      <c r="AJA81" s="20"/>
      <c r="AJB81" s="20"/>
      <c r="AJC81" s="21"/>
      <c r="AJD81" s="21"/>
      <c r="AJE81" s="21"/>
      <c r="AJF81" s="21"/>
      <c r="AJG81" s="21"/>
      <c r="AJH81" s="20"/>
      <c r="AJI81" s="20"/>
      <c r="AJJ81" s="20"/>
      <c r="AJK81" s="20"/>
      <c r="AJL81" s="21"/>
      <c r="AJM81" s="21"/>
      <c r="AJN81" s="7"/>
      <c r="AJO81" s="7"/>
      <c r="AJP81" s="21"/>
      <c r="AJQ81" s="20"/>
      <c r="AJR81" s="20"/>
      <c r="AJS81" s="20"/>
      <c r="AJT81" s="21"/>
      <c r="AJU81" s="21"/>
      <c r="AJV81" s="21"/>
      <c r="AJW81" s="21"/>
      <c r="AJX81" s="21"/>
      <c r="AJY81" s="20"/>
      <c r="AJZ81" s="20"/>
      <c r="AKA81" s="20"/>
      <c r="AKB81" s="20"/>
      <c r="AKC81" s="21"/>
      <c r="AKD81" s="21"/>
      <c r="AKE81" s="7"/>
      <c r="AKF81" s="7"/>
      <c r="AKG81" s="21"/>
      <c r="AKH81" s="20"/>
      <c r="AKI81" s="20"/>
      <c r="AKJ81" s="20"/>
      <c r="AKK81" s="21"/>
      <c r="AKL81" s="21"/>
      <c r="AKM81" s="21"/>
      <c r="AKN81" s="21"/>
      <c r="AKO81" s="21"/>
      <c r="AKP81" s="20"/>
      <c r="AKQ81" s="20"/>
      <c r="AKR81" s="20"/>
      <c r="AKS81" s="20"/>
      <c r="AKT81" s="21"/>
      <c r="AKU81" s="21"/>
      <c r="AKV81" s="7"/>
      <c r="AKW81" s="7"/>
      <c r="AKX81" s="21"/>
      <c r="AKY81" s="20"/>
      <c r="AKZ81" s="20"/>
      <c r="ALA81" s="20"/>
      <c r="ALB81" s="21"/>
      <c r="ALC81" s="21"/>
      <c r="ALD81" s="21"/>
      <c r="ALE81" s="21"/>
      <c r="ALF81" s="21"/>
      <c r="ALG81" s="20"/>
      <c r="ALH81" s="20"/>
      <c r="ALI81" s="20"/>
      <c r="ALJ81" s="20"/>
      <c r="ALK81" s="21"/>
      <c r="ALL81" s="21"/>
      <c r="ALM81" s="7"/>
      <c r="ALN81" s="7"/>
      <c r="ALO81" s="21"/>
      <c r="ALP81" s="20"/>
      <c r="ALQ81" s="20"/>
      <c r="ALR81" s="20"/>
      <c r="ALS81" s="21"/>
      <c r="ALT81" s="21"/>
      <c r="ALU81" s="21"/>
      <c r="ALV81" s="21"/>
      <c r="ALW81" s="21"/>
      <c r="ALX81" s="20"/>
      <c r="ALY81" s="20"/>
      <c r="ALZ81" s="20"/>
      <c r="AMA81" s="20"/>
      <c r="AMB81" s="21"/>
      <c r="AMC81" s="21"/>
      <c r="AMD81" s="7"/>
      <c r="AME81" s="7"/>
      <c r="AMF81" s="21"/>
      <c r="AMG81" s="20"/>
      <c r="AMH81" s="20"/>
      <c r="AMI81" s="20"/>
      <c r="AMJ81" s="21"/>
      <c r="AMK81" s="21"/>
      <c r="AML81" s="21"/>
      <c r="AMM81" s="21"/>
      <c r="AMN81" s="21"/>
      <c r="AMO81" s="20"/>
      <c r="AMP81" s="20"/>
      <c r="AMQ81" s="20"/>
      <c r="AMR81" s="20"/>
      <c r="AMS81" s="21"/>
      <c r="AMT81" s="21"/>
      <c r="AMU81" s="7"/>
      <c r="AMV81" s="7"/>
      <c r="AMW81" s="21"/>
      <c r="AMX81" s="20"/>
      <c r="AMY81" s="20"/>
      <c r="AMZ81" s="20"/>
      <c r="ANA81" s="21"/>
      <c r="ANB81" s="21"/>
      <c r="ANC81" s="21"/>
      <c r="AND81" s="21"/>
      <c r="ANE81" s="21"/>
      <c r="ANF81" s="20"/>
      <c r="ANG81" s="20"/>
      <c r="ANH81" s="20"/>
      <c r="ANI81" s="20"/>
      <c r="ANJ81" s="21"/>
      <c r="ANK81" s="21"/>
      <c r="ANL81" s="7"/>
      <c r="ANM81" s="7"/>
      <c r="ANN81" s="21"/>
      <c r="ANO81" s="20"/>
      <c r="ANP81" s="20"/>
      <c r="ANQ81" s="20"/>
      <c r="ANR81" s="21"/>
      <c r="ANS81" s="21"/>
      <c r="ANT81" s="21"/>
      <c r="ANU81" s="21"/>
      <c r="ANV81" s="21"/>
      <c r="ANW81" s="20"/>
      <c r="ANX81" s="20"/>
      <c r="ANY81" s="20"/>
      <c r="ANZ81" s="20"/>
      <c r="AOA81" s="21"/>
      <c r="AOB81" s="21"/>
      <c r="AOC81" s="7"/>
      <c r="AOD81" s="7"/>
      <c r="AOE81" s="21"/>
      <c r="AOF81" s="20"/>
      <c r="AOG81" s="20"/>
      <c r="AOH81" s="20"/>
      <c r="AOI81" s="21"/>
      <c r="AOJ81" s="21"/>
      <c r="AOK81" s="21"/>
      <c r="AOL81" s="21"/>
      <c r="AOM81" s="21"/>
      <c r="AON81" s="20"/>
      <c r="AOO81" s="20"/>
      <c r="AOP81" s="20"/>
      <c r="AOQ81" s="20"/>
      <c r="AOR81" s="21"/>
      <c r="AOS81" s="21"/>
      <c r="AOT81" s="7"/>
      <c r="AOU81" s="7"/>
      <c r="AOV81" s="21"/>
      <c r="AOW81" s="20"/>
      <c r="AOX81" s="20"/>
      <c r="AOY81" s="20"/>
      <c r="AOZ81" s="21"/>
      <c r="APA81" s="21"/>
      <c r="APB81" s="21"/>
      <c r="APC81" s="21"/>
      <c r="APD81" s="21"/>
      <c r="APE81" s="20"/>
      <c r="APF81" s="20"/>
      <c r="APG81" s="20"/>
      <c r="APH81" s="20"/>
      <c r="API81" s="21"/>
      <c r="APJ81" s="21"/>
      <c r="APK81" s="7"/>
      <c r="APL81" s="7"/>
      <c r="APM81" s="21"/>
      <c r="APN81" s="20"/>
      <c r="APO81" s="20"/>
      <c r="APP81" s="20"/>
      <c r="APQ81" s="21"/>
      <c r="APR81" s="21"/>
      <c r="APS81" s="21"/>
      <c r="APT81" s="21"/>
      <c r="APU81" s="21"/>
      <c r="APV81" s="20"/>
      <c r="APW81" s="20"/>
      <c r="APX81" s="20"/>
      <c r="APY81" s="20"/>
      <c r="APZ81" s="21"/>
      <c r="AQA81" s="21"/>
      <c r="AQB81" s="7"/>
      <c r="AQC81" s="7"/>
      <c r="AQD81" s="21"/>
      <c r="AQE81" s="20"/>
      <c r="AQF81" s="20"/>
      <c r="AQG81" s="20"/>
      <c r="AQH81" s="21"/>
      <c r="AQI81" s="21"/>
      <c r="AQJ81" s="21"/>
      <c r="AQK81" s="21"/>
      <c r="AQL81" s="21"/>
      <c r="AQM81" s="20"/>
      <c r="AQN81" s="20"/>
      <c r="AQO81" s="20"/>
      <c r="AQP81" s="20"/>
      <c r="AQQ81" s="21"/>
      <c r="AQR81" s="21"/>
      <c r="AQS81" s="7"/>
      <c r="AQT81" s="7"/>
      <c r="AQU81" s="21"/>
      <c r="AQV81" s="20"/>
      <c r="AQW81" s="20"/>
      <c r="AQX81" s="20"/>
      <c r="AQY81" s="21"/>
      <c r="AQZ81" s="21"/>
      <c r="ARA81" s="21"/>
      <c r="ARB81" s="21"/>
      <c r="ARC81" s="21"/>
      <c r="ARD81" s="20"/>
      <c r="ARE81" s="20"/>
      <c r="ARF81" s="20"/>
      <c r="ARG81" s="20"/>
      <c r="ARH81" s="21"/>
      <c r="ARI81" s="21"/>
      <c r="ARJ81" s="7"/>
      <c r="ARK81" s="7"/>
      <c r="ARL81" s="21"/>
      <c r="ARM81" s="20"/>
      <c r="ARN81" s="20"/>
      <c r="ARO81" s="20"/>
      <c r="ARP81" s="21"/>
      <c r="ARQ81" s="21"/>
      <c r="ARR81" s="21"/>
      <c r="ARS81" s="21"/>
      <c r="ART81" s="21"/>
      <c r="ARU81" s="20"/>
      <c r="ARV81" s="20"/>
      <c r="ARW81" s="20"/>
      <c r="ARX81" s="20"/>
      <c r="ARY81" s="21"/>
      <c r="ARZ81" s="21"/>
      <c r="ASA81" s="7"/>
      <c r="ASB81" s="7"/>
      <c r="ASC81" s="21"/>
      <c r="ASD81" s="20"/>
      <c r="ASE81" s="20"/>
      <c r="ASF81" s="20"/>
      <c r="ASG81" s="21"/>
      <c r="ASH81" s="21"/>
      <c r="ASI81" s="21"/>
      <c r="ASJ81" s="21"/>
      <c r="ASK81" s="21"/>
      <c r="ASL81" s="20"/>
      <c r="ASM81" s="20"/>
      <c r="ASN81" s="20"/>
      <c r="ASO81" s="20"/>
      <c r="ASP81" s="21"/>
      <c r="ASQ81" s="21"/>
      <c r="ASR81" s="7"/>
      <c r="ASS81" s="7"/>
      <c r="AST81" s="21"/>
      <c r="ASU81" s="20"/>
      <c r="ASV81" s="20"/>
      <c r="ASW81" s="20"/>
      <c r="ASX81" s="21"/>
      <c r="ASY81" s="21"/>
      <c r="ASZ81" s="21"/>
      <c r="ATA81" s="21"/>
      <c r="ATB81" s="21"/>
      <c r="ATC81" s="20"/>
      <c r="ATD81" s="20"/>
      <c r="ATE81" s="20"/>
      <c r="ATF81" s="20"/>
      <c r="ATG81" s="21"/>
      <c r="ATH81" s="21"/>
      <c r="ATI81" s="7"/>
      <c r="ATJ81" s="7"/>
      <c r="ATK81" s="21"/>
      <c r="ATL81" s="20"/>
      <c r="ATM81" s="20"/>
      <c r="ATN81" s="20"/>
      <c r="ATO81" s="21"/>
      <c r="ATP81" s="21"/>
      <c r="ATQ81" s="21"/>
      <c r="ATR81" s="21"/>
      <c r="ATS81" s="21"/>
      <c r="ATT81" s="20"/>
      <c r="ATU81" s="20"/>
      <c r="ATV81" s="20"/>
      <c r="ATW81" s="20"/>
      <c r="ATX81" s="21"/>
      <c r="ATY81" s="21"/>
      <c r="ATZ81" s="7"/>
      <c r="AUA81" s="7"/>
      <c r="AUB81" s="21"/>
      <c r="AUC81" s="20"/>
      <c r="AUD81" s="20"/>
      <c r="AUE81" s="20"/>
      <c r="AUF81" s="21"/>
      <c r="AUG81" s="21"/>
      <c r="AUH81" s="21"/>
      <c r="AUI81" s="21"/>
      <c r="AUJ81" s="21"/>
      <c r="AUK81" s="20"/>
      <c r="AUL81" s="20"/>
      <c r="AUM81" s="20"/>
      <c r="AUN81" s="20"/>
      <c r="AUO81" s="21"/>
      <c r="AUP81" s="21"/>
      <c r="AUQ81" s="7"/>
      <c r="AUR81" s="7"/>
      <c r="AUS81" s="21"/>
      <c r="AUT81" s="20"/>
      <c r="AUU81" s="20"/>
      <c r="AUV81" s="20"/>
      <c r="AUW81" s="21"/>
      <c r="AUX81" s="21"/>
      <c r="AUY81" s="21"/>
      <c r="AUZ81" s="21"/>
      <c r="AVA81" s="21"/>
      <c r="AVB81" s="20"/>
      <c r="AVC81" s="20"/>
      <c r="AVD81" s="20"/>
      <c r="AVE81" s="20"/>
      <c r="AVF81" s="21"/>
      <c r="AVG81" s="21"/>
      <c r="AVH81" s="7"/>
      <c r="AVI81" s="7"/>
      <c r="AVJ81" s="21"/>
      <c r="AVK81" s="20"/>
      <c r="AVL81" s="20"/>
      <c r="AVM81" s="20"/>
      <c r="AVN81" s="21"/>
      <c r="AVO81" s="21"/>
      <c r="AVP81" s="21"/>
      <c r="AVQ81" s="21"/>
      <c r="AVR81" s="21"/>
      <c r="AVS81" s="20"/>
      <c r="AVT81" s="20"/>
      <c r="AVU81" s="20"/>
      <c r="AVV81" s="20"/>
      <c r="AVW81" s="21"/>
      <c r="AVX81" s="21"/>
      <c r="AVY81" s="7"/>
      <c r="AVZ81" s="7"/>
      <c r="AWA81" s="21"/>
      <c r="AWB81" s="20"/>
      <c r="AWC81" s="20"/>
      <c r="AWD81" s="20"/>
      <c r="AWE81" s="21"/>
      <c r="AWF81" s="21"/>
      <c r="AWG81" s="21"/>
      <c r="AWH81" s="21"/>
      <c r="AWI81" s="21"/>
      <c r="AWJ81" s="20"/>
      <c r="AWK81" s="20"/>
      <c r="AWL81" s="20"/>
      <c r="AWM81" s="20"/>
      <c r="AWN81" s="21"/>
      <c r="AWO81" s="21"/>
      <c r="AWP81" s="7"/>
      <c r="AWQ81" s="7"/>
      <c r="AWR81" s="21"/>
      <c r="AWS81" s="20"/>
      <c r="AWT81" s="20"/>
      <c r="AWU81" s="20"/>
      <c r="AWV81" s="21"/>
      <c r="AWW81" s="21"/>
      <c r="AWX81" s="21"/>
      <c r="AWY81" s="21"/>
      <c r="AWZ81" s="21"/>
      <c r="AXA81" s="20"/>
      <c r="AXB81" s="20"/>
      <c r="AXC81" s="20"/>
      <c r="AXD81" s="20"/>
      <c r="AXE81" s="21"/>
      <c r="AXF81" s="21"/>
      <c r="AXG81" s="7"/>
      <c r="AXH81" s="7"/>
      <c r="AXI81" s="21"/>
      <c r="AXJ81" s="20"/>
      <c r="AXK81" s="20"/>
      <c r="AXL81" s="20"/>
      <c r="AXM81" s="21"/>
      <c r="AXN81" s="21"/>
      <c r="AXO81" s="21"/>
      <c r="AXP81" s="21"/>
      <c r="AXQ81" s="21"/>
      <c r="AXR81" s="20"/>
      <c r="AXS81" s="20"/>
      <c r="AXT81" s="20"/>
      <c r="AXU81" s="20"/>
      <c r="AXV81" s="21"/>
      <c r="AXW81" s="21"/>
      <c r="AXX81" s="7"/>
      <c r="AXY81" s="7"/>
      <c r="AXZ81" s="21"/>
      <c r="AYA81" s="20"/>
      <c r="AYB81" s="20"/>
      <c r="AYC81" s="20"/>
      <c r="AYD81" s="21"/>
      <c r="AYE81" s="21"/>
      <c r="AYF81" s="21"/>
      <c r="AYG81" s="21"/>
      <c r="AYH81" s="21"/>
      <c r="AYI81" s="20"/>
      <c r="AYJ81" s="20"/>
      <c r="AYK81" s="20"/>
      <c r="AYL81" s="20"/>
      <c r="AYM81" s="21"/>
      <c r="AYN81" s="21"/>
      <c r="AYO81" s="7"/>
      <c r="AYP81" s="7"/>
      <c r="AYQ81" s="21"/>
      <c r="AYR81" s="20"/>
      <c r="AYS81" s="20"/>
      <c r="AYT81" s="20"/>
      <c r="AYU81" s="21"/>
      <c r="AYV81" s="21"/>
      <c r="AYW81" s="21"/>
      <c r="AYX81" s="21"/>
      <c r="AYY81" s="21"/>
      <c r="AYZ81" s="20"/>
      <c r="AZA81" s="20"/>
      <c r="AZB81" s="20"/>
      <c r="AZC81" s="20"/>
      <c r="AZD81" s="21"/>
      <c r="AZE81" s="21"/>
      <c r="AZF81" s="7"/>
      <c r="AZG81" s="7"/>
      <c r="AZH81" s="21"/>
      <c r="AZI81" s="20"/>
      <c r="AZJ81" s="20"/>
      <c r="AZK81" s="20"/>
      <c r="AZL81" s="21"/>
      <c r="AZM81" s="21"/>
      <c r="AZN81" s="21"/>
      <c r="AZO81" s="21"/>
      <c r="AZP81" s="21"/>
      <c r="AZQ81" s="20"/>
      <c r="AZR81" s="20"/>
      <c r="AZS81" s="20"/>
      <c r="AZT81" s="20"/>
      <c r="AZU81" s="21"/>
      <c r="AZV81" s="21"/>
      <c r="AZW81" s="7"/>
      <c r="AZX81" s="7"/>
      <c r="AZY81" s="21"/>
      <c r="AZZ81" s="20"/>
      <c r="BAA81" s="20"/>
      <c r="BAB81" s="20"/>
      <c r="BAC81" s="21"/>
      <c r="BAD81" s="21"/>
      <c r="BAE81" s="21"/>
      <c r="BAF81" s="21"/>
      <c r="BAG81" s="21"/>
      <c r="BAH81" s="20"/>
      <c r="BAI81" s="20"/>
      <c r="BAJ81" s="20"/>
      <c r="BAK81" s="20"/>
      <c r="BAL81" s="21"/>
      <c r="BAM81" s="21"/>
      <c r="BAN81" s="7"/>
      <c r="BAO81" s="7"/>
      <c r="BAP81" s="21"/>
      <c r="BAQ81" s="20"/>
      <c r="BAR81" s="20"/>
      <c r="BAS81" s="20"/>
      <c r="BAT81" s="21"/>
      <c r="BAU81" s="21"/>
      <c r="BAV81" s="21"/>
      <c r="BAW81" s="21"/>
      <c r="BAX81" s="21"/>
      <c r="BAY81" s="20"/>
      <c r="BAZ81" s="20"/>
      <c r="BBA81" s="20"/>
      <c r="BBB81" s="20"/>
      <c r="BBC81" s="21"/>
      <c r="BBD81" s="21"/>
      <c r="BBE81" s="7"/>
      <c r="BBF81" s="7"/>
      <c r="BBG81" s="21"/>
      <c r="BBH81" s="20"/>
      <c r="BBI81" s="20"/>
      <c r="BBJ81" s="20"/>
      <c r="BBK81" s="21"/>
      <c r="BBL81" s="21"/>
      <c r="BBM81" s="21"/>
      <c r="BBN81" s="21"/>
      <c r="BBO81" s="21"/>
      <c r="BBP81" s="20"/>
      <c r="BBQ81" s="20"/>
      <c r="BBR81" s="20"/>
      <c r="BBS81" s="20"/>
      <c r="BBT81" s="21"/>
      <c r="BBU81" s="21"/>
      <c r="BBV81" s="7"/>
      <c r="BBW81" s="7"/>
      <c r="BBX81" s="21"/>
      <c r="BBY81" s="20"/>
      <c r="BBZ81" s="20"/>
      <c r="BCA81" s="20"/>
      <c r="BCB81" s="21"/>
      <c r="BCC81" s="21"/>
      <c r="BCD81" s="21"/>
      <c r="BCE81" s="21"/>
      <c r="BCF81" s="21"/>
      <c r="BCG81" s="20"/>
      <c r="BCH81" s="20"/>
      <c r="BCI81" s="20"/>
      <c r="BCJ81" s="20"/>
      <c r="BCK81" s="21"/>
      <c r="BCL81" s="21"/>
      <c r="BCM81" s="7"/>
      <c r="BCN81" s="7"/>
      <c r="BCO81" s="21"/>
      <c r="BCP81" s="20"/>
      <c r="BCQ81" s="20"/>
      <c r="BCR81" s="20"/>
      <c r="BCS81" s="21"/>
      <c r="BCT81" s="21"/>
      <c r="BCU81" s="21"/>
      <c r="BCV81" s="21"/>
      <c r="BCW81" s="21"/>
      <c r="BCX81" s="20"/>
      <c r="BCY81" s="20"/>
      <c r="BCZ81" s="20"/>
      <c r="BDA81" s="20"/>
      <c r="BDB81" s="21"/>
      <c r="BDC81" s="21"/>
      <c r="BDD81" s="7"/>
      <c r="BDE81" s="7"/>
      <c r="BDF81" s="21"/>
      <c r="BDG81" s="20"/>
      <c r="BDH81" s="20"/>
      <c r="BDI81" s="20"/>
      <c r="BDJ81" s="21"/>
      <c r="BDK81" s="21"/>
      <c r="BDL81" s="21"/>
      <c r="BDM81" s="21"/>
      <c r="BDN81" s="21"/>
      <c r="BDO81" s="20"/>
      <c r="BDP81" s="20"/>
      <c r="BDQ81" s="20"/>
      <c r="BDR81" s="20"/>
      <c r="BDS81" s="21"/>
      <c r="BDT81" s="21"/>
      <c r="BDU81" s="7"/>
      <c r="BDV81" s="7"/>
      <c r="BDW81" s="21"/>
      <c r="BDX81" s="20"/>
      <c r="BDY81" s="20"/>
      <c r="BDZ81" s="20"/>
      <c r="BEA81" s="21"/>
      <c r="BEB81" s="21"/>
      <c r="BEC81" s="21"/>
      <c r="BED81" s="21"/>
      <c r="BEE81" s="21"/>
      <c r="BEF81" s="20"/>
      <c r="BEG81" s="20"/>
      <c r="BEH81" s="20"/>
      <c r="BEI81" s="20"/>
      <c r="BEJ81" s="21"/>
      <c r="BEK81" s="21"/>
      <c r="BEL81" s="7"/>
      <c r="BEM81" s="7"/>
      <c r="BEN81" s="21"/>
      <c r="BEO81" s="20"/>
      <c r="BEP81" s="20"/>
      <c r="BEQ81" s="20"/>
      <c r="BER81" s="21"/>
      <c r="BES81" s="21"/>
      <c r="BET81" s="21"/>
      <c r="BEU81" s="21"/>
      <c r="BEV81" s="21"/>
      <c r="BEW81" s="20"/>
      <c r="BEX81" s="20"/>
      <c r="BEY81" s="20"/>
      <c r="BEZ81" s="20"/>
      <c r="BFA81" s="21"/>
      <c r="BFB81" s="21"/>
      <c r="BFC81" s="7"/>
      <c r="BFD81" s="7"/>
      <c r="BFE81" s="21"/>
      <c r="BFF81" s="20"/>
      <c r="BFG81" s="20"/>
      <c r="BFH81" s="20"/>
      <c r="BFI81" s="21"/>
      <c r="BFJ81" s="21"/>
      <c r="BFK81" s="21"/>
      <c r="BFL81" s="21"/>
      <c r="BFM81" s="21"/>
      <c r="BFN81" s="20"/>
      <c r="BFO81" s="20"/>
      <c r="BFP81" s="20"/>
      <c r="BFQ81" s="20"/>
      <c r="BFR81" s="21"/>
      <c r="BFS81" s="21"/>
      <c r="BFT81" s="7"/>
      <c r="BFU81" s="7"/>
      <c r="BFV81" s="21"/>
      <c r="BFW81" s="20"/>
      <c r="BFX81" s="20"/>
      <c r="BFY81" s="20"/>
      <c r="BFZ81" s="21"/>
      <c r="BGA81" s="21"/>
      <c r="BGB81" s="21"/>
      <c r="BGC81" s="21"/>
      <c r="BGD81" s="21"/>
      <c r="BGE81" s="20"/>
      <c r="BGF81" s="20"/>
      <c r="BGG81" s="20"/>
      <c r="BGH81" s="20"/>
      <c r="BGI81" s="21"/>
      <c r="BGJ81" s="21"/>
      <c r="BGK81" s="7"/>
      <c r="BGL81" s="7"/>
      <c r="BGM81" s="21"/>
      <c r="BGN81" s="20"/>
      <c r="BGO81" s="20"/>
      <c r="BGP81" s="20"/>
      <c r="BGQ81" s="21"/>
      <c r="BGR81" s="21"/>
      <c r="BGS81" s="21"/>
      <c r="BGT81" s="21"/>
      <c r="BGU81" s="21"/>
      <c r="BGV81" s="20"/>
      <c r="BGW81" s="20"/>
      <c r="BGX81" s="20"/>
      <c r="BGY81" s="20"/>
      <c r="BGZ81" s="21"/>
      <c r="BHA81" s="21"/>
      <c r="BHB81" s="7"/>
      <c r="BHC81" s="7"/>
      <c r="BHD81" s="21"/>
      <c r="BHE81" s="20"/>
      <c r="BHF81" s="20"/>
      <c r="BHG81" s="20"/>
      <c r="BHH81" s="21"/>
      <c r="BHI81" s="21"/>
      <c r="BHJ81" s="21"/>
      <c r="BHK81" s="21"/>
      <c r="BHL81" s="21"/>
      <c r="BHM81" s="20"/>
      <c r="BHN81" s="20"/>
      <c r="BHO81" s="20"/>
      <c r="BHP81" s="20"/>
      <c r="BHQ81" s="21"/>
      <c r="BHR81" s="21"/>
      <c r="BHS81" s="7"/>
      <c r="BHT81" s="7"/>
      <c r="BHU81" s="21"/>
      <c r="BHV81" s="20"/>
      <c r="BHW81" s="20"/>
      <c r="BHX81" s="20"/>
      <c r="BHY81" s="21"/>
      <c r="BHZ81" s="21"/>
      <c r="BIA81" s="21"/>
      <c r="BIB81" s="21"/>
      <c r="BIC81" s="21"/>
      <c r="BID81" s="20"/>
      <c r="BIE81" s="20"/>
      <c r="BIF81" s="20"/>
      <c r="BIG81" s="20"/>
      <c r="BIH81" s="21"/>
      <c r="BII81" s="21"/>
      <c r="BIJ81" s="7"/>
      <c r="BIK81" s="7"/>
      <c r="BIL81" s="21"/>
      <c r="BIM81" s="20"/>
      <c r="BIN81" s="20"/>
      <c r="BIO81" s="20"/>
      <c r="BIP81" s="21"/>
      <c r="BIQ81" s="21"/>
      <c r="BIR81" s="21"/>
      <c r="BIS81" s="21"/>
      <c r="BIT81" s="21"/>
      <c r="BIU81" s="20"/>
      <c r="BIV81" s="20"/>
      <c r="BIW81" s="20"/>
      <c r="BIX81" s="20"/>
      <c r="BIY81" s="21"/>
      <c r="BIZ81" s="21"/>
      <c r="BJA81" s="7"/>
      <c r="BJB81" s="7"/>
      <c r="BJC81" s="21"/>
      <c r="BJD81" s="20"/>
      <c r="BJE81" s="20"/>
      <c r="BJF81" s="20"/>
      <c r="BJG81" s="21"/>
      <c r="BJH81" s="21"/>
      <c r="BJI81" s="21"/>
      <c r="BJJ81" s="21"/>
      <c r="BJK81" s="21"/>
      <c r="BJL81" s="20"/>
      <c r="BJM81" s="20"/>
      <c r="BJN81" s="20"/>
      <c r="BJO81" s="20"/>
      <c r="BJP81" s="21"/>
      <c r="BJQ81" s="21"/>
      <c r="BJR81" s="7"/>
      <c r="BJS81" s="7"/>
      <c r="BJT81" s="21"/>
      <c r="BJU81" s="20"/>
      <c r="BJV81" s="20"/>
      <c r="BJW81" s="20"/>
      <c r="BJX81" s="21"/>
      <c r="BJY81" s="21"/>
      <c r="BJZ81" s="21"/>
      <c r="BKA81" s="21"/>
      <c r="BKB81" s="21"/>
      <c r="BKC81" s="20"/>
      <c r="BKD81" s="20"/>
      <c r="BKE81" s="20"/>
      <c r="BKF81" s="20"/>
      <c r="BKG81" s="21"/>
      <c r="BKH81" s="21"/>
      <c r="BKI81" s="7"/>
      <c r="BKJ81" s="7"/>
      <c r="BKK81" s="21"/>
      <c r="BKL81" s="20"/>
      <c r="BKM81" s="20"/>
      <c r="BKN81" s="20"/>
      <c r="BKO81" s="21"/>
      <c r="BKP81" s="21"/>
      <c r="BKQ81" s="21"/>
      <c r="BKR81" s="21"/>
      <c r="BKS81" s="21"/>
      <c r="BKT81" s="20"/>
      <c r="BKU81" s="20"/>
      <c r="BKV81" s="20"/>
      <c r="BKW81" s="20"/>
      <c r="BKX81" s="21"/>
      <c r="BKY81" s="21"/>
      <c r="BKZ81" s="7"/>
      <c r="BLA81" s="7"/>
      <c r="BLB81" s="21"/>
      <c r="BLC81" s="20"/>
      <c r="BLD81" s="20"/>
      <c r="BLE81" s="20"/>
      <c r="BLF81" s="21"/>
      <c r="BLG81" s="21"/>
      <c r="BLH81" s="21"/>
      <c r="BLI81" s="21"/>
      <c r="BLJ81" s="21"/>
      <c r="BLK81" s="20"/>
      <c r="BLL81" s="20"/>
      <c r="BLM81" s="20"/>
      <c r="BLN81" s="20"/>
      <c r="BLO81" s="21"/>
      <c r="BLP81" s="21"/>
      <c r="BLQ81" s="7"/>
      <c r="BLR81" s="7"/>
      <c r="BLS81" s="21"/>
      <c r="BLT81" s="20"/>
      <c r="BLU81" s="20"/>
      <c r="BLV81" s="20"/>
      <c r="BLW81" s="21"/>
      <c r="BLX81" s="21"/>
      <c r="BLY81" s="21"/>
      <c r="BLZ81" s="21"/>
      <c r="BMA81" s="21"/>
      <c r="BMB81" s="20"/>
      <c r="BMC81" s="20"/>
      <c r="BMD81" s="20"/>
      <c r="BME81" s="20"/>
      <c r="BMF81" s="21"/>
      <c r="BMG81" s="21"/>
      <c r="BMH81" s="7"/>
      <c r="BMI81" s="7"/>
      <c r="BMJ81" s="21"/>
      <c r="BMK81" s="20"/>
      <c r="BML81" s="20"/>
      <c r="BMM81" s="20"/>
      <c r="BMN81" s="21"/>
      <c r="BMO81" s="21"/>
      <c r="BMP81" s="21"/>
      <c r="BMQ81" s="21"/>
      <c r="BMR81" s="21"/>
      <c r="BMS81" s="20"/>
      <c r="BMT81" s="20"/>
      <c r="BMU81" s="20"/>
      <c r="BMV81" s="20"/>
      <c r="BMW81" s="21"/>
      <c r="BMX81" s="21"/>
      <c r="BMY81" s="7"/>
      <c r="BMZ81" s="7"/>
      <c r="BNA81" s="21"/>
      <c r="BNB81" s="20"/>
      <c r="BNC81" s="20"/>
      <c r="BND81" s="20"/>
      <c r="BNE81" s="21"/>
      <c r="BNF81" s="21"/>
      <c r="BNG81" s="21"/>
      <c r="BNH81" s="21"/>
      <c r="BNI81" s="21"/>
      <c r="BNJ81" s="20"/>
      <c r="BNK81" s="20"/>
      <c r="BNL81" s="20"/>
      <c r="BNM81" s="20"/>
      <c r="BNN81" s="21"/>
      <c r="BNO81" s="21"/>
      <c r="BNP81" s="7"/>
      <c r="BNQ81" s="7"/>
      <c r="BNR81" s="21"/>
      <c r="BNS81" s="20"/>
      <c r="BNT81" s="20"/>
      <c r="BNU81" s="20"/>
      <c r="BNV81" s="21"/>
      <c r="BNW81" s="21"/>
      <c r="BNX81" s="21"/>
      <c r="BNY81" s="21"/>
      <c r="BNZ81" s="21"/>
      <c r="BOA81" s="20"/>
      <c r="BOB81" s="20"/>
      <c r="BOC81" s="20"/>
      <c r="BOD81" s="20"/>
      <c r="BOE81" s="21"/>
      <c r="BOF81" s="21"/>
      <c r="BOG81" s="7"/>
      <c r="BOH81" s="7"/>
      <c r="BOI81" s="21"/>
      <c r="BOJ81" s="20"/>
      <c r="BOK81" s="20"/>
      <c r="BOL81" s="20"/>
      <c r="BOM81" s="21"/>
      <c r="BON81" s="21"/>
      <c r="BOO81" s="21"/>
      <c r="BOP81" s="21"/>
      <c r="BOQ81" s="21"/>
      <c r="BOR81" s="20"/>
      <c r="BOS81" s="20"/>
      <c r="BOT81" s="20"/>
      <c r="BOU81" s="20"/>
      <c r="BOV81" s="21"/>
      <c r="BOW81" s="21"/>
      <c r="BOX81" s="7"/>
      <c r="BOY81" s="7"/>
      <c r="BOZ81" s="21"/>
      <c r="BPA81" s="20"/>
      <c r="BPB81" s="20"/>
      <c r="BPC81" s="20"/>
      <c r="BPD81" s="21"/>
      <c r="BPE81" s="21"/>
      <c r="BPF81" s="21"/>
      <c r="BPG81" s="21"/>
      <c r="BPH81" s="21"/>
      <c r="BPI81" s="20"/>
      <c r="BPJ81" s="20"/>
      <c r="BPK81" s="20"/>
      <c r="BPL81" s="20"/>
      <c r="BPM81" s="21"/>
      <c r="BPN81" s="21"/>
      <c r="BPO81" s="7"/>
      <c r="BPP81" s="7"/>
      <c r="BPQ81" s="21"/>
      <c r="BPR81" s="20"/>
      <c r="BPS81" s="20"/>
      <c r="BPT81" s="20"/>
      <c r="BPU81" s="21"/>
      <c r="BPV81" s="21"/>
      <c r="BPW81" s="21"/>
      <c r="BPX81" s="21"/>
      <c r="BPY81" s="21"/>
      <c r="BPZ81" s="20"/>
      <c r="BQA81" s="20"/>
      <c r="BQB81" s="20"/>
      <c r="BQC81" s="20"/>
      <c r="BQD81" s="21"/>
      <c r="BQE81" s="21"/>
      <c r="BQF81" s="7"/>
      <c r="BQG81" s="7"/>
      <c r="BQH81" s="21"/>
      <c r="BQI81" s="20"/>
      <c r="BQJ81" s="20"/>
      <c r="BQK81" s="20"/>
      <c r="BQL81" s="21"/>
      <c r="BQM81" s="21"/>
      <c r="BQN81" s="21"/>
      <c r="BQO81" s="21"/>
      <c r="BQP81" s="21"/>
      <c r="BQQ81" s="20"/>
      <c r="BQR81" s="20"/>
      <c r="BQS81" s="20"/>
      <c r="BQT81" s="20"/>
      <c r="BQU81" s="21"/>
      <c r="BQV81" s="21"/>
      <c r="BQW81" s="7"/>
      <c r="BQX81" s="7"/>
      <c r="BQY81" s="21"/>
      <c r="BQZ81" s="20"/>
      <c r="BRA81" s="20"/>
      <c r="BRB81" s="20"/>
      <c r="BRC81" s="21"/>
      <c r="BRD81" s="21"/>
      <c r="BRE81" s="21"/>
      <c r="BRF81" s="21"/>
      <c r="BRG81" s="21"/>
      <c r="BRH81" s="20"/>
      <c r="BRI81" s="20"/>
      <c r="BRJ81" s="20"/>
      <c r="BRK81" s="20"/>
      <c r="BRL81" s="21"/>
      <c r="BRM81" s="21"/>
      <c r="BRN81" s="7"/>
      <c r="BRO81" s="7"/>
      <c r="BRP81" s="21"/>
      <c r="BRQ81" s="20"/>
      <c r="BRR81" s="20"/>
      <c r="BRS81" s="20"/>
      <c r="BRT81" s="21"/>
      <c r="BRU81" s="21"/>
      <c r="BRV81" s="21"/>
      <c r="BRW81" s="21"/>
      <c r="BRX81" s="21"/>
      <c r="BRY81" s="20"/>
      <c r="BRZ81" s="20"/>
      <c r="BSA81" s="20"/>
      <c r="BSB81" s="20"/>
      <c r="BSC81" s="21"/>
      <c r="BSD81" s="21"/>
      <c r="BSE81" s="7"/>
      <c r="BSF81" s="7"/>
      <c r="BSG81" s="21"/>
      <c r="BSH81" s="20"/>
      <c r="BSI81" s="20"/>
      <c r="BSJ81" s="20"/>
      <c r="BSK81" s="21"/>
      <c r="BSL81" s="21"/>
      <c r="BSM81" s="21"/>
      <c r="BSN81" s="21"/>
      <c r="BSO81" s="21"/>
      <c r="BSP81" s="20"/>
      <c r="BSQ81" s="20"/>
      <c r="BSR81" s="20"/>
      <c r="BSS81" s="20"/>
      <c r="BST81" s="21"/>
      <c r="BSU81" s="21"/>
      <c r="BSV81" s="7"/>
      <c r="BSW81" s="7"/>
      <c r="BSX81" s="21"/>
      <c r="BSY81" s="20"/>
      <c r="BSZ81" s="20"/>
      <c r="BTA81" s="20"/>
      <c r="BTB81" s="21"/>
      <c r="BTC81" s="21"/>
      <c r="BTD81" s="21"/>
      <c r="BTE81" s="21"/>
      <c r="BTF81" s="21"/>
      <c r="BTG81" s="20"/>
      <c r="BTH81" s="20"/>
      <c r="BTI81" s="20"/>
      <c r="BTJ81" s="20"/>
      <c r="BTK81" s="21"/>
      <c r="BTL81" s="21"/>
      <c r="BTM81" s="7"/>
      <c r="BTN81" s="7"/>
      <c r="BTO81" s="21"/>
      <c r="BTP81" s="20"/>
      <c r="BTQ81" s="20"/>
      <c r="BTR81" s="20"/>
      <c r="BTS81" s="21"/>
      <c r="BTT81" s="21"/>
      <c r="BTU81" s="21"/>
      <c r="BTV81" s="21"/>
      <c r="BTW81" s="21"/>
      <c r="BTX81" s="20"/>
      <c r="BTY81" s="20"/>
      <c r="BTZ81" s="20"/>
      <c r="BUA81" s="20"/>
      <c r="BUB81" s="21"/>
      <c r="BUC81" s="21"/>
      <c r="BUD81" s="7"/>
      <c r="BUE81" s="7"/>
      <c r="BUF81" s="21"/>
      <c r="BUG81" s="20"/>
      <c r="BUH81" s="20"/>
      <c r="BUI81" s="20"/>
      <c r="BUJ81" s="21"/>
      <c r="BUK81" s="21"/>
      <c r="BUL81" s="21"/>
      <c r="BUM81" s="21"/>
      <c r="BUN81" s="21"/>
      <c r="BUO81" s="20"/>
      <c r="BUP81" s="20"/>
      <c r="BUQ81" s="20"/>
      <c r="BUR81" s="20"/>
      <c r="BUS81" s="21"/>
      <c r="BUT81" s="21"/>
      <c r="BUU81" s="7"/>
      <c r="BUV81" s="7"/>
      <c r="BUW81" s="21"/>
      <c r="BUX81" s="20"/>
      <c r="BUY81" s="20"/>
      <c r="BUZ81" s="20"/>
      <c r="BVA81" s="21"/>
      <c r="BVB81" s="21"/>
      <c r="BVC81" s="21"/>
      <c r="BVD81" s="21"/>
      <c r="BVE81" s="21"/>
      <c r="BVF81" s="20"/>
      <c r="BVG81" s="20"/>
      <c r="BVH81" s="20"/>
      <c r="BVI81" s="20"/>
      <c r="BVJ81" s="21"/>
      <c r="BVK81" s="21"/>
      <c r="BVL81" s="7"/>
      <c r="BVM81" s="7"/>
      <c r="BVN81" s="21"/>
      <c r="BVO81" s="20"/>
      <c r="BVP81" s="20"/>
      <c r="BVQ81" s="20"/>
      <c r="BVR81" s="21"/>
      <c r="BVS81" s="21"/>
      <c r="BVT81" s="21"/>
      <c r="BVU81" s="21"/>
      <c r="BVV81" s="21"/>
      <c r="BVW81" s="20"/>
      <c r="BVX81" s="20"/>
      <c r="BVY81" s="20"/>
      <c r="BVZ81" s="20"/>
      <c r="BWA81" s="21"/>
      <c r="BWB81" s="21"/>
      <c r="BWC81" s="7"/>
      <c r="BWD81" s="7"/>
      <c r="BWE81" s="21"/>
      <c r="BWF81" s="20"/>
      <c r="BWG81" s="20"/>
      <c r="BWH81" s="20"/>
      <c r="BWI81" s="21"/>
      <c r="BWJ81" s="21"/>
      <c r="BWK81" s="21"/>
      <c r="BWL81" s="21"/>
      <c r="BWM81" s="21"/>
      <c r="BWN81" s="20"/>
      <c r="BWO81" s="20"/>
      <c r="BWP81" s="20"/>
      <c r="BWQ81" s="20"/>
      <c r="BWR81" s="21"/>
      <c r="BWS81" s="21"/>
      <c r="BWT81" s="7"/>
      <c r="BWU81" s="7"/>
      <c r="BWV81" s="21"/>
      <c r="BWW81" s="20"/>
      <c r="BWX81" s="20"/>
      <c r="BWY81" s="20"/>
      <c r="BWZ81" s="21"/>
      <c r="BXA81" s="21"/>
      <c r="BXB81" s="21"/>
      <c r="BXC81" s="21"/>
      <c r="BXD81" s="21"/>
      <c r="BXE81" s="20"/>
      <c r="BXF81" s="20"/>
      <c r="BXG81" s="20"/>
      <c r="BXH81" s="20"/>
      <c r="BXI81" s="21"/>
      <c r="BXJ81" s="21"/>
      <c r="BXK81" s="7"/>
      <c r="BXL81" s="7"/>
      <c r="BXM81" s="21"/>
      <c r="BXN81" s="20"/>
      <c r="BXO81" s="20"/>
      <c r="BXP81" s="20"/>
      <c r="BXQ81" s="21"/>
      <c r="BXR81" s="21"/>
      <c r="BXS81" s="21"/>
      <c r="BXT81" s="21"/>
      <c r="BXU81" s="21"/>
      <c r="BXV81" s="20"/>
      <c r="BXW81" s="20"/>
      <c r="BXX81" s="20"/>
      <c r="BXY81" s="20"/>
      <c r="BXZ81" s="21"/>
      <c r="BYA81" s="21"/>
      <c r="BYB81" s="7"/>
      <c r="BYC81" s="7"/>
      <c r="BYD81" s="21"/>
      <c r="BYE81" s="20"/>
      <c r="BYF81" s="20"/>
      <c r="BYG81" s="20"/>
      <c r="BYH81" s="21"/>
      <c r="BYI81" s="21"/>
      <c r="BYJ81" s="21"/>
      <c r="BYK81" s="21"/>
      <c r="BYL81" s="21"/>
      <c r="BYM81" s="20"/>
      <c r="BYN81" s="20"/>
      <c r="BYO81" s="20"/>
      <c r="BYP81" s="20"/>
      <c r="BYQ81" s="21"/>
      <c r="BYR81" s="21"/>
      <c r="BYS81" s="7"/>
      <c r="BYT81" s="7"/>
      <c r="BYU81" s="21"/>
      <c r="BYV81" s="20"/>
      <c r="BYW81" s="20"/>
      <c r="BYX81" s="20"/>
      <c r="BYY81" s="21"/>
      <c r="BYZ81" s="21"/>
      <c r="BZA81" s="21"/>
      <c r="BZB81" s="21"/>
      <c r="BZC81" s="21"/>
      <c r="BZD81" s="20"/>
      <c r="BZE81" s="20"/>
      <c r="BZF81" s="20"/>
      <c r="BZG81" s="20"/>
      <c r="BZH81" s="21"/>
      <c r="BZI81" s="21"/>
      <c r="BZJ81" s="7"/>
      <c r="BZK81" s="7"/>
      <c r="BZL81" s="21"/>
      <c r="BZM81" s="20"/>
      <c r="BZN81" s="20"/>
      <c r="BZO81" s="20"/>
      <c r="BZP81" s="21"/>
      <c r="BZQ81" s="21"/>
      <c r="BZR81" s="21"/>
      <c r="BZS81" s="21"/>
      <c r="BZT81" s="21"/>
      <c r="BZU81" s="20"/>
      <c r="BZV81" s="20"/>
      <c r="BZW81" s="20"/>
      <c r="BZX81" s="20"/>
      <c r="BZY81" s="21"/>
      <c r="BZZ81" s="21"/>
      <c r="CAA81" s="7"/>
      <c r="CAB81" s="7"/>
      <c r="CAC81" s="21"/>
      <c r="CAD81" s="20"/>
      <c r="CAE81" s="20"/>
      <c r="CAF81" s="20"/>
      <c r="CAG81" s="21"/>
      <c r="CAH81" s="21"/>
      <c r="CAI81" s="21"/>
      <c r="CAJ81" s="21"/>
      <c r="CAK81" s="21"/>
      <c r="CAL81" s="20"/>
      <c r="CAM81" s="20"/>
      <c r="CAN81" s="20"/>
      <c r="CAO81" s="20"/>
      <c r="CAP81" s="21"/>
      <c r="CAQ81" s="21"/>
      <c r="CAR81" s="7"/>
      <c r="CAS81" s="7"/>
      <c r="CAT81" s="21"/>
      <c r="CAU81" s="20"/>
      <c r="CAV81" s="20"/>
      <c r="CAW81" s="20"/>
      <c r="CAX81" s="21"/>
      <c r="CAY81" s="21"/>
      <c r="CAZ81" s="21"/>
      <c r="CBA81" s="21"/>
      <c r="CBB81" s="21"/>
      <c r="CBC81" s="20"/>
      <c r="CBD81" s="20"/>
      <c r="CBE81" s="20"/>
      <c r="CBF81" s="20"/>
      <c r="CBG81" s="21"/>
      <c r="CBH81" s="21"/>
      <c r="CBI81" s="7"/>
      <c r="CBJ81" s="7"/>
      <c r="CBK81" s="21"/>
      <c r="CBL81" s="20"/>
      <c r="CBM81" s="20"/>
      <c r="CBN81" s="20"/>
      <c r="CBO81" s="21"/>
      <c r="CBP81" s="21"/>
      <c r="CBQ81" s="21"/>
      <c r="CBR81" s="21"/>
      <c r="CBS81" s="21"/>
      <c r="CBT81" s="20"/>
      <c r="CBU81" s="20"/>
      <c r="CBV81" s="20"/>
      <c r="CBW81" s="20"/>
      <c r="CBX81" s="21"/>
      <c r="CBY81" s="21"/>
      <c r="CBZ81" s="7"/>
      <c r="CCA81" s="7"/>
      <c r="CCB81" s="21"/>
      <c r="CCC81" s="20"/>
      <c r="CCD81" s="20"/>
      <c r="CCE81" s="20"/>
      <c r="CCF81" s="21"/>
      <c r="CCG81" s="21"/>
      <c r="CCH81" s="21"/>
      <c r="CCI81" s="21"/>
      <c r="CCJ81" s="21"/>
      <c r="CCK81" s="20"/>
      <c r="CCL81" s="20"/>
      <c r="CCM81" s="20"/>
      <c r="CCN81" s="20"/>
      <c r="CCO81" s="21"/>
      <c r="CCP81" s="21"/>
      <c r="CCQ81" s="7"/>
      <c r="CCR81" s="7"/>
      <c r="CCS81" s="21"/>
      <c r="CCT81" s="20"/>
      <c r="CCU81" s="20"/>
      <c r="CCV81" s="20"/>
      <c r="CCW81" s="21"/>
      <c r="CCX81" s="21"/>
      <c r="CCY81" s="21"/>
      <c r="CCZ81" s="21"/>
      <c r="CDA81" s="21"/>
      <c r="CDB81" s="20"/>
      <c r="CDC81" s="20"/>
      <c r="CDD81" s="20"/>
      <c r="CDE81" s="20"/>
      <c r="CDF81" s="21"/>
      <c r="CDG81" s="21"/>
      <c r="CDH81" s="7"/>
      <c r="CDI81" s="7"/>
      <c r="CDJ81" s="21"/>
      <c r="CDK81" s="20"/>
      <c r="CDL81" s="20"/>
      <c r="CDM81" s="20"/>
      <c r="CDN81" s="21"/>
      <c r="CDO81" s="21"/>
      <c r="CDP81" s="21"/>
      <c r="CDQ81" s="21"/>
      <c r="CDR81" s="21"/>
      <c r="CDS81" s="20"/>
      <c r="CDT81" s="20"/>
      <c r="CDU81" s="20"/>
      <c r="CDV81" s="20"/>
      <c r="CDW81" s="21"/>
      <c r="CDX81" s="21"/>
      <c r="CDY81" s="7"/>
      <c r="CDZ81" s="7"/>
      <c r="CEA81" s="21"/>
      <c r="CEB81" s="20"/>
      <c r="CEC81" s="20"/>
      <c r="CED81" s="20"/>
      <c r="CEE81" s="21"/>
      <c r="CEF81" s="21"/>
      <c r="CEG81" s="21"/>
      <c r="CEH81" s="21"/>
      <c r="CEI81" s="21"/>
      <c r="CEJ81" s="20"/>
      <c r="CEK81" s="20"/>
      <c r="CEL81" s="20"/>
      <c r="CEM81" s="20"/>
      <c r="CEN81" s="21"/>
      <c r="CEO81" s="21"/>
      <c r="CEP81" s="7"/>
      <c r="CEQ81" s="7"/>
      <c r="CER81" s="21"/>
      <c r="CES81" s="20"/>
      <c r="CET81" s="20"/>
      <c r="CEU81" s="20"/>
      <c r="CEV81" s="21"/>
      <c r="CEW81" s="21"/>
      <c r="CEX81" s="21"/>
      <c r="CEY81" s="21"/>
      <c r="CEZ81" s="21"/>
      <c r="CFA81" s="20"/>
      <c r="CFB81" s="20"/>
      <c r="CFC81" s="20"/>
      <c r="CFD81" s="20"/>
      <c r="CFE81" s="21"/>
      <c r="CFF81" s="21"/>
      <c r="CFG81" s="7"/>
      <c r="CFH81" s="7"/>
      <c r="CFI81" s="21"/>
      <c r="CFJ81" s="20"/>
      <c r="CFK81" s="20"/>
      <c r="CFL81" s="20"/>
      <c r="CFM81" s="21"/>
      <c r="CFN81" s="21"/>
      <c r="CFO81" s="21"/>
      <c r="CFP81" s="21"/>
      <c r="CFQ81" s="21"/>
      <c r="CFR81" s="20"/>
      <c r="CFS81" s="20"/>
      <c r="CFT81" s="20"/>
      <c r="CFU81" s="20"/>
      <c r="CFV81" s="21"/>
      <c r="CFW81" s="21"/>
      <c r="CFX81" s="7"/>
      <c r="CFY81" s="7"/>
      <c r="CFZ81" s="21"/>
      <c r="CGA81" s="20"/>
      <c r="CGB81" s="20"/>
      <c r="CGC81" s="20"/>
      <c r="CGD81" s="21"/>
      <c r="CGE81" s="21"/>
      <c r="CGF81" s="21"/>
      <c r="CGG81" s="21"/>
      <c r="CGH81" s="21"/>
      <c r="CGI81" s="20"/>
      <c r="CGJ81" s="20"/>
      <c r="CGK81" s="20"/>
      <c r="CGL81" s="20"/>
      <c r="CGM81" s="21"/>
      <c r="CGN81" s="21"/>
      <c r="CGO81" s="7"/>
      <c r="CGP81" s="7"/>
      <c r="CGQ81" s="21"/>
      <c r="CGR81" s="20"/>
      <c r="CGS81" s="20"/>
      <c r="CGT81" s="20"/>
      <c r="CGU81" s="21"/>
      <c r="CGV81" s="21"/>
      <c r="CGW81" s="21"/>
      <c r="CGX81" s="21"/>
      <c r="CGY81" s="21"/>
      <c r="CGZ81" s="20"/>
      <c r="CHA81" s="20"/>
      <c r="CHB81" s="20"/>
      <c r="CHC81" s="20"/>
      <c r="CHD81" s="21"/>
      <c r="CHE81" s="21"/>
      <c r="CHF81" s="7"/>
      <c r="CHG81" s="7"/>
      <c r="CHH81" s="21"/>
      <c r="CHI81" s="20"/>
      <c r="CHJ81" s="20"/>
      <c r="CHK81" s="20"/>
      <c r="CHL81" s="21"/>
      <c r="CHM81" s="21"/>
      <c r="CHN81" s="21"/>
      <c r="CHO81" s="21"/>
      <c r="CHP81" s="21"/>
      <c r="CHQ81" s="20"/>
      <c r="CHR81" s="20"/>
      <c r="CHS81" s="20"/>
      <c r="CHT81" s="20"/>
      <c r="CHU81" s="21"/>
      <c r="CHV81" s="21"/>
      <c r="CHW81" s="7"/>
      <c r="CHX81" s="7"/>
      <c r="CHY81" s="21"/>
      <c r="CHZ81" s="20"/>
      <c r="CIA81" s="20"/>
      <c r="CIB81" s="20"/>
      <c r="CIC81" s="21"/>
      <c r="CID81" s="21"/>
      <c r="CIE81" s="21"/>
      <c r="CIF81" s="21"/>
      <c r="CIG81" s="21"/>
      <c r="CIH81" s="20"/>
      <c r="CII81" s="20"/>
      <c r="CIJ81" s="20"/>
      <c r="CIK81" s="20"/>
      <c r="CIL81" s="21"/>
      <c r="CIM81" s="21"/>
      <c r="CIN81" s="7"/>
      <c r="CIO81" s="7"/>
      <c r="CIP81" s="21"/>
      <c r="CIQ81" s="20"/>
      <c r="CIR81" s="20"/>
      <c r="CIS81" s="20"/>
      <c r="CIT81" s="21"/>
      <c r="CIU81" s="21"/>
      <c r="CIV81" s="21"/>
      <c r="CIW81" s="21"/>
      <c r="CIX81" s="21"/>
      <c r="CIY81" s="20"/>
      <c r="CIZ81" s="20"/>
      <c r="CJA81" s="20"/>
      <c r="CJB81" s="20"/>
      <c r="CJC81" s="21"/>
      <c r="CJD81" s="21"/>
      <c r="CJE81" s="7"/>
      <c r="CJF81" s="7"/>
      <c r="CJG81" s="21"/>
      <c r="CJH81" s="20"/>
      <c r="CJI81" s="20"/>
      <c r="CJJ81" s="20"/>
      <c r="CJK81" s="21"/>
      <c r="CJL81" s="21"/>
      <c r="CJM81" s="21"/>
      <c r="CJN81" s="21"/>
      <c r="CJO81" s="21"/>
      <c r="CJP81" s="20"/>
      <c r="CJQ81" s="20"/>
      <c r="CJR81" s="20"/>
      <c r="CJS81" s="20"/>
      <c r="CJT81" s="21"/>
      <c r="CJU81" s="21"/>
      <c r="CJV81" s="7"/>
      <c r="CJW81" s="7"/>
      <c r="CJX81" s="21"/>
      <c r="CJY81" s="20"/>
      <c r="CJZ81" s="20"/>
      <c r="CKA81" s="20"/>
      <c r="CKB81" s="21"/>
      <c r="CKC81" s="21"/>
      <c r="CKD81" s="21"/>
      <c r="CKE81" s="21"/>
      <c r="CKF81" s="21"/>
      <c r="CKG81" s="20"/>
      <c r="CKH81" s="20"/>
      <c r="CKI81" s="20"/>
      <c r="CKJ81" s="20"/>
      <c r="CKK81" s="21"/>
      <c r="CKL81" s="21"/>
      <c r="CKM81" s="7"/>
      <c r="CKN81" s="7"/>
      <c r="CKO81" s="21"/>
      <c r="CKP81" s="20"/>
      <c r="CKQ81" s="20"/>
      <c r="CKR81" s="20"/>
      <c r="CKS81" s="21"/>
      <c r="CKT81" s="21"/>
      <c r="CKU81" s="21"/>
      <c r="CKV81" s="21"/>
      <c r="CKW81" s="21"/>
      <c r="CKX81" s="20"/>
      <c r="CKY81" s="20"/>
      <c r="CKZ81" s="20"/>
      <c r="CLA81" s="20"/>
      <c r="CLB81" s="21"/>
      <c r="CLC81" s="21"/>
      <c r="CLD81" s="7"/>
      <c r="CLE81" s="7"/>
      <c r="CLF81" s="21"/>
      <c r="CLG81" s="20"/>
      <c r="CLH81" s="20"/>
      <c r="CLI81" s="20"/>
      <c r="CLJ81" s="21"/>
      <c r="CLK81" s="21"/>
      <c r="CLL81" s="21"/>
      <c r="CLM81" s="21"/>
      <c r="CLN81" s="21"/>
      <c r="CLO81" s="20"/>
      <c r="CLP81" s="20"/>
      <c r="CLQ81" s="20"/>
      <c r="CLR81" s="20"/>
      <c r="CLS81" s="21"/>
      <c r="CLT81" s="21"/>
      <c r="CLU81" s="7"/>
      <c r="CLV81" s="7"/>
      <c r="CLW81" s="21"/>
      <c r="CLX81" s="20"/>
      <c r="CLY81" s="20"/>
      <c r="CLZ81" s="20"/>
      <c r="CMA81" s="21"/>
      <c r="CMB81" s="21"/>
      <c r="CMC81" s="21"/>
      <c r="CMD81" s="21"/>
      <c r="CME81" s="21"/>
      <c r="CMF81" s="20"/>
      <c r="CMG81" s="20"/>
      <c r="CMH81" s="20"/>
      <c r="CMI81" s="20"/>
      <c r="CMJ81" s="21"/>
      <c r="CMK81" s="21"/>
      <c r="CML81" s="7"/>
      <c r="CMM81" s="7"/>
      <c r="CMN81" s="21"/>
      <c r="CMO81" s="20"/>
      <c r="CMP81" s="20"/>
      <c r="CMQ81" s="20"/>
      <c r="CMR81" s="21"/>
      <c r="CMS81" s="21"/>
      <c r="CMT81" s="21"/>
      <c r="CMU81" s="21"/>
      <c r="CMV81" s="21"/>
      <c r="CMW81" s="20"/>
      <c r="CMX81" s="20"/>
      <c r="CMY81" s="20"/>
      <c r="CMZ81" s="20"/>
      <c r="CNA81" s="21"/>
      <c r="CNB81" s="21"/>
      <c r="CNC81" s="7"/>
      <c r="CND81" s="7"/>
      <c r="CNE81" s="21"/>
      <c r="CNF81" s="20"/>
      <c r="CNG81" s="20"/>
      <c r="CNH81" s="20"/>
      <c r="CNI81" s="21"/>
      <c r="CNJ81" s="21"/>
      <c r="CNK81" s="21"/>
      <c r="CNL81" s="21"/>
      <c r="CNM81" s="21"/>
      <c r="CNN81" s="20"/>
      <c r="CNO81" s="20"/>
      <c r="CNP81" s="20"/>
      <c r="CNQ81" s="20"/>
      <c r="CNR81" s="21"/>
      <c r="CNS81" s="21"/>
      <c r="CNT81" s="7"/>
      <c r="CNU81" s="7"/>
      <c r="CNV81" s="21"/>
      <c r="CNW81" s="20"/>
      <c r="CNX81" s="20"/>
      <c r="CNY81" s="20"/>
      <c r="CNZ81" s="21"/>
      <c r="COA81" s="21"/>
      <c r="COB81" s="21"/>
      <c r="COC81" s="21"/>
      <c r="COD81" s="21"/>
      <c r="COE81" s="20"/>
      <c r="COF81" s="20"/>
      <c r="COG81" s="20"/>
      <c r="COH81" s="20"/>
      <c r="COI81" s="21"/>
      <c r="COJ81" s="21"/>
      <c r="COK81" s="7"/>
      <c r="COL81" s="7"/>
      <c r="COM81" s="21"/>
      <c r="CON81" s="20"/>
      <c r="COO81" s="20"/>
      <c r="COP81" s="20"/>
      <c r="COQ81" s="21"/>
      <c r="COR81" s="21"/>
      <c r="COS81" s="21"/>
      <c r="COT81" s="21"/>
      <c r="COU81" s="21"/>
      <c r="COV81" s="20"/>
      <c r="COW81" s="20"/>
      <c r="COX81" s="20"/>
      <c r="COY81" s="20"/>
      <c r="COZ81" s="21"/>
      <c r="CPA81" s="21"/>
      <c r="CPB81" s="7"/>
      <c r="CPC81" s="7"/>
      <c r="CPD81" s="21"/>
      <c r="CPE81" s="20"/>
      <c r="CPF81" s="20"/>
      <c r="CPG81" s="20"/>
      <c r="CPH81" s="21"/>
      <c r="CPI81" s="21"/>
      <c r="CPJ81" s="21"/>
      <c r="CPK81" s="21"/>
      <c r="CPL81" s="21"/>
      <c r="CPM81" s="20"/>
      <c r="CPN81" s="20"/>
      <c r="CPO81" s="20"/>
      <c r="CPP81" s="20"/>
      <c r="CPQ81" s="21"/>
      <c r="CPR81" s="21"/>
      <c r="CPS81" s="7"/>
      <c r="CPT81" s="7"/>
      <c r="CPU81" s="21"/>
      <c r="CPV81" s="20"/>
      <c r="CPW81" s="20"/>
      <c r="CPX81" s="20"/>
      <c r="CPY81" s="21"/>
      <c r="CPZ81" s="21"/>
      <c r="CQA81" s="21"/>
      <c r="CQB81" s="21"/>
      <c r="CQC81" s="21"/>
      <c r="CQD81" s="20"/>
      <c r="CQE81" s="20"/>
      <c r="CQF81" s="20"/>
      <c r="CQG81" s="20"/>
      <c r="CQH81" s="21"/>
      <c r="CQI81" s="21"/>
      <c r="CQJ81" s="7"/>
      <c r="CQK81" s="7"/>
      <c r="CQL81" s="21"/>
      <c r="CQM81" s="20"/>
      <c r="CQN81" s="20"/>
      <c r="CQO81" s="20"/>
      <c r="CQP81" s="21"/>
      <c r="CQQ81" s="21"/>
      <c r="CQR81" s="21"/>
      <c r="CQS81" s="21"/>
      <c r="CQT81" s="21"/>
      <c r="CQU81" s="20"/>
      <c r="CQV81" s="20"/>
      <c r="CQW81" s="20"/>
      <c r="CQX81" s="20"/>
      <c r="CQY81" s="21"/>
      <c r="CQZ81" s="21"/>
      <c r="CRA81" s="7"/>
      <c r="CRB81" s="7"/>
      <c r="CRC81" s="21"/>
      <c r="CRD81" s="20"/>
      <c r="CRE81" s="20"/>
      <c r="CRF81" s="20"/>
      <c r="CRG81" s="21"/>
      <c r="CRH81" s="21"/>
      <c r="CRI81" s="21"/>
      <c r="CRJ81" s="21"/>
      <c r="CRK81" s="21"/>
      <c r="CRL81" s="20"/>
      <c r="CRM81" s="20"/>
      <c r="CRN81" s="20"/>
      <c r="CRO81" s="20"/>
      <c r="CRP81" s="21"/>
      <c r="CRQ81" s="21"/>
      <c r="CRR81" s="7"/>
      <c r="CRS81" s="7"/>
      <c r="CRT81" s="21"/>
      <c r="CRU81" s="20"/>
      <c r="CRV81" s="20"/>
      <c r="CRW81" s="20"/>
      <c r="CRX81" s="21"/>
      <c r="CRY81" s="21"/>
      <c r="CRZ81" s="21"/>
      <c r="CSA81" s="21"/>
      <c r="CSB81" s="21"/>
      <c r="CSC81" s="20"/>
      <c r="CSD81" s="20"/>
      <c r="CSE81" s="20"/>
      <c r="CSF81" s="20"/>
      <c r="CSG81" s="21"/>
      <c r="CSH81" s="21"/>
      <c r="CSI81" s="7"/>
      <c r="CSJ81" s="7"/>
      <c r="CSK81" s="21"/>
      <c r="CSL81" s="20"/>
      <c r="CSM81" s="20"/>
      <c r="CSN81" s="20"/>
      <c r="CSO81" s="21"/>
      <c r="CSP81" s="21"/>
      <c r="CSQ81" s="21"/>
      <c r="CSR81" s="21"/>
      <c r="CSS81" s="21"/>
      <c r="CST81" s="20"/>
      <c r="CSU81" s="20"/>
      <c r="CSV81" s="20"/>
      <c r="CSW81" s="20"/>
      <c r="CSX81" s="21"/>
      <c r="CSY81" s="21"/>
      <c r="CSZ81" s="7"/>
      <c r="CTA81" s="7"/>
      <c r="CTB81" s="21"/>
      <c r="CTC81" s="20"/>
      <c r="CTD81" s="20"/>
      <c r="CTE81" s="20"/>
      <c r="CTF81" s="21"/>
      <c r="CTG81" s="21"/>
      <c r="CTH81" s="21"/>
      <c r="CTI81" s="21"/>
      <c r="CTJ81" s="21"/>
      <c r="CTK81" s="20"/>
      <c r="CTL81" s="20"/>
      <c r="CTM81" s="20"/>
      <c r="CTN81" s="20"/>
      <c r="CTO81" s="21"/>
      <c r="CTP81" s="21"/>
      <c r="CTQ81" s="7"/>
      <c r="CTR81" s="7"/>
      <c r="CTS81" s="21"/>
      <c r="CTT81" s="20"/>
      <c r="CTU81" s="20"/>
      <c r="CTV81" s="20"/>
      <c r="CTW81" s="21"/>
      <c r="CTX81" s="21"/>
      <c r="CTY81" s="21"/>
      <c r="CTZ81" s="21"/>
      <c r="CUA81" s="21"/>
      <c r="CUB81" s="20"/>
      <c r="CUC81" s="20"/>
      <c r="CUD81" s="20"/>
      <c r="CUE81" s="20"/>
      <c r="CUF81" s="21"/>
      <c r="CUG81" s="21"/>
      <c r="CUH81" s="7"/>
      <c r="CUI81" s="7"/>
      <c r="CUJ81" s="21"/>
      <c r="CUK81" s="20"/>
      <c r="CUL81" s="20"/>
      <c r="CUM81" s="20"/>
      <c r="CUN81" s="21"/>
      <c r="CUO81" s="21"/>
      <c r="CUP81" s="21"/>
      <c r="CUQ81" s="21"/>
      <c r="CUR81" s="21"/>
      <c r="CUS81" s="20"/>
      <c r="CUT81" s="20"/>
      <c r="CUU81" s="20"/>
      <c r="CUV81" s="20"/>
      <c r="CUW81" s="21"/>
      <c r="CUX81" s="21"/>
      <c r="CUY81" s="7"/>
      <c r="CUZ81" s="7"/>
      <c r="CVA81" s="21"/>
      <c r="CVB81" s="20"/>
      <c r="CVC81" s="20"/>
      <c r="CVD81" s="20"/>
      <c r="CVE81" s="21"/>
      <c r="CVF81" s="21"/>
      <c r="CVG81" s="21"/>
      <c r="CVH81" s="21"/>
      <c r="CVI81" s="21"/>
      <c r="CVJ81" s="20"/>
      <c r="CVK81" s="20"/>
      <c r="CVL81" s="20"/>
      <c r="CVM81" s="20"/>
      <c r="CVN81" s="21"/>
      <c r="CVO81" s="21"/>
      <c r="CVP81" s="7"/>
      <c r="CVQ81" s="7"/>
      <c r="CVR81" s="21"/>
      <c r="CVS81" s="20"/>
      <c r="CVT81" s="20"/>
      <c r="CVU81" s="20"/>
      <c r="CVV81" s="21"/>
      <c r="CVW81" s="21"/>
      <c r="CVX81" s="21"/>
      <c r="CVY81" s="21"/>
      <c r="CVZ81" s="21"/>
      <c r="CWA81" s="20"/>
      <c r="CWB81" s="20"/>
      <c r="CWC81" s="20"/>
      <c r="CWD81" s="20"/>
      <c r="CWE81" s="21"/>
      <c r="CWF81" s="21"/>
      <c r="CWG81" s="7"/>
      <c r="CWH81" s="7"/>
      <c r="CWI81" s="21"/>
      <c r="CWJ81" s="20"/>
      <c r="CWK81" s="20"/>
      <c r="CWL81" s="20"/>
      <c r="CWM81" s="21"/>
      <c r="CWN81" s="21"/>
      <c r="CWO81" s="21"/>
      <c r="CWP81" s="21"/>
      <c r="CWQ81" s="21"/>
      <c r="CWR81" s="20"/>
      <c r="CWS81" s="20"/>
      <c r="CWT81" s="20"/>
      <c r="CWU81" s="20"/>
      <c r="CWV81" s="21"/>
      <c r="CWW81" s="21"/>
      <c r="CWX81" s="7"/>
      <c r="CWY81" s="7"/>
      <c r="CWZ81" s="21"/>
      <c r="CXA81" s="20"/>
      <c r="CXB81" s="20"/>
      <c r="CXC81" s="20"/>
      <c r="CXD81" s="21"/>
      <c r="CXE81" s="21"/>
      <c r="CXF81" s="21"/>
      <c r="CXG81" s="21"/>
      <c r="CXH81" s="21"/>
      <c r="CXI81" s="20"/>
      <c r="CXJ81" s="20"/>
      <c r="CXK81" s="20"/>
      <c r="CXL81" s="20"/>
      <c r="CXM81" s="21"/>
      <c r="CXN81" s="21"/>
      <c r="CXO81" s="7"/>
      <c r="CXP81" s="7"/>
      <c r="CXQ81" s="21"/>
      <c r="CXR81" s="20"/>
      <c r="CXS81" s="20"/>
      <c r="CXT81" s="20"/>
      <c r="CXU81" s="21"/>
      <c r="CXV81" s="21"/>
      <c r="CXW81" s="21"/>
      <c r="CXX81" s="21"/>
      <c r="CXY81" s="21"/>
      <c r="CXZ81" s="20"/>
      <c r="CYA81" s="20"/>
      <c r="CYB81" s="20"/>
      <c r="CYC81" s="20"/>
      <c r="CYD81" s="21"/>
      <c r="CYE81" s="21"/>
      <c r="CYF81" s="7"/>
      <c r="CYG81" s="7"/>
      <c r="CYH81" s="21"/>
      <c r="CYI81" s="20"/>
      <c r="CYJ81" s="20"/>
      <c r="CYK81" s="20"/>
      <c r="CYL81" s="21"/>
      <c r="CYM81" s="21"/>
      <c r="CYN81" s="21"/>
      <c r="CYO81" s="21"/>
      <c r="CYP81" s="21"/>
      <c r="CYQ81" s="20"/>
      <c r="CYR81" s="20"/>
      <c r="CYS81" s="20"/>
      <c r="CYT81" s="20"/>
      <c r="CYU81" s="21"/>
      <c r="CYV81" s="21"/>
      <c r="CYW81" s="7"/>
      <c r="CYX81" s="7"/>
      <c r="CYY81" s="21"/>
      <c r="CYZ81" s="20"/>
      <c r="CZA81" s="20"/>
      <c r="CZB81" s="20"/>
      <c r="CZC81" s="21"/>
      <c r="CZD81" s="21"/>
      <c r="CZE81" s="21"/>
      <c r="CZF81" s="21"/>
      <c r="CZG81" s="21"/>
      <c r="CZH81" s="20"/>
      <c r="CZI81" s="20"/>
      <c r="CZJ81" s="20"/>
      <c r="CZK81" s="20"/>
      <c r="CZL81" s="21"/>
      <c r="CZM81" s="21"/>
      <c r="CZN81" s="7"/>
      <c r="CZO81" s="7"/>
      <c r="CZP81" s="21"/>
      <c r="CZQ81" s="20"/>
      <c r="CZR81" s="20"/>
      <c r="CZS81" s="20"/>
      <c r="CZT81" s="21"/>
      <c r="CZU81" s="21"/>
      <c r="CZV81" s="21"/>
      <c r="CZW81" s="21"/>
      <c r="CZX81" s="21"/>
      <c r="CZY81" s="20"/>
      <c r="CZZ81" s="20"/>
      <c r="DAA81" s="20"/>
      <c r="DAB81" s="20"/>
      <c r="DAC81" s="21"/>
      <c r="DAD81" s="21"/>
      <c r="DAE81" s="7"/>
      <c r="DAF81" s="7"/>
      <c r="DAG81" s="21"/>
      <c r="DAH81" s="20"/>
      <c r="DAI81" s="20"/>
      <c r="DAJ81" s="20"/>
      <c r="DAK81" s="21"/>
      <c r="DAL81" s="21"/>
      <c r="DAM81" s="21"/>
      <c r="DAN81" s="21"/>
      <c r="DAO81" s="21"/>
      <c r="DAP81" s="20"/>
      <c r="DAQ81" s="20"/>
      <c r="DAR81" s="20"/>
      <c r="DAS81" s="20"/>
      <c r="DAT81" s="21"/>
      <c r="DAU81" s="21"/>
      <c r="DAV81" s="7"/>
      <c r="DAW81" s="7"/>
      <c r="DAX81" s="21"/>
      <c r="DAY81" s="20"/>
      <c r="DAZ81" s="20"/>
      <c r="DBA81" s="20"/>
      <c r="DBB81" s="21"/>
      <c r="DBC81" s="21"/>
      <c r="DBD81" s="21"/>
      <c r="DBE81" s="21"/>
      <c r="DBF81" s="21"/>
      <c r="DBG81" s="20"/>
      <c r="DBH81" s="20"/>
      <c r="DBI81" s="20"/>
      <c r="DBJ81" s="20"/>
      <c r="DBK81" s="21"/>
      <c r="DBL81" s="21"/>
      <c r="DBM81" s="7"/>
      <c r="DBN81" s="7"/>
      <c r="DBO81" s="21"/>
      <c r="DBP81" s="20"/>
      <c r="DBQ81" s="20"/>
      <c r="DBR81" s="20"/>
      <c r="DBS81" s="21"/>
      <c r="DBT81" s="21"/>
      <c r="DBU81" s="21"/>
      <c r="DBV81" s="21"/>
      <c r="DBW81" s="21"/>
      <c r="DBX81" s="20"/>
      <c r="DBY81" s="20"/>
      <c r="DBZ81" s="20"/>
      <c r="DCA81" s="20"/>
      <c r="DCB81" s="21"/>
      <c r="DCC81" s="21"/>
      <c r="DCD81" s="7"/>
      <c r="DCE81" s="7"/>
      <c r="DCF81" s="21"/>
      <c r="DCG81" s="20"/>
      <c r="DCH81" s="20"/>
      <c r="DCI81" s="20"/>
      <c r="DCJ81" s="21"/>
      <c r="DCK81" s="21"/>
      <c r="DCL81" s="21"/>
      <c r="DCM81" s="21"/>
      <c r="DCN81" s="21"/>
      <c r="DCO81" s="20"/>
      <c r="DCP81" s="20"/>
      <c r="DCQ81" s="20"/>
      <c r="DCR81" s="20"/>
      <c r="DCS81" s="21"/>
      <c r="DCT81" s="21"/>
      <c r="DCU81" s="7"/>
      <c r="DCV81" s="7"/>
      <c r="DCW81" s="21"/>
      <c r="DCX81" s="20"/>
      <c r="DCY81" s="20"/>
      <c r="DCZ81" s="20"/>
      <c r="DDA81" s="21"/>
      <c r="DDB81" s="21"/>
      <c r="DDC81" s="21"/>
      <c r="DDD81" s="21"/>
      <c r="DDE81" s="21"/>
      <c r="DDF81" s="20"/>
      <c r="DDG81" s="20"/>
      <c r="DDH81" s="20"/>
      <c r="DDI81" s="20"/>
      <c r="DDJ81" s="21"/>
      <c r="DDK81" s="21"/>
      <c r="DDL81" s="7"/>
      <c r="DDM81" s="7"/>
      <c r="DDN81" s="21"/>
      <c r="DDO81" s="20"/>
      <c r="DDP81" s="20"/>
      <c r="DDQ81" s="20"/>
      <c r="DDR81" s="21"/>
      <c r="DDS81" s="21"/>
      <c r="DDT81" s="21"/>
      <c r="DDU81" s="21"/>
      <c r="DDV81" s="21"/>
      <c r="DDW81" s="20"/>
      <c r="DDX81" s="20"/>
      <c r="DDY81" s="20"/>
      <c r="DDZ81" s="20"/>
      <c r="DEA81" s="21"/>
      <c r="DEB81" s="21"/>
      <c r="DEC81" s="7"/>
      <c r="DED81" s="7"/>
      <c r="DEE81" s="21"/>
      <c r="DEF81" s="20"/>
      <c r="DEG81" s="20"/>
      <c r="DEH81" s="20"/>
      <c r="DEI81" s="21"/>
      <c r="DEJ81" s="21"/>
      <c r="DEK81" s="21"/>
      <c r="DEL81" s="21"/>
      <c r="DEM81" s="21"/>
      <c r="DEN81" s="20"/>
      <c r="DEO81" s="20"/>
      <c r="DEP81" s="20"/>
      <c r="DEQ81" s="20"/>
      <c r="DER81" s="21"/>
      <c r="DES81" s="21"/>
      <c r="DET81" s="7"/>
      <c r="DEU81" s="7"/>
      <c r="DEV81" s="21"/>
      <c r="DEW81" s="20"/>
      <c r="DEX81" s="20"/>
      <c r="DEY81" s="20"/>
      <c r="DEZ81" s="21"/>
      <c r="DFA81" s="21"/>
      <c r="DFB81" s="21"/>
      <c r="DFC81" s="21"/>
      <c r="DFD81" s="21"/>
      <c r="DFE81" s="20"/>
      <c r="DFF81" s="20"/>
      <c r="DFG81" s="20"/>
      <c r="DFH81" s="20"/>
      <c r="DFI81" s="21"/>
      <c r="DFJ81" s="21"/>
      <c r="DFK81" s="7"/>
      <c r="DFL81" s="7"/>
      <c r="DFM81" s="21"/>
      <c r="DFN81" s="20"/>
      <c r="DFO81" s="20"/>
      <c r="DFP81" s="20"/>
      <c r="DFQ81" s="21"/>
      <c r="DFR81" s="21"/>
      <c r="DFS81" s="21"/>
      <c r="DFT81" s="21"/>
      <c r="DFU81" s="21"/>
      <c r="DFV81" s="20"/>
      <c r="DFW81" s="20"/>
      <c r="DFX81" s="20"/>
      <c r="DFY81" s="20"/>
      <c r="DFZ81" s="21"/>
      <c r="DGA81" s="21"/>
      <c r="DGB81" s="7"/>
      <c r="DGC81" s="7"/>
      <c r="DGD81" s="21"/>
      <c r="DGE81" s="20"/>
      <c r="DGF81" s="20"/>
      <c r="DGG81" s="20"/>
      <c r="DGH81" s="21"/>
      <c r="DGI81" s="21"/>
      <c r="DGJ81" s="21"/>
      <c r="DGK81" s="21"/>
      <c r="DGL81" s="21"/>
      <c r="DGM81" s="20"/>
      <c r="DGN81" s="20"/>
      <c r="DGO81" s="20"/>
      <c r="DGP81" s="20"/>
      <c r="DGQ81" s="21"/>
      <c r="DGR81" s="21"/>
      <c r="DGS81" s="7"/>
      <c r="DGT81" s="7"/>
      <c r="DGU81" s="21"/>
      <c r="DGV81" s="20"/>
      <c r="DGW81" s="20"/>
      <c r="DGX81" s="20"/>
      <c r="DGY81" s="21"/>
      <c r="DGZ81" s="21"/>
      <c r="DHA81" s="21"/>
      <c r="DHB81" s="21"/>
      <c r="DHC81" s="21"/>
      <c r="DHD81" s="20"/>
      <c r="DHE81" s="20"/>
      <c r="DHF81" s="20"/>
      <c r="DHG81" s="20"/>
      <c r="DHH81" s="21"/>
      <c r="DHI81" s="21"/>
      <c r="DHJ81" s="7"/>
      <c r="DHK81" s="7"/>
      <c r="DHL81" s="21"/>
      <c r="DHM81" s="20"/>
      <c r="DHN81" s="20"/>
      <c r="DHO81" s="20"/>
      <c r="DHP81" s="21"/>
      <c r="DHQ81" s="21"/>
      <c r="DHR81" s="21"/>
      <c r="DHS81" s="21"/>
      <c r="DHT81" s="21"/>
      <c r="DHU81" s="20"/>
      <c r="DHV81" s="20"/>
      <c r="DHW81" s="20"/>
      <c r="DHX81" s="20"/>
      <c r="DHY81" s="21"/>
      <c r="DHZ81" s="21"/>
      <c r="DIA81" s="7"/>
      <c r="DIB81" s="7"/>
      <c r="DIC81" s="21"/>
      <c r="DID81" s="20"/>
      <c r="DIE81" s="20"/>
      <c r="DIF81" s="20"/>
      <c r="DIG81" s="21"/>
      <c r="DIH81" s="21"/>
      <c r="DII81" s="21"/>
      <c r="DIJ81" s="21"/>
      <c r="DIK81" s="21"/>
      <c r="DIL81" s="20"/>
      <c r="DIM81" s="20"/>
      <c r="DIN81" s="20"/>
      <c r="DIO81" s="20"/>
      <c r="DIP81" s="21"/>
      <c r="DIQ81" s="21"/>
      <c r="DIR81" s="7"/>
      <c r="DIS81" s="7"/>
      <c r="DIT81" s="21"/>
      <c r="DIU81" s="20"/>
      <c r="DIV81" s="20"/>
      <c r="DIW81" s="20"/>
      <c r="DIX81" s="21"/>
      <c r="DIY81" s="21"/>
      <c r="DIZ81" s="21"/>
      <c r="DJA81" s="21"/>
      <c r="DJB81" s="21"/>
      <c r="DJC81" s="20"/>
      <c r="DJD81" s="20"/>
      <c r="DJE81" s="20"/>
      <c r="DJF81" s="20"/>
      <c r="DJG81" s="21"/>
      <c r="DJH81" s="21"/>
      <c r="DJI81" s="7"/>
      <c r="DJJ81" s="7"/>
      <c r="DJK81" s="21"/>
      <c r="DJL81" s="20"/>
      <c r="DJM81" s="20"/>
      <c r="DJN81" s="20"/>
      <c r="DJO81" s="21"/>
      <c r="DJP81" s="21"/>
      <c r="DJQ81" s="21"/>
      <c r="DJR81" s="21"/>
      <c r="DJS81" s="21"/>
      <c r="DJT81" s="20"/>
      <c r="DJU81" s="20"/>
      <c r="DJV81" s="20"/>
      <c r="DJW81" s="20"/>
      <c r="DJX81" s="21"/>
      <c r="DJY81" s="21"/>
      <c r="DJZ81" s="7"/>
      <c r="DKA81" s="7"/>
      <c r="DKB81" s="21"/>
      <c r="DKC81" s="20"/>
      <c r="DKD81" s="20"/>
      <c r="DKE81" s="20"/>
      <c r="DKF81" s="21"/>
      <c r="DKG81" s="21"/>
      <c r="DKH81" s="21"/>
      <c r="DKI81" s="21"/>
      <c r="DKJ81" s="21"/>
      <c r="DKK81" s="20"/>
      <c r="DKL81" s="20"/>
      <c r="DKM81" s="20"/>
      <c r="DKN81" s="20"/>
      <c r="DKO81" s="21"/>
      <c r="DKP81" s="21"/>
      <c r="DKQ81" s="7"/>
      <c r="DKR81" s="7"/>
      <c r="DKS81" s="21"/>
      <c r="DKT81" s="20"/>
      <c r="DKU81" s="20"/>
      <c r="DKV81" s="20"/>
      <c r="DKW81" s="21"/>
      <c r="DKX81" s="21"/>
      <c r="DKY81" s="21"/>
      <c r="DKZ81" s="21"/>
      <c r="DLA81" s="21"/>
      <c r="DLB81" s="20"/>
      <c r="DLC81" s="20"/>
      <c r="DLD81" s="20"/>
      <c r="DLE81" s="20"/>
      <c r="DLF81" s="21"/>
      <c r="DLG81" s="21"/>
      <c r="DLH81" s="7"/>
      <c r="DLI81" s="7"/>
      <c r="DLJ81" s="21"/>
      <c r="DLK81" s="20"/>
      <c r="DLL81" s="20"/>
      <c r="DLM81" s="20"/>
      <c r="DLN81" s="21"/>
      <c r="DLO81" s="21"/>
      <c r="DLP81" s="21"/>
      <c r="DLQ81" s="21"/>
      <c r="DLR81" s="21"/>
      <c r="DLS81" s="20"/>
      <c r="DLT81" s="20"/>
      <c r="DLU81" s="20"/>
      <c r="DLV81" s="20"/>
      <c r="DLW81" s="21"/>
      <c r="DLX81" s="21"/>
      <c r="DLY81" s="7"/>
      <c r="DLZ81" s="7"/>
      <c r="DMA81" s="21"/>
      <c r="DMB81" s="20"/>
      <c r="DMC81" s="20"/>
      <c r="DMD81" s="20"/>
      <c r="DME81" s="21"/>
      <c r="DMF81" s="21"/>
      <c r="DMG81" s="21"/>
      <c r="DMH81" s="21"/>
      <c r="DMI81" s="21"/>
      <c r="DMJ81" s="20"/>
      <c r="DMK81" s="20"/>
      <c r="DML81" s="20"/>
      <c r="DMM81" s="20"/>
      <c r="DMN81" s="21"/>
      <c r="DMO81" s="21"/>
      <c r="DMP81" s="7"/>
      <c r="DMQ81" s="7"/>
      <c r="DMR81" s="21"/>
      <c r="DMS81" s="20"/>
      <c r="DMT81" s="20"/>
      <c r="DMU81" s="20"/>
      <c r="DMV81" s="21"/>
      <c r="DMW81" s="21"/>
      <c r="DMX81" s="21"/>
      <c r="DMY81" s="21"/>
      <c r="DMZ81" s="21"/>
      <c r="DNA81" s="20"/>
      <c r="DNB81" s="20"/>
      <c r="DNC81" s="20"/>
      <c r="DND81" s="20"/>
      <c r="DNE81" s="21"/>
      <c r="DNF81" s="21"/>
      <c r="DNG81" s="7"/>
      <c r="DNH81" s="7"/>
      <c r="DNI81" s="21"/>
      <c r="DNJ81" s="20"/>
      <c r="DNK81" s="20"/>
      <c r="DNL81" s="20"/>
      <c r="DNM81" s="21"/>
      <c r="DNN81" s="21"/>
      <c r="DNO81" s="21"/>
      <c r="DNP81" s="21"/>
      <c r="DNQ81" s="21"/>
      <c r="DNR81" s="20"/>
      <c r="DNS81" s="20"/>
      <c r="DNT81" s="20"/>
      <c r="DNU81" s="20"/>
      <c r="DNV81" s="21"/>
      <c r="DNW81" s="21"/>
      <c r="DNX81" s="7"/>
      <c r="DNY81" s="7"/>
      <c r="DNZ81" s="21"/>
      <c r="DOA81" s="20"/>
      <c r="DOB81" s="20"/>
      <c r="DOC81" s="20"/>
      <c r="DOD81" s="21"/>
      <c r="DOE81" s="21"/>
      <c r="DOF81" s="21"/>
      <c r="DOG81" s="21"/>
      <c r="DOH81" s="21"/>
      <c r="DOI81" s="20"/>
      <c r="DOJ81" s="20"/>
      <c r="DOK81" s="20"/>
      <c r="DOL81" s="20"/>
      <c r="DOM81" s="21"/>
      <c r="DON81" s="21"/>
      <c r="DOO81" s="7"/>
      <c r="DOP81" s="7"/>
      <c r="DOQ81" s="21"/>
      <c r="DOR81" s="20"/>
      <c r="DOS81" s="20"/>
      <c r="DOT81" s="20"/>
      <c r="DOU81" s="21"/>
      <c r="DOV81" s="21"/>
      <c r="DOW81" s="21"/>
      <c r="DOX81" s="21"/>
      <c r="DOY81" s="21"/>
      <c r="DOZ81" s="20"/>
      <c r="DPA81" s="20"/>
      <c r="DPB81" s="20"/>
      <c r="DPC81" s="20"/>
      <c r="DPD81" s="21"/>
      <c r="DPE81" s="21"/>
      <c r="DPF81" s="7"/>
      <c r="DPG81" s="7"/>
      <c r="DPH81" s="21"/>
      <c r="DPI81" s="20"/>
      <c r="DPJ81" s="20"/>
      <c r="DPK81" s="20"/>
      <c r="DPL81" s="21"/>
      <c r="DPM81" s="21"/>
      <c r="DPN81" s="21"/>
      <c r="DPO81" s="21"/>
      <c r="DPP81" s="21"/>
      <c r="DPQ81" s="20"/>
      <c r="DPR81" s="20"/>
      <c r="DPS81" s="20"/>
      <c r="DPT81" s="20"/>
      <c r="DPU81" s="21"/>
      <c r="DPV81" s="21"/>
      <c r="DPW81" s="7"/>
      <c r="DPX81" s="7"/>
      <c r="DPY81" s="21"/>
      <c r="DPZ81" s="20"/>
      <c r="DQA81" s="20"/>
      <c r="DQB81" s="20"/>
      <c r="DQC81" s="21"/>
      <c r="DQD81" s="21"/>
      <c r="DQE81" s="21"/>
      <c r="DQF81" s="21"/>
      <c r="DQG81" s="21"/>
      <c r="DQH81" s="20"/>
      <c r="DQI81" s="20"/>
      <c r="DQJ81" s="20"/>
      <c r="DQK81" s="20"/>
      <c r="DQL81" s="21"/>
      <c r="DQM81" s="21"/>
      <c r="DQN81" s="7"/>
      <c r="DQO81" s="7"/>
      <c r="DQP81" s="21"/>
      <c r="DQQ81" s="20"/>
      <c r="DQR81" s="20"/>
      <c r="DQS81" s="20"/>
      <c r="DQT81" s="21"/>
      <c r="DQU81" s="21"/>
      <c r="DQV81" s="21"/>
      <c r="DQW81" s="21"/>
      <c r="DQX81" s="21"/>
      <c r="DQY81" s="20"/>
      <c r="DQZ81" s="20"/>
      <c r="DRA81" s="20"/>
      <c r="DRB81" s="20"/>
      <c r="DRC81" s="21"/>
      <c r="DRD81" s="21"/>
      <c r="DRE81" s="7"/>
      <c r="DRF81" s="7"/>
      <c r="DRG81" s="21"/>
      <c r="DRH81" s="20"/>
      <c r="DRI81" s="20"/>
      <c r="DRJ81" s="20"/>
      <c r="DRK81" s="21"/>
      <c r="DRL81" s="21"/>
      <c r="DRM81" s="21"/>
      <c r="DRN81" s="21"/>
      <c r="DRO81" s="21"/>
      <c r="DRP81" s="20"/>
      <c r="DRQ81" s="20"/>
      <c r="DRR81" s="20"/>
      <c r="DRS81" s="20"/>
      <c r="DRT81" s="21"/>
      <c r="DRU81" s="21"/>
      <c r="DRV81" s="7"/>
      <c r="DRW81" s="7"/>
      <c r="DRX81" s="21"/>
      <c r="DRY81" s="20"/>
      <c r="DRZ81" s="20"/>
      <c r="DSA81" s="20"/>
      <c r="DSB81" s="21"/>
      <c r="DSC81" s="21"/>
      <c r="DSD81" s="21"/>
      <c r="DSE81" s="21"/>
      <c r="DSF81" s="21"/>
      <c r="DSG81" s="20"/>
      <c r="DSH81" s="20"/>
      <c r="DSI81" s="20"/>
      <c r="DSJ81" s="20"/>
      <c r="DSK81" s="21"/>
      <c r="DSL81" s="21"/>
      <c r="DSM81" s="7"/>
      <c r="DSN81" s="7"/>
      <c r="DSO81" s="21"/>
      <c r="DSP81" s="20"/>
      <c r="DSQ81" s="20"/>
      <c r="DSR81" s="20"/>
      <c r="DSS81" s="21"/>
      <c r="DST81" s="21"/>
      <c r="DSU81" s="21"/>
      <c r="DSV81" s="21"/>
      <c r="DSW81" s="21"/>
      <c r="DSX81" s="20"/>
      <c r="DSY81" s="20"/>
      <c r="DSZ81" s="20"/>
      <c r="DTA81" s="20"/>
      <c r="DTB81" s="21"/>
      <c r="DTC81" s="21"/>
      <c r="DTD81" s="7"/>
      <c r="DTE81" s="7"/>
      <c r="DTF81" s="21"/>
      <c r="DTG81" s="20"/>
      <c r="DTH81" s="20"/>
      <c r="DTI81" s="20"/>
      <c r="DTJ81" s="21"/>
      <c r="DTK81" s="21"/>
      <c r="DTL81" s="21"/>
      <c r="DTM81" s="21"/>
      <c r="DTN81" s="21"/>
      <c r="DTO81" s="20"/>
      <c r="DTP81" s="20"/>
      <c r="DTQ81" s="20"/>
      <c r="DTR81" s="20"/>
      <c r="DTS81" s="21"/>
      <c r="DTT81" s="21"/>
      <c r="DTU81" s="7"/>
      <c r="DTV81" s="7"/>
      <c r="DTW81" s="21"/>
      <c r="DTX81" s="20"/>
      <c r="DTY81" s="20"/>
      <c r="DTZ81" s="20"/>
      <c r="DUA81" s="21"/>
      <c r="DUB81" s="21"/>
      <c r="DUC81" s="21"/>
      <c r="DUD81" s="21"/>
      <c r="DUE81" s="21"/>
      <c r="DUF81" s="20"/>
      <c r="DUG81" s="20"/>
      <c r="DUH81" s="20"/>
      <c r="DUI81" s="20"/>
      <c r="DUJ81" s="21"/>
      <c r="DUK81" s="21"/>
      <c r="DUL81" s="7"/>
      <c r="DUM81" s="7"/>
      <c r="DUN81" s="21"/>
      <c r="DUO81" s="20"/>
      <c r="DUP81" s="20"/>
      <c r="DUQ81" s="20"/>
      <c r="DUR81" s="21"/>
      <c r="DUS81" s="21"/>
      <c r="DUT81" s="21"/>
      <c r="DUU81" s="21"/>
      <c r="DUV81" s="21"/>
      <c r="DUW81" s="20"/>
      <c r="DUX81" s="20"/>
      <c r="DUY81" s="20"/>
      <c r="DUZ81" s="20"/>
      <c r="DVA81" s="21"/>
      <c r="DVB81" s="21"/>
      <c r="DVC81" s="7"/>
      <c r="DVD81" s="7"/>
      <c r="DVE81" s="21"/>
      <c r="DVF81" s="20"/>
      <c r="DVG81" s="20"/>
      <c r="DVH81" s="20"/>
      <c r="DVI81" s="21"/>
      <c r="DVJ81" s="21"/>
      <c r="DVK81" s="21"/>
      <c r="DVL81" s="21"/>
      <c r="DVM81" s="21"/>
      <c r="DVN81" s="20"/>
      <c r="DVO81" s="20"/>
      <c r="DVP81" s="20"/>
      <c r="DVQ81" s="20"/>
      <c r="DVR81" s="21"/>
      <c r="DVS81" s="21"/>
      <c r="DVT81" s="7"/>
      <c r="DVU81" s="7"/>
      <c r="DVV81" s="21"/>
      <c r="DVW81" s="20"/>
      <c r="DVX81" s="20"/>
      <c r="DVY81" s="20"/>
      <c r="DVZ81" s="21"/>
      <c r="DWA81" s="21"/>
      <c r="DWB81" s="21"/>
      <c r="DWC81" s="21"/>
      <c r="DWD81" s="21"/>
      <c r="DWE81" s="20"/>
      <c r="DWF81" s="20"/>
      <c r="DWG81" s="20"/>
      <c r="DWH81" s="20"/>
      <c r="DWI81" s="21"/>
      <c r="DWJ81" s="21"/>
      <c r="DWK81" s="7"/>
      <c r="DWL81" s="7"/>
      <c r="DWM81" s="21"/>
      <c r="DWN81" s="20"/>
      <c r="DWO81" s="20"/>
      <c r="DWP81" s="20"/>
      <c r="DWQ81" s="21"/>
      <c r="DWR81" s="21"/>
      <c r="DWS81" s="21"/>
      <c r="DWT81" s="21"/>
      <c r="DWU81" s="21"/>
      <c r="DWV81" s="20"/>
      <c r="DWW81" s="20"/>
      <c r="DWX81" s="20"/>
      <c r="DWY81" s="20"/>
      <c r="DWZ81" s="21"/>
      <c r="DXA81" s="21"/>
      <c r="DXB81" s="7"/>
      <c r="DXC81" s="7"/>
      <c r="DXD81" s="21"/>
      <c r="DXE81" s="20"/>
      <c r="DXF81" s="20"/>
      <c r="DXG81" s="20"/>
      <c r="DXH81" s="21"/>
      <c r="DXI81" s="21"/>
      <c r="DXJ81" s="21"/>
      <c r="DXK81" s="21"/>
      <c r="DXL81" s="21"/>
      <c r="DXM81" s="20"/>
      <c r="DXN81" s="20"/>
      <c r="DXO81" s="20"/>
      <c r="DXP81" s="20"/>
      <c r="DXQ81" s="21"/>
      <c r="DXR81" s="21"/>
      <c r="DXS81" s="7"/>
      <c r="DXT81" s="7"/>
      <c r="DXU81" s="21"/>
      <c r="DXV81" s="20"/>
      <c r="DXW81" s="20"/>
      <c r="DXX81" s="20"/>
      <c r="DXY81" s="21"/>
      <c r="DXZ81" s="21"/>
      <c r="DYA81" s="21"/>
      <c r="DYB81" s="21"/>
      <c r="DYC81" s="21"/>
      <c r="DYD81" s="20"/>
      <c r="DYE81" s="20"/>
      <c r="DYF81" s="20"/>
      <c r="DYG81" s="20"/>
      <c r="DYH81" s="21"/>
      <c r="DYI81" s="21"/>
      <c r="DYJ81" s="7"/>
      <c r="DYK81" s="7"/>
      <c r="DYL81" s="21"/>
      <c r="DYM81" s="20"/>
      <c r="DYN81" s="20"/>
      <c r="DYO81" s="20"/>
      <c r="DYP81" s="21"/>
      <c r="DYQ81" s="21"/>
      <c r="DYR81" s="21"/>
      <c r="DYS81" s="21"/>
      <c r="DYT81" s="21"/>
      <c r="DYU81" s="20"/>
      <c r="DYV81" s="20"/>
      <c r="DYW81" s="20"/>
      <c r="DYX81" s="20"/>
      <c r="DYY81" s="21"/>
      <c r="DYZ81" s="21"/>
      <c r="DZA81" s="7"/>
      <c r="DZB81" s="7"/>
      <c r="DZC81" s="21"/>
      <c r="DZD81" s="20"/>
      <c r="DZE81" s="20"/>
      <c r="DZF81" s="20"/>
      <c r="DZG81" s="21"/>
      <c r="DZH81" s="21"/>
      <c r="DZI81" s="21"/>
      <c r="DZJ81" s="21"/>
      <c r="DZK81" s="21"/>
      <c r="DZL81" s="20"/>
      <c r="DZM81" s="20"/>
      <c r="DZN81" s="20"/>
      <c r="DZO81" s="20"/>
      <c r="DZP81" s="21"/>
      <c r="DZQ81" s="21"/>
      <c r="DZR81" s="7"/>
      <c r="DZS81" s="7"/>
      <c r="DZT81" s="21"/>
      <c r="DZU81" s="20"/>
      <c r="DZV81" s="20"/>
      <c r="DZW81" s="20"/>
      <c r="DZX81" s="21"/>
      <c r="DZY81" s="21"/>
      <c r="DZZ81" s="21"/>
      <c r="EAA81" s="21"/>
      <c r="EAB81" s="21"/>
      <c r="EAC81" s="20"/>
      <c r="EAD81" s="20"/>
      <c r="EAE81" s="20"/>
      <c r="EAF81" s="20"/>
      <c r="EAG81" s="21"/>
      <c r="EAH81" s="21"/>
      <c r="EAI81" s="7"/>
      <c r="EAJ81" s="7"/>
      <c r="EAK81" s="21"/>
      <c r="EAL81" s="20"/>
      <c r="EAM81" s="20"/>
      <c r="EAN81" s="20"/>
      <c r="EAO81" s="21"/>
      <c r="EAP81" s="21"/>
      <c r="EAQ81" s="21"/>
      <c r="EAR81" s="21"/>
      <c r="EAS81" s="21"/>
      <c r="EAT81" s="20"/>
      <c r="EAU81" s="20"/>
      <c r="EAV81" s="20"/>
      <c r="EAW81" s="20"/>
      <c r="EAX81" s="21"/>
      <c r="EAY81" s="21"/>
      <c r="EAZ81" s="7"/>
      <c r="EBA81" s="7"/>
      <c r="EBB81" s="21"/>
      <c r="EBC81" s="20"/>
      <c r="EBD81" s="20"/>
      <c r="EBE81" s="20"/>
      <c r="EBF81" s="21"/>
      <c r="EBG81" s="21"/>
      <c r="EBH81" s="21"/>
      <c r="EBI81" s="21"/>
      <c r="EBJ81" s="21"/>
      <c r="EBK81" s="20"/>
      <c r="EBL81" s="20"/>
      <c r="EBM81" s="20"/>
      <c r="EBN81" s="20"/>
      <c r="EBO81" s="21"/>
      <c r="EBP81" s="21"/>
      <c r="EBQ81" s="7"/>
      <c r="EBR81" s="7"/>
      <c r="EBS81" s="21"/>
      <c r="EBT81" s="20"/>
      <c r="EBU81" s="20"/>
      <c r="EBV81" s="20"/>
      <c r="EBW81" s="21"/>
      <c r="EBX81" s="21"/>
      <c r="EBY81" s="21"/>
      <c r="EBZ81" s="21"/>
      <c r="ECA81" s="21"/>
      <c r="ECB81" s="20"/>
      <c r="ECC81" s="20"/>
      <c r="ECD81" s="20"/>
      <c r="ECE81" s="20"/>
      <c r="ECF81" s="21"/>
      <c r="ECG81" s="21"/>
      <c r="ECH81" s="7"/>
      <c r="ECI81" s="7"/>
      <c r="ECJ81" s="21"/>
      <c r="ECK81" s="20"/>
      <c r="ECL81" s="20"/>
      <c r="ECM81" s="20"/>
      <c r="ECN81" s="21"/>
      <c r="ECO81" s="21"/>
      <c r="ECP81" s="21"/>
      <c r="ECQ81" s="21"/>
      <c r="ECR81" s="21"/>
      <c r="ECS81" s="20"/>
      <c r="ECT81" s="20"/>
      <c r="ECU81" s="20"/>
      <c r="ECV81" s="20"/>
      <c r="ECW81" s="21"/>
      <c r="ECX81" s="21"/>
      <c r="ECY81" s="7"/>
      <c r="ECZ81" s="7"/>
      <c r="EDA81" s="21"/>
      <c r="EDB81" s="20"/>
      <c r="EDC81" s="20"/>
      <c r="EDD81" s="20"/>
      <c r="EDE81" s="21"/>
      <c r="EDF81" s="21"/>
      <c r="EDG81" s="21"/>
      <c r="EDH81" s="21"/>
      <c r="EDI81" s="21"/>
      <c r="EDJ81" s="20"/>
      <c r="EDK81" s="20"/>
      <c r="EDL81" s="20"/>
      <c r="EDM81" s="20"/>
      <c r="EDN81" s="21"/>
      <c r="EDO81" s="21"/>
      <c r="EDP81" s="7"/>
      <c r="EDQ81" s="7"/>
      <c r="EDR81" s="21"/>
      <c r="EDS81" s="20"/>
      <c r="EDT81" s="20"/>
      <c r="EDU81" s="20"/>
      <c r="EDV81" s="21"/>
      <c r="EDW81" s="21"/>
      <c r="EDX81" s="21"/>
      <c r="EDY81" s="21"/>
      <c r="EDZ81" s="21"/>
      <c r="EEA81" s="20"/>
      <c r="EEB81" s="20"/>
      <c r="EEC81" s="20"/>
      <c r="EED81" s="20"/>
      <c r="EEE81" s="21"/>
      <c r="EEF81" s="21"/>
      <c r="EEG81" s="7"/>
      <c r="EEH81" s="7"/>
      <c r="EEI81" s="21"/>
      <c r="EEJ81" s="20"/>
      <c r="EEK81" s="20"/>
      <c r="EEL81" s="20"/>
      <c r="EEM81" s="21"/>
      <c r="EEN81" s="21"/>
      <c r="EEO81" s="21"/>
      <c r="EEP81" s="21"/>
      <c r="EEQ81" s="21"/>
      <c r="EER81" s="20"/>
      <c r="EES81" s="20"/>
      <c r="EET81" s="20"/>
      <c r="EEU81" s="20"/>
      <c r="EEV81" s="21"/>
      <c r="EEW81" s="21"/>
      <c r="EEX81" s="7"/>
      <c r="EEY81" s="7"/>
      <c r="EEZ81" s="21"/>
      <c r="EFA81" s="20"/>
      <c r="EFB81" s="20"/>
      <c r="EFC81" s="20"/>
      <c r="EFD81" s="21"/>
      <c r="EFE81" s="21"/>
      <c r="EFF81" s="21"/>
      <c r="EFG81" s="21"/>
      <c r="EFH81" s="21"/>
      <c r="EFI81" s="20"/>
      <c r="EFJ81" s="20"/>
      <c r="EFK81" s="20"/>
      <c r="EFL81" s="20"/>
      <c r="EFM81" s="21"/>
      <c r="EFN81" s="21"/>
      <c r="EFO81" s="7"/>
      <c r="EFP81" s="7"/>
      <c r="EFQ81" s="21"/>
      <c r="EFR81" s="20"/>
      <c r="EFS81" s="20"/>
      <c r="EFT81" s="20"/>
      <c r="EFU81" s="21"/>
      <c r="EFV81" s="21"/>
      <c r="EFW81" s="21"/>
      <c r="EFX81" s="21"/>
      <c r="EFY81" s="21"/>
      <c r="EFZ81" s="20"/>
      <c r="EGA81" s="20"/>
      <c r="EGB81" s="20"/>
      <c r="EGC81" s="20"/>
      <c r="EGD81" s="21"/>
      <c r="EGE81" s="21"/>
      <c r="EGF81" s="7"/>
      <c r="EGG81" s="7"/>
      <c r="EGH81" s="21"/>
      <c r="EGI81" s="20"/>
      <c r="EGJ81" s="20"/>
      <c r="EGK81" s="20"/>
      <c r="EGL81" s="21"/>
      <c r="EGM81" s="21"/>
      <c r="EGN81" s="21"/>
      <c r="EGO81" s="21"/>
      <c r="EGP81" s="21"/>
      <c r="EGQ81" s="20"/>
      <c r="EGR81" s="20"/>
      <c r="EGS81" s="20"/>
      <c r="EGT81" s="20"/>
      <c r="EGU81" s="21"/>
      <c r="EGV81" s="21"/>
      <c r="EGW81" s="7"/>
      <c r="EGX81" s="7"/>
      <c r="EGY81" s="21"/>
      <c r="EGZ81" s="20"/>
      <c r="EHA81" s="20"/>
      <c r="EHB81" s="20"/>
      <c r="EHC81" s="21"/>
      <c r="EHD81" s="21"/>
      <c r="EHE81" s="21"/>
      <c r="EHF81" s="21"/>
      <c r="EHG81" s="21"/>
      <c r="EHH81" s="20"/>
      <c r="EHI81" s="20"/>
      <c r="EHJ81" s="20"/>
      <c r="EHK81" s="20"/>
      <c r="EHL81" s="21"/>
      <c r="EHM81" s="21"/>
      <c r="EHN81" s="7"/>
      <c r="EHO81" s="7"/>
      <c r="EHP81" s="21"/>
      <c r="EHQ81" s="20"/>
      <c r="EHR81" s="20"/>
      <c r="EHS81" s="20"/>
      <c r="EHT81" s="21"/>
      <c r="EHU81" s="21"/>
      <c r="EHV81" s="21"/>
      <c r="EHW81" s="21"/>
      <c r="EHX81" s="21"/>
      <c r="EHY81" s="20"/>
      <c r="EHZ81" s="20"/>
      <c r="EIA81" s="20"/>
      <c r="EIB81" s="20"/>
      <c r="EIC81" s="21"/>
      <c r="EID81" s="21"/>
      <c r="EIE81" s="7"/>
      <c r="EIF81" s="7"/>
      <c r="EIG81" s="21"/>
      <c r="EIH81" s="20"/>
      <c r="EII81" s="20"/>
      <c r="EIJ81" s="20"/>
      <c r="EIK81" s="21"/>
      <c r="EIL81" s="21"/>
      <c r="EIM81" s="21"/>
      <c r="EIN81" s="21"/>
      <c r="EIO81" s="21"/>
      <c r="EIP81" s="20"/>
      <c r="EIQ81" s="20"/>
      <c r="EIR81" s="20"/>
      <c r="EIS81" s="20"/>
      <c r="EIT81" s="21"/>
      <c r="EIU81" s="21"/>
      <c r="EIV81" s="7"/>
      <c r="EIW81" s="7"/>
      <c r="EIX81" s="21"/>
      <c r="EIY81" s="20"/>
      <c r="EIZ81" s="20"/>
      <c r="EJA81" s="20"/>
      <c r="EJB81" s="21"/>
      <c r="EJC81" s="21"/>
      <c r="EJD81" s="21"/>
      <c r="EJE81" s="21"/>
      <c r="EJF81" s="21"/>
      <c r="EJG81" s="20"/>
      <c r="EJH81" s="20"/>
      <c r="EJI81" s="20"/>
      <c r="EJJ81" s="20"/>
      <c r="EJK81" s="21"/>
      <c r="EJL81" s="21"/>
      <c r="EJM81" s="7"/>
      <c r="EJN81" s="7"/>
      <c r="EJO81" s="21"/>
      <c r="EJP81" s="20"/>
      <c r="EJQ81" s="20"/>
      <c r="EJR81" s="20"/>
      <c r="EJS81" s="21"/>
      <c r="EJT81" s="21"/>
      <c r="EJU81" s="21"/>
      <c r="EJV81" s="21"/>
      <c r="EJW81" s="21"/>
      <c r="EJX81" s="20"/>
      <c r="EJY81" s="20"/>
      <c r="EJZ81" s="20"/>
      <c r="EKA81" s="20"/>
      <c r="EKB81" s="21"/>
      <c r="EKC81" s="21"/>
      <c r="EKD81" s="7"/>
      <c r="EKE81" s="7"/>
      <c r="EKF81" s="21"/>
      <c r="EKG81" s="20"/>
      <c r="EKH81" s="20"/>
      <c r="EKI81" s="20"/>
      <c r="EKJ81" s="21"/>
      <c r="EKK81" s="21"/>
      <c r="EKL81" s="21"/>
      <c r="EKM81" s="21"/>
      <c r="EKN81" s="21"/>
      <c r="EKO81" s="20"/>
      <c r="EKP81" s="20"/>
      <c r="EKQ81" s="20"/>
      <c r="EKR81" s="20"/>
      <c r="EKS81" s="21"/>
      <c r="EKT81" s="21"/>
      <c r="EKU81" s="7"/>
      <c r="EKV81" s="7"/>
      <c r="EKW81" s="21"/>
      <c r="EKX81" s="20"/>
      <c r="EKY81" s="20"/>
      <c r="EKZ81" s="20"/>
      <c r="ELA81" s="21"/>
      <c r="ELB81" s="21"/>
      <c r="ELC81" s="21"/>
      <c r="ELD81" s="21"/>
      <c r="ELE81" s="21"/>
      <c r="ELF81" s="20"/>
      <c r="ELG81" s="20"/>
      <c r="ELH81" s="20"/>
      <c r="ELI81" s="20"/>
      <c r="ELJ81" s="21"/>
      <c r="ELK81" s="21"/>
      <c r="ELL81" s="7"/>
      <c r="ELM81" s="7"/>
      <c r="ELN81" s="21"/>
      <c r="ELO81" s="20"/>
      <c r="ELP81" s="20"/>
      <c r="ELQ81" s="20"/>
      <c r="ELR81" s="21"/>
      <c r="ELS81" s="21"/>
      <c r="ELT81" s="21"/>
      <c r="ELU81" s="21"/>
      <c r="ELV81" s="21"/>
      <c r="ELW81" s="20"/>
      <c r="ELX81" s="20"/>
      <c r="ELY81" s="20"/>
      <c r="ELZ81" s="20"/>
      <c r="EMA81" s="21"/>
      <c r="EMB81" s="21"/>
      <c r="EMC81" s="7"/>
      <c r="EMD81" s="7"/>
      <c r="EME81" s="21"/>
      <c r="EMF81" s="20"/>
      <c r="EMG81" s="20"/>
      <c r="EMH81" s="20"/>
      <c r="EMI81" s="21"/>
      <c r="EMJ81" s="21"/>
      <c r="EMK81" s="21"/>
      <c r="EML81" s="21"/>
      <c r="EMM81" s="21"/>
      <c r="EMN81" s="20"/>
      <c r="EMO81" s="20"/>
      <c r="EMP81" s="20"/>
      <c r="EMQ81" s="20"/>
      <c r="EMR81" s="21"/>
      <c r="EMS81" s="21"/>
      <c r="EMT81" s="7"/>
      <c r="EMU81" s="7"/>
      <c r="EMV81" s="21"/>
      <c r="EMW81" s="20"/>
      <c r="EMX81" s="20"/>
      <c r="EMY81" s="20"/>
      <c r="EMZ81" s="21"/>
      <c r="ENA81" s="21"/>
      <c r="ENB81" s="21"/>
      <c r="ENC81" s="21"/>
      <c r="END81" s="21"/>
      <c r="ENE81" s="20"/>
      <c r="ENF81" s="20"/>
      <c r="ENG81" s="20"/>
      <c r="ENH81" s="20"/>
      <c r="ENI81" s="21"/>
      <c r="ENJ81" s="21"/>
      <c r="ENK81" s="7"/>
      <c r="ENL81" s="7"/>
      <c r="ENM81" s="21"/>
      <c r="ENN81" s="20"/>
      <c r="ENO81" s="20"/>
      <c r="ENP81" s="20"/>
      <c r="ENQ81" s="21"/>
      <c r="ENR81" s="21"/>
      <c r="ENS81" s="21"/>
      <c r="ENT81" s="21"/>
      <c r="ENU81" s="21"/>
      <c r="ENV81" s="20"/>
      <c r="ENW81" s="20"/>
      <c r="ENX81" s="20"/>
      <c r="ENY81" s="20"/>
      <c r="ENZ81" s="21"/>
      <c r="EOA81" s="21"/>
      <c r="EOB81" s="7"/>
      <c r="EOC81" s="7"/>
      <c r="EOD81" s="21"/>
      <c r="EOE81" s="20"/>
      <c r="EOF81" s="20"/>
      <c r="EOG81" s="20"/>
      <c r="EOH81" s="21"/>
      <c r="EOI81" s="21"/>
      <c r="EOJ81" s="21"/>
      <c r="EOK81" s="21"/>
      <c r="EOL81" s="21"/>
      <c r="EOM81" s="20"/>
      <c r="EON81" s="20"/>
      <c r="EOO81" s="20"/>
      <c r="EOP81" s="20"/>
      <c r="EOQ81" s="21"/>
      <c r="EOR81" s="21"/>
      <c r="EOS81" s="7"/>
      <c r="EOT81" s="7"/>
      <c r="EOU81" s="21"/>
      <c r="EOV81" s="20"/>
      <c r="EOW81" s="20"/>
      <c r="EOX81" s="20"/>
      <c r="EOY81" s="21"/>
      <c r="EOZ81" s="21"/>
      <c r="EPA81" s="21"/>
      <c r="EPB81" s="21"/>
      <c r="EPC81" s="21"/>
      <c r="EPD81" s="20"/>
      <c r="EPE81" s="20"/>
      <c r="EPF81" s="20"/>
      <c r="EPG81" s="20"/>
      <c r="EPH81" s="21"/>
      <c r="EPI81" s="21"/>
      <c r="EPJ81" s="7"/>
      <c r="EPK81" s="7"/>
      <c r="EPL81" s="21"/>
      <c r="EPM81" s="20"/>
      <c r="EPN81" s="20"/>
      <c r="EPO81" s="20"/>
      <c r="EPP81" s="21"/>
      <c r="EPQ81" s="21"/>
      <c r="EPR81" s="21"/>
      <c r="EPS81" s="21"/>
      <c r="EPT81" s="21"/>
      <c r="EPU81" s="20"/>
      <c r="EPV81" s="20"/>
      <c r="EPW81" s="20"/>
      <c r="EPX81" s="20"/>
      <c r="EPY81" s="21"/>
      <c r="EPZ81" s="21"/>
      <c r="EQA81" s="7"/>
      <c r="EQB81" s="7"/>
      <c r="EQC81" s="21"/>
      <c r="EQD81" s="20"/>
      <c r="EQE81" s="20"/>
      <c r="EQF81" s="20"/>
      <c r="EQG81" s="21"/>
      <c r="EQH81" s="21"/>
      <c r="EQI81" s="21"/>
      <c r="EQJ81" s="21"/>
      <c r="EQK81" s="21"/>
      <c r="EQL81" s="20"/>
      <c r="EQM81" s="20"/>
      <c r="EQN81" s="20"/>
      <c r="EQO81" s="20"/>
      <c r="EQP81" s="21"/>
      <c r="EQQ81" s="21"/>
      <c r="EQR81" s="7"/>
      <c r="EQS81" s="7"/>
      <c r="EQT81" s="21"/>
      <c r="EQU81" s="20"/>
      <c r="EQV81" s="20"/>
      <c r="EQW81" s="20"/>
      <c r="EQX81" s="21"/>
      <c r="EQY81" s="21"/>
      <c r="EQZ81" s="21"/>
      <c r="ERA81" s="21"/>
      <c r="ERB81" s="21"/>
      <c r="ERC81" s="20"/>
      <c r="ERD81" s="20"/>
      <c r="ERE81" s="20"/>
      <c r="ERF81" s="20"/>
      <c r="ERG81" s="21"/>
      <c r="ERH81" s="21"/>
      <c r="ERI81" s="7"/>
      <c r="ERJ81" s="7"/>
      <c r="ERK81" s="21"/>
      <c r="ERL81" s="20"/>
      <c r="ERM81" s="20"/>
      <c r="ERN81" s="20"/>
      <c r="ERO81" s="21"/>
      <c r="ERP81" s="21"/>
      <c r="ERQ81" s="21"/>
      <c r="ERR81" s="21"/>
      <c r="ERS81" s="21"/>
      <c r="ERT81" s="20"/>
      <c r="ERU81" s="20"/>
      <c r="ERV81" s="20"/>
      <c r="ERW81" s="20"/>
      <c r="ERX81" s="21"/>
      <c r="ERY81" s="21"/>
      <c r="ERZ81" s="7"/>
      <c r="ESA81" s="7"/>
      <c r="ESB81" s="21"/>
      <c r="ESC81" s="20"/>
      <c r="ESD81" s="20"/>
      <c r="ESE81" s="20"/>
      <c r="ESF81" s="21"/>
      <c r="ESG81" s="21"/>
      <c r="ESH81" s="21"/>
      <c r="ESI81" s="21"/>
      <c r="ESJ81" s="21"/>
      <c r="ESK81" s="20"/>
      <c r="ESL81" s="20"/>
      <c r="ESM81" s="20"/>
      <c r="ESN81" s="20"/>
      <c r="ESO81" s="21"/>
      <c r="ESP81" s="21"/>
      <c r="ESQ81" s="7"/>
      <c r="ESR81" s="7"/>
      <c r="ESS81" s="21"/>
      <c r="EST81" s="20"/>
      <c r="ESU81" s="20"/>
      <c r="ESV81" s="20"/>
      <c r="ESW81" s="21"/>
      <c r="ESX81" s="21"/>
      <c r="ESY81" s="21"/>
      <c r="ESZ81" s="21"/>
      <c r="ETA81" s="21"/>
      <c r="ETB81" s="20"/>
      <c r="ETC81" s="20"/>
      <c r="ETD81" s="20"/>
      <c r="ETE81" s="20"/>
      <c r="ETF81" s="21"/>
      <c r="ETG81" s="21"/>
      <c r="ETH81" s="7"/>
      <c r="ETI81" s="7"/>
      <c r="ETJ81" s="21"/>
      <c r="ETK81" s="20"/>
      <c r="ETL81" s="20"/>
      <c r="ETM81" s="20"/>
      <c r="ETN81" s="21"/>
      <c r="ETO81" s="21"/>
      <c r="ETP81" s="21"/>
      <c r="ETQ81" s="21"/>
      <c r="ETR81" s="21"/>
      <c r="ETS81" s="20"/>
      <c r="ETT81" s="20"/>
      <c r="ETU81" s="20"/>
      <c r="ETV81" s="20"/>
      <c r="ETW81" s="21"/>
      <c r="ETX81" s="21"/>
      <c r="ETY81" s="7"/>
      <c r="ETZ81" s="7"/>
      <c r="EUA81" s="21"/>
      <c r="EUB81" s="20"/>
      <c r="EUC81" s="20"/>
      <c r="EUD81" s="20"/>
      <c r="EUE81" s="21"/>
      <c r="EUF81" s="21"/>
      <c r="EUG81" s="21"/>
      <c r="EUH81" s="21"/>
      <c r="EUI81" s="21"/>
      <c r="EUJ81" s="20"/>
      <c r="EUK81" s="20"/>
      <c r="EUL81" s="20"/>
      <c r="EUM81" s="20"/>
      <c r="EUN81" s="21"/>
      <c r="EUO81" s="21"/>
      <c r="EUP81" s="7"/>
      <c r="EUQ81" s="7"/>
      <c r="EUR81" s="21"/>
      <c r="EUS81" s="20"/>
      <c r="EUT81" s="20"/>
      <c r="EUU81" s="20"/>
      <c r="EUV81" s="21"/>
      <c r="EUW81" s="21"/>
      <c r="EUX81" s="21"/>
      <c r="EUY81" s="21"/>
      <c r="EUZ81" s="21"/>
      <c r="EVA81" s="20"/>
      <c r="EVB81" s="20"/>
      <c r="EVC81" s="20"/>
      <c r="EVD81" s="20"/>
      <c r="EVE81" s="21"/>
      <c r="EVF81" s="21"/>
      <c r="EVG81" s="7"/>
      <c r="EVH81" s="7"/>
      <c r="EVI81" s="21"/>
      <c r="EVJ81" s="20"/>
      <c r="EVK81" s="20"/>
      <c r="EVL81" s="20"/>
      <c r="EVM81" s="21"/>
      <c r="EVN81" s="21"/>
      <c r="EVO81" s="21"/>
      <c r="EVP81" s="21"/>
      <c r="EVQ81" s="21"/>
      <c r="EVR81" s="20"/>
      <c r="EVS81" s="20"/>
      <c r="EVT81" s="20"/>
      <c r="EVU81" s="20"/>
      <c r="EVV81" s="21"/>
      <c r="EVW81" s="21"/>
      <c r="EVX81" s="7"/>
      <c r="EVY81" s="7"/>
      <c r="EVZ81" s="21"/>
      <c r="EWA81" s="20"/>
      <c r="EWB81" s="20"/>
      <c r="EWC81" s="20"/>
      <c r="EWD81" s="21"/>
      <c r="EWE81" s="21"/>
      <c r="EWF81" s="21"/>
      <c r="EWG81" s="21"/>
      <c r="EWH81" s="21"/>
      <c r="EWI81" s="20"/>
      <c r="EWJ81" s="20"/>
      <c r="EWK81" s="20"/>
      <c r="EWL81" s="20"/>
      <c r="EWM81" s="21"/>
      <c r="EWN81" s="21"/>
      <c r="EWO81" s="7"/>
      <c r="EWP81" s="7"/>
      <c r="EWQ81" s="21"/>
      <c r="EWR81" s="20"/>
      <c r="EWS81" s="20"/>
      <c r="EWT81" s="20"/>
      <c r="EWU81" s="21"/>
      <c r="EWV81" s="21"/>
      <c r="EWW81" s="21"/>
      <c r="EWX81" s="21"/>
      <c r="EWY81" s="21"/>
      <c r="EWZ81" s="20"/>
      <c r="EXA81" s="20"/>
      <c r="EXB81" s="20"/>
      <c r="EXC81" s="20"/>
      <c r="EXD81" s="21"/>
      <c r="EXE81" s="21"/>
      <c r="EXF81" s="7"/>
      <c r="EXG81" s="7"/>
      <c r="EXH81" s="21"/>
      <c r="EXI81" s="20"/>
      <c r="EXJ81" s="20"/>
      <c r="EXK81" s="20"/>
      <c r="EXL81" s="21"/>
      <c r="EXM81" s="21"/>
      <c r="EXN81" s="21"/>
      <c r="EXO81" s="21"/>
      <c r="EXP81" s="21"/>
      <c r="EXQ81" s="20"/>
      <c r="EXR81" s="20"/>
      <c r="EXS81" s="20"/>
      <c r="EXT81" s="20"/>
      <c r="EXU81" s="21"/>
      <c r="EXV81" s="21"/>
      <c r="EXW81" s="7"/>
      <c r="EXX81" s="7"/>
      <c r="EXY81" s="21"/>
      <c r="EXZ81" s="20"/>
      <c r="EYA81" s="20"/>
      <c r="EYB81" s="20"/>
      <c r="EYC81" s="21"/>
      <c r="EYD81" s="21"/>
      <c r="EYE81" s="21"/>
      <c r="EYF81" s="21"/>
      <c r="EYG81" s="21"/>
      <c r="EYH81" s="20"/>
      <c r="EYI81" s="20"/>
      <c r="EYJ81" s="20"/>
      <c r="EYK81" s="20"/>
      <c r="EYL81" s="21"/>
      <c r="EYM81" s="21"/>
      <c r="EYN81" s="7"/>
      <c r="EYO81" s="7"/>
      <c r="EYP81" s="21"/>
      <c r="EYQ81" s="20"/>
      <c r="EYR81" s="20"/>
      <c r="EYS81" s="20"/>
      <c r="EYT81" s="21"/>
      <c r="EYU81" s="21"/>
      <c r="EYV81" s="21"/>
      <c r="EYW81" s="21"/>
      <c r="EYX81" s="21"/>
      <c r="EYY81" s="20"/>
      <c r="EYZ81" s="20"/>
      <c r="EZA81" s="20"/>
      <c r="EZB81" s="20"/>
      <c r="EZC81" s="21"/>
      <c r="EZD81" s="21"/>
      <c r="EZE81" s="7"/>
      <c r="EZF81" s="7"/>
      <c r="EZG81" s="21"/>
      <c r="EZH81" s="20"/>
      <c r="EZI81" s="20"/>
      <c r="EZJ81" s="20"/>
      <c r="EZK81" s="21"/>
      <c r="EZL81" s="21"/>
      <c r="EZM81" s="21"/>
      <c r="EZN81" s="21"/>
      <c r="EZO81" s="21"/>
      <c r="EZP81" s="20"/>
      <c r="EZQ81" s="20"/>
      <c r="EZR81" s="20"/>
      <c r="EZS81" s="20"/>
      <c r="EZT81" s="21"/>
      <c r="EZU81" s="21"/>
      <c r="EZV81" s="7"/>
      <c r="EZW81" s="7"/>
      <c r="EZX81" s="21"/>
      <c r="EZY81" s="20"/>
      <c r="EZZ81" s="20"/>
      <c r="FAA81" s="20"/>
      <c r="FAB81" s="21"/>
      <c r="FAC81" s="21"/>
      <c r="FAD81" s="21"/>
      <c r="FAE81" s="21"/>
      <c r="FAF81" s="21"/>
      <c r="FAG81" s="20"/>
      <c r="FAH81" s="20"/>
      <c r="FAI81" s="20"/>
      <c r="FAJ81" s="20"/>
      <c r="FAK81" s="21"/>
      <c r="FAL81" s="21"/>
      <c r="FAM81" s="7"/>
      <c r="FAN81" s="7"/>
      <c r="FAO81" s="21"/>
      <c r="FAP81" s="20"/>
      <c r="FAQ81" s="20"/>
      <c r="FAR81" s="20"/>
      <c r="FAS81" s="21"/>
      <c r="FAT81" s="21"/>
      <c r="FAU81" s="21"/>
      <c r="FAV81" s="21"/>
      <c r="FAW81" s="21"/>
      <c r="FAX81" s="20"/>
      <c r="FAY81" s="20"/>
      <c r="FAZ81" s="20"/>
      <c r="FBA81" s="20"/>
      <c r="FBB81" s="21"/>
      <c r="FBC81" s="21"/>
      <c r="FBD81" s="7"/>
      <c r="FBE81" s="7"/>
      <c r="FBF81" s="21"/>
      <c r="FBG81" s="20"/>
      <c r="FBH81" s="20"/>
      <c r="FBI81" s="20"/>
      <c r="FBJ81" s="21"/>
      <c r="FBK81" s="21"/>
      <c r="FBL81" s="21"/>
      <c r="FBM81" s="21"/>
      <c r="FBN81" s="21"/>
      <c r="FBO81" s="20"/>
      <c r="FBP81" s="20"/>
      <c r="FBQ81" s="20"/>
      <c r="FBR81" s="20"/>
      <c r="FBS81" s="21"/>
      <c r="FBT81" s="21"/>
      <c r="FBU81" s="7"/>
      <c r="FBV81" s="7"/>
      <c r="FBW81" s="21"/>
      <c r="FBX81" s="20"/>
      <c r="FBY81" s="20"/>
      <c r="FBZ81" s="20"/>
      <c r="FCA81" s="21"/>
      <c r="FCB81" s="21"/>
      <c r="FCC81" s="21"/>
      <c r="FCD81" s="21"/>
      <c r="FCE81" s="21"/>
      <c r="FCF81" s="20"/>
      <c r="FCG81" s="20"/>
      <c r="FCH81" s="20"/>
      <c r="FCI81" s="20"/>
      <c r="FCJ81" s="21"/>
      <c r="FCK81" s="21"/>
      <c r="FCL81" s="7"/>
      <c r="FCM81" s="7"/>
      <c r="FCN81" s="21"/>
      <c r="FCO81" s="20"/>
      <c r="FCP81" s="20"/>
      <c r="FCQ81" s="20"/>
      <c r="FCR81" s="21"/>
      <c r="FCS81" s="21"/>
      <c r="FCT81" s="21"/>
      <c r="FCU81" s="21"/>
      <c r="FCV81" s="21"/>
      <c r="FCW81" s="20"/>
      <c r="FCX81" s="20"/>
      <c r="FCY81" s="20"/>
      <c r="FCZ81" s="20"/>
      <c r="FDA81" s="21"/>
      <c r="FDB81" s="21"/>
      <c r="FDC81" s="7"/>
      <c r="FDD81" s="7"/>
      <c r="FDE81" s="21"/>
      <c r="FDF81" s="20"/>
      <c r="FDG81" s="20"/>
      <c r="FDH81" s="20"/>
      <c r="FDI81" s="21"/>
      <c r="FDJ81" s="21"/>
      <c r="FDK81" s="21"/>
      <c r="FDL81" s="21"/>
      <c r="FDM81" s="21"/>
      <c r="FDN81" s="20"/>
      <c r="FDO81" s="20"/>
      <c r="FDP81" s="20"/>
      <c r="FDQ81" s="20"/>
      <c r="FDR81" s="21"/>
      <c r="FDS81" s="21"/>
      <c r="FDT81" s="7"/>
      <c r="FDU81" s="7"/>
      <c r="FDV81" s="21"/>
      <c r="FDW81" s="20"/>
      <c r="FDX81" s="20"/>
      <c r="FDY81" s="20"/>
      <c r="FDZ81" s="21"/>
      <c r="FEA81" s="21"/>
      <c r="FEB81" s="21"/>
      <c r="FEC81" s="21"/>
      <c r="FED81" s="21"/>
      <c r="FEE81" s="20"/>
      <c r="FEF81" s="20"/>
      <c r="FEG81" s="20"/>
      <c r="FEH81" s="20"/>
      <c r="FEI81" s="21"/>
      <c r="FEJ81" s="21"/>
      <c r="FEK81" s="7"/>
      <c r="FEL81" s="7"/>
      <c r="FEM81" s="21"/>
      <c r="FEN81" s="20"/>
      <c r="FEO81" s="20"/>
      <c r="FEP81" s="20"/>
      <c r="FEQ81" s="21"/>
      <c r="FER81" s="21"/>
      <c r="FES81" s="21"/>
      <c r="FET81" s="21"/>
      <c r="FEU81" s="21"/>
      <c r="FEV81" s="20"/>
      <c r="FEW81" s="20"/>
      <c r="FEX81" s="20"/>
      <c r="FEY81" s="20"/>
      <c r="FEZ81" s="21"/>
      <c r="FFA81" s="21"/>
      <c r="FFB81" s="7"/>
      <c r="FFC81" s="7"/>
      <c r="FFD81" s="21"/>
      <c r="FFE81" s="20"/>
      <c r="FFF81" s="20"/>
      <c r="FFG81" s="20"/>
      <c r="FFH81" s="21"/>
      <c r="FFI81" s="21"/>
      <c r="FFJ81" s="21"/>
      <c r="FFK81" s="21"/>
      <c r="FFL81" s="21"/>
      <c r="FFM81" s="20"/>
      <c r="FFN81" s="20"/>
      <c r="FFO81" s="20"/>
      <c r="FFP81" s="20"/>
      <c r="FFQ81" s="21"/>
      <c r="FFR81" s="21"/>
      <c r="FFS81" s="7"/>
      <c r="FFT81" s="7"/>
      <c r="FFU81" s="21"/>
      <c r="FFV81" s="20"/>
      <c r="FFW81" s="20"/>
      <c r="FFX81" s="20"/>
      <c r="FFY81" s="21"/>
      <c r="FFZ81" s="21"/>
      <c r="FGA81" s="21"/>
      <c r="FGB81" s="21"/>
      <c r="FGC81" s="21"/>
      <c r="FGD81" s="20"/>
      <c r="FGE81" s="20"/>
      <c r="FGF81" s="20"/>
      <c r="FGG81" s="20"/>
      <c r="FGH81" s="21"/>
      <c r="FGI81" s="21"/>
      <c r="FGJ81" s="7"/>
      <c r="FGK81" s="7"/>
      <c r="FGL81" s="21"/>
      <c r="FGM81" s="20"/>
      <c r="FGN81" s="20"/>
      <c r="FGO81" s="20"/>
      <c r="FGP81" s="21"/>
      <c r="FGQ81" s="21"/>
      <c r="FGR81" s="21"/>
      <c r="FGS81" s="21"/>
      <c r="FGT81" s="21"/>
      <c r="FGU81" s="20"/>
      <c r="FGV81" s="20"/>
      <c r="FGW81" s="20"/>
      <c r="FGX81" s="20"/>
      <c r="FGY81" s="21"/>
      <c r="FGZ81" s="21"/>
      <c r="FHA81" s="7"/>
      <c r="FHB81" s="7"/>
      <c r="FHC81" s="21"/>
      <c r="FHD81" s="20"/>
      <c r="FHE81" s="20"/>
      <c r="FHF81" s="20"/>
      <c r="FHG81" s="21"/>
      <c r="FHH81" s="21"/>
      <c r="FHI81" s="21"/>
      <c r="FHJ81" s="21"/>
      <c r="FHK81" s="21"/>
      <c r="FHL81" s="20"/>
      <c r="FHM81" s="20"/>
      <c r="FHN81" s="20"/>
      <c r="FHO81" s="20"/>
      <c r="FHP81" s="21"/>
      <c r="FHQ81" s="21"/>
      <c r="FHR81" s="7"/>
      <c r="FHS81" s="7"/>
      <c r="FHT81" s="21"/>
      <c r="FHU81" s="20"/>
      <c r="FHV81" s="20"/>
      <c r="FHW81" s="20"/>
      <c r="FHX81" s="21"/>
      <c r="FHY81" s="21"/>
      <c r="FHZ81" s="21"/>
      <c r="FIA81" s="21"/>
      <c r="FIB81" s="21"/>
      <c r="FIC81" s="20"/>
      <c r="FID81" s="20"/>
      <c r="FIE81" s="20"/>
      <c r="FIF81" s="20"/>
      <c r="FIG81" s="21"/>
      <c r="FIH81" s="21"/>
      <c r="FII81" s="7"/>
      <c r="FIJ81" s="7"/>
      <c r="FIK81" s="21"/>
      <c r="FIL81" s="20"/>
      <c r="FIM81" s="20"/>
      <c r="FIN81" s="20"/>
      <c r="FIO81" s="21"/>
      <c r="FIP81" s="21"/>
      <c r="FIQ81" s="21"/>
      <c r="FIR81" s="21"/>
      <c r="FIS81" s="21"/>
      <c r="FIT81" s="20"/>
      <c r="FIU81" s="20"/>
      <c r="FIV81" s="20"/>
      <c r="FIW81" s="20"/>
      <c r="FIX81" s="21"/>
      <c r="FIY81" s="21"/>
      <c r="FIZ81" s="7"/>
      <c r="FJA81" s="7"/>
      <c r="FJB81" s="21"/>
      <c r="FJC81" s="20"/>
      <c r="FJD81" s="20"/>
      <c r="FJE81" s="20"/>
      <c r="FJF81" s="21"/>
      <c r="FJG81" s="21"/>
      <c r="FJH81" s="21"/>
      <c r="FJI81" s="21"/>
      <c r="FJJ81" s="21"/>
      <c r="FJK81" s="20"/>
      <c r="FJL81" s="20"/>
      <c r="FJM81" s="20"/>
      <c r="FJN81" s="20"/>
      <c r="FJO81" s="21"/>
      <c r="FJP81" s="21"/>
      <c r="FJQ81" s="7"/>
      <c r="FJR81" s="7"/>
      <c r="FJS81" s="21"/>
      <c r="FJT81" s="20"/>
      <c r="FJU81" s="20"/>
      <c r="FJV81" s="20"/>
      <c r="FJW81" s="21"/>
      <c r="FJX81" s="21"/>
      <c r="FJY81" s="21"/>
      <c r="FJZ81" s="21"/>
      <c r="FKA81" s="21"/>
      <c r="FKB81" s="20"/>
      <c r="FKC81" s="20"/>
      <c r="FKD81" s="20"/>
      <c r="FKE81" s="20"/>
      <c r="FKF81" s="21"/>
      <c r="FKG81" s="21"/>
      <c r="FKH81" s="7"/>
      <c r="FKI81" s="7"/>
      <c r="FKJ81" s="21"/>
      <c r="FKK81" s="20"/>
      <c r="FKL81" s="20"/>
      <c r="FKM81" s="20"/>
      <c r="FKN81" s="21"/>
      <c r="FKO81" s="21"/>
      <c r="FKP81" s="21"/>
      <c r="FKQ81" s="21"/>
      <c r="FKR81" s="21"/>
      <c r="FKS81" s="20"/>
      <c r="FKT81" s="20"/>
      <c r="FKU81" s="20"/>
      <c r="FKV81" s="20"/>
      <c r="FKW81" s="21"/>
      <c r="FKX81" s="21"/>
      <c r="FKY81" s="7"/>
      <c r="FKZ81" s="7"/>
      <c r="FLA81" s="21"/>
      <c r="FLB81" s="20"/>
      <c r="FLC81" s="20"/>
      <c r="FLD81" s="20"/>
      <c r="FLE81" s="21"/>
      <c r="FLF81" s="21"/>
      <c r="FLG81" s="21"/>
      <c r="FLH81" s="21"/>
      <c r="FLI81" s="21"/>
      <c r="FLJ81" s="20"/>
      <c r="FLK81" s="20"/>
      <c r="FLL81" s="20"/>
      <c r="FLM81" s="20"/>
      <c r="FLN81" s="21"/>
      <c r="FLO81" s="21"/>
      <c r="FLP81" s="7"/>
      <c r="FLQ81" s="7"/>
      <c r="FLR81" s="21"/>
      <c r="FLS81" s="20"/>
      <c r="FLT81" s="20"/>
      <c r="FLU81" s="20"/>
      <c r="FLV81" s="21"/>
      <c r="FLW81" s="21"/>
      <c r="FLX81" s="21"/>
      <c r="FLY81" s="21"/>
      <c r="FLZ81" s="21"/>
      <c r="FMA81" s="20"/>
      <c r="FMB81" s="20"/>
      <c r="FMC81" s="20"/>
      <c r="FMD81" s="20"/>
      <c r="FME81" s="21"/>
      <c r="FMF81" s="21"/>
      <c r="FMG81" s="7"/>
      <c r="FMH81" s="7"/>
      <c r="FMI81" s="21"/>
      <c r="FMJ81" s="20"/>
      <c r="FMK81" s="20"/>
      <c r="FML81" s="20"/>
      <c r="FMM81" s="21"/>
      <c r="FMN81" s="21"/>
      <c r="FMO81" s="21"/>
      <c r="FMP81" s="21"/>
      <c r="FMQ81" s="21"/>
      <c r="FMR81" s="20"/>
      <c r="FMS81" s="20"/>
      <c r="FMT81" s="20"/>
      <c r="FMU81" s="20"/>
      <c r="FMV81" s="21"/>
      <c r="FMW81" s="21"/>
      <c r="FMX81" s="7"/>
      <c r="FMY81" s="7"/>
      <c r="FMZ81" s="21"/>
      <c r="FNA81" s="20"/>
      <c r="FNB81" s="20"/>
      <c r="FNC81" s="20"/>
      <c r="FND81" s="21"/>
      <c r="FNE81" s="21"/>
      <c r="FNF81" s="21"/>
      <c r="FNG81" s="21"/>
      <c r="FNH81" s="21"/>
      <c r="FNI81" s="20"/>
      <c r="FNJ81" s="20"/>
      <c r="FNK81" s="20"/>
      <c r="FNL81" s="20"/>
      <c r="FNM81" s="21"/>
      <c r="FNN81" s="21"/>
      <c r="FNO81" s="7"/>
      <c r="FNP81" s="7"/>
      <c r="FNQ81" s="21"/>
      <c r="FNR81" s="20"/>
      <c r="FNS81" s="20"/>
      <c r="FNT81" s="20"/>
      <c r="FNU81" s="21"/>
      <c r="FNV81" s="21"/>
      <c r="FNW81" s="21"/>
      <c r="FNX81" s="21"/>
      <c r="FNY81" s="21"/>
      <c r="FNZ81" s="20"/>
      <c r="FOA81" s="20"/>
      <c r="FOB81" s="20"/>
      <c r="FOC81" s="20"/>
      <c r="FOD81" s="21"/>
      <c r="FOE81" s="21"/>
      <c r="FOF81" s="7"/>
      <c r="FOG81" s="7"/>
      <c r="FOH81" s="21"/>
      <c r="FOI81" s="20"/>
      <c r="FOJ81" s="20"/>
      <c r="FOK81" s="20"/>
      <c r="FOL81" s="21"/>
      <c r="FOM81" s="21"/>
      <c r="FON81" s="21"/>
      <c r="FOO81" s="21"/>
      <c r="FOP81" s="21"/>
      <c r="FOQ81" s="20"/>
      <c r="FOR81" s="20"/>
      <c r="FOS81" s="20"/>
      <c r="FOT81" s="20"/>
      <c r="FOU81" s="21"/>
      <c r="FOV81" s="21"/>
      <c r="FOW81" s="7"/>
      <c r="FOX81" s="7"/>
      <c r="FOY81" s="21"/>
      <c r="FOZ81" s="20"/>
      <c r="FPA81" s="20"/>
      <c r="FPB81" s="20"/>
      <c r="FPC81" s="21"/>
      <c r="FPD81" s="21"/>
      <c r="FPE81" s="21"/>
      <c r="FPF81" s="21"/>
      <c r="FPG81" s="21"/>
      <c r="FPH81" s="20"/>
      <c r="FPI81" s="20"/>
      <c r="FPJ81" s="20"/>
      <c r="FPK81" s="20"/>
      <c r="FPL81" s="21"/>
      <c r="FPM81" s="21"/>
      <c r="FPN81" s="7"/>
      <c r="FPO81" s="7"/>
      <c r="FPP81" s="21"/>
      <c r="FPQ81" s="20"/>
      <c r="FPR81" s="20"/>
      <c r="FPS81" s="20"/>
      <c r="FPT81" s="21"/>
      <c r="FPU81" s="21"/>
      <c r="FPV81" s="21"/>
      <c r="FPW81" s="21"/>
      <c r="FPX81" s="21"/>
      <c r="FPY81" s="20"/>
      <c r="FPZ81" s="20"/>
      <c r="FQA81" s="20"/>
      <c r="FQB81" s="20"/>
      <c r="FQC81" s="21"/>
      <c r="FQD81" s="21"/>
      <c r="FQE81" s="7"/>
      <c r="FQF81" s="7"/>
      <c r="FQG81" s="21"/>
      <c r="FQH81" s="20"/>
      <c r="FQI81" s="20"/>
      <c r="FQJ81" s="20"/>
      <c r="FQK81" s="21"/>
      <c r="FQL81" s="21"/>
      <c r="FQM81" s="21"/>
      <c r="FQN81" s="21"/>
      <c r="FQO81" s="21"/>
      <c r="FQP81" s="20"/>
      <c r="FQQ81" s="20"/>
      <c r="FQR81" s="20"/>
      <c r="FQS81" s="20"/>
      <c r="FQT81" s="21"/>
      <c r="FQU81" s="21"/>
      <c r="FQV81" s="7"/>
      <c r="FQW81" s="7"/>
      <c r="FQX81" s="21"/>
      <c r="FQY81" s="20"/>
      <c r="FQZ81" s="20"/>
      <c r="FRA81" s="20"/>
      <c r="FRB81" s="21"/>
      <c r="FRC81" s="21"/>
      <c r="FRD81" s="21"/>
      <c r="FRE81" s="21"/>
      <c r="FRF81" s="21"/>
      <c r="FRG81" s="20"/>
      <c r="FRH81" s="20"/>
      <c r="FRI81" s="20"/>
      <c r="FRJ81" s="20"/>
      <c r="FRK81" s="21"/>
      <c r="FRL81" s="21"/>
      <c r="FRM81" s="7"/>
      <c r="FRN81" s="7"/>
      <c r="FRO81" s="21"/>
      <c r="FRP81" s="20"/>
      <c r="FRQ81" s="20"/>
      <c r="FRR81" s="20"/>
      <c r="FRS81" s="21"/>
      <c r="FRT81" s="21"/>
      <c r="FRU81" s="21"/>
      <c r="FRV81" s="21"/>
      <c r="FRW81" s="21"/>
      <c r="FRX81" s="20"/>
      <c r="FRY81" s="20"/>
      <c r="FRZ81" s="20"/>
      <c r="FSA81" s="20"/>
      <c r="FSB81" s="21"/>
      <c r="FSC81" s="21"/>
      <c r="FSD81" s="7"/>
      <c r="FSE81" s="7"/>
      <c r="FSF81" s="21"/>
      <c r="FSG81" s="20"/>
      <c r="FSH81" s="20"/>
      <c r="FSI81" s="20"/>
      <c r="FSJ81" s="21"/>
      <c r="FSK81" s="21"/>
      <c r="FSL81" s="21"/>
      <c r="FSM81" s="21"/>
      <c r="FSN81" s="21"/>
      <c r="FSO81" s="20"/>
      <c r="FSP81" s="20"/>
      <c r="FSQ81" s="20"/>
      <c r="FSR81" s="20"/>
      <c r="FSS81" s="21"/>
      <c r="FST81" s="21"/>
      <c r="FSU81" s="7"/>
      <c r="FSV81" s="7"/>
      <c r="FSW81" s="21"/>
      <c r="FSX81" s="20"/>
      <c r="FSY81" s="20"/>
      <c r="FSZ81" s="20"/>
      <c r="FTA81" s="21"/>
      <c r="FTB81" s="21"/>
      <c r="FTC81" s="21"/>
      <c r="FTD81" s="21"/>
      <c r="FTE81" s="21"/>
      <c r="FTF81" s="20"/>
      <c r="FTG81" s="20"/>
      <c r="FTH81" s="20"/>
      <c r="FTI81" s="20"/>
      <c r="FTJ81" s="21"/>
      <c r="FTK81" s="21"/>
      <c r="FTL81" s="7"/>
      <c r="FTM81" s="7"/>
      <c r="FTN81" s="21"/>
      <c r="FTO81" s="20"/>
      <c r="FTP81" s="20"/>
      <c r="FTQ81" s="20"/>
      <c r="FTR81" s="21"/>
      <c r="FTS81" s="21"/>
      <c r="FTT81" s="21"/>
      <c r="FTU81" s="21"/>
      <c r="FTV81" s="21"/>
      <c r="FTW81" s="20"/>
      <c r="FTX81" s="20"/>
      <c r="FTY81" s="20"/>
      <c r="FTZ81" s="20"/>
      <c r="FUA81" s="21"/>
      <c r="FUB81" s="21"/>
      <c r="FUC81" s="7"/>
      <c r="FUD81" s="7"/>
      <c r="FUE81" s="21"/>
      <c r="FUF81" s="20"/>
      <c r="FUG81" s="20"/>
      <c r="FUH81" s="20"/>
      <c r="FUI81" s="21"/>
      <c r="FUJ81" s="21"/>
      <c r="FUK81" s="21"/>
      <c r="FUL81" s="21"/>
      <c r="FUM81" s="21"/>
      <c r="FUN81" s="20"/>
      <c r="FUO81" s="20"/>
      <c r="FUP81" s="20"/>
      <c r="FUQ81" s="20"/>
      <c r="FUR81" s="21"/>
      <c r="FUS81" s="21"/>
      <c r="FUT81" s="7"/>
      <c r="FUU81" s="7"/>
      <c r="FUV81" s="21"/>
      <c r="FUW81" s="20"/>
      <c r="FUX81" s="20"/>
      <c r="FUY81" s="20"/>
      <c r="FUZ81" s="21"/>
      <c r="FVA81" s="21"/>
      <c r="FVB81" s="21"/>
      <c r="FVC81" s="21"/>
      <c r="FVD81" s="21"/>
      <c r="FVE81" s="20"/>
      <c r="FVF81" s="20"/>
      <c r="FVG81" s="20"/>
      <c r="FVH81" s="20"/>
      <c r="FVI81" s="21"/>
      <c r="FVJ81" s="21"/>
      <c r="FVK81" s="7"/>
      <c r="FVL81" s="7"/>
      <c r="FVM81" s="21"/>
      <c r="FVN81" s="20"/>
      <c r="FVO81" s="20"/>
      <c r="FVP81" s="20"/>
      <c r="FVQ81" s="21"/>
      <c r="FVR81" s="21"/>
      <c r="FVS81" s="21"/>
      <c r="FVT81" s="21"/>
      <c r="FVU81" s="21"/>
      <c r="FVV81" s="20"/>
      <c r="FVW81" s="20"/>
      <c r="FVX81" s="20"/>
      <c r="FVY81" s="20"/>
      <c r="FVZ81" s="21"/>
      <c r="FWA81" s="21"/>
      <c r="FWB81" s="7"/>
      <c r="FWC81" s="7"/>
      <c r="FWD81" s="21"/>
      <c r="FWE81" s="20"/>
      <c r="FWF81" s="20"/>
      <c r="FWG81" s="20"/>
      <c r="FWH81" s="21"/>
      <c r="FWI81" s="21"/>
      <c r="FWJ81" s="21"/>
      <c r="FWK81" s="21"/>
      <c r="FWL81" s="21"/>
      <c r="FWM81" s="20"/>
      <c r="FWN81" s="20"/>
      <c r="FWO81" s="20"/>
      <c r="FWP81" s="20"/>
      <c r="FWQ81" s="21"/>
      <c r="FWR81" s="21"/>
      <c r="FWS81" s="7"/>
      <c r="FWT81" s="7"/>
      <c r="FWU81" s="21"/>
      <c r="FWV81" s="20"/>
      <c r="FWW81" s="20"/>
      <c r="FWX81" s="20"/>
      <c r="FWY81" s="21"/>
      <c r="FWZ81" s="21"/>
      <c r="FXA81" s="21"/>
      <c r="FXB81" s="21"/>
      <c r="FXC81" s="21"/>
      <c r="FXD81" s="20"/>
      <c r="FXE81" s="20"/>
      <c r="FXF81" s="20"/>
      <c r="FXG81" s="20"/>
      <c r="FXH81" s="21"/>
      <c r="FXI81" s="21"/>
      <c r="FXJ81" s="7"/>
      <c r="FXK81" s="7"/>
      <c r="FXL81" s="21"/>
      <c r="FXM81" s="20"/>
      <c r="FXN81" s="20"/>
      <c r="FXO81" s="20"/>
      <c r="FXP81" s="21"/>
      <c r="FXQ81" s="21"/>
      <c r="FXR81" s="21"/>
      <c r="FXS81" s="21"/>
      <c r="FXT81" s="21"/>
      <c r="FXU81" s="20"/>
      <c r="FXV81" s="20"/>
      <c r="FXW81" s="20"/>
      <c r="FXX81" s="20"/>
      <c r="FXY81" s="21"/>
      <c r="FXZ81" s="21"/>
      <c r="FYA81" s="7"/>
      <c r="FYB81" s="7"/>
      <c r="FYC81" s="21"/>
      <c r="FYD81" s="20"/>
      <c r="FYE81" s="20"/>
      <c r="FYF81" s="20"/>
      <c r="FYG81" s="21"/>
      <c r="FYH81" s="21"/>
      <c r="FYI81" s="21"/>
      <c r="FYJ81" s="21"/>
      <c r="FYK81" s="21"/>
      <c r="FYL81" s="20"/>
      <c r="FYM81" s="20"/>
      <c r="FYN81" s="20"/>
      <c r="FYO81" s="20"/>
      <c r="FYP81" s="21"/>
      <c r="FYQ81" s="21"/>
      <c r="FYR81" s="7"/>
      <c r="FYS81" s="7"/>
      <c r="FYT81" s="21"/>
      <c r="FYU81" s="20"/>
      <c r="FYV81" s="20"/>
      <c r="FYW81" s="20"/>
      <c r="FYX81" s="21"/>
      <c r="FYY81" s="21"/>
      <c r="FYZ81" s="21"/>
      <c r="FZA81" s="21"/>
      <c r="FZB81" s="21"/>
      <c r="FZC81" s="20"/>
      <c r="FZD81" s="20"/>
      <c r="FZE81" s="20"/>
      <c r="FZF81" s="20"/>
      <c r="FZG81" s="21"/>
      <c r="FZH81" s="21"/>
      <c r="FZI81" s="7"/>
      <c r="FZJ81" s="7"/>
      <c r="FZK81" s="21"/>
      <c r="FZL81" s="20"/>
      <c r="FZM81" s="20"/>
      <c r="FZN81" s="20"/>
      <c r="FZO81" s="21"/>
      <c r="FZP81" s="21"/>
      <c r="FZQ81" s="21"/>
      <c r="FZR81" s="21"/>
      <c r="FZS81" s="21"/>
      <c r="FZT81" s="20"/>
      <c r="FZU81" s="20"/>
      <c r="FZV81" s="20"/>
      <c r="FZW81" s="20"/>
      <c r="FZX81" s="21"/>
      <c r="FZY81" s="21"/>
      <c r="FZZ81" s="7"/>
      <c r="GAA81" s="7"/>
      <c r="GAB81" s="21"/>
      <c r="GAC81" s="20"/>
      <c r="GAD81" s="20"/>
      <c r="GAE81" s="20"/>
      <c r="GAF81" s="21"/>
      <c r="GAG81" s="21"/>
      <c r="GAH81" s="21"/>
      <c r="GAI81" s="21"/>
      <c r="GAJ81" s="21"/>
      <c r="GAK81" s="20"/>
      <c r="GAL81" s="20"/>
      <c r="GAM81" s="20"/>
      <c r="GAN81" s="20"/>
      <c r="GAO81" s="21"/>
      <c r="GAP81" s="21"/>
      <c r="GAQ81" s="7"/>
      <c r="GAR81" s="7"/>
      <c r="GAS81" s="21"/>
      <c r="GAT81" s="20"/>
      <c r="GAU81" s="20"/>
      <c r="GAV81" s="20"/>
      <c r="GAW81" s="21"/>
      <c r="GAX81" s="21"/>
      <c r="GAY81" s="21"/>
      <c r="GAZ81" s="21"/>
      <c r="GBA81" s="21"/>
      <c r="GBB81" s="20"/>
      <c r="GBC81" s="20"/>
      <c r="GBD81" s="20"/>
      <c r="GBE81" s="20"/>
      <c r="GBF81" s="21"/>
      <c r="GBG81" s="21"/>
      <c r="GBH81" s="7"/>
      <c r="GBI81" s="7"/>
      <c r="GBJ81" s="21"/>
      <c r="GBK81" s="20"/>
      <c r="GBL81" s="20"/>
      <c r="GBM81" s="20"/>
      <c r="GBN81" s="21"/>
      <c r="GBO81" s="21"/>
      <c r="GBP81" s="21"/>
      <c r="GBQ81" s="21"/>
      <c r="GBR81" s="21"/>
      <c r="GBS81" s="20"/>
      <c r="GBT81" s="20"/>
      <c r="GBU81" s="20"/>
      <c r="GBV81" s="20"/>
      <c r="GBW81" s="21"/>
      <c r="GBX81" s="21"/>
      <c r="GBY81" s="7"/>
      <c r="GBZ81" s="7"/>
      <c r="GCA81" s="21"/>
      <c r="GCB81" s="20"/>
      <c r="GCC81" s="20"/>
      <c r="GCD81" s="20"/>
      <c r="GCE81" s="21"/>
      <c r="GCF81" s="21"/>
      <c r="GCG81" s="21"/>
      <c r="GCH81" s="21"/>
      <c r="GCI81" s="21"/>
      <c r="GCJ81" s="20"/>
      <c r="GCK81" s="20"/>
      <c r="GCL81" s="20"/>
      <c r="GCM81" s="20"/>
      <c r="GCN81" s="21"/>
      <c r="GCO81" s="21"/>
      <c r="GCP81" s="7"/>
      <c r="GCQ81" s="7"/>
      <c r="GCR81" s="21"/>
      <c r="GCS81" s="20"/>
      <c r="GCT81" s="20"/>
      <c r="GCU81" s="20"/>
      <c r="GCV81" s="21"/>
      <c r="GCW81" s="21"/>
      <c r="GCX81" s="21"/>
      <c r="GCY81" s="21"/>
      <c r="GCZ81" s="21"/>
      <c r="GDA81" s="20"/>
      <c r="GDB81" s="20"/>
      <c r="GDC81" s="20"/>
      <c r="GDD81" s="20"/>
      <c r="GDE81" s="21"/>
      <c r="GDF81" s="21"/>
      <c r="GDG81" s="7"/>
      <c r="GDH81" s="7"/>
      <c r="GDI81" s="21"/>
      <c r="GDJ81" s="20"/>
      <c r="GDK81" s="20"/>
      <c r="GDL81" s="20"/>
      <c r="GDM81" s="21"/>
      <c r="GDN81" s="21"/>
      <c r="GDO81" s="21"/>
      <c r="GDP81" s="21"/>
      <c r="GDQ81" s="21"/>
      <c r="GDR81" s="20"/>
      <c r="GDS81" s="20"/>
      <c r="GDT81" s="20"/>
      <c r="GDU81" s="20"/>
      <c r="GDV81" s="21"/>
      <c r="GDW81" s="21"/>
      <c r="GDX81" s="7"/>
      <c r="GDY81" s="7"/>
      <c r="GDZ81" s="21"/>
      <c r="GEA81" s="20"/>
      <c r="GEB81" s="20"/>
      <c r="GEC81" s="20"/>
      <c r="GED81" s="21"/>
      <c r="GEE81" s="21"/>
      <c r="GEF81" s="21"/>
      <c r="GEG81" s="21"/>
      <c r="GEH81" s="21"/>
      <c r="GEI81" s="20"/>
      <c r="GEJ81" s="20"/>
      <c r="GEK81" s="20"/>
      <c r="GEL81" s="20"/>
      <c r="GEM81" s="21"/>
      <c r="GEN81" s="21"/>
      <c r="GEO81" s="7"/>
      <c r="GEP81" s="7"/>
      <c r="GEQ81" s="21"/>
      <c r="GER81" s="20"/>
      <c r="GES81" s="20"/>
      <c r="GET81" s="20"/>
      <c r="GEU81" s="21"/>
      <c r="GEV81" s="21"/>
      <c r="GEW81" s="21"/>
      <c r="GEX81" s="21"/>
      <c r="GEY81" s="21"/>
      <c r="GEZ81" s="20"/>
      <c r="GFA81" s="20"/>
      <c r="GFB81" s="20"/>
      <c r="GFC81" s="20"/>
      <c r="GFD81" s="21"/>
      <c r="GFE81" s="21"/>
      <c r="GFF81" s="7"/>
      <c r="GFG81" s="7"/>
      <c r="GFH81" s="21"/>
      <c r="GFI81" s="20"/>
      <c r="GFJ81" s="20"/>
      <c r="GFK81" s="20"/>
      <c r="GFL81" s="21"/>
      <c r="GFM81" s="21"/>
      <c r="GFN81" s="21"/>
      <c r="GFO81" s="21"/>
      <c r="GFP81" s="21"/>
      <c r="GFQ81" s="20"/>
      <c r="GFR81" s="20"/>
      <c r="GFS81" s="20"/>
      <c r="GFT81" s="20"/>
      <c r="GFU81" s="21"/>
      <c r="GFV81" s="21"/>
      <c r="GFW81" s="7"/>
      <c r="GFX81" s="7"/>
      <c r="GFY81" s="21"/>
      <c r="GFZ81" s="20"/>
      <c r="GGA81" s="20"/>
      <c r="GGB81" s="20"/>
      <c r="GGC81" s="21"/>
      <c r="GGD81" s="21"/>
      <c r="GGE81" s="21"/>
      <c r="GGF81" s="21"/>
      <c r="GGG81" s="21"/>
      <c r="GGH81" s="20"/>
      <c r="GGI81" s="20"/>
      <c r="GGJ81" s="20"/>
      <c r="GGK81" s="20"/>
      <c r="GGL81" s="21"/>
      <c r="GGM81" s="21"/>
      <c r="GGN81" s="7"/>
      <c r="GGO81" s="7"/>
      <c r="GGP81" s="21"/>
      <c r="GGQ81" s="20"/>
      <c r="GGR81" s="20"/>
      <c r="GGS81" s="20"/>
      <c r="GGT81" s="21"/>
      <c r="GGU81" s="21"/>
      <c r="GGV81" s="21"/>
      <c r="GGW81" s="21"/>
      <c r="GGX81" s="21"/>
      <c r="GGY81" s="20"/>
      <c r="GGZ81" s="20"/>
      <c r="GHA81" s="20"/>
      <c r="GHB81" s="20"/>
      <c r="GHC81" s="21"/>
      <c r="GHD81" s="21"/>
      <c r="GHE81" s="7"/>
      <c r="GHF81" s="7"/>
      <c r="GHG81" s="21"/>
      <c r="GHH81" s="20"/>
      <c r="GHI81" s="20"/>
      <c r="GHJ81" s="20"/>
      <c r="GHK81" s="21"/>
      <c r="GHL81" s="21"/>
      <c r="GHM81" s="21"/>
      <c r="GHN81" s="21"/>
      <c r="GHO81" s="21"/>
      <c r="GHP81" s="20"/>
      <c r="GHQ81" s="20"/>
      <c r="GHR81" s="20"/>
      <c r="GHS81" s="20"/>
      <c r="GHT81" s="21"/>
      <c r="GHU81" s="21"/>
      <c r="GHV81" s="7"/>
      <c r="GHW81" s="7"/>
      <c r="GHX81" s="21"/>
      <c r="GHY81" s="20"/>
      <c r="GHZ81" s="20"/>
      <c r="GIA81" s="20"/>
      <c r="GIB81" s="21"/>
      <c r="GIC81" s="21"/>
      <c r="GID81" s="21"/>
      <c r="GIE81" s="21"/>
      <c r="GIF81" s="21"/>
      <c r="GIG81" s="20"/>
      <c r="GIH81" s="20"/>
      <c r="GII81" s="20"/>
      <c r="GIJ81" s="20"/>
      <c r="GIK81" s="21"/>
      <c r="GIL81" s="21"/>
      <c r="GIM81" s="7"/>
      <c r="GIN81" s="7"/>
      <c r="GIO81" s="21"/>
      <c r="GIP81" s="20"/>
      <c r="GIQ81" s="20"/>
      <c r="GIR81" s="20"/>
      <c r="GIS81" s="21"/>
      <c r="GIT81" s="21"/>
      <c r="GIU81" s="21"/>
      <c r="GIV81" s="21"/>
      <c r="GIW81" s="21"/>
      <c r="GIX81" s="20"/>
      <c r="GIY81" s="20"/>
      <c r="GIZ81" s="20"/>
      <c r="GJA81" s="20"/>
      <c r="GJB81" s="21"/>
      <c r="GJC81" s="21"/>
      <c r="GJD81" s="7"/>
      <c r="GJE81" s="7"/>
      <c r="GJF81" s="21"/>
      <c r="GJG81" s="20"/>
      <c r="GJH81" s="20"/>
      <c r="GJI81" s="20"/>
      <c r="GJJ81" s="21"/>
      <c r="GJK81" s="21"/>
      <c r="GJL81" s="21"/>
      <c r="GJM81" s="21"/>
      <c r="GJN81" s="21"/>
      <c r="GJO81" s="20"/>
      <c r="GJP81" s="20"/>
      <c r="GJQ81" s="20"/>
      <c r="GJR81" s="20"/>
      <c r="GJS81" s="21"/>
      <c r="GJT81" s="21"/>
      <c r="GJU81" s="7"/>
      <c r="GJV81" s="7"/>
      <c r="GJW81" s="21"/>
      <c r="GJX81" s="20"/>
      <c r="GJY81" s="20"/>
      <c r="GJZ81" s="20"/>
      <c r="GKA81" s="21"/>
      <c r="GKB81" s="21"/>
      <c r="GKC81" s="21"/>
      <c r="GKD81" s="21"/>
      <c r="GKE81" s="21"/>
      <c r="GKF81" s="20"/>
      <c r="GKG81" s="20"/>
      <c r="GKH81" s="20"/>
      <c r="GKI81" s="20"/>
      <c r="GKJ81" s="21"/>
      <c r="GKK81" s="21"/>
      <c r="GKL81" s="7"/>
      <c r="GKM81" s="7"/>
      <c r="GKN81" s="21"/>
      <c r="GKO81" s="20"/>
      <c r="GKP81" s="20"/>
      <c r="GKQ81" s="20"/>
      <c r="GKR81" s="21"/>
      <c r="GKS81" s="21"/>
      <c r="GKT81" s="21"/>
      <c r="GKU81" s="21"/>
      <c r="GKV81" s="21"/>
      <c r="GKW81" s="20"/>
      <c r="GKX81" s="20"/>
      <c r="GKY81" s="20"/>
      <c r="GKZ81" s="20"/>
      <c r="GLA81" s="21"/>
      <c r="GLB81" s="21"/>
      <c r="GLC81" s="7"/>
      <c r="GLD81" s="7"/>
      <c r="GLE81" s="21"/>
      <c r="GLF81" s="20"/>
      <c r="GLG81" s="20"/>
      <c r="GLH81" s="20"/>
      <c r="GLI81" s="21"/>
      <c r="GLJ81" s="21"/>
      <c r="GLK81" s="21"/>
      <c r="GLL81" s="21"/>
      <c r="GLM81" s="21"/>
      <c r="GLN81" s="20"/>
      <c r="GLO81" s="20"/>
      <c r="GLP81" s="20"/>
      <c r="GLQ81" s="20"/>
      <c r="GLR81" s="21"/>
      <c r="GLS81" s="21"/>
      <c r="GLT81" s="7"/>
      <c r="GLU81" s="7"/>
      <c r="GLV81" s="21"/>
      <c r="GLW81" s="20"/>
      <c r="GLX81" s="20"/>
      <c r="GLY81" s="20"/>
      <c r="GLZ81" s="21"/>
      <c r="GMA81" s="21"/>
      <c r="GMB81" s="21"/>
      <c r="GMC81" s="21"/>
      <c r="GMD81" s="21"/>
      <c r="GME81" s="20"/>
      <c r="GMF81" s="20"/>
      <c r="GMG81" s="20"/>
      <c r="GMH81" s="20"/>
      <c r="GMI81" s="21"/>
      <c r="GMJ81" s="21"/>
      <c r="GMK81" s="7"/>
      <c r="GML81" s="7"/>
      <c r="GMM81" s="21"/>
      <c r="GMN81" s="20"/>
      <c r="GMO81" s="20"/>
      <c r="GMP81" s="20"/>
      <c r="GMQ81" s="21"/>
      <c r="GMR81" s="21"/>
      <c r="GMS81" s="21"/>
      <c r="GMT81" s="21"/>
      <c r="GMU81" s="21"/>
      <c r="GMV81" s="20"/>
      <c r="GMW81" s="20"/>
      <c r="GMX81" s="20"/>
      <c r="GMY81" s="20"/>
      <c r="GMZ81" s="21"/>
      <c r="GNA81" s="21"/>
      <c r="GNB81" s="7"/>
      <c r="GNC81" s="7"/>
      <c r="GND81" s="21"/>
      <c r="GNE81" s="20"/>
      <c r="GNF81" s="20"/>
      <c r="GNG81" s="20"/>
      <c r="GNH81" s="21"/>
      <c r="GNI81" s="21"/>
      <c r="GNJ81" s="21"/>
      <c r="GNK81" s="21"/>
      <c r="GNL81" s="21"/>
      <c r="GNM81" s="20"/>
      <c r="GNN81" s="20"/>
      <c r="GNO81" s="20"/>
      <c r="GNP81" s="20"/>
      <c r="GNQ81" s="21"/>
      <c r="GNR81" s="21"/>
      <c r="GNS81" s="7"/>
      <c r="GNT81" s="7"/>
      <c r="GNU81" s="21"/>
      <c r="GNV81" s="20"/>
      <c r="GNW81" s="20"/>
      <c r="GNX81" s="20"/>
      <c r="GNY81" s="21"/>
      <c r="GNZ81" s="21"/>
      <c r="GOA81" s="21"/>
      <c r="GOB81" s="21"/>
      <c r="GOC81" s="21"/>
      <c r="GOD81" s="20"/>
      <c r="GOE81" s="20"/>
      <c r="GOF81" s="20"/>
      <c r="GOG81" s="20"/>
      <c r="GOH81" s="21"/>
      <c r="GOI81" s="21"/>
      <c r="GOJ81" s="7"/>
      <c r="GOK81" s="7"/>
      <c r="GOL81" s="21"/>
      <c r="GOM81" s="20"/>
      <c r="GON81" s="20"/>
      <c r="GOO81" s="20"/>
      <c r="GOP81" s="21"/>
      <c r="GOQ81" s="21"/>
      <c r="GOR81" s="21"/>
      <c r="GOS81" s="21"/>
      <c r="GOT81" s="21"/>
      <c r="GOU81" s="20"/>
      <c r="GOV81" s="20"/>
      <c r="GOW81" s="20"/>
      <c r="GOX81" s="20"/>
      <c r="GOY81" s="21"/>
      <c r="GOZ81" s="21"/>
      <c r="GPA81" s="7"/>
      <c r="GPB81" s="7"/>
      <c r="GPC81" s="21"/>
      <c r="GPD81" s="20"/>
      <c r="GPE81" s="20"/>
      <c r="GPF81" s="20"/>
      <c r="GPG81" s="21"/>
      <c r="GPH81" s="21"/>
      <c r="GPI81" s="21"/>
      <c r="GPJ81" s="21"/>
      <c r="GPK81" s="21"/>
      <c r="GPL81" s="20"/>
      <c r="GPM81" s="20"/>
      <c r="GPN81" s="20"/>
      <c r="GPO81" s="20"/>
      <c r="GPP81" s="21"/>
      <c r="GPQ81" s="21"/>
      <c r="GPR81" s="7"/>
      <c r="GPS81" s="7"/>
      <c r="GPT81" s="21"/>
      <c r="GPU81" s="20"/>
      <c r="GPV81" s="20"/>
      <c r="GPW81" s="20"/>
      <c r="GPX81" s="21"/>
      <c r="GPY81" s="21"/>
      <c r="GPZ81" s="21"/>
      <c r="GQA81" s="21"/>
      <c r="GQB81" s="21"/>
      <c r="GQC81" s="20"/>
      <c r="GQD81" s="20"/>
      <c r="GQE81" s="20"/>
      <c r="GQF81" s="20"/>
      <c r="GQG81" s="21"/>
      <c r="GQH81" s="21"/>
      <c r="GQI81" s="7"/>
      <c r="GQJ81" s="7"/>
      <c r="GQK81" s="21"/>
      <c r="GQL81" s="20"/>
      <c r="GQM81" s="20"/>
      <c r="GQN81" s="20"/>
      <c r="GQO81" s="21"/>
      <c r="GQP81" s="21"/>
      <c r="GQQ81" s="21"/>
      <c r="GQR81" s="21"/>
      <c r="GQS81" s="21"/>
      <c r="GQT81" s="20"/>
      <c r="GQU81" s="20"/>
      <c r="GQV81" s="20"/>
      <c r="GQW81" s="20"/>
      <c r="GQX81" s="21"/>
      <c r="GQY81" s="21"/>
      <c r="GQZ81" s="7"/>
      <c r="GRA81" s="7"/>
      <c r="GRB81" s="21"/>
      <c r="GRC81" s="20"/>
      <c r="GRD81" s="20"/>
      <c r="GRE81" s="20"/>
      <c r="GRF81" s="21"/>
      <c r="GRG81" s="21"/>
      <c r="GRH81" s="21"/>
      <c r="GRI81" s="21"/>
      <c r="GRJ81" s="21"/>
      <c r="GRK81" s="20"/>
      <c r="GRL81" s="20"/>
      <c r="GRM81" s="20"/>
      <c r="GRN81" s="20"/>
      <c r="GRO81" s="21"/>
      <c r="GRP81" s="21"/>
      <c r="GRQ81" s="7"/>
      <c r="GRR81" s="7"/>
      <c r="GRS81" s="21"/>
      <c r="GRT81" s="20"/>
      <c r="GRU81" s="20"/>
      <c r="GRV81" s="20"/>
      <c r="GRW81" s="21"/>
      <c r="GRX81" s="21"/>
      <c r="GRY81" s="21"/>
      <c r="GRZ81" s="21"/>
      <c r="GSA81" s="21"/>
      <c r="GSB81" s="20"/>
      <c r="GSC81" s="20"/>
      <c r="GSD81" s="20"/>
      <c r="GSE81" s="20"/>
      <c r="GSF81" s="21"/>
      <c r="GSG81" s="21"/>
      <c r="GSH81" s="7"/>
      <c r="GSI81" s="7"/>
      <c r="GSJ81" s="21"/>
      <c r="GSK81" s="20"/>
      <c r="GSL81" s="20"/>
      <c r="GSM81" s="20"/>
      <c r="GSN81" s="21"/>
      <c r="GSO81" s="21"/>
      <c r="GSP81" s="21"/>
      <c r="GSQ81" s="21"/>
      <c r="GSR81" s="21"/>
      <c r="GSS81" s="20"/>
      <c r="GST81" s="20"/>
      <c r="GSU81" s="20"/>
      <c r="GSV81" s="20"/>
      <c r="GSW81" s="21"/>
      <c r="GSX81" s="21"/>
      <c r="GSY81" s="7"/>
      <c r="GSZ81" s="7"/>
      <c r="GTA81" s="21"/>
      <c r="GTB81" s="20"/>
      <c r="GTC81" s="20"/>
      <c r="GTD81" s="20"/>
      <c r="GTE81" s="21"/>
      <c r="GTF81" s="21"/>
      <c r="GTG81" s="21"/>
      <c r="GTH81" s="21"/>
      <c r="GTI81" s="21"/>
      <c r="GTJ81" s="20"/>
      <c r="GTK81" s="20"/>
      <c r="GTL81" s="20"/>
      <c r="GTM81" s="20"/>
      <c r="GTN81" s="21"/>
      <c r="GTO81" s="21"/>
      <c r="GTP81" s="7"/>
      <c r="GTQ81" s="7"/>
      <c r="GTR81" s="21"/>
      <c r="GTS81" s="20"/>
      <c r="GTT81" s="20"/>
      <c r="GTU81" s="20"/>
      <c r="GTV81" s="21"/>
      <c r="GTW81" s="21"/>
      <c r="GTX81" s="21"/>
      <c r="GTY81" s="21"/>
      <c r="GTZ81" s="21"/>
      <c r="GUA81" s="20"/>
      <c r="GUB81" s="20"/>
      <c r="GUC81" s="20"/>
      <c r="GUD81" s="20"/>
      <c r="GUE81" s="21"/>
      <c r="GUF81" s="21"/>
      <c r="GUG81" s="7"/>
      <c r="GUH81" s="7"/>
      <c r="GUI81" s="21"/>
      <c r="GUJ81" s="20"/>
      <c r="GUK81" s="20"/>
      <c r="GUL81" s="20"/>
      <c r="GUM81" s="21"/>
      <c r="GUN81" s="21"/>
      <c r="GUO81" s="21"/>
      <c r="GUP81" s="21"/>
      <c r="GUQ81" s="21"/>
      <c r="GUR81" s="20"/>
      <c r="GUS81" s="20"/>
      <c r="GUT81" s="20"/>
      <c r="GUU81" s="20"/>
      <c r="GUV81" s="21"/>
      <c r="GUW81" s="21"/>
      <c r="GUX81" s="7"/>
      <c r="GUY81" s="7"/>
      <c r="GUZ81" s="21"/>
      <c r="GVA81" s="20"/>
      <c r="GVB81" s="20"/>
      <c r="GVC81" s="20"/>
      <c r="GVD81" s="21"/>
      <c r="GVE81" s="21"/>
      <c r="GVF81" s="21"/>
      <c r="GVG81" s="21"/>
      <c r="GVH81" s="21"/>
      <c r="GVI81" s="20"/>
      <c r="GVJ81" s="20"/>
      <c r="GVK81" s="20"/>
      <c r="GVL81" s="20"/>
      <c r="GVM81" s="21"/>
      <c r="GVN81" s="21"/>
      <c r="GVO81" s="7"/>
      <c r="GVP81" s="7"/>
      <c r="GVQ81" s="21"/>
      <c r="GVR81" s="20"/>
      <c r="GVS81" s="20"/>
      <c r="GVT81" s="20"/>
      <c r="GVU81" s="21"/>
      <c r="GVV81" s="21"/>
      <c r="GVW81" s="21"/>
      <c r="GVX81" s="21"/>
      <c r="GVY81" s="21"/>
      <c r="GVZ81" s="20"/>
      <c r="GWA81" s="20"/>
      <c r="GWB81" s="20"/>
      <c r="GWC81" s="20"/>
      <c r="GWD81" s="21"/>
      <c r="GWE81" s="21"/>
      <c r="GWF81" s="7"/>
      <c r="GWG81" s="7"/>
      <c r="GWH81" s="21"/>
      <c r="GWI81" s="20"/>
      <c r="GWJ81" s="20"/>
      <c r="GWK81" s="20"/>
      <c r="GWL81" s="21"/>
      <c r="GWM81" s="21"/>
      <c r="GWN81" s="21"/>
      <c r="GWO81" s="21"/>
      <c r="GWP81" s="21"/>
      <c r="GWQ81" s="20"/>
      <c r="GWR81" s="20"/>
      <c r="GWS81" s="20"/>
      <c r="GWT81" s="20"/>
      <c r="GWU81" s="21"/>
      <c r="GWV81" s="21"/>
      <c r="GWW81" s="7"/>
      <c r="GWX81" s="7"/>
      <c r="GWY81" s="21"/>
      <c r="GWZ81" s="20"/>
      <c r="GXA81" s="20"/>
      <c r="GXB81" s="20"/>
      <c r="GXC81" s="21"/>
      <c r="GXD81" s="21"/>
      <c r="GXE81" s="21"/>
      <c r="GXF81" s="21"/>
      <c r="GXG81" s="21"/>
      <c r="GXH81" s="20"/>
      <c r="GXI81" s="20"/>
      <c r="GXJ81" s="20"/>
      <c r="GXK81" s="20"/>
      <c r="GXL81" s="21"/>
      <c r="GXM81" s="21"/>
      <c r="GXN81" s="7"/>
      <c r="GXO81" s="7"/>
      <c r="GXP81" s="21"/>
      <c r="GXQ81" s="20"/>
      <c r="GXR81" s="20"/>
      <c r="GXS81" s="20"/>
      <c r="GXT81" s="21"/>
      <c r="GXU81" s="21"/>
      <c r="GXV81" s="21"/>
      <c r="GXW81" s="21"/>
      <c r="GXX81" s="21"/>
      <c r="GXY81" s="20"/>
      <c r="GXZ81" s="20"/>
      <c r="GYA81" s="20"/>
      <c r="GYB81" s="20"/>
      <c r="GYC81" s="21"/>
      <c r="GYD81" s="21"/>
      <c r="GYE81" s="7"/>
      <c r="GYF81" s="7"/>
      <c r="GYG81" s="21"/>
      <c r="GYH81" s="20"/>
      <c r="GYI81" s="20"/>
      <c r="GYJ81" s="20"/>
      <c r="GYK81" s="21"/>
      <c r="GYL81" s="21"/>
      <c r="GYM81" s="21"/>
      <c r="GYN81" s="21"/>
      <c r="GYO81" s="21"/>
      <c r="GYP81" s="20"/>
      <c r="GYQ81" s="20"/>
      <c r="GYR81" s="20"/>
      <c r="GYS81" s="20"/>
      <c r="GYT81" s="21"/>
      <c r="GYU81" s="21"/>
      <c r="GYV81" s="7"/>
      <c r="GYW81" s="7"/>
      <c r="GYX81" s="21"/>
      <c r="GYY81" s="20"/>
      <c r="GYZ81" s="20"/>
      <c r="GZA81" s="20"/>
      <c r="GZB81" s="21"/>
      <c r="GZC81" s="21"/>
      <c r="GZD81" s="21"/>
      <c r="GZE81" s="21"/>
      <c r="GZF81" s="21"/>
      <c r="GZG81" s="20"/>
      <c r="GZH81" s="20"/>
      <c r="GZI81" s="20"/>
      <c r="GZJ81" s="20"/>
      <c r="GZK81" s="21"/>
      <c r="GZL81" s="21"/>
      <c r="GZM81" s="7"/>
      <c r="GZN81" s="7"/>
      <c r="GZO81" s="21"/>
      <c r="GZP81" s="20"/>
      <c r="GZQ81" s="20"/>
      <c r="GZR81" s="20"/>
      <c r="GZS81" s="21"/>
      <c r="GZT81" s="21"/>
      <c r="GZU81" s="21"/>
      <c r="GZV81" s="21"/>
      <c r="GZW81" s="21"/>
      <c r="GZX81" s="20"/>
      <c r="GZY81" s="20"/>
      <c r="GZZ81" s="20"/>
      <c r="HAA81" s="20"/>
      <c r="HAB81" s="21"/>
      <c r="HAC81" s="21"/>
      <c r="HAD81" s="7"/>
      <c r="HAE81" s="7"/>
      <c r="HAF81" s="21"/>
      <c r="HAG81" s="20"/>
      <c r="HAH81" s="20"/>
      <c r="HAI81" s="20"/>
      <c r="HAJ81" s="21"/>
      <c r="HAK81" s="21"/>
      <c r="HAL81" s="21"/>
      <c r="HAM81" s="21"/>
      <c r="HAN81" s="21"/>
      <c r="HAO81" s="20"/>
      <c r="HAP81" s="20"/>
      <c r="HAQ81" s="20"/>
      <c r="HAR81" s="20"/>
      <c r="HAS81" s="21"/>
      <c r="HAT81" s="21"/>
      <c r="HAU81" s="7"/>
      <c r="HAV81" s="7"/>
      <c r="HAW81" s="21"/>
      <c r="HAX81" s="20"/>
      <c r="HAY81" s="20"/>
      <c r="HAZ81" s="20"/>
      <c r="HBA81" s="21"/>
      <c r="HBB81" s="21"/>
      <c r="HBC81" s="21"/>
      <c r="HBD81" s="21"/>
      <c r="HBE81" s="21"/>
      <c r="HBF81" s="20"/>
      <c r="HBG81" s="20"/>
      <c r="HBH81" s="20"/>
      <c r="HBI81" s="20"/>
      <c r="HBJ81" s="21"/>
      <c r="HBK81" s="21"/>
      <c r="HBL81" s="7"/>
      <c r="HBM81" s="7"/>
      <c r="HBN81" s="21"/>
      <c r="HBO81" s="20"/>
      <c r="HBP81" s="20"/>
      <c r="HBQ81" s="20"/>
      <c r="HBR81" s="21"/>
      <c r="HBS81" s="21"/>
      <c r="HBT81" s="21"/>
      <c r="HBU81" s="21"/>
      <c r="HBV81" s="21"/>
      <c r="HBW81" s="20"/>
      <c r="HBX81" s="20"/>
      <c r="HBY81" s="20"/>
      <c r="HBZ81" s="20"/>
      <c r="HCA81" s="21"/>
      <c r="HCB81" s="21"/>
      <c r="HCC81" s="7"/>
      <c r="HCD81" s="7"/>
      <c r="HCE81" s="21"/>
      <c r="HCF81" s="20"/>
      <c r="HCG81" s="20"/>
      <c r="HCH81" s="20"/>
      <c r="HCI81" s="21"/>
      <c r="HCJ81" s="21"/>
      <c r="HCK81" s="21"/>
      <c r="HCL81" s="21"/>
      <c r="HCM81" s="21"/>
      <c r="HCN81" s="20"/>
      <c r="HCO81" s="20"/>
      <c r="HCP81" s="20"/>
      <c r="HCQ81" s="20"/>
      <c r="HCR81" s="21"/>
      <c r="HCS81" s="21"/>
      <c r="HCT81" s="7"/>
      <c r="HCU81" s="7"/>
      <c r="HCV81" s="21"/>
      <c r="HCW81" s="20"/>
      <c r="HCX81" s="20"/>
      <c r="HCY81" s="20"/>
      <c r="HCZ81" s="21"/>
      <c r="HDA81" s="21"/>
      <c r="HDB81" s="21"/>
      <c r="HDC81" s="21"/>
      <c r="HDD81" s="21"/>
      <c r="HDE81" s="20"/>
      <c r="HDF81" s="20"/>
      <c r="HDG81" s="20"/>
      <c r="HDH81" s="20"/>
      <c r="HDI81" s="21"/>
      <c r="HDJ81" s="21"/>
      <c r="HDK81" s="7"/>
      <c r="HDL81" s="7"/>
      <c r="HDM81" s="21"/>
      <c r="HDN81" s="20"/>
      <c r="HDO81" s="20"/>
      <c r="HDP81" s="20"/>
      <c r="HDQ81" s="21"/>
      <c r="HDR81" s="21"/>
      <c r="HDS81" s="21"/>
      <c r="HDT81" s="21"/>
      <c r="HDU81" s="21"/>
      <c r="HDV81" s="20"/>
      <c r="HDW81" s="20"/>
      <c r="HDX81" s="20"/>
      <c r="HDY81" s="20"/>
      <c r="HDZ81" s="21"/>
      <c r="HEA81" s="21"/>
      <c r="HEB81" s="7"/>
      <c r="HEC81" s="7"/>
      <c r="HED81" s="21"/>
      <c r="HEE81" s="20"/>
      <c r="HEF81" s="20"/>
      <c r="HEG81" s="20"/>
      <c r="HEH81" s="21"/>
      <c r="HEI81" s="21"/>
      <c r="HEJ81" s="21"/>
      <c r="HEK81" s="21"/>
      <c r="HEL81" s="21"/>
      <c r="HEM81" s="20"/>
      <c r="HEN81" s="20"/>
      <c r="HEO81" s="20"/>
      <c r="HEP81" s="20"/>
      <c r="HEQ81" s="21"/>
      <c r="HER81" s="21"/>
      <c r="HES81" s="7"/>
      <c r="HET81" s="7"/>
      <c r="HEU81" s="21"/>
      <c r="HEV81" s="20"/>
      <c r="HEW81" s="20"/>
      <c r="HEX81" s="20"/>
      <c r="HEY81" s="21"/>
      <c r="HEZ81" s="21"/>
      <c r="HFA81" s="21"/>
      <c r="HFB81" s="21"/>
      <c r="HFC81" s="21"/>
      <c r="HFD81" s="20"/>
      <c r="HFE81" s="20"/>
      <c r="HFF81" s="20"/>
      <c r="HFG81" s="20"/>
      <c r="HFH81" s="21"/>
      <c r="HFI81" s="21"/>
      <c r="HFJ81" s="7"/>
      <c r="HFK81" s="7"/>
      <c r="HFL81" s="21"/>
      <c r="HFM81" s="20"/>
      <c r="HFN81" s="20"/>
      <c r="HFO81" s="20"/>
      <c r="HFP81" s="21"/>
      <c r="HFQ81" s="21"/>
      <c r="HFR81" s="21"/>
      <c r="HFS81" s="21"/>
      <c r="HFT81" s="21"/>
      <c r="HFU81" s="20"/>
      <c r="HFV81" s="20"/>
      <c r="HFW81" s="20"/>
      <c r="HFX81" s="20"/>
      <c r="HFY81" s="21"/>
      <c r="HFZ81" s="21"/>
      <c r="HGA81" s="7"/>
      <c r="HGB81" s="7"/>
      <c r="HGC81" s="21"/>
      <c r="HGD81" s="20"/>
      <c r="HGE81" s="20"/>
      <c r="HGF81" s="20"/>
      <c r="HGG81" s="21"/>
      <c r="HGH81" s="21"/>
      <c r="HGI81" s="21"/>
      <c r="HGJ81" s="21"/>
      <c r="HGK81" s="21"/>
      <c r="HGL81" s="20"/>
      <c r="HGM81" s="20"/>
      <c r="HGN81" s="20"/>
      <c r="HGO81" s="20"/>
      <c r="HGP81" s="21"/>
      <c r="HGQ81" s="21"/>
      <c r="HGR81" s="7"/>
      <c r="HGS81" s="7"/>
      <c r="HGT81" s="21"/>
      <c r="HGU81" s="20"/>
      <c r="HGV81" s="20"/>
      <c r="HGW81" s="20"/>
      <c r="HGX81" s="21"/>
      <c r="HGY81" s="21"/>
      <c r="HGZ81" s="21"/>
      <c r="HHA81" s="21"/>
      <c r="HHB81" s="21"/>
      <c r="HHC81" s="20"/>
      <c r="HHD81" s="20"/>
      <c r="HHE81" s="20"/>
      <c r="HHF81" s="20"/>
      <c r="HHG81" s="21"/>
      <c r="HHH81" s="21"/>
      <c r="HHI81" s="7"/>
      <c r="HHJ81" s="7"/>
      <c r="HHK81" s="21"/>
      <c r="HHL81" s="20"/>
      <c r="HHM81" s="20"/>
      <c r="HHN81" s="20"/>
      <c r="HHO81" s="21"/>
      <c r="HHP81" s="21"/>
      <c r="HHQ81" s="21"/>
      <c r="HHR81" s="21"/>
      <c r="HHS81" s="21"/>
      <c r="HHT81" s="20"/>
      <c r="HHU81" s="20"/>
      <c r="HHV81" s="20"/>
      <c r="HHW81" s="20"/>
      <c r="HHX81" s="21"/>
      <c r="HHY81" s="21"/>
      <c r="HHZ81" s="7"/>
      <c r="HIA81" s="7"/>
      <c r="HIB81" s="21"/>
      <c r="HIC81" s="20"/>
      <c r="HID81" s="20"/>
      <c r="HIE81" s="20"/>
      <c r="HIF81" s="21"/>
      <c r="HIG81" s="21"/>
      <c r="HIH81" s="21"/>
      <c r="HII81" s="21"/>
      <c r="HIJ81" s="21"/>
      <c r="HIK81" s="20"/>
      <c r="HIL81" s="20"/>
      <c r="HIM81" s="20"/>
      <c r="HIN81" s="20"/>
      <c r="HIO81" s="21"/>
      <c r="HIP81" s="21"/>
      <c r="HIQ81" s="7"/>
      <c r="HIR81" s="7"/>
      <c r="HIS81" s="21"/>
      <c r="HIT81" s="20"/>
      <c r="HIU81" s="20"/>
      <c r="HIV81" s="20"/>
      <c r="HIW81" s="21"/>
      <c r="HIX81" s="21"/>
      <c r="HIY81" s="21"/>
      <c r="HIZ81" s="21"/>
      <c r="HJA81" s="21"/>
      <c r="HJB81" s="20"/>
      <c r="HJC81" s="20"/>
      <c r="HJD81" s="20"/>
      <c r="HJE81" s="20"/>
      <c r="HJF81" s="21"/>
      <c r="HJG81" s="21"/>
      <c r="HJH81" s="7"/>
      <c r="HJI81" s="7"/>
      <c r="HJJ81" s="21"/>
      <c r="HJK81" s="20"/>
      <c r="HJL81" s="20"/>
      <c r="HJM81" s="20"/>
      <c r="HJN81" s="21"/>
      <c r="HJO81" s="21"/>
      <c r="HJP81" s="21"/>
      <c r="HJQ81" s="21"/>
      <c r="HJR81" s="21"/>
      <c r="HJS81" s="20"/>
      <c r="HJT81" s="20"/>
      <c r="HJU81" s="20"/>
      <c r="HJV81" s="20"/>
      <c r="HJW81" s="21"/>
      <c r="HJX81" s="21"/>
      <c r="HJY81" s="7"/>
      <c r="HJZ81" s="7"/>
      <c r="HKA81" s="21"/>
      <c r="HKB81" s="20"/>
      <c r="HKC81" s="20"/>
      <c r="HKD81" s="20"/>
      <c r="HKE81" s="21"/>
      <c r="HKF81" s="21"/>
      <c r="HKG81" s="21"/>
      <c r="HKH81" s="21"/>
      <c r="HKI81" s="21"/>
      <c r="HKJ81" s="20"/>
      <c r="HKK81" s="20"/>
      <c r="HKL81" s="20"/>
      <c r="HKM81" s="20"/>
      <c r="HKN81" s="21"/>
      <c r="HKO81" s="21"/>
      <c r="HKP81" s="7"/>
      <c r="HKQ81" s="7"/>
      <c r="HKR81" s="21"/>
      <c r="HKS81" s="20"/>
      <c r="HKT81" s="20"/>
      <c r="HKU81" s="20"/>
      <c r="HKV81" s="21"/>
      <c r="HKW81" s="21"/>
      <c r="HKX81" s="21"/>
      <c r="HKY81" s="21"/>
      <c r="HKZ81" s="21"/>
      <c r="HLA81" s="20"/>
      <c r="HLB81" s="20"/>
      <c r="HLC81" s="20"/>
      <c r="HLD81" s="20"/>
      <c r="HLE81" s="21"/>
      <c r="HLF81" s="21"/>
      <c r="HLG81" s="7"/>
      <c r="HLH81" s="7"/>
      <c r="HLI81" s="21"/>
      <c r="HLJ81" s="20"/>
      <c r="HLK81" s="20"/>
      <c r="HLL81" s="20"/>
      <c r="HLM81" s="21"/>
      <c r="HLN81" s="21"/>
      <c r="HLO81" s="21"/>
      <c r="HLP81" s="21"/>
      <c r="HLQ81" s="21"/>
      <c r="HLR81" s="20"/>
      <c r="HLS81" s="20"/>
      <c r="HLT81" s="20"/>
      <c r="HLU81" s="20"/>
      <c r="HLV81" s="21"/>
      <c r="HLW81" s="21"/>
      <c r="HLX81" s="7"/>
      <c r="HLY81" s="7"/>
      <c r="HLZ81" s="21"/>
      <c r="HMA81" s="20"/>
      <c r="HMB81" s="20"/>
      <c r="HMC81" s="20"/>
      <c r="HMD81" s="21"/>
      <c r="HME81" s="21"/>
      <c r="HMF81" s="21"/>
      <c r="HMG81" s="21"/>
      <c r="HMH81" s="21"/>
      <c r="HMI81" s="20"/>
      <c r="HMJ81" s="20"/>
      <c r="HMK81" s="20"/>
      <c r="HML81" s="20"/>
      <c r="HMM81" s="21"/>
      <c r="HMN81" s="21"/>
      <c r="HMO81" s="7"/>
      <c r="HMP81" s="7"/>
      <c r="HMQ81" s="21"/>
      <c r="HMR81" s="20"/>
      <c r="HMS81" s="20"/>
      <c r="HMT81" s="20"/>
      <c r="HMU81" s="21"/>
      <c r="HMV81" s="21"/>
      <c r="HMW81" s="21"/>
      <c r="HMX81" s="21"/>
      <c r="HMY81" s="21"/>
      <c r="HMZ81" s="20"/>
      <c r="HNA81" s="20"/>
      <c r="HNB81" s="20"/>
      <c r="HNC81" s="20"/>
      <c r="HND81" s="21"/>
      <c r="HNE81" s="21"/>
      <c r="HNF81" s="7"/>
      <c r="HNG81" s="7"/>
      <c r="HNH81" s="21"/>
      <c r="HNI81" s="20"/>
      <c r="HNJ81" s="20"/>
      <c r="HNK81" s="20"/>
      <c r="HNL81" s="21"/>
      <c r="HNM81" s="21"/>
      <c r="HNN81" s="21"/>
      <c r="HNO81" s="21"/>
      <c r="HNP81" s="21"/>
      <c r="HNQ81" s="20"/>
      <c r="HNR81" s="20"/>
      <c r="HNS81" s="20"/>
      <c r="HNT81" s="20"/>
      <c r="HNU81" s="21"/>
      <c r="HNV81" s="21"/>
      <c r="HNW81" s="7"/>
      <c r="HNX81" s="7"/>
      <c r="HNY81" s="21"/>
      <c r="HNZ81" s="20"/>
      <c r="HOA81" s="20"/>
      <c r="HOB81" s="20"/>
      <c r="HOC81" s="21"/>
      <c r="HOD81" s="21"/>
      <c r="HOE81" s="21"/>
      <c r="HOF81" s="21"/>
      <c r="HOG81" s="21"/>
      <c r="HOH81" s="20"/>
      <c r="HOI81" s="20"/>
      <c r="HOJ81" s="20"/>
      <c r="HOK81" s="20"/>
      <c r="HOL81" s="21"/>
      <c r="HOM81" s="21"/>
      <c r="HON81" s="7"/>
      <c r="HOO81" s="7"/>
      <c r="HOP81" s="21"/>
      <c r="HOQ81" s="20"/>
      <c r="HOR81" s="20"/>
      <c r="HOS81" s="20"/>
      <c r="HOT81" s="21"/>
      <c r="HOU81" s="21"/>
      <c r="HOV81" s="21"/>
      <c r="HOW81" s="21"/>
      <c r="HOX81" s="21"/>
      <c r="HOY81" s="20"/>
      <c r="HOZ81" s="20"/>
      <c r="HPA81" s="20"/>
      <c r="HPB81" s="20"/>
      <c r="HPC81" s="21"/>
      <c r="HPD81" s="21"/>
      <c r="HPE81" s="7"/>
      <c r="HPF81" s="7"/>
      <c r="HPG81" s="21"/>
      <c r="HPH81" s="20"/>
      <c r="HPI81" s="20"/>
      <c r="HPJ81" s="20"/>
      <c r="HPK81" s="21"/>
      <c r="HPL81" s="21"/>
      <c r="HPM81" s="21"/>
      <c r="HPN81" s="21"/>
      <c r="HPO81" s="21"/>
      <c r="HPP81" s="20"/>
      <c r="HPQ81" s="20"/>
      <c r="HPR81" s="20"/>
      <c r="HPS81" s="20"/>
      <c r="HPT81" s="21"/>
      <c r="HPU81" s="21"/>
      <c r="HPV81" s="7"/>
      <c r="HPW81" s="7"/>
      <c r="HPX81" s="21"/>
      <c r="HPY81" s="20"/>
      <c r="HPZ81" s="20"/>
      <c r="HQA81" s="20"/>
      <c r="HQB81" s="21"/>
      <c r="HQC81" s="21"/>
      <c r="HQD81" s="21"/>
      <c r="HQE81" s="21"/>
      <c r="HQF81" s="21"/>
      <c r="HQG81" s="20"/>
      <c r="HQH81" s="20"/>
      <c r="HQI81" s="20"/>
      <c r="HQJ81" s="20"/>
      <c r="HQK81" s="21"/>
      <c r="HQL81" s="21"/>
      <c r="HQM81" s="7"/>
      <c r="HQN81" s="7"/>
      <c r="HQO81" s="21"/>
      <c r="HQP81" s="20"/>
      <c r="HQQ81" s="20"/>
      <c r="HQR81" s="20"/>
      <c r="HQS81" s="21"/>
      <c r="HQT81" s="21"/>
      <c r="HQU81" s="21"/>
      <c r="HQV81" s="21"/>
      <c r="HQW81" s="21"/>
      <c r="HQX81" s="20"/>
      <c r="HQY81" s="20"/>
      <c r="HQZ81" s="20"/>
      <c r="HRA81" s="20"/>
      <c r="HRB81" s="21"/>
      <c r="HRC81" s="21"/>
      <c r="HRD81" s="7"/>
      <c r="HRE81" s="7"/>
      <c r="HRF81" s="21"/>
      <c r="HRG81" s="20"/>
      <c r="HRH81" s="20"/>
      <c r="HRI81" s="20"/>
      <c r="HRJ81" s="21"/>
      <c r="HRK81" s="21"/>
      <c r="HRL81" s="21"/>
      <c r="HRM81" s="21"/>
      <c r="HRN81" s="21"/>
      <c r="HRO81" s="20"/>
      <c r="HRP81" s="20"/>
      <c r="HRQ81" s="20"/>
      <c r="HRR81" s="20"/>
      <c r="HRS81" s="21"/>
      <c r="HRT81" s="21"/>
      <c r="HRU81" s="7"/>
      <c r="HRV81" s="7"/>
      <c r="HRW81" s="21"/>
      <c r="HRX81" s="20"/>
      <c r="HRY81" s="20"/>
      <c r="HRZ81" s="20"/>
      <c r="HSA81" s="21"/>
      <c r="HSB81" s="21"/>
      <c r="HSC81" s="21"/>
      <c r="HSD81" s="21"/>
      <c r="HSE81" s="21"/>
      <c r="HSF81" s="20"/>
      <c r="HSG81" s="20"/>
      <c r="HSH81" s="20"/>
      <c r="HSI81" s="20"/>
      <c r="HSJ81" s="21"/>
      <c r="HSK81" s="21"/>
      <c r="HSL81" s="7"/>
      <c r="HSM81" s="7"/>
      <c r="HSN81" s="21"/>
      <c r="HSO81" s="20"/>
      <c r="HSP81" s="20"/>
      <c r="HSQ81" s="20"/>
      <c r="HSR81" s="21"/>
      <c r="HSS81" s="21"/>
      <c r="HST81" s="21"/>
      <c r="HSU81" s="21"/>
      <c r="HSV81" s="21"/>
      <c r="HSW81" s="20"/>
      <c r="HSX81" s="20"/>
      <c r="HSY81" s="20"/>
      <c r="HSZ81" s="20"/>
      <c r="HTA81" s="21"/>
      <c r="HTB81" s="21"/>
      <c r="HTC81" s="7"/>
      <c r="HTD81" s="7"/>
      <c r="HTE81" s="21"/>
      <c r="HTF81" s="20"/>
      <c r="HTG81" s="20"/>
      <c r="HTH81" s="20"/>
      <c r="HTI81" s="21"/>
      <c r="HTJ81" s="21"/>
      <c r="HTK81" s="21"/>
      <c r="HTL81" s="21"/>
      <c r="HTM81" s="21"/>
      <c r="HTN81" s="20"/>
      <c r="HTO81" s="20"/>
      <c r="HTP81" s="20"/>
      <c r="HTQ81" s="20"/>
      <c r="HTR81" s="21"/>
      <c r="HTS81" s="21"/>
      <c r="HTT81" s="7"/>
      <c r="HTU81" s="7"/>
      <c r="HTV81" s="21"/>
      <c r="HTW81" s="20"/>
      <c r="HTX81" s="20"/>
      <c r="HTY81" s="20"/>
      <c r="HTZ81" s="21"/>
      <c r="HUA81" s="21"/>
      <c r="HUB81" s="21"/>
      <c r="HUC81" s="21"/>
      <c r="HUD81" s="21"/>
      <c r="HUE81" s="20"/>
      <c r="HUF81" s="20"/>
      <c r="HUG81" s="20"/>
      <c r="HUH81" s="20"/>
      <c r="HUI81" s="21"/>
      <c r="HUJ81" s="21"/>
      <c r="HUK81" s="7"/>
      <c r="HUL81" s="7"/>
      <c r="HUM81" s="21"/>
      <c r="HUN81" s="20"/>
      <c r="HUO81" s="20"/>
      <c r="HUP81" s="20"/>
      <c r="HUQ81" s="21"/>
      <c r="HUR81" s="21"/>
      <c r="HUS81" s="21"/>
      <c r="HUT81" s="21"/>
      <c r="HUU81" s="21"/>
      <c r="HUV81" s="20"/>
      <c r="HUW81" s="20"/>
      <c r="HUX81" s="20"/>
      <c r="HUY81" s="20"/>
      <c r="HUZ81" s="21"/>
      <c r="HVA81" s="21"/>
      <c r="HVB81" s="7"/>
      <c r="HVC81" s="7"/>
      <c r="HVD81" s="21"/>
      <c r="HVE81" s="20"/>
      <c r="HVF81" s="20"/>
      <c r="HVG81" s="20"/>
      <c r="HVH81" s="21"/>
      <c r="HVI81" s="21"/>
      <c r="HVJ81" s="21"/>
      <c r="HVK81" s="21"/>
      <c r="HVL81" s="21"/>
      <c r="HVM81" s="20"/>
      <c r="HVN81" s="20"/>
      <c r="HVO81" s="20"/>
      <c r="HVP81" s="20"/>
      <c r="HVQ81" s="21"/>
      <c r="HVR81" s="21"/>
      <c r="HVS81" s="7"/>
      <c r="HVT81" s="7"/>
      <c r="HVU81" s="21"/>
      <c r="HVV81" s="20"/>
      <c r="HVW81" s="20"/>
      <c r="HVX81" s="20"/>
      <c r="HVY81" s="21"/>
      <c r="HVZ81" s="21"/>
      <c r="HWA81" s="21"/>
      <c r="HWB81" s="21"/>
      <c r="HWC81" s="21"/>
      <c r="HWD81" s="20"/>
      <c r="HWE81" s="20"/>
      <c r="HWF81" s="20"/>
      <c r="HWG81" s="20"/>
      <c r="HWH81" s="21"/>
      <c r="HWI81" s="21"/>
      <c r="HWJ81" s="7"/>
      <c r="HWK81" s="7"/>
      <c r="HWL81" s="21"/>
      <c r="HWM81" s="20"/>
      <c r="HWN81" s="20"/>
      <c r="HWO81" s="20"/>
      <c r="HWP81" s="21"/>
      <c r="HWQ81" s="21"/>
      <c r="HWR81" s="21"/>
      <c r="HWS81" s="21"/>
      <c r="HWT81" s="21"/>
      <c r="HWU81" s="20"/>
      <c r="HWV81" s="20"/>
      <c r="HWW81" s="20"/>
      <c r="HWX81" s="20"/>
      <c r="HWY81" s="21"/>
      <c r="HWZ81" s="21"/>
      <c r="HXA81" s="7"/>
      <c r="HXB81" s="7"/>
      <c r="HXC81" s="21"/>
      <c r="HXD81" s="20"/>
      <c r="HXE81" s="20"/>
      <c r="HXF81" s="20"/>
      <c r="HXG81" s="21"/>
      <c r="HXH81" s="21"/>
      <c r="HXI81" s="21"/>
      <c r="HXJ81" s="21"/>
      <c r="HXK81" s="21"/>
      <c r="HXL81" s="20"/>
      <c r="HXM81" s="20"/>
      <c r="HXN81" s="20"/>
      <c r="HXO81" s="20"/>
      <c r="HXP81" s="21"/>
      <c r="HXQ81" s="21"/>
      <c r="HXR81" s="7"/>
      <c r="HXS81" s="7"/>
      <c r="HXT81" s="21"/>
      <c r="HXU81" s="20"/>
      <c r="HXV81" s="20"/>
      <c r="HXW81" s="20"/>
      <c r="HXX81" s="21"/>
      <c r="HXY81" s="21"/>
      <c r="HXZ81" s="21"/>
      <c r="HYA81" s="21"/>
      <c r="HYB81" s="21"/>
      <c r="HYC81" s="20"/>
      <c r="HYD81" s="20"/>
      <c r="HYE81" s="20"/>
      <c r="HYF81" s="20"/>
      <c r="HYG81" s="21"/>
      <c r="HYH81" s="21"/>
      <c r="HYI81" s="7"/>
      <c r="HYJ81" s="7"/>
      <c r="HYK81" s="21"/>
      <c r="HYL81" s="20"/>
      <c r="HYM81" s="20"/>
      <c r="HYN81" s="20"/>
      <c r="HYO81" s="21"/>
      <c r="HYP81" s="21"/>
      <c r="HYQ81" s="21"/>
      <c r="HYR81" s="21"/>
      <c r="HYS81" s="21"/>
      <c r="HYT81" s="20"/>
      <c r="HYU81" s="20"/>
      <c r="HYV81" s="20"/>
      <c r="HYW81" s="20"/>
      <c r="HYX81" s="21"/>
      <c r="HYY81" s="21"/>
      <c r="HYZ81" s="7"/>
      <c r="HZA81" s="7"/>
      <c r="HZB81" s="21"/>
      <c r="HZC81" s="20"/>
      <c r="HZD81" s="20"/>
      <c r="HZE81" s="20"/>
      <c r="HZF81" s="21"/>
      <c r="HZG81" s="21"/>
      <c r="HZH81" s="21"/>
      <c r="HZI81" s="21"/>
      <c r="HZJ81" s="21"/>
      <c r="HZK81" s="20"/>
      <c r="HZL81" s="20"/>
      <c r="HZM81" s="20"/>
      <c r="HZN81" s="20"/>
      <c r="HZO81" s="21"/>
      <c r="HZP81" s="21"/>
      <c r="HZQ81" s="7"/>
      <c r="HZR81" s="7"/>
      <c r="HZS81" s="21"/>
      <c r="HZT81" s="20"/>
      <c r="HZU81" s="20"/>
      <c r="HZV81" s="20"/>
      <c r="HZW81" s="21"/>
      <c r="HZX81" s="21"/>
      <c r="HZY81" s="21"/>
      <c r="HZZ81" s="21"/>
      <c r="IAA81" s="21"/>
      <c r="IAB81" s="20"/>
      <c r="IAC81" s="20"/>
      <c r="IAD81" s="20"/>
      <c r="IAE81" s="20"/>
      <c r="IAF81" s="21"/>
      <c r="IAG81" s="21"/>
      <c r="IAH81" s="7"/>
      <c r="IAI81" s="7"/>
      <c r="IAJ81" s="21"/>
      <c r="IAK81" s="20"/>
      <c r="IAL81" s="20"/>
      <c r="IAM81" s="20"/>
      <c r="IAN81" s="21"/>
      <c r="IAO81" s="21"/>
      <c r="IAP81" s="21"/>
      <c r="IAQ81" s="21"/>
      <c r="IAR81" s="21"/>
      <c r="IAS81" s="20"/>
      <c r="IAT81" s="20"/>
      <c r="IAU81" s="20"/>
      <c r="IAV81" s="20"/>
      <c r="IAW81" s="21"/>
      <c r="IAX81" s="21"/>
      <c r="IAY81" s="7"/>
      <c r="IAZ81" s="7"/>
      <c r="IBA81" s="21"/>
      <c r="IBB81" s="20"/>
      <c r="IBC81" s="20"/>
      <c r="IBD81" s="20"/>
      <c r="IBE81" s="21"/>
      <c r="IBF81" s="21"/>
      <c r="IBG81" s="21"/>
      <c r="IBH81" s="21"/>
      <c r="IBI81" s="21"/>
      <c r="IBJ81" s="20"/>
      <c r="IBK81" s="20"/>
      <c r="IBL81" s="20"/>
      <c r="IBM81" s="20"/>
      <c r="IBN81" s="21"/>
      <c r="IBO81" s="21"/>
      <c r="IBP81" s="7"/>
      <c r="IBQ81" s="7"/>
      <c r="IBR81" s="21"/>
      <c r="IBS81" s="20"/>
      <c r="IBT81" s="20"/>
      <c r="IBU81" s="20"/>
      <c r="IBV81" s="21"/>
      <c r="IBW81" s="21"/>
      <c r="IBX81" s="21"/>
      <c r="IBY81" s="21"/>
      <c r="IBZ81" s="21"/>
      <c r="ICA81" s="20"/>
      <c r="ICB81" s="20"/>
      <c r="ICC81" s="20"/>
      <c r="ICD81" s="20"/>
      <c r="ICE81" s="21"/>
      <c r="ICF81" s="21"/>
      <c r="ICG81" s="7"/>
      <c r="ICH81" s="7"/>
      <c r="ICI81" s="21"/>
      <c r="ICJ81" s="20"/>
      <c r="ICK81" s="20"/>
      <c r="ICL81" s="20"/>
      <c r="ICM81" s="21"/>
      <c r="ICN81" s="21"/>
      <c r="ICO81" s="21"/>
      <c r="ICP81" s="21"/>
      <c r="ICQ81" s="21"/>
      <c r="ICR81" s="20"/>
      <c r="ICS81" s="20"/>
      <c r="ICT81" s="20"/>
      <c r="ICU81" s="20"/>
      <c r="ICV81" s="21"/>
      <c r="ICW81" s="21"/>
      <c r="ICX81" s="7"/>
      <c r="ICY81" s="7"/>
      <c r="ICZ81" s="21"/>
      <c r="IDA81" s="20"/>
      <c r="IDB81" s="20"/>
      <c r="IDC81" s="20"/>
      <c r="IDD81" s="21"/>
      <c r="IDE81" s="21"/>
      <c r="IDF81" s="21"/>
      <c r="IDG81" s="21"/>
      <c r="IDH81" s="21"/>
      <c r="IDI81" s="20"/>
      <c r="IDJ81" s="20"/>
      <c r="IDK81" s="20"/>
      <c r="IDL81" s="20"/>
      <c r="IDM81" s="21"/>
      <c r="IDN81" s="21"/>
      <c r="IDO81" s="7"/>
      <c r="IDP81" s="7"/>
      <c r="IDQ81" s="21"/>
      <c r="IDR81" s="20"/>
      <c r="IDS81" s="20"/>
      <c r="IDT81" s="20"/>
      <c r="IDU81" s="21"/>
      <c r="IDV81" s="21"/>
      <c r="IDW81" s="21"/>
      <c r="IDX81" s="21"/>
      <c r="IDY81" s="21"/>
      <c r="IDZ81" s="20"/>
      <c r="IEA81" s="20"/>
      <c r="IEB81" s="20"/>
      <c r="IEC81" s="20"/>
      <c r="IED81" s="21"/>
      <c r="IEE81" s="21"/>
      <c r="IEF81" s="7"/>
      <c r="IEG81" s="7"/>
      <c r="IEH81" s="21"/>
      <c r="IEI81" s="20"/>
      <c r="IEJ81" s="20"/>
      <c r="IEK81" s="20"/>
      <c r="IEL81" s="21"/>
      <c r="IEM81" s="21"/>
      <c r="IEN81" s="21"/>
      <c r="IEO81" s="21"/>
      <c r="IEP81" s="21"/>
      <c r="IEQ81" s="20"/>
      <c r="IER81" s="20"/>
      <c r="IES81" s="20"/>
      <c r="IET81" s="20"/>
      <c r="IEU81" s="21"/>
      <c r="IEV81" s="21"/>
      <c r="IEW81" s="7"/>
      <c r="IEX81" s="7"/>
      <c r="IEY81" s="21"/>
      <c r="IEZ81" s="20"/>
      <c r="IFA81" s="20"/>
      <c r="IFB81" s="20"/>
      <c r="IFC81" s="21"/>
      <c r="IFD81" s="21"/>
      <c r="IFE81" s="21"/>
      <c r="IFF81" s="21"/>
      <c r="IFG81" s="21"/>
      <c r="IFH81" s="20"/>
      <c r="IFI81" s="20"/>
      <c r="IFJ81" s="20"/>
      <c r="IFK81" s="20"/>
      <c r="IFL81" s="21"/>
      <c r="IFM81" s="21"/>
      <c r="IFN81" s="7"/>
      <c r="IFO81" s="7"/>
      <c r="IFP81" s="21"/>
      <c r="IFQ81" s="20"/>
      <c r="IFR81" s="20"/>
      <c r="IFS81" s="20"/>
      <c r="IFT81" s="21"/>
      <c r="IFU81" s="21"/>
      <c r="IFV81" s="21"/>
      <c r="IFW81" s="21"/>
      <c r="IFX81" s="21"/>
      <c r="IFY81" s="20"/>
      <c r="IFZ81" s="20"/>
      <c r="IGA81" s="20"/>
      <c r="IGB81" s="20"/>
      <c r="IGC81" s="21"/>
      <c r="IGD81" s="21"/>
      <c r="IGE81" s="7"/>
      <c r="IGF81" s="7"/>
      <c r="IGG81" s="21"/>
      <c r="IGH81" s="20"/>
      <c r="IGI81" s="20"/>
      <c r="IGJ81" s="20"/>
      <c r="IGK81" s="21"/>
      <c r="IGL81" s="21"/>
      <c r="IGM81" s="21"/>
      <c r="IGN81" s="21"/>
      <c r="IGO81" s="21"/>
      <c r="IGP81" s="20"/>
      <c r="IGQ81" s="20"/>
      <c r="IGR81" s="20"/>
      <c r="IGS81" s="20"/>
      <c r="IGT81" s="21"/>
      <c r="IGU81" s="21"/>
      <c r="IGV81" s="7"/>
      <c r="IGW81" s="7"/>
      <c r="IGX81" s="21"/>
      <c r="IGY81" s="20"/>
      <c r="IGZ81" s="20"/>
      <c r="IHA81" s="20"/>
      <c r="IHB81" s="21"/>
      <c r="IHC81" s="21"/>
      <c r="IHD81" s="21"/>
      <c r="IHE81" s="21"/>
      <c r="IHF81" s="21"/>
      <c r="IHG81" s="20"/>
      <c r="IHH81" s="20"/>
      <c r="IHI81" s="20"/>
      <c r="IHJ81" s="20"/>
      <c r="IHK81" s="21"/>
      <c r="IHL81" s="21"/>
      <c r="IHM81" s="7"/>
      <c r="IHN81" s="7"/>
      <c r="IHO81" s="21"/>
      <c r="IHP81" s="20"/>
      <c r="IHQ81" s="20"/>
      <c r="IHR81" s="20"/>
      <c r="IHS81" s="21"/>
      <c r="IHT81" s="21"/>
      <c r="IHU81" s="21"/>
      <c r="IHV81" s="21"/>
      <c r="IHW81" s="21"/>
      <c r="IHX81" s="20"/>
      <c r="IHY81" s="20"/>
      <c r="IHZ81" s="20"/>
      <c r="IIA81" s="20"/>
      <c r="IIB81" s="21"/>
      <c r="IIC81" s="21"/>
      <c r="IID81" s="7"/>
      <c r="IIE81" s="7"/>
      <c r="IIF81" s="21"/>
      <c r="IIG81" s="20"/>
      <c r="IIH81" s="20"/>
      <c r="III81" s="20"/>
      <c r="IIJ81" s="21"/>
      <c r="IIK81" s="21"/>
      <c r="IIL81" s="21"/>
      <c r="IIM81" s="21"/>
      <c r="IIN81" s="21"/>
      <c r="IIO81" s="20"/>
      <c r="IIP81" s="20"/>
      <c r="IIQ81" s="20"/>
      <c r="IIR81" s="20"/>
      <c r="IIS81" s="21"/>
      <c r="IIT81" s="21"/>
      <c r="IIU81" s="7"/>
      <c r="IIV81" s="7"/>
      <c r="IIW81" s="21"/>
      <c r="IIX81" s="20"/>
      <c r="IIY81" s="20"/>
      <c r="IIZ81" s="20"/>
      <c r="IJA81" s="21"/>
      <c r="IJB81" s="21"/>
      <c r="IJC81" s="21"/>
      <c r="IJD81" s="21"/>
      <c r="IJE81" s="21"/>
      <c r="IJF81" s="20"/>
      <c r="IJG81" s="20"/>
      <c r="IJH81" s="20"/>
      <c r="IJI81" s="20"/>
      <c r="IJJ81" s="21"/>
      <c r="IJK81" s="21"/>
      <c r="IJL81" s="7"/>
      <c r="IJM81" s="7"/>
      <c r="IJN81" s="21"/>
      <c r="IJO81" s="20"/>
      <c r="IJP81" s="20"/>
      <c r="IJQ81" s="20"/>
      <c r="IJR81" s="21"/>
      <c r="IJS81" s="21"/>
      <c r="IJT81" s="21"/>
      <c r="IJU81" s="21"/>
      <c r="IJV81" s="21"/>
      <c r="IJW81" s="20"/>
      <c r="IJX81" s="20"/>
      <c r="IJY81" s="20"/>
      <c r="IJZ81" s="20"/>
      <c r="IKA81" s="21"/>
      <c r="IKB81" s="21"/>
      <c r="IKC81" s="7"/>
      <c r="IKD81" s="7"/>
      <c r="IKE81" s="21"/>
      <c r="IKF81" s="20"/>
      <c r="IKG81" s="20"/>
      <c r="IKH81" s="20"/>
      <c r="IKI81" s="21"/>
      <c r="IKJ81" s="21"/>
      <c r="IKK81" s="21"/>
      <c r="IKL81" s="21"/>
      <c r="IKM81" s="21"/>
      <c r="IKN81" s="20"/>
      <c r="IKO81" s="20"/>
      <c r="IKP81" s="20"/>
      <c r="IKQ81" s="20"/>
      <c r="IKR81" s="21"/>
      <c r="IKS81" s="21"/>
      <c r="IKT81" s="7"/>
      <c r="IKU81" s="7"/>
      <c r="IKV81" s="21"/>
      <c r="IKW81" s="20"/>
      <c r="IKX81" s="20"/>
      <c r="IKY81" s="20"/>
      <c r="IKZ81" s="21"/>
      <c r="ILA81" s="21"/>
      <c r="ILB81" s="21"/>
      <c r="ILC81" s="21"/>
      <c r="ILD81" s="21"/>
      <c r="ILE81" s="20"/>
      <c r="ILF81" s="20"/>
      <c r="ILG81" s="20"/>
      <c r="ILH81" s="20"/>
      <c r="ILI81" s="21"/>
      <c r="ILJ81" s="21"/>
      <c r="ILK81" s="7"/>
      <c r="ILL81" s="7"/>
      <c r="ILM81" s="21"/>
      <c r="ILN81" s="20"/>
      <c r="ILO81" s="20"/>
      <c r="ILP81" s="20"/>
      <c r="ILQ81" s="21"/>
      <c r="ILR81" s="21"/>
      <c r="ILS81" s="21"/>
      <c r="ILT81" s="21"/>
      <c r="ILU81" s="21"/>
      <c r="ILV81" s="20"/>
      <c r="ILW81" s="20"/>
      <c r="ILX81" s="20"/>
      <c r="ILY81" s="20"/>
      <c r="ILZ81" s="21"/>
      <c r="IMA81" s="21"/>
      <c r="IMB81" s="7"/>
      <c r="IMC81" s="7"/>
      <c r="IMD81" s="21"/>
      <c r="IME81" s="20"/>
      <c r="IMF81" s="20"/>
      <c r="IMG81" s="20"/>
      <c r="IMH81" s="21"/>
      <c r="IMI81" s="21"/>
      <c r="IMJ81" s="21"/>
      <c r="IMK81" s="21"/>
      <c r="IML81" s="21"/>
      <c r="IMM81" s="20"/>
      <c r="IMN81" s="20"/>
      <c r="IMO81" s="20"/>
      <c r="IMP81" s="20"/>
      <c r="IMQ81" s="21"/>
      <c r="IMR81" s="21"/>
      <c r="IMS81" s="7"/>
      <c r="IMT81" s="7"/>
      <c r="IMU81" s="21"/>
      <c r="IMV81" s="20"/>
      <c r="IMW81" s="20"/>
      <c r="IMX81" s="20"/>
      <c r="IMY81" s="21"/>
      <c r="IMZ81" s="21"/>
      <c r="INA81" s="21"/>
      <c r="INB81" s="21"/>
      <c r="INC81" s="21"/>
      <c r="IND81" s="20"/>
      <c r="INE81" s="20"/>
      <c r="INF81" s="20"/>
      <c r="ING81" s="20"/>
      <c r="INH81" s="21"/>
      <c r="INI81" s="21"/>
      <c r="INJ81" s="7"/>
      <c r="INK81" s="7"/>
      <c r="INL81" s="21"/>
      <c r="INM81" s="20"/>
      <c r="INN81" s="20"/>
      <c r="INO81" s="20"/>
      <c r="INP81" s="21"/>
      <c r="INQ81" s="21"/>
      <c r="INR81" s="21"/>
      <c r="INS81" s="21"/>
      <c r="INT81" s="21"/>
      <c r="INU81" s="20"/>
      <c r="INV81" s="20"/>
      <c r="INW81" s="20"/>
      <c r="INX81" s="20"/>
      <c r="INY81" s="21"/>
      <c r="INZ81" s="21"/>
      <c r="IOA81" s="7"/>
      <c r="IOB81" s="7"/>
      <c r="IOC81" s="21"/>
      <c r="IOD81" s="20"/>
      <c r="IOE81" s="20"/>
      <c r="IOF81" s="20"/>
      <c r="IOG81" s="21"/>
      <c r="IOH81" s="21"/>
      <c r="IOI81" s="21"/>
      <c r="IOJ81" s="21"/>
      <c r="IOK81" s="21"/>
      <c r="IOL81" s="20"/>
      <c r="IOM81" s="20"/>
      <c r="ION81" s="20"/>
      <c r="IOO81" s="20"/>
      <c r="IOP81" s="21"/>
      <c r="IOQ81" s="21"/>
      <c r="IOR81" s="7"/>
      <c r="IOS81" s="7"/>
      <c r="IOT81" s="21"/>
      <c r="IOU81" s="20"/>
      <c r="IOV81" s="20"/>
      <c r="IOW81" s="20"/>
      <c r="IOX81" s="21"/>
      <c r="IOY81" s="21"/>
      <c r="IOZ81" s="21"/>
      <c r="IPA81" s="21"/>
      <c r="IPB81" s="21"/>
      <c r="IPC81" s="20"/>
      <c r="IPD81" s="20"/>
      <c r="IPE81" s="20"/>
      <c r="IPF81" s="20"/>
      <c r="IPG81" s="21"/>
      <c r="IPH81" s="21"/>
      <c r="IPI81" s="7"/>
      <c r="IPJ81" s="7"/>
      <c r="IPK81" s="21"/>
      <c r="IPL81" s="20"/>
      <c r="IPM81" s="20"/>
      <c r="IPN81" s="20"/>
      <c r="IPO81" s="21"/>
      <c r="IPP81" s="21"/>
      <c r="IPQ81" s="21"/>
      <c r="IPR81" s="21"/>
      <c r="IPS81" s="21"/>
      <c r="IPT81" s="20"/>
      <c r="IPU81" s="20"/>
      <c r="IPV81" s="20"/>
      <c r="IPW81" s="20"/>
      <c r="IPX81" s="21"/>
      <c r="IPY81" s="21"/>
      <c r="IPZ81" s="7"/>
      <c r="IQA81" s="7"/>
      <c r="IQB81" s="21"/>
      <c r="IQC81" s="20"/>
      <c r="IQD81" s="20"/>
      <c r="IQE81" s="20"/>
      <c r="IQF81" s="21"/>
      <c r="IQG81" s="21"/>
      <c r="IQH81" s="21"/>
      <c r="IQI81" s="21"/>
      <c r="IQJ81" s="21"/>
      <c r="IQK81" s="20"/>
      <c r="IQL81" s="20"/>
      <c r="IQM81" s="20"/>
      <c r="IQN81" s="20"/>
      <c r="IQO81" s="21"/>
      <c r="IQP81" s="21"/>
      <c r="IQQ81" s="7"/>
      <c r="IQR81" s="7"/>
      <c r="IQS81" s="21"/>
      <c r="IQT81" s="20"/>
      <c r="IQU81" s="20"/>
      <c r="IQV81" s="20"/>
      <c r="IQW81" s="21"/>
      <c r="IQX81" s="21"/>
      <c r="IQY81" s="21"/>
      <c r="IQZ81" s="21"/>
      <c r="IRA81" s="21"/>
      <c r="IRB81" s="20"/>
      <c r="IRC81" s="20"/>
      <c r="IRD81" s="20"/>
      <c r="IRE81" s="20"/>
      <c r="IRF81" s="21"/>
      <c r="IRG81" s="21"/>
      <c r="IRH81" s="7"/>
      <c r="IRI81" s="7"/>
      <c r="IRJ81" s="21"/>
      <c r="IRK81" s="20"/>
      <c r="IRL81" s="20"/>
      <c r="IRM81" s="20"/>
      <c r="IRN81" s="21"/>
      <c r="IRO81" s="21"/>
      <c r="IRP81" s="21"/>
      <c r="IRQ81" s="21"/>
      <c r="IRR81" s="21"/>
      <c r="IRS81" s="20"/>
      <c r="IRT81" s="20"/>
      <c r="IRU81" s="20"/>
      <c r="IRV81" s="20"/>
      <c r="IRW81" s="21"/>
      <c r="IRX81" s="21"/>
      <c r="IRY81" s="7"/>
      <c r="IRZ81" s="7"/>
      <c r="ISA81" s="21"/>
      <c r="ISB81" s="20"/>
      <c r="ISC81" s="20"/>
      <c r="ISD81" s="20"/>
      <c r="ISE81" s="21"/>
      <c r="ISF81" s="21"/>
      <c r="ISG81" s="21"/>
      <c r="ISH81" s="21"/>
      <c r="ISI81" s="21"/>
      <c r="ISJ81" s="20"/>
      <c r="ISK81" s="20"/>
      <c r="ISL81" s="20"/>
      <c r="ISM81" s="20"/>
      <c r="ISN81" s="21"/>
      <c r="ISO81" s="21"/>
      <c r="ISP81" s="7"/>
      <c r="ISQ81" s="7"/>
      <c r="ISR81" s="21"/>
      <c r="ISS81" s="20"/>
      <c r="IST81" s="20"/>
      <c r="ISU81" s="20"/>
      <c r="ISV81" s="21"/>
      <c r="ISW81" s="21"/>
      <c r="ISX81" s="21"/>
      <c r="ISY81" s="21"/>
      <c r="ISZ81" s="21"/>
      <c r="ITA81" s="20"/>
      <c r="ITB81" s="20"/>
      <c r="ITC81" s="20"/>
      <c r="ITD81" s="20"/>
      <c r="ITE81" s="21"/>
      <c r="ITF81" s="21"/>
      <c r="ITG81" s="7"/>
      <c r="ITH81" s="7"/>
      <c r="ITI81" s="21"/>
      <c r="ITJ81" s="20"/>
      <c r="ITK81" s="20"/>
      <c r="ITL81" s="20"/>
      <c r="ITM81" s="21"/>
      <c r="ITN81" s="21"/>
      <c r="ITO81" s="21"/>
      <c r="ITP81" s="21"/>
      <c r="ITQ81" s="21"/>
      <c r="ITR81" s="20"/>
      <c r="ITS81" s="20"/>
      <c r="ITT81" s="20"/>
      <c r="ITU81" s="20"/>
      <c r="ITV81" s="21"/>
      <c r="ITW81" s="21"/>
      <c r="ITX81" s="7"/>
      <c r="ITY81" s="7"/>
      <c r="ITZ81" s="21"/>
      <c r="IUA81" s="20"/>
      <c r="IUB81" s="20"/>
      <c r="IUC81" s="20"/>
      <c r="IUD81" s="21"/>
      <c r="IUE81" s="21"/>
      <c r="IUF81" s="21"/>
      <c r="IUG81" s="21"/>
      <c r="IUH81" s="21"/>
      <c r="IUI81" s="20"/>
      <c r="IUJ81" s="20"/>
      <c r="IUK81" s="20"/>
      <c r="IUL81" s="20"/>
      <c r="IUM81" s="21"/>
      <c r="IUN81" s="21"/>
      <c r="IUO81" s="7"/>
      <c r="IUP81" s="7"/>
      <c r="IUQ81" s="21"/>
      <c r="IUR81" s="20"/>
      <c r="IUS81" s="20"/>
      <c r="IUT81" s="20"/>
      <c r="IUU81" s="21"/>
      <c r="IUV81" s="21"/>
      <c r="IUW81" s="21"/>
      <c r="IUX81" s="21"/>
      <c r="IUY81" s="21"/>
      <c r="IUZ81" s="20"/>
      <c r="IVA81" s="20"/>
      <c r="IVB81" s="20"/>
      <c r="IVC81" s="20"/>
      <c r="IVD81" s="21"/>
      <c r="IVE81" s="21"/>
      <c r="IVF81" s="7"/>
      <c r="IVG81" s="7"/>
      <c r="IVH81" s="21"/>
      <c r="IVI81" s="20"/>
      <c r="IVJ81" s="20"/>
      <c r="IVK81" s="20"/>
      <c r="IVL81" s="21"/>
      <c r="IVM81" s="21"/>
      <c r="IVN81" s="21"/>
      <c r="IVO81" s="21"/>
      <c r="IVP81" s="21"/>
      <c r="IVQ81" s="20"/>
      <c r="IVR81" s="20"/>
      <c r="IVS81" s="20"/>
      <c r="IVT81" s="20"/>
      <c r="IVU81" s="21"/>
      <c r="IVV81" s="21"/>
      <c r="IVW81" s="7"/>
      <c r="IVX81" s="7"/>
      <c r="IVY81" s="21"/>
      <c r="IVZ81" s="20"/>
      <c r="IWA81" s="20"/>
      <c r="IWB81" s="20"/>
      <c r="IWC81" s="21"/>
      <c r="IWD81" s="21"/>
      <c r="IWE81" s="21"/>
      <c r="IWF81" s="21"/>
      <c r="IWG81" s="21"/>
      <c r="IWH81" s="20"/>
      <c r="IWI81" s="20"/>
      <c r="IWJ81" s="20"/>
      <c r="IWK81" s="20"/>
      <c r="IWL81" s="21"/>
      <c r="IWM81" s="21"/>
      <c r="IWN81" s="7"/>
      <c r="IWO81" s="7"/>
      <c r="IWP81" s="21"/>
      <c r="IWQ81" s="20"/>
      <c r="IWR81" s="20"/>
      <c r="IWS81" s="20"/>
      <c r="IWT81" s="21"/>
      <c r="IWU81" s="21"/>
      <c r="IWV81" s="21"/>
      <c r="IWW81" s="21"/>
      <c r="IWX81" s="21"/>
      <c r="IWY81" s="20"/>
      <c r="IWZ81" s="20"/>
      <c r="IXA81" s="20"/>
      <c r="IXB81" s="20"/>
      <c r="IXC81" s="21"/>
      <c r="IXD81" s="21"/>
      <c r="IXE81" s="7"/>
      <c r="IXF81" s="7"/>
      <c r="IXG81" s="21"/>
      <c r="IXH81" s="20"/>
      <c r="IXI81" s="20"/>
      <c r="IXJ81" s="20"/>
      <c r="IXK81" s="21"/>
      <c r="IXL81" s="21"/>
      <c r="IXM81" s="21"/>
      <c r="IXN81" s="21"/>
      <c r="IXO81" s="21"/>
      <c r="IXP81" s="20"/>
      <c r="IXQ81" s="20"/>
      <c r="IXR81" s="20"/>
      <c r="IXS81" s="20"/>
      <c r="IXT81" s="21"/>
      <c r="IXU81" s="21"/>
      <c r="IXV81" s="7"/>
      <c r="IXW81" s="7"/>
      <c r="IXX81" s="21"/>
      <c r="IXY81" s="20"/>
      <c r="IXZ81" s="20"/>
      <c r="IYA81" s="20"/>
      <c r="IYB81" s="21"/>
      <c r="IYC81" s="21"/>
      <c r="IYD81" s="21"/>
      <c r="IYE81" s="21"/>
      <c r="IYF81" s="21"/>
      <c r="IYG81" s="20"/>
      <c r="IYH81" s="20"/>
      <c r="IYI81" s="20"/>
      <c r="IYJ81" s="20"/>
      <c r="IYK81" s="21"/>
      <c r="IYL81" s="21"/>
      <c r="IYM81" s="7"/>
      <c r="IYN81" s="7"/>
      <c r="IYO81" s="21"/>
      <c r="IYP81" s="20"/>
      <c r="IYQ81" s="20"/>
      <c r="IYR81" s="20"/>
      <c r="IYS81" s="21"/>
      <c r="IYT81" s="21"/>
      <c r="IYU81" s="21"/>
      <c r="IYV81" s="21"/>
      <c r="IYW81" s="21"/>
      <c r="IYX81" s="20"/>
      <c r="IYY81" s="20"/>
      <c r="IYZ81" s="20"/>
      <c r="IZA81" s="20"/>
      <c r="IZB81" s="21"/>
      <c r="IZC81" s="21"/>
      <c r="IZD81" s="7"/>
      <c r="IZE81" s="7"/>
      <c r="IZF81" s="21"/>
      <c r="IZG81" s="20"/>
      <c r="IZH81" s="20"/>
      <c r="IZI81" s="20"/>
      <c r="IZJ81" s="21"/>
      <c r="IZK81" s="21"/>
      <c r="IZL81" s="21"/>
      <c r="IZM81" s="21"/>
      <c r="IZN81" s="21"/>
      <c r="IZO81" s="20"/>
      <c r="IZP81" s="20"/>
      <c r="IZQ81" s="20"/>
      <c r="IZR81" s="20"/>
      <c r="IZS81" s="21"/>
      <c r="IZT81" s="21"/>
      <c r="IZU81" s="7"/>
      <c r="IZV81" s="7"/>
      <c r="IZW81" s="21"/>
      <c r="IZX81" s="20"/>
      <c r="IZY81" s="20"/>
      <c r="IZZ81" s="20"/>
      <c r="JAA81" s="21"/>
      <c r="JAB81" s="21"/>
      <c r="JAC81" s="21"/>
      <c r="JAD81" s="21"/>
      <c r="JAE81" s="21"/>
      <c r="JAF81" s="20"/>
      <c r="JAG81" s="20"/>
      <c r="JAH81" s="20"/>
      <c r="JAI81" s="20"/>
      <c r="JAJ81" s="21"/>
      <c r="JAK81" s="21"/>
      <c r="JAL81" s="7"/>
      <c r="JAM81" s="7"/>
      <c r="JAN81" s="21"/>
      <c r="JAO81" s="20"/>
      <c r="JAP81" s="20"/>
      <c r="JAQ81" s="20"/>
      <c r="JAR81" s="21"/>
      <c r="JAS81" s="21"/>
      <c r="JAT81" s="21"/>
      <c r="JAU81" s="21"/>
      <c r="JAV81" s="21"/>
      <c r="JAW81" s="20"/>
      <c r="JAX81" s="20"/>
      <c r="JAY81" s="20"/>
      <c r="JAZ81" s="20"/>
      <c r="JBA81" s="21"/>
      <c r="JBB81" s="21"/>
      <c r="JBC81" s="7"/>
      <c r="JBD81" s="7"/>
      <c r="JBE81" s="21"/>
      <c r="JBF81" s="20"/>
      <c r="JBG81" s="20"/>
      <c r="JBH81" s="20"/>
      <c r="JBI81" s="21"/>
      <c r="JBJ81" s="21"/>
      <c r="JBK81" s="21"/>
      <c r="JBL81" s="21"/>
      <c r="JBM81" s="21"/>
      <c r="JBN81" s="20"/>
      <c r="JBO81" s="20"/>
      <c r="JBP81" s="20"/>
      <c r="JBQ81" s="20"/>
      <c r="JBR81" s="21"/>
      <c r="JBS81" s="21"/>
      <c r="JBT81" s="7"/>
      <c r="JBU81" s="7"/>
      <c r="JBV81" s="21"/>
      <c r="JBW81" s="20"/>
      <c r="JBX81" s="20"/>
      <c r="JBY81" s="20"/>
      <c r="JBZ81" s="21"/>
      <c r="JCA81" s="21"/>
      <c r="JCB81" s="21"/>
      <c r="JCC81" s="21"/>
      <c r="JCD81" s="21"/>
      <c r="JCE81" s="20"/>
      <c r="JCF81" s="20"/>
      <c r="JCG81" s="20"/>
      <c r="JCH81" s="20"/>
      <c r="JCI81" s="21"/>
      <c r="JCJ81" s="21"/>
      <c r="JCK81" s="7"/>
      <c r="JCL81" s="7"/>
      <c r="JCM81" s="21"/>
      <c r="JCN81" s="20"/>
      <c r="JCO81" s="20"/>
      <c r="JCP81" s="20"/>
      <c r="JCQ81" s="21"/>
      <c r="JCR81" s="21"/>
      <c r="JCS81" s="21"/>
      <c r="JCT81" s="21"/>
      <c r="JCU81" s="21"/>
      <c r="JCV81" s="20"/>
      <c r="JCW81" s="20"/>
      <c r="JCX81" s="20"/>
      <c r="JCY81" s="20"/>
      <c r="JCZ81" s="21"/>
      <c r="JDA81" s="21"/>
      <c r="JDB81" s="7"/>
      <c r="JDC81" s="7"/>
      <c r="JDD81" s="21"/>
      <c r="JDE81" s="20"/>
      <c r="JDF81" s="20"/>
      <c r="JDG81" s="20"/>
      <c r="JDH81" s="21"/>
      <c r="JDI81" s="21"/>
      <c r="JDJ81" s="21"/>
      <c r="JDK81" s="21"/>
      <c r="JDL81" s="21"/>
      <c r="JDM81" s="20"/>
      <c r="JDN81" s="20"/>
      <c r="JDO81" s="20"/>
      <c r="JDP81" s="20"/>
      <c r="JDQ81" s="21"/>
      <c r="JDR81" s="21"/>
      <c r="JDS81" s="7"/>
      <c r="JDT81" s="7"/>
      <c r="JDU81" s="21"/>
      <c r="JDV81" s="20"/>
      <c r="JDW81" s="20"/>
      <c r="JDX81" s="20"/>
      <c r="JDY81" s="21"/>
      <c r="JDZ81" s="21"/>
      <c r="JEA81" s="21"/>
      <c r="JEB81" s="21"/>
      <c r="JEC81" s="21"/>
      <c r="JED81" s="20"/>
      <c r="JEE81" s="20"/>
      <c r="JEF81" s="20"/>
      <c r="JEG81" s="20"/>
      <c r="JEH81" s="21"/>
      <c r="JEI81" s="21"/>
      <c r="JEJ81" s="7"/>
      <c r="JEK81" s="7"/>
      <c r="JEL81" s="21"/>
      <c r="JEM81" s="20"/>
      <c r="JEN81" s="20"/>
      <c r="JEO81" s="20"/>
      <c r="JEP81" s="21"/>
      <c r="JEQ81" s="21"/>
      <c r="JER81" s="21"/>
      <c r="JES81" s="21"/>
      <c r="JET81" s="21"/>
      <c r="JEU81" s="20"/>
      <c r="JEV81" s="20"/>
      <c r="JEW81" s="20"/>
      <c r="JEX81" s="20"/>
      <c r="JEY81" s="21"/>
      <c r="JEZ81" s="21"/>
      <c r="JFA81" s="7"/>
      <c r="JFB81" s="7"/>
      <c r="JFC81" s="21"/>
      <c r="JFD81" s="20"/>
      <c r="JFE81" s="20"/>
      <c r="JFF81" s="20"/>
      <c r="JFG81" s="21"/>
      <c r="JFH81" s="21"/>
      <c r="JFI81" s="21"/>
      <c r="JFJ81" s="21"/>
      <c r="JFK81" s="21"/>
      <c r="JFL81" s="20"/>
      <c r="JFM81" s="20"/>
      <c r="JFN81" s="20"/>
      <c r="JFO81" s="20"/>
      <c r="JFP81" s="21"/>
      <c r="JFQ81" s="21"/>
      <c r="JFR81" s="7"/>
      <c r="JFS81" s="7"/>
      <c r="JFT81" s="21"/>
      <c r="JFU81" s="20"/>
      <c r="JFV81" s="20"/>
      <c r="JFW81" s="20"/>
      <c r="JFX81" s="21"/>
      <c r="JFY81" s="21"/>
      <c r="JFZ81" s="21"/>
      <c r="JGA81" s="21"/>
      <c r="JGB81" s="21"/>
      <c r="JGC81" s="20"/>
      <c r="JGD81" s="20"/>
      <c r="JGE81" s="20"/>
      <c r="JGF81" s="20"/>
      <c r="JGG81" s="21"/>
      <c r="JGH81" s="21"/>
      <c r="JGI81" s="7"/>
      <c r="JGJ81" s="7"/>
      <c r="JGK81" s="21"/>
      <c r="JGL81" s="20"/>
      <c r="JGM81" s="20"/>
      <c r="JGN81" s="20"/>
      <c r="JGO81" s="21"/>
      <c r="JGP81" s="21"/>
      <c r="JGQ81" s="21"/>
      <c r="JGR81" s="21"/>
      <c r="JGS81" s="21"/>
      <c r="JGT81" s="20"/>
      <c r="JGU81" s="20"/>
      <c r="JGV81" s="20"/>
      <c r="JGW81" s="20"/>
      <c r="JGX81" s="21"/>
      <c r="JGY81" s="21"/>
      <c r="JGZ81" s="7"/>
      <c r="JHA81" s="7"/>
      <c r="JHB81" s="21"/>
      <c r="JHC81" s="20"/>
      <c r="JHD81" s="20"/>
      <c r="JHE81" s="20"/>
      <c r="JHF81" s="21"/>
      <c r="JHG81" s="21"/>
      <c r="JHH81" s="21"/>
      <c r="JHI81" s="21"/>
      <c r="JHJ81" s="21"/>
      <c r="JHK81" s="20"/>
      <c r="JHL81" s="20"/>
      <c r="JHM81" s="20"/>
      <c r="JHN81" s="20"/>
      <c r="JHO81" s="21"/>
      <c r="JHP81" s="21"/>
      <c r="JHQ81" s="7"/>
      <c r="JHR81" s="7"/>
      <c r="JHS81" s="21"/>
      <c r="JHT81" s="20"/>
      <c r="JHU81" s="20"/>
      <c r="JHV81" s="20"/>
      <c r="JHW81" s="21"/>
      <c r="JHX81" s="21"/>
      <c r="JHY81" s="21"/>
      <c r="JHZ81" s="21"/>
      <c r="JIA81" s="21"/>
      <c r="JIB81" s="20"/>
      <c r="JIC81" s="20"/>
      <c r="JID81" s="20"/>
      <c r="JIE81" s="20"/>
      <c r="JIF81" s="21"/>
      <c r="JIG81" s="21"/>
      <c r="JIH81" s="7"/>
      <c r="JII81" s="7"/>
      <c r="JIJ81" s="21"/>
      <c r="JIK81" s="20"/>
      <c r="JIL81" s="20"/>
      <c r="JIM81" s="20"/>
      <c r="JIN81" s="21"/>
      <c r="JIO81" s="21"/>
      <c r="JIP81" s="21"/>
      <c r="JIQ81" s="21"/>
      <c r="JIR81" s="21"/>
      <c r="JIS81" s="20"/>
      <c r="JIT81" s="20"/>
      <c r="JIU81" s="20"/>
      <c r="JIV81" s="20"/>
      <c r="JIW81" s="21"/>
      <c r="JIX81" s="21"/>
      <c r="JIY81" s="7"/>
      <c r="JIZ81" s="7"/>
      <c r="JJA81" s="21"/>
      <c r="JJB81" s="20"/>
      <c r="JJC81" s="20"/>
      <c r="JJD81" s="20"/>
      <c r="JJE81" s="21"/>
      <c r="JJF81" s="21"/>
      <c r="JJG81" s="21"/>
      <c r="JJH81" s="21"/>
      <c r="JJI81" s="21"/>
      <c r="JJJ81" s="20"/>
      <c r="JJK81" s="20"/>
      <c r="JJL81" s="20"/>
      <c r="JJM81" s="20"/>
      <c r="JJN81" s="21"/>
      <c r="JJO81" s="21"/>
      <c r="JJP81" s="7"/>
      <c r="JJQ81" s="7"/>
      <c r="JJR81" s="21"/>
      <c r="JJS81" s="20"/>
      <c r="JJT81" s="20"/>
      <c r="JJU81" s="20"/>
      <c r="JJV81" s="21"/>
      <c r="JJW81" s="21"/>
      <c r="JJX81" s="21"/>
      <c r="JJY81" s="21"/>
      <c r="JJZ81" s="21"/>
      <c r="JKA81" s="20"/>
      <c r="JKB81" s="20"/>
      <c r="JKC81" s="20"/>
      <c r="JKD81" s="20"/>
      <c r="JKE81" s="21"/>
      <c r="JKF81" s="21"/>
      <c r="JKG81" s="7"/>
      <c r="JKH81" s="7"/>
      <c r="JKI81" s="21"/>
      <c r="JKJ81" s="20"/>
      <c r="JKK81" s="20"/>
      <c r="JKL81" s="20"/>
      <c r="JKM81" s="21"/>
      <c r="JKN81" s="21"/>
      <c r="JKO81" s="21"/>
      <c r="JKP81" s="21"/>
      <c r="JKQ81" s="21"/>
      <c r="JKR81" s="20"/>
      <c r="JKS81" s="20"/>
      <c r="JKT81" s="20"/>
      <c r="JKU81" s="20"/>
      <c r="JKV81" s="21"/>
      <c r="JKW81" s="21"/>
      <c r="JKX81" s="7"/>
      <c r="JKY81" s="7"/>
      <c r="JKZ81" s="21"/>
      <c r="JLA81" s="20"/>
      <c r="JLB81" s="20"/>
      <c r="JLC81" s="20"/>
      <c r="JLD81" s="21"/>
      <c r="JLE81" s="21"/>
      <c r="JLF81" s="21"/>
      <c r="JLG81" s="21"/>
      <c r="JLH81" s="21"/>
      <c r="JLI81" s="20"/>
      <c r="JLJ81" s="20"/>
      <c r="JLK81" s="20"/>
      <c r="JLL81" s="20"/>
      <c r="JLM81" s="21"/>
      <c r="JLN81" s="21"/>
      <c r="JLO81" s="7"/>
      <c r="JLP81" s="7"/>
      <c r="JLQ81" s="21"/>
      <c r="JLR81" s="20"/>
      <c r="JLS81" s="20"/>
      <c r="JLT81" s="20"/>
      <c r="JLU81" s="21"/>
      <c r="JLV81" s="21"/>
      <c r="JLW81" s="21"/>
      <c r="JLX81" s="21"/>
      <c r="JLY81" s="21"/>
      <c r="JLZ81" s="20"/>
      <c r="JMA81" s="20"/>
      <c r="JMB81" s="20"/>
      <c r="JMC81" s="20"/>
      <c r="JMD81" s="21"/>
      <c r="JME81" s="21"/>
      <c r="JMF81" s="7"/>
      <c r="JMG81" s="7"/>
      <c r="JMH81" s="21"/>
      <c r="JMI81" s="20"/>
      <c r="JMJ81" s="20"/>
      <c r="JMK81" s="20"/>
      <c r="JML81" s="21"/>
      <c r="JMM81" s="21"/>
      <c r="JMN81" s="21"/>
      <c r="JMO81" s="21"/>
      <c r="JMP81" s="21"/>
      <c r="JMQ81" s="20"/>
      <c r="JMR81" s="20"/>
      <c r="JMS81" s="20"/>
      <c r="JMT81" s="20"/>
      <c r="JMU81" s="21"/>
      <c r="JMV81" s="21"/>
      <c r="JMW81" s="7"/>
      <c r="JMX81" s="7"/>
      <c r="JMY81" s="21"/>
      <c r="JMZ81" s="20"/>
      <c r="JNA81" s="20"/>
      <c r="JNB81" s="20"/>
      <c r="JNC81" s="21"/>
      <c r="JND81" s="21"/>
      <c r="JNE81" s="21"/>
      <c r="JNF81" s="21"/>
      <c r="JNG81" s="21"/>
      <c r="JNH81" s="20"/>
      <c r="JNI81" s="20"/>
      <c r="JNJ81" s="20"/>
      <c r="JNK81" s="20"/>
      <c r="JNL81" s="21"/>
      <c r="JNM81" s="21"/>
      <c r="JNN81" s="7"/>
      <c r="JNO81" s="7"/>
      <c r="JNP81" s="21"/>
      <c r="JNQ81" s="20"/>
      <c r="JNR81" s="20"/>
      <c r="JNS81" s="20"/>
      <c r="JNT81" s="21"/>
      <c r="JNU81" s="21"/>
      <c r="JNV81" s="21"/>
      <c r="JNW81" s="21"/>
      <c r="JNX81" s="21"/>
      <c r="JNY81" s="20"/>
      <c r="JNZ81" s="20"/>
      <c r="JOA81" s="20"/>
      <c r="JOB81" s="20"/>
      <c r="JOC81" s="21"/>
      <c r="JOD81" s="21"/>
      <c r="JOE81" s="7"/>
      <c r="JOF81" s="7"/>
      <c r="JOG81" s="21"/>
      <c r="JOH81" s="20"/>
      <c r="JOI81" s="20"/>
      <c r="JOJ81" s="20"/>
      <c r="JOK81" s="21"/>
      <c r="JOL81" s="21"/>
      <c r="JOM81" s="21"/>
      <c r="JON81" s="21"/>
      <c r="JOO81" s="21"/>
      <c r="JOP81" s="20"/>
      <c r="JOQ81" s="20"/>
      <c r="JOR81" s="20"/>
      <c r="JOS81" s="20"/>
      <c r="JOT81" s="21"/>
      <c r="JOU81" s="21"/>
      <c r="JOV81" s="7"/>
      <c r="JOW81" s="7"/>
      <c r="JOX81" s="21"/>
      <c r="JOY81" s="20"/>
      <c r="JOZ81" s="20"/>
      <c r="JPA81" s="20"/>
      <c r="JPB81" s="21"/>
      <c r="JPC81" s="21"/>
      <c r="JPD81" s="21"/>
      <c r="JPE81" s="21"/>
      <c r="JPF81" s="21"/>
      <c r="JPG81" s="20"/>
      <c r="JPH81" s="20"/>
      <c r="JPI81" s="20"/>
      <c r="JPJ81" s="20"/>
      <c r="JPK81" s="21"/>
      <c r="JPL81" s="21"/>
      <c r="JPM81" s="7"/>
      <c r="JPN81" s="7"/>
      <c r="JPO81" s="21"/>
      <c r="JPP81" s="20"/>
      <c r="JPQ81" s="20"/>
      <c r="JPR81" s="20"/>
      <c r="JPS81" s="21"/>
      <c r="JPT81" s="21"/>
      <c r="JPU81" s="21"/>
      <c r="JPV81" s="21"/>
      <c r="JPW81" s="21"/>
      <c r="JPX81" s="20"/>
      <c r="JPY81" s="20"/>
      <c r="JPZ81" s="20"/>
      <c r="JQA81" s="20"/>
      <c r="JQB81" s="21"/>
      <c r="JQC81" s="21"/>
      <c r="JQD81" s="7"/>
      <c r="JQE81" s="7"/>
      <c r="JQF81" s="21"/>
      <c r="JQG81" s="20"/>
      <c r="JQH81" s="20"/>
      <c r="JQI81" s="20"/>
      <c r="JQJ81" s="21"/>
      <c r="JQK81" s="21"/>
      <c r="JQL81" s="21"/>
      <c r="JQM81" s="21"/>
      <c r="JQN81" s="21"/>
      <c r="JQO81" s="20"/>
      <c r="JQP81" s="20"/>
      <c r="JQQ81" s="20"/>
      <c r="JQR81" s="20"/>
      <c r="JQS81" s="21"/>
      <c r="JQT81" s="21"/>
      <c r="JQU81" s="7"/>
      <c r="JQV81" s="7"/>
      <c r="JQW81" s="21"/>
      <c r="JQX81" s="20"/>
      <c r="JQY81" s="20"/>
      <c r="JQZ81" s="20"/>
      <c r="JRA81" s="21"/>
      <c r="JRB81" s="21"/>
      <c r="JRC81" s="21"/>
      <c r="JRD81" s="21"/>
      <c r="JRE81" s="21"/>
      <c r="JRF81" s="20"/>
      <c r="JRG81" s="20"/>
      <c r="JRH81" s="20"/>
      <c r="JRI81" s="20"/>
      <c r="JRJ81" s="21"/>
      <c r="JRK81" s="21"/>
      <c r="JRL81" s="7"/>
      <c r="JRM81" s="7"/>
      <c r="JRN81" s="21"/>
      <c r="JRO81" s="20"/>
      <c r="JRP81" s="20"/>
      <c r="JRQ81" s="20"/>
      <c r="JRR81" s="21"/>
      <c r="JRS81" s="21"/>
      <c r="JRT81" s="21"/>
      <c r="JRU81" s="21"/>
      <c r="JRV81" s="21"/>
      <c r="JRW81" s="20"/>
      <c r="JRX81" s="20"/>
      <c r="JRY81" s="20"/>
      <c r="JRZ81" s="20"/>
      <c r="JSA81" s="21"/>
      <c r="JSB81" s="21"/>
      <c r="JSC81" s="7"/>
      <c r="JSD81" s="7"/>
      <c r="JSE81" s="21"/>
      <c r="JSF81" s="20"/>
      <c r="JSG81" s="20"/>
      <c r="JSH81" s="20"/>
      <c r="JSI81" s="21"/>
      <c r="JSJ81" s="21"/>
      <c r="JSK81" s="21"/>
      <c r="JSL81" s="21"/>
      <c r="JSM81" s="21"/>
      <c r="JSN81" s="20"/>
      <c r="JSO81" s="20"/>
      <c r="JSP81" s="20"/>
      <c r="JSQ81" s="20"/>
      <c r="JSR81" s="21"/>
      <c r="JSS81" s="21"/>
      <c r="JST81" s="7"/>
      <c r="JSU81" s="7"/>
      <c r="JSV81" s="21"/>
      <c r="JSW81" s="20"/>
      <c r="JSX81" s="20"/>
      <c r="JSY81" s="20"/>
      <c r="JSZ81" s="21"/>
      <c r="JTA81" s="21"/>
      <c r="JTB81" s="21"/>
      <c r="JTC81" s="21"/>
      <c r="JTD81" s="21"/>
      <c r="JTE81" s="20"/>
      <c r="JTF81" s="20"/>
      <c r="JTG81" s="20"/>
      <c r="JTH81" s="20"/>
      <c r="JTI81" s="21"/>
      <c r="JTJ81" s="21"/>
      <c r="JTK81" s="7"/>
      <c r="JTL81" s="7"/>
      <c r="JTM81" s="21"/>
      <c r="JTN81" s="20"/>
      <c r="JTO81" s="20"/>
      <c r="JTP81" s="20"/>
      <c r="JTQ81" s="21"/>
      <c r="JTR81" s="21"/>
      <c r="JTS81" s="21"/>
      <c r="JTT81" s="21"/>
      <c r="JTU81" s="21"/>
      <c r="JTV81" s="20"/>
      <c r="JTW81" s="20"/>
      <c r="JTX81" s="20"/>
      <c r="JTY81" s="20"/>
      <c r="JTZ81" s="21"/>
      <c r="JUA81" s="21"/>
      <c r="JUB81" s="7"/>
      <c r="JUC81" s="7"/>
      <c r="JUD81" s="21"/>
      <c r="JUE81" s="20"/>
      <c r="JUF81" s="20"/>
      <c r="JUG81" s="20"/>
      <c r="JUH81" s="21"/>
      <c r="JUI81" s="21"/>
      <c r="JUJ81" s="21"/>
      <c r="JUK81" s="21"/>
      <c r="JUL81" s="21"/>
      <c r="JUM81" s="20"/>
      <c r="JUN81" s="20"/>
      <c r="JUO81" s="20"/>
      <c r="JUP81" s="20"/>
      <c r="JUQ81" s="21"/>
      <c r="JUR81" s="21"/>
      <c r="JUS81" s="7"/>
      <c r="JUT81" s="7"/>
      <c r="JUU81" s="21"/>
      <c r="JUV81" s="20"/>
      <c r="JUW81" s="20"/>
      <c r="JUX81" s="20"/>
      <c r="JUY81" s="21"/>
      <c r="JUZ81" s="21"/>
      <c r="JVA81" s="21"/>
      <c r="JVB81" s="21"/>
      <c r="JVC81" s="21"/>
      <c r="JVD81" s="20"/>
      <c r="JVE81" s="20"/>
      <c r="JVF81" s="20"/>
      <c r="JVG81" s="20"/>
      <c r="JVH81" s="21"/>
      <c r="JVI81" s="21"/>
      <c r="JVJ81" s="7"/>
      <c r="JVK81" s="7"/>
      <c r="JVL81" s="21"/>
      <c r="JVM81" s="20"/>
      <c r="JVN81" s="20"/>
      <c r="JVO81" s="20"/>
      <c r="JVP81" s="21"/>
      <c r="JVQ81" s="21"/>
      <c r="JVR81" s="21"/>
      <c r="JVS81" s="21"/>
      <c r="JVT81" s="21"/>
      <c r="JVU81" s="20"/>
      <c r="JVV81" s="20"/>
      <c r="JVW81" s="20"/>
      <c r="JVX81" s="20"/>
      <c r="JVY81" s="21"/>
      <c r="JVZ81" s="21"/>
      <c r="JWA81" s="7"/>
      <c r="JWB81" s="7"/>
      <c r="JWC81" s="21"/>
      <c r="JWD81" s="20"/>
      <c r="JWE81" s="20"/>
      <c r="JWF81" s="20"/>
      <c r="JWG81" s="21"/>
      <c r="JWH81" s="21"/>
      <c r="JWI81" s="21"/>
      <c r="JWJ81" s="21"/>
      <c r="JWK81" s="21"/>
      <c r="JWL81" s="20"/>
      <c r="JWM81" s="20"/>
      <c r="JWN81" s="20"/>
      <c r="JWO81" s="20"/>
      <c r="JWP81" s="21"/>
      <c r="JWQ81" s="21"/>
      <c r="JWR81" s="7"/>
      <c r="JWS81" s="7"/>
      <c r="JWT81" s="21"/>
      <c r="JWU81" s="20"/>
      <c r="JWV81" s="20"/>
      <c r="JWW81" s="20"/>
      <c r="JWX81" s="21"/>
      <c r="JWY81" s="21"/>
      <c r="JWZ81" s="21"/>
      <c r="JXA81" s="21"/>
      <c r="JXB81" s="21"/>
      <c r="JXC81" s="20"/>
      <c r="JXD81" s="20"/>
      <c r="JXE81" s="20"/>
      <c r="JXF81" s="20"/>
      <c r="JXG81" s="21"/>
      <c r="JXH81" s="21"/>
      <c r="JXI81" s="7"/>
      <c r="JXJ81" s="7"/>
      <c r="JXK81" s="21"/>
      <c r="JXL81" s="20"/>
      <c r="JXM81" s="20"/>
      <c r="JXN81" s="20"/>
      <c r="JXO81" s="21"/>
      <c r="JXP81" s="21"/>
      <c r="JXQ81" s="21"/>
      <c r="JXR81" s="21"/>
      <c r="JXS81" s="21"/>
      <c r="JXT81" s="20"/>
      <c r="JXU81" s="20"/>
      <c r="JXV81" s="20"/>
      <c r="JXW81" s="20"/>
      <c r="JXX81" s="21"/>
      <c r="JXY81" s="21"/>
      <c r="JXZ81" s="7"/>
      <c r="JYA81" s="7"/>
      <c r="JYB81" s="21"/>
      <c r="JYC81" s="20"/>
      <c r="JYD81" s="20"/>
      <c r="JYE81" s="20"/>
      <c r="JYF81" s="21"/>
      <c r="JYG81" s="21"/>
      <c r="JYH81" s="21"/>
      <c r="JYI81" s="21"/>
      <c r="JYJ81" s="21"/>
      <c r="JYK81" s="20"/>
      <c r="JYL81" s="20"/>
      <c r="JYM81" s="20"/>
      <c r="JYN81" s="20"/>
      <c r="JYO81" s="21"/>
      <c r="JYP81" s="21"/>
      <c r="JYQ81" s="7"/>
      <c r="JYR81" s="7"/>
      <c r="JYS81" s="21"/>
      <c r="JYT81" s="20"/>
      <c r="JYU81" s="20"/>
      <c r="JYV81" s="20"/>
      <c r="JYW81" s="21"/>
      <c r="JYX81" s="21"/>
      <c r="JYY81" s="21"/>
      <c r="JYZ81" s="21"/>
      <c r="JZA81" s="21"/>
      <c r="JZB81" s="20"/>
      <c r="JZC81" s="20"/>
      <c r="JZD81" s="20"/>
      <c r="JZE81" s="20"/>
      <c r="JZF81" s="21"/>
      <c r="JZG81" s="21"/>
      <c r="JZH81" s="7"/>
      <c r="JZI81" s="7"/>
      <c r="JZJ81" s="21"/>
      <c r="JZK81" s="20"/>
      <c r="JZL81" s="20"/>
      <c r="JZM81" s="20"/>
      <c r="JZN81" s="21"/>
      <c r="JZO81" s="21"/>
      <c r="JZP81" s="21"/>
      <c r="JZQ81" s="21"/>
      <c r="JZR81" s="21"/>
      <c r="JZS81" s="20"/>
      <c r="JZT81" s="20"/>
      <c r="JZU81" s="20"/>
      <c r="JZV81" s="20"/>
      <c r="JZW81" s="21"/>
      <c r="JZX81" s="21"/>
      <c r="JZY81" s="7"/>
      <c r="JZZ81" s="7"/>
      <c r="KAA81" s="21"/>
      <c r="KAB81" s="20"/>
      <c r="KAC81" s="20"/>
      <c r="KAD81" s="20"/>
      <c r="KAE81" s="21"/>
      <c r="KAF81" s="21"/>
      <c r="KAG81" s="21"/>
      <c r="KAH81" s="21"/>
      <c r="KAI81" s="21"/>
      <c r="KAJ81" s="20"/>
      <c r="KAK81" s="20"/>
      <c r="KAL81" s="20"/>
      <c r="KAM81" s="20"/>
      <c r="KAN81" s="21"/>
      <c r="KAO81" s="21"/>
      <c r="KAP81" s="7"/>
      <c r="KAQ81" s="7"/>
      <c r="KAR81" s="21"/>
      <c r="KAS81" s="20"/>
      <c r="KAT81" s="20"/>
      <c r="KAU81" s="20"/>
      <c r="KAV81" s="21"/>
      <c r="KAW81" s="21"/>
      <c r="KAX81" s="21"/>
      <c r="KAY81" s="21"/>
      <c r="KAZ81" s="21"/>
      <c r="KBA81" s="20"/>
      <c r="KBB81" s="20"/>
      <c r="KBC81" s="20"/>
      <c r="KBD81" s="20"/>
      <c r="KBE81" s="21"/>
      <c r="KBF81" s="21"/>
      <c r="KBG81" s="7"/>
      <c r="KBH81" s="7"/>
      <c r="KBI81" s="21"/>
      <c r="KBJ81" s="20"/>
      <c r="KBK81" s="20"/>
      <c r="KBL81" s="20"/>
      <c r="KBM81" s="21"/>
      <c r="KBN81" s="21"/>
      <c r="KBO81" s="21"/>
      <c r="KBP81" s="21"/>
      <c r="KBQ81" s="21"/>
      <c r="KBR81" s="20"/>
      <c r="KBS81" s="20"/>
      <c r="KBT81" s="20"/>
      <c r="KBU81" s="20"/>
      <c r="KBV81" s="21"/>
      <c r="KBW81" s="21"/>
      <c r="KBX81" s="7"/>
      <c r="KBY81" s="7"/>
      <c r="KBZ81" s="21"/>
      <c r="KCA81" s="20"/>
      <c r="KCB81" s="20"/>
      <c r="KCC81" s="20"/>
      <c r="KCD81" s="21"/>
      <c r="KCE81" s="21"/>
      <c r="KCF81" s="21"/>
      <c r="KCG81" s="21"/>
      <c r="KCH81" s="21"/>
      <c r="KCI81" s="20"/>
      <c r="KCJ81" s="20"/>
      <c r="KCK81" s="20"/>
      <c r="KCL81" s="20"/>
      <c r="KCM81" s="21"/>
      <c r="KCN81" s="21"/>
      <c r="KCO81" s="7"/>
      <c r="KCP81" s="7"/>
      <c r="KCQ81" s="21"/>
      <c r="KCR81" s="20"/>
      <c r="KCS81" s="20"/>
      <c r="KCT81" s="20"/>
      <c r="KCU81" s="21"/>
      <c r="KCV81" s="21"/>
      <c r="KCW81" s="21"/>
      <c r="KCX81" s="21"/>
      <c r="KCY81" s="21"/>
      <c r="KCZ81" s="20"/>
      <c r="KDA81" s="20"/>
      <c r="KDB81" s="20"/>
      <c r="KDC81" s="20"/>
      <c r="KDD81" s="21"/>
      <c r="KDE81" s="21"/>
      <c r="KDF81" s="7"/>
      <c r="KDG81" s="7"/>
      <c r="KDH81" s="21"/>
      <c r="KDI81" s="20"/>
      <c r="KDJ81" s="20"/>
      <c r="KDK81" s="20"/>
      <c r="KDL81" s="21"/>
      <c r="KDM81" s="21"/>
      <c r="KDN81" s="21"/>
      <c r="KDO81" s="21"/>
      <c r="KDP81" s="21"/>
      <c r="KDQ81" s="20"/>
      <c r="KDR81" s="20"/>
      <c r="KDS81" s="20"/>
      <c r="KDT81" s="20"/>
      <c r="KDU81" s="21"/>
      <c r="KDV81" s="21"/>
      <c r="KDW81" s="7"/>
      <c r="KDX81" s="7"/>
      <c r="KDY81" s="21"/>
      <c r="KDZ81" s="20"/>
      <c r="KEA81" s="20"/>
      <c r="KEB81" s="20"/>
      <c r="KEC81" s="21"/>
      <c r="KED81" s="21"/>
      <c r="KEE81" s="21"/>
      <c r="KEF81" s="21"/>
      <c r="KEG81" s="21"/>
      <c r="KEH81" s="20"/>
      <c r="KEI81" s="20"/>
      <c r="KEJ81" s="20"/>
      <c r="KEK81" s="20"/>
      <c r="KEL81" s="21"/>
      <c r="KEM81" s="21"/>
      <c r="KEN81" s="7"/>
      <c r="KEO81" s="7"/>
      <c r="KEP81" s="21"/>
      <c r="KEQ81" s="20"/>
      <c r="KER81" s="20"/>
      <c r="KES81" s="20"/>
      <c r="KET81" s="21"/>
      <c r="KEU81" s="21"/>
      <c r="KEV81" s="21"/>
      <c r="KEW81" s="21"/>
      <c r="KEX81" s="21"/>
      <c r="KEY81" s="20"/>
      <c r="KEZ81" s="20"/>
      <c r="KFA81" s="20"/>
      <c r="KFB81" s="20"/>
      <c r="KFC81" s="21"/>
      <c r="KFD81" s="21"/>
      <c r="KFE81" s="7"/>
      <c r="KFF81" s="7"/>
      <c r="KFG81" s="21"/>
      <c r="KFH81" s="20"/>
      <c r="KFI81" s="20"/>
      <c r="KFJ81" s="20"/>
      <c r="KFK81" s="21"/>
      <c r="KFL81" s="21"/>
      <c r="KFM81" s="21"/>
      <c r="KFN81" s="21"/>
      <c r="KFO81" s="21"/>
      <c r="KFP81" s="20"/>
      <c r="KFQ81" s="20"/>
      <c r="KFR81" s="20"/>
      <c r="KFS81" s="20"/>
      <c r="KFT81" s="21"/>
      <c r="KFU81" s="21"/>
      <c r="KFV81" s="7"/>
      <c r="KFW81" s="7"/>
      <c r="KFX81" s="21"/>
      <c r="KFY81" s="20"/>
      <c r="KFZ81" s="20"/>
      <c r="KGA81" s="20"/>
      <c r="KGB81" s="21"/>
      <c r="KGC81" s="21"/>
      <c r="KGD81" s="21"/>
      <c r="KGE81" s="21"/>
      <c r="KGF81" s="21"/>
      <c r="KGG81" s="20"/>
      <c r="KGH81" s="20"/>
      <c r="KGI81" s="20"/>
      <c r="KGJ81" s="20"/>
      <c r="KGK81" s="21"/>
      <c r="KGL81" s="21"/>
      <c r="KGM81" s="7"/>
      <c r="KGN81" s="7"/>
      <c r="KGO81" s="21"/>
      <c r="KGP81" s="20"/>
      <c r="KGQ81" s="20"/>
      <c r="KGR81" s="20"/>
      <c r="KGS81" s="21"/>
      <c r="KGT81" s="21"/>
      <c r="KGU81" s="21"/>
      <c r="KGV81" s="21"/>
      <c r="KGW81" s="21"/>
      <c r="KGX81" s="20"/>
      <c r="KGY81" s="20"/>
      <c r="KGZ81" s="20"/>
      <c r="KHA81" s="20"/>
      <c r="KHB81" s="21"/>
      <c r="KHC81" s="21"/>
      <c r="KHD81" s="7"/>
      <c r="KHE81" s="7"/>
      <c r="KHF81" s="21"/>
      <c r="KHG81" s="20"/>
      <c r="KHH81" s="20"/>
      <c r="KHI81" s="20"/>
      <c r="KHJ81" s="21"/>
      <c r="KHK81" s="21"/>
      <c r="KHL81" s="21"/>
      <c r="KHM81" s="21"/>
      <c r="KHN81" s="21"/>
      <c r="KHO81" s="20"/>
      <c r="KHP81" s="20"/>
      <c r="KHQ81" s="20"/>
      <c r="KHR81" s="20"/>
      <c r="KHS81" s="21"/>
      <c r="KHT81" s="21"/>
      <c r="KHU81" s="7"/>
      <c r="KHV81" s="7"/>
      <c r="KHW81" s="21"/>
      <c r="KHX81" s="20"/>
      <c r="KHY81" s="20"/>
      <c r="KHZ81" s="20"/>
      <c r="KIA81" s="21"/>
      <c r="KIB81" s="21"/>
      <c r="KIC81" s="21"/>
      <c r="KID81" s="21"/>
      <c r="KIE81" s="21"/>
      <c r="KIF81" s="20"/>
      <c r="KIG81" s="20"/>
      <c r="KIH81" s="20"/>
      <c r="KII81" s="20"/>
      <c r="KIJ81" s="21"/>
      <c r="KIK81" s="21"/>
      <c r="KIL81" s="7"/>
      <c r="KIM81" s="7"/>
      <c r="KIN81" s="21"/>
      <c r="KIO81" s="20"/>
      <c r="KIP81" s="20"/>
      <c r="KIQ81" s="20"/>
      <c r="KIR81" s="21"/>
      <c r="KIS81" s="21"/>
      <c r="KIT81" s="21"/>
      <c r="KIU81" s="21"/>
      <c r="KIV81" s="21"/>
      <c r="KIW81" s="20"/>
      <c r="KIX81" s="20"/>
      <c r="KIY81" s="20"/>
      <c r="KIZ81" s="20"/>
      <c r="KJA81" s="21"/>
      <c r="KJB81" s="21"/>
      <c r="KJC81" s="7"/>
      <c r="KJD81" s="7"/>
      <c r="KJE81" s="21"/>
      <c r="KJF81" s="20"/>
      <c r="KJG81" s="20"/>
      <c r="KJH81" s="20"/>
      <c r="KJI81" s="21"/>
      <c r="KJJ81" s="21"/>
      <c r="KJK81" s="21"/>
      <c r="KJL81" s="21"/>
      <c r="KJM81" s="21"/>
      <c r="KJN81" s="20"/>
      <c r="KJO81" s="20"/>
      <c r="KJP81" s="20"/>
      <c r="KJQ81" s="20"/>
      <c r="KJR81" s="21"/>
      <c r="KJS81" s="21"/>
      <c r="KJT81" s="7"/>
      <c r="KJU81" s="7"/>
      <c r="KJV81" s="21"/>
      <c r="KJW81" s="20"/>
      <c r="KJX81" s="20"/>
      <c r="KJY81" s="20"/>
      <c r="KJZ81" s="21"/>
      <c r="KKA81" s="21"/>
      <c r="KKB81" s="21"/>
      <c r="KKC81" s="21"/>
      <c r="KKD81" s="21"/>
      <c r="KKE81" s="20"/>
      <c r="KKF81" s="20"/>
      <c r="KKG81" s="20"/>
      <c r="KKH81" s="20"/>
      <c r="KKI81" s="21"/>
      <c r="KKJ81" s="21"/>
      <c r="KKK81" s="7"/>
      <c r="KKL81" s="7"/>
      <c r="KKM81" s="21"/>
      <c r="KKN81" s="20"/>
      <c r="KKO81" s="20"/>
      <c r="KKP81" s="20"/>
      <c r="KKQ81" s="21"/>
      <c r="KKR81" s="21"/>
      <c r="KKS81" s="21"/>
      <c r="KKT81" s="21"/>
      <c r="KKU81" s="21"/>
      <c r="KKV81" s="20"/>
      <c r="KKW81" s="20"/>
      <c r="KKX81" s="20"/>
      <c r="KKY81" s="20"/>
      <c r="KKZ81" s="21"/>
      <c r="KLA81" s="21"/>
      <c r="KLB81" s="7"/>
      <c r="KLC81" s="7"/>
      <c r="KLD81" s="21"/>
      <c r="KLE81" s="20"/>
      <c r="KLF81" s="20"/>
      <c r="KLG81" s="20"/>
      <c r="KLH81" s="21"/>
      <c r="KLI81" s="21"/>
      <c r="KLJ81" s="21"/>
      <c r="KLK81" s="21"/>
      <c r="KLL81" s="21"/>
      <c r="KLM81" s="20"/>
      <c r="KLN81" s="20"/>
      <c r="KLO81" s="20"/>
      <c r="KLP81" s="20"/>
      <c r="KLQ81" s="21"/>
      <c r="KLR81" s="21"/>
      <c r="KLS81" s="7"/>
      <c r="KLT81" s="7"/>
      <c r="KLU81" s="21"/>
      <c r="KLV81" s="20"/>
      <c r="KLW81" s="20"/>
      <c r="KLX81" s="20"/>
      <c r="KLY81" s="21"/>
      <c r="KLZ81" s="21"/>
      <c r="KMA81" s="21"/>
      <c r="KMB81" s="21"/>
      <c r="KMC81" s="21"/>
      <c r="KMD81" s="20"/>
      <c r="KME81" s="20"/>
      <c r="KMF81" s="20"/>
      <c r="KMG81" s="20"/>
      <c r="KMH81" s="21"/>
      <c r="KMI81" s="21"/>
      <c r="KMJ81" s="7"/>
      <c r="KMK81" s="7"/>
      <c r="KML81" s="21"/>
      <c r="KMM81" s="20"/>
      <c r="KMN81" s="20"/>
      <c r="KMO81" s="20"/>
      <c r="KMP81" s="21"/>
      <c r="KMQ81" s="21"/>
      <c r="KMR81" s="21"/>
      <c r="KMS81" s="21"/>
      <c r="KMT81" s="21"/>
      <c r="KMU81" s="20"/>
      <c r="KMV81" s="20"/>
      <c r="KMW81" s="20"/>
      <c r="KMX81" s="20"/>
      <c r="KMY81" s="21"/>
      <c r="KMZ81" s="21"/>
      <c r="KNA81" s="7"/>
      <c r="KNB81" s="7"/>
      <c r="KNC81" s="21"/>
      <c r="KND81" s="20"/>
      <c r="KNE81" s="20"/>
      <c r="KNF81" s="20"/>
      <c r="KNG81" s="21"/>
      <c r="KNH81" s="21"/>
      <c r="KNI81" s="21"/>
      <c r="KNJ81" s="21"/>
      <c r="KNK81" s="21"/>
      <c r="KNL81" s="20"/>
      <c r="KNM81" s="20"/>
      <c r="KNN81" s="20"/>
      <c r="KNO81" s="20"/>
      <c r="KNP81" s="21"/>
      <c r="KNQ81" s="21"/>
      <c r="KNR81" s="7"/>
      <c r="KNS81" s="7"/>
      <c r="KNT81" s="21"/>
      <c r="KNU81" s="20"/>
      <c r="KNV81" s="20"/>
      <c r="KNW81" s="20"/>
      <c r="KNX81" s="21"/>
      <c r="KNY81" s="21"/>
      <c r="KNZ81" s="21"/>
      <c r="KOA81" s="21"/>
      <c r="KOB81" s="21"/>
      <c r="KOC81" s="20"/>
      <c r="KOD81" s="20"/>
      <c r="KOE81" s="20"/>
      <c r="KOF81" s="20"/>
      <c r="KOG81" s="21"/>
      <c r="KOH81" s="21"/>
      <c r="KOI81" s="7"/>
      <c r="KOJ81" s="7"/>
      <c r="KOK81" s="21"/>
      <c r="KOL81" s="20"/>
      <c r="KOM81" s="20"/>
      <c r="KON81" s="20"/>
      <c r="KOO81" s="21"/>
      <c r="KOP81" s="21"/>
      <c r="KOQ81" s="21"/>
      <c r="KOR81" s="21"/>
      <c r="KOS81" s="21"/>
      <c r="KOT81" s="20"/>
      <c r="KOU81" s="20"/>
      <c r="KOV81" s="20"/>
      <c r="KOW81" s="20"/>
      <c r="KOX81" s="21"/>
      <c r="KOY81" s="21"/>
      <c r="KOZ81" s="7"/>
      <c r="KPA81" s="7"/>
      <c r="KPB81" s="21"/>
      <c r="KPC81" s="20"/>
      <c r="KPD81" s="20"/>
      <c r="KPE81" s="20"/>
      <c r="KPF81" s="21"/>
      <c r="KPG81" s="21"/>
      <c r="KPH81" s="21"/>
      <c r="KPI81" s="21"/>
      <c r="KPJ81" s="21"/>
      <c r="KPK81" s="20"/>
      <c r="KPL81" s="20"/>
      <c r="KPM81" s="20"/>
      <c r="KPN81" s="20"/>
      <c r="KPO81" s="21"/>
      <c r="KPP81" s="21"/>
      <c r="KPQ81" s="7"/>
      <c r="KPR81" s="7"/>
      <c r="KPS81" s="21"/>
      <c r="KPT81" s="20"/>
      <c r="KPU81" s="20"/>
      <c r="KPV81" s="20"/>
      <c r="KPW81" s="21"/>
      <c r="KPX81" s="21"/>
      <c r="KPY81" s="21"/>
      <c r="KPZ81" s="21"/>
      <c r="KQA81" s="21"/>
      <c r="KQB81" s="20"/>
      <c r="KQC81" s="20"/>
      <c r="KQD81" s="20"/>
      <c r="KQE81" s="20"/>
      <c r="KQF81" s="21"/>
      <c r="KQG81" s="21"/>
      <c r="KQH81" s="7"/>
      <c r="KQI81" s="7"/>
      <c r="KQJ81" s="21"/>
      <c r="KQK81" s="20"/>
      <c r="KQL81" s="20"/>
      <c r="KQM81" s="20"/>
      <c r="KQN81" s="21"/>
      <c r="KQO81" s="21"/>
      <c r="KQP81" s="21"/>
      <c r="KQQ81" s="21"/>
      <c r="KQR81" s="21"/>
      <c r="KQS81" s="20"/>
      <c r="KQT81" s="20"/>
      <c r="KQU81" s="20"/>
      <c r="KQV81" s="20"/>
      <c r="KQW81" s="21"/>
      <c r="KQX81" s="21"/>
      <c r="KQY81" s="7"/>
      <c r="KQZ81" s="7"/>
      <c r="KRA81" s="21"/>
      <c r="KRB81" s="20"/>
      <c r="KRC81" s="20"/>
      <c r="KRD81" s="20"/>
      <c r="KRE81" s="21"/>
      <c r="KRF81" s="21"/>
      <c r="KRG81" s="21"/>
      <c r="KRH81" s="21"/>
      <c r="KRI81" s="21"/>
      <c r="KRJ81" s="20"/>
      <c r="KRK81" s="20"/>
      <c r="KRL81" s="20"/>
      <c r="KRM81" s="20"/>
      <c r="KRN81" s="21"/>
      <c r="KRO81" s="21"/>
      <c r="KRP81" s="7"/>
      <c r="KRQ81" s="7"/>
      <c r="KRR81" s="21"/>
      <c r="KRS81" s="20"/>
      <c r="KRT81" s="20"/>
      <c r="KRU81" s="20"/>
      <c r="KRV81" s="21"/>
      <c r="KRW81" s="21"/>
      <c r="KRX81" s="21"/>
      <c r="KRY81" s="21"/>
      <c r="KRZ81" s="21"/>
      <c r="KSA81" s="20"/>
      <c r="KSB81" s="20"/>
      <c r="KSC81" s="20"/>
      <c r="KSD81" s="20"/>
      <c r="KSE81" s="21"/>
      <c r="KSF81" s="21"/>
      <c r="KSG81" s="7"/>
      <c r="KSH81" s="7"/>
      <c r="KSI81" s="21"/>
      <c r="KSJ81" s="20"/>
      <c r="KSK81" s="20"/>
      <c r="KSL81" s="20"/>
      <c r="KSM81" s="21"/>
      <c r="KSN81" s="21"/>
      <c r="KSO81" s="21"/>
      <c r="KSP81" s="21"/>
      <c r="KSQ81" s="21"/>
      <c r="KSR81" s="20"/>
      <c r="KSS81" s="20"/>
      <c r="KST81" s="20"/>
      <c r="KSU81" s="20"/>
      <c r="KSV81" s="21"/>
      <c r="KSW81" s="21"/>
      <c r="KSX81" s="7"/>
      <c r="KSY81" s="7"/>
      <c r="KSZ81" s="21"/>
      <c r="KTA81" s="20"/>
      <c r="KTB81" s="20"/>
      <c r="KTC81" s="20"/>
      <c r="KTD81" s="21"/>
      <c r="KTE81" s="21"/>
      <c r="KTF81" s="21"/>
      <c r="KTG81" s="21"/>
      <c r="KTH81" s="21"/>
      <c r="KTI81" s="20"/>
      <c r="KTJ81" s="20"/>
      <c r="KTK81" s="20"/>
      <c r="KTL81" s="20"/>
      <c r="KTM81" s="21"/>
      <c r="KTN81" s="21"/>
      <c r="KTO81" s="7"/>
      <c r="KTP81" s="7"/>
      <c r="KTQ81" s="21"/>
      <c r="KTR81" s="20"/>
      <c r="KTS81" s="20"/>
      <c r="KTT81" s="20"/>
      <c r="KTU81" s="21"/>
      <c r="KTV81" s="21"/>
      <c r="KTW81" s="21"/>
      <c r="KTX81" s="21"/>
      <c r="KTY81" s="21"/>
      <c r="KTZ81" s="20"/>
      <c r="KUA81" s="20"/>
      <c r="KUB81" s="20"/>
      <c r="KUC81" s="20"/>
      <c r="KUD81" s="21"/>
      <c r="KUE81" s="21"/>
      <c r="KUF81" s="7"/>
      <c r="KUG81" s="7"/>
      <c r="KUH81" s="21"/>
      <c r="KUI81" s="20"/>
      <c r="KUJ81" s="20"/>
      <c r="KUK81" s="20"/>
      <c r="KUL81" s="21"/>
      <c r="KUM81" s="21"/>
      <c r="KUN81" s="21"/>
      <c r="KUO81" s="21"/>
      <c r="KUP81" s="21"/>
      <c r="KUQ81" s="20"/>
      <c r="KUR81" s="20"/>
      <c r="KUS81" s="20"/>
      <c r="KUT81" s="20"/>
      <c r="KUU81" s="21"/>
      <c r="KUV81" s="21"/>
      <c r="KUW81" s="7"/>
      <c r="KUX81" s="7"/>
      <c r="KUY81" s="21"/>
      <c r="KUZ81" s="20"/>
      <c r="KVA81" s="20"/>
      <c r="KVB81" s="20"/>
      <c r="KVC81" s="21"/>
      <c r="KVD81" s="21"/>
      <c r="KVE81" s="21"/>
      <c r="KVF81" s="21"/>
      <c r="KVG81" s="21"/>
      <c r="KVH81" s="20"/>
      <c r="KVI81" s="20"/>
      <c r="KVJ81" s="20"/>
      <c r="KVK81" s="20"/>
      <c r="KVL81" s="21"/>
      <c r="KVM81" s="21"/>
      <c r="KVN81" s="7"/>
      <c r="KVO81" s="7"/>
      <c r="KVP81" s="21"/>
      <c r="KVQ81" s="20"/>
      <c r="KVR81" s="20"/>
      <c r="KVS81" s="20"/>
      <c r="KVT81" s="21"/>
      <c r="KVU81" s="21"/>
      <c r="KVV81" s="21"/>
      <c r="KVW81" s="21"/>
      <c r="KVX81" s="21"/>
      <c r="KVY81" s="20"/>
      <c r="KVZ81" s="20"/>
      <c r="KWA81" s="20"/>
      <c r="KWB81" s="20"/>
      <c r="KWC81" s="21"/>
      <c r="KWD81" s="21"/>
      <c r="KWE81" s="7"/>
      <c r="KWF81" s="7"/>
      <c r="KWG81" s="21"/>
      <c r="KWH81" s="20"/>
      <c r="KWI81" s="20"/>
      <c r="KWJ81" s="20"/>
      <c r="KWK81" s="21"/>
      <c r="KWL81" s="21"/>
      <c r="KWM81" s="21"/>
      <c r="KWN81" s="21"/>
      <c r="KWO81" s="21"/>
      <c r="KWP81" s="20"/>
      <c r="KWQ81" s="20"/>
      <c r="KWR81" s="20"/>
      <c r="KWS81" s="20"/>
      <c r="KWT81" s="21"/>
      <c r="KWU81" s="21"/>
      <c r="KWV81" s="7"/>
      <c r="KWW81" s="7"/>
      <c r="KWX81" s="21"/>
      <c r="KWY81" s="20"/>
      <c r="KWZ81" s="20"/>
      <c r="KXA81" s="20"/>
      <c r="KXB81" s="21"/>
      <c r="KXC81" s="21"/>
      <c r="KXD81" s="21"/>
      <c r="KXE81" s="21"/>
      <c r="KXF81" s="21"/>
      <c r="KXG81" s="20"/>
      <c r="KXH81" s="20"/>
      <c r="KXI81" s="20"/>
      <c r="KXJ81" s="20"/>
      <c r="KXK81" s="21"/>
      <c r="KXL81" s="21"/>
      <c r="KXM81" s="7"/>
      <c r="KXN81" s="7"/>
      <c r="KXO81" s="21"/>
      <c r="KXP81" s="20"/>
      <c r="KXQ81" s="20"/>
      <c r="KXR81" s="20"/>
      <c r="KXS81" s="21"/>
      <c r="KXT81" s="21"/>
      <c r="KXU81" s="21"/>
      <c r="KXV81" s="21"/>
      <c r="KXW81" s="21"/>
      <c r="KXX81" s="20"/>
      <c r="KXY81" s="20"/>
      <c r="KXZ81" s="20"/>
      <c r="KYA81" s="20"/>
      <c r="KYB81" s="21"/>
      <c r="KYC81" s="21"/>
      <c r="KYD81" s="7"/>
      <c r="KYE81" s="7"/>
      <c r="KYF81" s="21"/>
      <c r="KYG81" s="20"/>
      <c r="KYH81" s="20"/>
      <c r="KYI81" s="20"/>
      <c r="KYJ81" s="21"/>
      <c r="KYK81" s="21"/>
      <c r="KYL81" s="21"/>
      <c r="KYM81" s="21"/>
      <c r="KYN81" s="21"/>
      <c r="KYO81" s="20"/>
      <c r="KYP81" s="20"/>
      <c r="KYQ81" s="20"/>
      <c r="KYR81" s="20"/>
      <c r="KYS81" s="21"/>
      <c r="KYT81" s="21"/>
      <c r="KYU81" s="7"/>
      <c r="KYV81" s="7"/>
      <c r="KYW81" s="21"/>
      <c r="KYX81" s="20"/>
      <c r="KYY81" s="20"/>
      <c r="KYZ81" s="20"/>
      <c r="KZA81" s="21"/>
      <c r="KZB81" s="21"/>
      <c r="KZC81" s="21"/>
      <c r="KZD81" s="21"/>
      <c r="KZE81" s="21"/>
      <c r="KZF81" s="20"/>
      <c r="KZG81" s="20"/>
      <c r="KZH81" s="20"/>
      <c r="KZI81" s="20"/>
      <c r="KZJ81" s="21"/>
      <c r="KZK81" s="21"/>
      <c r="KZL81" s="7"/>
      <c r="KZM81" s="7"/>
      <c r="KZN81" s="21"/>
      <c r="KZO81" s="20"/>
      <c r="KZP81" s="20"/>
      <c r="KZQ81" s="20"/>
      <c r="KZR81" s="21"/>
      <c r="KZS81" s="21"/>
      <c r="KZT81" s="21"/>
      <c r="KZU81" s="21"/>
      <c r="KZV81" s="21"/>
      <c r="KZW81" s="20"/>
      <c r="KZX81" s="20"/>
      <c r="KZY81" s="20"/>
      <c r="KZZ81" s="20"/>
      <c r="LAA81" s="21"/>
      <c r="LAB81" s="21"/>
      <c r="LAC81" s="7"/>
      <c r="LAD81" s="7"/>
      <c r="LAE81" s="21"/>
      <c r="LAF81" s="20"/>
      <c r="LAG81" s="20"/>
      <c r="LAH81" s="20"/>
      <c r="LAI81" s="21"/>
      <c r="LAJ81" s="21"/>
      <c r="LAK81" s="21"/>
      <c r="LAL81" s="21"/>
      <c r="LAM81" s="21"/>
      <c r="LAN81" s="20"/>
      <c r="LAO81" s="20"/>
      <c r="LAP81" s="20"/>
      <c r="LAQ81" s="20"/>
      <c r="LAR81" s="21"/>
      <c r="LAS81" s="21"/>
      <c r="LAT81" s="7"/>
      <c r="LAU81" s="7"/>
      <c r="LAV81" s="21"/>
      <c r="LAW81" s="20"/>
      <c r="LAX81" s="20"/>
      <c r="LAY81" s="20"/>
      <c r="LAZ81" s="21"/>
      <c r="LBA81" s="21"/>
      <c r="LBB81" s="21"/>
      <c r="LBC81" s="21"/>
      <c r="LBD81" s="21"/>
      <c r="LBE81" s="20"/>
      <c r="LBF81" s="20"/>
      <c r="LBG81" s="20"/>
      <c r="LBH81" s="20"/>
      <c r="LBI81" s="21"/>
      <c r="LBJ81" s="21"/>
      <c r="LBK81" s="7"/>
      <c r="LBL81" s="7"/>
      <c r="LBM81" s="21"/>
      <c r="LBN81" s="20"/>
      <c r="LBO81" s="20"/>
      <c r="LBP81" s="20"/>
      <c r="LBQ81" s="21"/>
      <c r="LBR81" s="21"/>
      <c r="LBS81" s="21"/>
      <c r="LBT81" s="21"/>
      <c r="LBU81" s="21"/>
      <c r="LBV81" s="20"/>
      <c r="LBW81" s="20"/>
      <c r="LBX81" s="20"/>
      <c r="LBY81" s="20"/>
      <c r="LBZ81" s="21"/>
      <c r="LCA81" s="21"/>
      <c r="LCB81" s="7"/>
      <c r="LCC81" s="7"/>
      <c r="LCD81" s="21"/>
      <c r="LCE81" s="20"/>
      <c r="LCF81" s="20"/>
      <c r="LCG81" s="20"/>
      <c r="LCH81" s="21"/>
      <c r="LCI81" s="21"/>
      <c r="LCJ81" s="21"/>
      <c r="LCK81" s="21"/>
      <c r="LCL81" s="21"/>
      <c r="LCM81" s="20"/>
      <c r="LCN81" s="20"/>
      <c r="LCO81" s="20"/>
      <c r="LCP81" s="20"/>
      <c r="LCQ81" s="21"/>
      <c r="LCR81" s="21"/>
      <c r="LCS81" s="7"/>
      <c r="LCT81" s="7"/>
      <c r="LCU81" s="21"/>
      <c r="LCV81" s="20"/>
      <c r="LCW81" s="20"/>
      <c r="LCX81" s="20"/>
      <c r="LCY81" s="21"/>
      <c r="LCZ81" s="21"/>
      <c r="LDA81" s="21"/>
      <c r="LDB81" s="21"/>
      <c r="LDC81" s="21"/>
      <c r="LDD81" s="20"/>
      <c r="LDE81" s="20"/>
      <c r="LDF81" s="20"/>
      <c r="LDG81" s="20"/>
      <c r="LDH81" s="21"/>
      <c r="LDI81" s="21"/>
      <c r="LDJ81" s="7"/>
      <c r="LDK81" s="7"/>
      <c r="LDL81" s="21"/>
      <c r="LDM81" s="20"/>
      <c r="LDN81" s="20"/>
      <c r="LDO81" s="20"/>
      <c r="LDP81" s="21"/>
      <c r="LDQ81" s="21"/>
      <c r="LDR81" s="21"/>
      <c r="LDS81" s="21"/>
      <c r="LDT81" s="21"/>
      <c r="LDU81" s="20"/>
      <c r="LDV81" s="20"/>
      <c r="LDW81" s="20"/>
      <c r="LDX81" s="20"/>
      <c r="LDY81" s="21"/>
      <c r="LDZ81" s="21"/>
      <c r="LEA81" s="7"/>
      <c r="LEB81" s="7"/>
      <c r="LEC81" s="21"/>
      <c r="LED81" s="20"/>
      <c r="LEE81" s="20"/>
      <c r="LEF81" s="20"/>
      <c r="LEG81" s="21"/>
      <c r="LEH81" s="21"/>
      <c r="LEI81" s="21"/>
      <c r="LEJ81" s="21"/>
      <c r="LEK81" s="21"/>
      <c r="LEL81" s="20"/>
      <c r="LEM81" s="20"/>
      <c r="LEN81" s="20"/>
      <c r="LEO81" s="20"/>
      <c r="LEP81" s="21"/>
      <c r="LEQ81" s="21"/>
      <c r="LER81" s="7"/>
      <c r="LES81" s="7"/>
      <c r="LET81" s="21"/>
      <c r="LEU81" s="20"/>
      <c r="LEV81" s="20"/>
      <c r="LEW81" s="20"/>
      <c r="LEX81" s="21"/>
      <c r="LEY81" s="21"/>
      <c r="LEZ81" s="21"/>
      <c r="LFA81" s="21"/>
      <c r="LFB81" s="21"/>
      <c r="LFC81" s="20"/>
      <c r="LFD81" s="20"/>
      <c r="LFE81" s="20"/>
      <c r="LFF81" s="20"/>
      <c r="LFG81" s="21"/>
      <c r="LFH81" s="21"/>
      <c r="LFI81" s="7"/>
      <c r="LFJ81" s="7"/>
      <c r="LFK81" s="21"/>
      <c r="LFL81" s="20"/>
      <c r="LFM81" s="20"/>
      <c r="LFN81" s="20"/>
      <c r="LFO81" s="21"/>
      <c r="LFP81" s="21"/>
      <c r="LFQ81" s="21"/>
      <c r="LFR81" s="21"/>
      <c r="LFS81" s="21"/>
      <c r="LFT81" s="20"/>
      <c r="LFU81" s="20"/>
      <c r="LFV81" s="20"/>
      <c r="LFW81" s="20"/>
      <c r="LFX81" s="21"/>
      <c r="LFY81" s="21"/>
      <c r="LFZ81" s="7"/>
      <c r="LGA81" s="7"/>
      <c r="LGB81" s="21"/>
      <c r="LGC81" s="20"/>
      <c r="LGD81" s="20"/>
      <c r="LGE81" s="20"/>
      <c r="LGF81" s="21"/>
      <c r="LGG81" s="21"/>
      <c r="LGH81" s="21"/>
      <c r="LGI81" s="21"/>
      <c r="LGJ81" s="21"/>
      <c r="LGK81" s="20"/>
      <c r="LGL81" s="20"/>
      <c r="LGM81" s="20"/>
      <c r="LGN81" s="20"/>
      <c r="LGO81" s="21"/>
      <c r="LGP81" s="21"/>
      <c r="LGQ81" s="7"/>
      <c r="LGR81" s="7"/>
      <c r="LGS81" s="21"/>
      <c r="LGT81" s="20"/>
      <c r="LGU81" s="20"/>
      <c r="LGV81" s="20"/>
      <c r="LGW81" s="21"/>
      <c r="LGX81" s="21"/>
      <c r="LGY81" s="21"/>
      <c r="LGZ81" s="21"/>
      <c r="LHA81" s="21"/>
      <c r="LHB81" s="20"/>
      <c r="LHC81" s="20"/>
      <c r="LHD81" s="20"/>
      <c r="LHE81" s="20"/>
      <c r="LHF81" s="21"/>
      <c r="LHG81" s="21"/>
      <c r="LHH81" s="7"/>
      <c r="LHI81" s="7"/>
      <c r="LHJ81" s="21"/>
      <c r="LHK81" s="20"/>
      <c r="LHL81" s="20"/>
      <c r="LHM81" s="20"/>
      <c r="LHN81" s="21"/>
      <c r="LHO81" s="21"/>
      <c r="LHP81" s="21"/>
      <c r="LHQ81" s="21"/>
      <c r="LHR81" s="21"/>
      <c r="LHS81" s="20"/>
      <c r="LHT81" s="20"/>
      <c r="LHU81" s="20"/>
      <c r="LHV81" s="20"/>
      <c r="LHW81" s="21"/>
      <c r="LHX81" s="21"/>
      <c r="LHY81" s="7"/>
      <c r="LHZ81" s="7"/>
      <c r="LIA81" s="21"/>
      <c r="LIB81" s="20"/>
      <c r="LIC81" s="20"/>
      <c r="LID81" s="20"/>
      <c r="LIE81" s="21"/>
      <c r="LIF81" s="21"/>
      <c r="LIG81" s="21"/>
      <c r="LIH81" s="21"/>
      <c r="LII81" s="21"/>
      <c r="LIJ81" s="20"/>
      <c r="LIK81" s="20"/>
      <c r="LIL81" s="20"/>
      <c r="LIM81" s="20"/>
      <c r="LIN81" s="21"/>
      <c r="LIO81" s="21"/>
      <c r="LIP81" s="7"/>
      <c r="LIQ81" s="7"/>
      <c r="LIR81" s="21"/>
      <c r="LIS81" s="20"/>
      <c r="LIT81" s="20"/>
      <c r="LIU81" s="20"/>
      <c r="LIV81" s="21"/>
      <c r="LIW81" s="21"/>
      <c r="LIX81" s="21"/>
      <c r="LIY81" s="21"/>
      <c r="LIZ81" s="21"/>
      <c r="LJA81" s="20"/>
      <c r="LJB81" s="20"/>
      <c r="LJC81" s="20"/>
      <c r="LJD81" s="20"/>
      <c r="LJE81" s="21"/>
      <c r="LJF81" s="21"/>
      <c r="LJG81" s="7"/>
      <c r="LJH81" s="7"/>
      <c r="LJI81" s="21"/>
      <c r="LJJ81" s="20"/>
      <c r="LJK81" s="20"/>
      <c r="LJL81" s="20"/>
      <c r="LJM81" s="21"/>
      <c r="LJN81" s="21"/>
      <c r="LJO81" s="21"/>
      <c r="LJP81" s="21"/>
      <c r="LJQ81" s="21"/>
      <c r="LJR81" s="20"/>
      <c r="LJS81" s="20"/>
      <c r="LJT81" s="20"/>
      <c r="LJU81" s="20"/>
      <c r="LJV81" s="21"/>
      <c r="LJW81" s="21"/>
      <c r="LJX81" s="7"/>
      <c r="LJY81" s="7"/>
      <c r="LJZ81" s="21"/>
      <c r="LKA81" s="20"/>
      <c r="LKB81" s="20"/>
      <c r="LKC81" s="20"/>
      <c r="LKD81" s="21"/>
      <c r="LKE81" s="21"/>
      <c r="LKF81" s="21"/>
      <c r="LKG81" s="21"/>
      <c r="LKH81" s="21"/>
      <c r="LKI81" s="20"/>
      <c r="LKJ81" s="20"/>
      <c r="LKK81" s="20"/>
      <c r="LKL81" s="20"/>
      <c r="LKM81" s="21"/>
      <c r="LKN81" s="21"/>
      <c r="LKO81" s="7"/>
      <c r="LKP81" s="7"/>
      <c r="LKQ81" s="21"/>
      <c r="LKR81" s="20"/>
      <c r="LKS81" s="20"/>
      <c r="LKT81" s="20"/>
      <c r="LKU81" s="21"/>
      <c r="LKV81" s="21"/>
      <c r="LKW81" s="21"/>
      <c r="LKX81" s="21"/>
      <c r="LKY81" s="21"/>
      <c r="LKZ81" s="20"/>
      <c r="LLA81" s="20"/>
      <c r="LLB81" s="20"/>
      <c r="LLC81" s="20"/>
      <c r="LLD81" s="21"/>
      <c r="LLE81" s="21"/>
      <c r="LLF81" s="7"/>
      <c r="LLG81" s="7"/>
      <c r="LLH81" s="21"/>
      <c r="LLI81" s="20"/>
      <c r="LLJ81" s="20"/>
      <c r="LLK81" s="20"/>
      <c r="LLL81" s="21"/>
      <c r="LLM81" s="21"/>
      <c r="LLN81" s="21"/>
      <c r="LLO81" s="21"/>
      <c r="LLP81" s="21"/>
      <c r="LLQ81" s="20"/>
      <c r="LLR81" s="20"/>
      <c r="LLS81" s="20"/>
      <c r="LLT81" s="20"/>
      <c r="LLU81" s="21"/>
      <c r="LLV81" s="21"/>
      <c r="LLW81" s="7"/>
      <c r="LLX81" s="7"/>
      <c r="LLY81" s="21"/>
      <c r="LLZ81" s="20"/>
      <c r="LMA81" s="20"/>
      <c r="LMB81" s="20"/>
      <c r="LMC81" s="21"/>
      <c r="LMD81" s="21"/>
      <c r="LME81" s="21"/>
      <c r="LMF81" s="21"/>
      <c r="LMG81" s="21"/>
      <c r="LMH81" s="20"/>
      <c r="LMI81" s="20"/>
      <c r="LMJ81" s="20"/>
      <c r="LMK81" s="20"/>
      <c r="LML81" s="21"/>
      <c r="LMM81" s="21"/>
      <c r="LMN81" s="7"/>
      <c r="LMO81" s="7"/>
      <c r="LMP81" s="21"/>
      <c r="LMQ81" s="20"/>
      <c r="LMR81" s="20"/>
      <c r="LMS81" s="20"/>
      <c r="LMT81" s="21"/>
      <c r="LMU81" s="21"/>
      <c r="LMV81" s="21"/>
      <c r="LMW81" s="21"/>
      <c r="LMX81" s="21"/>
      <c r="LMY81" s="20"/>
      <c r="LMZ81" s="20"/>
      <c r="LNA81" s="20"/>
      <c r="LNB81" s="20"/>
      <c r="LNC81" s="21"/>
      <c r="LND81" s="21"/>
      <c r="LNE81" s="7"/>
      <c r="LNF81" s="7"/>
      <c r="LNG81" s="21"/>
      <c r="LNH81" s="20"/>
      <c r="LNI81" s="20"/>
      <c r="LNJ81" s="20"/>
      <c r="LNK81" s="21"/>
      <c r="LNL81" s="21"/>
      <c r="LNM81" s="21"/>
      <c r="LNN81" s="21"/>
      <c r="LNO81" s="21"/>
      <c r="LNP81" s="20"/>
      <c r="LNQ81" s="20"/>
      <c r="LNR81" s="20"/>
      <c r="LNS81" s="20"/>
      <c r="LNT81" s="21"/>
      <c r="LNU81" s="21"/>
      <c r="LNV81" s="7"/>
      <c r="LNW81" s="7"/>
      <c r="LNX81" s="21"/>
      <c r="LNY81" s="20"/>
      <c r="LNZ81" s="20"/>
      <c r="LOA81" s="20"/>
      <c r="LOB81" s="21"/>
      <c r="LOC81" s="21"/>
      <c r="LOD81" s="21"/>
      <c r="LOE81" s="21"/>
      <c r="LOF81" s="21"/>
      <c r="LOG81" s="20"/>
      <c r="LOH81" s="20"/>
      <c r="LOI81" s="20"/>
      <c r="LOJ81" s="20"/>
      <c r="LOK81" s="21"/>
      <c r="LOL81" s="21"/>
      <c r="LOM81" s="7"/>
      <c r="LON81" s="7"/>
      <c r="LOO81" s="21"/>
      <c r="LOP81" s="20"/>
      <c r="LOQ81" s="20"/>
      <c r="LOR81" s="20"/>
      <c r="LOS81" s="21"/>
      <c r="LOT81" s="21"/>
      <c r="LOU81" s="21"/>
      <c r="LOV81" s="21"/>
      <c r="LOW81" s="21"/>
      <c r="LOX81" s="20"/>
      <c r="LOY81" s="20"/>
      <c r="LOZ81" s="20"/>
      <c r="LPA81" s="20"/>
      <c r="LPB81" s="21"/>
      <c r="LPC81" s="21"/>
      <c r="LPD81" s="7"/>
      <c r="LPE81" s="7"/>
      <c r="LPF81" s="21"/>
      <c r="LPG81" s="20"/>
      <c r="LPH81" s="20"/>
      <c r="LPI81" s="20"/>
      <c r="LPJ81" s="21"/>
      <c r="LPK81" s="21"/>
      <c r="LPL81" s="21"/>
      <c r="LPM81" s="21"/>
      <c r="LPN81" s="21"/>
      <c r="LPO81" s="20"/>
      <c r="LPP81" s="20"/>
      <c r="LPQ81" s="20"/>
      <c r="LPR81" s="20"/>
      <c r="LPS81" s="21"/>
      <c r="LPT81" s="21"/>
      <c r="LPU81" s="7"/>
      <c r="LPV81" s="7"/>
      <c r="LPW81" s="21"/>
      <c r="LPX81" s="20"/>
      <c r="LPY81" s="20"/>
      <c r="LPZ81" s="20"/>
      <c r="LQA81" s="21"/>
      <c r="LQB81" s="21"/>
      <c r="LQC81" s="21"/>
      <c r="LQD81" s="21"/>
      <c r="LQE81" s="21"/>
      <c r="LQF81" s="20"/>
      <c r="LQG81" s="20"/>
      <c r="LQH81" s="20"/>
      <c r="LQI81" s="20"/>
      <c r="LQJ81" s="21"/>
      <c r="LQK81" s="21"/>
      <c r="LQL81" s="7"/>
      <c r="LQM81" s="7"/>
      <c r="LQN81" s="21"/>
      <c r="LQO81" s="20"/>
      <c r="LQP81" s="20"/>
      <c r="LQQ81" s="20"/>
      <c r="LQR81" s="21"/>
      <c r="LQS81" s="21"/>
      <c r="LQT81" s="21"/>
      <c r="LQU81" s="21"/>
      <c r="LQV81" s="21"/>
      <c r="LQW81" s="20"/>
      <c r="LQX81" s="20"/>
      <c r="LQY81" s="20"/>
      <c r="LQZ81" s="20"/>
      <c r="LRA81" s="21"/>
      <c r="LRB81" s="21"/>
      <c r="LRC81" s="7"/>
      <c r="LRD81" s="7"/>
      <c r="LRE81" s="21"/>
      <c r="LRF81" s="20"/>
      <c r="LRG81" s="20"/>
      <c r="LRH81" s="20"/>
      <c r="LRI81" s="21"/>
      <c r="LRJ81" s="21"/>
      <c r="LRK81" s="21"/>
      <c r="LRL81" s="21"/>
      <c r="LRM81" s="21"/>
      <c r="LRN81" s="20"/>
      <c r="LRO81" s="20"/>
      <c r="LRP81" s="20"/>
      <c r="LRQ81" s="20"/>
      <c r="LRR81" s="21"/>
      <c r="LRS81" s="21"/>
      <c r="LRT81" s="7"/>
      <c r="LRU81" s="7"/>
      <c r="LRV81" s="21"/>
      <c r="LRW81" s="20"/>
      <c r="LRX81" s="20"/>
      <c r="LRY81" s="20"/>
      <c r="LRZ81" s="21"/>
      <c r="LSA81" s="21"/>
      <c r="LSB81" s="21"/>
      <c r="LSC81" s="21"/>
      <c r="LSD81" s="21"/>
      <c r="LSE81" s="20"/>
      <c r="LSF81" s="20"/>
      <c r="LSG81" s="20"/>
      <c r="LSH81" s="20"/>
      <c r="LSI81" s="21"/>
      <c r="LSJ81" s="21"/>
      <c r="LSK81" s="7"/>
      <c r="LSL81" s="7"/>
      <c r="LSM81" s="21"/>
      <c r="LSN81" s="20"/>
      <c r="LSO81" s="20"/>
      <c r="LSP81" s="20"/>
      <c r="LSQ81" s="21"/>
      <c r="LSR81" s="21"/>
      <c r="LSS81" s="21"/>
      <c r="LST81" s="21"/>
      <c r="LSU81" s="21"/>
      <c r="LSV81" s="20"/>
      <c r="LSW81" s="20"/>
      <c r="LSX81" s="20"/>
      <c r="LSY81" s="20"/>
      <c r="LSZ81" s="21"/>
      <c r="LTA81" s="21"/>
      <c r="LTB81" s="7"/>
      <c r="LTC81" s="7"/>
      <c r="LTD81" s="21"/>
      <c r="LTE81" s="20"/>
      <c r="LTF81" s="20"/>
      <c r="LTG81" s="20"/>
      <c r="LTH81" s="21"/>
      <c r="LTI81" s="21"/>
      <c r="LTJ81" s="21"/>
      <c r="LTK81" s="21"/>
      <c r="LTL81" s="21"/>
      <c r="LTM81" s="20"/>
      <c r="LTN81" s="20"/>
      <c r="LTO81" s="20"/>
      <c r="LTP81" s="20"/>
      <c r="LTQ81" s="21"/>
      <c r="LTR81" s="21"/>
      <c r="LTS81" s="7"/>
      <c r="LTT81" s="7"/>
      <c r="LTU81" s="21"/>
      <c r="LTV81" s="20"/>
      <c r="LTW81" s="20"/>
      <c r="LTX81" s="20"/>
      <c r="LTY81" s="21"/>
      <c r="LTZ81" s="21"/>
      <c r="LUA81" s="21"/>
      <c r="LUB81" s="21"/>
      <c r="LUC81" s="21"/>
      <c r="LUD81" s="20"/>
      <c r="LUE81" s="20"/>
      <c r="LUF81" s="20"/>
      <c r="LUG81" s="20"/>
      <c r="LUH81" s="21"/>
      <c r="LUI81" s="21"/>
      <c r="LUJ81" s="7"/>
      <c r="LUK81" s="7"/>
      <c r="LUL81" s="21"/>
      <c r="LUM81" s="20"/>
      <c r="LUN81" s="20"/>
      <c r="LUO81" s="20"/>
      <c r="LUP81" s="21"/>
      <c r="LUQ81" s="21"/>
      <c r="LUR81" s="21"/>
      <c r="LUS81" s="21"/>
      <c r="LUT81" s="21"/>
      <c r="LUU81" s="20"/>
      <c r="LUV81" s="20"/>
      <c r="LUW81" s="20"/>
      <c r="LUX81" s="20"/>
      <c r="LUY81" s="21"/>
      <c r="LUZ81" s="21"/>
      <c r="LVA81" s="7"/>
      <c r="LVB81" s="7"/>
      <c r="LVC81" s="21"/>
      <c r="LVD81" s="20"/>
      <c r="LVE81" s="20"/>
      <c r="LVF81" s="20"/>
      <c r="LVG81" s="21"/>
      <c r="LVH81" s="21"/>
      <c r="LVI81" s="21"/>
      <c r="LVJ81" s="21"/>
      <c r="LVK81" s="21"/>
      <c r="LVL81" s="20"/>
      <c r="LVM81" s="20"/>
      <c r="LVN81" s="20"/>
      <c r="LVO81" s="20"/>
      <c r="LVP81" s="21"/>
      <c r="LVQ81" s="21"/>
      <c r="LVR81" s="7"/>
      <c r="LVS81" s="7"/>
      <c r="LVT81" s="21"/>
      <c r="LVU81" s="20"/>
      <c r="LVV81" s="20"/>
      <c r="LVW81" s="20"/>
      <c r="LVX81" s="21"/>
      <c r="LVY81" s="21"/>
      <c r="LVZ81" s="21"/>
      <c r="LWA81" s="21"/>
      <c r="LWB81" s="21"/>
      <c r="LWC81" s="20"/>
      <c r="LWD81" s="20"/>
      <c r="LWE81" s="20"/>
      <c r="LWF81" s="20"/>
      <c r="LWG81" s="21"/>
      <c r="LWH81" s="21"/>
      <c r="LWI81" s="7"/>
      <c r="LWJ81" s="7"/>
      <c r="LWK81" s="21"/>
      <c r="LWL81" s="20"/>
      <c r="LWM81" s="20"/>
      <c r="LWN81" s="20"/>
      <c r="LWO81" s="21"/>
      <c r="LWP81" s="21"/>
      <c r="LWQ81" s="21"/>
      <c r="LWR81" s="21"/>
      <c r="LWS81" s="21"/>
      <c r="LWT81" s="20"/>
      <c r="LWU81" s="20"/>
      <c r="LWV81" s="20"/>
      <c r="LWW81" s="20"/>
      <c r="LWX81" s="21"/>
      <c r="LWY81" s="21"/>
      <c r="LWZ81" s="7"/>
      <c r="LXA81" s="7"/>
      <c r="LXB81" s="21"/>
      <c r="LXC81" s="20"/>
      <c r="LXD81" s="20"/>
      <c r="LXE81" s="20"/>
      <c r="LXF81" s="21"/>
      <c r="LXG81" s="21"/>
      <c r="LXH81" s="21"/>
      <c r="LXI81" s="21"/>
      <c r="LXJ81" s="21"/>
      <c r="LXK81" s="20"/>
      <c r="LXL81" s="20"/>
      <c r="LXM81" s="20"/>
      <c r="LXN81" s="20"/>
      <c r="LXO81" s="21"/>
      <c r="LXP81" s="21"/>
      <c r="LXQ81" s="7"/>
      <c r="LXR81" s="7"/>
      <c r="LXS81" s="21"/>
      <c r="LXT81" s="20"/>
      <c r="LXU81" s="20"/>
      <c r="LXV81" s="20"/>
      <c r="LXW81" s="21"/>
      <c r="LXX81" s="21"/>
      <c r="LXY81" s="21"/>
      <c r="LXZ81" s="21"/>
      <c r="LYA81" s="21"/>
      <c r="LYB81" s="20"/>
      <c r="LYC81" s="20"/>
      <c r="LYD81" s="20"/>
      <c r="LYE81" s="20"/>
      <c r="LYF81" s="21"/>
      <c r="LYG81" s="21"/>
      <c r="LYH81" s="7"/>
      <c r="LYI81" s="7"/>
      <c r="LYJ81" s="21"/>
      <c r="LYK81" s="20"/>
      <c r="LYL81" s="20"/>
      <c r="LYM81" s="20"/>
      <c r="LYN81" s="21"/>
      <c r="LYO81" s="21"/>
      <c r="LYP81" s="21"/>
      <c r="LYQ81" s="21"/>
      <c r="LYR81" s="21"/>
      <c r="LYS81" s="20"/>
      <c r="LYT81" s="20"/>
      <c r="LYU81" s="20"/>
      <c r="LYV81" s="20"/>
      <c r="LYW81" s="21"/>
      <c r="LYX81" s="21"/>
      <c r="LYY81" s="7"/>
      <c r="LYZ81" s="7"/>
      <c r="LZA81" s="21"/>
      <c r="LZB81" s="20"/>
      <c r="LZC81" s="20"/>
      <c r="LZD81" s="20"/>
      <c r="LZE81" s="21"/>
      <c r="LZF81" s="21"/>
      <c r="LZG81" s="21"/>
      <c r="LZH81" s="21"/>
      <c r="LZI81" s="21"/>
      <c r="LZJ81" s="20"/>
      <c r="LZK81" s="20"/>
      <c r="LZL81" s="20"/>
      <c r="LZM81" s="20"/>
      <c r="LZN81" s="21"/>
      <c r="LZO81" s="21"/>
      <c r="LZP81" s="7"/>
      <c r="LZQ81" s="7"/>
      <c r="LZR81" s="21"/>
      <c r="LZS81" s="20"/>
      <c r="LZT81" s="20"/>
      <c r="LZU81" s="20"/>
      <c r="LZV81" s="21"/>
      <c r="LZW81" s="21"/>
      <c r="LZX81" s="21"/>
      <c r="LZY81" s="21"/>
      <c r="LZZ81" s="21"/>
      <c r="MAA81" s="20"/>
      <c r="MAB81" s="20"/>
      <c r="MAC81" s="20"/>
      <c r="MAD81" s="20"/>
      <c r="MAE81" s="21"/>
      <c r="MAF81" s="21"/>
      <c r="MAG81" s="7"/>
      <c r="MAH81" s="7"/>
      <c r="MAI81" s="21"/>
      <c r="MAJ81" s="20"/>
      <c r="MAK81" s="20"/>
      <c r="MAL81" s="20"/>
      <c r="MAM81" s="21"/>
      <c r="MAN81" s="21"/>
      <c r="MAO81" s="21"/>
      <c r="MAP81" s="21"/>
      <c r="MAQ81" s="21"/>
      <c r="MAR81" s="20"/>
      <c r="MAS81" s="20"/>
      <c r="MAT81" s="20"/>
      <c r="MAU81" s="20"/>
      <c r="MAV81" s="21"/>
      <c r="MAW81" s="21"/>
      <c r="MAX81" s="7"/>
      <c r="MAY81" s="7"/>
      <c r="MAZ81" s="21"/>
      <c r="MBA81" s="20"/>
      <c r="MBB81" s="20"/>
      <c r="MBC81" s="20"/>
      <c r="MBD81" s="21"/>
      <c r="MBE81" s="21"/>
      <c r="MBF81" s="21"/>
      <c r="MBG81" s="21"/>
      <c r="MBH81" s="21"/>
      <c r="MBI81" s="20"/>
      <c r="MBJ81" s="20"/>
      <c r="MBK81" s="20"/>
      <c r="MBL81" s="20"/>
      <c r="MBM81" s="21"/>
      <c r="MBN81" s="21"/>
      <c r="MBO81" s="7"/>
      <c r="MBP81" s="7"/>
      <c r="MBQ81" s="21"/>
      <c r="MBR81" s="20"/>
      <c r="MBS81" s="20"/>
      <c r="MBT81" s="20"/>
      <c r="MBU81" s="21"/>
      <c r="MBV81" s="21"/>
      <c r="MBW81" s="21"/>
      <c r="MBX81" s="21"/>
      <c r="MBY81" s="21"/>
      <c r="MBZ81" s="20"/>
      <c r="MCA81" s="20"/>
      <c r="MCB81" s="20"/>
      <c r="MCC81" s="20"/>
      <c r="MCD81" s="21"/>
      <c r="MCE81" s="21"/>
      <c r="MCF81" s="7"/>
      <c r="MCG81" s="7"/>
      <c r="MCH81" s="21"/>
      <c r="MCI81" s="20"/>
      <c r="MCJ81" s="20"/>
      <c r="MCK81" s="20"/>
      <c r="MCL81" s="21"/>
      <c r="MCM81" s="21"/>
      <c r="MCN81" s="21"/>
      <c r="MCO81" s="21"/>
      <c r="MCP81" s="21"/>
      <c r="MCQ81" s="20"/>
      <c r="MCR81" s="20"/>
      <c r="MCS81" s="20"/>
      <c r="MCT81" s="20"/>
      <c r="MCU81" s="21"/>
      <c r="MCV81" s="21"/>
      <c r="MCW81" s="7"/>
      <c r="MCX81" s="7"/>
      <c r="MCY81" s="21"/>
      <c r="MCZ81" s="20"/>
      <c r="MDA81" s="20"/>
      <c r="MDB81" s="20"/>
      <c r="MDC81" s="21"/>
      <c r="MDD81" s="21"/>
      <c r="MDE81" s="21"/>
      <c r="MDF81" s="21"/>
      <c r="MDG81" s="21"/>
      <c r="MDH81" s="20"/>
      <c r="MDI81" s="20"/>
      <c r="MDJ81" s="20"/>
      <c r="MDK81" s="20"/>
      <c r="MDL81" s="21"/>
      <c r="MDM81" s="21"/>
      <c r="MDN81" s="7"/>
      <c r="MDO81" s="7"/>
      <c r="MDP81" s="21"/>
      <c r="MDQ81" s="20"/>
      <c r="MDR81" s="20"/>
      <c r="MDS81" s="20"/>
      <c r="MDT81" s="21"/>
      <c r="MDU81" s="21"/>
      <c r="MDV81" s="21"/>
      <c r="MDW81" s="21"/>
      <c r="MDX81" s="21"/>
      <c r="MDY81" s="20"/>
      <c r="MDZ81" s="20"/>
      <c r="MEA81" s="20"/>
      <c r="MEB81" s="20"/>
      <c r="MEC81" s="21"/>
      <c r="MED81" s="21"/>
      <c r="MEE81" s="7"/>
      <c r="MEF81" s="7"/>
      <c r="MEG81" s="21"/>
      <c r="MEH81" s="20"/>
      <c r="MEI81" s="20"/>
      <c r="MEJ81" s="20"/>
      <c r="MEK81" s="21"/>
      <c r="MEL81" s="21"/>
      <c r="MEM81" s="21"/>
      <c r="MEN81" s="21"/>
      <c r="MEO81" s="21"/>
      <c r="MEP81" s="20"/>
      <c r="MEQ81" s="20"/>
      <c r="MER81" s="20"/>
      <c r="MES81" s="20"/>
      <c r="MET81" s="21"/>
      <c r="MEU81" s="21"/>
      <c r="MEV81" s="7"/>
      <c r="MEW81" s="7"/>
      <c r="MEX81" s="21"/>
      <c r="MEY81" s="20"/>
      <c r="MEZ81" s="20"/>
      <c r="MFA81" s="20"/>
      <c r="MFB81" s="21"/>
      <c r="MFC81" s="21"/>
      <c r="MFD81" s="21"/>
      <c r="MFE81" s="21"/>
      <c r="MFF81" s="21"/>
      <c r="MFG81" s="20"/>
      <c r="MFH81" s="20"/>
      <c r="MFI81" s="20"/>
      <c r="MFJ81" s="20"/>
      <c r="MFK81" s="21"/>
      <c r="MFL81" s="21"/>
      <c r="MFM81" s="7"/>
      <c r="MFN81" s="7"/>
      <c r="MFO81" s="21"/>
      <c r="MFP81" s="20"/>
      <c r="MFQ81" s="20"/>
      <c r="MFR81" s="20"/>
      <c r="MFS81" s="21"/>
      <c r="MFT81" s="21"/>
      <c r="MFU81" s="21"/>
      <c r="MFV81" s="21"/>
      <c r="MFW81" s="21"/>
      <c r="MFX81" s="20"/>
      <c r="MFY81" s="20"/>
      <c r="MFZ81" s="20"/>
      <c r="MGA81" s="20"/>
      <c r="MGB81" s="21"/>
      <c r="MGC81" s="21"/>
      <c r="MGD81" s="7"/>
      <c r="MGE81" s="7"/>
      <c r="MGF81" s="21"/>
      <c r="MGG81" s="20"/>
      <c r="MGH81" s="20"/>
      <c r="MGI81" s="20"/>
      <c r="MGJ81" s="21"/>
      <c r="MGK81" s="21"/>
      <c r="MGL81" s="21"/>
      <c r="MGM81" s="21"/>
      <c r="MGN81" s="21"/>
      <c r="MGO81" s="20"/>
      <c r="MGP81" s="20"/>
      <c r="MGQ81" s="20"/>
      <c r="MGR81" s="20"/>
      <c r="MGS81" s="21"/>
      <c r="MGT81" s="21"/>
      <c r="MGU81" s="7"/>
      <c r="MGV81" s="7"/>
      <c r="MGW81" s="21"/>
      <c r="MGX81" s="20"/>
      <c r="MGY81" s="20"/>
      <c r="MGZ81" s="20"/>
      <c r="MHA81" s="21"/>
      <c r="MHB81" s="21"/>
      <c r="MHC81" s="21"/>
      <c r="MHD81" s="21"/>
      <c r="MHE81" s="21"/>
      <c r="MHF81" s="20"/>
      <c r="MHG81" s="20"/>
      <c r="MHH81" s="20"/>
      <c r="MHI81" s="20"/>
      <c r="MHJ81" s="21"/>
      <c r="MHK81" s="21"/>
      <c r="MHL81" s="7"/>
      <c r="MHM81" s="7"/>
      <c r="MHN81" s="21"/>
      <c r="MHO81" s="20"/>
      <c r="MHP81" s="20"/>
      <c r="MHQ81" s="20"/>
      <c r="MHR81" s="21"/>
      <c r="MHS81" s="21"/>
      <c r="MHT81" s="21"/>
      <c r="MHU81" s="21"/>
      <c r="MHV81" s="21"/>
      <c r="MHW81" s="20"/>
      <c r="MHX81" s="20"/>
      <c r="MHY81" s="20"/>
      <c r="MHZ81" s="20"/>
      <c r="MIA81" s="21"/>
      <c r="MIB81" s="21"/>
      <c r="MIC81" s="7"/>
      <c r="MID81" s="7"/>
      <c r="MIE81" s="21"/>
      <c r="MIF81" s="20"/>
      <c r="MIG81" s="20"/>
      <c r="MIH81" s="20"/>
      <c r="MII81" s="21"/>
      <c r="MIJ81" s="21"/>
      <c r="MIK81" s="21"/>
      <c r="MIL81" s="21"/>
      <c r="MIM81" s="21"/>
      <c r="MIN81" s="20"/>
      <c r="MIO81" s="20"/>
      <c r="MIP81" s="20"/>
      <c r="MIQ81" s="20"/>
      <c r="MIR81" s="21"/>
      <c r="MIS81" s="21"/>
      <c r="MIT81" s="7"/>
      <c r="MIU81" s="7"/>
      <c r="MIV81" s="21"/>
      <c r="MIW81" s="20"/>
      <c r="MIX81" s="20"/>
      <c r="MIY81" s="20"/>
      <c r="MIZ81" s="21"/>
      <c r="MJA81" s="21"/>
      <c r="MJB81" s="21"/>
      <c r="MJC81" s="21"/>
      <c r="MJD81" s="21"/>
      <c r="MJE81" s="20"/>
      <c r="MJF81" s="20"/>
      <c r="MJG81" s="20"/>
      <c r="MJH81" s="20"/>
      <c r="MJI81" s="21"/>
      <c r="MJJ81" s="21"/>
      <c r="MJK81" s="7"/>
      <c r="MJL81" s="7"/>
      <c r="MJM81" s="21"/>
      <c r="MJN81" s="20"/>
      <c r="MJO81" s="20"/>
      <c r="MJP81" s="20"/>
      <c r="MJQ81" s="21"/>
      <c r="MJR81" s="21"/>
      <c r="MJS81" s="21"/>
      <c r="MJT81" s="21"/>
      <c r="MJU81" s="21"/>
      <c r="MJV81" s="20"/>
      <c r="MJW81" s="20"/>
      <c r="MJX81" s="20"/>
      <c r="MJY81" s="20"/>
      <c r="MJZ81" s="21"/>
      <c r="MKA81" s="21"/>
      <c r="MKB81" s="7"/>
      <c r="MKC81" s="7"/>
      <c r="MKD81" s="21"/>
      <c r="MKE81" s="20"/>
      <c r="MKF81" s="20"/>
      <c r="MKG81" s="20"/>
      <c r="MKH81" s="21"/>
      <c r="MKI81" s="21"/>
      <c r="MKJ81" s="21"/>
      <c r="MKK81" s="21"/>
      <c r="MKL81" s="21"/>
      <c r="MKM81" s="20"/>
      <c r="MKN81" s="20"/>
      <c r="MKO81" s="20"/>
      <c r="MKP81" s="20"/>
      <c r="MKQ81" s="21"/>
      <c r="MKR81" s="21"/>
      <c r="MKS81" s="7"/>
      <c r="MKT81" s="7"/>
      <c r="MKU81" s="21"/>
      <c r="MKV81" s="20"/>
      <c r="MKW81" s="20"/>
      <c r="MKX81" s="20"/>
      <c r="MKY81" s="21"/>
      <c r="MKZ81" s="21"/>
      <c r="MLA81" s="21"/>
      <c r="MLB81" s="21"/>
      <c r="MLC81" s="21"/>
      <c r="MLD81" s="20"/>
      <c r="MLE81" s="20"/>
      <c r="MLF81" s="20"/>
      <c r="MLG81" s="20"/>
      <c r="MLH81" s="21"/>
      <c r="MLI81" s="21"/>
      <c r="MLJ81" s="7"/>
      <c r="MLK81" s="7"/>
      <c r="MLL81" s="21"/>
      <c r="MLM81" s="20"/>
      <c r="MLN81" s="20"/>
      <c r="MLO81" s="20"/>
      <c r="MLP81" s="21"/>
      <c r="MLQ81" s="21"/>
      <c r="MLR81" s="21"/>
      <c r="MLS81" s="21"/>
      <c r="MLT81" s="21"/>
      <c r="MLU81" s="20"/>
      <c r="MLV81" s="20"/>
      <c r="MLW81" s="20"/>
      <c r="MLX81" s="20"/>
      <c r="MLY81" s="21"/>
      <c r="MLZ81" s="21"/>
      <c r="MMA81" s="7"/>
      <c r="MMB81" s="7"/>
      <c r="MMC81" s="21"/>
      <c r="MMD81" s="20"/>
      <c r="MME81" s="20"/>
      <c r="MMF81" s="20"/>
      <c r="MMG81" s="21"/>
      <c r="MMH81" s="21"/>
      <c r="MMI81" s="21"/>
      <c r="MMJ81" s="21"/>
      <c r="MMK81" s="21"/>
      <c r="MML81" s="20"/>
      <c r="MMM81" s="20"/>
      <c r="MMN81" s="20"/>
      <c r="MMO81" s="20"/>
      <c r="MMP81" s="21"/>
      <c r="MMQ81" s="21"/>
      <c r="MMR81" s="7"/>
      <c r="MMS81" s="7"/>
      <c r="MMT81" s="21"/>
      <c r="MMU81" s="20"/>
      <c r="MMV81" s="20"/>
      <c r="MMW81" s="20"/>
      <c r="MMX81" s="21"/>
      <c r="MMY81" s="21"/>
      <c r="MMZ81" s="21"/>
      <c r="MNA81" s="21"/>
      <c r="MNB81" s="21"/>
      <c r="MNC81" s="20"/>
      <c r="MND81" s="20"/>
      <c r="MNE81" s="20"/>
      <c r="MNF81" s="20"/>
      <c r="MNG81" s="21"/>
      <c r="MNH81" s="21"/>
      <c r="MNI81" s="7"/>
      <c r="MNJ81" s="7"/>
      <c r="MNK81" s="21"/>
      <c r="MNL81" s="20"/>
      <c r="MNM81" s="20"/>
      <c r="MNN81" s="20"/>
      <c r="MNO81" s="21"/>
      <c r="MNP81" s="21"/>
      <c r="MNQ81" s="21"/>
      <c r="MNR81" s="21"/>
      <c r="MNS81" s="21"/>
      <c r="MNT81" s="20"/>
      <c r="MNU81" s="20"/>
      <c r="MNV81" s="20"/>
      <c r="MNW81" s="20"/>
      <c r="MNX81" s="21"/>
      <c r="MNY81" s="21"/>
      <c r="MNZ81" s="7"/>
      <c r="MOA81" s="7"/>
      <c r="MOB81" s="21"/>
      <c r="MOC81" s="20"/>
      <c r="MOD81" s="20"/>
      <c r="MOE81" s="20"/>
      <c r="MOF81" s="21"/>
      <c r="MOG81" s="21"/>
      <c r="MOH81" s="21"/>
      <c r="MOI81" s="21"/>
      <c r="MOJ81" s="21"/>
      <c r="MOK81" s="20"/>
      <c r="MOL81" s="20"/>
      <c r="MOM81" s="20"/>
      <c r="MON81" s="20"/>
      <c r="MOO81" s="21"/>
      <c r="MOP81" s="21"/>
      <c r="MOQ81" s="7"/>
      <c r="MOR81" s="7"/>
      <c r="MOS81" s="21"/>
      <c r="MOT81" s="20"/>
      <c r="MOU81" s="20"/>
      <c r="MOV81" s="20"/>
      <c r="MOW81" s="21"/>
      <c r="MOX81" s="21"/>
      <c r="MOY81" s="21"/>
      <c r="MOZ81" s="21"/>
      <c r="MPA81" s="21"/>
      <c r="MPB81" s="20"/>
      <c r="MPC81" s="20"/>
      <c r="MPD81" s="20"/>
      <c r="MPE81" s="20"/>
      <c r="MPF81" s="21"/>
      <c r="MPG81" s="21"/>
      <c r="MPH81" s="7"/>
      <c r="MPI81" s="7"/>
      <c r="MPJ81" s="21"/>
      <c r="MPK81" s="20"/>
      <c r="MPL81" s="20"/>
      <c r="MPM81" s="20"/>
      <c r="MPN81" s="21"/>
      <c r="MPO81" s="21"/>
      <c r="MPP81" s="21"/>
      <c r="MPQ81" s="21"/>
      <c r="MPR81" s="21"/>
      <c r="MPS81" s="20"/>
      <c r="MPT81" s="20"/>
      <c r="MPU81" s="20"/>
      <c r="MPV81" s="20"/>
      <c r="MPW81" s="21"/>
      <c r="MPX81" s="21"/>
      <c r="MPY81" s="7"/>
      <c r="MPZ81" s="7"/>
      <c r="MQA81" s="21"/>
      <c r="MQB81" s="20"/>
      <c r="MQC81" s="20"/>
      <c r="MQD81" s="20"/>
      <c r="MQE81" s="21"/>
      <c r="MQF81" s="21"/>
      <c r="MQG81" s="21"/>
      <c r="MQH81" s="21"/>
      <c r="MQI81" s="21"/>
      <c r="MQJ81" s="20"/>
      <c r="MQK81" s="20"/>
      <c r="MQL81" s="20"/>
      <c r="MQM81" s="20"/>
      <c r="MQN81" s="21"/>
      <c r="MQO81" s="21"/>
      <c r="MQP81" s="7"/>
      <c r="MQQ81" s="7"/>
      <c r="MQR81" s="21"/>
      <c r="MQS81" s="20"/>
      <c r="MQT81" s="20"/>
      <c r="MQU81" s="20"/>
      <c r="MQV81" s="21"/>
      <c r="MQW81" s="21"/>
      <c r="MQX81" s="21"/>
      <c r="MQY81" s="21"/>
      <c r="MQZ81" s="21"/>
      <c r="MRA81" s="20"/>
      <c r="MRB81" s="20"/>
      <c r="MRC81" s="20"/>
      <c r="MRD81" s="20"/>
      <c r="MRE81" s="21"/>
      <c r="MRF81" s="21"/>
      <c r="MRG81" s="7"/>
      <c r="MRH81" s="7"/>
      <c r="MRI81" s="21"/>
      <c r="MRJ81" s="20"/>
      <c r="MRK81" s="20"/>
      <c r="MRL81" s="20"/>
      <c r="MRM81" s="21"/>
      <c r="MRN81" s="21"/>
      <c r="MRO81" s="21"/>
      <c r="MRP81" s="21"/>
      <c r="MRQ81" s="21"/>
      <c r="MRR81" s="20"/>
      <c r="MRS81" s="20"/>
      <c r="MRT81" s="20"/>
      <c r="MRU81" s="20"/>
      <c r="MRV81" s="21"/>
      <c r="MRW81" s="21"/>
      <c r="MRX81" s="7"/>
      <c r="MRY81" s="7"/>
      <c r="MRZ81" s="21"/>
      <c r="MSA81" s="20"/>
      <c r="MSB81" s="20"/>
      <c r="MSC81" s="20"/>
      <c r="MSD81" s="21"/>
      <c r="MSE81" s="21"/>
      <c r="MSF81" s="21"/>
      <c r="MSG81" s="21"/>
      <c r="MSH81" s="21"/>
      <c r="MSI81" s="20"/>
      <c r="MSJ81" s="20"/>
      <c r="MSK81" s="20"/>
      <c r="MSL81" s="20"/>
      <c r="MSM81" s="21"/>
      <c r="MSN81" s="21"/>
      <c r="MSO81" s="7"/>
      <c r="MSP81" s="7"/>
      <c r="MSQ81" s="21"/>
      <c r="MSR81" s="20"/>
      <c r="MSS81" s="20"/>
      <c r="MST81" s="20"/>
      <c r="MSU81" s="21"/>
      <c r="MSV81" s="21"/>
      <c r="MSW81" s="21"/>
      <c r="MSX81" s="21"/>
      <c r="MSY81" s="21"/>
      <c r="MSZ81" s="20"/>
      <c r="MTA81" s="20"/>
      <c r="MTB81" s="20"/>
      <c r="MTC81" s="20"/>
      <c r="MTD81" s="21"/>
      <c r="MTE81" s="21"/>
      <c r="MTF81" s="7"/>
      <c r="MTG81" s="7"/>
      <c r="MTH81" s="21"/>
      <c r="MTI81" s="20"/>
      <c r="MTJ81" s="20"/>
      <c r="MTK81" s="20"/>
      <c r="MTL81" s="21"/>
      <c r="MTM81" s="21"/>
      <c r="MTN81" s="21"/>
      <c r="MTO81" s="21"/>
      <c r="MTP81" s="21"/>
      <c r="MTQ81" s="20"/>
      <c r="MTR81" s="20"/>
      <c r="MTS81" s="20"/>
      <c r="MTT81" s="20"/>
      <c r="MTU81" s="21"/>
      <c r="MTV81" s="21"/>
      <c r="MTW81" s="7"/>
      <c r="MTX81" s="7"/>
      <c r="MTY81" s="21"/>
      <c r="MTZ81" s="20"/>
      <c r="MUA81" s="20"/>
      <c r="MUB81" s="20"/>
      <c r="MUC81" s="21"/>
      <c r="MUD81" s="21"/>
      <c r="MUE81" s="21"/>
      <c r="MUF81" s="21"/>
      <c r="MUG81" s="21"/>
      <c r="MUH81" s="20"/>
      <c r="MUI81" s="20"/>
      <c r="MUJ81" s="20"/>
      <c r="MUK81" s="20"/>
      <c r="MUL81" s="21"/>
      <c r="MUM81" s="21"/>
      <c r="MUN81" s="7"/>
      <c r="MUO81" s="7"/>
      <c r="MUP81" s="21"/>
      <c r="MUQ81" s="20"/>
      <c r="MUR81" s="20"/>
      <c r="MUS81" s="20"/>
      <c r="MUT81" s="21"/>
      <c r="MUU81" s="21"/>
      <c r="MUV81" s="21"/>
      <c r="MUW81" s="21"/>
      <c r="MUX81" s="21"/>
      <c r="MUY81" s="20"/>
      <c r="MUZ81" s="20"/>
      <c r="MVA81" s="20"/>
      <c r="MVB81" s="20"/>
      <c r="MVC81" s="21"/>
      <c r="MVD81" s="21"/>
      <c r="MVE81" s="7"/>
      <c r="MVF81" s="7"/>
      <c r="MVG81" s="21"/>
      <c r="MVH81" s="20"/>
      <c r="MVI81" s="20"/>
      <c r="MVJ81" s="20"/>
      <c r="MVK81" s="21"/>
      <c r="MVL81" s="21"/>
      <c r="MVM81" s="21"/>
      <c r="MVN81" s="21"/>
      <c r="MVO81" s="21"/>
      <c r="MVP81" s="20"/>
      <c r="MVQ81" s="20"/>
      <c r="MVR81" s="20"/>
      <c r="MVS81" s="20"/>
      <c r="MVT81" s="21"/>
      <c r="MVU81" s="21"/>
      <c r="MVV81" s="7"/>
      <c r="MVW81" s="7"/>
      <c r="MVX81" s="21"/>
      <c r="MVY81" s="20"/>
      <c r="MVZ81" s="20"/>
      <c r="MWA81" s="20"/>
      <c r="MWB81" s="21"/>
      <c r="MWC81" s="21"/>
      <c r="MWD81" s="21"/>
      <c r="MWE81" s="21"/>
      <c r="MWF81" s="21"/>
      <c r="MWG81" s="20"/>
      <c r="MWH81" s="20"/>
      <c r="MWI81" s="20"/>
      <c r="MWJ81" s="20"/>
      <c r="MWK81" s="21"/>
      <c r="MWL81" s="21"/>
      <c r="MWM81" s="7"/>
      <c r="MWN81" s="7"/>
      <c r="MWO81" s="21"/>
      <c r="MWP81" s="20"/>
      <c r="MWQ81" s="20"/>
      <c r="MWR81" s="20"/>
      <c r="MWS81" s="21"/>
      <c r="MWT81" s="21"/>
      <c r="MWU81" s="21"/>
      <c r="MWV81" s="21"/>
      <c r="MWW81" s="21"/>
      <c r="MWX81" s="20"/>
      <c r="MWY81" s="20"/>
      <c r="MWZ81" s="20"/>
      <c r="MXA81" s="20"/>
      <c r="MXB81" s="21"/>
      <c r="MXC81" s="21"/>
      <c r="MXD81" s="7"/>
      <c r="MXE81" s="7"/>
      <c r="MXF81" s="21"/>
      <c r="MXG81" s="20"/>
      <c r="MXH81" s="20"/>
      <c r="MXI81" s="20"/>
      <c r="MXJ81" s="21"/>
      <c r="MXK81" s="21"/>
      <c r="MXL81" s="21"/>
      <c r="MXM81" s="21"/>
      <c r="MXN81" s="21"/>
      <c r="MXO81" s="20"/>
      <c r="MXP81" s="20"/>
      <c r="MXQ81" s="20"/>
      <c r="MXR81" s="20"/>
      <c r="MXS81" s="21"/>
      <c r="MXT81" s="21"/>
      <c r="MXU81" s="7"/>
      <c r="MXV81" s="7"/>
      <c r="MXW81" s="21"/>
      <c r="MXX81" s="20"/>
      <c r="MXY81" s="20"/>
      <c r="MXZ81" s="20"/>
      <c r="MYA81" s="21"/>
      <c r="MYB81" s="21"/>
      <c r="MYC81" s="21"/>
      <c r="MYD81" s="21"/>
      <c r="MYE81" s="21"/>
      <c r="MYF81" s="20"/>
      <c r="MYG81" s="20"/>
      <c r="MYH81" s="20"/>
      <c r="MYI81" s="20"/>
      <c r="MYJ81" s="21"/>
      <c r="MYK81" s="21"/>
      <c r="MYL81" s="7"/>
      <c r="MYM81" s="7"/>
      <c r="MYN81" s="21"/>
      <c r="MYO81" s="20"/>
      <c r="MYP81" s="20"/>
      <c r="MYQ81" s="20"/>
      <c r="MYR81" s="21"/>
      <c r="MYS81" s="21"/>
      <c r="MYT81" s="21"/>
      <c r="MYU81" s="21"/>
      <c r="MYV81" s="21"/>
      <c r="MYW81" s="20"/>
      <c r="MYX81" s="20"/>
      <c r="MYY81" s="20"/>
      <c r="MYZ81" s="20"/>
      <c r="MZA81" s="21"/>
      <c r="MZB81" s="21"/>
      <c r="MZC81" s="7"/>
      <c r="MZD81" s="7"/>
      <c r="MZE81" s="21"/>
      <c r="MZF81" s="20"/>
      <c r="MZG81" s="20"/>
      <c r="MZH81" s="20"/>
      <c r="MZI81" s="21"/>
      <c r="MZJ81" s="21"/>
      <c r="MZK81" s="21"/>
      <c r="MZL81" s="21"/>
      <c r="MZM81" s="21"/>
      <c r="MZN81" s="20"/>
      <c r="MZO81" s="20"/>
      <c r="MZP81" s="20"/>
      <c r="MZQ81" s="20"/>
      <c r="MZR81" s="21"/>
      <c r="MZS81" s="21"/>
      <c r="MZT81" s="7"/>
      <c r="MZU81" s="7"/>
      <c r="MZV81" s="21"/>
      <c r="MZW81" s="20"/>
      <c r="MZX81" s="20"/>
      <c r="MZY81" s="20"/>
      <c r="MZZ81" s="21"/>
      <c r="NAA81" s="21"/>
      <c r="NAB81" s="21"/>
      <c r="NAC81" s="21"/>
      <c r="NAD81" s="21"/>
      <c r="NAE81" s="20"/>
      <c r="NAF81" s="20"/>
      <c r="NAG81" s="20"/>
      <c r="NAH81" s="20"/>
      <c r="NAI81" s="21"/>
      <c r="NAJ81" s="21"/>
      <c r="NAK81" s="7"/>
      <c r="NAL81" s="7"/>
      <c r="NAM81" s="21"/>
      <c r="NAN81" s="20"/>
      <c r="NAO81" s="20"/>
      <c r="NAP81" s="20"/>
      <c r="NAQ81" s="21"/>
      <c r="NAR81" s="21"/>
      <c r="NAS81" s="21"/>
      <c r="NAT81" s="21"/>
      <c r="NAU81" s="21"/>
      <c r="NAV81" s="20"/>
      <c r="NAW81" s="20"/>
      <c r="NAX81" s="20"/>
      <c r="NAY81" s="20"/>
      <c r="NAZ81" s="21"/>
      <c r="NBA81" s="21"/>
      <c r="NBB81" s="7"/>
      <c r="NBC81" s="7"/>
      <c r="NBD81" s="21"/>
      <c r="NBE81" s="20"/>
      <c r="NBF81" s="20"/>
      <c r="NBG81" s="20"/>
      <c r="NBH81" s="21"/>
      <c r="NBI81" s="21"/>
      <c r="NBJ81" s="21"/>
      <c r="NBK81" s="21"/>
      <c r="NBL81" s="21"/>
      <c r="NBM81" s="20"/>
      <c r="NBN81" s="20"/>
      <c r="NBO81" s="20"/>
      <c r="NBP81" s="20"/>
      <c r="NBQ81" s="21"/>
      <c r="NBR81" s="21"/>
      <c r="NBS81" s="7"/>
      <c r="NBT81" s="7"/>
      <c r="NBU81" s="21"/>
      <c r="NBV81" s="20"/>
      <c r="NBW81" s="20"/>
      <c r="NBX81" s="20"/>
      <c r="NBY81" s="21"/>
      <c r="NBZ81" s="21"/>
      <c r="NCA81" s="21"/>
      <c r="NCB81" s="21"/>
      <c r="NCC81" s="21"/>
      <c r="NCD81" s="20"/>
      <c r="NCE81" s="20"/>
      <c r="NCF81" s="20"/>
      <c r="NCG81" s="20"/>
      <c r="NCH81" s="21"/>
      <c r="NCI81" s="21"/>
      <c r="NCJ81" s="7"/>
      <c r="NCK81" s="7"/>
      <c r="NCL81" s="21"/>
      <c r="NCM81" s="20"/>
      <c r="NCN81" s="20"/>
      <c r="NCO81" s="20"/>
      <c r="NCP81" s="21"/>
      <c r="NCQ81" s="21"/>
      <c r="NCR81" s="21"/>
      <c r="NCS81" s="21"/>
      <c r="NCT81" s="21"/>
      <c r="NCU81" s="20"/>
      <c r="NCV81" s="20"/>
      <c r="NCW81" s="20"/>
      <c r="NCX81" s="20"/>
      <c r="NCY81" s="21"/>
      <c r="NCZ81" s="21"/>
      <c r="NDA81" s="7"/>
      <c r="NDB81" s="7"/>
      <c r="NDC81" s="21"/>
      <c r="NDD81" s="20"/>
      <c r="NDE81" s="20"/>
      <c r="NDF81" s="20"/>
      <c r="NDG81" s="21"/>
      <c r="NDH81" s="21"/>
      <c r="NDI81" s="21"/>
      <c r="NDJ81" s="21"/>
      <c r="NDK81" s="21"/>
      <c r="NDL81" s="20"/>
      <c r="NDM81" s="20"/>
      <c r="NDN81" s="20"/>
      <c r="NDO81" s="20"/>
      <c r="NDP81" s="21"/>
      <c r="NDQ81" s="21"/>
      <c r="NDR81" s="7"/>
      <c r="NDS81" s="7"/>
      <c r="NDT81" s="21"/>
      <c r="NDU81" s="20"/>
      <c r="NDV81" s="20"/>
      <c r="NDW81" s="20"/>
      <c r="NDX81" s="21"/>
      <c r="NDY81" s="21"/>
      <c r="NDZ81" s="21"/>
      <c r="NEA81" s="21"/>
      <c r="NEB81" s="21"/>
      <c r="NEC81" s="20"/>
      <c r="NED81" s="20"/>
      <c r="NEE81" s="20"/>
      <c r="NEF81" s="20"/>
      <c r="NEG81" s="21"/>
      <c r="NEH81" s="21"/>
      <c r="NEI81" s="7"/>
      <c r="NEJ81" s="7"/>
      <c r="NEK81" s="21"/>
      <c r="NEL81" s="20"/>
      <c r="NEM81" s="20"/>
      <c r="NEN81" s="20"/>
      <c r="NEO81" s="21"/>
      <c r="NEP81" s="21"/>
      <c r="NEQ81" s="21"/>
      <c r="NER81" s="21"/>
      <c r="NES81" s="21"/>
      <c r="NET81" s="20"/>
      <c r="NEU81" s="20"/>
      <c r="NEV81" s="20"/>
      <c r="NEW81" s="20"/>
      <c r="NEX81" s="21"/>
      <c r="NEY81" s="21"/>
      <c r="NEZ81" s="7"/>
      <c r="NFA81" s="7"/>
      <c r="NFB81" s="21"/>
      <c r="NFC81" s="20"/>
      <c r="NFD81" s="20"/>
      <c r="NFE81" s="20"/>
      <c r="NFF81" s="21"/>
      <c r="NFG81" s="21"/>
      <c r="NFH81" s="21"/>
      <c r="NFI81" s="21"/>
      <c r="NFJ81" s="21"/>
      <c r="NFK81" s="20"/>
      <c r="NFL81" s="20"/>
      <c r="NFM81" s="20"/>
      <c r="NFN81" s="20"/>
      <c r="NFO81" s="21"/>
      <c r="NFP81" s="21"/>
      <c r="NFQ81" s="7"/>
      <c r="NFR81" s="7"/>
      <c r="NFS81" s="21"/>
      <c r="NFT81" s="20"/>
      <c r="NFU81" s="20"/>
      <c r="NFV81" s="20"/>
      <c r="NFW81" s="21"/>
      <c r="NFX81" s="21"/>
      <c r="NFY81" s="21"/>
      <c r="NFZ81" s="21"/>
      <c r="NGA81" s="21"/>
      <c r="NGB81" s="20"/>
      <c r="NGC81" s="20"/>
      <c r="NGD81" s="20"/>
      <c r="NGE81" s="20"/>
      <c r="NGF81" s="21"/>
      <c r="NGG81" s="21"/>
      <c r="NGH81" s="7"/>
      <c r="NGI81" s="7"/>
      <c r="NGJ81" s="21"/>
      <c r="NGK81" s="20"/>
      <c r="NGL81" s="20"/>
      <c r="NGM81" s="20"/>
      <c r="NGN81" s="21"/>
      <c r="NGO81" s="21"/>
      <c r="NGP81" s="21"/>
      <c r="NGQ81" s="21"/>
      <c r="NGR81" s="21"/>
      <c r="NGS81" s="20"/>
      <c r="NGT81" s="20"/>
      <c r="NGU81" s="20"/>
      <c r="NGV81" s="20"/>
      <c r="NGW81" s="21"/>
      <c r="NGX81" s="21"/>
      <c r="NGY81" s="7"/>
      <c r="NGZ81" s="7"/>
      <c r="NHA81" s="21"/>
      <c r="NHB81" s="20"/>
      <c r="NHC81" s="20"/>
      <c r="NHD81" s="20"/>
      <c r="NHE81" s="21"/>
      <c r="NHF81" s="21"/>
      <c r="NHG81" s="21"/>
      <c r="NHH81" s="21"/>
      <c r="NHI81" s="21"/>
      <c r="NHJ81" s="20"/>
      <c r="NHK81" s="20"/>
      <c r="NHL81" s="20"/>
      <c r="NHM81" s="20"/>
      <c r="NHN81" s="21"/>
      <c r="NHO81" s="21"/>
      <c r="NHP81" s="7"/>
      <c r="NHQ81" s="7"/>
      <c r="NHR81" s="21"/>
      <c r="NHS81" s="20"/>
      <c r="NHT81" s="20"/>
      <c r="NHU81" s="20"/>
      <c r="NHV81" s="21"/>
      <c r="NHW81" s="21"/>
      <c r="NHX81" s="21"/>
      <c r="NHY81" s="21"/>
      <c r="NHZ81" s="21"/>
      <c r="NIA81" s="20"/>
      <c r="NIB81" s="20"/>
      <c r="NIC81" s="20"/>
      <c r="NID81" s="20"/>
      <c r="NIE81" s="21"/>
      <c r="NIF81" s="21"/>
      <c r="NIG81" s="7"/>
      <c r="NIH81" s="7"/>
      <c r="NII81" s="21"/>
      <c r="NIJ81" s="20"/>
      <c r="NIK81" s="20"/>
      <c r="NIL81" s="20"/>
      <c r="NIM81" s="21"/>
      <c r="NIN81" s="21"/>
      <c r="NIO81" s="21"/>
      <c r="NIP81" s="21"/>
      <c r="NIQ81" s="21"/>
      <c r="NIR81" s="20"/>
      <c r="NIS81" s="20"/>
      <c r="NIT81" s="20"/>
      <c r="NIU81" s="20"/>
      <c r="NIV81" s="21"/>
      <c r="NIW81" s="21"/>
      <c r="NIX81" s="7"/>
      <c r="NIY81" s="7"/>
      <c r="NIZ81" s="21"/>
      <c r="NJA81" s="20"/>
      <c r="NJB81" s="20"/>
      <c r="NJC81" s="20"/>
      <c r="NJD81" s="21"/>
      <c r="NJE81" s="21"/>
      <c r="NJF81" s="21"/>
      <c r="NJG81" s="21"/>
      <c r="NJH81" s="21"/>
      <c r="NJI81" s="20"/>
      <c r="NJJ81" s="20"/>
      <c r="NJK81" s="20"/>
      <c r="NJL81" s="20"/>
      <c r="NJM81" s="21"/>
      <c r="NJN81" s="21"/>
      <c r="NJO81" s="7"/>
      <c r="NJP81" s="7"/>
      <c r="NJQ81" s="21"/>
      <c r="NJR81" s="20"/>
      <c r="NJS81" s="20"/>
      <c r="NJT81" s="20"/>
      <c r="NJU81" s="21"/>
      <c r="NJV81" s="21"/>
      <c r="NJW81" s="21"/>
      <c r="NJX81" s="21"/>
      <c r="NJY81" s="21"/>
      <c r="NJZ81" s="20"/>
      <c r="NKA81" s="20"/>
      <c r="NKB81" s="20"/>
      <c r="NKC81" s="20"/>
      <c r="NKD81" s="21"/>
      <c r="NKE81" s="21"/>
      <c r="NKF81" s="7"/>
      <c r="NKG81" s="7"/>
      <c r="NKH81" s="21"/>
      <c r="NKI81" s="20"/>
      <c r="NKJ81" s="20"/>
      <c r="NKK81" s="20"/>
      <c r="NKL81" s="21"/>
      <c r="NKM81" s="21"/>
      <c r="NKN81" s="21"/>
      <c r="NKO81" s="21"/>
      <c r="NKP81" s="21"/>
      <c r="NKQ81" s="20"/>
      <c r="NKR81" s="20"/>
      <c r="NKS81" s="20"/>
      <c r="NKT81" s="20"/>
      <c r="NKU81" s="21"/>
      <c r="NKV81" s="21"/>
      <c r="NKW81" s="7"/>
      <c r="NKX81" s="7"/>
      <c r="NKY81" s="21"/>
      <c r="NKZ81" s="20"/>
      <c r="NLA81" s="20"/>
      <c r="NLB81" s="20"/>
      <c r="NLC81" s="21"/>
      <c r="NLD81" s="21"/>
      <c r="NLE81" s="21"/>
      <c r="NLF81" s="21"/>
      <c r="NLG81" s="21"/>
      <c r="NLH81" s="20"/>
      <c r="NLI81" s="20"/>
      <c r="NLJ81" s="20"/>
      <c r="NLK81" s="20"/>
      <c r="NLL81" s="21"/>
      <c r="NLM81" s="21"/>
      <c r="NLN81" s="7"/>
      <c r="NLO81" s="7"/>
      <c r="NLP81" s="21"/>
      <c r="NLQ81" s="20"/>
      <c r="NLR81" s="20"/>
      <c r="NLS81" s="20"/>
      <c r="NLT81" s="21"/>
      <c r="NLU81" s="21"/>
      <c r="NLV81" s="21"/>
      <c r="NLW81" s="21"/>
      <c r="NLX81" s="21"/>
      <c r="NLY81" s="20"/>
      <c r="NLZ81" s="20"/>
      <c r="NMA81" s="20"/>
      <c r="NMB81" s="20"/>
      <c r="NMC81" s="21"/>
      <c r="NMD81" s="21"/>
      <c r="NME81" s="7"/>
      <c r="NMF81" s="7"/>
      <c r="NMG81" s="21"/>
      <c r="NMH81" s="20"/>
      <c r="NMI81" s="20"/>
      <c r="NMJ81" s="20"/>
      <c r="NMK81" s="21"/>
      <c r="NML81" s="21"/>
      <c r="NMM81" s="21"/>
      <c r="NMN81" s="21"/>
      <c r="NMO81" s="21"/>
      <c r="NMP81" s="20"/>
      <c r="NMQ81" s="20"/>
      <c r="NMR81" s="20"/>
      <c r="NMS81" s="20"/>
      <c r="NMT81" s="21"/>
      <c r="NMU81" s="21"/>
      <c r="NMV81" s="7"/>
      <c r="NMW81" s="7"/>
      <c r="NMX81" s="21"/>
      <c r="NMY81" s="20"/>
      <c r="NMZ81" s="20"/>
      <c r="NNA81" s="20"/>
      <c r="NNB81" s="21"/>
      <c r="NNC81" s="21"/>
      <c r="NND81" s="21"/>
      <c r="NNE81" s="21"/>
      <c r="NNF81" s="21"/>
      <c r="NNG81" s="20"/>
      <c r="NNH81" s="20"/>
      <c r="NNI81" s="20"/>
      <c r="NNJ81" s="20"/>
      <c r="NNK81" s="21"/>
      <c r="NNL81" s="21"/>
      <c r="NNM81" s="7"/>
      <c r="NNN81" s="7"/>
      <c r="NNO81" s="21"/>
      <c r="NNP81" s="20"/>
      <c r="NNQ81" s="20"/>
      <c r="NNR81" s="20"/>
      <c r="NNS81" s="21"/>
      <c r="NNT81" s="21"/>
      <c r="NNU81" s="21"/>
      <c r="NNV81" s="21"/>
      <c r="NNW81" s="21"/>
      <c r="NNX81" s="20"/>
      <c r="NNY81" s="20"/>
      <c r="NNZ81" s="20"/>
      <c r="NOA81" s="20"/>
      <c r="NOB81" s="21"/>
      <c r="NOC81" s="21"/>
      <c r="NOD81" s="7"/>
      <c r="NOE81" s="7"/>
      <c r="NOF81" s="21"/>
      <c r="NOG81" s="20"/>
      <c r="NOH81" s="20"/>
      <c r="NOI81" s="20"/>
      <c r="NOJ81" s="21"/>
      <c r="NOK81" s="21"/>
      <c r="NOL81" s="21"/>
      <c r="NOM81" s="21"/>
      <c r="NON81" s="21"/>
      <c r="NOO81" s="20"/>
      <c r="NOP81" s="20"/>
      <c r="NOQ81" s="20"/>
      <c r="NOR81" s="20"/>
      <c r="NOS81" s="21"/>
      <c r="NOT81" s="21"/>
      <c r="NOU81" s="7"/>
      <c r="NOV81" s="7"/>
      <c r="NOW81" s="21"/>
      <c r="NOX81" s="20"/>
      <c r="NOY81" s="20"/>
      <c r="NOZ81" s="20"/>
      <c r="NPA81" s="21"/>
      <c r="NPB81" s="21"/>
      <c r="NPC81" s="21"/>
      <c r="NPD81" s="21"/>
      <c r="NPE81" s="21"/>
      <c r="NPF81" s="20"/>
      <c r="NPG81" s="20"/>
      <c r="NPH81" s="20"/>
      <c r="NPI81" s="20"/>
      <c r="NPJ81" s="21"/>
      <c r="NPK81" s="21"/>
      <c r="NPL81" s="7"/>
      <c r="NPM81" s="7"/>
      <c r="NPN81" s="21"/>
      <c r="NPO81" s="20"/>
      <c r="NPP81" s="20"/>
      <c r="NPQ81" s="20"/>
      <c r="NPR81" s="21"/>
      <c r="NPS81" s="21"/>
      <c r="NPT81" s="21"/>
      <c r="NPU81" s="21"/>
      <c r="NPV81" s="21"/>
      <c r="NPW81" s="20"/>
      <c r="NPX81" s="20"/>
      <c r="NPY81" s="20"/>
      <c r="NPZ81" s="20"/>
      <c r="NQA81" s="21"/>
      <c r="NQB81" s="21"/>
      <c r="NQC81" s="7"/>
      <c r="NQD81" s="7"/>
      <c r="NQE81" s="21"/>
      <c r="NQF81" s="20"/>
      <c r="NQG81" s="20"/>
      <c r="NQH81" s="20"/>
      <c r="NQI81" s="21"/>
      <c r="NQJ81" s="21"/>
      <c r="NQK81" s="21"/>
      <c r="NQL81" s="21"/>
      <c r="NQM81" s="21"/>
      <c r="NQN81" s="20"/>
      <c r="NQO81" s="20"/>
      <c r="NQP81" s="20"/>
      <c r="NQQ81" s="20"/>
      <c r="NQR81" s="21"/>
      <c r="NQS81" s="21"/>
      <c r="NQT81" s="7"/>
      <c r="NQU81" s="7"/>
      <c r="NQV81" s="21"/>
      <c r="NQW81" s="20"/>
      <c r="NQX81" s="20"/>
      <c r="NQY81" s="20"/>
      <c r="NQZ81" s="21"/>
      <c r="NRA81" s="21"/>
      <c r="NRB81" s="21"/>
      <c r="NRC81" s="21"/>
      <c r="NRD81" s="21"/>
      <c r="NRE81" s="20"/>
      <c r="NRF81" s="20"/>
      <c r="NRG81" s="20"/>
      <c r="NRH81" s="20"/>
      <c r="NRI81" s="21"/>
      <c r="NRJ81" s="21"/>
      <c r="NRK81" s="7"/>
      <c r="NRL81" s="7"/>
      <c r="NRM81" s="21"/>
      <c r="NRN81" s="20"/>
      <c r="NRO81" s="20"/>
      <c r="NRP81" s="20"/>
      <c r="NRQ81" s="21"/>
      <c r="NRR81" s="21"/>
      <c r="NRS81" s="21"/>
      <c r="NRT81" s="21"/>
      <c r="NRU81" s="21"/>
      <c r="NRV81" s="20"/>
      <c r="NRW81" s="20"/>
      <c r="NRX81" s="20"/>
      <c r="NRY81" s="20"/>
      <c r="NRZ81" s="21"/>
      <c r="NSA81" s="21"/>
      <c r="NSB81" s="7"/>
      <c r="NSC81" s="7"/>
      <c r="NSD81" s="21"/>
      <c r="NSE81" s="20"/>
      <c r="NSF81" s="20"/>
      <c r="NSG81" s="20"/>
      <c r="NSH81" s="21"/>
      <c r="NSI81" s="21"/>
      <c r="NSJ81" s="21"/>
      <c r="NSK81" s="21"/>
      <c r="NSL81" s="21"/>
      <c r="NSM81" s="20"/>
      <c r="NSN81" s="20"/>
      <c r="NSO81" s="20"/>
      <c r="NSP81" s="20"/>
      <c r="NSQ81" s="21"/>
      <c r="NSR81" s="21"/>
      <c r="NSS81" s="7"/>
      <c r="NST81" s="7"/>
      <c r="NSU81" s="21"/>
      <c r="NSV81" s="20"/>
      <c r="NSW81" s="20"/>
      <c r="NSX81" s="20"/>
      <c r="NSY81" s="21"/>
      <c r="NSZ81" s="21"/>
      <c r="NTA81" s="21"/>
      <c r="NTB81" s="21"/>
      <c r="NTC81" s="21"/>
      <c r="NTD81" s="20"/>
      <c r="NTE81" s="20"/>
      <c r="NTF81" s="20"/>
      <c r="NTG81" s="20"/>
      <c r="NTH81" s="21"/>
      <c r="NTI81" s="21"/>
      <c r="NTJ81" s="7"/>
      <c r="NTK81" s="7"/>
      <c r="NTL81" s="21"/>
      <c r="NTM81" s="20"/>
      <c r="NTN81" s="20"/>
      <c r="NTO81" s="20"/>
      <c r="NTP81" s="21"/>
      <c r="NTQ81" s="21"/>
      <c r="NTR81" s="21"/>
      <c r="NTS81" s="21"/>
      <c r="NTT81" s="21"/>
      <c r="NTU81" s="20"/>
      <c r="NTV81" s="20"/>
      <c r="NTW81" s="20"/>
      <c r="NTX81" s="20"/>
      <c r="NTY81" s="21"/>
      <c r="NTZ81" s="21"/>
      <c r="NUA81" s="7"/>
      <c r="NUB81" s="7"/>
      <c r="NUC81" s="21"/>
      <c r="NUD81" s="20"/>
      <c r="NUE81" s="20"/>
      <c r="NUF81" s="20"/>
      <c r="NUG81" s="21"/>
      <c r="NUH81" s="21"/>
      <c r="NUI81" s="21"/>
      <c r="NUJ81" s="21"/>
      <c r="NUK81" s="21"/>
      <c r="NUL81" s="20"/>
      <c r="NUM81" s="20"/>
      <c r="NUN81" s="20"/>
      <c r="NUO81" s="20"/>
      <c r="NUP81" s="21"/>
      <c r="NUQ81" s="21"/>
      <c r="NUR81" s="7"/>
      <c r="NUS81" s="7"/>
      <c r="NUT81" s="21"/>
      <c r="NUU81" s="20"/>
      <c r="NUV81" s="20"/>
      <c r="NUW81" s="20"/>
      <c r="NUX81" s="21"/>
      <c r="NUY81" s="21"/>
      <c r="NUZ81" s="21"/>
      <c r="NVA81" s="21"/>
      <c r="NVB81" s="21"/>
      <c r="NVC81" s="20"/>
      <c r="NVD81" s="20"/>
      <c r="NVE81" s="20"/>
      <c r="NVF81" s="20"/>
      <c r="NVG81" s="21"/>
      <c r="NVH81" s="21"/>
      <c r="NVI81" s="7"/>
      <c r="NVJ81" s="7"/>
      <c r="NVK81" s="21"/>
      <c r="NVL81" s="20"/>
      <c r="NVM81" s="20"/>
      <c r="NVN81" s="20"/>
      <c r="NVO81" s="21"/>
      <c r="NVP81" s="21"/>
      <c r="NVQ81" s="21"/>
      <c r="NVR81" s="21"/>
      <c r="NVS81" s="21"/>
      <c r="NVT81" s="20"/>
      <c r="NVU81" s="20"/>
      <c r="NVV81" s="20"/>
      <c r="NVW81" s="20"/>
      <c r="NVX81" s="21"/>
      <c r="NVY81" s="21"/>
      <c r="NVZ81" s="7"/>
      <c r="NWA81" s="7"/>
      <c r="NWB81" s="21"/>
      <c r="NWC81" s="20"/>
      <c r="NWD81" s="20"/>
      <c r="NWE81" s="20"/>
      <c r="NWF81" s="21"/>
      <c r="NWG81" s="21"/>
      <c r="NWH81" s="21"/>
      <c r="NWI81" s="21"/>
      <c r="NWJ81" s="21"/>
      <c r="NWK81" s="20"/>
      <c r="NWL81" s="20"/>
      <c r="NWM81" s="20"/>
      <c r="NWN81" s="20"/>
      <c r="NWO81" s="21"/>
      <c r="NWP81" s="21"/>
      <c r="NWQ81" s="7"/>
      <c r="NWR81" s="7"/>
      <c r="NWS81" s="21"/>
      <c r="NWT81" s="20"/>
      <c r="NWU81" s="20"/>
      <c r="NWV81" s="20"/>
      <c r="NWW81" s="21"/>
      <c r="NWX81" s="21"/>
      <c r="NWY81" s="21"/>
      <c r="NWZ81" s="21"/>
      <c r="NXA81" s="21"/>
      <c r="NXB81" s="20"/>
      <c r="NXC81" s="20"/>
      <c r="NXD81" s="20"/>
      <c r="NXE81" s="20"/>
      <c r="NXF81" s="21"/>
      <c r="NXG81" s="21"/>
      <c r="NXH81" s="7"/>
      <c r="NXI81" s="7"/>
      <c r="NXJ81" s="21"/>
      <c r="NXK81" s="20"/>
      <c r="NXL81" s="20"/>
      <c r="NXM81" s="20"/>
      <c r="NXN81" s="21"/>
      <c r="NXO81" s="21"/>
      <c r="NXP81" s="21"/>
      <c r="NXQ81" s="21"/>
      <c r="NXR81" s="21"/>
      <c r="NXS81" s="20"/>
      <c r="NXT81" s="20"/>
      <c r="NXU81" s="20"/>
      <c r="NXV81" s="20"/>
      <c r="NXW81" s="21"/>
      <c r="NXX81" s="21"/>
      <c r="NXY81" s="7"/>
      <c r="NXZ81" s="7"/>
      <c r="NYA81" s="21"/>
      <c r="NYB81" s="20"/>
      <c r="NYC81" s="20"/>
      <c r="NYD81" s="20"/>
      <c r="NYE81" s="21"/>
      <c r="NYF81" s="21"/>
      <c r="NYG81" s="21"/>
      <c r="NYH81" s="21"/>
      <c r="NYI81" s="21"/>
      <c r="NYJ81" s="20"/>
      <c r="NYK81" s="20"/>
      <c r="NYL81" s="20"/>
      <c r="NYM81" s="20"/>
      <c r="NYN81" s="21"/>
      <c r="NYO81" s="21"/>
      <c r="NYP81" s="7"/>
      <c r="NYQ81" s="7"/>
      <c r="NYR81" s="21"/>
      <c r="NYS81" s="20"/>
      <c r="NYT81" s="20"/>
      <c r="NYU81" s="20"/>
      <c r="NYV81" s="21"/>
      <c r="NYW81" s="21"/>
      <c r="NYX81" s="21"/>
      <c r="NYY81" s="21"/>
      <c r="NYZ81" s="21"/>
      <c r="NZA81" s="20"/>
      <c r="NZB81" s="20"/>
      <c r="NZC81" s="20"/>
      <c r="NZD81" s="20"/>
      <c r="NZE81" s="21"/>
      <c r="NZF81" s="21"/>
      <c r="NZG81" s="7"/>
      <c r="NZH81" s="7"/>
      <c r="NZI81" s="21"/>
      <c r="NZJ81" s="20"/>
      <c r="NZK81" s="20"/>
      <c r="NZL81" s="20"/>
      <c r="NZM81" s="21"/>
      <c r="NZN81" s="21"/>
      <c r="NZO81" s="21"/>
      <c r="NZP81" s="21"/>
      <c r="NZQ81" s="21"/>
      <c r="NZR81" s="20"/>
      <c r="NZS81" s="20"/>
      <c r="NZT81" s="20"/>
      <c r="NZU81" s="20"/>
      <c r="NZV81" s="21"/>
      <c r="NZW81" s="21"/>
      <c r="NZX81" s="7"/>
      <c r="NZY81" s="7"/>
      <c r="NZZ81" s="21"/>
      <c r="OAA81" s="20"/>
      <c r="OAB81" s="20"/>
      <c r="OAC81" s="20"/>
      <c r="OAD81" s="21"/>
      <c r="OAE81" s="21"/>
      <c r="OAF81" s="21"/>
      <c r="OAG81" s="21"/>
      <c r="OAH81" s="21"/>
      <c r="OAI81" s="20"/>
      <c r="OAJ81" s="20"/>
      <c r="OAK81" s="20"/>
      <c r="OAL81" s="20"/>
      <c r="OAM81" s="21"/>
      <c r="OAN81" s="21"/>
      <c r="OAO81" s="7"/>
      <c r="OAP81" s="7"/>
      <c r="OAQ81" s="21"/>
      <c r="OAR81" s="20"/>
      <c r="OAS81" s="20"/>
      <c r="OAT81" s="20"/>
      <c r="OAU81" s="21"/>
      <c r="OAV81" s="21"/>
      <c r="OAW81" s="21"/>
      <c r="OAX81" s="21"/>
      <c r="OAY81" s="21"/>
      <c r="OAZ81" s="20"/>
      <c r="OBA81" s="20"/>
      <c r="OBB81" s="20"/>
      <c r="OBC81" s="20"/>
      <c r="OBD81" s="21"/>
      <c r="OBE81" s="21"/>
      <c r="OBF81" s="7"/>
      <c r="OBG81" s="7"/>
      <c r="OBH81" s="21"/>
      <c r="OBI81" s="20"/>
      <c r="OBJ81" s="20"/>
      <c r="OBK81" s="20"/>
      <c r="OBL81" s="21"/>
      <c r="OBM81" s="21"/>
      <c r="OBN81" s="21"/>
      <c r="OBO81" s="21"/>
      <c r="OBP81" s="21"/>
      <c r="OBQ81" s="20"/>
      <c r="OBR81" s="20"/>
      <c r="OBS81" s="20"/>
      <c r="OBT81" s="20"/>
      <c r="OBU81" s="21"/>
      <c r="OBV81" s="21"/>
      <c r="OBW81" s="7"/>
      <c r="OBX81" s="7"/>
      <c r="OBY81" s="21"/>
      <c r="OBZ81" s="20"/>
      <c r="OCA81" s="20"/>
      <c r="OCB81" s="20"/>
      <c r="OCC81" s="21"/>
      <c r="OCD81" s="21"/>
      <c r="OCE81" s="21"/>
      <c r="OCF81" s="21"/>
      <c r="OCG81" s="21"/>
      <c r="OCH81" s="20"/>
      <c r="OCI81" s="20"/>
      <c r="OCJ81" s="20"/>
      <c r="OCK81" s="20"/>
      <c r="OCL81" s="21"/>
      <c r="OCM81" s="21"/>
      <c r="OCN81" s="7"/>
      <c r="OCO81" s="7"/>
      <c r="OCP81" s="21"/>
      <c r="OCQ81" s="20"/>
      <c r="OCR81" s="20"/>
      <c r="OCS81" s="20"/>
      <c r="OCT81" s="21"/>
      <c r="OCU81" s="21"/>
      <c r="OCV81" s="21"/>
      <c r="OCW81" s="21"/>
      <c r="OCX81" s="21"/>
      <c r="OCY81" s="20"/>
      <c r="OCZ81" s="20"/>
      <c r="ODA81" s="20"/>
      <c r="ODB81" s="20"/>
      <c r="ODC81" s="21"/>
      <c r="ODD81" s="21"/>
      <c r="ODE81" s="7"/>
      <c r="ODF81" s="7"/>
      <c r="ODG81" s="21"/>
      <c r="ODH81" s="20"/>
      <c r="ODI81" s="20"/>
      <c r="ODJ81" s="20"/>
      <c r="ODK81" s="21"/>
      <c r="ODL81" s="21"/>
      <c r="ODM81" s="21"/>
      <c r="ODN81" s="21"/>
      <c r="ODO81" s="21"/>
      <c r="ODP81" s="20"/>
      <c r="ODQ81" s="20"/>
      <c r="ODR81" s="20"/>
      <c r="ODS81" s="20"/>
      <c r="ODT81" s="21"/>
      <c r="ODU81" s="21"/>
      <c r="ODV81" s="7"/>
      <c r="ODW81" s="7"/>
      <c r="ODX81" s="21"/>
      <c r="ODY81" s="20"/>
      <c r="ODZ81" s="20"/>
      <c r="OEA81" s="20"/>
      <c r="OEB81" s="21"/>
      <c r="OEC81" s="21"/>
      <c r="OED81" s="21"/>
      <c r="OEE81" s="21"/>
      <c r="OEF81" s="21"/>
      <c r="OEG81" s="20"/>
      <c r="OEH81" s="20"/>
      <c r="OEI81" s="20"/>
      <c r="OEJ81" s="20"/>
      <c r="OEK81" s="21"/>
      <c r="OEL81" s="21"/>
      <c r="OEM81" s="7"/>
      <c r="OEN81" s="7"/>
      <c r="OEO81" s="21"/>
      <c r="OEP81" s="20"/>
      <c r="OEQ81" s="20"/>
      <c r="OER81" s="20"/>
      <c r="OES81" s="21"/>
      <c r="OET81" s="21"/>
      <c r="OEU81" s="21"/>
      <c r="OEV81" s="21"/>
      <c r="OEW81" s="21"/>
      <c r="OEX81" s="20"/>
      <c r="OEY81" s="20"/>
      <c r="OEZ81" s="20"/>
      <c r="OFA81" s="20"/>
      <c r="OFB81" s="21"/>
      <c r="OFC81" s="21"/>
      <c r="OFD81" s="7"/>
      <c r="OFE81" s="7"/>
      <c r="OFF81" s="21"/>
      <c r="OFG81" s="20"/>
      <c r="OFH81" s="20"/>
      <c r="OFI81" s="20"/>
      <c r="OFJ81" s="21"/>
      <c r="OFK81" s="21"/>
      <c r="OFL81" s="21"/>
      <c r="OFM81" s="21"/>
      <c r="OFN81" s="21"/>
      <c r="OFO81" s="20"/>
      <c r="OFP81" s="20"/>
      <c r="OFQ81" s="20"/>
      <c r="OFR81" s="20"/>
      <c r="OFS81" s="21"/>
      <c r="OFT81" s="21"/>
      <c r="OFU81" s="7"/>
      <c r="OFV81" s="7"/>
      <c r="OFW81" s="21"/>
      <c r="OFX81" s="20"/>
      <c r="OFY81" s="20"/>
      <c r="OFZ81" s="20"/>
      <c r="OGA81" s="21"/>
      <c r="OGB81" s="21"/>
      <c r="OGC81" s="21"/>
      <c r="OGD81" s="21"/>
      <c r="OGE81" s="21"/>
      <c r="OGF81" s="20"/>
      <c r="OGG81" s="20"/>
      <c r="OGH81" s="20"/>
      <c r="OGI81" s="20"/>
      <c r="OGJ81" s="21"/>
      <c r="OGK81" s="21"/>
      <c r="OGL81" s="7"/>
      <c r="OGM81" s="7"/>
      <c r="OGN81" s="21"/>
      <c r="OGO81" s="20"/>
      <c r="OGP81" s="20"/>
      <c r="OGQ81" s="20"/>
      <c r="OGR81" s="21"/>
      <c r="OGS81" s="21"/>
      <c r="OGT81" s="21"/>
      <c r="OGU81" s="21"/>
      <c r="OGV81" s="21"/>
      <c r="OGW81" s="20"/>
      <c r="OGX81" s="20"/>
      <c r="OGY81" s="20"/>
      <c r="OGZ81" s="20"/>
      <c r="OHA81" s="21"/>
      <c r="OHB81" s="21"/>
      <c r="OHC81" s="7"/>
      <c r="OHD81" s="7"/>
      <c r="OHE81" s="21"/>
      <c r="OHF81" s="20"/>
      <c r="OHG81" s="20"/>
      <c r="OHH81" s="20"/>
      <c r="OHI81" s="21"/>
      <c r="OHJ81" s="21"/>
      <c r="OHK81" s="21"/>
      <c r="OHL81" s="21"/>
      <c r="OHM81" s="21"/>
      <c r="OHN81" s="20"/>
      <c r="OHO81" s="20"/>
      <c r="OHP81" s="20"/>
      <c r="OHQ81" s="20"/>
      <c r="OHR81" s="21"/>
      <c r="OHS81" s="21"/>
      <c r="OHT81" s="7"/>
      <c r="OHU81" s="7"/>
      <c r="OHV81" s="21"/>
      <c r="OHW81" s="20"/>
      <c r="OHX81" s="20"/>
      <c r="OHY81" s="20"/>
      <c r="OHZ81" s="21"/>
      <c r="OIA81" s="21"/>
      <c r="OIB81" s="21"/>
      <c r="OIC81" s="21"/>
      <c r="OID81" s="21"/>
      <c r="OIE81" s="20"/>
      <c r="OIF81" s="20"/>
      <c r="OIG81" s="20"/>
      <c r="OIH81" s="20"/>
      <c r="OII81" s="21"/>
      <c r="OIJ81" s="21"/>
      <c r="OIK81" s="7"/>
      <c r="OIL81" s="7"/>
      <c r="OIM81" s="21"/>
      <c r="OIN81" s="20"/>
      <c r="OIO81" s="20"/>
      <c r="OIP81" s="20"/>
      <c r="OIQ81" s="21"/>
      <c r="OIR81" s="21"/>
      <c r="OIS81" s="21"/>
      <c r="OIT81" s="21"/>
      <c r="OIU81" s="21"/>
      <c r="OIV81" s="20"/>
      <c r="OIW81" s="20"/>
      <c r="OIX81" s="20"/>
      <c r="OIY81" s="20"/>
      <c r="OIZ81" s="21"/>
      <c r="OJA81" s="21"/>
      <c r="OJB81" s="7"/>
      <c r="OJC81" s="7"/>
      <c r="OJD81" s="21"/>
      <c r="OJE81" s="20"/>
      <c r="OJF81" s="20"/>
      <c r="OJG81" s="20"/>
      <c r="OJH81" s="21"/>
      <c r="OJI81" s="21"/>
      <c r="OJJ81" s="21"/>
      <c r="OJK81" s="21"/>
      <c r="OJL81" s="21"/>
      <c r="OJM81" s="20"/>
      <c r="OJN81" s="20"/>
      <c r="OJO81" s="20"/>
      <c r="OJP81" s="20"/>
      <c r="OJQ81" s="21"/>
      <c r="OJR81" s="21"/>
      <c r="OJS81" s="7"/>
      <c r="OJT81" s="7"/>
      <c r="OJU81" s="21"/>
      <c r="OJV81" s="20"/>
      <c r="OJW81" s="20"/>
      <c r="OJX81" s="20"/>
      <c r="OJY81" s="21"/>
      <c r="OJZ81" s="21"/>
      <c r="OKA81" s="21"/>
      <c r="OKB81" s="21"/>
      <c r="OKC81" s="21"/>
      <c r="OKD81" s="20"/>
      <c r="OKE81" s="20"/>
      <c r="OKF81" s="20"/>
      <c r="OKG81" s="20"/>
      <c r="OKH81" s="21"/>
      <c r="OKI81" s="21"/>
      <c r="OKJ81" s="7"/>
      <c r="OKK81" s="7"/>
      <c r="OKL81" s="21"/>
      <c r="OKM81" s="20"/>
      <c r="OKN81" s="20"/>
      <c r="OKO81" s="20"/>
      <c r="OKP81" s="21"/>
      <c r="OKQ81" s="21"/>
      <c r="OKR81" s="21"/>
      <c r="OKS81" s="21"/>
      <c r="OKT81" s="21"/>
      <c r="OKU81" s="20"/>
      <c r="OKV81" s="20"/>
      <c r="OKW81" s="20"/>
      <c r="OKX81" s="20"/>
      <c r="OKY81" s="21"/>
      <c r="OKZ81" s="21"/>
      <c r="OLA81" s="7"/>
      <c r="OLB81" s="7"/>
      <c r="OLC81" s="21"/>
      <c r="OLD81" s="20"/>
      <c r="OLE81" s="20"/>
      <c r="OLF81" s="20"/>
      <c r="OLG81" s="21"/>
      <c r="OLH81" s="21"/>
      <c r="OLI81" s="21"/>
      <c r="OLJ81" s="21"/>
      <c r="OLK81" s="21"/>
      <c r="OLL81" s="20"/>
      <c r="OLM81" s="20"/>
      <c r="OLN81" s="20"/>
      <c r="OLO81" s="20"/>
      <c r="OLP81" s="21"/>
      <c r="OLQ81" s="21"/>
      <c r="OLR81" s="7"/>
      <c r="OLS81" s="7"/>
      <c r="OLT81" s="21"/>
      <c r="OLU81" s="20"/>
      <c r="OLV81" s="20"/>
      <c r="OLW81" s="20"/>
      <c r="OLX81" s="21"/>
      <c r="OLY81" s="21"/>
      <c r="OLZ81" s="21"/>
      <c r="OMA81" s="21"/>
      <c r="OMB81" s="21"/>
      <c r="OMC81" s="20"/>
      <c r="OMD81" s="20"/>
      <c r="OME81" s="20"/>
      <c r="OMF81" s="20"/>
      <c r="OMG81" s="21"/>
      <c r="OMH81" s="21"/>
      <c r="OMI81" s="7"/>
      <c r="OMJ81" s="7"/>
      <c r="OMK81" s="21"/>
      <c r="OML81" s="20"/>
      <c r="OMM81" s="20"/>
      <c r="OMN81" s="20"/>
      <c r="OMO81" s="21"/>
      <c r="OMP81" s="21"/>
      <c r="OMQ81" s="21"/>
      <c r="OMR81" s="21"/>
      <c r="OMS81" s="21"/>
      <c r="OMT81" s="20"/>
      <c r="OMU81" s="20"/>
      <c r="OMV81" s="20"/>
      <c r="OMW81" s="20"/>
      <c r="OMX81" s="21"/>
      <c r="OMY81" s="21"/>
      <c r="OMZ81" s="7"/>
      <c r="ONA81" s="7"/>
      <c r="ONB81" s="21"/>
      <c r="ONC81" s="20"/>
      <c r="OND81" s="20"/>
      <c r="ONE81" s="20"/>
      <c r="ONF81" s="21"/>
      <c r="ONG81" s="21"/>
      <c r="ONH81" s="21"/>
      <c r="ONI81" s="21"/>
      <c r="ONJ81" s="21"/>
      <c r="ONK81" s="20"/>
      <c r="ONL81" s="20"/>
      <c r="ONM81" s="20"/>
      <c r="ONN81" s="20"/>
      <c r="ONO81" s="21"/>
      <c r="ONP81" s="21"/>
      <c r="ONQ81" s="7"/>
      <c r="ONR81" s="7"/>
      <c r="ONS81" s="21"/>
      <c r="ONT81" s="20"/>
      <c r="ONU81" s="20"/>
      <c r="ONV81" s="20"/>
      <c r="ONW81" s="21"/>
      <c r="ONX81" s="21"/>
      <c r="ONY81" s="21"/>
      <c r="ONZ81" s="21"/>
      <c r="OOA81" s="21"/>
      <c r="OOB81" s="20"/>
      <c r="OOC81" s="20"/>
      <c r="OOD81" s="20"/>
      <c r="OOE81" s="20"/>
      <c r="OOF81" s="21"/>
      <c r="OOG81" s="21"/>
      <c r="OOH81" s="7"/>
      <c r="OOI81" s="7"/>
      <c r="OOJ81" s="21"/>
      <c r="OOK81" s="20"/>
      <c r="OOL81" s="20"/>
      <c r="OOM81" s="20"/>
      <c r="OON81" s="21"/>
      <c r="OOO81" s="21"/>
      <c r="OOP81" s="21"/>
      <c r="OOQ81" s="21"/>
      <c r="OOR81" s="21"/>
      <c r="OOS81" s="20"/>
      <c r="OOT81" s="20"/>
      <c r="OOU81" s="20"/>
      <c r="OOV81" s="20"/>
      <c r="OOW81" s="21"/>
      <c r="OOX81" s="21"/>
      <c r="OOY81" s="7"/>
      <c r="OOZ81" s="7"/>
      <c r="OPA81" s="21"/>
      <c r="OPB81" s="20"/>
      <c r="OPC81" s="20"/>
      <c r="OPD81" s="20"/>
      <c r="OPE81" s="21"/>
      <c r="OPF81" s="21"/>
      <c r="OPG81" s="21"/>
      <c r="OPH81" s="21"/>
      <c r="OPI81" s="21"/>
      <c r="OPJ81" s="20"/>
      <c r="OPK81" s="20"/>
      <c r="OPL81" s="20"/>
      <c r="OPM81" s="20"/>
      <c r="OPN81" s="21"/>
      <c r="OPO81" s="21"/>
      <c r="OPP81" s="7"/>
      <c r="OPQ81" s="7"/>
      <c r="OPR81" s="21"/>
      <c r="OPS81" s="20"/>
      <c r="OPT81" s="20"/>
      <c r="OPU81" s="20"/>
      <c r="OPV81" s="21"/>
      <c r="OPW81" s="21"/>
      <c r="OPX81" s="21"/>
      <c r="OPY81" s="21"/>
      <c r="OPZ81" s="21"/>
      <c r="OQA81" s="20"/>
      <c r="OQB81" s="20"/>
      <c r="OQC81" s="20"/>
      <c r="OQD81" s="20"/>
      <c r="OQE81" s="21"/>
      <c r="OQF81" s="21"/>
      <c r="OQG81" s="7"/>
      <c r="OQH81" s="7"/>
      <c r="OQI81" s="21"/>
      <c r="OQJ81" s="20"/>
      <c r="OQK81" s="20"/>
      <c r="OQL81" s="20"/>
      <c r="OQM81" s="21"/>
      <c r="OQN81" s="21"/>
      <c r="OQO81" s="21"/>
      <c r="OQP81" s="21"/>
      <c r="OQQ81" s="21"/>
      <c r="OQR81" s="20"/>
      <c r="OQS81" s="20"/>
      <c r="OQT81" s="20"/>
      <c r="OQU81" s="20"/>
      <c r="OQV81" s="21"/>
      <c r="OQW81" s="21"/>
      <c r="OQX81" s="7"/>
      <c r="OQY81" s="7"/>
      <c r="OQZ81" s="21"/>
      <c r="ORA81" s="20"/>
      <c r="ORB81" s="20"/>
      <c r="ORC81" s="20"/>
      <c r="ORD81" s="21"/>
      <c r="ORE81" s="21"/>
      <c r="ORF81" s="21"/>
      <c r="ORG81" s="21"/>
      <c r="ORH81" s="21"/>
      <c r="ORI81" s="20"/>
      <c r="ORJ81" s="20"/>
      <c r="ORK81" s="20"/>
      <c r="ORL81" s="20"/>
      <c r="ORM81" s="21"/>
      <c r="ORN81" s="21"/>
      <c r="ORO81" s="7"/>
      <c r="ORP81" s="7"/>
      <c r="ORQ81" s="21"/>
      <c r="ORR81" s="20"/>
      <c r="ORS81" s="20"/>
      <c r="ORT81" s="20"/>
      <c r="ORU81" s="21"/>
      <c r="ORV81" s="21"/>
      <c r="ORW81" s="21"/>
      <c r="ORX81" s="21"/>
      <c r="ORY81" s="21"/>
      <c r="ORZ81" s="20"/>
      <c r="OSA81" s="20"/>
      <c r="OSB81" s="20"/>
      <c r="OSC81" s="20"/>
      <c r="OSD81" s="21"/>
      <c r="OSE81" s="21"/>
      <c r="OSF81" s="7"/>
      <c r="OSG81" s="7"/>
      <c r="OSH81" s="21"/>
      <c r="OSI81" s="20"/>
      <c r="OSJ81" s="20"/>
      <c r="OSK81" s="20"/>
      <c r="OSL81" s="21"/>
      <c r="OSM81" s="21"/>
      <c r="OSN81" s="21"/>
      <c r="OSO81" s="21"/>
      <c r="OSP81" s="21"/>
      <c r="OSQ81" s="20"/>
      <c r="OSR81" s="20"/>
      <c r="OSS81" s="20"/>
      <c r="OST81" s="20"/>
      <c r="OSU81" s="21"/>
      <c r="OSV81" s="21"/>
      <c r="OSW81" s="7"/>
      <c r="OSX81" s="7"/>
      <c r="OSY81" s="21"/>
      <c r="OSZ81" s="20"/>
      <c r="OTA81" s="20"/>
      <c r="OTB81" s="20"/>
      <c r="OTC81" s="21"/>
      <c r="OTD81" s="21"/>
      <c r="OTE81" s="21"/>
      <c r="OTF81" s="21"/>
      <c r="OTG81" s="21"/>
      <c r="OTH81" s="20"/>
      <c r="OTI81" s="20"/>
      <c r="OTJ81" s="20"/>
      <c r="OTK81" s="20"/>
      <c r="OTL81" s="21"/>
      <c r="OTM81" s="21"/>
      <c r="OTN81" s="7"/>
      <c r="OTO81" s="7"/>
      <c r="OTP81" s="21"/>
      <c r="OTQ81" s="20"/>
      <c r="OTR81" s="20"/>
      <c r="OTS81" s="20"/>
      <c r="OTT81" s="21"/>
      <c r="OTU81" s="21"/>
      <c r="OTV81" s="21"/>
      <c r="OTW81" s="21"/>
      <c r="OTX81" s="21"/>
      <c r="OTY81" s="20"/>
      <c r="OTZ81" s="20"/>
      <c r="OUA81" s="20"/>
      <c r="OUB81" s="20"/>
      <c r="OUC81" s="21"/>
      <c r="OUD81" s="21"/>
      <c r="OUE81" s="7"/>
      <c r="OUF81" s="7"/>
      <c r="OUG81" s="21"/>
      <c r="OUH81" s="20"/>
      <c r="OUI81" s="20"/>
      <c r="OUJ81" s="20"/>
      <c r="OUK81" s="21"/>
      <c r="OUL81" s="21"/>
      <c r="OUM81" s="21"/>
      <c r="OUN81" s="21"/>
      <c r="OUO81" s="21"/>
      <c r="OUP81" s="20"/>
      <c r="OUQ81" s="20"/>
      <c r="OUR81" s="20"/>
      <c r="OUS81" s="20"/>
      <c r="OUT81" s="21"/>
      <c r="OUU81" s="21"/>
      <c r="OUV81" s="7"/>
      <c r="OUW81" s="7"/>
      <c r="OUX81" s="21"/>
      <c r="OUY81" s="20"/>
      <c r="OUZ81" s="20"/>
      <c r="OVA81" s="20"/>
      <c r="OVB81" s="21"/>
      <c r="OVC81" s="21"/>
      <c r="OVD81" s="21"/>
      <c r="OVE81" s="21"/>
      <c r="OVF81" s="21"/>
      <c r="OVG81" s="20"/>
      <c r="OVH81" s="20"/>
      <c r="OVI81" s="20"/>
      <c r="OVJ81" s="20"/>
      <c r="OVK81" s="21"/>
      <c r="OVL81" s="21"/>
      <c r="OVM81" s="7"/>
      <c r="OVN81" s="7"/>
      <c r="OVO81" s="21"/>
      <c r="OVP81" s="20"/>
      <c r="OVQ81" s="20"/>
      <c r="OVR81" s="20"/>
      <c r="OVS81" s="21"/>
      <c r="OVT81" s="21"/>
      <c r="OVU81" s="21"/>
      <c r="OVV81" s="21"/>
      <c r="OVW81" s="21"/>
      <c r="OVX81" s="20"/>
      <c r="OVY81" s="20"/>
      <c r="OVZ81" s="20"/>
      <c r="OWA81" s="20"/>
      <c r="OWB81" s="21"/>
      <c r="OWC81" s="21"/>
      <c r="OWD81" s="7"/>
      <c r="OWE81" s="7"/>
      <c r="OWF81" s="21"/>
      <c r="OWG81" s="20"/>
      <c r="OWH81" s="20"/>
      <c r="OWI81" s="20"/>
      <c r="OWJ81" s="21"/>
      <c r="OWK81" s="21"/>
      <c r="OWL81" s="21"/>
      <c r="OWM81" s="21"/>
      <c r="OWN81" s="21"/>
      <c r="OWO81" s="20"/>
      <c r="OWP81" s="20"/>
      <c r="OWQ81" s="20"/>
      <c r="OWR81" s="20"/>
      <c r="OWS81" s="21"/>
      <c r="OWT81" s="21"/>
      <c r="OWU81" s="7"/>
      <c r="OWV81" s="7"/>
      <c r="OWW81" s="21"/>
      <c r="OWX81" s="20"/>
      <c r="OWY81" s="20"/>
      <c r="OWZ81" s="20"/>
      <c r="OXA81" s="21"/>
      <c r="OXB81" s="21"/>
      <c r="OXC81" s="21"/>
      <c r="OXD81" s="21"/>
      <c r="OXE81" s="21"/>
      <c r="OXF81" s="20"/>
      <c r="OXG81" s="20"/>
      <c r="OXH81" s="20"/>
      <c r="OXI81" s="20"/>
      <c r="OXJ81" s="21"/>
      <c r="OXK81" s="21"/>
      <c r="OXL81" s="7"/>
      <c r="OXM81" s="7"/>
      <c r="OXN81" s="21"/>
      <c r="OXO81" s="20"/>
      <c r="OXP81" s="20"/>
      <c r="OXQ81" s="20"/>
      <c r="OXR81" s="21"/>
      <c r="OXS81" s="21"/>
      <c r="OXT81" s="21"/>
      <c r="OXU81" s="21"/>
      <c r="OXV81" s="21"/>
      <c r="OXW81" s="20"/>
      <c r="OXX81" s="20"/>
      <c r="OXY81" s="20"/>
      <c r="OXZ81" s="20"/>
      <c r="OYA81" s="21"/>
      <c r="OYB81" s="21"/>
      <c r="OYC81" s="7"/>
      <c r="OYD81" s="7"/>
      <c r="OYE81" s="21"/>
      <c r="OYF81" s="20"/>
      <c r="OYG81" s="20"/>
      <c r="OYH81" s="20"/>
      <c r="OYI81" s="21"/>
      <c r="OYJ81" s="21"/>
      <c r="OYK81" s="21"/>
      <c r="OYL81" s="21"/>
      <c r="OYM81" s="21"/>
      <c r="OYN81" s="20"/>
      <c r="OYO81" s="20"/>
      <c r="OYP81" s="20"/>
      <c r="OYQ81" s="20"/>
      <c r="OYR81" s="21"/>
      <c r="OYS81" s="21"/>
      <c r="OYT81" s="7"/>
      <c r="OYU81" s="7"/>
      <c r="OYV81" s="21"/>
      <c r="OYW81" s="20"/>
      <c r="OYX81" s="20"/>
      <c r="OYY81" s="20"/>
      <c r="OYZ81" s="21"/>
      <c r="OZA81" s="21"/>
      <c r="OZB81" s="21"/>
      <c r="OZC81" s="21"/>
      <c r="OZD81" s="21"/>
      <c r="OZE81" s="20"/>
      <c r="OZF81" s="20"/>
      <c r="OZG81" s="20"/>
      <c r="OZH81" s="20"/>
      <c r="OZI81" s="21"/>
      <c r="OZJ81" s="21"/>
      <c r="OZK81" s="7"/>
      <c r="OZL81" s="7"/>
      <c r="OZM81" s="21"/>
      <c r="OZN81" s="20"/>
      <c r="OZO81" s="20"/>
      <c r="OZP81" s="20"/>
      <c r="OZQ81" s="21"/>
      <c r="OZR81" s="21"/>
      <c r="OZS81" s="21"/>
      <c r="OZT81" s="21"/>
      <c r="OZU81" s="21"/>
      <c r="OZV81" s="20"/>
      <c r="OZW81" s="20"/>
      <c r="OZX81" s="20"/>
      <c r="OZY81" s="20"/>
      <c r="OZZ81" s="21"/>
      <c r="PAA81" s="21"/>
      <c r="PAB81" s="7"/>
      <c r="PAC81" s="7"/>
      <c r="PAD81" s="21"/>
      <c r="PAE81" s="20"/>
      <c r="PAF81" s="20"/>
      <c r="PAG81" s="20"/>
      <c r="PAH81" s="21"/>
      <c r="PAI81" s="21"/>
      <c r="PAJ81" s="21"/>
      <c r="PAK81" s="21"/>
      <c r="PAL81" s="21"/>
      <c r="PAM81" s="20"/>
      <c r="PAN81" s="20"/>
      <c r="PAO81" s="20"/>
      <c r="PAP81" s="20"/>
      <c r="PAQ81" s="21"/>
      <c r="PAR81" s="21"/>
      <c r="PAS81" s="7"/>
      <c r="PAT81" s="7"/>
      <c r="PAU81" s="21"/>
      <c r="PAV81" s="20"/>
      <c r="PAW81" s="20"/>
      <c r="PAX81" s="20"/>
      <c r="PAY81" s="21"/>
      <c r="PAZ81" s="21"/>
      <c r="PBA81" s="21"/>
      <c r="PBB81" s="21"/>
      <c r="PBC81" s="21"/>
      <c r="PBD81" s="20"/>
      <c r="PBE81" s="20"/>
      <c r="PBF81" s="20"/>
      <c r="PBG81" s="20"/>
      <c r="PBH81" s="21"/>
      <c r="PBI81" s="21"/>
      <c r="PBJ81" s="7"/>
      <c r="PBK81" s="7"/>
      <c r="PBL81" s="21"/>
      <c r="PBM81" s="20"/>
      <c r="PBN81" s="20"/>
      <c r="PBO81" s="20"/>
      <c r="PBP81" s="21"/>
      <c r="PBQ81" s="21"/>
      <c r="PBR81" s="21"/>
      <c r="PBS81" s="21"/>
      <c r="PBT81" s="21"/>
      <c r="PBU81" s="20"/>
      <c r="PBV81" s="20"/>
      <c r="PBW81" s="20"/>
      <c r="PBX81" s="20"/>
      <c r="PBY81" s="21"/>
      <c r="PBZ81" s="21"/>
      <c r="PCA81" s="7"/>
      <c r="PCB81" s="7"/>
      <c r="PCC81" s="21"/>
      <c r="PCD81" s="20"/>
      <c r="PCE81" s="20"/>
      <c r="PCF81" s="20"/>
      <c r="PCG81" s="21"/>
      <c r="PCH81" s="21"/>
      <c r="PCI81" s="21"/>
      <c r="PCJ81" s="21"/>
      <c r="PCK81" s="21"/>
      <c r="PCL81" s="20"/>
      <c r="PCM81" s="20"/>
      <c r="PCN81" s="20"/>
      <c r="PCO81" s="20"/>
      <c r="PCP81" s="21"/>
      <c r="PCQ81" s="21"/>
      <c r="PCR81" s="7"/>
      <c r="PCS81" s="7"/>
      <c r="PCT81" s="21"/>
      <c r="PCU81" s="20"/>
      <c r="PCV81" s="20"/>
      <c r="PCW81" s="20"/>
      <c r="PCX81" s="21"/>
      <c r="PCY81" s="21"/>
      <c r="PCZ81" s="21"/>
      <c r="PDA81" s="21"/>
      <c r="PDB81" s="21"/>
      <c r="PDC81" s="20"/>
      <c r="PDD81" s="20"/>
      <c r="PDE81" s="20"/>
      <c r="PDF81" s="20"/>
      <c r="PDG81" s="21"/>
      <c r="PDH81" s="21"/>
      <c r="PDI81" s="7"/>
      <c r="PDJ81" s="7"/>
      <c r="PDK81" s="21"/>
      <c r="PDL81" s="20"/>
      <c r="PDM81" s="20"/>
      <c r="PDN81" s="20"/>
      <c r="PDO81" s="21"/>
      <c r="PDP81" s="21"/>
      <c r="PDQ81" s="21"/>
      <c r="PDR81" s="21"/>
      <c r="PDS81" s="21"/>
      <c r="PDT81" s="20"/>
      <c r="PDU81" s="20"/>
      <c r="PDV81" s="20"/>
      <c r="PDW81" s="20"/>
      <c r="PDX81" s="21"/>
      <c r="PDY81" s="21"/>
      <c r="PDZ81" s="7"/>
      <c r="PEA81" s="7"/>
      <c r="PEB81" s="21"/>
      <c r="PEC81" s="20"/>
      <c r="PED81" s="20"/>
      <c r="PEE81" s="20"/>
      <c r="PEF81" s="21"/>
      <c r="PEG81" s="21"/>
      <c r="PEH81" s="21"/>
      <c r="PEI81" s="21"/>
      <c r="PEJ81" s="21"/>
      <c r="PEK81" s="20"/>
      <c r="PEL81" s="20"/>
      <c r="PEM81" s="20"/>
      <c r="PEN81" s="20"/>
      <c r="PEO81" s="21"/>
      <c r="PEP81" s="21"/>
      <c r="PEQ81" s="7"/>
      <c r="PER81" s="7"/>
      <c r="PES81" s="21"/>
      <c r="PET81" s="20"/>
      <c r="PEU81" s="20"/>
      <c r="PEV81" s="20"/>
      <c r="PEW81" s="21"/>
      <c r="PEX81" s="21"/>
      <c r="PEY81" s="21"/>
      <c r="PEZ81" s="21"/>
      <c r="PFA81" s="21"/>
      <c r="PFB81" s="20"/>
      <c r="PFC81" s="20"/>
      <c r="PFD81" s="20"/>
      <c r="PFE81" s="20"/>
      <c r="PFF81" s="21"/>
      <c r="PFG81" s="21"/>
      <c r="PFH81" s="7"/>
      <c r="PFI81" s="7"/>
      <c r="PFJ81" s="21"/>
      <c r="PFK81" s="20"/>
      <c r="PFL81" s="20"/>
      <c r="PFM81" s="20"/>
      <c r="PFN81" s="21"/>
      <c r="PFO81" s="21"/>
      <c r="PFP81" s="21"/>
      <c r="PFQ81" s="21"/>
      <c r="PFR81" s="21"/>
      <c r="PFS81" s="20"/>
      <c r="PFT81" s="20"/>
      <c r="PFU81" s="20"/>
      <c r="PFV81" s="20"/>
      <c r="PFW81" s="21"/>
      <c r="PFX81" s="21"/>
      <c r="PFY81" s="7"/>
      <c r="PFZ81" s="7"/>
      <c r="PGA81" s="21"/>
      <c r="PGB81" s="20"/>
      <c r="PGC81" s="20"/>
      <c r="PGD81" s="20"/>
      <c r="PGE81" s="21"/>
      <c r="PGF81" s="21"/>
      <c r="PGG81" s="21"/>
      <c r="PGH81" s="21"/>
      <c r="PGI81" s="21"/>
      <c r="PGJ81" s="20"/>
      <c r="PGK81" s="20"/>
      <c r="PGL81" s="20"/>
      <c r="PGM81" s="20"/>
      <c r="PGN81" s="21"/>
      <c r="PGO81" s="21"/>
      <c r="PGP81" s="7"/>
      <c r="PGQ81" s="7"/>
      <c r="PGR81" s="21"/>
      <c r="PGS81" s="20"/>
      <c r="PGT81" s="20"/>
      <c r="PGU81" s="20"/>
      <c r="PGV81" s="21"/>
      <c r="PGW81" s="21"/>
      <c r="PGX81" s="21"/>
      <c r="PGY81" s="21"/>
      <c r="PGZ81" s="21"/>
      <c r="PHA81" s="20"/>
      <c r="PHB81" s="20"/>
      <c r="PHC81" s="20"/>
      <c r="PHD81" s="20"/>
      <c r="PHE81" s="21"/>
      <c r="PHF81" s="21"/>
      <c r="PHG81" s="7"/>
      <c r="PHH81" s="7"/>
      <c r="PHI81" s="21"/>
      <c r="PHJ81" s="20"/>
      <c r="PHK81" s="20"/>
      <c r="PHL81" s="20"/>
      <c r="PHM81" s="21"/>
      <c r="PHN81" s="21"/>
      <c r="PHO81" s="21"/>
      <c r="PHP81" s="21"/>
      <c r="PHQ81" s="21"/>
      <c r="PHR81" s="20"/>
      <c r="PHS81" s="20"/>
      <c r="PHT81" s="20"/>
      <c r="PHU81" s="20"/>
      <c r="PHV81" s="21"/>
      <c r="PHW81" s="21"/>
      <c r="PHX81" s="7"/>
      <c r="PHY81" s="7"/>
      <c r="PHZ81" s="21"/>
      <c r="PIA81" s="20"/>
      <c r="PIB81" s="20"/>
      <c r="PIC81" s="20"/>
      <c r="PID81" s="21"/>
      <c r="PIE81" s="21"/>
      <c r="PIF81" s="21"/>
      <c r="PIG81" s="21"/>
      <c r="PIH81" s="21"/>
      <c r="PII81" s="20"/>
      <c r="PIJ81" s="20"/>
      <c r="PIK81" s="20"/>
      <c r="PIL81" s="20"/>
      <c r="PIM81" s="21"/>
      <c r="PIN81" s="21"/>
      <c r="PIO81" s="7"/>
      <c r="PIP81" s="7"/>
      <c r="PIQ81" s="21"/>
      <c r="PIR81" s="20"/>
      <c r="PIS81" s="20"/>
      <c r="PIT81" s="20"/>
      <c r="PIU81" s="21"/>
      <c r="PIV81" s="21"/>
      <c r="PIW81" s="21"/>
      <c r="PIX81" s="21"/>
      <c r="PIY81" s="21"/>
      <c r="PIZ81" s="20"/>
      <c r="PJA81" s="20"/>
      <c r="PJB81" s="20"/>
      <c r="PJC81" s="20"/>
      <c r="PJD81" s="21"/>
      <c r="PJE81" s="21"/>
      <c r="PJF81" s="7"/>
      <c r="PJG81" s="7"/>
      <c r="PJH81" s="21"/>
      <c r="PJI81" s="20"/>
      <c r="PJJ81" s="20"/>
      <c r="PJK81" s="20"/>
      <c r="PJL81" s="21"/>
      <c r="PJM81" s="21"/>
      <c r="PJN81" s="21"/>
      <c r="PJO81" s="21"/>
      <c r="PJP81" s="21"/>
      <c r="PJQ81" s="20"/>
      <c r="PJR81" s="20"/>
      <c r="PJS81" s="20"/>
      <c r="PJT81" s="20"/>
      <c r="PJU81" s="21"/>
      <c r="PJV81" s="21"/>
      <c r="PJW81" s="7"/>
      <c r="PJX81" s="7"/>
      <c r="PJY81" s="21"/>
      <c r="PJZ81" s="20"/>
      <c r="PKA81" s="20"/>
      <c r="PKB81" s="20"/>
      <c r="PKC81" s="21"/>
      <c r="PKD81" s="21"/>
      <c r="PKE81" s="21"/>
      <c r="PKF81" s="21"/>
      <c r="PKG81" s="21"/>
      <c r="PKH81" s="20"/>
      <c r="PKI81" s="20"/>
      <c r="PKJ81" s="20"/>
      <c r="PKK81" s="20"/>
      <c r="PKL81" s="21"/>
      <c r="PKM81" s="21"/>
      <c r="PKN81" s="7"/>
      <c r="PKO81" s="7"/>
      <c r="PKP81" s="21"/>
      <c r="PKQ81" s="20"/>
      <c r="PKR81" s="20"/>
      <c r="PKS81" s="20"/>
      <c r="PKT81" s="21"/>
      <c r="PKU81" s="21"/>
      <c r="PKV81" s="21"/>
      <c r="PKW81" s="21"/>
      <c r="PKX81" s="21"/>
      <c r="PKY81" s="20"/>
      <c r="PKZ81" s="20"/>
      <c r="PLA81" s="20"/>
      <c r="PLB81" s="20"/>
      <c r="PLC81" s="21"/>
      <c r="PLD81" s="21"/>
      <c r="PLE81" s="7"/>
      <c r="PLF81" s="7"/>
      <c r="PLG81" s="21"/>
      <c r="PLH81" s="20"/>
      <c r="PLI81" s="20"/>
      <c r="PLJ81" s="20"/>
      <c r="PLK81" s="21"/>
      <c r="PLL81" s="21"/>
      <c r="PLM81" s="21"/>
      <c r="PLN81" s="21"/>
      <c r="PLO81" s="21"/>
      <c r="PLP81" s="20"/>
      <c r="PLQ81" s="20"/>
      <c r="PLR81" s="20"/>
      <c r="PLS81" s="20"/>
      <c r="PLT81" s="21"/>
      <c r="PLU81" s="21"/>
      <c r="PLV81" s="7"/>
      <c r="PLW81" s="7"/>
      <c r="PLX81" s="21"/>
      <c r="PLY81" s="20"/>
      <c r="PLZ81" s="20"/>
      <c r="PMA81" s="20"/>
      <c r="PMB81" s="21"/>
      <c r="PMC81" s="21"/>
      <c r="PMD81" s="21"/>
      <c r="PME81" s="21"/>
      <c r="PMF81" s="21"/>
      <c r="PMG81" s="20"/>
      <c r="PMH81" s="20"/>
      <c r="PMI81" s="20"/>
      <c r="PMJ81" s="20"/>
      <c r="PMK81" s="21"/>
      <c r="PML81" s="21"/>
      <c r="PMM81" s="7"/>
      <c r="PMN81" s="7"/>
      <c r="PMO81" s="21"/>
      <c r="PMP81" s="20"/>
      <c r="PMQ81" s="20"/>
      <c r="PMR81" s="20"/>
      <c r="PMS81" s="21"/>
      <c r="PMT81" s="21"/>
      <c r="PMU81" s="21"/>
      <c r="PMV81" s="21"/>
      <c r="PMW81" s="21"/>
      <c r="PMX81" s="20"/>
      <c r="PMY81" s="20"/>
      <c r="PMZ81" s="20"/>
      <c r="PNA81" s="20"/>
      <c r="PNB81" s="21"/>
      <c r="PNC81" s="21"/>
      <c r="PND81" s="7"/>
      <c r="PNE81" s="7"/>
      <c r="PNF81" s="21"/>
      <c r="PNG81" s="20"/>
      <c r="PNH81" s="20"/>
      <c r="PNI81" s="20"/>
      <c r="PNJ81" s="21"/>
      <c r="PNK81" s="21"/>
      <c r="PNL81" s="21"/>
      <c r="PNM81" s="21"/>
      <c r="PNN81" s="21"/>
      <c r="PNO81" s="20"/>
      <c r="PNP81" s="20"/>
      <c r="PNQ81" s="20"/>
      <c r="PNR81" s="20"/>
      <c r="PNS81" s="21"/>
      <c r="PNT81" s="21"/>
      <c r="PNU81" s="7"/>
      <c r="PNV81" s="7"/>
      <c r="PNW81" s="21"/>
      <c r="PNX81" s="20"/>
      <c r="PNY81" s="20"/>
      <c r="PNZ81" s="20"/>
      <c r="POA81" s="21"/>
      <c r="POB81" s="21"/>
      <c r="POC81" s="21"/>
      <c r="POD81" s="21"/>
      <c r="POE81" s="21"/>
      <c r="POF81" s="20"/>
      <c r="POG81" s="20"/>
      <c r="POH81" s="20"/>
      <c r="POI81" s="20"/>
      <c r="POJ81" s="21"/>
      <c r="POK81" s="21"/>
      <c r="POL81" s="7"/>
      <c r="POM81" s="7"/>
      <c r="PON81" s="21"/>
      <c r="POO81" s="20"/>
      <c r="POP81" s="20"/>
      <c r="POQ81" s="20"/>
      <c r="POR81" s="21"/>
      <c r="POS81" s="21"/>
      <c r="POT81" s="21"/>
      <c r="POU81" s="21"/>
      <c r="POV81" s="21"/>
      <c r="POW81" s="20"/>
      <c r="POX81" s="20"/>
      <c r="POY81" s="20"/>
      <c r="POZ81" s="20"/>
      <c r="PPA81" s="21"/>
      <c r="PPB81" s="21"/>
      <c r="PPC81" s="7"/>
      <c r="PPD81" s="7"/>
      <c r="PPE81" s="21"/>
      <c r="PPF81" s="20"/>
      <c r="PPG81" s="20"/>
      <c r="PPH81" s="20"/>
      <c r="PPI81" s="21"/>
      <c r="PPJ81" s="21"/>
      <c r="PPK81" s="21"/>
      <c r="PPL81" s="21"/>
      <c r="PPM81" s="21"/>
      <c r="PPN81" s="20"/>
      <c r="PPO81" s="20"/>
      <c r="PPP81" s="20"/>
      <c r="PPQ81" s="20"/>
      <c r="PPR81" s="21"/>
      <c r="PPS81" s="21"/>
      <c r="PPT81" s="7"/>
      <c r="PPU81" s="7"/>
      <c r="PPV81" s="21"/>
      <c r="PPW81" s="20"/>
      <c r="PPX81" s="20"/>
      <c r="PPY81" s="20"/>
      <c r="PPZ81" s="21"/>
      <c r="PQA81" s="21"/>
      <c r="PQB81" s="21"/>
      <c r="PQC81" s="21"/>
      <c r="PQD81" s="21"/>
      <c r="PQE81" s="20"/>
      <c r="PQF81" s="20"/>
      <c r="PQG81" s="20"/>
      <c r="PQH81" s="20"/>
      <c r="PQI81" s="21"/>
      <c r="PQJ81" s="21"/>
      <c r="PQK81" s="7"/>
      <c r="PQL81" s="7"/>
      <c r="PQM81" s="21"/>
      <c r="PQN81" s="20"/>
      <c r="PQO81" s="20"/>
      <c r="PQP81" s="20"/>
      <c r="PQQ81" s="21"/>
      <c r="PQR81" s="21"/>
      <c r="PQS81" s="21"/>
      <c r="PQT81" s="21"/>
      <c r="PQU81" s="21"/>
      <c r="PQV81" s="20"/>
      <c r="PQW81" s="20"/>
      <c r="PQX81" s="20"/>
      <c r="PQY81" s="20"/>
      <c r="PQZ81" s="21"/>
      <c r="PRA81" s="21"/>
      <c r="PRB81" s="7"/>
      <c r="PRC81" s="7"/>
      <c r="PRD81" s="21"/>
      <c r="PRE81" s="20"/>
      <c r="PRF81" s="20"/>
      <c r="PRG81" s="20"/>
      <c r="PRH81" s="21"/>
      <c r="PRI81" s="21"/>
      <c r="PRJ81" s="21"/>
      <c r="PRK81" s="21"/>
      <c r="PRL81" s="21"/>
      <c r="PRM81" s="20"/>
      <c r="PRN81" s="20"/>
      <c r="PRO81" s="20"/>
      <c r="PRP81" s="20"/>
      <c r="PRQ81" s="21"/>
      <c r="PRR81" s="21"/>
      <c r="PRS81" s="7"/>
      <c r="PRT81" s="7"/>
      <c r="PRU81" s="21"/>
      <c r="PRV81" s="20"/>
      <c r="PRW81" s="20"/>
      <c r="PRX81" s="20"/>
      <c r="PRY81" s="21"/>
      <c r="PRZ81" s="21"/>
      <c r="PSA81" s="21"/>
      <c r="PSB81" s="21"/>
      <c r="PSC81" s="21"/>
      <c r="PSD81" s="20"/>
      <c r="PSE81" s="20"/>
      <c r="PSF81" s="20"/>
      <c r="PSG81" s="20"/>
      <c r="PSH81" s="21"/>
      <c r="PSI81" s="21"/>
      <c r="PSJ81" s="7"/>
      <c r="PSK81" s="7"/>
      <c r="PSL81" s="21"/>
      <c r="PSM81" s="20"/>
      <c r="PSN81" s="20"/>
      <c r="PSO81" s="20"/>
      <c r="PSP81" s="21"/>
      <c r="PSQ81" s="21"/>
      <c r="PSR81" s="21"/>
      <c r="PSS81" s="21"/>
      <c r="PST81" s="21"/>
      <c r="PSU81" s="20"/>
      <c r="PSV81" s="20"/>
      <c r="PSW81" s="20"/>
      <c r="PSX81" s="20"/>
      <c r="PSY81" s="21"/>
      <c r="PSZ81" s="21"/>
      <c r="PTA81" s="7"/>
      <c r="PTB81" s="7"/>
      <c r="PTC81" s="21"/>
      <c r="PTD81" s="20"/>
      <c r="PTE81" s="20"/>
      <c r="PTF81" s="20"/>
      <c r="PTG81" s="21"/>
      <c r="PTH81" s="21"/>
      <c r="PTI81" s="21"/>
      <c r="PTJ81" s="21"/>
      <c r="PTK81" s="21"/>
      <c r="PTL81" s="20"/>
      <c r="PTM81" s="20"/>
      <c r="PTN81" s="20"/>
      <c r="PTO81" s="20"/>
      <c r="PTP81" s="21"/>
      <c r="PTQ81" s="21"/>
      <c r="PTR81" s="7"/>
      <c r="PTS81" s="7"/>
      <c r="PTT81" s="21"/>
      <c r="PTU81" s="20"/>
      <c r="PTV81" s="20"/>
      <c r="PTW81" s="20"/>
      <c r="PTX81" s="21"/>
      <c r="PTY81" s="21"/>
      <c r="PTZ81" s="21"/>
      <c r="PUA81" s="21"/>
      <c r="PUB81" s="21"/>
      <c r="PUC81" s="20"/>
      <c r="PUD81" s="20"/>
      <c r="PUE81" s="20"/>
      <c r="PUF81" s="20"/>
      <c r="PUG81" s="21"/>
      <c r="PUH81" s="21"/>
      <c r="PUI81" s="7"/>
      <c r="PUJ81" s="7"/>
      <c r="PUK81" s="21"/>
      <c r="PUL81" s="20"/>
      <c r="PUM81" s="20"/>
      <c r="PUN81" s="20"/>
      <c r="PUO81" s="21"/>
      <c r="PUP81" s="21"/>
      <c r="PUQ81" s="21"/>
      <c r="PUR81" s="21"/>
      <c r="PUS81" s="21"/>
      <c r="PUT81" s="20"/>
      <c r="PUU81" s="20"/>
      <c r="PUV81" s="20"/>
      <c r="PUW81" s="20"/>
      <c r="PUX81" s="21"/>
      <c r="PUY81" s="21"/>
      <c r="PUZ81" s="7"/>
      <c r="PVA81" s="7"/>
      <c r="PVB81" s="21"/>
      <c r="PVC81" s="20"/>
      <c r="PVD81" s="20"/>
      <c r="PVE81" s="20"/>
      <c r="PVF81" s="21"/>
      <c r="PVG81" s="21"/>
      <c r="PVH81" s="21"/>
      <c r="PVI81" s="21"/>
      <c r="PVJ81" s="21"/>
      <c r="PVK81" s="20"/>
      <c r="PVL81" s="20"/>
      <c r="PVM81" s="20"/>
      <c r="PVN81" s="20"/>
      <c r="PVO81" s="21"/>
      <c r="PVP81" s="21"/>
      <c r="PVQ81" s="7"/>
      <c r="PVR81" s="7"/>
      <c r="PVS81" s="21"/>
      <c r="PVT81" s="20"/>
      <c r="PVU81" s="20"/>
      <c r="PVV81" s="20"/>
      <c r="PVW81" s="21"/>
      <c r="PVX81" s="21"/>
      <c r="PVY81" s="21"/>
      <c r="PVZ81" s="21"/>
      <c r="PWA81" s="21"/>
      <c r="PWB81" s="20"/>
      <c r="PWC81" s="20"/>
      <c r="PWD81" s="20"/>
      <c r="PWE81" s="20"/>
      <c r="PWF81" s="21"/>
      <c r="PWG81" s="21"/>
      <c r="PWH81" s="7"/>
      <c r="PWI81" s="7"/>
      <c r="PWJ81" s="21"/>
      <c r="PWK81" s="20"/>
      <c r="PWL81" s="20"/>
      <c r="PWM81" s="20"/>
      <c r="PWN81" s="21"/>
      <c r="PWO81" s="21"/>
      <c r="PWP81" s="21"/>
      <c r="PWQ81" s="21"/>
      <c r="PWR81" s="21"/>
      <c r="PWS81" s="20"/>
      <c r="PWT81" s="20"/>
      <c r="PWU81" s="20"/>
      <c r="PWV81" s="20"/>
      <c r="PWW81" s="21"/>
      <c r="PWX81" s="21"/>
      <c r="PWY81" s="7"/>
      <c r="PWZ81" s="7"/>
      <c r="PXA81" s="21"/>
      <c r="PXB81" s="20"/>
      <c r="PXC81" s="20"/>
      <c r="PXD81" s="20"/>
      <c r="PXE81" s="21"/>
      <c r="PXF81" s="21"/>
      <c r="PXG81" s="21"/>
      <c r="PXH81" s="21"/>
      <c r="PXI81" s="21"/>
      <c r="PXJ81" s="20"/>
      <c r="PXK81" s="20"/>
      <c r="PXL81" s="20"/>
      <c r="PXM81" s="20"/>
      <c r="PXN81" s="21"/>
      <c r="PXO81" s="21"/>
      <c r="PXP81" s="7"/>
      <c r="PXQ81" s="7"/>
      <c r="PXR81" s="21"/>
      <c r="PXS81" s="20"/>
      <c r="PXT81" s="20"/>
      <c r="PXU81" s="20"/>
      <c r="PXV81" s="21"/>
      <c r="PXW81" s="21"/>
      <c r="PXX81" s="21"/>
      <c r="PXY81" s="21"/>
      <c r="PXZ81" s="21"/>
      <c r="PYA81" s="20"/>
      <c r="PYB81" s="20"/>
      <c r="PYC81" s="20"/>
      <c r="PYD81" s="20"/>
      <c r="PYE81" s="21"/>
      <c r="PYF81" s="21"/>
      <c r="PYG81" s="7"/>
      <c r="PYH81" s="7"/>
      <c r="PYI81" s="21"/>
      <c r="PYJ81" s="20"/>
      <c r="PYK81" s="20"/>
      <c r="PYL81" s="20"/>
      <c r="PYM81" s="21"/>
      <c r="PYN81" s="21"/>
      <c r="PYO81" s="21"/>
      <c r="PYP81" s="21"/>
      <c r="PYQ81" s="21"/>
      <c r="PYR81" s="20"/>
      <c r="PYS81" s="20"/>
      <c r="PYT81" s="20"/>
      <c r="PYU81" s="20"/>
      <c r="PYV81" s="21"/>
      <c r="PYW81" s="21"/>
      <c r="PYX81" s="7"/>
      <c r="PYY81" s="7"/>
      <c r="PYZ81" s="21"/>
      <c r="PZA81" s="20"/>
      <c r="PZB81" s="20"/>
      <c r="PZC81" s="20"/>
      <c r="PZD81" s="21"/>
      <c r="PZE81" s="21"/>
      <c r="PZF81" s="21"/>
      <c r="PZG81" s="21"/>
      <c r="PZH81" s="21"/>
      <c r="PZI81" s="20"/>
      <c r="PZJ81" s="20"/>
      <c r="PZK81" s="20"/>
      <c r="PZL81" s="20"/>
      <c r="PZM81" s="21"/>
      <c r="PZN81" s="21"/>
      <c r="PZO81" s="7"/>
      <c r="PZP81" s="7"/>
      <c r="PZQ81" s="21"/>
      <c r="PZR81" s="20"/>
      <c r="PZS81" s="20"/>
      <c r="PZT81" s="20"/>
      <c r="PZU81" s="21"/>
      <c r="PZV81" s="21"/>
      <c r="PZW81" s="21"/>
      <c r="PZX81" s="21"/>
      <c r="PZY81" s="21"/>
      <c r="PZZ81" s="20"/>
      <c r="QAA81" s="20"/>
      <c r="QAB81" s="20"/>
      <c r="QAC81" s="20"/>
      <c r="QAD81" s="21"/>
      <c r="QAE81" s="21"/>
      <c r="QAF81" s="7"/>
      <c r="QAG81" s="7"/>
      <c r="QAH81" s="21"/>
      <c r="QAI81" s="20"/>
      <c r="QAJ81" s="20"/>
      <c r="QAK81" s="20"/>
      <c r="QAL81" s="21"/>
      <c r="QAM81" s="21"/>
      <c r="QAN81" s="21"/>
      <c r="QAO81" s="21"/>
      <c r="QAP81" s="21"/>
      <c r="QAQ81" s="20"/>
      <c r="QAR81" s="20"/>
      <c r="QAS81" s="20"/>
      <c r="QAT81" s="20"/>
      <c r="QAU81" s="21"/>
      <c r="QAV81" s="21"/>
      <c r="QAW81" s="7"/>
      <c r="QAX81" s="7"/>
      <c r="QAY81" s="21"/>
      <c r="QAZ81" s="20"/>
      <c r="QBA81" s="20"/>
      <c r="QBB81" s="20"/>
      <c r="QBC81" s="21"/>
      <c r="QBD81" s="21"/>
      <c r="QBE81" s="21"/>
      <c r="QBF81" s="21"/>
      <c r="QBG81" s="21"/>
      <c r="QBH81" s="20"/>
      <c r="QBI81" s="20"/>
      <c r="QBJ81" s="20"/>
      <c r="QBK81" s="20"/>
      <c r="QBL81" s="21"/>
      <c r="QBM81" s="21"/>
      <c r="QBN81" s="7"/>
      <c r="QBO81" s="7"/>
      <c r="QBP81" s="21"/>
      <c r="QBQ81" s="20"/>
      <c r="QBR81" s="20"/>
      <c r="QBS81" s="20"/>
      <c r="QBT81" s="21"/>
      <c r="QBU81" s="21"/>
      <c r="QBV81" s="21"/>
      <c r="QBW81" s="21"/>
      <c r="QBX81" s="21"/>
      <c r="QBY81" s="20"/>
      <c r="QBZ81" s="20"/>
      <c r="QCA81" s="20"/>
      <c r="QCB81" s="20"/>
      <c r="QCC81" s="21"/>
      <c r="QCD81" s="21"/>
      <c r="QCE81" s="7"/>
      <c r="QCF81" s="7"/>
      <c r="QCG81" s="21"/>
      <c r="QCH81" s="20"/>
      <c r="QCI81" s="20"/>
      <c r="QCJ81" s="20"/>
      <c r="QCK81" s="21"/>
      <c r="QCL81" s="21"/>
      <c r="QCM81" s="21"/>
      <c r="QCN81" s="21"/>
      <c r="QCO81" s="21"/>
      <c r="QCP81" s="20"/>
      <c r="QCQ81" s="20"/>
      <c r="QCR81" s="20"/>
      <c r="QCS81" s="20"/>
      <c r="QCT81" s="21"/>
      <c r="QCU81" s="21"/>
      <c r="QCV81" s="7"/>
      <c r="QCW81" s="7"/>
      <c r="QCX81" s="21"/>
      <c r="QCY81" s="20"/>
      <c r="QCZ81" s="20"/>
      <c r="QDA81" s="20"/>
      <c r="QDB81" s="21"/>
      <c r="QDC81" s="21"/>
      <c r="QDD81" s="21"/>
      <c r="QDE81" s="21"/>
      <c r="QDF81" s="21"/>
      <c r="QDG81" s="20"/>
      <c r="QDH81" s="20"/>
      <c r="QDI81" s="20"/>
      <c r="QDJ81" s="20"/>
      <c r="QDK81" s="21"/>
      <c r="QDL81" s="21"/>
      <c r="QDM81" s="7"/>
      <c r="QDN81" s="7"/>
      <c r="QDO81" s="21"/>
      <c r="QDP81" s="20"/>
      <c r="QDQ81" s="20"/>
      <c r="QDR81" s="20"/>
      <c r="QDS81" s="21"/>
      <c r="QDT81" s="21"/>
      <c r="QDU81" s="21"/>
      <c r="QDV81" s="21"/>
      <c r="QDW81" s="21"/>
      <c r="QDX81" s="20"/>
      <c r="QDY81" s="20"/>
      <c r="QDZ81" s="20"/>
      <c r="QEA81" s="20"/>
      <c r="QEB81" s="21"/>
      <c r="QEC81" s="21"/>
      <c r="QED81" s="7"/>
      <c r="QEE81" s="7"/>
      <c r="QEF81" s="21"/>
      <c r="QEG81" s="20"/>
      <c r="QEH81" s="20"/>
      <c r="QEI81" s="20"/>
      <c r="QEJ81" s="21"/>
      <c r="QEK81" s="21"/>
      <c r="QEL81" s="21"/>
      <c r="QEM81" s="21"/>
      <c r="QEN81" s="21"/>
      <c r="QEO81" s="20"/>
      <c r="QEP81" s="20"/>
      <c r="QEQ81" s="20"/>
      <c r="QER81" s="20"/>
      <c r="QES81" s="21"/>
      <c r="QET81" s="21"/>
      <c r="QEU81" s="7"/>
      <c r="QEV81" s="7"/>
      <c r="QEW81" s="21"/>
      <c r="QEX81" s="20"/>
      <c r="QEY81" s="20"/>
      <c r="QEZ81" s="20"/>
      <c r="QFA81" s="21"/>
      <c r="QFB81" s="21"/>
      <c r="QFC81" s="21"/>
      <c r="QFD81" s="21"/>
      <c r="QFE81" s="21"/>
      <c r="QFF81" s="20"/>
      <c r="QFG81" s="20"/>
      <c r="QFH81" s="20"/>
      <c r="QFI81" s="20"/>
      <c r="QFJ81" s="21"/>
      <c r="QFK81" s="21"/>
      <c r="QFL81" s="7"/>
      <c r="QFM81" s="7"/>
      <c r="QFN81" s="21"/>
      <c r="QFO81" s="20"/>
      <c r="QFP81" s="20"/>
      <c r="QFQ81" s="20"/>
      <c r="QFR81" s="21"/>
      <c r="QFS81" s="21"/>
      <c r="QFT81" s="21"/>
      <c r="QFU81" s="21"/>
      <c r="QFV81" s="21"/>
      <c r="QFW81" s="20"/>
      <c r="QFX81" s="20"/>
      <c r="QFY81" s="20"/>
      <c r="QFZ81" s="20"/>
      <c r="QGA81" s="21"/>
      <c r="QGB81" s="21"/>
      <c r="QGC81" s="7"/>
      <c r="QGD81" s="7"/>
      <c r="QGE81" s="21"/>
      <c r="QGF81" s="20"/>
      <c r="QGG81" s="20"/>
      <c r="QGH81" s="20"/>
      <c r="QGI81" s="21"/>
      <c r="QGJ81" s="21"/>
      <c r="QGK81" s="21"/>
      <c r="QGL81" s="21"/>
      <c r="QGM81" s="21"/>
      <c r="QGN81" s="20"/>
      <c r="QGO81" s="20"/>
      <c r="QGP81" s="20"/>
      <c r="QGQ81" s="20"/>
      <c r="QGR81" s="21"/>
      <c r="QGS81" s="21"/>
      <c r="QGT81" s="7"/>
      <c r="QGU81" s="7"/>
      <c r="QGV81" s="21"/>
      <c r="QGW81" s="20"/>
      <c r="QGX81" s="20"/>
      <c r="QGY81" s="20"/>
      <c r="QGZ81" s="21"/>
      <c r="QHA81" s="21"/>
      <c r="QHB81" s="21"/>
      <c r="QHC81" s="21"/>
      <c r="QHD81" s="21"/>
      <c r="QHE81" s="20"/>
      <c r="QHF81" s="20"/>
      <c r="QHG81" s="20"/>
      <c r="QHH81" s="20"/>
      <c r="QHI81" s="21"/>
      <c r="QHJ81" s="21"/>
      <c r="QHK81" s="7"/>
      <c r="QHL81" s="7"/>
      <c r="QHM81" s="21"/>
      <c r="QHN81" s="20"/>
      <c r="QHO81" s="20"/>
      <c r="QHP81" s="20"/>
      <c r="QHQ81" s="21"/>
      <c r="QHR81" s="21"/>
      <c r="QHS81" s="21"/>
      <c r="QHT81" s="21"/>
      <c r="QHU81" s="21"/>
      <c r="QHV81" s="20"/>
      <c r="QHW81" s="20"/>
      <c r="QHX81" s="20"/>
      <c r="QHY81" s="20"/>
      <c r="QHZ81" s="21"/>
      <c r="QIA81" s="21"/>
      <c r="QIB81" s="7"/>
      <c r="QIC81" s="7"/>
      <c r="QID81" s="21"/>
      <c r="QIE81" s="20"/>
      <c r="QIF81" s="20"/>
      <c r="QIG81" s="20"/>
      <c r="QIH81" s="21"/>
      <c r="QII81" s="21"/>
      <c r="QIJ81" s="21"/>
      <c r="QIK81" s="21"/>
      <c r="QIL81" s="21"/>
      <c r="QIM81" s="20"/>
      <c r="QIN81" s="20"/>
      <c r="QIO81" s="20"/>
      <c r="QIP81" s="20"/>
      <c r="QIQ81" s="21"/>
      <c r="QIR81" s="21"/>
      <c r="QIS81" s="7"/>
      <c r="QIT81" s="7"/>
      <c r="QIU81" s="21"/>
      <c r="QIV81" s="20"/>
      <c r="QIW81" s="20"/>
      <c r="QIX81" s="20"/>
      <c r="QIY81" s="21"/>
      <c r="QIZ81" s="21"/>
      <c r="QJA81" s="21"/>
      <c r="QJB81" s="21"/>
      <c r="QJC81" s="21"/>
      <c r="QJD81" s="20"/>
      <c r="QJE81" s="20"/>
      <c r="QJF81" s="20"/>
      <c r="QJG81" s="20"/>
      <c r="QJH81" s="21"/>
      <c r="QJI81" s="21"/>
      <c r="QJJ81" s="7"/>
      <c r="QJK81" s="7"/>
      <c r="QJL81" s="21"/>
      <c r="QJM81" s="20"/>
      <c r="QJN81" s="20"/>
      <c r="QJO81" s="20"/>
      <c r="QJP81" s="21"/>
      <c r="QJQ81" s="21"/>
      <c r="QJR81" s="21"/>
      <c r="QJS81" s="21"/>
      <c r="QJT81" s="21"/>
      <c r="QJU81" s="20"/>
      <c r="QJV81" s="20"/>
      <c r="QJW81" s="20"/>
      <c r="QJX81" s="20"/>
      <c r="QJY81" s="21"/>
      <c r="QJZ81" s="21"/>
      <c r="QKA81" s="7"/>
      <c r="QKB81" s="7"/>
      <c r="QKC81" s="21"/>
      <c r="QKD81" s="20"/>
      <c r="QKE81" s="20"/>
      <c r="QKF81" s="20"/>
      <c r="QKG81" s="21"/>
      <c r="QKH81" s="21"/>
      <c r="QKI81" s="21"/>
      <c r="QKJ81" s="21"/>
      <c r="QKK81" s="21"/>
      <c r="QKL81" s="20"/>
      <c r="QKM81" s="20"/>
      <c r="QKN81" s="20"/>
      <c r="QKO81" s="20"/>
      <c r="QKP81" s="21"/>
      <c r="QKQ81" s="21"/>
      <c r="QKR81" s="7"/>
      <c r="QKS81" s="7"/>
      <c r="QKT81" s="21"/>
      <c r="QKU81" s="20"/>
      <c r="QKV81" s="20"/>
      <c r="QKW81" s="20"/>
      <c r="QKX81" s="21"/>
      <c r="QKY81" s="21"/>
      <c r="QKZ81" s="21"/>
      <c r="QLA81" s="21"/>
      <c r="QLB81" s="21"/>
      <c r="QLC81" s="20"/>
      <c r="QLD81" s="20"/>
      <c r="QLE81" s="20"/>
      <c r="QLF81" s="20"/>
      <c r="QLG81" s="21"/>
      <c r="QLH81" s="21"/>
      <c r="QLI81" s="7"/>
      <c r="QLJ81" s="7"/>
      <c r="QLK81" s="21"/>
      <c r="QLL81" s="20"/>
      <c r="QLM81" s="20"/>
      <c r="QLN81" s="20"/>
      <c r="QLO81" s="21"/>
      <c r="QLP81" s="21"/>
      <c r="QLQ81" s="21"/>
      <c r="QLR81" s="21"/>
      <c r="QLS81" s="21"/>
      <c r="QLT81" s="20"/>
      <c r="QLU81" s="20"/>
      <c r="QLV81" s="20"/>
      <c r="QLW81" s="20"/>
      <c r="QLX81" s="21"/>
      <c r="QLY81" s="21"/>
      <c r="QLZ81" s="7"/>
      <c r="QMA81" s="7"/>
      <c r="QMB81" s="21"/>
      <c r="QMC81" s="20"/>
      <c r="QMD81" s="20"/>
      <c r="QME81" s="20"/>
      <c r="QMF81" s="21"/>
      <c r="QMG81" s="21"/>
      <c r="QMH81" s="21"/>
      <c r="QMI81" s="21"/>
      <c r="QMJ81" s="21"/>
      <c r="QMK81" s="20"/>
      <c r="QML81" s="20"/>
      <c r="QMM81" s="20"/>
      <c r="QMN81" s="20"/>
      <c r="QMO81" s="21"/>
      <c r="QMP81" s="21"/>
      <c r="QMQ81" s="7"/>
      <c r="QMR81" s="7"/>
      <c r="QMS81" s="21"/>
      <c r="QMT81" s="20"/>
      <c r="QMU81" s="20"/>
      <c r="QMV81" s="20"/>
      <c r="QMW81" s="21"/>
      <c r="QMX81" s="21"/>
      <c r="QMY81" s="21"/>
      <c r="QMZ81" s="21"/>
      <c r="QNA81" s="21"/>
      <c r="QNB81" s="20"/>
      <c r="QNC81" s="20"/>
      <c r="QND81" s="20"/>
      <c r="QNE81" s="20"/>
      <c r="QNF81" s="21"/>
      <c r="QNG81" s="21"/>
      <c r="QNH81" s="7"/>
      <c r="QNI81" s="7"/>
      <c r="QNJ81" s="21"/>
      <c r="QNK81" s="20"/>
      <c r="QNL81" s="20"/>
      <c r="QNM81" s="20"/>
      <c r="QNN81" s="21"/>
      <c r="QNO81" s="21"/>
      <c r="QNP81" s="21"/>
      <c r="QNQ81" s="21"/>
      <c r="QNR81" s="21"/>
      <c r="QNS81" s="20"/>
      <c r="QNT81" s="20"/>
      <c r="QNU81" s="20"/>
      <c r="QNV81" s="20"/>
      <c r="QNW81" s="21"/>
      <c r="QNX81" s="21"/>
      <c r="QNY81" s="7"/>
      <c r="QNZ81" s="7"/>
      <c r="QOA81" s="21"/>
      <c r="QOB81" s="20"/>
      <c r="QOC81" s="20"/>
      <c r="QOD81" s="20"/>
      <c r="QOE81" s="21"/>
      <c r="QOF81" s="21"/>
      <c r="QOG81" s="21"/>
      <c r="QOH81" s="21"/>
      <c r="QOI81" s="21"/>
      <c r="QOJ81" s="20"/>
      <c r="QOK81" s="20"/>
      <c r="QOL81" s="20"/>
      <c r="QOM81" s="20"/>
      <c r="QON81" s="21"/>
      <c r="QOO81" s="21"/>
      <c r="QOP81" s="7"/>
      <c r="QOQ81" s="7"/>
      <c r="QOR81" s="21"/>
      <c r="QOS81" s="20"/>
      <c r="QOT81" s="20"/>
      <c r="QOU81" s="20"/>
      <c r="QOV81" s="21"/>
      <c r="QOW81" s="21"/>
      <c r="QOX81" s="21"/>
      <c r="QOY81" s="21"/>
      <c r="QOZ81" s="21"/>
      <c r="QPA81" s="20"/>
      <c r="QPB81" s="20"/>
      <c r="QPC81" s="20"/>
      <c r="QPD81" s="20"/>
      <c r="QPE81" s="21"/>
      <c r="QPF81" s="21"/>
      <c r="QPG81" s="7"/>
      <c r="QPH81" s="7"/>
      <c r="QPI81" s="21"/>
      <c r="QPJ81" s="20"/>
      <c r="QPK81" s="20"/>
      <c r="QPL81" s="20"/>
      <c r="QPM81" s="21"/>
      <c r="QPN81" s="21"/>
      <c r="QPO81" s="21"/>
      <c r="QPP81" s="21"/>
      <c r="QPQ81" s="21"/>
      <c r="QPR81" s="20"/>
      <c r="QPS81" s="20"/>
      <c r="QPT81" s="20"/>
      <c r="QPU81" s="20"/>
      <c r="QPV81" s="21"/>
      <c r="QPW81" s="21"/>
      <c r="QPX81" s="7"/>
      <c r="QPY81" s="7"/>
      <c r="QPZ81" s="21"/>
      <c r="QQA81" s="20"/>
      <c r="QQB81" s="20"/>
      <c r="QQC81" s="20"/>
      <c r="QQD81" s="21"/>
      <c r="QQE81" s="21"/>
      <c r="QQF81" s="21"/>
      <c r="QQG81" s="21"/>
      <c r="QQH81" s="21"/>
      <c r="QQI81" s="20"/>
      <c r="QQJ81" s="20"/>
      <c r="QQK81" s="20"/>
      <c r="QQL81" s="20"/>
      <c r="QQM81" s="21"/>
      <c r="QQN81" s="21"/>
      <c r="QQO81" s="7"/>
      <c r="QQP81" s="7"/>
      <c r="QQQ81" s="21"/>
      <c r="QQR81" s="20"/>
      <c r="QQS81" s="20"/>
      <c r="QQT81" s="20"/>
      <c r="QQU81" s="21"/>
      <c r="QQV81" s="21"/>
      <c r="QQW81" s="21"/>
      <c r="QQX81" s="21"/>
      <c r="QQY81" s="21"/>
      <c r="QQZ81" s="20"/>
      <c r="QRA81" s="20"/>
      <c r="QRB81" s="20"/>
      <c r="QRC81" s="20"/>
      <c r="QRD81" s="21"/>
      <c r="QRE81" s="21"/>
      <c r="QRF81" s="7"/>
      <c r="QRG81" s="7"/>
      <c r="QRH81" s="21"/>
      <c r="QRI81" s="20"/>
      <c r="QRJ81" s="20"/>
      <c r="QRK81" s="20"/>
      <c r="QRL81" s="21"/>
      <c r="QRM81" s="21"/>
      <c r="QRN81" s="21"/>
      <c r="QRO81" s="21"/>
      <c r="QRP81" s="21"/>
      <c r="QRQ81" s="20"/>
      <c r="QRR81" s="20"/>
      <c r="QRS81" s="20"/>
      <c r="QRT81" s="20"/>
      <c r="QRU81" s="21"/>
      <c r="QRV81" s="21"/>
      <c r="QRW81" s="7"/>
      <c r="QRX81" s="7"/>
      <c r="QRY81" s="21"/>
      <c r="QRZ81" s="20"/>
      <c r="QSA81" s="20"/>
      <c r="QSB81" s="20"/>
      <c r="QSC81" s="21"/>
      <c r="QSD81" s="21"/>
      <c r="QSE81" s="21"/>
      <c r="QSF81" s="21"/>
      <c r="QSG81" s="21"/>
      <c r="QSH81" s="20"/>
      <c r="QSI81" s="20"/>
      <c r="QSJ81" s="20"/>
      <c r="QSK81" s="20"/>
      <c r="QSL81" s="21"/>
      <c r="QSM81" s="21"/>
      <c r="QSN81" s="7"/>
      <c r="QSO81" s="7"/>
      <c r="QSP81" s="21"/>
      <c r="QSQ81" s="20"/>
      <c r="QSR81" s="20"/>
      <c r="QSS81" s="20"/>
      <c r="QST81" s="21"/>
      <c r="QSU81" s="21"/>
      <c r="QSV81" s="21"/>
      <c r="QSW81" s="21"/>
      <c r="QSX81" s="21"/>
      <c r="QSY81" s="20"/>
      <c r="QSZ81" s="20"/>
      <c r="QTA81" s="20"/>
      <c r="QTB81" s="20"/>
      <c r="QTC81" s="21"/>
      <c r="QTD81" s="21"/>
      <c r="QTE81" s="7"/>
      <c r="QTF81" s="7"/>
      <c r="QTG81" s="21"/>
      <c r="QTH81" s="20"/>
      <c r="QTI81" s="20"/>
      <c r="QTJ81" s="20"/>
      <c r="QTK81" s="21"/>
      <c r="QTL81" s="21"/>
      <c r="QTM81" s="21"/>
      <c r="QTN81" s="21"/>
      <c r="QTO81" s="21"/>
      <c r="QTP81" s="20"/>
      <c r="QTQ81" s="20"/>
      <c r="QTR81" s="20"/>
      <c r="QTS81" s="20"/>
      <c r="QTT81" s="21"/>
      <c r="QTU81" s="21"/>
      <c r="QTV81" s="7"/>
      <c r="QTW81" s="7"/>
      <c r="QTX81" s="21"/>
      <c r="QTY81" s="20"/>
      <c r="QTZ81" s="20"/>
      <c r="QUA81" s="20"/>
      <c r="QUB81" s="21"/>
      <c r="QUC81" s="21"/>
      <c r="QUD81" s="21"/>
      <c r="QUE81" s="21"/>
      <c r="QUF81" s="21"/>
      <c r="QUG81" s="20"/>
      <c r="QUH81" s="20"/>
      <c r="QUI81" s="20"/>
      <c r="QUJ81" s="20"/>
      <c r="QUK81" s="21"/>
      <c r="QUL81" s="21"/>
      <c r="QUM81" s="7"/>
      <c r="QUN81" s="7"/>
      <c r="QUO81" s="21"/>
      <c r="QUP81" s="20"/>
      <c r="QUQ81" s="20"/>
      <c r="QUR81" s="20"/>
      <c r="QUS81" s="21"/>
      <c r="QUT81" s="21"/>
      <c r="QUU81" s="21"/>
      <c r="QUV81" s="21"/>
      <c r="QUW81" s="21"/>
      <c r="QUX81" s="20"/>
      <c r="QUY81" s="20"/>
      <c r="QUZ81" s="20"/>
      <c r="QVA81" s="20"/>
      <c r="QVB81" s="21"/>
      <c r="QVC81" s="21"/>
      <c r="QVD81" s="7"/>
      <c r="QVE81" s="7"/>
      <c r="QVF81" s="21"/>
      <c r="QVG81" s="20"/>
      <c r="QVH81" s="20"/>
      <c r="QVI81" s="20"/>
      <c r="QVJ81" s="21"/>
      <c r="QVK81" s="21"/>
      <c r="QVL81" s="21"/>
      <c r="QVM81" s="21"/>
      <c r="QVN81" s="21"/>
      <c r="QVO81" s="20"/>
      <c r="QVP81" s="20"/>
      <c r="QVQ81" s="20"/>
      <c r="QVR81" s="20"/>
      <c r="QVS81" s="21"/>
      <c r="QVT81" s="21"/>
      <c r="QVU81" s="7"/>
      <c r="QVV81" s="7"/>
      <c r="QVW81" s="21"/>
      <c r="QVX81" s="20"/>
      <c r="QVY81" s="20"/>
      <c r="QVZ81" s="20"/>
      <c r="QWA81" s="21"/>
      <c r="QWB81" s="21"/>
      <c r="QWC81" s="21"/>
      <c r="QWD81" s="21"/>
      <c r="QWE81" s="21"/>
      <c r="QWF81" s="20"/>
      <c r="QWG81" s="20"/>
      <c r="QWH81" s="20"/>
      <c r="QWI81" s="20"/>
      <c r="QWJ81" s="21"/>
      <c r="QWK81" s="21"/>
      <c r="QWL81" s="7"/>
      <c r="QWM81" s="7"/>
      <c r="QWN81" s="21"/>
      <c r="QWO81" s="20"/>
      <c r="QWP81" s="20"/>
      <c r="QWQ81" s="20"/>
      <c r="QWR81" s="21"/>
      <c r="QWS81" s="21"/>
      <c r="QWT81" s="21"/>
      <c r="QWU81" s="21"/>
      <c r="QWV81" s="21"/>
      <c r="QWW81" s="20"/>
      <c r="QWX81" s="20"/>
      <c r="QWY81" s="20"/>
      <c r="QWZ81" s="20"/>
      <c r="QXA81" s="21"/>
      <c r="QXB81" s="21"/>
      <c r="QXC81" s="7"/>
      <c r="QXD81" s="7"/>
      <c r="QXE81" s="21"/>
      <c r="QXF81" s="20"/>
      <c r="QXG81" s="20"/>
      <c r="QXH81" s="20"/>
      <c r="QXI81" s="21"/>
      <c r="QXJ81" s="21"/>
      <c r="QXK81" s="21"/>
      <c r="QXL81" s="21"/>
      <c r="QXM81" s="21"/>
      <c r="QXN81" s="20"/>
      <c r="QXO81" s="20"/>
      <c r="QXP81" s="20"/>
      <c r="QXQ81" s="20"/>
      <c r="QXR81" s="21"/>
      <c r="QXS81" s="21"/>
      <c r="QXT81" s="7"/>
      <c r="QXU81" s="7"/>
      <c r="QXV81" s="21"/>
      <c r="QXW81" s="20"/>
      <c r="QXX81" s="20"/>
      <c r="QXY81" s="20"/>
      <c r="QXZ81" s="21"/>
      <c r="QYA81" s="21"/>
      <c r="QYB81" s="21"/>
      <c r="QYC81" s="21"/>
      <c r="QYD81" s="21"/>
      <c r="QYE81" s="20"/>
      <c r="QYF81" s="20"/>
      <c r="QYG81" s="20"/>
      <c r="QYH81" s="20"/>
      <c r="QYI81" s="21"/>
      <c r="QYJ81" s="21"/>
      <c r="QYK81" s="7"/>
      <c r="QYL81" s="7"/>
      <c r="QYM81" s="21"/>
      <c r="QYN81" s="20"/>
      <c r="QYO81" s="20"/>
      <c r="QYP81" s="20"/>
      <c r="QYQ81" s="21"/>
      <c r="QYR81" s="21"/>
      <c r="QYS81" s="21"/>
      <c r="QYT81" s="21"/>
      <c r="QYU81" s="21"/>
      <c r="QYV81" s="20"/>
      <c r="QYW81" s="20"/>
      <c r="QYX81" s="20"/>
      <c r="QYY81" s="20"/>
      <c r="QYZ81" s="21"/>
      <c r="QZA81" s="21"/>
      <c r="QZB81" s="7"/>
      <c r="QZC81" s="7"/>
      <c r="QZD81" s="21"/>
      <c r="QZE81" s="20"/>
      <c r="QZF81" s="20"/>
      <c r="QZG81" s="20"/>
      <c r="QZH81" s="21"/>
      <c r="QZI81" s="21"/>
      <c r="QZJ81" s="21"/>
      <c r="QZK81" s="21"/>
      <c r="QZL81" s="21"/>
      <c r="QZM81" s="20"/>
      <c r="QZN81" s="20"/>
      <c r="QZO81" s="20"/>
      <c r="QZP81" s="20"/>
      <c r="QZQ81" s="21"/>
      <c r="QZR81" s="21"/>
      <c r="QZS81" s="7"/>
      <c r="QZT81" s="7"/>
      <c r="QZU81" s="21"/>
      <c r="QZV81" s="20"/>
      <c r="QZW81" s="20"/>
      <c r="QZX81" s="20"/>
      <c r="QZY81" s="21"/>
      <c r="QZZ81" s="21"/>
      <c r="RAA81" s="21"/>
      <c r="RAB81" s="21"/>
      <c r="RAC81" s="21"/>
      <c r="RAD81" s="20"/>
      <c r="RAE81" s="20"/>
      <c r="RAF81" s="20"/>
      <c r="RAG81" s="20"/>
      <c r="RAH81" s="21"/>
      <c r="RAI81" s="21"/>
      <c r="RAJ81" s="7"/>
      <c r="RAK81" s="7"/>
      <c r="RAL81" s="21"/>
      <c r="RAM81" s="20"/>
      <c r="RAN81" s="20"/>
      <c r="RAO81" s="20"/>
      <c r="RAP81" s="21"/>
      <c r="RAQ81" s="21"/>
      <c r="RAR81" s="21"/>
      <c r="RAS81" s="21"/>
      <c r="RAT81" s="21"/>
      <c r="RAU81" s="20"/>
      <c r="RAV81" s="20"/>
      <c r="RAW81" s="20"/>
      <c r="RAX81" s="20"/>
      <c r="RAY81" s="21"/>
      <c r="RAZ81" s="21"/>
      <c r="RBA81" s="7"/>
      <c r="RBB81" s="7"/>
      <c r="RBC81" s="21"/>
      <c r="RBD81" s="20"/>
      <c r="RBE81" s="20"/>
      <c r="RBF81" s="20"/>
      <c r="RBG81" s="21"/>
      <c r="RBH81" s="21"/>
      <c r="RBI81" s="21"/>
      <c r="RBJ81" s="21"/>
      <c r="RBK81" s="21"/>
      <c r="RBL81" s="20"/>
      <c r="RBM81" s="20"/>
      <c r="RBN81" s="20"/>
      <c r="RBO81" s="20"/>
      <c r="RBP81" s="21"/>
      <c r="RBQ81" s="21"/>
      <c r="RBR81" s="7"/>
      <c r="RBS81" s="7"/>
      <c r="RBT81" s="21"/>
      <c r="RBU81" s="20"/>
      <c r="RBV81" s="20"/>
      <c r="RBW81" s="20"/>
      <c r="RBX81" s="21"/>
      <c r="RBY81" s="21"/>
      <c r="RBZ81" s="21"/>
      <c r="RCA81" s="21"/>
      <c r="RCB81" s="21"/>
      <c r="RCC81" s="20"/>
      <c r="RCD81" s="20"/>
      <c r="RCE81" s="20"/>
      <c r="RCF81" s="20"/>
      <c r="RCG81" s="21"/>
      <c r="RCH81" s="21"/>
      <c r="RCI81" s="7"/>
      <c r="RCJ81" s="7"/>
      <c r="RCK81" s="21"/>
      <c r="RCL81" s="20"/>
      <c r="RCM81" s="20"/>
      <c r="RCN81" s="20"/>
      <c r="RCO81" s="21"/>
      <c r="RCP81" s="21"/>
      <c r="RCQ81" s="21"/>
      <c r="RCR81" s="21"/>
      <c r="RCS81" s="21"/>
      <c r="RCT81" s="20"/>
      <c r="RCU81" s="20"/>
      <c r="RCV81" s="20"/>
      <c r="RCW81" s="20"/>
      <c r="RCX81" s="21"/>
      <c r="RCY81" s="21"/>
      <c r="RCZ81" s="7"/>
      <c r="RDA81" s="7"/>
      <c r="RDB81" s="21"/>
      <c r="RDC81" s="20"/>
      <c r="RDD81" s="20"/>
      <c r="RDE81" s="20"/>
      <c r="RDF81" s="21"/>
      <c r="RDG81" s="21"/>
      <c r="RDH81" s="21"/>
      <c r="RDI81" s="21"/>
      <c r="RDJ81" s="21"/>
      <c r="RDK81" s="20"/>
      <c r="RDL81" s="20"/>
      <c r="RDM81" s="20"/>
      <c r="RDN81" s="20"/>
      <c r="RDO81" s="21"/>
      <c r="RDP81" s="21"/>
      <c r="RDQ81" s="7"/>
      <c r="RDR81" s="7"/>
      <c r="RDS81" s="21"/>
      <c r="RDT81" s="20"/>
      <c r="RDU81" s="20"/>
      <c r="RDV81" s="20"/>
      <c r="RDW81" s="21"/>
      <c r="RDX81" s="21"/>
      <c r="RDY81" s="21"/>
      <c r="RDZ81" s="21"/>
      <c r="REA81" s="21"/>
      <c r="REB81" s="20"/>
      <c r="REC81" s="20"/>
      <c r="RED81" s="20"/>
      <c r="REE81" s="20"/>
      <c r="REF81" s="21"/>
      <c r="REG81" s="21"/>
      <c r="REH81" s="7"/>
      <c r="REI81" s="7"/>
      <c r="REJ81" s="21"/>
      <c r="REK81" s="20"/>
      <c r="REL81" s="20"/>
      <c r="REM81" s="20"/>
      <c r="REN81" s="21"/>
      <c r="REO81" s="21"/>
      <c r="REP81" s="21"/>
      <c r="REQ81" s="21"/>
      <c r="RER81" s="21"/>
      <c r="RES81" s="20"/>
      <c r="RET81" s="20"/>
      <c r="REU81" s="20"/>
      <c r="REV81" s="20"/>
      <c r="REW81" s="21"/>
      <c r="REX81" s="21"/>
      <c r="REY81" s="7"/>
      <c r="REZ81" s="7"/>
      <c r="RFA81" s="21"/>
      <c r="RFB81" s="20"/>
      <c r="RFC81" s="20"/>
      <c r="RFD81" s="20"/>
      <c r="RFE81" s="21"/>
      <c r="RFF81" s="21"/>
      <c r="RFG81" s="21"/>
      <c r="RFH81" s="21"/>
      <c r="RFI81" s="21"/>
      <c r="RFJ81" s="20"/>
      <c r="RFK81" s="20"/>
      <c r="RFL81" s="20"/>
      <c r="RFM81" s="20"/>
      <c r="RFN81" s="21"/>
      <c r="RFO81" s="21"/>
      <c r="RFP81" s="7"/>
      <c r="RFQ81" s="7"/>
      <c r="RFR81" s="21"/>
      <c r="RFS81" s="20"/>
      <c r="RFT81" s="20"/>
      <c r="RFU81" s="20"/>
      <c r="RFV81" s="21"/>
      <c r="RFW81" s="21"/>
      <c r="RFX81" s="21"/>
      <c r="RFY81" s="21"/>
      <c r="RFZ81" s="21"/>
      <c r="RGA81" s="20"/>
      <c r="RGB81" s="20"/>
      <c r="RGC81" s="20"/>
      <c r="RGD81" s="20"/>
      <c r="RGE81" s="21"/>
      <c r="RGF81" s="21"/>
      <c r="RGG81" s="7"/>
      <c r="RGH81" s="7"/>
      <c r="RGI81" s="21"/>
      <c r="RGJ81" s="20"/>
      <c r="RGK81" s="20"/>
      <c r="RGL81" s="20"/>
      <c r="RGM81" s="21"/>
      <c r="RGN81" s="21"/>
      <c r="RGO81" s="21"/>
      <c r="RGP81" s="21"/>
      <c r="RGQ81" s="21"/>
      <c r="RGR81" s="20"/>
      <c r="RGS81" s="20"/>
      <c r="RGT81" s="20"/>
      <c r="RGU81" s="20"/>
      <c r="RGV81" s="21"/>
      <c r="RGW81" s="21"/>
      <c r="RGX81" s="7"/>
      <c r="RGY81" s="7"/>
      <c r="RGZ81" s="21"/>
      <c r="RHA81" s="20"/>
      <c r="RHB81" s="20"/>
      <c r="RHC81" s="20"/>
      <c r="RHD81" s="21"/>
      <c r="RHE81" s="21"/>
      <c r="RHF81" s="21"/>
      <c r="RHG81" s="21"/>
      <c r="RHH81" s="21"/>
      <c r="RHI81" s="20"/>
      <c r="RHJ81" s="20"/>
      <c r="RHK81" s="20"/>
      <c r="RHL81" s="20"/>
      <c r="RHM81" s="21"/>
      <c r="RHN81" s="21"/>
      <c r="RHO81" s="7"/>
      <c r="RHP81" s="7"/>
      <c r="RHQ81" s="21"/>
      <c r="RHR81" s="20"/>
      <c r="RHS81" s="20"/>
      <c r="RHT81" s="20"/>
      <c r="RHU81" s="21"/>
      <c r="RHV81" s="21"/>
      <c r="RHW81" s="21"/>
      <c r="RHX81" s="21"/>
      <c r="RHY81" s="21"/>
      <c r="RHZ81" s="20"/>
      <c r="RIA81" s="20"/>
      <c r="RIB81" s="20"/>
      <c r="RIC81" s="20"/>
      <c r="RID81" s="21"/>
      <c r="RIE81" s="21"/>
      <c r="RIF81" s="7"/>
      <c r="RIG81" s="7"/>
      <c r="RIH81" s="21"/>
      <c r="RII81" s="20"/>
      <c r="RIJ81" s="20"/>
      <c r="RIK81" s="20"/>
      <c r="RIL81" s="21"/>
      <c r="RIM81" s="21"/>
      <c r="RIN81" s="21"/>
      <c r="RIO81" s="21"/>
      <c r="RIP81" s="21"/>
      <c r="RIQ81" s="20"/>
      <c r="RIR81" s="20"/>
      <c r="RIS81" s="20"/>
      <c r="RIT81" s="20"/>
      <c r="RIU81" s="21"/>
      <c r="RIV81" s="21"/>
      <c r="RIW81" s="7"/>
      <c r="RIX81" s="7"/>
      <c r="RIY81" s="21"/>
      <c r="RIZ81" s="20"/>
      <c r="RJA81" s="20"/>
      <c r="RJB81" s="20"/>
      <c r="RJC81" s="21"/>
      <c r="RJD81" s="21"/>
      <c r="RJE81" s="21"/>
      <c r="RJF81" s="21"/>
      <c r="RJG81" s="21"/>
      <c r="RJH81" s="20"/>
      <c r="RJI81" s="20"/>
      <c r="RJJ81" s="20"/>
      <c r="RJK81" s="20"/>
      <c r="RJL81" s="21"/>
      <c r="RJM81" s="21"/>
      <c r="RJN81" s="7"/>
      <c r="RJO81" s="7"/>
      <c r="RJP81" s="21"/>
      <c r="RJQ81" s="20"/>
      <c r="RJR81" s="20"/>
      <c r="RJS81" s="20"/>
      <c r="RJT81" s="21"/>
      <c r="RJU81" s="21"/>
      <c r="RJV81" s="21"/>
      <c r="RJW81" s="21"/>
      <c r="RJX81" s="21"/>
      <c r="RJY81" s="20"/>
      <c r="RJZ81" s="20"/>
      <c r="RKA81" s="20"/>
      <c r="RKB81" s="20"/>
      <c r="RKC81" s="21"/>
      <c r="RKD81" s="21"/>
      <c r="RKE81" s="7"/>
      <c r="RKF81" s="7"/>
      <c r="RKG81" s="21"/>
      <c r="RKH81" s="20"/>
      <c r="RKI81" s="20"/>
      <c r="RKJ81" s="20"/>
      <c r="RKK81" s="21"/>
      <c r="RKL81" s="21"/>
      <c r="RKM81" s="21"/>
      <c r="RKN81" s="21"/>
      <c r="RKO81" s="21"/>
      <c r="RKP81" s="20"/>
      <c r="RKQ81" s="20"/>
      <c r="RKR81" s="20"/>
      <c r="RKS81" s="20"/>
      <c r="RKT81" s="21"/>
      <c r="RKU81" s="21"/>
      <c r="RKV81" s="7"/>
      <c r="RKW81" s="7"/>
      <c r="RKX81" s="21"/>
      <c r="RKY81" s="20"/>
      <c r="RKZ81" s="20"/>
      <c r="RLA81" s="20"/>
      <c r="RLB81" s="21"/>
      <c r="RLC81" s="21"/>
      <c r="RLD81" s="21"/>
      <c r="RLE81" s="21"/>
      <c r="RLF81" s="21"/>
      <c r="RLG81" s="20"/>
      <c r="RLH81" s="20"/>
      <c r="RLI81" s="20"/>
      <c r="RLJ81" s="20"/>
      <c r="RLK81" s="21"/>
      <c r="RLL81" s="21"/>
      <c r="RLM81" s="7"/>
      <c r="RLN81" s="7"/>
      <c r="RLO81" s="21"/>
      <c r="RLP81" s="20"/>
      <c r="RLQ81" s="20"/>
      <c r="RLR81" s="20"/>
      <c r="RLS81" s="21"/>
      <c r="RLT81" s="21"/>
      <c r="RLU81" s="21"/>
      <c r="RLV81" s="21"/>
      <c r="RLW81" s="21"/>
      <c r="RLX81" s="20"/>
      <c r="RLY81" s="20"/>
      <c r="RLZ81" s="20"/>
      <c r="RMA81" s="20"/>
      <c r="RMB81" s="21"/>
      <c r="RMC81" s="21"/>
      <c r="RMD81" s="7"/>
      <c r="RME81" s="7"/>
      <c r="RMF81" s="21"/>
      <c r="RMG81" s="20"/>
      <c r="RMH81" s="20"/>
      <c r="RMI81" s="20"/>
      <c r="RMJ81" s="21"/>
      <c r="RMK81" s="21"/>
      <c r="RML81" s="21"/>
      <c r="RMM81" s="21"/>
      <c r="RMN81" s="21"/>
      <c r="RMO81" s="20"/>
      <c r="RMP81" s="20"/>
      <c r="RMQ81" s="20"/>
      <c r="RMR81" s="20"/>
      <c r="RMS81" s="21"/>
      <c r="RMT81" s="21"/>
      <c r="RMU81" s="7"/>
      <c r="RMV81" s="7"/>
      <c r="RMW81" s="21"/>
      <c r="RMX81" s="20"/>
      <c r="RMY81" s="20"/>
      <c r="RMZ81" s="20"/>
      <c r="RNA81" s="21"/>
      <c r="RNB81" s="21"/>
      <c r="RNC81" s="21"/>
      <c r="RND81" s="21"/>
      <c r="RNE81" s="21"/>
      <c r="RNF81" s="20"/>
      <c r="RNG81" s="20"/>
      <c r="RNH81" s="20"/>
      <c r="RNI81" s="20"/>
      <c r="RNJ81" s="21"/>
      <c r="RNK81" s="21"/>
      <c r="RNL81" s="7"/>
      <c r="RNM81" s="7"/>
      <c r="RNN81" s="21"/>
      <c r="RNO81" s="20"/>
      <c r="RNP81" s="20"/>
      <c r="RNQ81" s="20"/>
      <c r="RNR81" s="21"/>
      <c r="RNS81" s="21"/>
      <c r="RNT81" s="21"/>
      <c r="RNU81" s="21"/>
      <c r="RNV81" s="21"/>
      <c r="RNW81" s="20"/>
      <c r="RNX81" s="20"/>
      <c r="RNY81" s="20"/>
      <c r="RNZ81" s="20"/>
      <c r="ROA81" s="21"/>
      <c r="ROB81" s="21"/>
      <c r="ROC81" s="7"/>
      <c r="ROD81" s="7"/>
      <c r="ROE81" s="21"/>
      <c r="ROF81" s="20"/>
      <c r="ROG81" s="20"/>
      <c r="ROH81" s="20"/>
      <c r="ROI81" s="21"/>
      <c r="ROJ81" s="21"/>
      <c r="ROK81" s="21"/>
      <c r="ROL81" s="21"/>
      <c r="ROM81" s="21"/>
      <c r="RON81" s="20"/>
      <c r="ROO81" s="20"/>
      <c r="ROP81" s="20"/>
      <c r="ROQ81" s="20"/>
      <c r="ROR81" s="21"/>
      <c r="ROS81" s="21"/>
      <c r="ROT81" s="7"/>
      <c r="ROU81" s="7"/>
      <c r="ROV81" s="21"/>
      <c r="ROW81" s="20"/>
      <c r="ROX81" s="20"/>
      <c r="ROY81" s="20"/>
      <c r="ROZ81" s="21"/>
      <c r="RPA81" s="21"/>
      <c r="RPB81" s="21"/>
      <c r="RPC81" s="21"/>
      <c r="RPD81" s="21"/>
      <c r="RPE81" s="20"/>
      <c r="RPF81" s="20"/>
      <c r="RPG81" s="20"/>
      <c r="RPH81" s="20"/>
      <c r="RPI81" s="21"/>
      <c r="RPJ81" s="21"/>
      <c r="RPK81" s="7"/>
      <c r="RPL81" s="7"/>
      <c r="RPM81" s="21"/>
      <c r="RPN81" s="20"/>
      <c r="RPO81" s="20"/>
      <c r="RPP81" s="20"/>
      <c r="RPQ81" s="21"/>
      <c r="RPR81" s="21"/>
      <c r="RPS81" s="21"/>
      <c r="RPT81" s="21"/>
      <c r="RPU81" s="21"/>
      <c r="RPV81" s="20"/>
      <c r="RPW81" s="20"/>
      <c r="RPX81" s="20"/>
      <c r="RPY81" s="20"/>
      <c r="RPZ81" s="21"/>
      <c r="RQA81" s="21"/>
      <c r="RQB81" s="7"/>
      <c r="RQC81" s="7"/>
      <c r="RQD81" s="21"/>
      <c r="RQE81" s="20"/>
      <c r="RQF81" s="20"/>
      <c r="RQG81" s="20"/>
      <c r="RQH81" s="21"/>
      <c r="RQI81" s="21"/>
      <c r="RQJ81" s="21"/>
      <c r="RQK81" s="21"/>
      <c r="RQL81" s="21"/>
      <c r="RQM81" s="20"/>
      <c r="RQN81" s="20"/>
      <c r="RQO81" s="20"/>
      <c r="RQP81" s="20"/>
      <c r="RQQ81" s="21"/>
      <c r="RQR81" s="21"/>
      <c r="RQS81" s="7"/>
      <c r="RQT81" s="7"/>
      <c r="RQU81" s="21"/>
      <c r="RQV81" s="20"/>
      <c r="RQW81" s="20"/>
      <c r="RQX81" s="20"/>
      <c r="RQY81" s="21"/>
      <c r="RQZ81" s="21"/>
      <c r="RRA81" s="21"/>
      <c r="RRB81" s="21"/>
      <c r="RRC81" s="21"/>
      <c r="RRD81" s="20"/>
      <c r="RRE81" s="20"/>
      <c r="RRF81" s="20"/>
      <c r="RRG81" s="20"/>
      <c r="RRH81" s="21"/>
      <c r="RRI81" s="21"/>
      <c r="RRJ81" s="7"/>
      <c r="RRK81" s="7"/>
      <c r="RRL81" s="21"/>
      <c r="RRM81" s="20"/>
      <c r="RRN81" s="20"/>
      <c r="RRO81" s="20"/>
      <c r="RRP81" s="21"/>
      <c r="RRQ81" s="21"/>
      <c r="RRR81" s="21"/>
      <c r="RRS81" s="21"/>
      <c r="RRT81" s="21"/>
      <c r="RRU81" s="20"/>
      <c r="RRV81" s="20"/>
      <c r="RRW81" s="20"/>
      <c r="RRX81" s="20"/>
      <c r="RRY81" s="21"/>
      <c r="RRZ81" s="21"/>
      <c r="RSA81" s="7"/>
      <c r="RSB81" s="7"/>
      <c r="RSC81" s="21"/>
      <c r="RSD81" s="20"/>
      <c r="RSE81" s="20"/>
      <c r="RSF81" s="20"/>
      <c r="RSG81" s="21"/>
      <c r="RSH81" s="21"/>
      <c r="RSI81" s="21"/>
      <c r="RSJ81" s="21"/>
      <c r="RSK81" s="21"/>
      <c r="RSL81" s="20"/>
      <c r="RSM81" s="20"/>
      <c r="RSN81" s="20"/>
      <c r="RSO81" s="20"/>
      <c r="RSP81" s="21"/>
      <c r="RSQ81" s="21"/>
      <c r="RSR81" s="7"/>
      <c r="RSS81" s="7"/>
      <c r="RST81" s="21"/>
      <c r="RSU81" s="20"/>
      <c r="RSV81" s="20"/>
      <c r="RSW81" s="20"/>
      <c r="RSX81" s="21"/>
      <c r="RSY81" s="21"/>
      <c r="RSZ81" s="21"/>
      <c r="RTA81" s="21"/>
      <c r="RTB81" s="21"/>
      <c r="RTC81" s="20"/>
      <c r="RTD81" s="20"/>
      <c r="RTE81" s="20"/>
      <c r="RTF81" s="20"/>
      <c r="RTG81" s="21"/>
      <c r="RTH81" s="21"/>
      <c r="RTI81" s="7"/>
      <c r="RTJ81" s="7"/>
      <c r="RTK81" s="21"/>
      <c r="RTL81" s="20"/>
      <c r="RTM81" s="20"/>
      <c r="RTN81" s="20"/>
      <c r="RTO81" s="21"/>
      <c r="RTP81" s="21"/>
      <c r="RTQ81" s="21"/>
      <c r="RTR81" s="21"/>
      <c r="RTS81" s="21"/>
      <c r="RTT81" s="20"/>
      <c r="RTU81" s="20"/>
      <c r="RTV81" s="20"/>
      <c r="RTW81" s="20"/>
      <c r="RTX81" s="21"/>
      <c r="RTY81" s="21"/>
      <c r="RTZ81" s="7"/>
      <c r="RUA81" s="7"/>
      <c r="RUB81" s="21"/>
      <c r="RUC81" s="20"/>
      <c r="RUD81" s="20"/>
      <c r="RUE81" s="20"/>
      <c r="RUF81" s="21"/>
      <c r="RUG81" s="21"/>
      <c r="RUH81" s="21"/>
      <c r="RUI81" s="21"/>
      <c r="RUJ81" s="21"/>
      <c r="RUK81" s="20"/>
      <c r="RUL81" s="20"/>
      <c r="RUM81" s="20"/>
      <c r="RUN81" s="20"/>
      <c r="RUO81" s="21"/>
      <c r="RUP81" s="21"/>
      <c r="RUQ81" s="7"/>
      <c r="RUR81" s="7"/>
      <c r="RUS81" s="21"/>
      <c r="RUT81" s="20"/>
      <c r="RUU81" s="20"/>
      <c r="RUV81" s="20"/>
      <c r="RUW81" s="21"/>
      <c r="RUX81" s="21"/>
      <c r="RUY81" s="21"/>
      <c r="RUZ81" s="21"/>
      <c r="RVA81" s="21"/>
      <c r="RVB81" s="20"/>
      <c r="RVC81" s="20"/>
      <c r="RVD81" s="20"/>
      <c r="RVE81" s="20"/>
      <c r="RVF81" s="21"/>
      <c r="RVG81" s="21"/>
      <c r="RVH81" s="7"/>
      <c r="RVI81" s="7"/>
      <c r="RVJ81" s="21"/>
      <c r="RVK81" s="20"/>
      <c r="RVL81" s="20"/>
      <c r="RVM81" s="20"/>
      <c r="RVN81" s="21"/>
      <c r="RVO81" s="21"/>
      <c r="RVP81" s="21"/>
      <c r="RVQ81" s="21"/>
      <c r="RVR81" s="21"/>
      <c r="RVS81" s="20"/>
      <c r="RVT81" s="20"/>
      <c r="RVU81" s="20"/>
      <c r="RVV81" s="20"/>
      <c r="RVW81" s="21"/>
      <c r="RVX81" s="21"/>
      <c r="RVY81" s="7"/>
      <c r="RVZ81" s="7"/>
      <c r="RWA81" s="21"/>
      <c r="RWB81" s="20"/>
      <c r="RWC81" s="20"/>
      <c r="RWD81" s="20"/>
      <c r="RWE81" s="21"/>
      <c r="RWF81" s="21"/>
      <c r="RWG81" s="21"/>
      <c r="RWH81" s="21"/>
      <c r="RWI81" s="21"/>
      <c r="RWJ81" s="20"/>
      <c r="RWK81" s="20"/>
      <c r="RWL81" s="20"/>
      <c r="RWM81" s="20"/>
      <c r="RWN81" s="21"/>
      <c r="RWO81" s="21"/>
      <c r="RWP81" s="7"/>
      <c r="RWQ81" s="7"/>
      <c r="RWR81" s="21"/>
      <c r="RWS81" s="20"/>
      <c r="RWT81" s="20"/>
      <c r="RWU81" s="20"/>
      <c r="RWV81" s="21"/>
      <c r="RWW81" s="21"/>
      <c r="RWX81" s="21"/>
      <c r="RWY81" s="21"/>
      <c r="RWZ81" s="21"/>
      <c r="RXA81" s="20"/>
      <c r="RXB81" s="20"/>
      <c r="RXC81" s="20"/>
      <c r="RXD81" s="20"/>
      <c r="RXE81" s="21"/>
      <c r="RXF81" s="21"/>
      <c r="RXG81" s="7"/>
      <c r="RXH81" s="7"/>
      <c r="RXI81" s="21"/>
      <c r="RXJ81" s="20"/>
      <c r="RXK81" s="20"/>
      <c r="RXL81" s="20"/>
      <c r="RXM81" s="21"/>
      <c r="RXN81" s="21"/>
      <c r="RXO81" s="21"/>
      <c r="RXP81" s="21"/>
      <c r="RXQ81" s="21"/>
      <c r="RXR81" s="20"/>
      <c r="RXS81" s="20"/>
      <c r="RXT81" s="20"/>
      <c r="RXU81" s="20"/>
      <c r="RXV81" s="21"/>
      <c r="RXW81" s="21"/>
      <c r="RXX81" s="7"/>
      <c r="RXY81" s="7"/>
      <c r="RXZ81" s="21"/>
      <c r="RYA81" s="20"/>
      <c r="RYB81" s="20"/>
      <c r="RYC81" s="20"/>
      <c r="RYD81" s="21"/>
      <c r="RYE81" s="21"/>
      <c r="RYF81" s="21"/>
      <c r="RYG81" s="21"/>
      <c r="RYH81" s="21"/>
      <c r="RYI81" s="20"/>
      <c r="RYJ81" s="20"/>
      <c r="RYK81" s="20"/>
      <c r="RYL81" s="20"/>
      <c r="RYM81" s="21"/>
      <c r="RYN81" s="21"/>
      <c r="RYO81" s="7"/>
      <c r="RYP81" s="7"/>
      <c r="RYQ81" s="21"/>
      <c r="RYR81" s="20"/>
      <c r="RYS81" s="20"/>
      <c r="RYT81" s="20"/>
      <c r="RYU81" s="21"/>
      <c r="RYV81" s="21"/>
      <c r="RYW81" s="21"/>
      <c r="RYX81" s="21"/>
      <c r="RYY81" s="21"/>
      <c r="RYZ81" s="20"/>
      <c r="RZA81" s="20"/>
      <c r="RZB81" s="20"/>
      <c r="RZC81" s="20"/>
      <c r="RZD81" s="21"/>
      <c r="RZE81" s="21"/>
      <c r="RZF81" s="7"/>
      <c r="RZG81" s="7"/>
      <c r="RZH81" s="21"/>
      <c r="RZI81" s="20"/>
      <c r="RZJ81" s="20"/>
      <c r="RZK81" s="20"/>
      <c r="RZL81" s="21"/>
      <c r="RZM81" s="21"/>
      <c r="RZN81" s="21"/>
      <c r="RZO81" s="21"/>
      <c r="RZP81" s="21"/>
      <c r="RZQ81" s="20"/>
      <c r="RZR81" s="20"/>
      <c r="RZS81" s="20"/>
      <c r="RZT81" s="20"/>
      <c r="RZU81" s="21"/>
      <c r="RZV81" s="21"/>
      <c r="RZW81" s="7"/>
      <c r="RZX81" s="7"/>
      <c r="RZY81" s="21"/>
      <c r="RZZ81" s="20"/>
      <c r="SAA81" s="20"/>
      <c r="SAB81" s="20"/>
      <c r="SAC81" s="21"/>
      <c r="SAD81" s="21"/>
      <c r="SAE81" s="21"/>
      <c r="SAF81" s="21"/>
      <c r="SAG81" s="21"/>
      <c r="SAH81" s="20"/>
      <c r="SAI81" s="20"/>
      <c r="SAJ81" s="20"/>
      <c r="SAK81" s="20"/>
      <c r="SAL81" s="21"/>
      <c r="SAM81" s="21"/>
      <c r="SAN81" s="7"/>
      <c r="SAO81" s="7"/>
      <c r="SAP81" s="21"/>
      <c r="SAQ81" s="20"/>
      <c r="SAR81" s="20"/>
      <c r="SAS81" s="20"/>
      <c r="SAT81" s="21"/>
      <c r="SAU81" s="21"/>
      <c r="SAV81" s="21"/>
      <c r="SAW81" s="21"/>
      <c r="SAX81" s="21"/>
      <c r="SAY81" s="20"/>
      <c r="SAZ81" s="20"/>
      <c r="SBA81" s="20"/>
      <c r="SBB81" s="20"/>
      <c r="SBC81" s="21"/>
      <c r="SBD81" s="21"/>
      <c r="SBE81" s="7"/>
      <c r="SBF81" s="7"/>
      <c r="SBG81" s="21"/>
      <c r="SBH81" s="20"/>
      <c r="SBI81" s="20"/>
      <c r="SBJ81" s="20"/>
      <c r="SBK81" s="21"/>
      <c r="SBL81" s="21"/>
      <c r="SBM81" s="21"/>
      <c r="SBN81" s="21"/>
      <c r="SBO81" s="21"/>
      <c r="SBP81" s="20"/>
      <c r="SBQ81" s="20"/>
      <c r="SBR81" s="20"/>
      <c r="SBS81" s="20"/>
      <c r="SBT81" s="21"/>
      <c r="SBU81" s="21"/>
      <c r="SBV81" s="7"/>
      <c r="SBW81" s="7"/>
      <c r="SBX81" s="21"/>
      <c r="SBY81" s="20"/>
      <c r="SBZ81" s="20"/>
      <c r="SCA81" s="20"/>
      <c r="SCB81" s="21"/>
      <c r="SCC81" s="21"/>
      <c r="SCD81" s="21"/>
      <c r="SCE81" s="21"/>
      <c r="SCF81" s="21"/>
      <c r="SCG81" s="20"/>
      <c r="SCH81" s="20"/>
      <c r="SCI81" s="20"/>
      <c r="SCJ81" s="20"/>
      <c r="SCK81" s="21"/>
      <c r="SCL81" s="21"/>
      <c r="SCM81" s="7"/>
      <c r="SCN81" s="7"/>
      <c r="SCO81" s="21"/>
      <c r="SCP81" s="20"/>
      <c r="SCQ81" s="20"/>
      <c r="SCR81" s="20"/>
      <c r="SCS81" s="21"/>
      <c r="SCT81" s="21"/>
      <c r="SCU81" s="21"/>
      <c r="SCV81" s="21"/>
      <c r="SCW81" s="21"/>
      <c r="SCX81" s="20"/>
      <c r="SCY81" s="20"/>
      <c r="SCZ81" s="20"/>
      <c r="SDA81" s="20"/>
      <c r="SDB81" s="21"/>
      <c r="SDC81" s="21"/>
      <c r="SDD81" s="7"/>
      <c r="SDE81" s="7"/>
      <c r="SDF81" s="21"/>
      <c r="SDG81" s="20"/>
      <c r="SDH81" s="20"/>
      <c r="SDI81" s="20"/>
      <c r="SDJ81" s="21"/>
      <c r="SDK81" s="21"/>
      <c r="SDL81" s="21"/>
      <c r="SDM81" s="21"/>
      <c r="SDN81" s="21"/>
      <c r="SDO81" s="20"/>
      <c r="SDP81" s="20"/>
      <c r="SDQ81" s="20"/>
      <c r="SDR81" s="20"/>
      <c r="SDS81" s="21"/>
      <c r="SDT81" s="21"/>
      <c r="SDU81" s="7"/>
      <c r="SDV81" s="7"/>
      <c r="SDW81" s="21"/>
      <c r="SDX81" s="20"/>
      <c r="SDY81" s="20"/>
      <c r="SDZ81" s="20"/>
      <c r="SEA81" s="21"/>
      <c r="SEB81" s="21"/>
      <c r="SEC81" s="21"/>
      <c r="SED81" s="21"/>
      <c r="SEE81" s="21"/>
      <c r="SEF81" s="20"/>
      <c r="SEG81" s="20"/>
      <c r="SEH81" s="20"/>
      <c r="SEI81" s="20"/>
      <c r="SEJ81" s="21"/>
      <c r="SEK81" s="21"/>
      <c r="SEL81" s="7"/>
      <c r="SEM81" s="7"/>
      <c r="SEN81" s="21"/>
      <c r="SEO81" s="20"/>
      <c r="SEP81" s="20"/>
      <c r="SEQ81" s="20"/>
      <c r="SER81" s="21"/>
      <c r="SES81" s="21"/>
      <c r="SET81" s="21"/>
      <c r="SEU81" s="21"/>
      <c r="SEV81" s="21"/>
      <c r="SEW81" s="20"/>
      <c r="SEX81" s="20"/>
      <c r="SEY81" s="20"/>
      <c r="SEZ81" s="20"/>
      <c r="SFA81" s="21"/>
      <c r="SFB81" s="21"/>
      <c r="SFC81" s="7"/>
      <c r="SFD81" s="7"/>
      <c r="SFE81" s="21"/>
      <c r="SFF81" s="20"/>
      <c r="SFG81" s="20"/>
      <c r="SFH81" s="20"/>
      <c r="SFI81" s="21"/>
      <c r="SFJ81" s="21"/>
      <c r="SFK81" s="21"/>
      <c r="SFL81" s="21"/>
      <c r="SFM81" s="21"/>
      <c r="SFN81" s="20"/>
      <c r="SFO81" s="20"/>
      <c r="SFP81" s="20"/>
      <c r="SFQ81" s="20"/>
      <c r="SFR81" s="21"/>
      <c r="SFS81" s="21"/>
      <c r="SFT81" s="7"/>
      <c r="SFU81" s="7"/>
      <c r="SFV81" s="21"/>
      <c r="SFW81" s="20"/>
      <c r="SFX81" s="20"/>
      <c r="SFY81" s="20"/>
      <c r="SFZ81" s="21"/>
      <c r="SGA81" s="21"/>
      <c r="SGB81" s="21"/>
      <c r="SGC81" s="21"/>
      <c r="SGD81" s="21"/>
      <c r="SGE81" s="20"/>
      <c r="SGF81" s="20"/>
      <c r="SGG81" s="20"/>
      <c r="SGH81" s="20"/>
      <c r="SGI81" s="21"/>
      <c r="SGJ81" s="21"/>
      <c r="SGK81" s="7"/>
      <c r="SGL81" s="7"/>
      <c r="SGM81" s="21"/>
      <c r="SGN81" s="20"/>
      <c r="SGO81" s="20"/>
      <c r="SGP81" s="20"/>
      <c r="SGQ81" s="21"/>
      <c r="SGR81" s="21"/>
      <c r="SGS81" s="21"/>
      <c r="SGT81" s="21"/>
      <c r="SGU81" s="21"/>
      <c r="SGV81" s="20"/>
      <c r="SGW81" s="20"/>
      <c r="SGX81" s="20"/>
      <c r="SGY81" s="20"/>
      <c r="SGZ81" s="21"/>
      <c r="SHA81" s="21"/>
      <c r="SHB81" s="7"/>
      <c r="SHC81" s="7"/>
      <c r="SHD81" s="21"/>
      <c r="SHE81" s="20"/>
      <c r="SHF81" s="20"/>
      <c r="SHG81" s="20"/>
      <c r="SHH81" s="21"/>
      <c r="SHI81" s="21"/>
      <c r="SHJ81" s="21"/>
      <c r="SHK81" s="21"/>
      <c r="SHL81" s="21"/>
      <c r="SHM81" s="20"/>
      <c r="SHN81" s="20"/>
      <c r="SHO81" s="20"/>
      <c r="SHP81" s="20"/>
      <c r="SHQ81" s="21"/>
      <c r="SHR81" s="21"/>
      <c r="SHS81" s="7"/>
      <c r="SHT81" s="7"/>
      <c r="SHU81" s="21"/>
      <c r="SHV81" s="20"/>
      <c r="SHW81" s="20"/>
      <c r="SHX81" s="20"/>
      <c r="SHY81" s="21"/>
      <c r="SHZ81" s="21"/>
      <c r="SIA81" s="21"/>
      <c r="SIB81" s="21"/>
      <c r="SIC81" s="21"/>
      <c r="SID81" s="20"/>
      <c r="SIE81" s="20"/>
      <c r="SIF81" s="20"/>
      <c r="SIG81" s="20"/>
      <c r="SIH81" s="21"/>
      <c r="SII81" s="21"/>
      <c r="SIJ81" s="7"/>
      <c r="SIK81" s="7"/>
      <c r="SIL81" s="21"/>
      <c r="SIM81" s="20"/>
      <c r="SIN81" s="20"/>
      <c r="SIO81" s="20"/>
      <c r="SIP81" s="21"/>
      <c r="SIQ81" s="21"/>
      <c r="SIR81" s="21"/>
      <c r="SIS81" s="21"/>
      <c r="SIT81" s="21"/>
      <c r="SIU81" s="20"/>
      <c r="SIV81" s="20"/>
      <c r="SIW81" s="20"/>
      <c r="SIX81" s="20"/>
      <c r="SIY81" s="21"/>
      <c r="SIZ81" s="21"/>
      <c r="SJA81" s="7"/>
      <c r="SJB81" s="7"/>
      <c r="SJC81" s="21"/>
      <c r="SJD81" s="20"/>
      <c r="SJE81" s="20"/>
      <c r="SJF81" s="20"/>
      <c r="SJG81" s="21"/>
      <c r="SJH81" s="21"/>
      <c r="SJI81" s="21"/>
      <c r="SJJ81" s="21"/>
      <c r="SJK81" s="21"/>
      <c r="SJL81" s="20"/>
      <c r="SJM81" s="20"/>
      <c r="SJN81" s="20"/>
      <c r="SJO81" s="20"/>
      <c r="SJP81" s="21"/>
      <c r="SJQ81" s="21"/>
      <c r="SJR81" s="7"/>
      <c r="SJS81" s="7"/>
      <c r="SJT81" s="21"/>
      <c r="SJU81" s="20"/>
      <c r="SJV81" s="20"/>
      <c r="SJW81" s="20"/>
      <c r="SJX81" s="21"/>
      <c r="SJY81" s="21"/>
      <c r="SJZ81" s="21"/>
      <c r="SKA81" s="21"/>
      <c r="SKB81" s="21"/>
      <c r="SKC81" s="20"/>
      <c r="SKD81" s="20"/>
      <c r="SKE81" s="20"/>
      <c r="SKF81" s="20"/>
      <c r="SKG81" s="21"/>
      <c r="SKH81" s="21"/>
      <c r="SKI81" s="7"/>
      <c r="SKJ81" s="7"/>
      <c r="SKK81" s="21"/>
      <c r="SKL81" s="20"/>
      <c r="SKM81" s="20"/>
      <c r="SKN81" s="20"/>
      <c r="SKO81" s="21"/>
      <c r="SKP81" s="21"/>
      <c r="SKQ81" s="21"/>
      <c r="SKR81" s="21"/>
      <c r="SKS81" s="21"/>
      <c r="SKT81" s="20"/>
      <c r="SKU81" s="20"/>
      <c r="SKV81" s="20"/>
      <c r="SKW81" s="20"/>
      <c r="SKX81" s="21"/>
      <c r="SKY81" s="21"/>
      <c r="SKZ81" s="7"/>
      <c r="SLA81" s="7"/>
      <c r="SLB81" s="21"/>
      <c r="SLC81" s="20"/>
      <c r="SLD81" s="20"/>
      <c r="SLE81" s="20"/>
      <c r="SLF81" s="21"/>
      <c r="SLG81" s="21"/>
      <c r="SLH81" s="21"/>
      <c r="SLI81" s="21"/>
      <c r="SLJ81" s="21"/>
      <c r="SLK81" s="20"/>
      <c r="SLL81" s="20"/>
      <c r="SLM81" s="20"/>
      <c r="SLN81" s="20"/>
      <c r="SLO81" s="21"/>
      <c r="SLP81" s="21"/>
      <c r="SLQ81" s="7"/>
      <c r="SLR81" s="7"/>
      <c r="SLS81" s="21"/>
      <c r="SLT81" s="20"/>
      <c r="SLU81" s="20"/>
      <c r="SLV81" s="20"/>
      <c r="SLW81" s="21"/>
      <c r="SLX81" s="21"/>
      <c r="SLY81" s="21"/>
      <c r="SLZ81" s="21"/>
      <c r="SMA81" s="21"/>
      <c r="SMB81" s="20"/>
      <c r="SMC81" s="20"/>
      <c r="SMD81" s="20"/>
      <c r="SME81" s="20"/>
      <c r="SMF81" s="21"/>
      <c r="SMG81" s="21"/>
      <c r="SMH81" s="7"/>
      <c r="SMI81" s="7"/>
      <c r="SMJ81" s="21"/>
      <c r="SMK81" s="20"/>
      <c r="SML81" s="20"/>
      <c r="SMM81" s="20"/>
      <c r="SMN81" s="21"/>
      <c r="SMO81" s="21"/>
      <c r="SMP81" s="21"/>
      <c r="SMQ81" s="21"/>
      <c r="SMR81" s="21"/>
      <c r="SMS81" s="20"/>
      <c r="SMT81" s="20"/>
      <c r="SMU81" s="20"/>
      <c r="SMV81" s="20"/>
      <c r="SMW81" s="21"/>
      <c r="SMX81" s="21"/>
      <c r="SMY81" s="7"/>
      <c r="SMZ81" s="7"/>
      <c r="SNA81" s="21"/>
      <c r="SNB81" s="20"/>
      <c r="SNC81" s="20"/>
      <c r="SND81" s="20"/>
      <c r="SNE81" s="21"/>
      <c r="SNF81" s="21"/>
      <c r="SNG81" s="21"/>
      <c r="SNH81" s="21"/>
      <c r="SNI81" s="21"/>
      <c r="SNJ81" s="20"/>
      <c r="SNK81" s="20"/>
      <c r="SNL81" s="20"/>
      <c r="SNM81" s="20"/>
      <c r="SNN81" s="21"/>
      <c r="SNO81" s="21"/>
      <c r="SNP81" s="7"/>
      <c r="SNQ81" s="7"/>
      <c r="SNR81" s="21"/>
      <c r="SNS81" s="20"/>
      <c r="SNT81" s="20"/>
      <c r="SNU81" s="20"/>
      <c r="SNV81" s="21"/>
      <c r="SNW81" s="21"/>
      <c r="SNX81" s="21"/>
      <c r="SNY81" s="21"/>
      <c r="SNZ81" s="21"/>
      <c r="SOA81" s="20"/>
      <c r="SOB81" s="20"/>
      <c r="SOC81" s="20"/>
      <c r="SOD81" s="20"/>
      <c r="SOE81" s="21"/>
      <c r="SOF81" s="21"/>
      <c r="SOG81" s="7"/>
      <c r="SOH81" s="7"/>
      <c r="SOI81" s="21"/>
      <c r="SOJ81" s="20"/>
      <c r="SOK81" s="20"/>
      <c r="SOL81" s="20"/>
      <c r="SOM81" s="21"/>
      <c r="SON81" s="21"/>
      <c r="SOO81" s="21"/>
      <c r="SOP81" s="21"/>
      <c r="SOQ81" s="21"/>
      <c r="SOR81" s="20"/>
      <c r="SOS81" s="20"/>
      <c r="SOT81" s="20"/>
      <c r="SOU81" s="20"/>
      <c r="SOV81" s="21"/>
      <c r="SOW81" s="21"/>
      <c r="SOX81" s="7"/>
      <c r="SOY81" s="7"/>
      <c r="SOZ81" s="21"/>
      <c r="SPA81" s="20"/>
      <c r="SPB81" s="20"/>
      <c r="SPC81" s="20"/>
      <c r="SPD81" s="21"/>
      <c r="SPE81" s="21"/>
      <c r="SPF81" s="21"/>
      <c r="SPG81" s="21"/>
      <c r="SPH81" s="21"/>
      <c r="SPI81" s="20"/>
      <c r="SPJ81" s="20"/>
      <c r="SPK81" s="20"/>
      <c r="SPL81" s="20"/>
      <c r="SPM81" s="21"/>
      <c r="SPN81" s="21"/>
      <c r="SPO81" s="7"/>
      <c r="SPP81" s="7"/>
      <c r="SPQ81" s="21"/>
      <c r="SPR81" s="20"/>
      <c r="SPS81" s="20"/>
      <c r="SPT81" s="20"/>
      <c r="SPU81" s="21"/>
      <c r="SPV81" s="21"/>
      <c r="SPW81" s="21"/>
      <c r="SPX81" s="21"/>
      <c r="SPY81" s="21"/>
      <c r="SPZ81" s="20"/>
      <c r="SQA81" s="20"/>
      <c r="SQB81" s="20"/>
      <c r="SQC81" s="20"/>
      <c r="SQD81" s="21"/>
      <c r="SQE81" s="21"/>
      <c r="SQF81" s="7"/>
      <c r="SQG81" s="7"/>
      <c r="SQH81" s="21"/>
      <c r="SQI81" s="20"/>
      <c r="SQJ81" s="20"/>
      <c r="SQK81" s="20"/>
      <c r="SQL81" s="21"/>
      <c r="SQM81" s="21"/>
      <c r="SQN81" s="21"/>
      <c r="SQO81" s="21"/>
      <c r="SQP81" s="21"/>
      <c r="SQQ81" s="20"/>
      <c r="SQR81" s="20"/>
      <c r="SQS81" s="20"/>
      <c r="SQT81" s="20"/>
      <c r="SQU81" s="21"/>
      <c r="SQV81" s="21"/>
      <c r="SQW81" s="7"/>
      <c r="SQX81" s="7"/>
      <c r="SQY81" s="21"/>
      <c r="SQZ81" s="20"/>
      <c r="SRA81" s="20"/>
      <c r="SRB81" s="20"/>
      <c r="SRC81" s="21"/>
      <c r="SRD81" s="21"/>
      <c r="SRE81" s="21"/>
      <c r="SRF81" s="21"/>
      <c r="SRG81" s="21"/>
      <c r="SRH81" s="20"/>
      <c r="SRI81" s="20"/>
      <c r="SRJ81" s="20"/>
      <c r="SRK81" s="20"/>
      <c r="SRL81" s="21"/>
      <c r="SRM81" s="21"/>
      <c r="SRN81" s="7"/>
      <c r="SRO81" s="7"/>
      <c r="SRP81" s="21"/>
      <c r="SRQ81" s="20"/>
      <c r="SRR81" s="20"/>
      <c r="SRS81" s="20"/>
      <c r="SRT81" s="21"/>
      <c r="SRU81" s="21"/>
      <c r="SRV81" s="21"/>
      <c r="SRW81" s="21"/>
      <c r="SRX81" s="21"/>
      <c r="SRY81" s="20"/>
      <c r="SRZ81" s="20"/>
      <c r="SSA81" s="20"/>
      <c r="SSB81" s="20"/>
      <c r="SSC81" s="21"/>
      <c r="SSD81" s="21"/>
      <c r="SSE81" s="7"/>
      <c r="SSF81" s="7"/>
      <c r="SSG81" s="21"/>
      <c r="SSH81" s="20"/>
      <c r="SSI81" s="20"/>
      <c r="SSJ81" s="20"/>
      <c r="SSK81" s="21"/>
      <c r="SSL81" s="21"/>
      <c r="SSM81" s="21"/>
      <c r="SSN81" s="21"/>
      <c r="SSO81" s="21"/>
      <c r="SSP81" s="20"/>
      <c r="SSQ81" s="20"/>
      <c r="SSR81" s="20"/>
      <c r="SSS81" s="20"/>
      <c r="SST81" s="21"/>
      <c r="SSU81" s="21"/>
      <c r="SSV81" s="7"/>
      <c r="SSW81" s="7"/>
      <c r="SSX81" s="21"/>
      <c r="SSY81" s="20"/>
      <c r="SSZ81" s="20"/>
      <c r="STA81" s="20"/>
      <c r="STB81" s="21"/>
      <c r="STC81" s="21"/>
      <c r="STD81" s="21"/>
      <c r="STE81" s="21"/>
      <c r="STF81" s="21"/>
      <c r="STG81" s="20"/>
      <c r="STH81" s="20"/>
      <c r="STI81" s="20"/>
      <c r="STJ81" s="20"/>
      <c r="STK81" s="21"/>
      <c r="STL81" s="21"/>
      <c r="STM81" s="7"/>
      <c r="STN81" s="7"/>
      <c r="STO81" s="21"/>
      <c r="STP81" s="20"/>
      <c r="STQ81" s="20"/>
      <c r="STR81" s="20"/>
      <c r="STS81" s="21"/>
      <c r="STT81" s="21"/>
      <c r="STU81" s="21"/>
      <c r="STV81" s="21"/>
      <c r="STW81" s="21"/>
      <c r="STX81" s="20"/>
      <c r="STY81" s="20"/>
      <c r="STZ81" s="20"/>
      <c r="SUA81" s="20"/>
      <c r="SUB81" s="21"/>
      <c r="SUC81" s="21"/>
      <c r="SUD81" s="7"/>
      <c r="SUE81" s="7"/>
      <c r="SUF81" s="21"/>
      <c r="SUG81" s="20"/>
      <c r="SUH81" s="20"/>
      <c r="SUI81" s="20"/>
      <c r="SUJ81" s="21"/>
      <c r="SUK81" s="21"/>
      <c r="SUL81" s="21"/>
      <c r="SUM81" s="21"/>
      <c r="SUN81" s="21"/>
      <c r="SUO81" s="20"/>
      <c r="SUP81" s="20"/>
      <c r="SUQ81" s="20"/>
      <c r="SUR81" s="20"/>
      <c r="SUS81" s="21"/>
      <c r="SUT81" s="21"/>
      <c r="SUU81" s="7"/>
      <c r="SUV81" s="7"/>
      <c r="SUW81" s="21"/>
      <c r="SUX81" s="20"/>
      <c r="SUY81" s="20"/>
      <c r="SUZ81" s="20"/>
      <c r="SVA81" s="21"/>
      <c r="SVB81" s="21"/>
      <c r="SVC81" s="21"/>
      <c r="SVD81" s="21"/>
      <c r="SVE81" s="21"/>
      <c r="SVF81" s="20"/>
      <c r="SVG81" s="20"/>
      <c r="SVH81" s="20"/>
      <c r="SVI81" s="20"/>
      <c r="SVJ81" s="21"/>
      <c r="SVK81" s="21"/>
      <c r="SVL81" s="7"/>
      <c r="SVM81" s="7"/>
      <c r="SVN81" s="21"/>
      <c r="SVO81" s="20"/>
      <c r="SVP81" s="20"/>
      <c r="SVQ81" s="20"/>
      <c r="SVR81" s="21"/>
      <c r="SVS81" s="21"/>
      <c r="SVT81" s="21"/>
      <c r="SVU81" s="21"/>
      <c r="SVV81" s="21"/>
      <c r="SVW81" s="20"/>
      <c r="SVX81" s="20"/>
      <c r="SVY81" s="20"/>
      <c r="SVZ81" s="20"/>
      <c r="SWA81" s="21"/>
      <c r="SWB81" s="21"/>
      <c r="SWC81" s="7"/>
      <c r="SWD81" s="7"/>
      <c r="SWE81" s="21"/>
      <c r="SWF81" s="20"/>
      <c r="SWG81" s="20"/>
      <c r="SWH81" s="20"/>
      <c r="SWI81" s="21"/>
      <c r="SWJ81" s="21"/>
      <c r="SWK81" s="21"/>
      <c r="SWL81" s="21"/>
      <c r="SWM81" s="21"/>
      <c r="SWN81" s="20"/>
      <c r="SWO81" s="20"/>
      <c r="SWP81" s="20"/>
      <c r="SWQ81" s="20"/>
      <c r="SWR81" s="21"/>
      <c r="SWS81" s="21"/>
      <c r="SWT81" s="7"/>
      <c r="SWU81" s="7"/>
      <c r="SWV81" s="21"/>
      <c r="SWW81" s="20"/>
      <c r="SWX81" s="20"/>
      <c r="SWY81" s="20"/>
      <c r="SWZ81" s="21"/>
      <c r="SXA81" s="21"/>
      <c r="SXB81" s="21"/>
      <c r="SXC81" s="21"/>
      <c r="SXD81" s="21"/>
      <c r="SXE81" s="20"/>
      <c r="SXF81" s="20"/>
      <c r="SXG81" s="20"/>
      <c r="SXH81" s="20"/>
      <c r="SXI81" s="21"/>
      <c r="SXJ81" s="21"/>
      <c r="SXK81" s="7"/>
      <c r="SXL81" s="7"/>
      <c r="SXM81" s="21"/>
      <c r="SXN81" s="20"/>
      <c r="SXO81" s="20"/>
      <c r="SXP81" s="20"/>
      <c r="SXQ81" s="21"/>
      <c r="SXR81" s="21"/>
      <c r="SXS81" s="21"/>
      <c r="SXT81" s="21"/>
      <c r="SXU81" s="21"/>
      <c r="SXV81" s="20"/>
      <c r="SXW81" s="20"/>
      <c r="SXX81" s="20"/>
      <c r="SXY81" s="20"/>
      <c r="SXZ81" s="21"/>
      <c r="SYA81" s="21"/>
      <c r="SYB81" s="7"/>
      <c r="SYC81" s="7"/>
      <c r="SYD81" s="21"/>
      <c r="SYE81" s="20"/>
      <c r="SYF81" s="20"/>
      <c r="SYG81" s="20"/>
      <c r="SYH81" s="21"/>
      <c r="SYI81" s="21"/>
      <c r="SYJ81" s="21"/>
      <c r="SYK81" s="21"/>
      <c r="SYL81" s="21"/>
      <c r="SYM81" s="20"/>
      <c r="SYN81" s="20"/>
      <c r="SYO81" s="20"/>
      <c r="SYP81" s="20"/>
      <c r="SYQ81" s="21"/>
      <c r="SYR81" s="21"/>
      <c r="SYS81" s="7"/>
      <c r="SYT81" s="7"/>
      <c r="SYU81" s="21"/>
      <c r="SYV81" s="20"/>
      <c r="SYW81" s="20"/>
      <c r="SYX81" s="20"/>
      <c r="SYY81" s="21"/>
      <c r="SYZ81" s="21"/>
      <c r="SZA81" s="21"/>
      <c r="SZB81" s="21"/>
      <c r="SZC81" s="21"/>
      <c r="SZD81" s="20"/>
      <c r="SZE81" s="20"/>
      <c r="SZF81" s="20"/>
      <c r="SZG81" s="20"/>
      <c r="SZH81" s="21"/>
      <c r="SZI81" s="21"/>
      <c r="SZJ81" s="7"/>
      <c r="SZK81" s="7"/>
      <c r="SZL81" s="21"/>
      <c r="SZM81" s="20"/>
      <c r="SZN81" s="20"/>
      <c r="SZO81" s="20"/>
      <c r="SZP81" s="21"/>
      <c r="SZQ81" s="21"/>
      <c r="SZR81" s="21"/>
      <c r="SZS81" s="21"/>
      <c r="SZT81" s="21"/>
      <c r="SZU81" s="20"/>
      <c r="SZV81" s="20"/>
      <c r="SZW81" s="20"/>
      <c r="SZX81" s="20"/>
      <c r="SZY81" s="21"/>
      <c r="SZZ81" s="21"/>
      <c r="TAA81" s="7"/>
      <c r="TAB81" s="7"/>
      <c r="TAC81" s="21"/>
      <c r="TAD81" s="20"/>
      <c r="TAE81" s="20"/>
      <c r="TAF81" s="20"/>
      <c r="TAG81" s="21"/>
      <c r="TAH81" s="21"/>
      <c r="TAI81" s="21"/>
      <c r="TAJ81" s="21"/>
      <c r="TAK81" s="21"/>
      <c r="TAL81" s="20"/>
      <c r="TAM81" s="20"/>
      <c r="TAN81" s="20"/>
      <c r="TAO81" s="20"/>
      <c r="TAP81" s="21"/>
      <c r="TAQ81" s="21"/>
      <c r="TAR81" s="7"/>
      <c r="TAS81" s="7"/>
      <c r="TAT81" s="21"/>
      <c r="TAU81" s="20"/>
      <c r="TAV81" s="20"/>
      <c r="TAW81" s="20"/>
      <c r="TAX81" s="21"/>
      <c r="TAY81" s="21"/>
      <c r="TAZ81" s="21"/>
      <c r="TBA81" s="21"/>
      <c r="TBB81" s="21"/>
      <c r="TBC81" s="20"/>
      <c r="TBD81" s="20"/>
      <c r="TBE81" s="20"/>
      <c r="TBF81" s="20"/>
      <c r="TBG81" s="21"/>
      <c r="TBH81" s="21"/>
      <c r="TBI81" s="7"/>
      <c r="TBJ81" s="7"/>
      <c r="TBK81" s="21"/>
      <c r="TBL81" s="20"/>
      <c r="TBM81" s="20"/>
      <c r="TBN81" s="20"/>
      <c r="TBO81" s="21"/>
      <c r="TBP81" s="21"/>
      <c r="TBQ81" s="21"/>
      <c r="TBR81" s="21"/>
      <c r="TBS81" s="21"/>
      <c r="TBT81" s="20"/>
      <c r="TBU81" s="20"/>
      <c r="TBV81" s="20"/>
      <c r="TBW81" s="20"/>
      <c r="TBX81" s="21"/>
      <c r="TBY81" s="21"/>
      <c r="TBZ81" s="7"/>
      <c r="TCA81" s="7"/>
      <c r="TCB81" s="21"/>
      <c r="TCC81" s="20"/>
      <c r="TCD81" s="20"/>
      <c r="TCE81" s="20"/>
      <c r="TCF81" s="21"/>
      <c r="TCG81" s="21"/>
      <c r="TCH81" s="21"/>
      <c r="TCI81" s="21"/>
      <c r="TCJ81" s="21"/>
      <c r="TCK81" s="20"/>
      <c r="TCL81" s="20"/>
      <c r="TCM81" s="20"/>
      <c r="TCN81" s="20"/>
      <c r="TCO81" s="21"/>
      <c r="TCP81" s="21"/>
      <c r="TCQ81" s="7"/>
      <c r="TCR81" s="7"/>
      <c r="TCS81" s="21"/>
      <c r="TCT81" s="20"/>
      <c r="TCU81" s="20"/>
      <c r="TCV81" s="20"/>
      <c r="TCW81" s="21"/>
      <c r="TCX81" s="21"/>
      <c r="TCY81" s="21"/>
      <c r="TCZ81" s="21"/>
      <c r="TDA81" s="21"/>
      <c r="TDB81" s="20"/>
      <c r="TDC81" s="20"/>
      <c r="TDD81" s="20"/>
      <c r="TDE81" s="20"/>
      <c r="TDF81" s="21"/>
      <c r="TDG81" s="21"/>
      <c r="TDH81" s="7"/>
      <c r="TDI81" s="7"/>
      <c r="TDJ81" s="21"/>
      <c r="TDK81" s="20"/>
      <c r="TDL81" s="20"/>
      <c r="TDM81" s="20"/>
      <c r="TDN81" s="21"/>
      <c r="TDO81" s="21"/>
      <c r="TDP81" s="21"/>
      <c r="TDQ81" s="21"/>
      <c r="TDR81" s="21"/>
      <c r="TDS81" s="20"/>
      <c r="TDT81" s="20"/>
      <c r="TDU81" s="20"/>
      <c r="TDV81" s="20"/>
      <c r="TDW81" s="21"/>
      <c r="TDX81" s="21"/>
      <c r="TDY81" s="7"/>
      <c r="TDZ81" s="7"/>
      <c r="TEA81" s="21"/>
      <c r="TEB81" s="20"/>
      <c r="TEC81" s="20"/>
      <c r="TED81" s="20"/>
      <c r="TEE81" s="21"/>
      <c r="TEF81" s="21"/>
      <c r="TEG81" s="21"/>
      <c r="TEH81" s="21"/>
      <c r="TEI81" s="21"/>
      <c r="TEJ81" s="20"/>
      <c r="TEK81" s="20"/>
      <c r="TEL81" s="20"/>
      <c r="TEM81" s="20"/>
      <c r="TEN81" s="21"/>
      <c r="TEO81" s="21"/>
      <c r="TEP81" s="7"/>
      <c r="TEQ81" s="7"/>
      <c r="TER81" s="21"/>
      <c r="TES81" s="20"/>
      <c r="TET81" s="20"/>
      <c r="TEU81" s="20"/>
      <c r="TEV81" s="21"/>
      <c r="TEW81" s="21"/>
      <c r="TEX81" s="21"/>
      <c r="TEY81" s="21"/>
      <c r="TEZ81" s="21"/>
      <c r="TFA81" s="20"/>
      <c r="TFB81" s="20"/>
      <c r="TFC81" s="20"/>
      <c r="TFD81" s="20"/>
      <c r="TFE81" s="21"/>
      <c r="TFF81" s="21"/>
      <c r="TFG81" s="7"/>
      <c r="TFH81" s="7"/>
      <c r="TFI81" s="21"/>
      <c r="TFJ81" s="20"/>
      <c r="TFK81" s="20"/>
      <c r="TFL81" s="20"/>
      <c r="TFM81" s="21"/>
      <c r="TFN81" s="21"/>
      <c r="TFO81" s="21"/>
      <c r="TFP81" s="21"/>
      <c r="TFQ81" s="21"/>
      <c r="TFR81" s="20"/>
      <c r="TFS81" s="20"/>
      <c r="TFT81" s="20"/>
      <c r="TFU81" s="20"/>
      <c r="TFV81" s="21"/>
      <c r="TFW81" s="21"/>
      <c r="TFX81" s="7"/>
      <c r="TFY81" s="7"/>
      <c r="TFZ81" s="21"/>
      <c r="TGA81" s="20"/>
      <c r="TGB81" s="20"/>
      <c r="TGC81" s="20"/>
      <c r="TGD81" s="21"/>
      <c r="TGE81" s="21"/>
      <c r="TGF81" s="21"/>
      <c r="TGG81" s="21"/>
      <c r="TGH81" s="21"/>
      <c r="TGI81" s="20"/>
      <c r="TGJ81" s="20"/>
      <c r="TGK81" s="20"/>
      <c r="TGL81" s="20"/>
      <c r="TGM81" s="21"/>
      <c r="TGN81" s="21"/>
      <c r="TGO81" s="7"/>
      <c r="TGP81" s="7"/>
      <c r="TGQ81" s="21"/>
      <c r="TGR81" s="20"/>
      <c r="TGS81" s="20"/>
      <c r="TGT81" s="20"/>
      <c r="TGU81" s="21"/>
      <c r="TGV81" s="21"/>
      <c r="TGW81" s="21"/>
      <c r="TGX81" s="21"/>
      <c r="TGY81" s="21"/>
      <c r="TGZ81" s="20"/>
      <c r="THA81" s="20"/>
      <c r="THB81" s="20"/>
      <c r="THC81" s="20"/>
      <c r="THD81" s="21"/>
      <c r="THE81" s="21"/>
      <c r="THF81" s="7"/>
      <c r="THG81" s="7"/>
      <c r="THH81" s="21"/>
      <c r="THI81" s="20"/>
      <c r="THJ81" s="20"/>
      <c r="THK81" s="20"/>
      <c r="THL81" s="21"/>
      <c r="THM81" s="21"/>
      <c r="THN81" s="21"/>
      <c r="THO81" s="21"/>
      <c r="THP81" s="21"/>
      <c r="THQ81" s="20"/>
      <c r="THR81" s="20"/>
      <c r="THS81" s="20"/>
      <c r="THT81" s="20"/>
      <c r="THU81" s="21"/>
      <c r="THV81" s="21"/>
      <c r="THW81" s="7"/>
      <c r="THX81" s="7"/>
      <c r="THY81" s="21"/>
      <c r="THZ81" s="20"/>
      <c r="TIA81" s="20"/>
      <c r="TIB81" s="20"/>
      <c r="TIC81" s="21"/>
      <c r="TID81" s="21"/>
      <c r="TIE81" s="21"/>
      <c r="TIF81" s="21"/>
      <c r="TIG81" s="21"/>
      <c r="TIH81" s="20"/>
      <c r="TII81" s="20"/>
      <c r="TIJ81" s="20"/>
      <c r="TIK81" s="20"/>
      <c r="TIL81" s="21"/>
      <c r="TIM81" s="21"/>
      <c r="TIN81" s="7"/>
      <c r="TIO81" s="7"/>
      <c r="TIP81" s="21"/>
      <c r="TIQ81" s="20"/>
      <c r="TIR81" s="20"/>
      <c r="TIS81" s="20"/>
      <c r="TIT81" s="21"/>
      <c r="TIU81" s="21"/>
      <c r="TIV81" s="21"/>
      <c r="TIW81" s="21"/>
      <c r="TIX81" s="21"/>
      <c r="TIY81" s="20"/>
      <c r="TIZ81" s="20"/>
      <c r="TJA81" s="20"/>
      <c r="TJB81" s="20"/>
      <c r="TJC81" s="21"/>
      <c r="TJD81" s="21"/>
      <c r="TJE81" s="7"/>
      <c r="TJF81" s="7"/>
      <c r="TJG81" s="21"/>
      <c r="TJH81" s="20"/>
      <c r="TJI81" s="20"/>
      <c r="TJJ81" s="20"/>
      <c r="TJK81" s="21"/>
      <c r="TJL81" s="21"/>
      <c r="TJM81" s="21"/>
      <c r="TJN81" s="21"/>
      <c r="TJO81" s="21"/>
      <c r="TJP81" s="20"/>
      <c r="TJQ81" s="20"/>
      <c r="TJR81" s="20"/>
      <c r="TJS81" s="20"/>
      <c r="TJT81" s="21"/>
      <c r="TJU81" s="21"/>
      <c r="TJV81" s="7"/>
      <c r="TJW81" s="7"/>
      <c r="TJX81" s="21"/>
      <c r="TJY81" s="20"/>
      <c r="TJZ81" s="20"/>
      <c r="TKA81" s="20"/>
      <c r="TKB81" s="21"/>
      <c r="TKC81" s="21"/>
      <c r="TKD81" s="21"/>
      <c r="TKE81" s="21"/>
      <c r="TKF81" s="21"/>
      <c r="TKG81" s="20"/>
      <c r="TKH81" s="20"/>
      <c r="TKI81" s="20"/>
      <c r="TKJ81" s="20"/>
      <c r="TKK81" s="21"/>
      <c r="TKL81" s="21"/>
      <c r="TKM81" s="7"/>
      <c r="TKN81" s="7"/>
      <c r="TKO81" s="21"/>
      <c r="TKP81" s="20"/>
      <c r="TKQ81" s="20"/>
      <c r="TKR81" s="20"/>
      <c r="TKS81" s="21"/>
      <c r="TKT81" s="21"/>
      <c r="TKU81" s="21"/>
      <c r="TKV81" s="21"/>
      <c r="TKW81" s="21"/>
      <c r="TKX81" s="20"/>
      <c r="TKY81" s="20"/>
      <c r="TKZ81" s="20"/>
      <c r="TLA81" s="20"/>
      <c r="TLB81" s="21"/>
      <c r="TLC81" s="21"/>
      <c r="TLD81" s="7"/>
      <c r="TLE81" s="7"/>
      <c r="TLF81" s="21"/>
      <c r="TLG81" s="20"/>
      <c r="TLH81" s="20"/>
      <c r="TLI81" s="20"/>
      <c r="TLJ81" s="21"/>
      <c r="TLK81" s="21"/>
      <c r="TLL81" s="21"/>
      <c r="TLM81" s="21"/>
      <c r="TLN81" s="21"/>
      <c r="TLO81" s="20"/>
      <c r="TLP81" s="20"/>
      <c r="TLQ81" s="20"/>
      <c r="TLR81" s="20"/>
      <c r="TLS81" s="21"/>
      <c r="TLT81" s="21"/>
      <c r="TLU81" s="7"/>
      <c r="TLV81" s="7"/>
      <c r="TLW81" s="21"/>
      <c r="TLX81" s="20"/>
      <c r="TLY81" s="20"/>
      <c r="TLZ81" s="20"/>
      <c r="TMA81" s="21"/>
      <c r="TMB81" s="21"/>
      <c r="TMC81" s="21"/>
      <c r="TMD81" s="21"/>
      <c r="TME81" s="21"/>
      <c r="TMF81" s="20"/>
      <c r="TMG81" s="20"/>
      <c r="TMH81" s="20"/>
      <c r="TMI81" s="20"/>
      <c r="TMJ81" s="21"/>
      <c r="TMK81" s="21"/>
      <c r="TML81" s="7"/>
      <c r="TMM81" s="7"/>
      <c r="TMN81" s="21"/>
      <c r="TMO81" s="20"/>
      <c r="TMP81" s="20"/>
      <c r="TMQ81" s="20"/>
      <c r="TMR81" s="21"/>
      <c r="TMS81" s="21"/>
      <c r="TMT81" s="21"/>
      <c r="TMU81" s="21"/>
      <c r="TMV81" s="21"/>
      <c r="TMW81" s="20"/>
      <c r="TMX81" s="20"/>
      <c r="TMY81" s="20"/>
      <c r="TMZ81" s="20"/>
      <c r="TNA81" s="21"/>
      <c r="TNB81" s="21"/>
      <c r="TNC81" s="7"/>
      <c r="TND81" s="7"/>
      <c r="TNE81" s="21"/>
      <c r="TNF81" s="20"/>
      <c r="TNG81" s="20"/>
      <c r="TNH81" s="20"/>
      <c r="TNI81" s="21"/>
      <c r="TNJ81" s="21"/>
      <c r="TNK81" s="21"/>
      <c r="TNL81" s="21"/>
      <c r="TNM81" s="21"/>
      <c r="TNN81" s="20"/>
      <c r="TNO81" s="20"/>
      <c r="TNP81" s="20"/>
      <c r="TNQ81" s="20"/>
      <c r="TNR81" s="21"/>
      <c r="TNS81" s="21"/>
      <c r="TNT81" s="7"/>
      <c r="TNU81" s="7"/>
      <c r="TNV81" s="21"/>
      <c r="TNW81" s="20"/>
      <c r="TNX81" s="20"/>
      <c r="TNY81" s="20"/>
      <c r="TNZ81" s="21"/>
      <c r="TOA81" s="21"/>
      <c r="TOB81" s="21"/>
      <c r="TOC81" s="21"/>
      <c r="TOD81" s="21"/>
      <c r="TOE81" s="20"/>
      <c r="TOF81" s="20"/>
      <c r="TOG81" s="20"/>
      <c r="TOH81" s="20"/>
      <c r="TOI81" s="21"/>
      <c r="TOJ81" s="21"/>
      <c r="TOK81" s="7"/>
      <c r="TOL81" s="7"/>
      <c r="TOM81" s="21"/>
      <c r="TON81" s="20"/>
      <c r="TOO81" s="20"/>
      <c r="TOP81" s="20"/>
      <c r="TOQ81" s="21"/>
      <c r="TOR81" s="21"/>
      <c r="TOS81" s="21"/>
      <c r="TOT81" s="21"/>
      <c r="TOU81" s="21"/>
      <c r="TOV81" s="20"/>
      <c r="TOW81" s="20"/>
      <c r="TOX81" s="20"/>
      <c r="TOY81" s="20"/>
      <c r="TOZ81" s="21"/>
      <c r="TPA81" s="21"/>
      <c r="TPB81" s="7"/>
      <c r="TPC81" s="7"/>
      <c r="TPD81" s="21"/>
      <c r="TPE81" s="20"/>
      <c r="TPF81" s="20"/>
      <c r="TPG81" s="20"/>
      <c r="TPH81" s="21"/>
      <c r="TPI81" s="21"/>
      <c r="TPJ81" s="21"/>
      <c r="TPK81" s="21"/>
      <c r="TPL81" s="21"/>
      <c r="TPM81" s="20"/>
      <c r="TPN81" s="20"/>
      <c r="TPO81" s="20"/>
      <c r="TPP81" s="20"/>
      <c r="TPQ81" s="21"/>
      <c r="TPR81" s="21"/>
      <c r="TPS81" s="7"/>
      <c r="TPT81" s="7"/>
      <c r="TPU81" s="21"/>
      <c r="TPV81" s="20"/>
      <c r="TPW81" s="20"/>
      <c r="TPX81" s="20"/>
      <c r="TPY81" s="21"/>
      <c r="TPZ81" s="21"/>
      <c r="TQA81" s="21"/>
      <c r="TQB81" s="21"/>
      <c r="TQC81" s="21"/>
      <c r="TQD81" s="20"/>
      <c r="TQE81" s="20"/>
      <c r="TQF81" s="20"/>
      <c r="TQG81" s="20"/>
      <c r="TQH81" s="21"/>
      <c r="TQI81" s="21"/>
      <c r="TQJ81" s="7"/>
      <c r="TQK81" s="7"/>
      <c r="TQL81" s="21"/>
      <c r="TQM81" s="20"/>
      <c r="TQN81" s="20"/>
      <c r="TQO81" s="20"/>
      <c r="TQP81" s="21"/>
      <c r="TQQ81" s="21"/>
      <c r="TQR81" s="21"/>
      <c r="TQS81" s="21"/>
      <c r="TQT81" s="21"/>
      <c r="TQU81" s="20"/>
      <c r="TQV81" s="20"/>
      <c r="TQW81" s="20"/>
      <c r="TQX81" s="20"/>
      <c r="TQY81" s="21"/>
      <c r="TQZ81" s="21"/>
      <c r="TRA81" s="7"/>
      <c r="TRB81" s="7"/>
      <c r="TRC81" s="21"/>
      <c r="TRD81" s="20"/>
      <c r="TRE81" s="20"/>
      <c r="TRF81" s="20"/>
      <c r="TRG81" s="21"/>
      <c r="TRH81" s="21"/>
      <c r="TRI81" s="21"/>
      <c r="TRJ81" s="21"/>
      <c r="TRK81" s="21"/>
      <c r="TRL81" s="20"/>
      <c r="TRM81" s="20"/>
      <c r="TRN81" s="20"/>
      <c r="TRO81" s="20"/>
      <c r="TRP81" s="21"/>
      <c r="TRQ81" s="21"/>
      <c r="TRR81" s="7"/>
      <c r="TRS81" s="7"/>
      <c r="TRT81" s="21"/>
      <c r="TRU81" s="20"/>
      <c r="TRV81" s="20"/>
      <c r="TRW81" s="20"/>
      <c r="TRX81" s="21"/>
      <c r="TRY81" s="21"/>
      <c r="TRZ81" s="21"/>
      <c r="TSA81" s="21"/>
      <c r="TSB81" s="21"/>
      <c r="TSC81" s="20"/>
      <c r="TSD81" s="20"/>
      <c r="TSE81" s="20"/>
      <c r="TSF81" s="20"/>
      <c r="TSG81" s="21"/>
      <c r="TSH81" s="21"/>
      <c r="TSI81" s="7"/>
      <c r="TSJ81" s="7"/>
      <c r="TSK81" s="21"/>
      <c r="TSL81" s="20"/>
      <c r="TSM81" s="20"/>
      <c r="TSN81" s="20"/>
      <c r="TSO81" s="21"/>
      <c r="TSP81" s="21"/>
      <c r="TSQ81" s="21"/>
      <c r="TSR81" s="21"/>
      <c r="TSS81" s="21"/>
      <c r="TST81" s="20"/>
      <c r="TSU81" s="20"/>
      <c r="TSV81" s="20"/>
      <c r="TSW81" s="20"/>
      <c r="TSX81" s="21"/>
      <c r="TSY81" s="21"/>
      <c r="TSZ81" s="7"/>
      <c r="TTA81" s="7"/>
      <c r="TTB81" s="21"/>
      <c r="TTC81" s="20"/>
      <c r="TTD81" s="20"/>
      <c r="TTE81" s="20"/>
      <c r="TTF81" s="21"/>
      <c r="TTG81" s="21"/>
      <c r="TTH81" s="21"/>
      <c r="TTI81" s="21"/>
      <c r="TTJ81" s="21"/>
      <c r="TTK81" s="20"/>
      <c r="TTL81" s="20"/>
      <c r="TTM81" s="20"/>
      <c r="TTN81" s="20"/>
      <c r="TTO81" s="21"/>
      <c r="TTP81" s="21"/>
      <c r="TTQ81" s="7"/>
      <c r="TTR81" s="7"/>
      <c r="TTS81" s="21"/>
      <c r="TTT81" s="20"/>
      <c r="TTU81" s="20"/>
      <c r="TTV81" s="20"/>
      <c r="TTW81" s="21"/>
      <c r="TTX81" s="21"/>
      <c r="TTY81" s="21"/>
      <c r="TTZ81" s="21"/>
      <c r="TUA81" s="21"/>
      <c r="TUB81" s="20"/>
      <c r="TUC81" s="20"/>
      <c r="TUD81" s="20"/>
      <c r="TUE81" s="20"/>
      <c r="TUF81" s="21"/>
      <c r="TUG81" s="21"/>
      <c r="TUH81" s="7"/>
      <c r="TUI81" s="7"/>
      <c r="TUJ81" s="21"/>
      <c r="TUK81" s="20"/>
      <c r="TUL81" s="20"/>
      <c r="TUM81" s="20"/>
      <c r="TUN81" s="21"/>
      <c r="TUO81" s="21"/>
      <c r="TUP81" s="21"/>
      <c r="TUQ81" s="21"/>
      <c r="TUR81" s="21"/>
      <c r="TUS81" s="20"/>
      <c r="TUT81" s="20"/>
      <c r="TUU81" s="20"/>
      <c r="TUV81" s="20"/>
      <c r="TUW81" s="21"/>
      <c r="TUX81" s="21"/>
      <c r="TUY81" s="7"/>
      <c r="TUZ81" s="7"/>
      <c r="TVA81" s="21"/>
      <c r="TVB81" s="20"/>
      <c r="TVC81" s="20"/>
      <c r="TVD81" s="20"/>
      <c r="TVE81" s="21"/>
      <c r="TVF81" s="21"/>
      <c r="TVG81" s="21"/>
      <c r="TVH81" s="21"/>
      <c r="TVI81" s="21"/>
      <c r="TVJ81" s="20"/>
      <c r="TVK81" s="20"/>
      <c r="TVL81" s="20"/>
      <c r="TVM81" s="20"/>
      <c r="TVN81" s="21"/>
      <c r="TVO81" s="21"/>
      <c r="TVP81" s="7"/>
      <c r="TVQ81" s="7"/>
      <c r="TVR81" s="21"/>
      <c r="TVS81" s="20"/>
      <c r="TVT81" s="20"/>
      <c r="TVU81" s="20"/>
      <c r="TVV81" s="21"/>
      <c r="TVW81" s="21"/>
      <c r="TVX81" s="21"/>
      <c r="TVY81" s="21"/>
      <c r="TVZ81" s="21"/>
      <c r="TWA81" s="20"/>
      <c r="TWB81" s="20"/>
      <c r="TWC81" s="20"/>
      <c r="TWD81" s="20"/>
      <c r="TWE81" s="21"/>
      <c r="TWF81" s="21"/>
      <c r="TWG81" s="7"/>
      <c r="TWH81" s="7"/>
      <c r="TWI81" s="21"/>
      <c r="TWJ81" s="20"/>
      <c r="TWK81" s="20"/>
      <c r="TWL81" s="20"/>
      <c r="TWM81" s="21"/>
      <c r="TWN81" s="21"/>
      <c r="TWO81" s="21"/>
      <c r="TWP81" s="21"/>
      <c r="TWQ81" s="21"/>
      <c r="TWR81" s="20"/>
      <c r="TWS81" s="20"/>
      <c r="TWT81" s="20"/>
      <c r="TWU81" s="20"/>
      <c r="TWV81" s="21"/>
      <c r="TWW81" s="21"/>
      <c r="TWX81" s="7"/>
      <c r="TWY81" s="7"/>
      <c r="TWZ81" s="21"/>
      <c r="TXA81" s="20"/>
      <c r="TXB81" s="20"/>
      <c r="TXC81" s="20"/>
      <c r="TXD81" s="21"/>
      <c r="TXE81" s="21"/>
      <c r="TXF81" s="21"/>
      <c r="TXG81" s="21"/>
      <c r="TXH81" s="21"/>
      <c r="TXI81" s="20"/>
      <c r="TXJ81" s="20"/>
      <c r="TXK81" s="20"/>
      <c r="TXL81" s="20"/>
      <c r="TXM81" s="21"/>
      <c r="TXN81" s="21"/>
      <c r="TXO81" s="7"/>
      <c r="TXP81" s="7"/>
      <c r="TXQ81" s="21"/>
      <c r="TXR81" s="20"/>
      <c r="TXS81" s="20"/>
      <c r="TXT81" s="20"/>
      <c r="TXU81" s="21"/>
      <c r="TXV81" s="21"/>
      <c r="TXW81" s="21"/>
      <c r="TXX81" s="21"/>
      <c r="TXY81" s="21"/>
      <c r="TXZ81" s="20"/>
      <c r="TYA81" s="20"/>
      <c r="TYB81" s="20"/>
      <c r="TYC81" s="20"/>
      <c r="TYD81" s="21"/>
      <c r="TYE81" s="21"/>
      <c r="TYF81" s="7"/>
      <c r="TYG81" s="7"/>
      <c r="TYH81" s="21"/>
      <c r="TYI81" s="20"/>
      <c r="TYJ81" s="20"/>
      <c r="TYK81" s="20"/>
      <c r="TYL81" s="21"/>
      <c r="TYM81" s="21"/>
      <c r="TYN81" s="21"/>
      <c r="TYO81" s="21"/>
      <c r="TYP81" s="21"/>
      <c r="TYQ81" s="20"/>
      <c r="TYR81" s="20"/>
      <c r="TYS81" s="20"/>
      <c r="TYT81" s="20"/>
      <c r="TYU81" s="21"/>
      <c r="TYV81" s="21"/>
      <c r="TYW81" s="7"/>
      <c r="TYX81" s="7"/>
      <c r="TYY81" s="21"/>
      <c r="TYZ81" s="20"/>
      <c r="TZA81" s="20"/>
      <c r="TZB81" s="20"/>
      <c r="TZC81" s="21"/>
      <c r="TZD81" s="21"/>
      <c r="TZE81" s="21"/>
      <c r="TZF81" s="21"/>
      <c r="TZG81" s="21"/>
      <c r="TZH81" s="20"/>
      <c r="TZI81" s="20"/>
      <c r="TZJ81" s="20"/>
      <c r="TZK81" s="20"/>
      <c r="TZL81" s="21"/>
      <c r="TZM81" s="21"/>
      <c r="TZN81" s="7"/>
      <c r="TZO81" s="7"/>
      <c r="TZP81" s="21"/>
      <c r="TZQ81" s="20"/>
      <c r="TZR81" s="20"/>
      <c r="TZS81" s="20"/>
      <c r="TZT81" s="21"/>
      <c r="TZU81" s="21"/>
      <c r="TZV81" s="21"/>
      <c r="TZW81" s="21"/>
      <c r="TZX81" s="21"/>
      <c r="TZY81" s="20"/>
      <c r="TZZ81" s="20"/>
      <c r="UAA81" s="20"/>
      <c r="UAB81" s="20"/>
      <c r="UAC81" s="21"/>
      <c r="UAD81" s="21"/>
      <c r="UAE81" s="7"/>
      <c r="UAF81" s="7"/>
      <c r="UAG81" s="21"/>
      <c r="UAH81" s="20"/>
      <c r="UAI81" s="20"/>
      <c r="UAJ81" s="20"/>
      <c r="UAK81" s="21"/>
      <c r="UAL81" s="21"/>
      <c r="UAM81" s="21"/>
      <c r="UAN81" s="21"/>
      <c r="UAO81" s="21"/>
      <c r="UAP81" s="20"/>
      <c r="UAQ81" s="20"/>
      <c r="UAR81" s="20"/>
      <c r="UAS81" s="20"/>
      <c r="UAT81" s="21"/>
      <c r="UAU81" s="21"/>
      <c r="UAV81" s="7"/>
      <c r="UAW81" s="7"/>
      <c r="UAX81" s="21"/>
      <c r="UAY81" s="20"/>
      <c r="UAZ81" s="20"/>
      <c r="UBA81" s="20"/>
      <c r="UBB81" s="21"/>
      <c r="UBC81" s="21"/>
      <c r="UBD81" s="21"/>
      <c r="UBE81" s="21"/>
      <c r="UBF81" s="21"/>
      <c r="UBG81" s="20"/>
      <c r="UBH81" s="20"/>
      <c r="UBI81" s="20"/>
      <c r="UBJ81" s="20"/>
      <c r="UBK81" s="21"/>
      <c r="UBL81" s="21"/>
      <c r="UBM81" s="7"/>
      <c r="UBN81" s="7"/>
      <c r="UBO81" s="21"/>
      <c r="UBP81" s="20"/>
      <c r="UBQ81" s="20"/>
      <c r="UBR81" s="20"/>
      <c r="UBS81" s="21"/>
      <c r="UBT81" s="21"/>
      <c r="UBU81" s="21"/>
      <c r="UBV81" s="21"/>
      <c r="UBW81" s="21"/>
      <c r="UBX81" s="20"/>
      <c r="UBY81" s="20"/>
      <c r="UBZ81" s="20"/>
      <c r="UCA81" s="20"/>
      <c r="UCB81" s="21"/>
      <c r="UCC81" s="21"/>
      <c r="UCD81" s="7"/>
      <c r="UCE81" s="7"/>
      <c r="UCF81" s="21"/>
      <c r="UCG81" s="20"/>
      <c r="UCH81" s="20"/>
      <c r="UCI81" s="20"/>
      <c r="UCJ81" s="21"/>
      <c r="UCK81" s="21"/>
      <c r="UCL81" s="21"/>
      <c r="UCM81" s="21"/>
      <c r="UCN81" s="21"/>
      <c r="UCO81" s="20"/>
      <c r="UCP81" s="20"/>
      <c r="UCQ81" s="20"/>
      <c r="UCR81" s="20"/>
      <c r="UCS81" s="21"/>
      <c r="UCT81" s="21"/>
      <c r="UCU81" s="7"/>
      <c r="UCV81" s="7"/>
      <c r="UCW81" s="21"/>
      <c r="UCX81" s="20"/>
      <c r="UCY81" s="20"/>
      <c r="UCZ81" s="20"/>
      <c r="UDA81" s="21"/>
      <c r="UDB81" s="21"/>
      <c r="UDC81" s="21"/>
      <c r="UDD81" s="21"/>
      <c r="UDE81" s="21"/>
      <c r="UDF81" s="20"/>
      <c r="UDG81" s="20"/>
      <c r="UDH81" s="20"/>
      <c r="UDI81" s="20"/>
      <c r="UDJ81" s="21"/>
      <c r="UDK81" s="21"/>
      <c r="UDL81" s="7"/>
      <c r="UDM81" s="7"/>
      <c r="UDN81" s="21"/>
      <c r="UDO81" s="20"/>
      <c r="UDP81" s="20"/>
      <c r="UDQ81" s="20"/>
      <c r="UDR81" s="21"/>
      <c r="UDS81" s="21"/>
      <c r="UDT81" s="21"/>
      <c r="UDU81" s="21"/>
      <c r="UDV81" s="21"/>
      <c r="UDW81" s="20"/>
      <c r="UDX81" s="20"/>
      <c r="UDY81" s="20"/>
      <c r="UDZ81" s="20"/>
      <c r="UEA81" s="21"/>
      <c r="UEB81" s="21"/>
      <c r="UEC81" s="7"/>
      <c r="UED81" s="7"/>
      <c r="UEE81" s="21"/>
      <c r="UEF81" s="20"/>
      <c r="UEG81" s="20"/>
      <c r="UEH81" s="20"/>
      <c r="UEI81" s="21"/>
      <c r="UEJ81" s="21"/>
      <c r="UEK81" s="21"/>
      <c r="UEL81" s="21"/>
      <c r="UEM81" s="21"/>
      <c r="UEN81" s="20"/>
      <c r="UEO81" s="20"/>
      <c r="UEP81" s="20"/>
      <c r="UEQ81" s="20"/>
      <c r="UER81" s="21"/>
      <c r="UES81" s="21"/>
      <c r="UET81" s="7"/>
      <c r="UEU81" s="7"/>
      <c r="UEV81" s="21"/>
      <c r="UEW81" s="20"/>
      <c r="UEX81" s="20"/>
      <c r="UEY81" s="20"/>
      <c r="UEZ81" s="21"/>
      <c r="UFA81" s="21"/>
      <c r="UFB81" s="21"/>
      <c r="UFC81" s="21"/>
      <c r="UFD81" s="21"/>
      <c r="UFE81" s="20"/>
      <c r="UFF81" s="20"/>
      <c r="UFG81" s="20"/>
      <c r="UFH81" s="20"/>
      <c r="UFI81" s="21"/>
      <c r="UFJ81" s="21"/>
      <c r="UFK81" s="7"/>
      <c r="UFL81" s="7"/>
      <c r="UFM81" s="21"/>
      <c r="UFN81" s="20"/>
      <c r="UFO81" s="20"/>
      <c r="UFP81" s="20"/>
      <c r="UFQ81" s="21"/>
      <c r="UFR81" s="21"/>
      <c r="UFS81" s="21"/>
      <c r="UFT81" s="21"/>
      <c r="UFU81" s="21"/>
      <c r="UFV81" s="20"/>
      <c r="UFW81" s="20"/>
      <c r="UFX81" s="20"/>
      <c r="UFY81" s="20"/>
      <c r="UFZ81" s="21"/>
      <c r="UGA81" s="21"/>
      <c r="UGB81" s="7"/>
      <c r="UGC81" s="7"/>
      <c r="UGD81" s="21"/>
      <c r="UGE81" s="20"/>
      <c r="UGF81" s="20"/>
      <c r="UGG81" s="20"/>
      <c r="UGH81" s="21"/>
      <c r="UGI81" s="21"/>
      <c r="UGJ81" s="21"/>
      <c r="UGK81" s="21"/>
      <c r="UGL81" s="21"/>
      <c r="UGM81" s="20"/>
      <c r="UGN81" s="20"/>
      <c r="UGO81" s="20"/>
      <c r="UGP81" s="20"/>
      <c r="UGQ81" s="21"/>
      <c r="UGR81" s="21"/>
      <c r="UGS81" s="7"/>
      <c r="UGT81" s="7"/>
      <c r="UGU81" s="21"/>
      <c r="UGV81" s="20"/>
      <c r="UGW81" s="20"/>
      <c r="UGX81" s="20"/>
      <c r="UGY81" s="21"/>
      <c r="UGZ81" s="21"/>
      <c r="UHA81" s="21"/>
      <c r="UHB81" s="21"/>
      <c r="UHC81" s="21"/>
      <c r="UHD81" s="20"/>
      <c r="UHE81" s="20"/>
      <c r="UHF81" s="20"/>
      <c r="UHG81" s="20"/>
      <c r="UHH81" s="21"/>
      <c r="UHI81" s="21"/>
      <c r="UHJ81" s="7"/>
      <c r="UHK81" s="7"/>
      <c r="UHL81" s="21"/>
      <c r="UHM81" s="20"/>
      <c r="UHN81" s="20"/>
      <c r="UHO81" s="20"/>
      <c r="UHP81" s="21"/>
      <c r="UHQ81" s="21"/>
      <c r="UHR81" s="21"/>
      <c r="UHS81" s="21"/>
      <c r="UHT81" s="21"/>
      <c r="UHU81" s="20"/>
      <c r="UHV81" s="20"/>
      <c r="UHW81" s="20"/>
      <c r="UHX81" s="20"/>
      <c r="UHY81" s="21"/>
      <c r="UHZ81" s="21"/>
      <c r="UIA81" s="7"/>
      <c r="UIB81" s="7"/>
      <c r="UIC81" s="21"/>
      <c r="UID81" s="20"/>
      <c r="UIE81" s="20"/>
      <c r="UIF81" s="20"/>
      <c r="UIG81" s="21"/>
      <c r="UIH81" s="21"/>
      <c r="UII81" s="21"/>
      <c r="UIJ81" s="21"/>
      <c r="UIK81" s="21"/>
      <c r="UIL81" s="20"/>
      <c r="UIM81" s="20"/>
      <c r="UIN81" s="20"/>
      <c r="UIO81" s="20"/>
      <c r="UIP81" s="21"/>
      <c r="UIQ81" s="21"/>
      <c r="UIR81" s="7"/>
      <c r="UIS81" s="7"/>
      <c r="UIT81" s="21"/>
      <c r="UIU81" s="20"/>
      <c r="UIV81" s="20"/>
      <c r="UIW81" s="20"/>
      <c r="UIX81" s="21"/>
      <c r="UIY81" s="21"/>
      <c r="UIZ81" s="21"/>
      <c r="UJA81" s="21"/>
      <c r="UJB81" s="21"/>
      <c r="UJC81" s="20"/>
      <c r="UJD81" s="20"/>
      <c r="UJE81" s="20"/>
      <c r="UJF81" s="20"/>
      <c r="UJG81" s="21"/>
      <c r="UJH81" s="21"/>
      <c r="UJI81" s="7"/>
      <c r="UJJ81" s="7"/>
      <c r="UJK81" s="21"/>
      <c r="UJL81" s="20"/>
      <c r="UJM81" s="20"/>
      <c r="UJN81" s="20"/>
      <c r="UJO81" s="21"/>
      <c r="UJP81" s="21"/>
      <c r="UJQ81" s="21"/>
      <c r="UJR81" s="21"/>
      <c r="UJS81" s="21"/>
      <c r="UJT81" s="20"/>
      <c r="UJU81" s="20"/>
      <c r="UJV81" s="20"/>
      <c r="UJW81" s="20"/>
      <c r="UJX81" s="21"/>
      <c r="UJY81" s="21"/>
      <c r="UJZ81" s="7"/>
      <c r="UKA81" s="7"/>
      <c r="UKB81" s="21"/>
      <c r="UKC81" s="20"/>
      <c r="UKD81" s="20"/>
      <c r="UKE81" s="20"/>
      <c r="UKF81" s="21"/>
      <c r="UKG81" s="21"/>
      <c r="UKH81" s="21"/>
      <c r="UKI81" s="21"/>
      <c r="UKJ81" s="21"/>
      <c r="UKK81" s="20"/>
      <c r="UKL81" s="20"/>
      <c r="UKM81" s="20"/>
      <c r="UKN81" s="20"/>
      <c r="UKO81" s="21"/>
      <c r="UKP81" s="21"/>
      <c r="UKQ81" s="7"/>
      <c r="UKR81" s="7"/>
      <c r="UKS81" s="21"/>
      <c r="UKT81" s="20"/>
      <c r="UKU81" s="20"/>
      <c r="UKV81" s="20"/>
      <c r="UKW81" s="21"/>
      <c r="UKX81" s="21"/>
      <c r="UKY81" s="21"/>
      <c r="UKZ81" s="21"/>
      <c r="ULA81" s="21"/>
      <c r="ULB81" s="20"/>
      <c r="ULC81" s="20"/>
      <c r="ULD81" s="20"/>
      <c r="ULE81" s="20"/>
      <c r="ULF81" s="21"/>
      <c r="ULG81" s="21"/>
      <c r="ULH81" s="7"/>
      <c r="ULI81" s="7"/>
      <c r="ULJ81" s="21"/>
      <c r="ULK81" s="20"/>
      <c r="ULL81" s="20"/>
      <c r="ULM81" s="20"/>
      <c r="ULN81" s="21"/>
      <c r="ULO81" s="21"/>
      <c r="ULP81" s="21"/>
      <c r="ULQ81" s="21"/>
      <c r="ULR81" s="21"/>
      <c r="ULS81" s="20"/>
      <c r="ULT81" s="20"/>
      <c r="ULU81" s="20"/>
      <c r="ULV81" s="20"/>
      <c r="ULW81" s="21"/>
      <c r="ULX81" s="21"/>
      <c r="ULY81" s="7"/>
      <c r="ULZ81" s="7"/>
      <c r="UMA81" s="21"/>
      <c r="UMB81" s="20"/>
      <c r="UMC81" s="20"/>
      <c r="UMD81" s="20"/>
      <c r="UME81" s="21"/>
      <c r="UMF81" s="21"/>
      <c r="UMG81" s="21"/>
      <c r="UMH81" s="21"/>
      <c r="UMI81" s="21"/>
      <c r="UMJ81" s="20"/>
      <c r="UMK81" s="20"/>
      <c r="UML81" s="20"/>
      <c r="UMM81" s="20"/>
      <c r="UMN81" s="21"/>
      <c r="UMO81" s="21"/>
      <c r="UMP81" s="7"/>
      <c r="UMQ81" s="7"/>
      <c r="UMR81" s="21"/>
      <c r="UMS81" s="20"/>
      <c r="UMT81" s="20"/>
      <c r="UMU81" s="20"/>
      <c r="UMV81" s="21"/>
      <c r="UMW81" s="21"/>
      <c r="UMX81" s="21"/>
      <c r="UMY81" s="21"/>
      <c r="UMZ81" s="21"/>
      <c r="UNA81" s="20"/>
      <c r="UNB81" s="20"/>
      <c r="UNC81" s="20"/>
      <c r="UND81" s="20"/>
      <c r="UNE81" s="21"/>
      <c r="UNF81" s="21"/>
      <c r="UNG81" s="7"/>
      <c r="UNH81" s="7"/>
      <c r="UNI81" s="21"/>
      <c r="UNJ81" s="20"/>
      <c r="UNK81" s="20"/>
      <c r="UNL81" s="20"/>
      <c r="UNM81" s="21"/>
      <c r="UNN81" s="21"/>
      <c r="UNO81" s="21"/>
      <c r="UNP81" s="21"/>
      <c r="UNQ81" s="21"/>
      <c r="UNR81" s="20"/>
      <c r="UNS81" s="20"/>
      <c r="UNT81" s="20"/>
      <c r="UNU81" s="20"/>
      <c r="UNV81" s="21"/>
      <c r="UNW81" s="21"/>
      <c r="UNX81" s="7"/>
      <c r="UNY81" s="7"/>
      <c r="UNZ81" s="21"/>
      <c r="UOA81" s="20"/>
      <c r="UOB81" s="20"/>
      <c r="UOC81" s="20"/>
      <c r="UOD81" s="21"/>
      <c r="UOE81" s="21"/>
      <c r="UOF81" s="21"/>
      <c r="UOG81" s="21"/>
      <c r="UOH81" s="21"/>
      <c r="UOI81" s="20"/>
      <c r="UOJ81" s="20"/>
      <c r="UOK81" s="20"/>
      <c r="UOL81" s="20"/>
      <c r="UOM81" s="21"/>
      <c r="UON81" s="21"/>
      <c r="UOO81" s="7"/>
      <c r="UOP81" s="7"/>
      <c r="UOQ81" s="21"/>
      <c r="UOR81" s="20"/>
      <c r="UOS81" s="20"/>
      <c r="UOT81" s="20"/>
      <c r="UOU81" s="21"/>
      <c r="UOV81" s="21"/>
      <c r="UOW81" s="21"/>
      <c r="UOX81" s="21"/>
      <c r="UOY81" s="21"/>
      <c r="UOZ81" s="20"/>
      <c r="UPA81" s="20"/>
      <c r="UPB81" s="20"/>
      <c r="UPC81" s="20"/>
      <c r="UPD81" s="21"/>
      <c r="UPE81" s="21"/>
      <c r="UPF81" s="7"/>
      <c r="UPG81" s="7"/>
      <c r="UPH81" s="21"/>
      <c r="UPI81" s="20"/>
      <c r="UPJ81" s="20"/>
      <c r="UPK81" s="20"/>
      <c r="UPL81" s="21"/>
      <c r="UPM81" s="21"/>
      <c r="UPN81" s="21"/>
      <c r="UPO81" s="21"/>
      <c r="UPP81" s="21"/>
      <c r="UPQ81" s="20"/>
      <c r="UPR81" s="20"/>
      <c r="UPS81" s="20"/>
      <c r="UPT81" s="20"/>
      <c r="UPU81" s="21"/>
      <c r="UPV81" s="21"/>
      <c r="UPW81" s="7"/>
      <c r="UPX81" s="7"/>
      <c r="UPY81" s="21"/>
      <c r="UPZ81" s="20"/>
      <c r="UQA81" s="20"/>
      <c r="UQB81" s="20"/>
      <c r="UQC81" s="21"/>
      <c r="UQD81" s="21"/>
      <c r="UQE81" s="21"/>
      <c r="UQF81" s="21"/>
      <c r="UQG81" s="21"/>
      <c r="UQH81" s="20"/>
      <c r="UQI81" s="20"/>
      <c r="UQJ81" s="20"/>
      <c r="UQK81" s="20"/>
      <c r="UQL81" s="21"/>
      <c r="UQM81" s="21"/>
      <c r="UQN81" s="7"/>
      <c r="UQO81" s="7"/>
      <c r="UQP81" s="21"/>
      <c r="UQQ81" s="20"/>
      <c r="UQR81" s="20"/>
      <c r="UQS81" s="20"/>
      <c r="UQT81" s="21"/>
      <c r="UQU81" s="21"/>
      <c r="UQV81" s="21"/>
      <c r="UQW81" s="21"/>
      <c r="UQX81" s="21"/>
      <c r="UQY81" s="20"/>
      <c r="UQZ81" s="20"/>
      <c r="URA81" s="20"/>
      <c r="URB81" s="20"/>
      <c r="URC81" s="21"/>
      <c r="URD81" s="21"/>
      <c r="URE81" s="7"/>
      <c r="URF81" s="7"/>
      <c r="URG81" s="21"/>
      <c r="URH81" s="20"/>
      <c r="URI81" s="20"/>
      <c r="URJ81" s="20"/>
      <c r="URK81" s="21"/>
      <c r="URL81" s="21"/>
      <c r="URM81" s="21"/>
      <c r="URN81" s="21"/>
      <c r="URO81" s="21"/>
      <c r="URP81" s="20"/>
      <c r="URQ81" s="20"/>
      <c r="URR81" s="20"/>
      <c r="URS81" s="20"/>
      <c r="URT81" s="21"/>
      <c r="URU81" s="21"/>
      <c r="URV81" s="7"/>
      <c r="URW81" s="7"/>
      <c r="URX81" s="21"/>
      <c r="URY81" s="20"/>
      <c r="URZ81" s="20"/>
      <c r="USA81" s="20"/>
      <c r="USB81" s="21"/>
      <c r="USC81" s="21"/>
      <c r="USD81" s="21"/>
      <c r="USE81" s="21"/>
      <c r="USF81" s="21"/>
      <c r="USG81" s="20"/>
      <c r="USH81" s="20"/>
      <c r="USI81" s="20"/>
      <c r="USJ81" s="20"/>
      <c r="USK81" s="21"/>
      <c r="USL81" s="21"/>
      <c r="USM81" s="7"/>
      <c r="USN81" s="7"/>
      <c r="USO81" s="21"/>
      <c r="USP81" s="20"/>
      <c r="USQ81" s="20"/>
      <c r="USR81" s="20"/>
      <c r="USS81" s="21"/>
      <c r="UST81" s="21"/>
      <c r="USU81" s="21"/>
      <c r="USV81" s="21"/>
      <c r="USW81" s="21"/>
      <c r="USX81" s="20"/>
      <c r="USY81" s="20"/>
      <c r="USZ81" s="20"/>
      <c r="UTA81" s="20"/>
      <c r="UTB81" s="21"/>
      <c r="UTC81" s="21"/>
      <c r="UTD81" s="7"/>
      <c r="UTE81" s="7"/>
      <c r="UTF81" s="21"/>
      <c r="UTG81" s="20"/>
      <c r="UTH81" s="20"/>
      <c r="UTI81" s="20"/>
      <c r="UTJ81" s="21"/>
      <c r="UTK81" s="21"/>
      <c r="UTL81" s="21"/>
      <c r="UTM81" s="21"/>
      <c r="UTN81" s="21"/>
      <c r="UTO81" s="20"/>
      <c r="UTP81" s="20"/>
      <c r="UTQ81" s="20"/>
      <c r="UTR81" s="20"/>
      <c r="UTS81" s="21"/>
      <c r="UTT81" s="21"/>
      <c r="UTU81" s="7"/>
      <c r="UTV81" s="7"/>
      <c r="UTW81" s="21"/>
      <c r="UTX81" s="20"/>
      <c r="UTY81" s="20"/>
      <c r="UTZ81" s="20"/>
      <c r="UUA81" s="21"/>
      <c r="UUB81" s="21"/>
      <c r="UUC81" s="21"/>
      <c r="UUD81" s="21"/>
      <c r="UUE81" s="21"/>
      <c r="UUF81" s="20"/>
      <c r="UUG81" s="20"/>
      <c r="UUH81" s="20"/>
      <c r="UUI81" s="20"/>
      <c r="UUJ81" s="21"/>
      <c r="UUK81" s="21"/>
      <c r="UUL81" s="7"/>
      <c r="UUM81" s="7"/>
      <c r="UUN81" s="21"/>
      <c r="UUO81" s="20"/>
      <c r="UUP81" s="20"/>
      <c r="UUQ81" s="20"/>
      <c r="UUR81" s="21"/>
      <c r="UUS81" s="21"/>
      <c r="UUT81" s="21"/>
      <c r="UUU81" s="21"/>
      <c r="UUV81" s="21"/>
      <c r="UUW81" s="20"/>
      <c r="UUX81" s="20"/>
      <c r="UUY81" s="20"/>
      <c r="UUZ81" s="20"/>
      <c r="UVA81" s="21"/>
      <c r="UVB81" s="21"/>
      <c r="UVC81" s="7"/>
      <c r="UVD81" s="7"/>
      <c r="UVE81" s="21"/>
      <c r="UVF81" s="20"/>
      <c r="UVG81" s="20"/>
      <c r="UVH81" s="20"/>
      <c r="UVI81" s="21"/>
      <c r="UVJ81" s="21"/>
      <c r="UVK81" s="21"/>
      <c r="UVL81" s="21"/>
      <c r="UVM81" s="21"/>
      <c r="UVN81" s="20"/>
      <c r="UVO81" s="20"/>
      <c r="UVP81" s="20"/>
      <c r="UVQ81" s="20"/>
      <c r="UVR81" s="21"/>
      <c r="UVS81" s="21"/>
      <c r="UVT81" s="7"/>
      <c r="UVU81" s="7"/>
      <c r="UVV81" s="21"/>
      <c r="UVW81" s="20"/>
      <c r="UVX81" s="20"/>
      <c r="UVY81" s="20"/>
      <c r="UVZ81" s="21"/>
      <c r="UWA81" s="21"/>
      <c r="UWB81" s="21"/>
      <c r="UWC81" s="21"/>
      <c r="UWD81" s="21"/>
      <c r="UWE81" s="20"/>
      <c r="UWF81" s="20"/>
      <c r="UWG81" s="20"/>
      <c r="UWH81" s="20"/>
      <c r="UWI81" s="21"/>
      <c r="UWJ81" s="21"/>
      <c r="UWK81" s="7"/>
      <c r="UWL81" s="7"/>
      <c r="UWM81" s="21"/>
      <c r="UWN81" s="20"/>
      <c r="UWO81" s="20"/>
      <c r="UWP81" s="20"/>
      <c r="UWQ81" s="21"/>
      <c r="UWR81" s="21"/>
      <c r="UWS81" s="21"/>
      <c r="UWT81" s="21"/>
      <c r="UWU81" s="21"/>
      <c r="UWV81" s="20"/>
      <c r="UWW81" s="20"/>
      <c r="UWX81" s="20"/>
      <c r="UWY81" s="20"/>
      <c r="UWZ81" s="21"/>
      <c r="UXA81" s="21"/>
      <c r="UXB81" s="7"/>
      <c r="UXC81" s="7"/>
      <c r="UXD81" s="21"/>
      <c r="UXE81" s="20"/>
      <c r="UXF81" s="20"/>
      <c r="UXG81" s="20"/>
      <c r="UXH81" s="21"/>
      <c r="UXI81" s="21"/>
      <c r="UXJ81" s="21"/>
      <c r="UXK81" s="21"/>
      <c r="UXL81" s="21"/>
      <c r="UXM81" s="20"/>
      <c r="UXN81" s="20"/>
      <c r="UXO81" s="20"/>
      <c r="UXP81" s="20"/>
      <c r="UXQ81" s="21"/>
      <c r="UXR81" s="21"/>
      <c r="UXS81" s="7"/>
      <c r="UXT81" s="7"/>
      <c r="UXU81" s="21"/>
      <c r="UXV81" s="20"/>
      <c r="UXW81" s="20"/>
      <c r="UXX81" s="20"/>
      <c r="UXY81" s="21"/>
      <c r="UXZ81" s="21"/>
      <c r="UYA81" s="21"/>
      <c r="UYB81" s="21"/>
      <c r="UYC81" s="21"/>
      <c r="UYD81" s="20"/>
      <c r="UYE81" s="20"/>
      <c r="UYF81" s="20"/>
      <c r="UYG81" s="20"/>
      <c r="UYH81" s="21"/>
      <c r="UYI81" s="21"/>
      <c r="UYJ81" s="7"/>
      <c r="UYK81" s="7"/>
      <c r="UYL81" s="21"/>
      <c r="UYM81" s="20"/>
      <c r="UYN81" s="20"/>
      <c r="UYO81" s="20"/>
      <c r="UYP81" s="21"/>
      <c r="UYQ81" s="21"/>
      <c r="UYR81" s="21"/>
      <c r="UYS81" s="21"/>
      <c r="UYT81" s="21"/>
      <c r="UYU81" s="20"/>
      <c r="UYV81" s="20"/>
      <c r="UYW81" s="20"/>
      <c r="UYX81" s="20"/>
      <c r="UYY81" s="21"/>
      <c r="UYZ81" s="21"/>
      <c r="UZA81" s="7"/>
      <c r="UZB81" s="7"/>
      <c r="UZC81" s="21"/>
      <c r="UZD81" s="20"/>
      <c r="UZE81" s="20"/>
      <c r="UZF81" s="20"/>
      <c r="UZG81" s="21"/>
      <c r="UZH81" s="21"/>
      <c r="UZI81" s="21"/>
      <c r="UZJ81" s="21"/>
      <c r="UZK81" s="21"/>
      <c r="UZL81" s="20"/>
      <c r="UZM81" s="20"/>
      <c r="UZN81" s="20"/>
      <c r="UZO81" s="20"/>
      <c r="UZP81" s="21"/>
      <c r="UZQ81" s="21"/>
      <c r="UZR81" s="7"/>
      <c r="UZS81" s="7"/>
      <c r="UZT81" s="21"/>
      <c r="UZU81" s="20"/>
      <c r="UZV81" s="20"/>
      <c r="UZW81" s="20"/>
      <c r="UZX81" s="21"/>
      <c r="UZY81" s="21"/>
      <c r="UZZ81" s="21"/>
      <c r="VAA81" s="21"/>
      <c r="VAB81" s="21"/>
      <c r="VAC81" s="20"/>
      <c r="VAD81" s="20"/>
      <c r="VAE81" s="20"/>
      <c r="VAF81" s="20"/>
      <c r="VAG81" s="21"/>
      <c r="VAH81" s="21"/>
      <c r="VAI81" s="7"/>
      <c r="VAJ81" s="7"/>
      <c r="VAK81" s="21"/>
      <c r="VAL81" s="20"/>
      <c r="VAM81" s="20"/>
      <c r="VAN81" s="20"/>
      <c r="VAO81" s="21"/>
      <c r="VAP81" s="21"/>
      <c r="VAQ81" s="21"/>
      <c r="VAR81" s="21"/>
      <c r="VAS81" s="21"/>
      <c r="VAT81" s="20"/>
      <c r="VAU81" s="20"/>
      <c r="VAV81" s="20"/>
      <c r="VAW81" s="20"/>
      <c r="VAX81" s="21"/>
      <c r="VAY81" s="21"/>
      <c r="VAZ81" s="7"/>
      <c r="VBA81" s="7"/>
      <c r="VBB81" s="21"/>
      <c r="VBC81" s="20"/>
      <c r="VBD81" s="20"/>
      <c r="VBE81" s="20"/>
      <c r="VBF81" s="21"/>
      <c r="VBG81" s="21"/>
      <c r="VBH81" s="21"/>
      <c r="VBI81" s="21"/>
      <c r="VBJ81" s="21"/>
      <c r="VBK81" s="20"/>
      <c r="VBL81" s="20"/>
      <c r="VBM81" s="20"/>
      <c r="VBN81" s="20"/>
      <c r="VBO81" s="21"/>
      <c r="VBP81" s="21"/>
      <c r="VBQ81" s="7"/>
      <c r="VBR81" s="7"/>
      <c r="VBS81" s="21"/>
      <c r="VBT81" s="20"/>
      <c r="VBU81" s="20"/>
      <c r="VBV81" s="20"/>
      <c r="VBW81" s="21"/>
      <c r="VBX81" s="21"/>
      <c r="VBY81" s="21"/>
      <c r="VBZ81" s="21"/>
      <c r="VCA81" s="21"/>
      <c r="VCB81" s="20"/>
      <c r="VCC81" s="20"/>
      <c r="VCD81" s="20"/>
      <c r="VCE81" s="20"/>
      <c r="VCF81" s="21"/>
      <c r="VCG81" s="21"/>
      <c r="VCH81" s="7"/>
      <c r="VCI81" s="7"/>
      <c r="VCJ81" s="21"/>
      <c r="VCK81" s="20"/>
      <c r="VCL81" s="20"/>
      <c r="VCM81" s="20"/>
      <c r="VCN81" s="21"/>
      <c r="VCO81" s="21"/>
      <c r="VCP81" s="21"/>
      <c r="VCQ81" s="21"/>
      <c r="VCR81" s="21"/>
      <c r="VCS81" s="20"/>
      <c r="VCT81" s="20"/>
      <c r="VCU81" s="20"/>
      <c r="VCV81" s="20"/>
      <c r="VCW81" s="21"/>
      <c r="VCX81" s="21"/>
      <c r="VCY81" s="7"/>
      <c r="VCZ81" s="7"/>
      <c r="VDA81" s="21"/>
      <c r="VDB81" s="20"/>
      <c r="VDC81" s="20"/>
      <c r="VDD81" s="20"/>
      <c r="VDE81" s="21"/>
      <c r="VDF81" s="21"/>
      <c r="VDG81" s="21"/>
      <c r="VDH81" s="21"/>
      <c r="VDI81" s="21"/>
      <c r="VDJ81" s="20"/>
      <c r="VDK81" s="20"/>
      <c r="VDL81" s="20"/>
      <c r="VDM81" s="20"/>
      <c r="VDN81" s="21"/>
      <c r="VDO81" s="21"/>
      <c r="VDP81" s="7"/>
      <c r="VDQ81" s="7"/>
      <c r="VDR81" s="21"/>
      <c r="VDS81" s="20"/>
      <c r="VDT81" s="20"/>
      <c r="VDU81" s="20"/>
      <c r="VDV81" s="21"/>
      <c r="VDW81" s="21"/>
      <c r="VDX81" s="21"/>
      <c r="VDY81" s="21"/>
      <c r="VDZ81" s="21"/>
      <c r="VEA81" s="20"/>
      <c r="VEB81" s="20"/>
      <c r="VEC81" s="20"/>
      <c r="VED81" s="20"/>
      <c r="VEE81" s="21"/>
      <c r="VEF81" s="21"/>
      <c r="VEG81" s="7"/>
      <c r="VEH81" s="7"/>
      <c r="VEI81" s="21"/>
      <c r="VEJ81" s="20"/>
      <c r="VEK81" s="20"/>
      <c r="VEL81" s="20"/>
      <c r="VEM81" s="21"/>
      <c r="VEN81" s="21"/>
      <c r="VEO81" s="21"/>
      <c r="VEP81" s="21"/>
      <c r="VEQ81" s="21"/>
      <c r="VER81" s="20"/>
      <c r="VES81" s="20"/>
      <c r="VET81" s="20"/>
      <c r="VEU81" s="20"/>
      <c r="VEV81" s="21"/>
      <c r="VEW81" s="21"/>
      <c r="VEX81" s="7"/>
      <c r="VEY81" s="7"/>
      <c r="VEZ81" s="21"/>
      <c r="VFA81" s="20"/>
      <c r="VFB81" s="20"/>
      <c r="VFC81" s="20"/>
      <c r="VFD81" s="21"/>
      <c r="VFE81" s="21"/>
      <c r="VFF81" s="21"/>
      <c r="VFG81" s="21"/>
      <c r="VFH81" s="21"/>
      <c r="VFI81" s="20"/>
      <c r="VFJ81" s="20"/>
      <c r="VFK81" s="20"/>
      <c r="VFL81" s="20"/>
      <c r="VFM81" s="21"/>
      <c r="VFN81" s="21"/>
      <c r="VFO81" s="7"/>
      <c r="VFP81" s="7"/>
      <c r="VFQ81" s="21"/>
      <c r="VFR81" s="20"/>
      <c r="VFS81" s="20"/>
      <c r="VFT81" s="20"/>
      <c r="VFU81" s="21"/>
      <c r="VFV81" s="21"/>
      <c r="VFW81" s="21"/>
      <c r="VFX81" s="21"/>
      <c r="VFY81" s="21"/>
      <c r="VFZ81" s="20"/>
      <c r="VGA81" s="20"/>
      <c r="VGB81" s="20"/>
      <c r="VGC81" s="20"/>
      <c r="VGD81" s="21"/>
      <c r="VGE81" s="21"/>
      <c r="VGF81" s="7"/>
      <c r="VGG81" s="7"/>
      <c r="VGH81" s="21"/>
      <c r="VGI81" s="20"/>
      <c r="VGJ81" s="20"/>
      <c r="VGK81" s="20"/>
      <c r="VGL81" s="21"/>
      <c r="VGM81" s="21"/>
      <c r="VGN81" s="21"/>
      <c r="VGO81" s="21"/>
      <c r="VGP81" s="21"/>
      <c r="VGQ81" s="20"/>
      <c r="VGR81" s="20"/>
      <c r="VGS81" s="20"/>
      <c r="VGT81" s="20"/>
      <c r="VGU81" s="21"/>
      <c r="VGV81" s="21"/>
      <c r="VGW81" s="7"/>
      <c r="VGX81" s="7"/>
      <c r="VGY81" s="21"/>
      <c r="VGZ81" s="20"/>
      <c r="VHA81" s="20"/>
      <c r="VHB81" s="20"/>
      <c r="VHC81" s="21"/>
      <c r="VHD81" s="21"/>
      <c r="VHE81" s="21"/>
      <c r="VHF81" s="21"/>
      <c r="VHG81" s="21"/>
      <c r="VHH81" s="20"/>
      <c r="VHI81" s="20"/>
      <c r="VHJ81" s="20"/>
      <c r="VHK81" s="20"/>
      <c r="VHL81" s="21"/>
      <c r="VHM81" s="21"/>
      <c r="VHN81" s="7"/>
      <c r="VHO81" s="7"/>
      <c r="VHP81" s="21"/>
      <c r="VHQ81" s="20"/>
      <c r="VHR81" s="20"/>
      <c r="VHS81" s="20"/>
      <c r="VHT81" s="21"/>
      <c r="VHU81" s="21"/>
      <c r="VHV81" s="21"/>
      <c r="VHW81" s="21"/>
      <c r="VHX81" s="21"/>
      <c r="VHY81" s="20"/>
      <c r="VHZ81" s="20"/>
      <c r="VIA81" s="20"/>
      <c r="VIB81" s="20"/>
      <c r="VIC81" s="21"/>
      <c r="VID81" s="21"/>
      <c r="VIE81" s="7"/>
      <c r="VIF81" s="7"/>
      <c r="VIG81" s="21"/>
      <c r="VIH81" s="20"/>
      <c r="VII81" s="20"/>
      <c r="VIJ81" s="20"/>
      <c r="VIK81" s="21"/>
      <c r="VIL81" s="21"/>
      <c r="VIM81" s="21"/>
      <c r="VIN81" s="21"/>
      <c r="VIO81" s="21"/>
      <c r="VIP81" s="20"/>
      <c r="VIQ81" s="20"/>
      <c r="VIR81" s="20"/>
      <c r="VIS81" s="20"/>
      <c r="VIT81" s="21"/>
      <c r="VIU81" s="21"/>
      <c r="VIV81" s="7"/>
      <c r="VIW81" s="7"/>
      <c r="VIX81" s="21"/>
      <c r="VIY81" s="20"/>
      <c r="VIZ81" s="20"/>
      <c r="VJA81" s="20"/>
      <c r="VJB81" s="21"/>
      <c r="VJC81" s="21"/>
      <c r="VJD81" s="21"/>
      <c r="VJE81" s="21"/>
      <c r="VJF81" s="21"/>
      <c r="VJG81" s="20"/>
      <c r="VJH81" s="20"/>
      <c r="VJI81" s="20"/>
      <c r="VJJ81" s="20"/>
      <c r="VJK81" s="21"/>
      <c r="VJL81" s="21"/>
      <c r="VJM81" s="7"/>
      <c r="VJN81" s="7"/>
      <c r="VJO81" s="21"/>
      <c r="VJP81" s="20"/>
      <c r="VJQ81" s="20"/>
      <c r="VJR81" s="20"/>
      <c r="VJS81" s="21"/>
      <c r="VJT81" s="21"/>
      <c r="VJU81" s="21"/>
      <c r="VJV81" s="21"/>
      <c r="VJW81" s="21"/>
      <c r="VJX81" s="20"/>
      <c r="VJY81" s="20"/>
      <c r="VJZ81" s="20"/>
      <c r="VKA81" s="20"/>
      <c r="VKB81" s="21"/>
      <c r="VKC81" s="21"/>
      <c r="VKD81" s="7"/>
      <c r="VKE81" s="7"/>
      <c r="VKF81" s="21"/>
      <c r="VKG81" s="20"/>
      <c r="VKH81" s="20"/>
      <c r="VKI81" s="20"/>
      <c r="VKJ81" s="21"/>
      <c r="VKK81" s="21"/>
      <c r="VKL81" s="21"/>
      <c r="VKM81" s="21"/>
      <c r="VKN81" s="21"/>
      <c r="VKO81" s="20"/>
      <c r="VKP81" s="20"/>
      <c r="VKQ81" s="20"/>
      <c r="VKR81" s="20"/>
      <c r="VKS81" s="21"/>
      <c r="VKT81" s="21"/>
      <c r="VKU81" s="7"/>
      <c r="VKV81" s="7"/>
      <c r="VKW81" s="21"/>
      <c r="VKX81" s="20"/>
      <c r="VKY81" s="20"/>
      <c r="VKZ81" s="20"/>
      <c r="VLA81" s="21"/>
      <c r="VLB81" s="21"/>
      <c r="VLC81" s="21"/>
      <c r="VLD81" s="21"/>
      <c r="VLE81" s="21"/>
      <c r="VLF81" s="20"/>
      <c r="VLG81" s="20"/>
      <c r="VLH81" s="20"/>
      <c r="VLI81" s="20"/>
      <c r="VLJ81" s="21"/>
      <c r="VLK81" s="21"/>
      <c r="VLL81" s="7"/>
      <c r="VLM81" s="7"/>
      <c r="VLN81" s="21"/>
      <c r="VLO81" s="20"/>
      <c r="VLP81" s="20"/>
      <c r="VLQ81" s="20"/>
      <c r="VLR81" s="21"/>
      <c r="VLS81" s="21"/>
      <c r="VLT81" s="21"/>
      <c r="VLU81" s="21"/>
      <c r="VLV81" s="21"/>
      <c r="VLW81" s="20"/>
      <c r="VLX81" s="20"/>
      <c r="VLY81" s="20"/>
      <c r="VLZ81" s="20"/>
      <c r="VMA81" s="21"/>
      <c r="VMB81" s="21"/>
      <c r="VMC81" s="7"/>
      <c r="VMD81" s="7"/>
      <c r="VME81" s="21"/>
      <c r="VMF81" s="20"/>
      <c r="VMG81" s="20"/>
      <c r="VMH81" s="20"/>
      <c r="VMI81" s="21"/>
      <c r="VMJ81" s="21"/>
      <c r="VMK81" s="21"/>
      <c r="VML81" s="21"/>
      <c r="VMM81" s="21"/>
      <c r="VMN81" s="20"/>
      <c r="VMO81" s="20"/>
      <c r="VMP81" s="20"/>
      <c r="VMQ81" s="20"/>
      <c r="VMR81" s="21"/>
      <c r="VMS81" s="21"/>
      <c r="VMT81" s="7"/>
      <c r="VMU81" s="7"/>
      <c r="VMV81" s="21"/>
      <c r="VMW81" s="20"/>
      <c r="VMX81" s="20"/>
      <c r="VMY81" s="20"/>
      <c r="VMZ81" s="21"/>
      <c r="VNA81" s="21"/>
      <c r="VNB81" s="21"/>
      <c r="VNC81" s="21"/>
      <c r="VND81" s="21"/>
      <c r="VNE81" s="20"/>
      <c r="VNF81" s="20"/>
      <c r="VNG81" s="20"/>
      <c r="VNH81" s="20"/>
      <c r="VNI81" s="21"/>
      <c r="VNJ81" s="21"/>
      <c r="VNK81" s="7"/>
      <c r="VNL81" s="7"/>
      <c r="VNM81" s="21"/>
      <c r="VNN81" s="20"/>
      <c r="VNO81" s="20"/>
      <c r="VNP81" s="20"/>
      <c r="VNQ81" s="21"/>
      <c r="VNR81" s="21"/>
      <c r="VNS81" s="21"/>
      <c r="VNT81" s="21"/>
      <c r="VNU81" s="21"/>
      <c r="VNV81" s="20"/>
      <c r="VNW81" s="20"/>
      <c r="VNX81" s="20"/>
      <c r="VNY81" s="20"/>
      <c r="VNZ81" s="21"/>
      <c r="VOA81" s="21"/>
      <c r="VOB81" s="7"/>
      <c r="VOC81" s="7"/>
      <c r="VOD81" s="21"/>
      <c r="VOE81" s="20"/>
      <c r="VOF81" s="20"/>
      <c r="VOG81" s="20"/>
      <c r="VOH81" s="21"/>
      <c r="VOI81" s="21"/>
      <c r="VOJ81" s="21"/>
      <c r="VOK81" s="21"/>
      <c r="VOL81" s="21"/>
      <c r="VOM81" s="20"/>
      <c r="VON81" s="20"/>
      <c r="VOO81" s="20"/>
      <c r="VOP81" s="20"/>
      <c r="VOQ81" s="21"/>
      <c r="VOR81" s="21"/>
      <c r="VOS81" s="7"/>
      <c r="VOT81" s="7"/>
      <c r="VOU81" s="21"/>
      <c r="VOV81" s="20"/>
      <c r="VOW81" s="20"/>
      <c r="VOX81" s="20"/>
      <c r="VOY81" s="21"/>
      <c r="VOZ81" s="21"/>
      <c r="VPA81" s="21"/>
      <c r="VPB81" s="21"/>
      <c r="VPC81" s="21"/>
      <c r="VPD81" s="20"/>
      <c r="VPE81" s="20"/>
      <c r="VPF81" s="20"/>
      <c r="VPG81" s="20"/>
      <c r="VPH81" s="21"/>
      <c r="VPI81" s="21"/>
      <c r="VPJ81" s="7"/>
      <c r="VPK81" s="7"/>
      <c r="VPL81" s="21"/>
      <c r="VPM81" s="20"/>
      <c r="VPN81" s="20"/>
      <c r="VPO81" s="20"/>
      <c r="VPP81" s="21"/>
      <c r="VPQ81" s="21"/>
      <c r="VPR81" s="21"/>
      <c r="VPS81" s="21"/>
      <c r="VPT81" s="21"/>
      <c r="VPU81" s="20"/>
      <c r="VPV81" s="20"/>
      <c r="VPW81" s="20"/>
      <c r="VPX81" s="20"/>
      <c r="VPY81" s="21"/>
      <c r="VPZ81" s="21"/>
      <c r="VQA81" s="7"/>
      <c r="VQB81" s="7"/>
      <c r="VQC81" s="21"/>
      <c r="VQD81" s="20"/>
      <c r="VQE81" s="20"/>
      <c r="VQF81" s="20"/>
      <c r="VQG81" s="21"/>
      <c r="VQH81" s="21"/>
      <c r="VQI81" s="21"/>
      <c r="VQJ81" s="21"/>
      <c r="VQK81" s="21"/>
      <c r="VQL81" s="20"/>
      <c r="VQM81" s="20"/>
      <c r="VQN81" s="20"/>
      <c r="VQO81" s="20"/>
      <c r="VQP81" s="21"/>
      <c r="VQQ81" s="21"/>
      <c r="VQR81" s="7"/>
      <c r="VQS81" s="7"/>
      <c r="VQT81" s="21"/>
      <c r="VQU81" s="20"/>
      <c r="VQV81" s="20"/>
      <c r="VQW81" s="20"/>
      <c r="VQX81" s="21"/>
      <c r="VQY81" s="21"/>
      <c r="VQZ81" s="21"/>
      <c r="VRA81" s="21"/>
      <c r="VRB81" s="21"/>
      <c r="VRC81" s="20"/>
      <c r="VRD81" s="20"/>
      <c r="VRE81" s="20"/>
      <c r="VRF81" s="20"/>
      <c r="VRG81" s="21"/>
      <c r="VRH81" s="21"/>
      <c r="VRI81" s="7"/>
      <c r="VRJ81" s="7"/>
      <c r="VRK81" s="21"/>
      <c r="VRL81" s="20"/>
      <c r="VRM81" s="20"/>
      <c r="VRN81" s="20"/>
      <c r="VRO81" s="21"/>
      <c r="VRP81" s="21"/>
      <c r="VRQ81" s="21"/>
      <c r="VRR81" s="21"/>
      <c r="VRS81" s="21"/>
      <c r="VRT81" s="20"/>
      <c r="VRU81" s="20"/>
      <c r="VRV81" s="20"/>
      <c r="VRW81" s="20"/>
      <c r="VRX81" s="21"/>
      <c r="VRY81" s="21"/>
      <c r="VRZ81" s="7"/>
      <c r="VSA81" s="7"/>
      <c r="VSB81" s="21"/>
      <c r="VSC81" s="20"/>
      <c r="VSD81" s="20"/>
      <c r="VSE81" s="20"/>
      <c r="VSF81" s="21"/>
      <c r="VSG81" s="21"/>
      <c r="VSH81" s="21"/>
      <c r="VSI81" s="21"/>
      <c r="VSJ81" s="21"/>
      <c r="VSK81" s="20"/>
      <c r="VSL81" s="20"/>
      <c r="VSM81" s="20"/>
      <c r="VSN81" s="20"/>
      <c r="VSO81" s="21"/>
      <c r="VSP81" s="21"/>
      <c r="VSQ81" s="7"/>
      <c r="VSR81" s="7"/>
      <c r="VSS81" s="21"/>
      <c r="VST81" s="20"/>
      <c r="VSU81" s="20"/>
      <c r="VSV81" s="20"/>
      <c r="VSW81" s="21"/>
      <c r="VSX81" s="21"/>
      <c r="VSY81" s="21"/>
      <c r="VSZ81" s="21"/>
      <c r="VTA81" s="21"/>
      <c r="VTB81" s="20"/>
      <c r="VTC81" s="20"/>
      <c r="VTD81" s="20"/>
      <c r="VTE81" s="20"/>
      <c r="VTF81" s="21"/>
      <c r="VTG81" s="21"/>
      <c r="VTH81" s="7"/>
      <c r="VTI81" s="7"/>
      <c r="VTJ81" s="21"/>
      <c r="VTK81" s="20"/>
      <c r="VTL81" s="20"/>
      <c r="VTM81" s="20"/>
      <c r="VTN81" s="21"/>
      <c r="VTO81" s="21"/>
      <c r="VTP81" s="21"/>
      <c r="VTQ81" s="21"/>
      <c r="VTR81" s="21"/>
      <c r="VTS81" s="20"/>
      <c r="VTT81" s="20"/>
      <c r="VTU81" s="20"/>
      <c r="VTV81" s="20"/>
      <c r="VTW81" s="21"/>
      <c r="VTX81" s="21"/>
      <c r="VTY81" s="7"/>
      <c r="VTZ81" s="7"/>
      <c r="VUA81" s="21"/>
      <c r="VUB81" s="20"/>
      <c r="VUC81" s="20"/>
      <c r="VUD81" s="20"/>
      <c r="VUE81" s="21"/>
      <c r="VUF81" s="21"/>
      <c r="VUG81" s="21"/>
      <c r="VUH81" s="21"/>
      <c r="VUI81" s="21"/>
      <c r="VUJ81" s="20"/>
      <c r="VUK81" s="20"/>
      <c r="VUL81" s="20"/>
      <c r="VUM81" s="20"/>
      <c r="VUN81" s="21"/>
      <c r="VUO81" s="21"/>
      <c r="VUP81" s="7"/>
      <c r="VUQ81" s="7"/>
      <c r="VUR81" s="21"/>
      <c r="VUS81" s="20"/>
      <c r="VUT81" s="20"/>
      <c r="VUU81" s="20"/>
      <c r="VUV81" s="21"/>
      <c r="VUW81" s="21"/>
      <c r="VUX81" s="21"/>
      <c r="VUY81" s="21"/>
      <c r="VUZ81" s="21"/>
      <c r="VVA81" s="20"/>
      <c r="VVB81" s="20"/>
      <c r="VVC81" s="20"/>
      <c r="VVD81" s="20"/>
      <c r="VVE81" s="21"/>
      <c r="VVF81" s="21"/>
      <c r="VVG81" s="7"/>
      <c r="VVH81" s="7"/>
      <c r="VVI81" s="21"/>
      <c r="VVJ81" s="20"/>
      <c r="VVK81" s="20"/>
      <c r="VVL81" s="20"/>
      <c r="VVM81" s="21"/>
      <c r="VVN81" s="21"/>
      <c r="VVO81" s="21"/>
      <c r="VVP81" s="21"/>
      <c r="VVQ81" s="21"/>
      <c r="VVR81" s="20"/>
      <c r="VVS81" s="20"/>
      <c r="VVT81" s="20"/>
      <c r="VVU81" s="20"/>
      <c r="VVV81" s="21"/>
      <c r="VVW81" s="21"/>
      <c r="VVX81" s="7"/>
      <c r="VVY81" s="7"/>
      <c r="VVZ81" s="21"/>
      <c r="VWA81" s="20"/>
      <c r="VWB81" s="20"/>
      <c r="VWC81" s="20"/>
      <c r="VWD81" s="21"/>
      <c r="VWE81" s="21"/>
      <c r="VWF81" s="21"/>
      <c r="VWG81" s="21"/>
      <c r="VWH81" s="21"/>
      <c r="VWI81" s="20"/>
      <c r="VWJ81" s="20"/>
      <c r="VWK81" s="20"/>
      <c r="VWL81" s="20"/>
      <c r="VWM81" s="21"/>
      <c r="VWN81" s="21"/>
      <c r="VWO81" s="7"/>
      <c r="VWP81" s="7"/>
      <c r="VWQ81" s="21"/>
      <c r="VWR81" s="20"/>
      <c r="VWS81" s="20"/>
      <c r="VWT81" s="20"/>
      <c r="VWU81" s="21"/>
      <c r="VWV81" s="21"/>
      <c r="VWW81" s="21"/>
      <c r="VWX81" s="21"/>
      <c r="VWY81" s="21"/>
      <c r="VWZ81" s="20"/>
      <c r="VXA81" s="20"/>
      <c r="VXB81" s="20"/>
      <c r="VXC81" s="20"/>
      <c r="VXD81" s="21"/>
      <c r="VXE81" s="21"/>
      <c r="VXF81" s="7"/>
      <c r="VXG81" s="7"/>
      <c r="VXH81" s="21"/>
      <c r="VXI81" s="20"/>
      <c r="VXJ81" s="20"/>
      <c r="VXK81" s="20"/>
      <c r="VXL81" s="21"/>
      <c r="VXM81" s="21"/>
      <c r="VXN81" s="21"/>
      <c r="VXO81" s="21"/>
      <c r="VXP81" s="21"/>
      <c r="VXQ81" s="20"/>
      <c r="VXR81" s="20"/>
      <c r="VXS81" s="20"/>
      <c r="VXT81" s="20"/>
      <c r="VXU81" s="21"/>
      <c r="VXV81" s="21"/>
      <c r="VXW81" s="7"/>
      <c r="VXX81" s="7"/>
      <c r="VXY81" s="21"/>
      <c r="VXZ81" s="20"/>
      <c r="VYA81" s="20"/>
      <c r="VYB81" s="20"/>
      <c r="VYC81" s="21"/>
      <c r="VYD81" s="21"/>
      <c r="VYE81" s="21"/>
      <c r="VYF81" s="21"/>
      <c r="VYG81" s="21"/>
      <c r="VYH81" s="20"/>
      <c r="VYI81" s="20"/>
      <c r="VYJ81" s="20"/>
      <c r="VYK81" s="20"/>
      <c r="VYL81" s="21"/>
      <c r="VYM81" s="21"/>
      <c r="VYN81" s="7"/>
      <c r="VYO81" s="7"/>
      <c r="VYP81" s="21"/>
      <c r="VYQ81" s="20"/>
      <c r="VYR81" s="20"/>
      <c r="VYS81" s="20"/>
      <c r="VYT81" s="21"/>
      <c r="VYU81" s="21"/>
      <c r="VYV81" s="21"/>
      <c r="VYW81" s="21"/>
      <c r="VYX81" s="21"/>
      <c r="VYY81" s="20"/>
      <c r="VYZ81" s="20"/>
      <c r="VZA81" s="20"/>
      <c r="VZB81" s="20"/>
      <c r="VZC81" s="21"/>
      <c r="VZD81" s="21"/>
      <c r="VZE81" s="7"/>
      <c r="VZF81" s="7"/>
      <c r="VZG81" s="21"/>
      <c r="VZH81" s="20"/>
      <c r="VZI81" s="20"/>
      <c r="VZJ81" s="20"/>
      <c r="VZK81" s="21"/>
      <c r="VZL81" s="21"/>
      <c r="VZM81" s="21"/>
      <c r="VZN81" s="21"/>
      <c r="VZO81" s="21"/>
      <c r="VZP81" s="20"/>
      <c r="VZQ81" s="20"/>
      <c r="VZR81" s="20"/>
      <c r="VZS81" s="20"/>
      <c r="VZT81" s="21"/>
      <c r="VZU81" s="21"/>
      <c r="VZV81" s="7"/>
      <c r="VZW81" s="7"/>
      <c r="VZX81" s="21"/>
      <c r="VZY81" s="20"/>
      <c r="VZZ81" s="20"/>
      <c r="WAA81" s="20"/>
      <c r="WAB81" s="21"/>
      <c r="WAC81" s="21"/>
      <c r="WAD81" s="21"/>
      <c r="WAE81" s="21"/>
      <c r="WAF81" s="21"/>
      <c r="WAG81" s="20"/>
      <c r="WAH81" s="20"/>
      <c r="WAI81" s="20"/>
      <c r="WAJ81" s="20"/>
      <c r="WAK81" s="21"/>
      <c r="WAL81" s="21"/>
      <c r="WAM81" s="7"/>
      <c r="WAN81" s="7"/>
      <c r="WAO81" s="21"/>
      <c r="WAP81" s="20"/>
      <c r="WAQ81" s="20"/>
      <c r="WAR81" s="20"/>
      <c r="WAS81" s="21"/>
      <c r="WAT81" s="21"/>
      <c r="WAU81" s="21"/>
      <c r="WAV81" s="21"/>
      <c r="WAW81" s="21"/>
      <c r="WAX81" s="20"/>
      <c r="WAY81" s="20"/>
      <c r="WAZ81" s="20"/>
      <c r="WBA81" s="20"/>
      <c r="WBB81" s="21"/>
      <c r="WBC81" s="21"/>
      <c r="WBD81" s="7"/>
      <c r="WBE81" s="7"/>
      <c r="WBF81" s="21"/>
      <c r="WBG81" s="20"/>
      <c r="WBH81" s="20"/>
      <c r="WBI81" s="20"/>
      <c r="WBJ81" s="21"/>
      <c r="WBK81" s="21"/>
      <c r="WBL81" s="21"/>
      <c r="WBM81" s="21"/>
      <c r="WBN81" s="21"/>
      <c r="WBO81" s="20"/>
      <c r="WBP81" s="20"/>
      <c r="WBQ81" s="20"/>
      <c r="WBR81" s="20"/>
      <c r="WBS81" s="21"/>
      <c r="WBT81" s="21"/>
      <c r="WBU81" s="7"/>
      <c r="WBV81" s="7"/>
      <c r="WBW81" s="21"/>
      <c r="WBX81" s="20"/>
      <c r="WBY81" s="20"/>
      <c r="WBZ81" s="20"/>
      <c r="WCA81" s="21"/>
      <c r="WCB81" s="21"/>
      <c r="WCC81" s="21"/>
      <c r="WCD81" s="21"/>
      <c r="WCE81" s="21"/>
      <c r="WCF81" s="20"/>
      <c r="WCG81" s="20"/>
      <c r="WCH81" s="20"/>
      <c r="WCI81" s="20"/>
      <c r="WCJ81" s="21"/>
      <c r="WCK81" s="21"/>
      <c r="WCL81" s="7"/>
      <c r="WCM81" s="7"/>
      <c r="WCN81" s="21"/>
      <c r="WCO81" s="20"/>
      <c r="WCP81" s="20"/>
      <c r="WCQ81" s="20"/>
      <c r="WCR81" s="21"/>
      <c r="WCS81" s="21"/>
      <c r="WCT81" s="21"/>
      <c r="WCU81" s="21"/>
      <c r="WCV81" s="21"/>
      <c r="WCW81" s="20"/>
      <c r="WCX81" s="20"/>
      <c r="WCY81" s="20"/>
      <c r="WCZ81" s="20"/>
      <c r="WDA81" s="21"/>
      <c r="WDB81" s="21"/>
      <c r="WDC81" s="7"/>
      <c r="WDD81" s="7"/>
      <c r="WDE81" s="21"/>
      <c r="WDF81" s="20"/>
      <c r="WDG81" s="20"/>
      <c r="WDH81" s="20"/>
      <c r="WDI81" s="21"/>
      <c r="WDJ81" s="21"/>
      <c r="WDK81" s="21"/>
      <c r="WDL81" s="21"/>
      <c r="WDM81" s="21"/>
      <c r="WDN81" s="20"/>
      <c r="WDO81" s="20"/>
      <c r="WDP81" s="20"/>
      <c r="WDQ81" s="20"/>
      <c r="WDR81" s="21"/>
      <c r="WDS81" s="21"/>
      <c r="WDT81" s="7"/>
      <c r="WDU81" s="7"/>
      <c r="WDV81" s="21"/>
      <c r="WDW81" s="20"/>
      <c r="WDX81" s="20"/>
      <c r="WDY81" s="20"/>
      <c r="WDZ81" s="21"/>
      <c r="WEA81" s="21"/>
      <c r="WEB81" s="21"/>
      <c r="WEC81" s="21"/>
      <c r="WED81" s="21"/>
      <c r="WEE81" s="20"/>
      <c r="WEF81" s="20"/>
      <c r="WEG81" s="20"/>
      <c r="WEH81" s="20"/>
      <c r="WEI81" s="21"/>
      <c r="WEJ81" s="21"/>
      <c r="WEK81" s="7"/>
      <c r="WEL81" s="7"/>
      <c r="WEM81" s="21"/>
      <c r="WEN81" s="20"/>
      <c r="WEO81" s="20"/>
      <c r="WEP81" s="20"/>
      <c r="WEQ81" s="21"/>
      <c r="WER81" s="21"/>
      <c r="WES81" s="21"/>
      <c r="WET81" s="21"/>
      <c r="WEU81" s="21"/>
      <c r="WEV81" s="20"/>
      <c r="WEW81" s="20"/>
      <c r="WEX81" s="20"/>
      <c r="WEY81" s="20"/>
      <c r="WEZ81" s="21"/>
      <c r="WFA81" s="21"/>
      <c r="WFB81" s="7"/>
      <c r="WFC81" s="7"/>
      <c r="WFD81" s="21"/>
      <c r="WFE81" s="20"/>
      <c r="WFF81" s="20"/>
      <c r="WFG81" s="20"/>
      <c r="WFH81" s="21"/>
      <c r="WFI81" s="21"/>
      <c r="WFJ81" s="21"/>
      <c r="WFK81" s="21"/>
      <c r="WFL81" s="21"/>
      <c r="WFM81" s="20"/>
      <c r="WFN81" s="20"/>
      <c r="WFO81" s="20"/>
      <c r="WFP81" s="20"/>
      <c r="WFQ81" s="21"/>
      <c r="WFR81" s="21"/>
      <c r="WFS81" s="7"/>
      <c r="WFT81" s="7"/>
      <c r="WFU81" s="21"/>
      <c r="WFV81" s="20"/>
      <c r="WFW81" s="20"/>
      <c r="WFX81" s="20"/>
      <c r="WFY81" s="21"/>
      <c r="WFZ81" s="21"/>
      <c r="WGA81" s="21"/>
      <c r="WGB81" s="21"/>
      <c r="WGC81" s="21"/>
      <c r="WGD81" s="20"/>
      <c r="WGE81" s="20"/>
      <c r="WGF81" s="20"/>
      <c r="WGG81" s="20"/>
      <c r="WGH81" s="21"/>
      <c r="WGI81" s="21"/>
      <c r="WGJ81" s="7"/>
      <c r="WGK81" s="7"/>
      <c r="WGL81" s="21"/>
      <c r="WGM81" s="20"/>
      <c r="WGN81" s="20"/>
      <c r="WGO81" s="20"/>
      <c r="WGP81" s="21"/>
      <c r="WGQ81" s="21"/>
      <c r="WGR81" s="21"/>
      <c r="WGS81" s="21"/>
      <c r="WGT81" s="21"/>
      <c r="WGU81" s="20"/>
      <c r="WGV81" s="20"/>
      <c r="WGW81" s="20"/>
      <c r="WGX81" s="20"/>
      <c r="WGY81" s="21"/>
      <c r="WGZ81" s="21"/>
      <c r="WHA81" s="7"/>
      <c r="WHB81" s="7"/>
      <c r="WHC81" s="21"/>
      <c r="WHD81" s="20"/>
      <c r="WHE81" s="20"/>
      <c r="WHF81" s="20"/>
      <c r="WHG81" s="21"/>
      <c r="WHH81" s="21"/>
      <c r="WHI81" s="21"/>
      <c r="WHJ81" s="21"/>
      <c r="WHK81" s="21"/>
      <c r="WHL81" s="20"/>
      <c r="WHM81" s="20"/>
      <c r="WHN81" s="20"/>
      <c r="WHO81" s="20"/>
      <c r="WHP81" s="21"/>
      <c r="WHQ81" s="21"/>
      <c r="WHR81" s="7"/>
      <c r="WHS81" s="7"/>
      <c r="WHT81" s="21"/>
      <c r="WHU81" s="20"/>
      <c r="WHV81" s="20"/>
      <c r="WHW81" s="20"/>
      <c r="WHX81" s="21"/>
      <c r="WHY81" s="21"/>
      <c r="WHZ81" s="21"/>
      <c r="WIA81" s="21"/>
      <c r="WIB81" s="21"/>
      <c r="WIC81" s="20"/>
      <c r="WID81" s="20"/>
      <c r="WIE81" s="20"/>
      <c r="WIF81" s="20"/>
      <c r="WIG81" s="21"/>
      <c r="WIH81" s="21"/>
      <c r="WII81" s="7"/>
      <c r="WIJ81" s="7"/>
      <c r="WIK81" s="21"/>
      <c r="WIL81" s="20"/>
      <c r="WIM81" s="20"/>
      <c r="WIN81" s="20"/>
      <c r="WIO81" s="21"/>
      <c r="WIP81" s="21"/>
      <c r="WIQ81" s="21"/>
      <c r="WIR81" s="21"/>
      <c r="WIS81" s="21"/>
      <c r="WIT81" s="20"/>
      <c r="WIU81" s="20"/>
      <c r="WIV81" s="20"/>
      <c r="WIW81" s="20"/>
      <c r="WIX81" s="21"/>
      <c r="WIY81" s="21"/>
      <c r="WIZ81" s="7"/>
      <c r="WJA81" s="7"/>
      <c r="WJB81" s="21"/>
      <c r="WJC81" s="20"/>
      <c r="WJD81" s="20"/>
      <c r="WJE81" s="20"/>
      <c r="WJF81" s="21"/>
      <c r="WJG81" s="21"/>
      <c r="WJH81" s="21"/>
      <c r="WJI81" s="21"/>
      <c r="WJJ81" s="21"/>
      <c r="WJK81" s="20"/>
      <c r="WJL81" s="20"/>
      <c r="WJM81" s="20"/>
      <c r="WJN81" s="20"/>
      <c r="WJO81" s="21"/>
      <c r="WJP81" s="21"/>
      <c r="WJQ81" s="7"/>
      <c r="WJR81" s="7"/>
      <c r="WJS81" s="21"/>
      <c r="WJT81" s="20"/>
      <c r="WJU81" s="20"/>
      <c r="WJV81" s="20"/>
      <c r="WJW81" s="21"/>
      <c r="WJX81" s="21"/>
      <c r="WJY81" s="21"/>
      <c r="WJZ81" s="21"/>
      <c r="WKA81" s="21"/>
      <c r="WKB81" s="20"/>
      <c r="WKC81" s="20"/>
      <c r="WKD81" s="20"/>
      <c r="WKE81" s="20"/>
      <c r="WKF81" s="21"/>
      <c r="WKG81" s="21"/>
      <c r="WKH81" s="7"/>
      <c r="WKI81" s="7"/>
      <c r="WKJ81" s="21"/>
      <c r="WKK81" s="20"/>
      <c r="WKL81" s="20"/>
      <c r="WKM81" s="20"/>
      <c r="WKN81" s="21"/>
      <c r="WKO81" s="21"/>
      <c r="WKP81" s="21"/>
      <c r="WKQ81" s="21"/>
      <c r="WKR81" s="21"/>
      <c r="WKS81" s="20"/>
      <c r="WKT81" s="20"/>
      <c r="WKU81" s="20"/>
      <c r="WKV81" s="20"/>
      <c r="WKW81" s="21"/>
      <c r="WKX81" s="21"/>
      <c r="WKY81" s="7"/>
      <c r="WKZ81" s="7"/>
      <c r="WLA81" s="21"/>
      <c r="WLB81" s="20"/>
      <c r="WLC81" s="20"/>
      <c r="WLD81" s="20"/>
      <c r="WLE81" s="21"/>
      <c r="WLF81" s="21"/>
      <c r="WLG81" s="21"/>
      <c r="WLH81" s="21"/>
      <c r="WLI81" s="21"/>
      <c r="WLJ81" s="20"/>
      <c r="WLK81" s="20"/>
      <c r="WLL81" s="20"/>
      <c r="WLM81" s="20"/>
      <c r="WLN81" s="21"/>
      <c r="WLO81" s="21"/>
      <c r="WLP81" s="7"/>
      <c r="WLQ81" s="7"/>
      <c r="WLR81" s="21"/>
      <c r="WLS81" s="20"/>
      <c r="WLT81" s="20"/>
      <c r="WLU81" s="20"/>
      <c r="WLV81" s="21"/>
      <c r="WLW81" s="21"/>
      <c r="WLX81" s="21"/>
      <c r="WLY81" s="21"/>
      <c r="WLZ81" s="21"/>
      <c r="WMA81" s="20"/>
      <c r="WMB81" s="20"/>
      <c r="WMC81" s="20"/>
      <c r="WMD81" s="20"/>
      <c r="WME81" s="21"/>
      <c r="WMF81" s="21"/>
      <c r="WMG81" s="7"/>
      <c r="WMH81" s="7"/>
      <c r="WMI81" s="21"/>
      <c r="WMJ81" s="20"/>
      <c r="WMK81" s="20"/>
      <c r="WML81" s="20"/>
      <c r="WMM81" s="21"/>
      <c r="WMN81" s="21"/>
      <c r="WMO81" s="21"/>
      <c r="WMP81" s="21"/>
      <c r="WMQ81" s="21"/>
      <c r="WMR81" s="20"/>
      <c r="WMS81" s="20"/>
      <c r="WMT81" s="20"/>
      <c r="WMU81" s="20"/>
      <c r="WMV81" s="21"/>
      <c r="WMW81" s="21"/>
      <c r="WMX81" s="7"/>
      <c r="WMY81" s="7"/>
      <c r="WMZ81" s="21"/>
      <c r="WNA81" s="20"/>
      <c r="WNB81" s="20"/>
      <c r="WNC81" s="20"/>
      <c r="WND81" s="21"/>
      <c r="WNE81" s="21"/>
      <c r="WNF81" s="21"/>
      <c r="WNG81" s="21"/>
      <c r="WNH81" s="21"/>
      <c r="WNI81" s="20"/>
      <c r="WNJ81" s="20"/>
      <c r="WNK81" s="20"/>
      <c r="WNL81" s="20"/>
      <c r="WNM81" s="21"/>
      <c r="WNN81" s="21"/>
      <c r="WNO81" s="7"/>
      <c r="WNP81" s="7"/>
      <c r="WNQ81" s="21"/>
      <c r="WNR81" s="20"/>
      <c r="WNS81" s="20"/>
      <c r="WNT81" s="20"/>
      <c r="WNU81" s="21"/>
      <c r="WNV81" s="21"/>
      <c r="WNW81" s="21"/>
      <c r="WNX81" s="21"/>
      <c r="WNY81" s="21"/>
      <c r="WNZ81" s="20"/>
      <c r="WOA81" s="20"/>
      <c r="WOB81" s="20"/>
      <c r="WOC81" s="20"/>
      <c r="WOD81" s="21"/>
      <c r="WOE81" s="21"/>
      <c r="WOF81" s="7"/>
      <c r="WOG81" s="7"/>
      <c r="WOH81" s="21"/>
      <c r="WOI81" s="20"/>
      <c r="WOJ81" s="20"/>
      <c r="WOK81" s="20"/>
      <c r="WOL81" s="21"/>
      <c r="WOM81" s="21"/>
      <c r="WON81" s="21"/>
      <c r="WOO81" s="21"/>
      <c r="WOP81" s="21"/>
      <c r="WOQ81" s="20"/>
      <c r="WOR81" s="20"/>
      <c r="WOS81" s="20"/>
      <c r="WOT81" s="20"/>
      <c r="WOU81" s="21"/>
      <c r="WOV81" s="21"/>
      <c r="WOW81" s="7"/>
      <c r="WOX81" s="7"/>
      <c r="WOY81" s="21"/>
      <c r="WOZ81" s="20"/>
      <c r="WPA81" s="20"/>
      <c r="WPB81" s="20"/>
      <c r="WPC81" s="21"/>
      <c r="WPD81" s="21"/>
      <c r="WPE81" s="21"/>
      <c r="WPF81" s="21"/>
      <c r="WPG81" s="21"/>
      <c r="WPH81" s="20"/>
      <c r="WPI81" s="20"/>
      <c r="WPJ81" s="20"/>
      <c r="WPK81" s="20"/>
      <c r="WPL81" s="21"/>
      <c r="WPM81" s="21"/>
      <c r="WPN81" s="7"/>
      <c r="WPO81" s="7"/>
      <c r="WPP81" s="21"/>
      <c r="WPQ81" s="20"/>
      <c r="WPR81" s="20"/>
      <c r="WPS81" s="20"/>
      <c r="WPT81" s="21"/>
      <c r="WPU81" s="21"/>
      <c r="WPV81" s="21"/>
      <c r="WPW81" s="21"/>
      <c r="WPX81" s="21"/>
      <c r="WPY81" s="20"/>
      <c r="WPZ81" s="20"/>
      <c r="WQA81" s="20"/>
      <c r="WQB81" s="20"/>
      <c r="WQC81" s="21"/>
      <c r="WQD81" s="21"/>
      <c r="WQE81" s="7"/>
      <c r="WQF81" s="7"/>
      <c r="WQG81" s="21"/>
      <c r="WQH81" s="20"/>
      <c r="WQI81" s="20"/>
      <c r="WQJ81" s="20"/>
      <c r="WQK81" s="21"/>
      <c r="WQL81" s="21"/>
      <c r="WQM81" s="21"/>
      <c r="WQN81" s="21"/>
      <c r="WQO81" s="21"/>
      <c r="WQP81" s="20"/>
      <c r="WQQ81" s="20"/>
      <c r="WQR81" s="20"/>
      <c r="WQS81" s="20"/>
      <c r="WQT81" s="21"/>
      <c r="WQU81" s="21"/>
      <c r="WQV81" s="7"/>
      <c r="WQW81" s="7"/>
      <c r="WQX81" s="21"/>
      <c r="WQY81" s="20"/>
      <c r="WQZ81" s="20"/>
      <c r="WRA81" s="20"/>
      <c r="WRB81" s="21"/>
      <c r="WRC81" s="21"/>
      <c r="WRD81" s="21"/>
      <c r="WRE81" s="21"/>
      <c r="WRF81" s="21"/>
      <c r="WRG81" s="20"/>
      <c r="WRH81" s="20"/>
      <c r="WRI81" s="20"/>
      <c r="WRJ81" s="20"/>
      <c r="WRK81" s="21"/>
      <c r="WRL81" s="21"/>
      <c r="WRM81" s="7"/>
      <c r="WRN81" s="7"/>
      <c r="WRO81" s="21"/>
      <c r="WRP81" s="20"/>
      <c r="WRQ81" s="20"/>
      <c r="WRR81" s="20"/>
      <c r="WRS81" s="21"/>
      <c r="WRT81" s="21"/>
      <c r="WRU81" s="21"/>
      <c r="WRV81" s="21"/>
      <c r="WRW81" s="21"/>
      <c r="WRX81" s="20"/>
      <c r="WRY81" s="20"/>
      <c r="WRZ81" s="20"/>
      <c r="WSA81" s="20"/>
      <c r="WSB81" s="21"/>
      <c r="WSC81" s="21"/>
      <c r="WSD81" s="7"/>
      <c r="WSE81" s="7"/>
      <c r="WSF81" s="21"/>
      <c r="WSG81" s="20"/>
      <c r="WSH81" s="20"/>
      <c r="WSI81" s="20"/>
      <c r="WSJ81" s="21"/>
      <c r="WSK81" s="21"/>
      <c r="WSL81" s="21"/>
      <c r="WSM81" s="21"/>
      <c r="WSN81" s="21"/>
      <c r="WSO81" s="20"/>
      <c r="WSP81" s="20"/>
      <c r="WSQ81" s="20"/>
      <c r="WSR81" s="20"/>
      <c r="WSS81" s="21"/>
      <c r="WST81" s="21"/>
      <c r="WSU81" s="7"/>
      <c r="WSV81" s="7"/>
      <c r="WSW81" s="21"/>
      <c r="WSX81" s="20"/>
      <c r="WSY81" s="20"/>
      <c r="WSZ81" s="20"/>
      <c r="WTA81" s="21"/>
      <c r="WTB81" s="21"/>
      <c r="WTC81" s="21"/>
      <c r="WTD81" s="21"/>
      <c r="WTE81" s="21"/>
      <c r="WTF81" s="20"/>
      <c r="WTG81" s="20"/>
      <c r="WTH81" s="20"/>
      <c r="WTI81" s="20"/>
      <c r="WTJ81" s="21"/>
      <c r="WTK81" s="21"/>
      <c r="WTL81" s="7"/>
      <c r="WTM81" s="7"/>
      <c r="WTN81" s="21"/>
      <c r="WTO81" s="20"/>
      <c r="WTP81" s="20"/>
      <c r="WTQ81" s="20"/>
      <c r="WTR81" s="21"/>
      <c r="WTS81" s="21"/>
      <c r="WTT81" s="21"/>
      <c r="WTU81" s="21"/>
      <c r="WTV81" s="21"/>
      <c r="WTW81" s="20"/>
      <c r="WTX81" s="20"/>
      <c r="WTY81" s="20"/>
      <c r="WTZ81" s="20"/>
      <c r="WUA81" s="21"/>
      <c r="WUB81" s="21"/>
      <c r="WUC81" s="7"/>
      <c r="WUD81" s="7"/>
      <c r="WUE81" s="21"/>
      <c r="WUF81" s="20"/>
      <c r="WUG81" s="20"/>
      <c r="WUH81" s="20"/>
      <c r="WUI81" s="21"/>
      <c r="WUJ81" s="21"/>
      <c r="WUK81" s="21"/>
      <c r="WUL81" s="21"/>
      <c r="WUM81" s="21"/>
      <c r="WUN81" s="20"/>
      <c r="WUO81" s="20"/>
      <c r="WUP81" s="20"/>
      <c r="WUQ81" s="20"/>
      <c r="WUR81" s="21"/>
      <c r="WUS81" s="21"/>
      <c r="WUT81" s="7"/>
      <c r="WUU81" s="7"/>
      <c r="WUV81" s="21"/>
      <c r="WUW81" s="20"/>
      <c r="WUX81" s="20"/>
      <c r="WUY81" s="20"/>
      <c r="WUZ81" s="21"/>
      <c r="WVA81" s="21"/>
      <c r="WVB81" s="21"/>
      <c r="WVC81" s="21"/>
      <c r="WVD81" s="21"/>
      <c r="WVE81" s="20"/>
      <c r="WVF81" s="20"/>
      <c r="WVG81" s="20"/>
      <c r="WVH81" s="20"/>
      <c r="WVI81" s="21"/>
      <c r="WVJ81" s="21"/>
      <c r="WVK81" s="7"/>
      <c r="WVL81" s="7"/>
      <c r="WVM81" s="21"/>
      <c r="WVN81" s="20"/>
      <c r="WVO81" s="20"/>
      <c r="WVP81" s="20"/>
      <c r="WVQ81" s="21"/>
      <c r="WVR81" s="21"/>
      <c r="WVS81" s="21"/>
      <c r="WVT81" s="21"/>
      <c r="WVU81" s="21"/>
      <c r="WVV81" s="20"/>
      <c r="WVW81" s="20"/>
      <c r="WVX81" s="20"/>
      <c r="WVY81" s="20"/>
      <c r="WVZ81" s="21"/>
      <c r="WWA81" s="21"/>
      <c r="WWB81" s="7"/>
      <c r="WWC81" s="7"/>
      <c r="WWD81" s="21"/>
      <c r="WWE81" s="20"/>
      <c r="WWF81" s="20"/>
      <c r="WWG81" s="20"/>
      <c r="WWH81" s="21"/>
      <c r="WWI81" s="21"/>
      <c r="WWJ81" s="21"/>
      <c r="WWK81" s="21"/>
      <c r="WWL81" s="21"/>
      <c r="WWM81" s="20"/>
      <c r="WWN81" s="20"/>
      <c r="WWO81" s="20"/>
      <c r="WWP81" s="20"/>
      <c r="WWQ81" s="21"/>
      <c r="WWR81" s="21"/>
      <c r="WWS81" s="7"/>
      <c r="WWT81" s="7"/>
      <c r="WWU81" s="21"/>
      <c r="WWV81" s="20"/>
      <c r="WWW81" s="20"/>
      <c r="WWX81" s="20"/>
      <c r="WWY81" s="21"/>
      <c r="WWZ81" s="21"/>
      <c r="WXA81" s="21"/>
      <c r="WXB81" s="21"/>
      <c r="WXC81" s="21"/>
      <c r="WXD81" s="20"/>
      <c r="WXE81" s="20"/>
      <c r="WXF81" s="20"/>
      <c r="WXG81" s="20"/>
      <c r="WXH81" s="21"/>
      <c r="WXI81" s="21"/>
      <c r="WXJ81" s="7"/>
      <c r="WXK81" s="7"/>
      <c r="WXL81" s="21"/>
      <c r="WXM81" s="20"/>
      <c r="WXN81" s="20"/>
      <c r="WXO81" s="20"/>
      <c r="WXP81" s="21"/>
      <c r="WXQ81" s="21"/>
      <c r="WXR81" s="21"/>
      <c r="WXS81" s="21"/>
      <c r="WXT81" s="21"/>
      <c r="WXU81" s="20"/>
      <c r="WXV81" s="20"/>
      <c r="WXW81" s="20"/>
      <c r="WXX81" s="20"/>
      <c r="WXY81" s="21"/>
      <c r="WXZ81" s="21"/>
      <c r="WYA81" s="7"/>
      <c r="WYB81" s="7"/>
      <c r="WYC81" s="21"/>
      <c r="WYD81" s="20"/>
      <c r="WYE81" s="20"/>
      <c r="WYF81" s="20"/>
      <c r="WYG81" s="21"/>
      <c r="WYH81" s="21"/>
      <c r="WYI81" s="21"/>
      <c r="WYJ81" s="21"/>
      <c r="WYK81" s="21"/>
      <c r="WYL81" s="20"/>
      <c r="WYM81" s="20"/>
      <c r="WYN81" s="20"/>
      <c r="WYO81" s="20"/>
      <c r="WYP81" s="21"/>
      <c r="WYQ81" s="21"/>
      <c r="WYR81" s="7"/>
      <c r="WYS81" s="7"/>
      <c r="WYT81" s="21"/>
      <c r="WYU81" s="20"/>
      <c r="WYV81" s="20"/>
      <c r="WYW81" s="20"/>
      <c r="WYX81" s="21"/>
      <c r="WYY81" s="21"/>
      <c r="WYZ81" s="21"/>
      <c r="WZA81" s="21"/>
      <c r="WZB81" s="21"/>
      <c r="WZC81" s="20"/>
      <c r="WZD81" s="20"/>
      <c r="WZE81" s="20"/>
      <c r="WZF81" s="20"/>
      <c r="WZG81" s="21"/>
      <c r="WZH81" s="21"/>
      <c r="WZI81" s="7"/>
      <c r="WZJ81" s="7"/>
      <c r="WZK81" s="21"/>
      <c r="WZL81" s="20"/>
      <c r="WZM81" s="20"/>
      <c r="WZN81" s="20"/>
      <c r="WZO81" s="21"/>
      <c r="WZP81" s="21"/>
      <c r="WZQ81" s="21"/>
      <c r="WZR81" s="21"/>
      <c r="WZS81" s="21"/>
      <c r="WZT81" s="20"/>
      <c r="WZU81" s="20"/>
      <c r="WZV81" s="20"/>
      <c r="WZW81" s="20"/>
      <c r="WZX81" s="21"/>
      <c r="WZY81" s="21"/>
      <c r="WZZ81" s="7"/>
      <c r="XAA81" s="7"/>
      <c r="XAB81" s="21"/>
      <c r="XAC81" s="20"/>
      <c r="XAD81" s="20"/>
      <c r="XAE81" s="20"/>
      <c r="XAF81" s="21"/>
      <c r="XAG81" s="21"/>
      <c r="XAH81" s="21"/>
      <c r="XAI81" s="21"/>
      <c r="XAJ81" s="21"/>
      <c r="XAK81" s="20"/>
      <c r="XAL81" s="20"/>
      <c r="XAM81" s="20"/>
      <c r="XAN81" s="20"/>
      <c r="XAO81" s="21"/>
      <c r="XAP81" s="21"/>
      <c r="XAQ81" s="7"/>
      <c r="XAR81" s="7"/>
      <c r="XAS81" s="21"/>
      <c r="XAT81" s="20"/>
      <c r="XAU81" s="20"/>
      <c r="XAV81" s="20"/>
      <c r="XAW81" s="21"/>
      <c r="XAX81" s="21"/>
      <c r="XAY81" s="21"/>
      <c r="XAZ81" s="21"/>
      <c r="XBA81" s="21"/>
      <c r="XBB81" s="20"/>
      <c r="XBC81" s="20"/>
      <c r="XBD81" s="20"/>
      <c r="XBE81" s="20"/>
      <c r="XBF81" s="21"/>
      <c r="XBG81" s="21"/>
      <c r="XBH81" s="7"/>
      <c r="XBI81" s="7"/>
      <c r="XBJ81" s="21"/>
      <c r="XBK81" s="20"/>
      <c r="XBL81" s="20"/>
      <c r="XBM81" s="20"/>
      <c r="XBN81" s="21"/>
      <c r="XBO81" s="21"/>
      <c r="XBP81" s="21"/>
      <c r="XBQ81" s="21"/>
      <c r="XBR81" s="21"/>
      <c r="XBS81" s="20"/>
      <c r="XBT81" s="20"/>
      <c r="XBU81" s="20"/>
      <c r="XBV81" s="20"/>
      <c r="XBW81" s="21"/>
      <c r="XBX81" s="21"/>
      <c r="XBY81" s="7"/>
      <c r="XBZ81" s="7"/>
      <c r="XCA81" s="21"/>
      <c r="XCB81" s="20"/>
      <c r="XCC81" s="20"/>
      <c r="XCD81" s="20"/>
      <c r="XCE81" s="21"/>
      <c r="XCF81" s="21"/>
      <c r="XCG81" s="21"/>
      <c r="XCH81" s="21"/>
      <c r="XCI81" s="21"/>
      <c r="XCJ81" s="20"/>
      <c r="XCK81" s="20"/>
      <c r="XCL81" s="20"/>
      <c r="XCM81" s="20"/>
      <c r="XCN81" s="21"/>
      <c r="XCO81" s="21"/>
      <c r="XCP81" s="7"/>
      <c r="XCQ81" s="7"/>
      <c r="XCR81" s="21"/>
      <c r="XCS81" s="20"/>
      <c r="XCT81" s="20"/>
      <c r="XCU81" s="20"/>
      <c r="XCV81" s="21"/>
      <c r="XCW81" s="21"/>
      <c r="XCX81" s="21"/>
      <c r="XCY81" s="21"/>
      <c r="XCZ81" s="21"/>
      <c r="XDA81" s="20"/>
      <c r="XDB81" s="20"/>
      <c r="XDC81" s="20"/>
      <c r="XDD81" s="20"/>
      <c r="XDE81" s="21"/>
      <c r="XDF81" s="21"/>
      <c r="XDG81" s="7"/>
      <c r="XDH81" s="7"/>
      <c r="XDI81" s="21"/>
      <c r="XDJ81" s="20"/>
      <c r="XDK81" s="20"/>
      <c r="XDL81" s="20"/>
      <c r="XDM81" s="21"/>
      <c r="XDN81" s="21"/>
      <c r="XDO81" s="21"/>
      <c r="XDP81" s="21"/>
      <c r="XDQ81" s="21"/>
      <c r="XDR81" s="20"/>
      <c r="XDS81" s="20"/>
      <c r="XDT81" s="20"/>
      <c r="XDU81" s="20"/>
      <c r="XDV81" s="21"/>
      <c r="XDW81" s="21"/>
      <c r="XDX81" s="7"/>
      <c r="XDY81" s="7"/>
      <c r="XDZ81" s="21"/>
      <c r="XEA81" s="20"/>
      <c r="XEB81" s="20"/>
      <c r="XEC81" s="20"/>
      <c r="XED81" s="21"/>
      <c r="XEE81" s="21"/>
      <c r="XEF81" s="21"/>
      <c r="XEG81" s="21"/>
      <c r="XEH81" s="21"/>
      <c r="XEI81" s="20"/>
      <c r="XEJ81" s="20"/>
      <c r="XEK81" s="20"/>
      <c r="XEL81" s="20"/>
      <c r="XEM81" s="21"/>
      <c r="XEN81" s="21"/>
      <c r="XEO81" s="7"/>
      <c r="XEP81" s="7"/>
      <c r="XEQ81" s="21"/>
      <c r="XER81" s="20"/>
      <c r="XES81" s="20"/>
      <c r="XET81" s="20"/>
      <c r="XEU81" s="21"/>
      <c r="XEV81" s="21"/>
      <c r="XEW81" s="21"/>
      <c r="XEX81" s="21"/>
      <c r="XEY81" s="21"/>
      <c r="XEZ81" s="20"/>
      <c r="XFA81" s="20"/>
      <c r="XFB81" s="20"/>
      <c r="XFC81" s="20"/>
      <c r="XFD81" s="21"/>
    </row>
    <row r="82" spans="1:16384" s="3" customFormat="1" ht="14.25" customHeight="1" x14ac:dyDescent="0.25">
      <c r="A82" s="29">
        <v>0</v>
      </c>
      <c r="B82" s="29">
        <v>1</v>
      </c>
      <c r="C82" s="29">
        <v>6</v>
      </c>
      <c r="D82" s="30" t="s">
        <v>61</v>
      </c>
      <c r="E82" s="30" t="s">
        <v>261</v>
      </c>
      <c r="F82" s="30" t="s">
        <v>131</v>
      </c>
      <c r="G82" s="30" t="s">
        <v>132</v>
      </c>
      <c r="H82" s="30" t="s">
        <v>165</v>
      </c>
      <c r="I82" s="29" t="s">
        <v>182</v>
      </c>
      <c r="J82" s="29">
        <v>99</v>
      </c>
      <c r="K82" s="29" t="s">
        <v>329</v>
      </c>
      <c r="L82" s="29" t="s">
        <v>851</v>
      </c>
      <c r="M82" s="30" t="s">
        <v>697</v>
      </c>
      <c r="N82" s="30" t="s">
        <v>894</v>
      </c>
      <c r="O82" s="31">
        <v>1</v>
      </c>
      <c r="P82" s="31"/>
      <c r="Q82" s="30"/>
      <c r="R82" s="2"/>
      <c r="S82" s="2">
        <f t="shared" si="23"/>
        <v>0</v>
      </c>
      <c r="T82" s="2">
        <f t="shared" si="24"/>
        <v>0</v>
      </c>
      <c r="U82" s="2">
        <f t="shared" si="25"/>
        <v>0</v>
      </c>
      <c r="V82" s="2">
        <f t="shared" si="26"/>
        <v>0</v>
      </c>
      <c r="W82" s="2">
        <f t="shared" si="27"/>
        <v>0</v>
      </c>
      <c r="X82" s="2">
        <f t="shared" si="28"/>
        <v>0</v>
      </c>
      <c r="Y82" s="2">
        <f t="shared" si="29"/>
        <v>0</v>
      </c>
      <c r="Z82" s="2">
        <f t="shared" si="30"/>
        <v>0</v>
      </c>
      <c r="AA82" s="2">
        <f t="shared" si="31"/>
        <v>0</v>
      </c>
      <c r="AB82" s="2">
        <f t="shared" si="32"/>
        <v>0</v>
      </c>
      <c r="AC82" s="2"/>
      <c r="AD82" s="2">
        <f t="shared" si="33"/>
        <v>0</v>
      </c>
      <c r="AE82" s="2">
        <f t="shared" si="34"/>
        <v>1</v>
      </c>
      <c r="AF82" s="2">
        <f t="shared" si="35"/>
        <v>0</v>
      </c>
      <c r="AG82" s="2">
        <f t="shared" si="36"/>
        <v>1</v>
      </c>
      <c r="AH82" s="2">
        <f t="shared" si="37"/>
        <v>0</v>
      </c>
      <c r="AI82" s="2">
        <f t="shared" si="38"/>
        <v>1</v>
      </c>
    </row>
    <row r="83" spans="1:16384" s="3" customFormat="1" ht="14.25" customHeight="1" x14ac:dyDescent="0.25">
      <c r="A83" s="29">
        <v>0</v>
      </c>
      <c r="B83" s="29">
        <v>1</v>
      </c>
      <c r="C83" s="29">
        <v>6</v>
      </c>
      <c r="D83" s="30" t="s">
        <v>251</v>
      </c>
      <c r="E83" s="30" t="s">
        <v>261</v>
      </c>
      <c r="F83" s="30" t="s">
        <v>588</v>
      </c>
      <c r="G83" s="30" t="s">
        <v>132</v>
      </c>
      <c r="H83" s="30" t="s">
        <v>165</v>
      </c>
      <c r="I83" s="29" t="s">
        <v>224</v>
      </c>
      <c r="J83" s="29">
        <v>99</v>
      </c>
      <c r="K83" s="29" t="s">
        <v>331</v>
      </c>
      <c r="L83" s="29" t="s">
        <v>335</v>
      </c>
      <c r="M83" s="30" t="s">
        <v>746</v>
      </c>
      <c r="N83" s="30" t="s">
        <v>892</v>
      </c>
      <c r="O83" s="31">
        <v>1</v>
      </c>
      <c r="P83" s="31"/>
      <c r="Q83" s="30"/>
      <c r="R83" s="2"/>
      <c r="S83" s="2">
        <f t="shared" si="23"/>
        <v>0</v>
      </c>
      <c r="T83" s="2">
        <f t="shared" si="24"/>
        <v>0</v>
      </c>
      <c r="U83" s="2">
        <f t="shared" si="25"/>
        <v>0</v>
      </c>
      <c r="V83" s="2">
        <f t="shared" si="26"/>
        <v>0</v>
      </c>
      <c r="W83" s="2">
        <f t="shared" si="27"/>
        <v>0</v>
      </c>
      <c r="X83" s="2">
        <f t="shared" si="28"/>
        <v>0</v>
      </c>
      <c r="Y83" s="2">
        <f t="shared" si="29"/>
        <v>0</v>
      </c>
      <c r="Z83" s="2">
        <f t="shared" si="30"/>
        <v>0</v>
      </c>
      <c r="AA83" s="2">
        <f t="shared" si="31"/>
        <v>0</v>
      </c>
      <c r="AB83" s="2">
        <f t="shared" si="32"/>
        <v>0</v>
      </c>
      <c r="AC83" s="2"/>
      <c r="AD83" s="2">
        <f t="shared" si="33"/>
        <v>0</v>
      </c>
      <c r="AE83" s="2">
        <f t="shared" si="34"/>
        <v>1</v>
      </c>
      <c r="AF83" s="2">
        <f t="shared" si="35"/>
        <v>0</v>
      </c>
      <c r="AG83" s="2">
        <f t="shared" si="36"/>
        <v>1</v>
      </c>
      <c r="AH83" s="2">
        <f t="shared" si="37"/>
        <v>0</v>
      </c>
      <c r="AI83" s="2">
        <f t="shared" si="38"/>
        <v>1</v>
      </c>
    </row>
    <row r="84" spans="1:16384" s="3" customFormat="1" ht="14.25" customHeight="1" x14ac:dyDescent="0.25">
      <c r="A84" s="20">
        <v>0</v>
      </c>
      <c r="B84" s="20">
        <v>1</v>
      </c>
      <c r="C84" s="20">
        <v>6</v>
      </c>
      <c r="D84" s="21" t="s">
        <v>389</v>
      </c>
      <c r="E84" s="21" t="s">
        <v>390</v>
      </c>
      <c r="F84" s="21" t="s">
        <v>478</v>
      </c>
      <c r="G84" s="21" t="s">
        <v>133</v>
      </c>
      <c r="H84" s="21" t="s">
        <v>165</v>
      </c>
      <c r="I84" s="20" t="s">
        <v>488</v>
      </c>
      <c r="J84" s="20"/>
      <c r="K84" s="20" t="s">
        <v>332</v>
      </c>
      <c r="L84" s="20" t="s">
        <v>335</v>
      </c>
      <c r="M84" s="21" t="s">
        <v>206</v>
      </c>
      <c r="N84" s="21"/>
      <c r="O84" s="7"/>
      <c r="P84" s="7"/>
      <c r="Q84" s="21"/>
      <c r="R84" s="2"/>
      <c r="S84" s="2">
        <f t="shared" si="23"/>
        <v>0</v>
      </c>
      <c r="T84" s="2">
        <f t="shared" si="24"/>
        <v>0</v>
      </c>
      <c r="U84" s="2">
        <f t="shared" si="25"/>
        <v>0</v>
      </c>
      <c r="V84" s="2">
        <f t="shared" si="26"/>
        <v>0</v>
      </c>
      <c r="W84" s="2">
        <f t="shared" si="27"/>
        <v>0</v>
      </c>
      <c r="X84" s="2">
        <f t="shared" si="28"/>
        <v>0</v>
      </c>
      <c r="Y84" s="2">
        <f t="shared" si="29"/>
        <v>0</v>
      </c>
      <c r="Z84" s="2">
        <f t="shared" si="30"/>
        <v>0</v>
      </c>
      <c r="AA84" s="2">
        <f t="shared" si="31"/>
        <v>0</v>
      </c>
      <c r="AB84" s="2">
        <f t="shared" si="32"/>
        <v>0</v>
      </c>
      <c r="AC84" s="2"/>
      <c r="AD84" s="2">
        <f t="shared" si="33"/>
        <v>0</v>
      </c>
      <c r="AE84" s="2">
        <f t="shared" si="34"/>
        <v>0</v>
      </c>
      <c r="AF84" s="2">
        <f t="shared" si="35"/>
        <v>0</v>
      </c>
      <c r="AG84" s="2">
        <f t="shared" si="36"/>
        <v>0</v>
      </c>
      <c r="AH84" s="2">
        <f t="shared" si="37"/>
        <v>0</v>
      </c>
      <c r="AI84" s="2">
        <f t="shared" si="38"/>
        <v>1</v>
      </c>
    </row>
    <row r="85" spans="1:16384" s="3" customFormat="1" ht="14.25" customHeight="1" x14ac:dyDescent="0.25">
      <c r="A85" s="26">
        <v>0</v>
      </c>
      <c r="B85" s="26">
        <v>1</v>
      </c>
      <c r="C85" s="26">
        <v>6</v>
      </c>
      <c r="D85" s="27" t="s">
        <v>249</v>
      </c>
      <c r="E85" s="27" t="s">
        <v>261</v>
      </c>
      <c r="F85" s="27" t="s">
        <v>255</v>
      </c>
      <c r="G85" s="27" t="s">
        <v>125</v>
      </c>
      <c r="H85" s="27" t="s">
        <v>165</v>
      </c>
      <c r="I85" s="26" t="s">
        <v>222</v>
      </c>
      <c r="J85" s="26">
        <v>99</v>
      </c>
      <c r="K85" s="26" t="s">
        <v>330</v>
      </c>
      <c r="L85" s="26" t="s">
        <v>40</v>
      </c>
      <c r="M85" s="27" t="s">
        <v>40</v>
      </c>
      <c r="N85" s="27"/>
      <c r="O85" s="28"/>
      <c r="P85" s="28">
        <v>1</v>
      </c>
      <c r="Q85" s="27"/>
      <c r="R85" s="2"/>
      <c r="S85" s="2">
        <f t="shared" si="23"/>
        <v>0</v>
      </c>
      <c r="T85" s="2">
        <f t="shared" si="24"/>
        <v>0</v>
      </c>
      <c r="U85" s="2">
        <f t="shared" si="25"/>
        <v>0</v>
      </c>
      <c r="V85" s="2">
        <f t="shared" si="26"/>
        <v>0</v>
      </c>
      <c r="W85" s="2">
        <f t="shared" si="27"/>
        <v>0</v>
      </c>
      <c r="X85" s="2">
        <f t="shared" si="28"/>
        <v>0</v>
      </c>
      <c r="Y85" s="2">
        <f t="shared" si="29"/>
        <v>0</v>
      </c>
      <c r="Z85" s="2">
        <f t="shared" si="30"/>
        <v>0</v>
      </c>
      <c r="AA85" s="2">
        <f t="shared" si="31"/>
        <v>0</v>
      </c>
      <c r="AB85" s="2">
        <f t="shared" si="32"/>
        <v>0</v>
      </c>
      <c r="AC85" s="2"/>
      <c r="AD85" s="2">
        <f t="shared" si="33"/>
        <v>0</v>
      </c>
      <c r="AE85" s="2">
        <f t="shared" si="34"/>
        <v>0</v>
      </c>
      <c r="AF85" s="2">
        <f t="shared" si="35"/>
        <v>0</v>
      </c>
      <c r="AG85" s="2">
        <f t="shared" si="36"/>
        <v>0</v>
      </c>
      <c r="AH85" s="2">
        <f t="shared" si="37"/>
        <v>1</v>
      </c>
      <c r="AI85" s="2">
        <f t="shared" si="38"/>
        <v>0</v>
      </c>
    </row>
    <row r="86" spans="1:16384" s="3" customFormat="1" ht="14.25" customHeight="1" x14ac:dyDescent="0.25">
      <c r="A86" s="20">
        <v>0</v>
      </c>
      <c r="B86" s="20">
        <v>1</v>
      </c>
      <c r="C86" s="20">
        <v>6</v>
      </c>
      <c r="D86" s="21" t="s">
        <v>730</v>
      </c>
      <c r="E86" s="21" t="s">
        <v>258</v>
      </c>
      <c r="F86" s="21" t="s">
        <v>731</v>
      </c>
      <c r="G86" s="21" t="s">
        <v>732</v>
      </c>
      <c r="H86" s="21" t="s">
        <v>165</v>
      </c>
      <c r="I86" s="20"/>
      <c r="J86" s="20">
        <v>99</v>
      </c>
      <c r="K86" s="20" t="s">
        <v>377</v>
      </c>
      <c r="L86" s="20">
        <v>75</v>
      </c>
      <c r="M86" s="21" t="s">
        <v>729</v>
      </c>
      <c r="N86" s="21"/>
      <c r="O86" s="7"/>
      <c r="P86" s="7"/>
      <c r="Q86" s="21"/>
      <c r="R86" s="2"/>
      <c r="S86" s="2">
        <f t="shared" si="23"/>
        <v>0</v>
      </c>
      <c r="T86" s="2">
        <f t="shared" si="24"/>
        <v>0</v>
      </c>
      <c r="U86" s="2">
        <f t="shared" si="25"/>
        <v>0</v>
      </c>
      <c r="V86" s="2">
        <f t="shared" si="26"/>
        <v>0</v>
      </c>
      <c r="W86" s="2">
        <f t="shared" si="27"/>
        <v>0</v>
      </c>
      <c r="X86" s="2">
        <f t="shared" si="28"/>
        <v>0</v>
      </c>
      <c r="Y86" s="2">
        <f t="shared" si="29"/>
        <v>0</v>
      </c>
      <c r="Z86" s="2">
        <f t="shared" si="30"/>
        <v>0</v>
      </c>
      <c r="AA86" s="2">
        <f t="shared" si="31"/>
        <v>0</v>
      </c>
      <c r="AB86" s="2">
        <f t="shared" si="32"/>
        <v>0</v>
      </c>
      <c r="AC86" s="2"/>
      <c r="AD86" s="2">
        <f t="shared" si="33"/>
        <v>0</v>
      </c>
      <c r="AE86" s="2">
        <f t="shared" si="34"/>
        <v>0</v>
      </c>
      <c r="AF86" s="2">
        <f t="shared" si="35"/>
        <v>0</v>
      </c>
      <c r="AG86" s="2">
        <f t="shared" si="36"/>
        <v>0</v>
      </c>
      <c r="AH86" s="2">
        <f t="shared" si="37"/>
        <v>0</v>
      </c>
      <c r="AI86" s="2">
        <f t="shared" si="38"/>
        <v>1</v>
      </c>
    </row>
    <row r="87" spans="1:16384" s="3" customFormat="1" ht="14.25" customHeight="1" x14ac:dyDescent="0.25">
      <c r="A87" s="32">
        <v>0</v>
      </c>
      <c r="B87" s="32">
        <v>1</v>
      </c>
      <c r="C87" s="32">
        <v>6</v>
      </c>
      <c r="D87" s="33" t="s">
        <v>540</v>
      </c>
      <c r="E87" s="33" t="s">
        <v>573</v>
      </c>
      <c r="F87" s="33" t="s">
        <v>826</v>
      </c>
      <c r="G87" s="33" t="s">
        <v>541</v>
      </c>
      <c r="H87" s="33" t="s">
        <v>165</v>
      </c>
      <c r="I87" s="32" t="s">
        <v>542</v>
      </c>
      <c r="J87" s="32">
        <v>99</v>
      </c>
      <c r="K87" s="32" t="s">
        <v>330</v>
      </c>
      <c r="L87" s="32" t="s">
        <v>334</v>
      </c>
      <c r="M87" s="33" t="s">
        <v>740</v>
      </c>
      <c r="N87" s="33" t="s">
        <v>893</v>
      </c>
      <c r="O87" s="34"/>
      <c r="P87" s="34"/>
      <c r="Q87" s="33"/>
      <c r="R87" s="2"/>
      <c r="S87" s="2">
        <f t="shared" si="23"/>
        <v>0</v>
      </c>
      <c r="T87" s="2">
        <f t="shared" si="24"/>
        <v>0</v>
      </c>
      <c r="U87" s="2">
        <f t="shared" si="25"/>
        <v>0</v>
      </c>
      <c r="V87" s="2">
        <f t="shared" si="26"/>
        <v>0</v>
      </c>
      <c r="W87" s="2">
        <f t="shared" si="27"/>
        <v>0</v>
      </c>
      <c r="X87" s="2">
        <f t="shared" si="28"/>
        <v>0</v>
      </c>
      <c r="Y87" s="2">
        <f t="shared" si="29"/>
        <v>0</v>
      </c>
      <c r="Z87" s="2">
        <f t="shared" si="30"/>
        <v>0</v>
      </c>
      <c r="AA87" s="2">
        <f t="shared" si="31"/>
        <v>0</v>
      </c>
      <c r="AB87" s="2">
        <f t="shared" si="32"/>
        <v>0</v>
      </c>
      <c r="AC87" s="2"/>
      <c r="AD87" s="2">
        <f t="shared" si="33"/>
        <v>0</v>
      </c>
      <c r="AE87" s="2">
        <f t="shared" si="34"/>
        <v>0</v>
      </c>
      <c r="AF87" s="2">
        <f t="shared" si="35"/>
        <v>0</v>
      </c>
      <c r="AG87" s="2">
        <f t="shared" si="36"/>
        <v>0</v>
      </c>
      <c r="AH87" s="2">
        <f t="shared" si="37"/>
        <v>0</v>
      </c>
      <c r="AI87" s="2">
        <f t="shared" si="38"/>
        <v>1</v>
      </c>
    </row>
    <row r="88" spans="1:16384" s="3" customFormat="1" ht="14.25" customHeight="1" x14ac:dyDescent="0.25">
      <c r="A88" s="29">
        <v>0</v>
      </c>
      <c r="B88" s="29">
        <v>1</v>
      </c>
      <c r="C88" s="29">
        <v>6</v>
      </c>
      <c r="D88" s="30" t="s">
        <v>359</v>
      </c>
      <c r="E88" s="30" t="s">
        <v>574</v>
      </c>
      <c r="F88" s="30" t="s">
        <v>136</v>
      </c>
      <c r="G88" s="30" t="s">
        <v>137</v>
      </c>
      <c r="H88" s="30" t="s">
        <v>165</v>
      </c>
      <c r="I88" s="29" t="s">
        <v>184</v>
      </c>
      <c r="J88" s="29">
        <v>1</v>
      </c>
      <c r="K88" s="29" t="s">
        <v>377</v>
      </c>
      <c r="L88" s="29">
        <v>92</v>
      </c>
      <c r="M88" s="30" t="s">
        <v>779</v>
      </c>
      <c r="N88" s="30" t="s">
        <v>900</v>
      </c>
      <c r="O88" s="31">
        <v>1</v>
      </c>
      <c r="P88" s="31"/>
      <c r="Q88" s="30"/>
      <c r="R88" s="2"/>
      <c r="S88" s="2">
        <f t="shared" si="23"/>
        <v>1</v>
      </c>
      <c r="T88" s="2">
        <f t="shared" si="24"/>
        <v>0</v>
      </c>
      <c r="U88" s="2">
        <f t="shared" si="25"/>
        <v>0</v>
      </c>
      <c r="V88" s="2">
        <f t="shared" si="26"/>
        <v>0</v>
      </c>
      <c r="W88" s="2">
        <f t="shared" si="27"/>
        <v>0</v>
      </c>
      <c r="X88" s="2">
        <f t="shared" si="28"/>
        <v>0</v>
      </c>
      <c r="Y88" s="2">
        <f t="shared" si="29"/>
        <v>0</v>
      </c>
      <c r="Z88" s="2">
        <f t="shared" si="30"/>
        <v>0</v>
      </c>
      <c r="AA88" s="2">
        <f t="shared" si="31"/>
        <v>0</v>
      </c>
      <c r="AB88" s="2">
        <f t="shared" si="32"/>
        <v>0</v>
      </c>
      <c r="AC88" s="2"/>
      <c r="AD88" s="2">
        <f t="shared" si="33"/>
        <v>0</v>
      </c>
      <c r="AE88" s="2">
        <f t="shared" si="34"/>
        <v>1</v>
      </c>
      <c r="AF88" s="2">
        <f t="shared" si="35"/>
        <v>0</v>
      </c>
      <c r="AG88" s="2">
        <f t="shared" si="36"/>
        <v>1</v>
      </c>
      <c r="AH88" s="2">
        <f t="shared" si="37"/>
        <v>0</v>
      </c>
      <c r="AI88" s="2">
        <f t="shared" si="38"/>
        <v>1</v>
      </c>
    </row>
    <row r="89" spans="1:16384" s="3" customFormat="1" ht="14.25" customHeight="1" x14ac:dyDescent="0.25">
      <c r="A89" s="26">
        <v>0</v>
      </c>
      <c r="B89" s="26">
        <v>1</v>
      </c>
      <c r="C89" s="26">
        <v>6</v>
      </c>
      <c r="D89" s="27" t="s">
        <v>974</v>
      </c>
      <c r="E89" s="27" t="s">
        <v>258</v>
      </c>
      <c r="F89" s="27" t="s">
        <v>975</v>
      </c>
      <c r="G89" s="27" t="s">
        <v>976</v>
      </c>
      <c r="H89" s="27" t="s">
        <v>165</v>
      </c>
      <c r="I89" s="26" t="s">
        <v>977</v>
      </c>
      <c r="J89" s="26"/>
      <c r="K89" s="26" t="s">
        <v>377</v>
      </c>
      <c r="L89" s="26"/>
      <c r="M89" s="27"/>
      <c r="N89" s="27"/>
      <c r="O89" s="28"/>
      <c r="P89" s="28">
        <v>1</v>
      </c>
      <c r="Q89" s="27"/>
      <c r="R89" s="2"/>
      <c r="S89" s="2">
        <f t="shared" si="23"/>
        <v>0</v>
      </c>
      <c r="T89" s="2">
        <f t="shared" si="24"/>
        <v>0</v>
      </c>
      <c r="U89" s="2">
        <f t="shared" si="25"/>
        <v>0</v>
      </c>
      <c r="V89" s="2">
        <f t="shared" si="26"/>
        <v>0</v>
      </c>
      <c r="W89" s="2">
        <f t="shared" si="27"/>
        <v>0</v>
      </c>
      <c r="X89" s="2">
        <f t="shared" si="28"/>
        <v>0</v>
      </c>
      <c r="Y89" s="2">
        <f t="shared" si="29"/>
        <v>0</v>
      </c>
      <c r="Z89" s="2">
        <f t="shared" si="30"/>
        <v>0</v>
      </c>
      <c r="AA89" s="2">
        <f t="shared" si="31"/>
        <v>0</v>
      </c>
      <c r="AB89" s="2">
        <f t="shared" si="32"/>
        <v>0</v>
      </c>
      <c r="AC89" s="2"/>
      <c r="AD89" s="2">
        <f t="shared" si="33"/>
        <v>0</v>
      </c>
      <c r="AE89" s="2">
        <f t="shared" si="34"/>
        <v>0</v>
      </c>
      <c r="AF89" s="2">
        <f t="shared" si="35"/>
        <v>0</v>
      </c>
      <c r="AG89" s="2">
        <f t="shared" si="36"/>
        <v>0</v>
      </c>
      <c r="AH89" s="2">
        <f t="shared" si="37"/>
        <v>1</v>
      </c>
      <c r="AI89" s="2">
        <f t="shared" si="38"/>
        <v>0</v>
      </c>
    </row>
    <row r="90" spans="1:16384" s="3" customFormat="1" ht="14.25" customHeight="1" x14ac:dyDescent="0.25">
      <c r="A90" s="20">
        <v>0</v>
      </c>
      <c r="B90" s="20">
        <v>1</v>
      </c>
      <c r="C90" s="20">
        <v>6</v>
      </c>
      <c r="D90" s="21" t="s">
        <v>80</v>
      </c>
      <c r="E90" s="21" t="s">
        <v>258</v>
      </c>
      <c r="F90" s="21" t="s">
        <v>135</v>
      </c>
      <c r="G90" s="21" t="s">
        <v>92</v>
      </c>
      <c r="H90" s="21" t="s">
        <v>165</v>
      </c>
      <c r="I90" s="20" t="s">
        <v>203</v>
      </c>
      <c r="J90" s="20">
        <v>2</v>
      </c>
      <c r="K90" s="20" t="s">
        <v>329</v>
      </c>
      <c r="L90" s="20">
        <v>35</v>
      </c>
      <c r="M90" s="21" t="s">
        <v>267</v>
      </c>
      <c r="N90" s="21"/>
      <c r="O90" s="7"/>
      <c r="P90" s="7"/>
      <c r="Q90" s="21"/>
      <c r="R90" s="2"/>
      <c r="S90" s="2">
        <f t="shared" si="23"/>
        <v>0</v>
      </c>
      <c r="T90" s="2">
        <f t="shared" si="24"/>
        <v>1</v>
      </c>
      <c r="U90" s="2">
        <f t="shared" si="25"/>
        <v>0</v>
      </c>
      <c r="V90" s="2">
        <f t="shared" si="26"/>
        <v>0</v>
      </c>
      <c r="W90" s="2">
        <f t="shared" si="27"/>
        <v>0</v>
      </c>
      <c r="X90" s="2">
        <f t="shared" si="28"/>
        <v>0</v>
      </c>
      <c r="Y90" s="2">
        <f t="shared" si="29"/>
        <v>0</v>
      </c>
      <c r="Z90" s="2">
        <f t="shared" si="30"/>
        <v>0</v>
      </c>
      <c r="AA90" s="2">
        <f t="shared" si="31"/>
        <v>0</v>
      </c>
      <c r="AB90" s="2">
        <f t="shared" si="32"/>
        <v>0</v>
      </c>
      <c r="AC90" s="2"/>
      <c r="AD90" s="2">
        <f t="shared" si="33"/>
        <v>0</v>
      </c>
      <c r="AE90" s="2">
        <f t="shared" si="34"/>
        <v>0</v>
      </c>
      <c r="AF90" s="2">
        <f t="shared" si="35"/>
        <v>0</v>
      </c>
      <c r="AG90" s="2">
        <f t="shared" si="36"/>
        <v>0</v>
      </c>
      <c r="AH90" s="2">
        <f t="shared" si="37"/>
        <v>0</v>
      </c>
      <c r="AI90" s="2">
        <f t="shared" si="38"/>
        <v>1</v>
      </c>
    </row>
    <row r="91" spans="1:16384" s="3" customFormat="1" ht="14.25" customHeight="1" x14ac:dyDescent="0.25">
      <c r="A91" s="29">
        <v>0</v>
      </c>
      <c r="B91" s="29">
        <v>1</v>
      </c>
      <c r="C91" s="29">
        <v>7</v>
      </c>
      <c r="D91" s="30" t="s">
        <v>41</v>
      </c>
      <c r="E91" s="30" t="s">
        <v>32</v>
      </c>
      <c r="F91" s="30" t="s">
        <v>365</v>
      </c>
      <c r="G91" s="30" t="s">
        <v>91</v>
      </c>
      <c r="H91" s="30" t="s">
        <v>165</v>
      </c>
      <c r="I91" s="29" t="s">
        <v>373</v>
      </c>
      <c r="J91" s="29">
        <v>6</v>
      </c>
      <c r="K91" s="29" t="s">
        <v>318</v>
      </c>
      <c r="L91" s="29" t="s">
        <v>335</v>
      </c>
      <c r="M91" s="30" t="s">
        <v>298</v>
      </c>
      <c r="N91" s="30" t="s">
        <v>905</v>
      </c>
      <c r="O91" s="31">
        <v>1</v>
      </c>
      <c r="P91" s="31"/>
      <c r="Q91" s="30"/>
      <c r="R91" s="2"/>
      <c r="S91" s="2">
        <f t="shared" si="23"/>
        <v>0</v>
      </c>
      <c r="T91" s="2">
        <f t="shared" si="24"/>
        <v>0</v>
      </c>
      <c r="U91" s="2">
        <f t="shared" si="25"/>
        <v>0</v>
      </c>
      <c r="V91" s="2">
        <f t="shared" si="26"/>
        <v>0</v>
      </c>
      <c r="W91" s="2">
        <f t="shared" si="27"/>
        <v>0</v>
      </c>
      <c r="X91" s="2">
        <f t="shared" si="28"/>
        <v>1</v>
      </c>
      <c r="Y91" s="2">
        <f t="shared" si="29"/>
        <v>0</v>
      </c>
      <c r="Z91" s="2">
        <f t="shared" si="30"/>
        <v>0</v>
      </c>
      <c r="AA91" s="2">
        <f t="shared" si="31"/>
        <v>0</v>
      </c>
      <c r="AB91" s="2">
        <f t="shared" si="32"/>
        <v>0</v>
      </c>
      <c r="AC91" s="2"/>
      <c r="AD91" s="2">
        <f t="shared" si="33"/>
        <v>0</v>
      </c>
      <c r="AE91" s="2">
        <f t="shared" si="34"/>
        <v>1</v>
      </c>
      <c r="AF91" s="2">
        <f t="shared" si="35"/>
        <v>0</v>
      </c>
      <c r="AG91" s="2">
        <f t="shared" si="36"/>
        <v>1</v>
      </c>
      <c r="AH91" s="2">
        <f t="shared" si="37"/>
        <v>0</v>
      </c>
      <c r="AI91" s="2">
        <f t="shared" si="38"/>
        <v>1</v>
      </c>
    </row>
    <row r="92" spans="1:16384" s="3" customFormat="1" ht="14.25" customHeight="1" x14ac:dyDescent="0.25">
      <c r="A92" s="29">
        <v>1</v>
      </c>
      <c r="B92" s="29">
        <v>1</v>
      </c>
      <c r="C92" s="29">
        <v>7</v>
      </c>
      <c r="D92" s="30" t="s">
        <v>41</v>
      </c>
      <c r="E92" s="30" t="s">
        <v>32</v>
      </c>
      <c r="F92" s="30" t="s">
        <v>142</v>
      </c>
      <c r="G92" s="30" t="s">
        <v>130</v>
      </c>
      <c r="H92" s="30" t="s">
        <v>165</v>
      </c>
      <c r="I92" s="29" t="s">
        <v>188</v>
      </c>
      <c r="J92" s="29">
        <v>10</v>
      </c>
      <c r="K92" s="29" t="s">
        <v>318</v>
      </c>
      <c r="L92" s="29" t="s">
        <v>335</v>
      </c>
      <c r="M92" s="30" t="s">
        <v>298</v>
      </c>
      <c r="N92" s="30" t="s">
        <v>905</v>
      </c>
      <c r="O92" s="31">
        <v>1</v>
      </c>
      <c r="P92" s="31"/>
      <c r="Q92" s="30"/>
      <c r="R92" s="2"/>
      <c r="S92" s="2">
        <f t="shared" si="23"/>
        <v>0</v>
      </c>
      <c r="T92" s="2">
        <f t="shared" si="24"/>
        <v>0</v>
      </c>
      <c r="U92" s="2">
        <f t="shared" si="25"/>
        <v>0</v>
      </c>
      <c r="V92" s="2">
        <f t="shared" si="26"/>
        <v>0</v>
      </c>
      <c r="W92" s="2">
        <f t="shared" si="27"/>
        <v>0</v>
      </c>
      <c r="X92" s="2">
        <f t="shared" si="28"/>
        <v>0</v>
      </c>
      <c r="Y92" s="2">
        <f t="shared" si="29"/>
        <v>0</v>
      </c>
      <c r="Z92" s="2">
        <f t="shared" si="30"/>
        <v>0</v>
      </c>
      <c r="AA92" s="2">
        <f t="shared" si="31"/>
        <v>0</v>
      </c>
      <c r="AB92" s="2">
        <f t="shared" si="32"/>
        <v>1</v>
      </c>
      <c r="AC92" s="2"/>
      <c r="AD92" s="2">
        <f t="shared" si="33"/>
        <v>0</v>
      </c>
      <c r="AE92" s="2">
        <f t="shared" si="34"/>
        <v>1</v>
      </c>
      <c r="AF92" s="2">
        <f t="shared" si="35"/>
        <v>0</v>
      </c>
      <c r="AG92" s="2">
        <f t="shared" si="36"/>
        <v>0</v>
      </c>
      <c r="AH92" s="2">
        <f t="shared" si="37"/>
        <v>0</v>
      </c>
      <c r="AI92" s="2">
        <f t="shared" si="38"/>
        <v>0</v>
      </c>
    </row>
    <row r="93" spans="1:16384" s="3" customFormat="1" ht="14.25" customHeight="1" x14ac:dyDescent="0.25">
      <c r="A93" s="29">
        <v>1</v>
      </c>
      <c r="B93" s="29">
        <v>1</v>
      </c>
      <c r="C93" s="29">
        <v>7</v>
      </c>
      <c r="D93" s="30" t="s">
        <v>41</v>
      </c>
      <c r="E93" s="30" t="s">
        <v>32</v>
      </c>
      <c r="F93" s="30" t="s">
        <v>143</v>
      </c>
      <c r="G93" s="30" t="s">
        <v>122</v>
      </c>
      <c r="H93" s="30" t="s">
        <v>165</v>
      </c>
      <c r="I93" s="29" t="s">
        <v>189</v>
      </c>
      <c r="J93" s="29">
        <v>6</v>
      </c>
      <c r="K93" s="29" t="s">
        <v>318</v>
      </c>
      <c r="L93" s="29" t="s">
        <v>335</v>
      </c>
      <c r="M93" s="30" t="s">
        <v>298</v>
      </c>
      <c r="N93" s="30" t="s">
        <v>905</v>
      </c>
      <c r="O93" s="31">
        <v>1</v>
      </c>
      <c r="P93" s="31"/>
      <c r="Q93" s="30"/>
      <c r="R93" s="2"/>
      <c r="S93" s="2">
        <f t="shared" si="23"/>
        <v>0</v>
      </c>
      <c r="T93" s="2">
        <f t="shared" si="24"/>
        <v>0</v>
      </c>
      <c r="U93" s="2">
        <f t="shared" si="25"/>
        <v>0</v>
      </c>
      <c r="V93" s="2">
        <f t="shared" si="26"/>
        <v>0</v>
      </c>
      <c r="W93" s="2">
        <f t="shared" si="27"/>
        <v>0</v>
      </c>
      <c r="X93" s="2">
        <f t="shared" si="28"/>
        <v>1</v>
      </c>
      <c r="Y93" s="2">
        <f t="shared" si="29"/>
        <v>0</v>
      </c>
      <c r="Z93" s="2">
        <f t="shared" si="30"/>
        <v>0</v>
      </c>
      <c r="AA93" s="2">
        <f t="shared" si="31"/>
        <v>0</v>
      </c>
      <c r="AB93" s="2">
        <f t="shared" si="32"/>
        <v>0</v>
      </c>
      <c r="AC93" s="2"/>
      <c r="AD93" s="2">
        <f t="shared" si="33"/>
        <v>0</v>
      </c>
      <c r="AE93" s="2">
        <f t="shared" si="34"/>
        <v>1</v>
      </c>
      <c r="AF93" s="2">
        <f t="shared" si="35"/>
        <v>0</v>
      </c>
      <c r="AG93" s="2">
        <f t="shared" si="36"/>
        <v>0</v>
      </c>
      <c r="AH93" s="2">
        <f t="shared" si="37"/>
        <v>0</v>
      </c>
      <c r="AI93" s="2">
        <f t="shared" si="38"/>
        <v>0</v>
      </c>
    </row>
    <row r="94" spans="1:16384" s="3" customFormat="1" ht="14.25" customHeight="1" x14ac:dyDescent="0.25">
      <c r="A94" s="29">
        <v>1</v>
      </c>
      <c r="B94" s="29">
        <v>1</v>
      </c>
      <c r="C94" s="29">
        <v>7</v>
      </c>
      <c r="D94" s="30" t="s">
        <v>41</v>
      </c>
      <c r="E94" s="30" t="s">
        <v>32</v>
      </c>
      <c r="F94" s="30" t="s">
        <v>668</v>
      </c>
      <c r="G94" s="30" t="s">
        <v>670</v>
      </c>
      <c r="H94" s="30" t="s">
        <v>165</v>
      </c>
      <c r="I94" s="29" t="s">
        <v>669</v>
      </c>
      <c r="J94" s="29">
        <v>99</v>
      </c>
      <c r="K94" s="29" t="s">
        <v>318</v>
      </c>
      <c r="L94" s="29" t="s">
        <v>335</v>
      </c>
      <c r="M94" s="30" t="s">
        <v>298</v>
      </c>
      <c r="N94" s="30" t="s">
        <v>905</v>
      </c>
      <c r="O94" s="31">
        <v>1</v>
      </c>
      <c r="P94" s="31"/>
      <c r="Q94" s="30"/>
      <c r="R94" s="2"/>
      <c r="S94" s="2">
        <f t="shared" si="23"/>
        <v>0</v>
      </c>
      <c r="T94" s="2">
        <f t="shared" si="24"/>
        <v>0</v>
      </c>
      <c r="U94" s="2">
        <f t="shared" si="25"/>
        <v>0</v>
      </c>
      <c r="V94" s="2">
        <f t="shared" si="26"/>
        <v>0</v>
      </c>
      <c r="W94" s="2">
        <f t="shared" si="27"/>
        <v>0</v>
      </c>
      <c r="X94" s="2">
        <f t="shared" si="28"/>
        <v>0</v>
      </c>
      <c r="Y94" s="2">
        <f t="shared" si="29"/>
        <v>0</v>
      </c>
      <c r="Z94" s="2">
        <f t="shared" si="30"/>
        <v>0</v>
      </c>
      <c r="AA94" s="2">
        <f t="shared" si="31"/>
        <v>0</v>
      </c>
      <c r="AB94" s="2">
        <f t="shared" si="32"/>
        <v>0</v>
      </c>
      <c r="AC94" s="2"/>
      <c r="AD94" s="2">
        <f t="shared" si="33"/>
        <v>0</v>
      </c>
      <c r="AE94" s="2">
        <f t="shared" si="34"/>
        <v>1</v>
      </c>
      <c r="AF94" s="2">
        <f t="shared" si="35"/>
        <v>0</v>
      </c>
      <c r="AG94" s="2">
        <f t="shared" si="36"/>
        <v>0</v>
      </c>
      <c r="AH94" s="2">
        <f t="shared" si="37"/>
        <v>0</v>
      </c>
      <c r="AI94" s="2">
        <f t="shared" si="38"/>
        <v>0</v>
      </c>
    </row>
    <row r="95" spans="1:16384" s="3" customFormat="1" ht="14.25" customHeight="1" x14ac:dyDescent="0.25">
      <c r="A95" s="29">
        <v>1</v>
      </c>
      <c r="B95" s="29">
        <v>1</v>
      </c>
      <c r="C95" s="29">
        <v>7</v>
      </c>
      <c r="D95" s="30" t="s">
        <v>41</v>
      </c>
      <c r="E95" s="30" t="s">
        <v>32</v>
      </c>
      <c r="F95" s="30" t="s">
        <v>364</v>
      </c>
      <c r="G95" s="30" t="s">
        <v>93</v>
      </c>
      <c r="H95" s="30" t="s">
        <v>165</v>
      </c>
      <c r="I95" s="29" t="s">
        <v>372</v>
      </c>
      <c r="J95" s="29">
        <v>8</v>
      </c>
      <c r="K95" s="29" t="s">
        <v>318</v>
      </c>
      <c r="L95" s="29" t="s">
        <v>335</v>
      </c>
      <c r="M95" s="30" t="s">
        <v>298</v>
      </c>
      <c r="N95" s="30" t="s">
        <v>905</v>
      </c>
      <c r="O95" s="31">
        <v>1</v>
      </c>
      <c r="P95" s="31"/>
      <c r="Q95" s="30"/>
      <c r="R95" s="2"/>
      <c r="S95" s="2">
        <f t="shared" si="23"/>
        <v>0</v>
      </c>
      <c r="T95" s="2">
        <f t="shared" si="24"/>
        <v>0</v>
      </c>
      <c r="U95" s="2">
        <f t="shared" si="25"/>
        <v>0</v>
      </c>
      <c r="V95" s="2">
        <f t="shared" si="26"/>
        <v>0</v>
      </c>
      <c r="W95" s="2">
        <f t="shared" si="27"/>
        <v>0</v>
      </c>
      <c r="X95" s="2">
        <f t="shared" si="28"/>
        <v>0</v>
      </c>
      <c r="Y95" s="2">
        <f t="shared" si="29"/>
        <v>0</v>
      </c>
      <c r="Z95" s="2">
        <f t="shared" si="30"/>
        <v>1</v>
      </c>
      <c r="AA95" s="2">
        <f t="shared" si="31"/>
        <v>0</v>
      </c>
      <c r="AB95" s="2">
        <f t="shared" si="32"/>
        <v>0</v>
      </c>
      <c r="AC95" s="2"/>
      <c r="AD95" s="2">
        <f t="shared" si="33"/>
        <v>0</v>
      </c>
      <c r="AE95" s="2">
        <f t="shared" si="34"/>
        <v>1</v>
      </c>
      <c r="AF95" s="2">
        <f t="shared" si="35"/>
        <v>0</v>
      </c>
      <c r="AG95" s="2">
        <f t="shared" si="36"/>
        <v>0</v>
      </c>
      <c r="AH95" s="2">
        <f t="shared" si="37"/>
        <v>0</v>
      </c>
      <c r="AI95" s="2">
        <f t="shared" si="38"/>
        <v>0</v>
      </c>
    </row>
    <row r="96" spans="1:16384" s="3" customFormat="1" ht="14.25" customHeight="1" x14ac:dyDescent="0.25">
      <c r="A96" s="29">
        <v>1</v>
      </c>
      <c r="B96" s="29">
        <v>1</v>
      </c>
      <c r="C96" s="29">
        <v>7</v>
      </c>
      <c r="D96" s="30" t="s">
        <v>41</v>
      </c>
      <c r="E96" s="30" t="s">
        <v>32</v>
      </c>
      <c r="F96" s="30" t="s">
        <v>245</v>
      </c>
      <c r="G96" s="30" t="s">
        <v>125</v>
      </c>
      <c r="H96" s="30" t="s">
        <v>165</v>
      </c>
      <c r="I96" s="29" t="s">
        <v>246</v>
      </c>
      <c r="J96" s="29">
        <v>99</v>
      </c>
      <c r="K96" s="29" t="s">
        <v>318</v>
      </c>
      <c r="L96" s="29" t="s">
        <v>335</v>
      </c>
      <c r="M96" s="30" t="s">
        <v>298</v>
      </c>
      <c r="N96" s="30" t="s">
        <v>905</v>
      </c>
      <c r="O96" s="31">
        <v>1</v>
      </c>
      <c r="P96" s="31"/>
      <c r="Q96" s="30"/>
      <c r="R96" s="2"/>
      <c r="S96" s="2">
        <f t="shared" si="23"/>
        <v>0</v>
      </c>
      <c r="T96" s="2">
        <f t="shared" si="24"/>
        <v>0</v>
      </c>
      <c r="U96" s="2">
        <f t="shared" si="25"/>
        <v>0</v>
      </c>
      <c r="V96" s="2">
        <f t="shared" si="26"/>
        <v>0</v>
      </c>
      <c r="W96" s="2">
        <f t="shared" si="27"/>
        <v>0</v>
      </c>
      <c r="X96" s="2">
        <f t="shared" si="28"/>
        <v>0</v>
      </c>
      <c r="Y96" s="2">
        <f t="shared" si="29"/>
        <v>0</v>
      </c>
      <c r="Z96" s="2">
        <f t="shared" si="30"/>
        <v>0</v>
      </c>
      <c r="AA96" s="2">
        <f t="shared" si="31"/>
        <v>0</v>
      </c>
      <c r="AB96" s="2">
        <f t="shared" si="32"/>
        <v>0</v>
      </c>
      <c r="AC96" s="2"/>
      <c r="AD96" s="2">
        <f t="shared" si="33"/>
        <v>0</v>
      </c>
      <c r="AE96" s="2">
        <f t="shared" si="34"/>
        <v>1</v>
      </c>
      <c r="AF96" s="2">
        <f t="shared" si="35"/>
        <v>0</v>
      </c>
      <c r="AG96" s="2">
        <f t="shared" si="36"/>
        <v>0</v>
      </c>
      <c r="AH96" s="2">
        <f t="shared" si="37"/>
        <v>0</v>
      </c>
      <c r="AI96" s="2">
        <f t="shared" si="38"/>
        <v>0</v>
      </c>
    </row>
    <row r="97" spans="1:35" ht="14.25" customHeight="1" x14ac:dyDescent="0.25">
      <c r="A97" s="29">
        <v>0</v>
      </c>
      <c r="B97" s="29">
        <v>1</v>
      </c>
      <c r="C97" s="29">
        <v>7</v>
      </c>
      <c r="D97" s="30" t="s">
        <v>570</v>
      </c>
      <c r="E97" s="30" t="s">
        <v>32</v>
      </c>
      <c r="F97" s="30" t="s">
        <v>584</v>
      </c>
      <c r="G97" s="30" t="s">
        <v>309</v>
      </c>
      <c r="H97" s="30" t="s">
        <v>165</v>
      </c>
      <c r="I97" s="29" t="s">
        <v>527</v>
      </c>
      <c r="J97" s="29">
        <v>1</v>
      </c>
      <c r="K97" s="29" t="s">
        <v>321</v>
      </c>
      <c r="L97" s="29" t="s">
        <v>40</v>
      </c>
      <c r="M97" s="30" t="s">
        <v>40</v>
      </c>
      <c r="N97" s="30" t="s">
        <v>886</v>
      </c>
      <c r="O97" s="31">
        <v>1</v>
      </c>
      <c r="P97" s="31">
        <v>1</v>
      </c>
      <c r="Q97" s="30"/>
      <c r="S97" s="2">
        <f t="shared" si="23"/>
        <v>1</v>
      </c>
      <c r="T97" s="2">
        <f t="shared" si="24"/>
        <v>0</v>
      </c>
      <c r="U97" s="2">
        <f t="shared" si="25"/>
        <v>0</v>
      </c>
      <c r="V97" s="2">
        <f t="shared" si="26"/>
        <v>0</v>
      </c>
      <c r="W97" s="2">
        <f t="shared" si="27"/>
        <v>0</v>
      </c>
      <c r="X97" s="2">
        <f t="shared" si="28"/>
        <v>0</v>
      </c>
      <c r="Y97" s="2">
        <f t="shared" si="29"/>
        <v>0</v>
      </c>
      <c r="Z97" s="2">
        <f t="shared" si="30"/>
        <v>0</v>
      </c>
      <c r="AA97" s="2">
        <f t="shared" si="31"/>
        <v>0</v>
      </c>
      <c r="AB97" s="2">
        <f t="shared" si="32"/>
        <v>0</v>
      </c>
      <c r="AD97" s="2">
        <f t="shared" si="33"/>
        <v>1</v>
      </c>
      <c r="AE97" s="2">
        <f t="shared" si="34"/>
        <v>0</v>
      </c>
      <c r="AF97" s="2">
        <f t="shared" si="35"/>
        <v>1</v>
      </c>
      <c r="AG97" s="2">
        <f t="shared" si="36"/>
        <v>0</v>
      </c>
      <c r="AH97" s="2">
        <f t="shared" si="37"/>
        <v>1</v>
      </c>
      <c r="AI97" s="2">
        <f t="shared" si="38"/>
        <v>0</v>
      </c>
    </row>
    <row r="98" spans="1:35" ht="14.25" customHeight="1" x14ac:dyDescent="0.25">
      <c r="A98" s="29">
        <v>0</v>
      </c>
      <c r="B98" s="29">
        <v>1</v>
      </c>
      <c r="C98" s="29">
        <v>7</v>
      </c>
      <c r="D98" s="30" t="s">
        <v>237</v>
      </c>
      <c r="E98" s="30" t="s">
        <v>238</v>
      </c>
      <c r="F98" s="30" t="s">
        <v>239</v>
      </c>
      <c r="G98" s="30" t="s">
        <v>96</v>
      </c>
      <c r="H98" s="30" t="s">
        <v>165</v>
      </c>
      <c r="I98" s="29" t="s">
        <v>240</v>
      </c>
      <c r="J98" s="29">
        <v>3</v>
      </c>
      <c r="K98" s="29" t="s">
        <v>321</v>
      </c>
      <c r="L98" s="29" t="s">
        <v>335</v>
      </c>
      <c r="M98" s="30" t="s">
        <v>340</v>
      </c>
      <c r="N98" s="30" t="s">
        <v>901</v>
      </c>
      <c r="O98" s="31">
        <v>1</v>
      </c>
      <c r="P98" s="31"/>
      <c r="Q98" s="30"/>
      <c r="S98" s="2">
        <f t="shared" si="23"/>
        <v>0</v>
      </c>
      <c r="T98" s="2">
        <f t="shared" si="24"/>
        <v>0</v>
      </c>
      <c r="U98" s="2">
        <f t="shared" si="25"/>
        <v>1</v>
      </c>
      <c r="V98" s="2">
        <f t="shared" si="26"/>
        <v>0</v>
      </c>
      <c r="W98" s="2">
        <f t="shared" si="27"/>
        <v>0</v>
      </c>
      <c r="X98" s="2">
        <f t="shared" si="28"/>
        <v>0</v>
      </c>
      <c r="Y98" s="2">
        <f t="shared" si="29"/>
        <v>0</v>
      </c>
      <c r="Z98" s="2">
        <f t="shared" si="30"/>
        <v>0</v>
      </c>
      <c r="AA98" s="2">
        <f t="shared" si="31"/>
        <v>0</v>
      </c>
      <c r="AB98" s="2">
        <f t="shared" si="32"/>
        <v>0</v>
      </c>
      <c r="AD98" s="2">
        <f t="shared" si="33"/>
        <v>0</v>
      </c>
      <c r="AE98" s="2">
        <f t="shared" si="34"/>
        <v>1</v>
      </c>
      <c r="AF98" s="2">
        <f t="shared" si="35"/>
        <v>0</v>
      </c>
      <c r="AG98" s="2">
        <f t="shared" si="36"/>
        <v>1</v>
      </c>
      <c r="AH98" s="2">
        <f t="shared" si="37"/>
        <v>0</v>
      </c>
      <c r="AI98" s="2">
        <f t="shared" si="38"/>
        <v>1</v>
      </c>
    </row>
    <row r="99" spans="1:35" ht="14.25" customHeight="1" x14ac:dyDescent="0.25">
      <c r="A99" s="29">
        <v>0</v>
      </c>
      <c r="B99" s="29">
        <v>1</v>
      </c>
      <c r="C99" s="29">
        <v>7</v>
      </c>
      <c r="D99" s="30" t="s">
        <v>230</v>
      </c>
      <c r="E99" s="30" t="s">
        <v>32</v>
      </c>
      <c r="F99" s="30" t="s">
        <v>666</v>
      </c>
      <c r="G99" s="30" t="s">
        <v>96</v>
      </c>
      <c r="H99" s="30" t="s">
        <v>165</v>
      </c>
      <c r="I99" s="29" t="s">
        <v>836</v>
      </c>
      <c r="J99" s="29">
        <v>1</v>
      </c>
      <c r="K99" s="29" t="s">
        <v>320</v>
      </c>
      <c r="L99" s="29" t="s">
        <v>343</v>
      </c>
      <c r="M99" s="30" t="s">
        <v>747</v>
      </c>
      <c r="N99" s="30" t="s">
        <v>894</v>
      </c>
      <c r="O99" s="31">
        <v>1</v>
      </c>
      <c r="P99" s="31"/>
      <c r="Q99" s="30"/>
      <c r="S99" s="2">
        <f t="shared" si="23"/>
        <v>1</v>
      </c>
      <c r="T99" s="2">
        <f t="shared" si="24"/>
        <v>0</v>
      </c>
      <c r="U99" s="2">
        <f t="shared" si="25"/>
        <v>0</v>
      </c>
      <c r="V99" s="2">
        <f t="shared" si="26"/>
        <v>0</v>
      </c>
      <c r="W99" s="2">
        <f t="shared" si="27"/>
        <v>0</v>
      </c>
      <c r="X99" s="2">
        <f t="shared" si="28"/>
        <v>0</v>
      </c>
      <c r="Y99" s="2">
        <f t="shared" si="29"/>
        <v>0</v>
      </c>
      <c r="Z99" s="2">
        <f t="shared" si="30"/>
        <v>0</v>
      </c>
      <c r="AA99" s="2">
        <f t="shared" si="31"/>
        <v>0</v>
      </c>
      <c r="AB99" s="2">
        <f t="shared" si="32"/>
        <v>0</v>
      </c>
      <c r="AD99" s="2">
        <f t="shared" si="33"/>
        <v>0</v>
      </c>
      <c r="AE99" s="2">
        <f t="shared" si="34"/>
        <v>1</v>
      </c>
      <c r="AF99" s="2">
        <f t="shared" si="35"/>
        <v>0</v>
      </c>
      <c r="AG99" s="2">
        <f t="shared" si="36"/>
        <v>1</v>
      </c>
      <c r="AH99" s="2">
        <f t="shared" si="37"/>
        <v>0</v>
      </c>
      <c r="AI99" s="2">
        <f t="shared" si="38"/>
        <v>1</v>
      </c>
    </row>
    <row r="100" spans="1:35" ht="14.25" customHeight="1" x14ac:dyDescent="0.25">
      <c r="A100" s="29">
        <v>1</v>
      </c>
      <c r="B100" s="29">
        <v>1</v>
      </c>
      <c r="C100" s="29">
        <v>7</v>
      </c>
      <c r="D100" s="30" t="s">
        <v>230</v>
      </c>
      <c r="E100" s="30" t="s">
        <v>32</v>
      </c>
      <c r="F100" s="30" t="s">
        <v>257</v>
      </c>
      <c r="G100" s="30" t="s">
        <v>38</v>
      </c>
      <c r="H100" s="30" t="s">
        <v>165</v>
      </c>
      <c r="I100" s="29" t="s">
        <v>231</v>
      </c>
      <c r="J100" s="29">
        <v>1</v>
      </c>
      <c r="K100" s="29" t="s">
        <v>320</v>
      </c>
      <c r="L100" s="29" t="s">
        <v>343</v>
      </c>
      <c r="M100" s="30" t="s">
        <v>747</v>
      </c>
      <c r="N100" s="30" t="s">
        <v>894</v>
      </c>
      <c r="O100" s="31">
        <v>1</v>
      </c>
      <c r="P100" s="31"/>
      <c r="Q100" s="30"/>
      <c r="S100" s="2">
        <f t="shared" si="23"/>
        <v>1</v>
      </c>
      <c r="T100" s="2">
        <f t="shared" si="24"/>
        <v>0</v>
      </c>
      <c r="U100" s="2">
        <f t="shared" si="25"/>
        <v>0</v>
      </c>
      <c r="V100" s="2">
        <f t="shared" si="26"/>
        <v>0</v>
      </c>
      <c r="W100" s="2">
        <f t="shared" si="27"/>
        <v>0</v>
      </c>
      <c r="X100" s="2">
        <f t="shared" si="28"/>
        <v>0</v>
      </c>
      <c r="Y100" s="2">
        <f t="shared" si="29"/>
        <v>0</v>
      </c>
      <c r="Z100" s="2">
        <f t="shared" si="30"/>
        <v>0</v>
      </c>
      <c r="AA100" s="2">
        <f t="shared" si="31"/>
        <v>0</v>
      </c>
      <c r="AB100" s="2">
        <f t="shared" si="32"/>
        <v>0</v>
      </c>
      <c r="AD100" s="2">
        <f t="shared" si="33"/>
        <v>0</v>
      </c>
      <c r="AE100" s="2">
        <f t="shared" si="34"/>
        <v>1</v>
      </c>
      <c r="AF100" s="2">
        <f t="shared" si="35"/>
        <v>0</v>
      </c>
      <c r="AG100" s="2">
        <f t="shared" si="36"/>
        <v>0</v>
      </c>
      <c r="AH100" s="2">
        <f t="shared" si="37"/>
        <v>0</v>
      </c>
      <c r="AI100" s="2">
        <f t="shared" si="38"/>
        <v>0</v>
      </c>
    </row>
    <row r="101" spans="1:35" ht="14.25" customHeight="1" x14ac:dyDescent="0.25">
      <c r="A101" s="29">
        <v>1</v>
      </c>
      <c r="B101" s="29">
        <v>1</v>
      </c>
      <c r="C101" s="29">
        <v>7</v>
      </c>
      <c r="D101" s="30" t="s">
        <v>230</v>
      </c>
      <c r="E101" s="30" t="s">
        <v>32</v>
      </c>
      <c r="F101" s="30" t="s">
        <v>472</v>
      </c>
      <c r="G101" s="30" t="s">
        <v>92</v>
      </c>
      <c r="H101" s="30" t="s">
        <v>165</v>
      </c>
      <c r="I101" s="29" t="s">
        <v>484</v>
      </c>
      <c r="J101" s="29">
        <v>2</v>
      </c>
      <c r="K101" s="29" t="s">
        <v>320</v>
      </c>
      <c r="L101" s="29" t="s">
        <v>343</v>
      </c>
      <c r="M101" s="30" t="s">
        <v>747</v>
      </c>
      <c r="N101" s="30" t="s">
        <v>894</v>
      </c>
      <c r="O101" s="31">
        <v>1</v>
      </c>
      <c r="P101" s="31"/>
      <c r="Q101" s="30"/>
      <c r="S101" s="2">
        <f t="shared" si="23"/>
        <v>0</v>
      </c>
      <c r="T101" s="2">
        <f t="shared" si="24"/>
        <v>1</v>
      </c>
      <c r="U101" s="2">
        <f t="shared" si="25"/>
        <v>0</v>
      </c>
      <c r="V101" s="2">
        <f t="shared" si="26"/>
        <v>0</v>
      </c>
      <c r="W101" s="2">
        <f t="shared" si="27"/>
        <v>0</v>
      </c>
      <c r="X101" s="2">
        <f t="shared" si="28"/>
        <v>0</v>
      </c>
      <c r="Y101" s="2">
        <f t="shared" si="29"/>
        <v>0</v>
      </c>
      <c r="Z101" s="2">
        <f t="shared" si="30"/>
        <v>0</v>
      </c>
      <c r="AA101" s="2">
        <f t="shared" si="31"/>
        <v>0</v>
      </c>
      <c r="AB101" s="2">
        <f t="shared" si="32"/>
        <v>0</v>
      </c>
      <c r="AD101" s="2">
        <f t="shared" si="33"/>
        <v>0</v>
      </c>
      <c r="AE101" s="2">
        <f t="shared" si="34"/>
        <v>1</v>
      </c>
      <c r="AF101" s="2">
        <f t="shared" si="35"/>
        <v>0</v>
      </c>
      <c r="AG101" s="2">
        <f t="shared" si="36"/>
        <v>0</v>
      </c>
      <c r="AH101" s="2">
        <f t="shared" si="37"/>
        <v>0</v>
      </c>
      <c r="AI101" s="2">
        <f t="shared" si="38"/>
        <v>0</v>
      </c>
    </row>
    <row r="102" spans="1:35" ht="14.25" customHeight="1" x14ac:dyDescent="0.25">
      <c r="A102" s="29">
        <v>0</v>
      </c>
      <c r="B102" s="29">
        <v>1</v>
      </c>
      <c r="C102" s="29">
        <v>7</v>
      </c>
      <c r="D102" s="30" t="s">
        <v>445</v>
      </c>
      <c r="E102" s="30" t="s">
        <v>32</v>
      </c>
      <c r="F102" s="30" t="s">
        <v>654</v>
      </c>
      <c r="G102" s="30" t="s">
        <v>96</v>
      </c>
      <c r="H102" s="30" t="s">
        <v>165</v>
      </c>
      <c r="I102" s="29" t="s">
        <v>655</v>
      </c>
      <c r="J102" s="29">
        <v>3</v>
      </c>
      <c r="K102" s="29" t="s">
        <v>320</v>
      </c>
      <c r="L102" s="29" t="s">
        <v>40</v>
      </c>
      <c r="M102" s="30" t="s">
        <v>40</v>
      </c>
      <c r="N102" s="30" t="s">
        <v>886</v>
      </c>
      <c r="O102" s="31">
        <v>1</v>
      </c>
      <c r="P102" s="31">
        <v>1</v>
      </c>
      <c r="Q102" s="30"/>
      <c r="S102" s="2">
        <f t="shared" si="23"/>
        <v>0</v>
      </c>
      <c r="T102" s="2">
        <f t="shared" si="24"/>
        <v>0</v>
      </c>
      <c r="U102" s="2">
        <f t="shared" si="25"/>
        <v>1</v>
      </c>
      <c r="V102" s="2">
        <f t="shared" si="26"/>
        <v>0</v>
      </c>
      <c r="W102" s="2">
        <f t="shared" si="27"/>
        <v>0</v>
      </c>
      <c r="X102" s="2">
        <f t="shared" si="28"/>
        <v>0</v>
      </c>
      <c r="Y102" s="2">
        <f t="shared" si="29"/>
        <v>0</v>
      </c>
      <c r="Z102" s="2">
        <f t="shared" si="30"/>
        <v>0</v>
      </c>
      <c r="AA102" s="2">
        <f t="shared" si="31"/>
        <v>0</v>
      </c>
      <c r="AB102" s="2">
        <f t="shared" si="32"/>
        <v>0</v>
      </c>
      <c r="AD102" s="2">
        <f t="shared" si="33"/>
        <v>1</v>
      </c>
      <c r="AE102" s="2">
        <f t="shared" si="34"/>
        <v>0</v>
      </c>
      <c r="AF102" s="2">
        <f t="shared" si="35"/>
        <v>1</v>
      </c>
      <c r="AG102" s="2">
        <f t="shared" si="36"/>
        <v>0</v>
      </c>
      <c r="AH102" s="2">
        <f t="shared" si="37"/>
        <v>1</v>
      </c>
      <c r="AI102" s="2">
        <f t="shared" si="38"/>
        <v>0</v>
      </c>
    </row>
    <row r="103" spans="1:35" ht="14.25" customHeight="1" x14ac:dyDescent="0.25">
      <c r="A103" s="29">
        <v>1</v>
      </c>
      <c r="B103" s="29">
        <v>1</v>
      </c>
      <c r="C103" s="29">
        <v>7</v>
      </c>
      <c r="D103" s="30" t="s">
        <v>445</v>
      </c>
      <c r="E103" s="30" t="s">
        <v>32</v>
      </c>
      <c r="F103" s="30" t="s">
        <v>446</v>
      </c>
      <c r="G103" s="30" t="s">
        <v>145</v>
      </c>
      <c r="H103" s="30" t="s">
        <v>165</v>
      </c>
      <c r="I103" s="29" t="s">
        <v>447</v>
      </c>
      <c r="J103" s="29">
        <v>2</v>
      </c>
      <c r="K103" s="29" t="s">
        <v>320</v>
      </c>
      <c r="L103" s="29" t="s">
        <v>40</v>
      </c>
      <c r="M103" s="30" t="s">
        <v>40</v>
      </c>
      <c r="N103" s="30" t="s">
        <v>886</v>
      </c>
      <c r="O103" s="31">
        <v>1</v>
      </c>
      <c r="P103" s="31">
        <v>1</v>
      </c>
      <c r="Q103" s="30"/>
      <c r="S103" s="2">
        <f t="shared" si="23"/>
        <v>0</v>
      </c>
      <c r="T103" s="2">
        <f t="shared" si="24"/>
        <v>1</v>
      </c>
      <c r="U103" s="2">
        <f t="shared" si="25"/>
        <v>0</v>
      </c>
      <c r="V103" s="2">
        <f t="shared" si="26"/>
        <v>0</v>
      </c>
      <c r="W103" s="2">
        <f t="shared" si="27"/>
        <v>0</v>
      </c>
      <c r="X103" s="2">
        <f t="shared" si="28"/>
        <v>0</v>
      </c>
      <c r="Y103" s="2">
        <f t="shared" si="29"/>
        <v>0</v>
      </c>
      <c r="Z103" s="2">
        <f t="shared" si="30"/>
        <v>0</v>
      </c>
      <c r="AA103" s="2">
        <f t="shared" si="31"/>
        <v>0</v>
      </c>
      <c r="AB103" s="2">
        <f t="shared" si="32"/>
        <v>0</v>
      </c>
      <c r="AD103" s="2">
        <f t="shared" si="33"/>
        <v>1</v>
      </c>
      <c r="AE103" s="2">
        <f t="shared" si="34"/>
        <v>0</v>
      </c>
      <c r="AF103" s="2">
        <f t="shared" si="35"/>
        <v>0</v>
      </c>
      <c r="AG103" s="2">
        <f t="shared" si="36"/>
        <v>0</v>
      </c>
      <c r="AH103" s="2">
        <f t="shared" si="37"/>
        <v>0</v>
      </c>
      <c r="AI103" s="2">
        <f t="shared" si="38"/>
        <v>0</v>
      </c>
    </row>
    <row r="104" spans="1:35" ht="14.25" customHeight="1" x14ac:dyDescent="0.25">
      <c r="A104" s="29">
        <v>1</v>
      </c>
      <c r="B104" s="29">
        <v>1</v>
      </c>
      <c r="C104" s="29">
        <v>7</v>
      </c>
      <c r="D104" s="30" t="s">
        <v>445</v>
      </c>
      <c r="E104" s="30" t="s">
        <v>32</v>
      </c>
      <c r="F104" s="30" t="s">
        <v>832</v>
      </c>
      <c r="G104" s="30" t="s">
        <v>124</v>
      </c>
      <c r="H104" s="30" t="s">
        <v>165</v>
      </c>
      <c r="I104" s="29" t="s">
        <v>846</v>
      </c>
      <c r="J104" s="29">
        <v>99</v>
      </c>
      <c r="K104" s="29" t="s">
        <v>320</v>
      </c>
      <c r="L104" s="29" t="s">
        <v>40</v>
      </c>
      <c r="M104" s="30" t="s">
        <v>40</v>
      </c>
      <c r="N104" s="30" t="s">
        <v>886</v>
      </c>
      <c r="O104" s="31">
        <v>1</v>
      </c>
      <c r="P104" s="31">
        <v>1</v>
      </c>
      <c r="Q104" s="30"/>
      <c r="S104" s="2">
        <f t="shared" si="23"/>
        <v>0</v>
      </c>
      <c r="T104" s="2">
        <f t="shared" si="24"/>
        <v>0</v>
      </c>
      <c r="U104" s="2">
        <f t="shared" si="25"/>
        <v>0</v>
      </c>
      <c r="V104" s="2">
        <f t="shared" si="26"/>
        <v>0</v>
      </c>
      <c r="W104" s="2">
        <f t="shared" si="27"/>
        <v>0</v>
      </c>
      <c r="X104" s="2">
        <f t="shared" si="28"/>
        <v>0</v>
      </c>
      <c r="Y104" s="2">
        <f t="shared" si="29"/>
        <v>0</v>
      </c>
      <c r="Z104" s="2">
        <f t="shared" si="30"/>
        <v>0</v>
      </c>
      <c r="AA104" s="2">
        <f t="shared" si="31"/>
        <v>0</v>
      </c>
      <c r="AB104" s="2">
        <f t="shared" si="32"/>
        <v>0</v>
      </c>
      <c r="AD104" s="2">
        <f t="shared" si="33"/>
        <v>1</v>
      </c>
      <c r="AE104" s="2">
        <f t="shared" si="34"/>
        <v>0</v>
      </c>
      <c r="AF104" s="2">
        <f t="shared" si="35"/>
        <v>0</v>
      </c>
      <c r="AG104" s="2">
        <f t="shared" si="36"/>
        <v>0</v>
      </c>
      <c r="AH104" s="2">
        <f t="shared" si="37"/>
        <v>0</v>
      </c>
      <c r="AI104" s="2">
        <f t="shared" si="38"/>
        <v>0</v>
      </c>
    </row>
    <row r="105" spans="1:35" ht="14.25" customHeight="1" x14ac:dyDescent="0.25">
      <c r="A105" s="29">
        <v>1</v>
      </c>
      <c r="B105" s="29">
        <v>1</v>
      </c>
      <c r="C105" s="29">
        <v>7</v>
      </c>
      <c r="D105" s="30" t="s">
        <v>445</v>
      </c>
      <c r="E105" s="30" t="s">
        <v>32</v>
      </c>
      <c r="F105" s="30" t="s">
        <v>833</v>
      </c>
      <c r="G105" s="30" t="s">
        <v>103</v>
      </c>
      <c r="H105" s="30" t="s">
        <v>165</v>
      </c>
      <c r="I105" s="29" t="s">
        <v>847</v>
      </c>
      <c r="J105" s="29">
        <v>2</v>
      </c>
      <c r="K105" s="29" t="s">
        <v>320</v>
      </c>
      <c r="L105" s="29" t="s">
        <v>40</v>
      </c>
      <c r="M105" s="30" t="s">
        <v>40</v>
      </c>
      <c r="N105" s="30" t="s">
        <v>886</v>
      </c>
      <c r="O105" s="31">
        <v>1</v>
      </c>
      <c r="P105" s="31">
        <v>1</v>
      </c>
      <c r="Q105" s="30"/>
      <c r="S105" s="2">
        <f t="shared" si="23"/>
        <v>0</v>
      </c>
      <c r="T105" s="2">
        <f t="shared" si="24"/>
        <v>1</v>
      </c>
      <c r="U105" s="2">
        <f t="shared" si="25"/>
        <v>0</v>
      </c>
      <c r="V105" s="2">
        <f t="shared" si="26"/>
        <v>0</v>
      </c>
      <c r="W105" s="2">
        <f t="shared" si="27"/>
        <v>0</v>
      </c>
      <c r="X105" s="2">
        <f t="shared" si="28"/>
        <v>0</v>
      </c>
      <c r="Y105" s="2">
        <f t="shared" si="29"/>
        <v>0</v>
      </c>
      <c r="Z105" s="2">
        <f t="shared" si="30"/>
        <v>0</v>
      </c>
      <c r="AA105" s="2">
        <f t="shared" si="31"/>
        <v>0</v>
      </c>
      <c r="AB105" s="2">
        <f t="shared" si="32"/>
        <v>0</v>
      </c>
      <c r="AD105" s="2">
        <f t="shared" si="33"/>
        <v>1</v>
      </c>
      <c r="AE105" s="2">
        <f t="shared" si="34"/>
        <v>0</v>
      </c>
      <c r="AF105" s="2">
        <f t="shared" si="35"/>
        <v>0</v>
      </c>
      <c r="AG105" s="2">
        <f t="shared" si="36"/>
        <v>0</v>
      </c>
      <c r="AH105" s="2">
        <f t="shared" si="37"/>
        <v>0</v>
      </c>
      <c r="AI105" s="2">
        <f t="shared" si="38"/>
        <v>0</v>
      </c>
    </row>
    <row r="106" spans="1:35" ht="14.25" customHeight="1" x14ac:dyDescent="0.25">
      <c r="A106" s="32">
        <v>0</v>
      </c>
      <c r="B106" s="32">
        <v>1</v>
      </c>
      <c r="C106" s="32">
        <v>7</v>
      </c>
      <c r="D106" s="33" t="s">
        <v>71</v>
      </c>
      <c r="E106" s="33" t="s">
        <v>32</v>
      </c>
      <c r="F106" s="33" t="s">
        <v>150</v>
      </c>
      <c r="G106" s="33" t="s">
        <v>92</v>
      </c>
      <c r="H106" s="33" t="s">
        <v>165</v>
      </c>
      <c r="I106" s="32" t="s">
        <v>194</v>
      </c>
      <c r="J106" s="32">
        <v>2</v>
      </c>
      <c r="K106" s="32" t="s">
        <v>320</v>
      </c>
      <c r="L106" s="32" t="s">
        <v>335</v>
      </c>
      <c r="M106" s="33" t="s">
        <v>268</v>
      </c>
      <c r="N106" s="33" t="s">
        <v>922</v>
      </c>
      <c r="O106" s="34"/>
      <c r="P106" s="34"/>
      <c r="Q106" s="33"/>
      <c r="S106" s="2">
        <f t="shared" si="23"/>
        <v>0</v>
      </c>
      <c r="T106" s="2">
        <f t="shared" si="24"/>
        <v>1</v>
      </c>
      <c r="U106" s="2">
        <f t="shared" si="25"/>
        <v>0</v>
      </c>
      <c r="V106" s="2">
        <f t="shared" si="26"/>
        <v>0</v>
      </c>
      <c r="W106" s="2">
        <f t="shared" si="27"/>
        <v>0</v>
      </c>
      <c r="X106" s="2">
        <f t="shared" si="28"/>
        <v>0</v>
      </c>
      <c r="Y106" s="2">
        <f t="shared" si="29"/>
        <v>0</v>
      </c>
      <c r="Z106" s="2">
        <f t="shared" si="30"/>
        <v>0</v>
      </c>
      <c r="AA106" s="2">
        <f t="shared" si="31"/>
        <v>0</v>
      </c>
      <c r="AB106" s="2">
        <f t="shared" si="32"/>
        <v>0</v>
      </c>
      <c r="AD106" s="2">
        <f t="shared" si="33"/>
        <v>0</v>
      </c>
      <c r="AE106" s="2">
        <f t="shared" si="34"/>
        <v>0</v>
      </c>
      <c r="AF106" s="2">
        <f t="shared" si="35"/>
        <v>0</v>
      </c>
      <c r="AG106" s="2">
        <f t="shared" si="36"/>
        <v>0</v>
      </c>
      <c r="AH106" s="2">
        <f t="shared" si="37"/>
        <v>0</v>
      </c>
      <c r="AI106" s="2">
        <f t="shared" si="38"/>
        <v>1</v>
      </c>
    </row>
    <row r="107" spans="1:35" ht="14.25" customHeight="1" x14ac:dyDescent="0.25">
      <c r="A107" s="32">
        <v>1</v>
      </c>
      <c r="B107" s="32">
        <v>1</v>
      </c>
      <c r="C107" s="32">
        <v>7</v>
      </c>
      <c r="D107" s="33" t="s">
        <v>71</v>
      </c>
      <c r="E107" s="33" t="s">
        <v>32</v>
      </c>
      <c r="F107" s="33" t="s">
        <v>315</v>
      </c>
      <c r="G107" s="33" t="s">
        <v>154</v>
      </c>
      <c r="H107" s="33" t="s">
        <v>165</v>
      </c>
      <c r="I107" s="32" t="s">
        <v>317</v>
      </c>
      <c r="J107" s="32">
        <v>99</v>
      </c>
      <c r="K107" s="32" t="s">
        <v>320</v>
      </c>
      <c r="L107" s="32" t="s">
        <v>335</v>
      </c>
      <c r="M107" s="33" t="s">
        <v>268</v>
      </c>
      <c r="N107" s="33" t="s">
        <v>922</v>
      </c>
      <c r="O107" s="34"/>
      <c r="P107" s="34"/>
      <c r="Q107" s="33"/>
      <c r="S107" s="2">
        <f t="shared" si="23"/>
        <v>0</v>
      </c>
      <c r="T107" s="2">
        <f t="shared" si="24"/>
        <v>0</v>
      </c>
      <c r="U107" s="2">
        <f t="shared" si="25"/>
        <v>0</v>
      </c>
      <c r="V107" s="2">
        <f t="shared" si="26"/>
        <v>0</v>
      </c>
      <c r="W107" s="2">
        <f t="shared" si="27"/>
        <v>0</v>
      </c>
      <c r="X107" s="2">
        <f t="shared" si="28"/>
        <v>0</v>
      </c>
      <c r="Y107" s="2">
        <f t="shared" si="29"/>
        <v>0</v>
      </c>
      <c r="Z107" s="2">
        <f t="shared" si="30"/>
        <v>0</v>
      </c>
      <c r="AA107" s="2">
        <f t="shared" si="31"/>
        <v>0</v>
      </c>
      <c r="AB107" s="2">
        <f t="shared" si="32"/>
        <v>0</v>
      </c>
      <c r="AD107" s="2">
        <f t="shared" si="33"/>
        <v>0</v>
      </c>
      <c r="AE107" s="2">
        <f t="shared" si="34"/>
        <v>0</v>
      </c>
      <c r="AF107" s="2">
        <f t="shared" si="35"/>
        <v>0</v>
      </c>
      <c r="AG107" s="2">
        <f t="shared" si="36"/>
        <v>0</v>
      </c>
      <c r="AH107" s="2">
        <f t="shared" si="37"/>
        <v>0</v>
      </c>
      <c r="AI107" s="2">
        <f t="shared" si="38"/>
        <v>0</v>
      </c>
    </row>
    <row r="108" spans="1:35" ht="14.25" customHeight="1" x14ac:dyDescent="0.25">
      <c r="A108" s="29">
        <v>0</v>
      </c>
      <c r="B108" s="29">
        <v>1</v>
      </c>
      <c r="C108" s="29">
        <v>7</v>
      </c>
      <c r="D108" s="30" t="s">
        <v>939</v>
      </c>
      <c r="E108" s="30" t="s">
        <v>32</v>
      </c>
      <c r="F108" s="30" t="s">
        <v>940</v>
      </c>
      <c r="G108" s="30"/>
      <c r="H108" s="30" t="s">
        <v>165</v>
      </c>
      <c r="I108" s="29" t="s">
        <v>941</v>
      </c>
      <c r="J108" s="29"/>
      <c r="K108" s="29" t="s">
        <v>377</v>
      </c>
      <c r="L108" s="29">
        <v>30</v>
      </c>
      <c r="M108" s="30" t="s">
        <v>942</v>
      </c>
      <c r="N108" s="30" t="s">
        <v>886</v>
      </c>
      <c r="O108" s="31">
        <v>1</v>
      </c>
      <c r="P108" s="31">
        <v>1</v>
      </c>
      <c r="Q108" s="30"/>
      <c r="S108" s="2">
        <f t="shared" si="23"/>
        <v>0</v>
      </c>
      <c r="T108" s="2">
        <f t="shared" si="24"/>
        <v>0</v>
      </c>
      <c r="U108" s="2">
        <f t="shared" si="25"/>
        <v>0</v>
      </c>
      <c r="V108" s="2">
        <f t="shared" si="26"/>
        <v>0</v>
      </c>
      <c r="W108" s="2">
        <f t="shared" si="27"/>
        <v>0</v>
      </c>
      <c r="X108" s="2">
        <f t="shared" si="28"/>
        <v>0</v>
      </c>
      <c r="Y108" s="2">
        <f t="shared" si="29"/>
        <v>0</v>
      </c>
      <c r="Z108" s="2">
        <f t="shared" si="30"/>
        <v>0</v>
      </c>
      <c r="AA108" s="2">
        <f t="shared" si="31"/>
        <v>0</v>
      </c>
      <c r="AB108" s="2">
        <f t="shared" si="32"/>
        <v>0</v>
      </c>
      <c r="AD108" s="2">
        <f t="shared" si="33"/>
        <v>1</v>
      </c>
      <c r="AE108" s="2">
        <f t="shared" si="34"/>
        <v>0</v>
      </c>
      <c r="AF108" s="2">
        <f t="shared" si="35"/>
        <v>1</v>
      </c>
      <c r="AG108" s="2">
        <f t="shared" si="36"/>
        <v>0</v>
      </c>
      <c r="AH108" s="2">
        <f t="shared" si="37"/>
        <v>1</v>
      </c>
      <c r="AI108" s="2">
        <f t="shared" si="38"/>
        <v>0</v>
      </c>
    </row>
    <row r="109" spans="1:35" ht="14.25" customHeight="1" x14ac:dyDescent="0.25">
      <c r="A109" s="32">
        <v>0</v>
      </c>
      <c r="B109" s="32">
        <v>1</v>
      </c>
      <c r="C109" s="32">
        <v>7</v>
      </c>
      <c r="D109" s="33" t="s">
        <v>954</v>
      </c>
      <c r="E109" s="33" t="s">
        <v>32</v>
      </c>
      <c r="F109" s="33" t="s">
        <v>955</v>
      </c>
      <c r="G109" s="33" t="s">
        <v>130</v>
      </c>
      <c r="H109" s="33" t="s">
        <v>165</v>
      </c>
      <c r="I109" s="32" t="s">
        <v>956</v>
      </c>
      <c r="J109" s="32">
        <v>10</v>
      </c>
      <c r="K109" s="32" t="s">
        <v>377</v>
      </c>
      <c r="L109" s="32">
        <v>40</v>
      </c>
      <c r="M109" s="33" t="s">
        <v>995</v>
      </c>
      <c r="N109" s="33" t="s">
        <v>902</v>
      </c>
      <c r="O109" s="34"/>
      <c r="P109" s="34"/>
      <c r="Q109" s="33"/>
      <c r="S109" s="2">
        <f t="shared" si="23"/>
        <v>0</v>
      </c>
      <c r="T109" s="2">
        <f t="shared" si="24"/>
        <v>0</v>
      </c>
      <c r="U109" s="2">
        <f t="shared" si="25"/>
        <v>0</v>
      </c>
      <c r="V109" s="2">
        <f t="shared" si="26"/>
        <v>0</v>
      </c>
      <c r="W109" s="2">
        <f t="shared" si="27"/>
        <v>0</v>
      </c>
      <c r="X109" s="2">
        <f t="shared" si="28"/>
        <v>0</v>
      </c>
      <c r="Y109" s="2">
        <f t="shared" si="29"/>
        <v>0</v>
      </c>
      <c r="Z109" s="2">
        <f t="shared" si="30"/>
        <v>0</v>
      </c>
      <c r="AA109" s="2">
        <f t="shared" si="31"/>
        <v>0</v>
      </c>
      <c r="AB109" s="2">
        <f t="shared" si="32"/>
        <v>1</v>
      </c>
      <c r="AD109" s="2">
        <f t="shared" si="33"/>
        <v>0</v>
      </c>
      <c r="AE109" s="2">
        <f t="shared" si="34"/>
        <v>0</v>
      </c>
      <c r="AF109" s="2">
        <f t="shared" si="35"/>
        <v>0</v>
      </c>
      <c r="AG109" s="2">
        <f t="shared" si="36"/>
        <v>0</v>
      </c>
      <c r="AH109" s="2">
        <f t="shared" si="37"/>
        <v>0</v>
      </c>
      <c r="AI109" s="2">
        <f t="shared" si="38"/>
        <v>1</v>
      </c>
    </row>
    <row r="110" spans="1:35" ht="14.25" customHeight="1" x14ac:dyDescent="0.25">
      <c r="A110" s="29">
        <v>0</v>
      </c>
      <c r="B110" s="29">
        <v>1</v>
      </c>
      <c r="C110" s="29">
        <v>7</v>
      </c>
      <c r="D110" s="30" t="s">
        <v>645</v>
      </c>
      <c r="E110" s="30" t="s">
        <v>32</v>
      </c>
      <c r="F110" s="30" t="s">
        <v>646</v>
      </c>
      <c r="G110" s="30" t="s">
        <v>117</v>
      </c>
      <c r="H110" s="30" t="s">
        <v>165</v>
      </c>
      <c r="I110" s="29" t="s">
        <v>691</v>
      </c>
      <c r="J110" s="29">
        <v>1</v>
      </c>
      <c r="K110" s="29" t="s">
        <v>320</v>
      </c>
      <c r="L110" s="29">
        <v>35</v>
      </c>
      <c r="M110" s="30" t="s">
        <v>996</v>
      </c>
      <c r="N110" s="30" t="s">
        <v>899</v>
      </c>
      <c r="O110" s="31">
        <v>1</v>
      </c>
      <c r="P110" s="31"/>
      <c r="Q110" s="30"/>
      <c r="S110" s="2">
        <f t="shared" si="23"/>
        <v>1</v>
      </c>
      <c r="T110" s="2">
        <f t="shared" si="24"/>
        <v>0</v>
      </c>
      <c r="U110" s="2">
        <f t="shared" si="25"/>
        <v>0</v>
      </c>
      <c r="V110" s="2">
        <f t="shared" si="26"/>
        <v>0</v>
      </c>
      <c r="W110" s="2">
        <f t="shared" si="27"/>
        <v>0</v>
      </c>
      <c r="X110" s="2">
        <f t="shared" si="28"/>
        <v>0</v>
      </c>
      <c r="Y110" s="2">
        <f t="shared" si="29"/>
        <v>0</v>
      </c>
      <c r="Z110" s="2">
        <f t="shared" si="30"/>
        <v>0</v>
      </c>
      <c r="AA110" s="2">
        <f t="shared" si="31"/>
        <v>0</v>
      </c>
      <c r="AB110" s="2">
        <f t="shared" si="32"/>
        <v>0</v>
      </c>
      <c r="AD110" s="2">
        <f t="shared" si="33"/>
        <v>0</v>
      </c>
      <c r="AE110" s="2">
        <f t="shared" si="34"/>
        <v>1</v>
      </c>
      <c r="AF110" s="2">
        <f t="shared" si="35"/>
        <v>0</v>
      </c>
      <c r="AG110" s="2">
        <f t="shared" si="36"/>
        <v>1</v>
      </c>
      <c r="AH110" s="2">
        <f t="shared" si="37"/>
        <v>0</v>
      </c>
      <c r="AI110" s="2">
        <f t="shared" si="38"/>
        <v>1</v>
      </c>
    </row>
    <row r="111" spans="1:35" ht="14.25" customHeight="1" x14ac:dyDescent="0.25">
      <c r="A111" s="29">
        <v>0</v>
      </c>
      <c r="B111" s="29">
        <v>1</v>
      </c>
      <c r="C111" s="29">
        <v>7</v>
      </c>
      <c r="D111" s="30" t="s">
        <v>547</v>
      </c>
      <c r="E111" s="30" t="s">
        <v>32</v>
      </c>
      <c r="F111" s="30" t="s">
        <v>548</v>
      </c>
      <c r="G111" s="30" t="s">
        <v>549</v>
      </c>
      <c r="H111" s="30" t="s">
        <v>165</v>
      </c>
      <c r="I111" s="29" t="s">
        <v>550</v>
      </c>
      <c r="J111" s="29">
        <v>99</v>
      </c>
      <c r="K111" s="29" t="s">
        <v>320</v>
      </c>
      <c r="L111" s="29">
        <v>30</v>
      </c>
      <c r="M111" s="30" t="s">
        <v>298</v>
      </c>
      <c r="N111" s="30" t="s">
        <v>906</v>
      </c>
      <c r="O111" s="31">
        <v>1</v>
      </c>
      <c r="P111" s="31"/>
      <c r="Q111" s="30"/>
      <c r="S111" s="2">
        <f t="shared" si="23"/>
        <v>0</v>
      </c>
      <c r="T111" s="2">
        <f t="shared" si="24"/>
        <v>0</v>
      </c>
      <c r="U111" s="2">
        <f t="shared" si="25"/>
        <v>0</v>
      </c>
      <c r="V111" s="2">
        <f t="shared" si="26"/>
        <v>0</v>
      </c>
      <c r="W111" s="2">
        <f t="shared" si="27"/>
        <v>0</v>
      </c>
      <c r="X111" s="2">
        <f t="shared" si="28"/>
        <v>0</v>
      </c>
      <c r="Y111" s="2">
        <f t="shared" si="29"/>
        <v>0</v>
      </c>
      <c r="Z111" s="2">
        <f t="shared" si="30"/>
        <v>0</v>
      </c>
      <c r="AA111" s="2">
        <f t="shared" si="31"/>
        <v>0</v>
      </c>
      <c r="AB111" s="2">
        <f t="shared" si="32"/>
        <v>0</v>
      </c>
      <c r="AD111" s="2">
        <f t="shared" si="33"/>
        <v>0</v>
      </c>
      <c r="AE111" s="2">
        <f t="shared" si="34"/>
        <v>1</v>
      </c>
      <c r="AF111" s="2">
        <f t="shared" si="35"/>
        <v>0</v>
      </c>
      <c r="AG111" s="2">
        <f t="shared" si="36"/>
        <v>1</v>
      </c>
      <c r="AH111" s="2">
        <f t="shared" si="37"/>
        <v>0</v>
      </c>
      <c r="AI111" s="2">
        <f t="shared" si="38"/>
        <v>1</v>
      </c>
    </row>
    <row r="112" spans="1:35" ht="14.25" customHeight="1" x14ac:dyDescent="0.25">
      <c r="A112" s="29">
        <v>1</v>
      </c>
      <c r="B112" s="29">
        <v>1</v>
      </c>
      <c r="C112" s="29">
        <v>7</v>
      </c>
      <c r="D112" s="30" t="s">
        <v>547</v>
      </c>
      <c r="E112" s="30" t="s">
        <v>32</v>
      </c>
      <c r="F112" s="30" t="s">
        <v>659</v>
      </c>
      <c r="G112" s="30" t="s">
        <v>40</v>
      </c>
      <c r="H112" s="30" t="s">
        <v>165</v>
      </c>
      <c r="I112" s="29" t="s">
        <v>692</v>
      </c>
      <c r="J112" s="29"/>
      <c r="K112" s="29" t="s">
        <v>320</v>
      </c>
      <c r="L112" s="29">
        <v>30</v>
      </c>
      <c r="M112" s="30" t="s">
        <v>298</v>
      </c>
      <c r="N112" s="30" t="s">
        <v>906</v>
      </c>
      <c r="O112" s="31">
        <v>1</v>
      </c>
      <c r="P112" s="31"/>
      <c r="Q112" s="30"/>
      <c r="S112" s="2">
        <f t="shared" si="23"/>
        <v>0</v>
      </c>
      <c r="T112" s="2">
        <f t="shared" si="24"/>
        <v>0</v>
      </c>
      <c r="U112" s="2">
        <f t="shared" si="25"/>
        <v>0</v>
      </c>
      <c r="V112" s="2">
        <f t="shared" si="26"/>
        <v>0</v>
      </c>
      <c r="W112" s="2">
        <f t="shared" si="27"/>
        <v>0</v>
      </c>
      <c r="X112" s="2">
        <f t="shared" si="28"/>
        <v>0</v>
      </c>
      <c r="Y112" s="2">
        <f t="shared" si="29"/>
        <v>0</v>
      </c>
      <c r="Z112" s="2">
        <f t="shared" si="30"/>
        <v>0</v>
      </c>
      <c r="AA112" s="2">
        <f t="shared" si="31"/>
        <v>0</v>
      </c>
      <c r="AB112" s="2">
        <f t="shared" si="32"/>
        <v>0</v>
      </c>
      <c r="AD112" s="2">
        <f t="shared" si="33"/>
        <v>0</v>
      </c>
      <c r="AE112" s="2">
        <f t="shared" si="34"/>
        <v>1</v>
      </c>
      <c r="AF112" s="2">
        <f t="shared" si="35"/>
        <v>0</v>
      </c>
      <c r="AG112" s="2">
        <f t="shared" si="36"/>
        <v>0</v>
      </c>
      <c r="AH112" s="2">
        <f t="shared" si="37"/>
        <v>0</v>
      </c>
      <c r="AI112" s="2">
        <f t="shared" si="38"/>
        <v>0</v>
      </c>
    </row>
    <row r="113" spans="1:35" ht="14.25" customHeight="1" x14ac:dyDescent="0.25">
      <c r="A113" s="20">
        <v>0</v>
      </c>
      <c r="B113" s="20">
        <v>1</v>
      </c>
      <c r="C113" s="20">
        <v>7</v>
      </c>
      <c r="D113" s="21" t="s">
        <v>957</v>
      </c>
      <c r="E113" s="21" t="s">
        <v>32</v>
      </c>
      <c r="F113" s="21" t="s">
        <v>958</v>
      </c>
      <c r="G113" s="21" t="s">
        <v>402</v>
      </c>
      <c r="H113" s="21" t="s">
        <v>165</v>
      </c>
      <c r="I113" s="20" t="s">
        <v>959</v>
      </c>
      <c r="J113" s="20"/>
      <c r="K113" s="20" t="s">
        <v>377</v>
      </c>
      <c r="L113" s="20">
        <v>50</v>
      </c>
      <c r="M113" s="21" t="s">
        <v>960</v>
      </c>
      <c r="N113" s="21"/>
      <c r="O113" s="7"/>
      <c r="P113" s="7"/>
      <c r="Q113" s="21"/>
      <c r="S113" s="2">
        <f t="shared" si="23"/>
        <v>0</v>
      </c>
      <c r="T113" s="2">
        <f t="shared" si="24"/>
        <v>0</v>
      </c>
      <c r="U113" s="2">
        <f t="shared" si="25"/>
        <v>0</v>
      </c>
      <c r="V113" s="2">
        <f t="shared" si="26"/>
        <v>0</v>
      </c>
      <c r="W113" s="2">
        <f t="shared" si="27"/>
        <v>0</v>
      </c>
      <c r="X113" s="2">
        <f t="shared" si="28"/>
        <v>0</v>
      </c>
      <c r="Y113" s="2">
        <f t="shared" si="29"/>
        <v>0</v>
      </c>
      <c r="Z113" s="2">
        <f t="shared" si="30"/>
        <v>0</v>
      </c>
      <c r="AA113" s="2">
        <f t="shared" si="31"/>
        <v>0</v>
      </c>
      <c r="AB113" s="2">
        <f t="shared" si="32"/>
        <v>0</v>
      </c>
      <c r="AD113" s="2">
        <f t="shared" si="33"/>
        <v>0</v>
      </c>
      <c r="AE113" s="2">
        <f t="shared" si="34"/>
        <v>0</v>
      </c>
      <c r="AF113" s="2">
        <f t="shared" si="35"/>
        <v>0</v>
      </c>
      <c r="AG113" s="2">
        <f t="shared" si="36"/>
        <v>0</v>
      </c>
      <c r="AH113" s="2">
        <f t="shared" si="37"/>
        <v>0</v>
      </c>
      <c r="AI113" s="2">
        <f t="shared" si="38"/>
        <v>1</v>
      </c>
    </row>
    <row r="114" spans="1:35" ht="14.25" customHeight="1" x14ac:dyDescent="0.25">
      <c r="A114" s="29">
        <v>0</v>
      </c>
      <c r="B114" s="29">
        <v>2</v>
      </c>
      <c r="C114" s="29">
        <v>1</v>
      </c>
      <c r="D114" s="30" t="s">
        <v>667</v>
      </c>
      <c r="E114" s="30" t="s">
        <v>44</v>
      </c>
      <c r="F114" s="30" t="s">
        <v>617</v>
      </c>
      <c r="G114" s="30" t="s">
        <v>470</v>
      </c>
      <c r="H114" s="30" t="s">
        <v>165</v>
      </c>
      <c r="I114" s="29" t="s">
        <v>618</v>
      </c>
      <c r="J114" s="29">
        <v>99</v>
      </c>
      <c r="K114" s="29" t="s">
        <v>318</v>
      </c>
      <c r="L114" s="29" t="s">
        <v>318</v>
      </c>
      <c r="M114" s="30" t="s">
        <v>269</v>
      </c>
      <c r="N114" s="30" t="s">
        <v>886</v>
      </c>
      <c r="O114" s="31">
        <v>1</v>
      </c>
      <c r="P114" s="31">
        <v>1</v>
      </c>
      <c r="Q114" s="30"/>
      <c r="S114" s="2">
        <f t="shared" si="23"/>
        <v>0</v>
      </c>
      <c r="T114" s="2">
        <f t="shared" si="24"/>
        <v>0</v>
      </c>
      <c r="U114" s="2">
        <f t="shared" si="25"/>
        <v>0</v>
      </c>
      <c r="V114" s="2">
        <f t="shared" si="26"/>
        <v>0</v>
      </c>
      <c r="W114" s="2">
        <f t="shared" si="27"/>
        <v>0</v>
      </c>
      <c r="X114" s="2">
        <f t="shared" si="28"/>
        <v>0</v>
      </c>
      <c r="Y114" s="2">
        <f t="shared" si="29"/>
        <v>0</v>
      </c>
      <c r="Z114" s="2">
        <f t="shared" si="30"/>
        <v>0</v>
      </c>
      <c r="AA114" s="2">
        <f t="shared" si="31"/>
        <v>0</v>
      </c>
      <c r="AB114" s="2">
        <f t="shared" si="32"/>
        <v>0</v>
      </c>
      <c r="AD114" s="2">
        <f t="shared" si="33"/>
        <v>1</v>
      </c>
      <c r="AE114" s="2">
        <f t="shared" si="34"/>
        <v>0</v>
      </c>
      <c r="AF114" s="2">
        <f t="shared" si="35"/>
        <v>1</v>
      </c>
      <c r="AG114" s="2">
        <f t="shared" si="36"/>
        <v>0</v>
      </c>
      <c r="AH114" s="2">
        <f t="shared" si="37"/>
        <v>1</v>
      </c>
      <c r="AI114" s="2">
        <f t="shared" si="38"/>
        <v>0</v>
      </c>
    </row>
    <row r="115" spans="1:35" ht="14.25" customHeight="1" x14ac:dyDescent="0.25">
      <c r="A115" s="29">
        <v>1</v>
      </c>
      <c r="B115" s="29">
        <v>2</v>
      </c>
      <c r="C115" s="29">
        <v>1</v>
      </c>
      <c r="D115" s="30" t="s">
        <v>667</v>
      </c>
      <c r="E115" s="30" t="s">
        <v>44</v>
      </c>
      <c r="F115" s="30" t="s">
        <v>619</v>
      </c>
      <c r="G115" s="30" t="s">
        <v>91</v>
      </c>
      <c r="H115" s="30" t="s">
        <v>165</v>
      </c>
      <c r="I115" s="29" t="s">
        <v>618</v>
      </c>
      <c r="J115" s="29">
        <v>1</v>
      </c>
      <c r="K115" s="29" t="s">
        <v>318</v>
      </c>
      <c r="L115" s="29" t="s">
        <v>318</v>
      </c>
      <c r="M115" s="30" t="s">
        <v>269</v>
      </c>
      <c r="N115" s="30" t="s">
        <v>886</v>
      </c>
      <c r="O115" s="31">
        <v>1</v>
      </c>
      <c r="P115" s="31">
        <v>1</v>
      </c>
      <c r="Q115" s="30"/>
      <c r="S115" s="2">
        <f t="shared" si="23"/>
        <v>1</v>
      </c>
      <c r="T115" s="2">
        <f t="shared" si="24"/>
        <v>0</v>
      </c>
      <c r="U115" s="2">
        <f t="shared" si="25"/>
        <v>0</v>
      </c>
      <c r="V115" s="2">
        <f t="shared" si="26"/>
        <v>0</v>
      </c>
      <c r="W115" s="2">
        <f t="shared" si="27"/>
        <v>0</v>
      </c>
      <c r="X115" s="2">
        <f t="shared" si="28"/>
        <v>0</v>
      </c>
      <c r="Y115" s="2">
        <f t="shared" si="29"/>
        <v>0</v>
      </c>
      <c r="Z115" s="2">
        <f t="shared" si="30"/>
        <v>0</v>
      </c>
      <c r="AA115" s="2">
        <f t="shared" si="31"/>
        <v>0</v>
      </c>
      <c r="AB115" s="2">
        <f t="shared" si="32"/>
        <v>0</v>
      </c>
      <c r="AD115" s="2">
        <f t="shared" si="33"/>
        <v>1</v>
      </c>
      <c r="AE115" s="2">
        <f t="shared" si="34"/>
        <v>0</v>
      </c>
      <c r="AF115" s="2">
        <f t="shared" si="35"/>
        <v>0</v>
      </c>
      <c r="AG115" s="2">
        <f t="shared" si="36"/>
        <v>0</v>
      </c>
      <c r="AH115" s="2">
        <f t="shared" si="37"/>
        <v>0</v>
      </c>
      <c r="AI115" s="2">
        <f t="shared" si="38"/>
        <v>0</v>
      </c>
    </row>
    <row r="116" spans="1:35" ht="14.25" customHeight="1" x14ac:dyDescent="0.25">
      <c r="A116" s="29">
        <v>0</v>
      </c>
      <c r="B116" s="29">
        <v>2</v>
      </c>
      <c r="C116" s="29">
        <v>1</v>
      </c>
      <c r="D116" s="30" t="s">
        <v>999</v>
      </c>
      <c r="E116" s="30" t="s">
        <v>44</v>
      </c>
      <c r="F116" s="30" t="s">
        <v>983</v>
      </c>
      <c r="G116" s="30" t="s">
        <v>137</v>
      </c>
      <c r="H116" s="30" t="s">
        <v>165</v>
      </c>
      <c r="I116" s="29" t="s">
        <v>33</v>
      </c>
      <c r="J116" s="29">
        <v>1</v>
      </c>
      <c r="K116" s="29" t="s">
        <v>377</v>
      </c>
      <c r="L116" s="29"/>
      <c r="M116" s="30"/>
      <c r="N116" s="30" t="s">
        <v>886</v>
      </c>
      <c r="O116" s="31">
        <v>1</v>
      </c>
      <c r="P116" s="31">
        <v>1</v>
      </c>
      <c r="Q116" s="30" t="s">
        <v>984</v>
      </c>
      <c r="S116" s="2">
        <f t="shared" si="23"/>
        <v>1</v>
      </c>
      <c r="T116" s="2">
        <f t="shared" si="24"/>
        <v>0</v>
      </c>
      <c r="U116" s="2">
        <f t="shared" si="25"/>
        <v>0</v>
      </c>
      <c r="V116" s="2">
        <f t="shared" si="26"/>
        <v>0</v>
      </c>
      <c r="W116" s="2">
        <f t="shared" si="27"/>
        <v>0</v>
      </c>
      <c r="X116" s="2">
        <f t="shared" si="28"/>
        <v>0</v>
      </c>
      <c r="Y116" s="2">
        <f t="shared" si="29"/>
        <v>0</v>
      </c>
      <c r="Z116" s="2">
        <f t="shared" si="30"/>
        <v>0</v>
      </c>
      <c r="AA116" s="2">
        <f t="shared" si="31"/>
        <v>0</v>
      </c>
      <c r="AB116" s="2">
        <f t="shared" si="32"/>
        <v>0</v>
      </c>
      <c r="AD116" s="2">
        <f t="shared" si="33"/>
        <v>1</v>
      </c>
      <c r="AE116" s="2">
        <f t="shared" si="34"/>
        <v>0</v>
      </c>
      <c r="AF116" s="2">
        <f t="shared" si="35"/>
        <v>1</v>
      </c>
      <c r="AG116" s="2">
        <f t="shared" si="36"/>
        <v>0</v>
      </c>
      <c r="AH116" s="2">
        <f t="shared" si="37"/>
        <v>1</v>
      </c>
      <c r="AI116" s="2">
        <f t="shared" si="38"/>
        <v>0</v>
      </c>
    </row>
    <row r="117" spans="1:35" ht="14.25" customHeight="1" x14ac:dyDescent="0.25">
      <c r="A117" s="20">
        <v>0</v>
      </c>
      <c r="B117" s="20">
        <v>2</v>
      </c>
      <c r="C117" s="20">
        <v>1</v>
      </c>
      <c r="D117" s="21" t="s">
        <v>790</v>
      </c>
      <c r="E117" s="21" t="s">
        <v>469</v>
      </c>
      <c r="F117" s="21" t="s">
        <v>791</v>
      </c>
      <c r="G117" s="21" t="s">
        <v>114</v>
      </c>
      <c r="H117" s="21" t="s">
        <v>165</v>
      </c>
      <c r="I117" s="20" t="s">
        <v>792</v>
      </c>
      <c r="J117" s="20">
        <v>99</v>
      </c>
      <c r="K117" s="20" t="s">
        <v>377</v>
      </c>
      <c r="L117" s="20">
        <v>6</v>
      </c>
      <c r="M117" s="21" t="s">
        <v>935</v>
      </c>
      <c r="N117" s="21"/>
      <c r="O117" s="7"/>
      <c r="P117" s="7"/>
      <c r="Q117" s="21"/>
      <c r="S117" s="2">
        <f t="shared" si="23"/>
        <v>0</v>
      </c>
      <c r="T117" s="2">
        <f t="shared" si="24"/>
        <v>0</v>
      </c>
      <c r="U117" s="2">
        <f t="shared" si="25"/>
        <v>0</v>
      </c>
      <c r="V117" s="2">
        <f t="shared" si="26"/>
        <v>0</v>
      </c>
      <c r="W117" s="2">
        <f t="shared" si="27"/>
        <v>0</v>
      </c>
      <c r="X117" s="2">
        <f t="shared" si="28"/>
        <v>0</v>
      </c>
      <c r="Y117" s="2">
        <f t="shared" si="29"/>
        <v>0</v>
      </c>
      <c r="Z117" s="2">
        <f t="shared" si="30"/>
        <v>0</v>
      </c>
      <c r="AA117" s="2">
        <f t="shared" si="31"/>
        <v>0</v>
      </c>
      <c r="AB117" s="2">
        <f t="shared" si="32"/>
        <v>0</v>
      </c>
      <c r="AD117" s="2">
        <f t="shared" si="33"/>
        <v>0</v>
      </c>
      <c r="AE117" s="2">
        <f t="shared" si="34"/>
        <v>0</v>
      </c>
      <c r="AF117" s="2">
        <f t="shared" si="35"/>
        <v>0</v>
      </c>
      <c r="AG117" s="2">
        <f t="shared" si="36"/>
        <v>0</v>
      </c>
      <c r="AH117" s="2">
        <f t="shared" si="37"/>
        <v>0</v>
      </c>
      <c r="AI117" s="2">
        <f t="shared" si="38"/>
        <v>1</v>
      </c>
    </row>
    <row r="118" spans="1:35" ht="14.25" customHeight="1" x14ac:dyDescent="0.25">
      <c r="A118" s="29">
        <v>0</v>
      </c>
      <c r="B118" s="29">
        <v>2</v>
      </c>
      <c r="C118" s="29">
        <v>1</v>
      </c>
      <c r="D118" s="30" t="s">
        <v>785</v>
      </c>
      <c r="E118" s="30" t="s">
        <v>469</v>
      </c>
      <c r="F118" s="30" t="s">
        <v>786</v>
      </c>
      <c r="G118" s="30" t="s">
        <v>103</v>
      </c>
      <c r="H118" s="30" t="s">
        <v>165</v>
      </c>
      <c r="I118" s="29" t="s">
        <v>787</v>
      </c>
      <c r="J118" s="29">
        <v>2</v>
      </c>
      <c r="K118" s="29" t="s">
        <v>321</v>
      </c>
      <c r="L118" s="29">
        <v>15</v>
      </c>
      <c r="M118" s="30" t="s">
        <v>859</v>
      </c>
      <c r="N118" s="30" t="s">
        <v>886</v>
      </c>
      <c r="O118" s="31">
        <v>1</v>
      </c>
      <c r="P118" s="31">
        <v>1</v>
      </c>
      <c r="Q118" s="30"/>
      <c r="S118" s="2">
        <f t="shared" si="23"/>
        <v>0</v>
      </c>
      <c r="T118" s="2">
        <f t="shared" si="24"/>
        <v>1</v>
      </c>
      <c r="U118" s="2">
        <f t="shared" si="25"/>
        <v>0</v>
      </c>
      <c r="V118" s="2">
        <f t="shared" si="26"/>
        <v>0</v>
      </c>
      <c r="W118" s="2">
        <f t="shared" si="27"/>
        <v>0</v>
      </c>
      <c r="X118" s="2">
        <f t="shared" si="28"/>
        <v>0</v>
      </c>
      <c r="Y118" s="2">
        <f t="shared" si="29"/>
        <v>0</v>
      </c>
      <c r="Z118" s="2">
        <f t="shared" si="30"/>
        <v>0</v>
      </c>
      <c r="AA118" s="2">
        <f t="shared" si="31"/>
        <v>0</v>
      </c>
      <c r="AB118" s="2">
        <f t="shared" si="32"/>
        <v>0</v>
      </c>
      <c r="AD118" s="2">
        <f t="shared" si="33"/>
        <v>1</v>
      </c>
      <c r="AE118" s="2">
        <f t="shared" si="34"/>
        <v>0</v>
      </c>
      <c r="AF118" s="2">
        <f t="shared" si="35"/>
        <v>1</v>
      </c>
      <c r="AG118" s="2">
        <f t="shared" si="36"/>
        <v>0</v>
      </c>
      <c r="AH118" s="2">
        <f t="shared" si="37"/>
        <v>1</v>
      </c>
      <c r="AI118" s="2">
        <f t="shared" si="38"/>
        <v>0</v>
      </c>
    </row>
    <row r="119" spans="1:35" ht="14.25" customHeight="1" x14ac:dyDescent="0.25">
      <c r="A119" s="29">
        <v>0</v>
      </c>
      <c r="B119" s="29">
        <v>2</v>
      </c>
      <c r="C119" s="29">
        <v>1</v>
      </c>
      <c r="D119" s="30" t="s">
        <v>530</v>
      </c>
      <c r="E119" s="30" t="s">
        <v>469</v>
      </c>
      <c r="F119" s="30" t="s">
        <v>535</v>
      </c>
      <c r="G119" s="30" t="s">
        <v>470</v>
      </c>
      <c r="H119" s="30" t="s">
        <v>165</v>
      </c>
      <c r="I119" s="29" t="s">
        <v>537</v>
      </c>
      <c r="J119" s="29">
        <v>99</v>
      </c>
      <c r="K119" s="29" t="s">
        <v>318</v>
      </c>
      <c r="L119" s="29">
        <v>13</v>
      </c>
      <c r="M119" s="30" t="s">
        <v>859</v>
      </c>
      <c r="N119" s="30" t="s">
        <v>886</v>
      </c>
      <c r="O119" s="31">
        <v>1</v>
      </c>
      <c r="P119" s="31">
        <v>1</v>
      </c>
      <c r="Q119" s="30"/>
      <c r="S119" s="2">
        <f t="shared" si="23"/>
        <v>0</v>
      </c>
      <c r="T119" s="2">
        <f t="shared" si="24"/>
        <v>0</v>
      </c>
      <c r="U119" s="2">
        <f t="shared" si="25"/>
        <v>0</v>
      </c>
      <c r="V119" s="2">
        <f t="shared" si="26"/>
        <v>0</v>
      </c>
      <c r="W119" s="2">
        <f t="shared" si="27"/>
        <v>0</v>
      </c>
      <c r="X119" s="2">
        <f t="shared" si="28"/>
        <v>0</v>
      </c>
      <c r="Y119" s="2">
        <f t="shared" si="29"/>
        <v>0</v>
      </c>
      <c r="Z119" s="2">
        <f t="shared" si="30"/>
        <v>0</v>
      </c>
      <c r="AA119" s="2">
        <f t="shared" si="31"/>
        <v>0</v>
      </c>
      <c r="AB119" s="2">
        <f t="shared" si="32"/>
        <v>0</v>
      </c>
      <c r="AD119" s="2">
        <f t="shared" si="33"/>
        <v>1</v>
      </c>
      <c r="AE119" s="2">
        <f t="shared" si="34"/>
        <v>0</v>
      </c>
      <c r="AF119" s="2">
        <f t="shared" si="35"/>
        <v>1</v>
      </c>
      <c r="AG119" s="2">
        <f t="shared" si="36"/>
        <v>0</v>
      </c>
      <c r="AH119" s="2">
        <f t="shared" si="37"/>
        <v>1</v>
      </c>
      <c r="AI119" s="2">
        <f t="shared" si="38"/>
        <v>0</v>
      </c>
    </row>
    <row r="120" spans="1:35" ht="14.25" customHeight="1" x14ac:dyDescent="0.25">
      <c r="A120" s="29">
        <v>1</v>
      </c>
      <c r="B120" s="29">
        <v>2</v>
      </c>
      <c r="C120" s="29">
        <v>1</v>
      </c>
      <c r="D120" s="30" t="s">
        <v>530</v>
      </c>
      <c r="E120" s="30" t="s">
        <v>469</v>
      </c>
      <c r="F120" s="30" t="s">
        <v>531</v>
      </c>
      <c r="G120" s="30" t="s">
        <v>92</v>
      </c>
      <c r="H120" s="30" t="s">
        <v>165</v>
      </c>
      <c r="I120" s="29" t="s">
        <v>532</v>
      </c>
      <c r="J120" s="29">
        <v>2</v>
      </c>
      <c r="K120" s="29" t="s">
        <v>318</v>
      </c>
      <c r="L120" s="29">
        <v>13</v>
      </c>
      <c r="M120" s="30" t="s">
        <v>859</v>
      </c>
      <c r="N120" s="30" t="s">
        <v>886</v>
      </c>
      <c r="O120" s="31">
        <v>1</v>
      </c>
      <c r="P120" s="31">
        <v>1</v>
      </c>
      <c r="Q120" s="30"/>
      <c r="S120" s="2">
        <f t="shared" si="23"/>
        <v>0</v>
      </c>
      <c r="T120" s="2">
        <f t="shared" si="24"/>
        <v>1</v>
      </c>
      <c r="U120" s="2">
        <f t="shared" si="25"/>
        <v>0</v>
      </c>
      <c r="V120" s="2">
        <f t="shared" si="26"/>
        <v>0</v>
      </c>
      <c r="W120" s="2">
        <f t="shared" si="27"/>
        <v>0</v>
      </c>
      <c r="X120" s="2">
        <f t="shared" si="28"/>
        <v>0</v>
      </c>
      <c r="Y120" s="2">
        <f t="shared" si="29"/>
        <v>0</v>
      </c>
      <c r="Z120" s="2">
        <f t="shared" si="30"/>
        <v>0</v>
      </c>
      <c r="AA120" s="2">
        <f t="shared" si="31"/>
        <v>0</v>
      </c>
      <c r="AB120" s="2">
        <f t="shared" si="32"/>
        <v>0</v>
      </c>
      <c r="AD120" s="2">
        <f t="shared" si="33"/>
        <v>1</v>
      </c>
      <c r="AE120" s="2">
        <f t="shared" si="34"/>
        <v>0</v>
      </c>
      <c r="AF120" s="2">
        <f t="shared" si="35"/>
        <v>0</v>
      </c>
      <c r="AG120" s="2">
        <f t="shared" si="36"/>
        <v>0</v>
      </c>
      <c r="AH120" s="2">
        <f t="shared" si="37"/>
        <v>0</v>
      </c>
      <c r="AI120" s="2">
        <f t="shared" si="38"/>
        <v>0</v>
      </c>
    </row>
    <row r="121" spans="1:35" ht="14.25" customHeight="1" x14ac:dyDescent="0.25">
      <c r="A121" s="29">
        <v>1</v>
      </c>
      <c r="B121" s="29">
        <v>2</v>
      </c>
      <c r="C121" s="29">
        <v>1</v>
      </c>
      <c r="D121" s="30" t="s">
        <v>530</v>
      </c>
      <c r="E121" s="30" t="s">
        <v>469</v>
      </c>
      <c r="F121" s="30" t="s">
        <v>536</v>
      </c>
      <c r="G121" s="30" t="s">
        <v>404</v>
      </c>
      <c r="H121" s="30" t="s">
        <v>165</v>
      </c>
      <c r="I121" s="29" t="s">
        <v>538</v>
      </c>
      <c r="J121" s="29">
        <v>99</v>
      </c>
      <c r="K121" s="29" t="s">
        <v>318</v>
      </c>
      <c r="L121" s="29">
        <v>13</v>
      </c>
      <c r="M121" s="30" t="s">
        <v>859</v>
      </c>
      <c r="N121" s="30" t="s">
        <v>886</v>
      </c>
      <c r="O121" s="31">
        <v>1</v>
      </c>
      <c r="P121" s="31">
        <v>1</v>
      </c>
      <c r="Q121" s="30"/>
      <c r="S121" s="2">
        <f t="shared" si="23"/>
        <v>0</v>
      </c>
      <c r="T121" s="2">
        <f t="shared" si="24"/>
        <v>0</v>
      </c>
      <c r="U121" s="2">
        <f t="shared" si="25"/>
        <v>0</v>
      </c>
      <c r="V121" s="2">
        <f t="shared" si="26"/>
        <v>0</v>
      </c>
      <c r="W121" s="2">
        <f t="shared" si="27"/>
        <v>0</v>
      </c>
      <c r="X121" s="2">
        <f t="shared" si="28"/>
        <v>0</v>
      </c>
      <c r="Y121" s="2">
        <f t="shared" si="29"/>
        <v>0</v>
      </c>
      <c r="Z121" s="2">
        <f t="shared" si="30"/>
        <v>0</v>
      </c>
      <c r="AA121" s="2">
        <f t="shared" si="31"/>
        <v>0</v>
      </c>
      <c r="AB121" s="2">
        <f t="shared" si="32"/>
        <v>0</v>
      </c>
      <c r="AD121" s="2">
        <f t="shared" si="33"/>
        <v>1</v>
      </c>
      <c r="AE121" s="2">
        <f t="shared" si="34"/>
        <v>0</v>
      </c>
      <c r="AF121" s="2">
        <f t="shared" si="35"/>
        <v>0</v>
      </c>
      <c r="AG121" s="2">
        <f t="shared" si="36"/>
        <v>0</v>
      </c>
      <c r="AH121" s="2">
        <f t="shared" si="37"/>
        <v>0</v>
      </c>
      <c r="AI121" s="2">
        <f t="shared" si="38"/>
        <v>0</v>
      </c>
    </row>
    <row r="122" spans="1:35" ht="14.25" customHeight="1" x14ac:dyDescent="0.25">
      <c r="A122" s="29">
        <v>1</v>
      </c>
      <c r="B122" s="29">
        <v>2</v>
      </c>
      <c r="C122" s="29">
        <v>1</v>
      </c>
      <c r="D122" s="30" t="s">
        <v>530</v>
      </c>
      <c r="E122" s="30" t="s">
        <v>469</v>
      </c>
      <c r="F122" s="30" t="s">
        <v>773</v>
      </c>
      <c r="G122" s="30" t="s">
        <v>774</v>
      </c>
      <c r="H122" s="30" t="s">
        <v>165</v>
      </c>
      <c r="I122" s="29" t="s">
        <v>33</v>
      </c>
      <c r="J122" s="29">
        <v>99</v>
      </c>
      <c r="K122" s="29" t="s">
        <v>318</v>
      </c>
      <c r="L122" s="29">
        <v>13</v>
      </c>
      <c r="M122" s="30" t="s">
        <v>859</v>
      </c>
      <c r="N122" s="30" t="s">
        <v>886</v>
      </c>
      <c r="O122" s="31">
        <v>1</v>
      </c>
      <c r="P122" s="31">
        <v>1</v>
      </c>
      <c r="Q122" s="30"/>
      <c r="S122" s="2">
        <f t="shared" si="23"/>
        <v>0</v>
      </c>
      <c r="T122" s="2">
        <f t="shared" si="24"/>
        <v>0</v>
      </c>
      <c r="U122" s="2">
        <f t="shared" si="25"/>
        <v>0</v>
      </c>
      <c r="V122" s="2">
        <f t="shared" si="26"/>
        <v>0</v>
      </c>
      <c r="W122" s="2">
        <f t="shared" si="27"/>
        <v>0</v>
      </c>
      <c r="X122" s="2">
        <f t="shared" si="28"/>
        <v>0</v>
      </c>
      <c r="Y122" s="2">
        <f t="shared" si="29"/>
        <v>0</v>
      </c>
      <c r="Z122" s="2">
        <f t="shared" si="30"/>
        <v>0</v>
      </c>
      <c r="AA122" s="2">
        <f t="shared" si="31"/>
        <v>0</v>
      </c>
      <c r="AB122" s="2">
        <f t="shared" si="32"/>
        <v>0</v>
      </c>
      <c r="AD122" s="2">
        <f t="shared" si="33"/>
        <v>1</v>
      </c>
      <c r="AE122" s="2">
        <f t="shared" si="34"/>
        <v>0</v>
      </c>
      <c r="AF122" s="2">
        <f t="shared" si="35"/>
        <v>0</v>
      </c>
      <c r="AG122" s="2">
        <f t="shared" si="36"/>
        <v>0</v>
      </c>
      <c r="AH122" s="2">
        <f t="shared" si="37"/>
        <v>0</v>
      </c>
      <c r="AI122" s="2">
        <f t="shared" si="38"/>
        <v>0</v>
      </c>
    </row>
    <row r="123" spans="1:35" ht="14.25" customHeight="1" x14ac:dyDescent="0.25">
      <c r="A123" s="29">
        <v>1</v>
      </c>
      <c r="B123" s="29">
        <v>2</v>
      </c>
      <c r="C123" s="29">
        <v>1</v>
      </c>
      <c r="D123" s="30" t="s">
        <v>530</v>
      </c>
      <c r="E123" s="30" t="s">
        <v>469</v>
      </c>
      <c r="F123" s="30" t="s">
        <v>775</v>
      </c>
      <c r="G123" s="30" t="s">
        <v>815</v>
      </c>
      <c r="H123" s="30" t="s">
        <v>165</v>
      </c>
      <c r="I123" s="29" t="s">
        <v>537</v>
      </c>
      <c r="J123" s="29">
        <v>3</v>
      </c>
      <c r="K123" s="29" t="s">
        <v>318</v>
      </c>
      <c r="L123" s="29">
        <v>13</v>
      </c>
      <c r="M123" s="30" t="s">
        <v>859</v>
      </c>
      <c r="N123" s="30" t="s">
        <v>886</v>
      </c>
      <c r="O123" s="31">
        <v>1</v>
      </c>
      <c r="P123" s="31">
        <v>1</v>
      </c>
      <c r="Q123" s="30"/>
      <c r="S123" s="2">
        <f t="shared" si="23"/>
        <v>0</v>
      </c>
      <c r="T123" s="2">
        <f t="shared" si="24"/>
        <v>0</v>
      </c>
      <c r="U123" s="2">
        <f t="shared" si="25"/>
        <v>1</v>
      </c>
      <c r="V123" s="2">
        <f t="shared" si="26"/>
        <v>0</v>
      </c>
      <c r="W123" s="2">
        <f t="shared" si="27"/>
        <v>0</v>
      </c>
      <c r="X123" s="2">
        <f t="shared" si="28"/>
        <v>0</v>
      </c>
      <c r="Y123" s="2">
        <f t="shared" si="29"/>
        <v>0</v>
      </c>
      <c r="Z123" s="2">
        <f t="shared" si="30"/>
        <v>0</v>
      </c>
      <c r="AA123" s="2">
        <f t="shared" si="31"/>
        <v>0</v>
      </c>
      <c r="AB123" s="2">
        <f t="shared" si="32"/>
        <v>0</v>
      </c>
      <c r="AD123" s="2">
        <f t="shared" si="33"/>
        <v>1</v>
      </c>
      <c r="AE123" s="2">
        <f t="shared" si="34"/>
        <v>0</v>
      </c>
      <c r="AF123" s="2">
        <f t="shared" si="35"/>
        <v>0</v>
      </c>
      <c r="AG123" s="2">
        <f t="shared" si="36"/>
        <v>0</v>
      </c>
      <c r="AH123" s="2">
        <f t="shared" si="37"/>
        <v>0</v>
      </c>
      <c r="AI123" s="2">
        <f t="shared" si="38"/>
        <v>0</v>
      </c>
    </row>
    <row r="124" spans="1:35" ht="14.25" customHeight="1" x14ac:dyDescent="0.25">
      <c r="A124" s="29">
        <v>0</v>
      </c>
      <c r="B124" s="29">
        <v>2</v>
      </c>
      <c r="C124" s="29">
        <v>1</v>
      </c>
      <c r="D124" s="30" t="s">
        <v>660</v>
      </c>
      <c r="E124" s="30" t="s">
        <v>35</v>
      </c>
      <c r="F124" s="30" t="s">
        <v>633</v>
      </c>
      <c r="G124" s="30" t="s">
        <v>685</v>
      </c>
      <c r="H124" s="30" t="s">
        <v>165</v>
      </c>
      <c r="I124" s="29" t="s">
        <v>634</v>
      </c>
      <c r="J124" s="29">
        <v>99</v>
      </c>
      <c r="K124" s="29" t="s">
        <v>318</v>
      </c>
      <c r="L124" s="29" t="s">
        <v>318</v>
      </c>
      <c r="M124" s="30" t="s">
        <v>269</v>
      </c>
      <c r="N124" s="30" t="s">
        <v>892</v>
      </c>
      <c r="O124" s="31">
        <v>1</v>
      </c>
      <c r="P124" s="31"/>
      <c r="Q124" s="30"/>
      <c r="S124" s="2">
        <f t="shared" si="23"/>
        <v>0</v>
      </c>
      <c r="T124" s="2">
        <f t="shared" si="24"/>
        <v>0</v>
      </c>
      <c r="U124" s="2">
        <f t="shared" si="25"/>
        <v>0</v>
      </c>
      <c r="V124" s="2">
        <f t="shared" si="26"/>
        <v>0</v>
      </c>
      <c r="W124" s="2">
        <f t="shared" si="27"/>
        <v>0</v>
      </c>
      <c r="X124" s="2">
        <f t="shared" si="28"/>
        <v>0</v>
      </c>
      <c r="Y124" s="2">
        <f t="shared" si="29"/>
        <v>0</v>
      </c>
      <c r="Z124" s="2">
        <f t="shared" si="30"/>
        <v>0</v>
      </c>
      <c r="AA124" s="2">
        <f t="shared" si="31"/>
        <v>0</v>
      </c>
      <c r="AB124" s="2">
        <f t="shared" si="32"/>
        <v>0</v>
      </c>
      <c r="AD124" s="2">
        <f t="shared" si="33"/>
        <v>0</v>
      </c>
      <c r="AE124" s="2">
        <f t="shared" si="34"/>
        <v>1</v>
      </c>
      <c r="AF124" s="2">
        <f t="shared" si="35"/>
        <v>0</v>
      </c>
      <c r="AG124" s="2">
        <f t="shared" si="36"/>
        <v>1</v>
      </c>
      <c r="AH124" s="2">
        <f t="shared" si="37"/>
        <v>0</v>
      </c>
      <c r="AI124" s="2">
        <f t="shared" si="38"/>
        <v>1</v>
      </c>
    </row>
    <row r="125" spans="1:35" ht="14.25" customHeight="1" x14ac:dyDescent="0.25">
      <c r="A125" s="29">
        <v>0</v>
      </c>
      <c r="B125" s="29">
        <v>2</v>
      </c>
      <c r="C125" s="29">
        <v>1</v>
      </c>
      <c r="D125" s="30" t="s">
        <v>929</v>
      </c>
      <c r="E125" s="30" t="s">
        <v>469</v>
      </c>
      <c r="F125" s="30" t="s">
        <v>930</v>
      </c>
      <c r="G125" s="30" t="s">
        <v>38</v>
      </c>
      <c r="H125" s="30" t="s">
        <v>165</v>
      </c>
      <c r="I125" s="29" t="s">
        <v>931</v>
      </c>
      <c r="J125" s="29">
        <v>1</v>
      </c>
      <c r="K125" s="29" t="s">
        <v>377</v>
      </c>
      <c r="L125" s="29"/>
      <c r="M125" s="30"/>
      <c r="N125" s="30" t="s">
        <v>886</v>
      </c>
      <c r="O125" s="31">
        <v>1</v>
      </c>
      <c r="P125" s="31">
        <v>1</v>
      </c>
      <c r="Q125" s="30"/>
      <c r="S125" s="2">
        <f t="shared" si="23"/>
        <v>1</v>
      </c>
      <c r="T125" s="2">
        <f t="shared" si="24"/>
        <v>0</v>
      </c>
      <c r="U125" s="2">
        <f t="shared" si="25"/>
        <v>0</v>
      </c>
      <c r="V125" s="2">
        <f t="shared" si="26"/>
        <v>0</v>
      </c>
      <c r="W125" s="2">
        <f t="shared" si="27"/>
        <v>0</v>
      </c>
      <c r="X125" s="2">
        <f t="shared" si="28"/>
        <v>0</v>
      </c>
      <c r="Y125" s="2">
        <f t="shared" si="29"/>
        <v>0</v>
      </c>
      <c r="Z125" s="2">
        <f t="shared" si="30"/>
        <v>0</v>
      </c>
      <c r="AA125" s="2">
        <f t="shared" si="31"/>
        <v>0</v>
      </c>
      <c r="AB125" s="2">
        <f t="shared" si="32"/>
        <v>0</v>
      </c>
      <c r="AD125" s="2">
        <f t="shared" si="33"/>
        <v>1</v>
      </c>
      <c r="AE125" s="2">
        <f t="shared" si="34"/>
        <v>0</v>
      </c>
      <c r="AF125" s="2">
        <f t="shared" si="35"/>
        <v>1</v>
      </c>
      <c r="AG125" s="2">
        <f t="shared" si="36"/>
        <v>0</v>
      </c>
      <c r="AH125" s="2">
        <f t="shared" si="37"/>
        <v>1</v>
      </c>
      <c r="AI125" s="2">
        <f t="shared" si="38"/>
        <v>0</v>
      </c>
    </row>
    <row r="126" spans="1:35" ht="14.25" customHeight="1" x14ac:dyDescent="0.25">
      <c r="A126" s="29">
        <v>0</v>
      </c>
      <c r="B126" s="29">
        <v>2</v>
      </c>
      <c r="C126" s="29">
        <v>1</v>
      </c>
      <c r="D126" s="30" t="s">
        <v>756</v>
      </c>
      <c r="E126" s="30" t="s">
        <v>469</v>
      </c>
      <c r="F126" s="30" t="s">
        <v>757</v>
      </c>
      <c r="G126" s="30" t="s">
        <v>816</v>
      </c>
      <c r="H126" s="30" t="s">
        <v>165</v>
      </c>
      <c r="I126" s="29" t="s">
        <v>758</v>
      </c>
      <c r="J126" s="29">
        <v>99</v>
      </c>
      <c r="K126" s="29" t="s">
        <v>320</v>
      </c>
      <c r="L126" s="29"/>
      <c r="M126" s="30" t="s">
        <v>704</v>
      </c>
      <c r="N126" s="30" t="s">
        <v>886</v>
      </c>
      <c r="O126" s="31">
        <v>1</v>
      </c>
      <c r="P126" s="31">
        <v>1</v>
      </c>
      <c r="Q126" s="30"/>
      <c r="S126" s="2">
        <f t="shared" si="23"/>
        <v>0</v>
      </c>
      <c r="T126" s="2">
        <f t="shared" si="24"/>
        <v>0</v>
      </c>
      <c r="U126" s="2">
        <f t="shared" si="25"/>
        <v>0</v>
      </c>
      <c r="V126" s="2">
        <f t="shared" si="26"/>
        <v>0</v>
      </c>
      <c r="W126" s="2">
        <f t="shared" si="27"/>
        <v>0</v>
      </c>
      <c r="X126" s="2">
        <f t="shared" si="28"/>
        <v>0</v>
      </c>
      <c r="Y126" s="2">
        <f t="shared" si="29"/>
        <v>0</v>
      </c>
      <c r="Z126" s="2">
        <f t="shared" si="30"/>
        <v>0</v>
      </c>
      <c r="AA126" s="2">
        <f t="shared" si="31"/>
        <v>0</v>
      </c>
      <c r="AB126" s="2">
        <f t="shared" si="32"/>
        <v>0</v>
      </c>
      <c r="AD126" s="2">
        <f t="shared" si="33"/>
        <v>1</v>
      </c>
      <c r="AE126" s="2">
        <f t="shared" si="34"/>
        <v>0</v>
      </c>
      <c r="AF126" s="2">
        <f t="shared" si="35"/>
        <v>1</v>
      </c>
      <c r="AG126" s="2">
        <f t="shared" si="36"/>
        <v>0</v>
      </c>
      <c r="AH126" s="2">
        <f t="shared" si="37"/>
        <v>1</v>
      </c>
      <c r="AI126" s="2">
        <f t="shared" si="38"/>
        <v>0</v>
      </c>
    </row>
    <row r="127" spans="1:35" ht="14.25" customHeight="1" x14ac:dyDescent="0.25">
      <c r="A127" s="29">
        <v>1</v>
      </c>
      <c r="B127" s="29">
        <v>2</v>
      </c>
      <c r="C127" s="29">
        <v>1</v>
      </c>
      <c r="D127" s="30" t="s">
        <v>756</v>
      </c>
      <c r="E127" s="30" t="s">
        <v>469</v>
      </c>
      <c r="F127" s="30" t="s">
        <v>1000</v>
      </c>
      <c r="G127" s="30" t="s">
        <v>1001</v>
      </c>
      <c r="H127" s="30" t="s">
        <v>165</v>
      </c>
      <c r="I127" s="29" t="s">
        <v>1002</v>
      </c>
      <c r="J127" s="29"/>
      <c r="K127" s="29" t="s">
        <v>320</v>
      </c>
      <c r="L127" s="29"/>
      <c r="M127" s="30" t="s">
        <v>704</v>
      </c>
      <c r="N127" s="30" t="s">
        <v>886</v>
      </c>
      <c r="O127" s="31">
        <v>1</v>
      </c>
      <c r="P127" s="31">
        <v>1</v>
      </c>
      <c r="Q127" s="30"/>
      <c r="S127" s="2">
        <f t="shared" ref="S127" si="39">IF(J127=$S$7,1,0)</f>
        <v>0</v>
      </c>
      <c r="T127" s="2">
        <f t="shared" ref="T127" si="40">IF(J127=$T$7,1,0)</f>
        <v>0</v>
      </c>
      <c r="U127" s="2">
        <f t="shared" ref="U127" si="41">IF(J127=$U$7,1,0)</f>
        <v>0</v>
      </c>
      <c r="V127" s="2">
        <f t="shared" ref="V127" si="42">IF(J127=$V$7,1,0)</f>
        <v>0</v>
      </c>
      <c r="W127" s="2">
        <f t="shared" ref="W127" si="43">IF(J127=$W$7,1,0)</f>
        <v>0</v>
      </c>
      <c r="X127" s="2">
        <f t="shared" ref="X127" si="44">IF(J127=$X$7,1,0)</f>
        <v>0</v>
      </c>
      <c r="Y127" s="2">
        <f t="shared" ref="Y127" si="45">IF(J127=$Y$7,1,0)</f>
        <v>0</v>
      </c>
      <c r="Z127" s="2">
        <f t="shared" ref="Z127" si="46">IF(J127=$Z$7,1,0)</f>
        <v>0</v>
      </c>
      <c r="AA127" s="2">
        <f t="shared" ref="AA127" si="47">IF(J127=$AA$7,1,0)</f>
        <v>0</v>
      </c>
      <c r="AB127" s="2">
        <f t="shared" ref="AB127" si="48">IF(J127=$AB$7,1,0)</f>
        <v>0</v>
      </c>
      <c r="AD127" s="2">
        <f t="shared" ref="AD127" si="49">+O127*P127</f>
        <v>1</v>
      </c>
      <c r="AE127" s="2">
        <f t="shared" ref="AE127" si="50">O127*(1-P127)</f>
        <v>0</v>
      </c>
      <c r="AF127" s="2">
        <f t="shared" ref="AF127" si="51">+O127*P127*(1-A127)</f>
        <v>0</v>
      </c>
      <c r="AG127" s="2">
        <f t="shared" ref="AG127" si="52">O127*(1-P127)*(1-A127)</f>
        <v>0</v>
      </c>
      <c r="AH127" s="2">
        <f t="shared" ref="AH127" si="53">+P127*(1-A127)</f>
        <v>0</v>
      </c>
      <c r="AI127" s="2">
        <f t="shared" ref="AI127" si="54">+(1-A127)*(1-P127)</f>
        <v>0</v>
      </c>
    </row>
    <row r="128" spans="1:35" ht="14.25" customHeight="1" x14ac:dyDescent="0.25">
      <c r="A128" s="29">
        <v>0</v>
      </c>
      <c r="B128" s="29">
        <v>2</v>
      </c>
      <c r="C128" s="29">
        <v>1</v>
      </c>
      <c r="D128" s="30" t="s">
        <v>677</v>
      </c>
      <c r="E128" s="30" t="s">
        <v>211</v>
      </c>
      <c r="F128" s="30" t="s">
        <v>223</v>
      </c>
      <c r="G128" s="30" t="s">
        <v>96</v>
      </c>
      <c r="H128" s="30" t="s">
        <v>165</v>
      </c>
      <c r="I128" s="29" t="s">
        <v>485</v>
      </c>
      <c r="J128" s="29">
        <v>3</v>
      </c>
      <c r="K128" s="29" t="s">
        <v>319</v>
      </c>
      <c r="L128" s="29" t="s">
        <v>318</v>
      </c>
      <c r="M128" s="30" t="s">
        <v>269</v>
      </c>
      <c r="N128" s="30" t="s">
        <v>886</v>
      </c>
      <c r="O128" s="31">
        <v>1</v>
      </c>
      <c r="P128" s="31">
        <v>1</v>
      </c>
      <c r="Q128" s="30"/>
      <c r="S128" s="2">
        <f t="shared" si="23"/>
        <v>0</v>
      </c>
      <c r="T128" s="2">
        <f t="shared" si="24"/>
        <v>0</v>
      </c>
      <c r="U128" s="2">
        <f t="shared" si="25"/>
        <v>1</v>
      </c>
      <c r="V128" s="2">
        <f t="shared" si="26"/>
        <v>0</v>
      </c>
      <c r="W128" s="2">
        <f t="shared" si="27"/>
        <v>0</v>
      </c>
      <c r="X128" s="2">
        <f t="shared" si="28"/>
        <v>0</v>
      </c>
      <c r="Y128" s="2">
        <f t="shared" si="29"/>
        <v>0</v>
      </c>
      <c r="Z128" s="2">
        <f t="shared" si="30"/>
        <v>0</v>
      </c>
      <c r="AA128" s="2">
        <f t="shared" si="31"/>
        <v>0</v>
      </c>
      <c r="AB128" s="2">
        <f t="shared" si="32"/>
        <v>0</v>
      </c>
      <c r="AD128" s="2">
        <f t="shared" si="33"/>
        <v>1</v>
      </c>
      <c r="AE128" s="2">
        <f t="shared" si="34"/>
        <v>0</v>
      </c>
      <c r="AF128" s="2">
        <f t="shared" si="35"/>
        <v>1</v>
      </c>
      <c r="AG128" s="2">
        <f t="shared" si="36"/>
        <v>0</v>
      </c>
      <c r="AH128" s="2">
        <f t="shared" si="37"/>
        <v>1</v>
      </c>
      <c r="AI128" s="2">
        <f t="shared" si="38"/>
        <v>0</v>
      </c>
    </row>
    <row r="129" spans="1:16384" s="3" customFormat="1" ht="14.25" customHeight="1" x14ac:dyDescent="0.25">
      <c r="A129" s="29">
        <v>1</v>
      </c>
      <c r="B129" s="29">
        <v>2</v>
      </c>
      <c r="C129" s="29">
        <v>1</v>
      </c>
      <c r="D129" s="30" t="s">
        <v>677</v>
      </c>
      <c r="E129" s="30" t="s">
        <v>211</v>
      </c>
      <c r="F129" s="30" t="s">
        <v>648</v>
      </c>
      <c r="G129" s="30" t="s">
        <v>92</v>
      </c>
      <c r="H129" s="30" t="s">
        <v>165</v>
      </c>
      <c r="I129" s="29" t="s">
        <v>649</v>
      </c>
      <c r="J129" s="29">
        <v>2</v>
      </c>
      <c r="K129" s="29" t="s">
        <v>319</v>
      </c>
      <c r="L129" s="29" t="s">
        <v>318</v>
      </c>
      <c r="M129" s="30" t="s">
        <v>269</v>
      </c>
      <c r="N129" s="30" t="s">
        <v>886</v>
      </c>
      <c r="O129" s="31">
        <v>1</v>
      </c>
      <c r="P129" s="31">
        <v>1</v>
      </c>
      <c r="Q129" s="30"/>
      <c r="R129" s="2"/>
      <c r="S129" s="2">
        <f t="shared" si="23"/>
        <v>0</v>
      </c>
      <c r="T129" s="2">
        <f t="shared" si="24"/>
        <v>1</v>
      </c>
      <c r="U129" s="2">
        <f t="shared" si="25"/>
        <v>0</v>
      </c>
      <c r="V129" s="2">
        <f t="shared" si="26"/>
        <v>0</v>
      </c>
      <c r="W129" s="2">
        <f t="shared" si="27"/>
        <v>0</v>
      </c>
      <c r="X129" s="2">
        <f t="shared" si="28"/>
        <v>0</v>
      </c>
      <c r="Y129" s="2">
        <f t="shared" si="29"/>
        <v>0</v>
      </c>
      <c r="Z129" s="2">
        <f t="shared" si="30"/>
        <v>0</v>
      </c>
      <c r="AA129" s="2">
        <f t="shared" si="31"/>
        <v>0</v>
      </c>
      <c r="AB129" s="2">
        <f t="shared" si="32"/>
        <v>0</v>
      </c>
      <c r="AC129" s="2"/>
      <c r="AD129" s="2">
        <f t="shared" si="33"/>
        <v>1</v>
      </c>
      <c r="AE129" s="2">
        <f t="shared" si="34"/>
        <v>0</v>
      </c>
      <c r="AF129" s="2">
        <f t="shared" si="35"/>
        <v>0</v>
      </c>
      <c r="AG129" s="2">
        <f t="shared" si="36"/>
        <v>0</v>
      </c>
      <c r="AH129" s="2">
        <f t="shared" si="37"/>
        <v>0</v>
      </c>
      <c r="AI129" s="2">
        <f t="shared" si="38"/>
        <v>0</v>
      </c>
    </row>
    <row r="130" spans="1:16384" s="3" customFormat="1" ht="14.25" customHeight="1" x14ac:dyDescent="0.25">
      <c r="A130" s="29">
        <v>1</v>
      </c>
      <c r="B130" s="29">
        <v>2</v>
      </c>
      <c r="C130" s="29">
        <v>1</v>
      </c>
      <c r="D130" s="30" t="s">
        <v>677</v>
      </c>
      <c r="E130" s="30" t="s">
        <v>211</v>
      </c>
      <c r="F130" s="30" t="s">
        <v>647</v>
      </c>
      <c r="G130" s="30" t="s">
        <v>40</v>
      </c>
      <c r="H130" s="30" t="s">
        <v>165</v>
      </c>
      <c r="I130" s="29" t="s">
        <v>650</v>
      </c>
      <c r="J130" s="29">
        <v>4</v>
      </c>
      <c r="K130" s="29" t="s">
        <v>319</v>
      </c>
      <c r="L130" s="29" t="s">
        <v>318</v>
      </c>
      <c r="M130" s="30" t="s">
        <v>269</v>
      </c>
      <c r="N130" s="30" t="s">
        <v>886</v>
      </c>
      <c r="O130" s="31">
        <v>1</v>
      </c>
      <c r="P130" s="31">
        <v>1</v>
      </c>
      <c r="Q130" s="30"/>
      <c r="R130" s="2"/>
      <c r="S130" s="2">
        <f t="shared" si="23"/>
        <v>0</v>
      </c>
      <c r="T130" s="2">
        <f t="shared" si="24"/>
        <v>0</v>
      </c>
      <c r="U130" s="2">
        <f t="shared" si="25"/>
        <v>0</v>
      </c>
      <c r="V130" s="2">
        <f t="shared" si="26"/>
        <v>1</v>
      </c>
      <c r="W130" s="2">
        <f t="shared" si="27"/>
        <v>0</v>
      </c>
      <c r="X130" s="2">
        <f t="shared" si="28"/>
        <v>0</v>
      </c>
      <c r="Y130" s="2">
        <f t="shared" si="29"/>
        <v>0</v>
      </c>
      <c r="Z130" s="2">
        <f t="shared" si="30"/>
        <v>0</v>
      </c>
      <c r="AA130" s="2">
        <f t="shared" si="31"/>
        <v>0</v>
      </c>
      <c r="AB130" s="2">
        <f t="shared" si="32"/>
        <v>0</v>
      </c>
      <c r="AC130" s="2"/>
      <c r="AD130" s="2">
        <f t="shared" si="33"/>
        <v>1</v>
      </c>
      <c r="AE130" s="2">
        <f t="shared" si="34"/>
        <v>0</v>
      </c>
      <c r="AF130" s="2">
        <f t="shared" si="35"/>
        <v>0</v>
      </c>
      <c r="AG130" s="2">
        <f t="shared" si="36"/>
        <v>0</v>
      </c>
      <c r="AH130" s="2">
        <f t="shared" si="37"/>
        <v>0</v>
      </c>
      <c r="AI130" s="2">
        <f t="shared" si="38"/>
        <v>0</v>
      </c>
    </row>
    <row r="131" spans="1:16384" s="3" customFormat="1" ht="14.25" customHeight="1" x14ac:dyDescent="0.25">
      <c r="A131" s="29">
        <v>0</v>
      </c>
      <c r="B131" s="29">
        <v>2</v>
      </c>
      <c r="C131" s="29">
        <v>1</v>
      </c>
      <c r="D131" s="30" t="s">
        <v>966</v>
      </c>
      <c r="E131" s="30" t="s">
        <v>469</v>
      </c>
      <c r="F131" s="30" t="s">
        <v>967</v>
      </c>
      <c r="G131" s="30"/>
      <c r="H131" s="30" t="s">
        <v>165</v>
      </c>
      <c r="I131" s="29" t="s">
        <v>968</v>
      </c>
      <c r="J131" s="29"/>
      <c r="K131" s="29" t="s">
        <v>377</v>
      </c>
      <c r="L131" s="29"/>
      <c r="M131" s="30"/>
      <c r="N131" s="30" t="s">
        <v>886</v>
      </c>
      <c r="O131" s="31">
        <v>1</v>
      </c>
      <c r="P131" s="31">
        <v>1</v>
      </c>
      <c r="Q131" s="30"/>
      <c r="R131" s="2"/>
      <c r="S131" s="2">
        <f t="shared" si="23"/>
        <v>0</v>
      </c>
      <c r="T131" s="2">
        <f t="shared" si="24"/>
        <v>0</v>
      </c>
      <c r="U131" s="2">
        <f t="shared" si="25"/>
        <v>0</v>
      </c>
      <c r="V131" s="2">
        <f t="shared" si="26"/>
        <v>0</v>
      </c>
      <c r="W131" s="2">
        <f t="shared" si="27"/>
        <v>0</v>
      </c>
      <c r="X131" s="2">
        <f t="shared" si="28"/>
        <v>0</v>
      </c>
      <c r="Y131" s="2">
        <f t="shared" si="29"/>
        <v>0</v>
      </c>
      <c r="Z131" s="2">
        <f t="shared" si="30"/>
        <v>0</v>
      </c>
      <c r="AA131" s="2">
        <f t="shared" si="31"/>
        <v>0</v>
      </c>
      <c r="AB131" s="2">
        <f t="shared" si="32"/>
        <v>0</v>
      </c>
      <c r="AC131" s="2"/>
      <c r="AD131" s="2">
        <f t="shared" si="33"/>
        <v>1</v>
      </c>
      <c r="AE131" s="2">
        <f t="shared" si="34"/>
        <v>0</v>
      </c>
      <c r="AF131" s="2">
        <f t="shared" si="35"/>
        <v>1</v>
      </c>
      <c r="AG131" s="2">
        <f t="shared" si="36"/>
        <v>0</v>
      </c>
      <c r="AH131" s="2">
        <f t="shared" si="37"/>
        <v>1</v>
      </c>
      <c r="AI131" s="2">
        <f t="shared" si="38"/>
        <v>0</v>
      </c>
    </row>
    <row r="132" spans="1:16384" s="3" customFormat="1" ht="14.25" customHeight="1" x14ac:dyDescent="0.25">
      <c r="A132" s="29">
        <v>0</v>
      </c>
      <c r="B132" s="29">
        <v>2</v>
      </c>
      <c r="C132" s="29">
        <v>1</v>
      </c>
      <c r="D132" s="30" t="s">
        <v>460</v>
      </c>
      <c r="E132" s="30" t="s">
        <v>467</v>
      </c>
      <c r="F132" s="30" t="s">
        <v>473</v>
      </c>
      <c r="G132" s="30" t="s">
        <v>474</v>
      </c>
      <c r="H132" s="30" t="s">
        <v>165</v>
      </c>
      <c r="I132" s="29" t="s">
        <v>408</v>
      </c>
      <c r="J132" s="29">
        <v>99</v>
      </c>
      <c r="K132" s="29" t="s">
        <v>320</v>
      </c>
      <c r="L132" s="29" t="s">
        <v>318</v>
      </c>
      <c r="M132" s="30" t="s">
        <v>269</v>
      </c>
      <c r="N132" s="30" t="s">
        <v>923</v>
      </c>
      <c r="O132" s="31">
        <v>1</v>
      </c>
      <c r="P132" s="31"/>
      <c r="Q132" s="30"/>
      <c r="R132" s="20"/>
      <c r="S132" s="2">
        <f t="shared" si="23"/>
        <v>0</v>
      </c>
      <c r="T132" s="2">
        <f t="shared" si="24"/>
        <v>0</v>
      </c>
      <c r="U132" s="2">
        <f t="shared" si="25"/>
        <v>0</v>
      </c>
      <c r="V132" s="2">
        <f t="shared" si="26"/>
        <v>0</v>
      </c>
      <c r="W132" s="2">
        <f t="shared" si="27"/>
        <v>0</v>
      </c>
      <c r="X132" s="2">
        <f t="shared" si="28"/>
        <v>0</v>
      </c>
      <c r="Y132" s="2">
        <f t="shared" si="29"/>
        <v>0</v>
      </c>
      <c r="Z132" s="2">
        <f t="shared" si="30"/>
        <v>0</v>
      </c>
      <c r="AA132" s="2">
        <f t="shared" si="31"/>
        <v>0</v>
      </c>
      <c r="AB132" s="2">
        <f t="shared" si="32"/>
        <v>0</v>
      </c>
      <c r="AC132" s="2"/>
      <c r="AD132" s="2">
        <f t="shared" si="33"/>
        <v>0</v>
      </c>
      <c r="AE132" s="2">
        <f t="shared" si="34"/>
        <v>1</v>
      </c>
      <c r="AF132" s="2">
        <f t="shared" si="35"/>
        <v>0</v>
      </c>
      <c r="AG132" s="2">
        <f t="shared" si="36"/>
        <v>1</v>
      </c>
      <c r="AH132" s="2">
        <f t="shared" si="37"/>
        <v>0</v>
      </c>
      <c r="AI132" s="2">
        <f t="shared" si="38"/>
        <v>1</v>
      </c>
      <c r="AJ132" s="20"/>
      <c r="AK132" s="20"/>
      <c r="AL132" s="21"/>
      <c r="AM132" s="21"/>
      <c r="AN132" s="21"/>
      <c r="AO132" s="21"/>
      <c r="AP132" s="21"/>
      <c r="AQ132" s="20"/>
      <c r="AR132" s="20"/>
      <c r="AS132" s="20"/>
      <c r="AT132" s="20"/>
      <c r="AU132" s="21"/>
      <c r="AV132" s="21"/>
      <c r="AW132" s="7"/>
      <c r="AX132" s="7"/>
      <c r="AY132" s="21"/>
      <c r="AZ132" s="20"/>
      <c r="BA132" s="20"/>
      <c r="BB132" s="20"/>
      <c r="BC132" s="21"/>
      <c r="BD132" s="21"/>
      <c r="BE132" s="21"/>
      <c r="BF132" s="21"/>
      <c r="BG132" s="21"/>
      <c r="BH132" s="20"/>
      <c r="BI132" s="20"/>
      <c r="BJ132" s="20"/>
      <c r="BK132" s="20"/>
      <c r="BL132" s="21"/>
      <c r="BM132" s="21"/>
      <c r="BN132" s="7"/>
      <c r="BO132" s="7"/>
      <c r="BP132" s="21"/>
      <c r="BQ132" s="20"/>
      <c r="BR132" s="20"/>
      <c r="BS132" s="20"/>
      <c r="BT132" s="21"/>
      <c r="BU132" s="21"/>
      <c r="BV132" s="21"/>
      <c r="BW132" s="21"/>
      <c r="BX132" s="21"/>
      <c r="BY132" s="20"/>
      <c r="BZ132" s="20"/>
      <c r="CA132" s="20"/>
      <c r="CB132" s="20"/>
      <c r="CC132" s="21"/>
      <c r="CD132" s="21"/>
      <c r="CE132" s="7"/>
      <c r="CF132" s="7"/>
      <c r="CG132" s="21"/>
      <c r="CH132" s="20"/>
      <c r="CI132" s="20"/>
      <c r="CJ132" s="20"/>
      <c r="CK132" s="21"/>
      <c r="CL132" s="21"/>
      <c r="CM132" s="21"/>
      <c r="CN132" s="21"/>
      <c r="CO132" s="21"/>
      <c r="CP132" s="20"/>
      <c r="CQ132" s="20"/>
      <c r="CR132" s="20"/>
      <c r="CS132" s="20"/>
      <c r="CT132" s="21"/>
      <c r="CU132" s="21"/>
      <c r="CV132" s="7"/>
      <c r="CW132" s="7"/>
      <c r="CX132" s="21"/>
      <c r="CY132" s="20"/>
      <c r="CZ132" s="20"/>
      <c r="DA132" s="20"/>
      <c r="DB132" s="21"/>
      <c r="DC132" s="21"/>
      <c r="DD132" s="21"/>
      <c r="DE132" s="21"/>
      <c r="DF132" s="21"/>
      <c r="DG132" s="20"/>
      <c r="DH132" s="20"/>
      <c r="DI132" s="20"/>
      <c r="DJ132" s="20"/>
      <c r="DK132" s="21"/>
      <c r="DL132" s="21"/>
      <c r="DM132" s="7"/>
      <c r="DN132" s="7"/>
      <c r="DO132" s="21"/>
      <c r="DP132" s="20"/>
      <c r="DQ132" s="20"/>
      <c r="DR132" s="20"/>
      <c r="DS132" s="21"/>
      <c r="DT132" s="21"/>
      <c r="DU132" s="21"/>
      <c r="DV132" s="21"/>
      <c r="DW132" s="21"/>
      <c r="DX132" s="20"/>
      <c r="DY132" s="20"/>
      <c r="DZ132" s="20"/>
      <c r="EA132" s="20"/>
      <c r="EB132" s="21"/>
      <c r="EC132" s="21"/>
      <c r="ED132" s="7"/>
      <c r="EE132" s="7"/>
      <c r="EF132" s="21"/>
      <c r="EG132" s="20"/>
      <c r="EH132" s="20"/>
      <c r="EI132" s="20"/>
      <c r="EJ132" s="21"/>
      <c r="EK132" s="21"/>
      <c r="EL132" s="21"/>
      <c r="EM132" s="21"/>
      <c r="EN132" s="21"/>
      <c r="EO132" s="20"/>
      <c r="EP132" s="20"/>
      <c r="EQ132" s="20"/>
      <c r="ER132" s="20"/>
      <c r="ES132" s="21"/>
      <c r="ET132" s="21"/>
      <c r="EU132" s="7"/>
      <c r="EV132" s="7"/>
      <c r="EW132" s="21"/>
      <c r="EX132" s="20"/>
      <c r="EY132" s="20"/>
      <c r="EZ132" s="20"/>
      <c r="FA132" s="21"/>
      <c r="FB132" s="21"/>
      <c r="FC132" s="21"/>
      <c r="FD132" s="21"/>
      <c r="FE132" s="21"/>
      <c r="FF132" s="20"/>
      <c r="FG132" s="20"/>
      <c r="FH132" s="20"/>
      <c r="FI132" s="20"/>
      <c r="FJ132" s="21"/>
      <c r="FK132" s="21"/>
      <c r="FL132" s="7"/>
      <c r="FM132" s="7"/>
      <c r="FN132" s="21"/>
      <c r="FO132" s="20"/>
      <c r="FP132" s="20"/>
      <c r="FQ132" s="20"/>
      <c r="FR132" s="21"/>
      <c r="FS132" s="21"/>
      <c r="FT132" s="21"/>
      <c r="FU132" s="21"/>
      <c r="FV132" s="21"/>
      <c r="FW132" s="20"/>
      <c r="FX132" s="20"/>
      <c r="FY132" s="20"/>
      <c r="FZ132" s="20"/>
      <c r="GA132" s="21"/>
      <c r="GB132" s="21"/>
      <c r="GC132" s="7"/>
      <c r="GD132" s="7"/>
      <c r="GE132" s="21"/>
      <c r="GF132" s="20"/>
      <c r="GG132" s="20"/>
      <c r="GH132" s="20"/>
      <c r="GI132" s="21"/>
      <c r="GJ132" s="21"/>
      <c r="GK132" s="21"/>
      <c r="GL132" s="21"/>
      <c r="GM132" s="21"/>
      <c r="GN132" s="20"/>
      <c r="GO132" s="20"/>
      <c r="GP132" s="20"/>
      <c r="GQ132" s="20"/>
      <c r="GR132" s="21"/>
      <c r="GS132" s="21"/>
      <c r="GT132" s="7"/>
      <c r="GU132" s="7"/>
      <c r="GV132" s="21"/>
      <c r="GW132" s="20"/>
      <c r="GX132" s="20"/>
      <c r="GY132" s="20"/>
      <c r="GZ132" s="21"/>
      <c r="HA132" s="21"/>
      <c r="HB132" s="21"/>
      <c r="HC132" s="21"/>
      <c r="HD132" s="21"/>
      <c r="HE132" s="20"/>
      <c r="HF132" s="20"/>
      <c r="HG132" s="20"/>
      <c r="HH132" s="20"/>
      <c r="HI132" s="21"/>
      <c r="HJ132" s="21"/>
      <c r="HK132" s="7"/>
      <c r="HL132" s="7"/>
      <c r="HM132" s="21"/>
      <c r="HN132" s="20"/>
      <c r="HO132" s="20"/>
      <c r="HP132" s="20"/>
      <c r="HQ132" s="21"/>
      <c r="HR132" s="21"/>
      <c r="HS132" s="21"/>
      <c r="HT132" s="21"/>
      <c r="HU132" s="21"/>
      <c r="HV132" s="20"/>
      <c r="HW132" s="20"/>
      <c r="HX132" s="20"/>
      <c r="HY132" s="20"/>
      <c r="HZ132" s="21"/>
      <c r="IA132" s="21"/>
      <c r="IB132" s="7"/>
      <c r="IC132" s="7"/>
      <c r="ID132" s="21"/>
      <c r="IE132" s="20"/>
      <c r="IF132" s="20"/>
      <c r="IG132" s="20"/>
      <c r="IH132" s="21"/>
      <c r="II132" s="21"/>
      <c r="IJ132" s="21"/>
      <c r="IK132" s="21"/>
      <c r="IL132" s="21"/>
      <c r="IM132" s="20"/>
      <c r="IN132" s="20"/>
      <c r="IO132" s="20"/>
      <c r="IP132" s="20"/>
      <c r="IQ132" s="21"/>
      <c r="IR132" s="21"/>
      <c r="IS132" s="7"/>
      <c r="IT132" s="7"/>
      <c r="IU132" s="21"/>
      <c r="IV132" s="20"/>
      <c r="IW132" s="20"/>
      <c r="IX132" s="20"/>
      <c r="IY132" s="21"/>
      <c r="IZ132" s="21"/>
      <c r="JA132" s="21"/>
      <c r="JB132" s="21"/>
      <c r="JC132" s="21"/>
      <c r="JD132" s="20"/>
      <c r="JE132" s="20"/>
      <c r="JF132" s="20"/>
      <c r="JG132" s="20"/>
      <c r="JH132" s="21"/>
      <c r="JI132" s="21"/>
      <c r="JJ132" s="7"/>
      <c r="JK132" s="7"/>
      <c r="JL132" s="21"/>
      <c r="JM132" s="20"/>
      <c r="JN132" s="20"/>
      <c r="JO132" s="20"/>
      <c r="JP132" s="21"/>
      <c r="JQ132" s="21"/>
      <c r="JR132" s="21"/>
      <c r="JS132" s="21"/>
      <c r="JT132" s="21"/>
      <c r="JU132" s="20"/>
      <c r="JV132" s="20"/>
      <c r="JW132" s="20"/>
      <c r="JX132" s="20"/>
      <c r="JY132" s="21"/>
      <c r="JZ132" s="21"/>
      <c r="KA132" s="7"/>
      <c r="KB132" s="7"/>
      <c r="KC132" s="21"/>
      <c r="KD132" s="20"/>
      <c r="KE132" s="20"/>
      <c r="KF132" s="20"/>
      <c r="KG132" s="21"/>
      <c r="KH132" s="21"/>
      <c r="KI132" s="21"/>
      <c r="KJ132" s="21"/>
      <c r="KK132" s="21"/>
      <c r="KL132" s="20"/>
      <c r="KM132" s="20"/>
      <c r="KN132" s="20"/>
      <c r="KO132" s="20"/>
      <c r="KP132" s="21"/>
      <c r="KQ132" s="21"/>
      <c r="KR132" s="7"/>
      <c r="KS132" s="7"/>
      <c r="KT132" s="21"/>
      <c r="KU132" s="20"/>
      <c r="KV132" s="20"/>
      <c r="KW132" s="20"/>
      <c r="KX132" s="21"/>
      <c r="KY132" s="21"/>
      <c r="KZ132" s="21"/>
      <c r="LA132" s="21"/>
      <c r="LB132" s="21"/>
      <c r="LC132" s="20"/>
      <c r="LD132" s="20"/>
      <c r="LE132" s="20"/>
      <c r="LF132" s="20"/>
      <c r="LG132" s="21"/>
      <c r="LH132" s="21"/>
      <c r="LI132" s="7"/>
      <c r="LJ132" s="7"/>
      <c r="LK132" s="21"/>
      <c r="LL132" s="20"/>
      <c r="LM132" s="20"/>
      <c r="LN132" s="20"/>
      <c r="LO132" s="21"/>
      <c r="LP132" s="21"/>
      <c r="LQ132" s="21"/>
      <c r="LR132" s="21"/>
      <c r="LS132" s="21"/>
      <c r="LT132" s="20"/>
      <c r="LU132" s="20"/>
      <c r="LV132" s="20"/>
      <c r="LW132" s="20"/>
      <c r="LX132" s="21"/>
      <c r="LY132" s="21"/>
      <c r="LZ132" s="7"/>
      <c r="MA132" s="7"/>
      <c r="MB132" s="21"/>
      <c r="MC132" s="20"/>
      <c r="MD132" s="20"/>
      <c r="ME132" s="20"/>
      <c r="MF132" s="21"/>
      <c r="MG132" s="21"/>
      <c r="MH132" s="21"/>
      <c r="MI132" s="21"/>
      <c r="MJ132" s="21"/>
      <c r="MK132" s="20"/>
      <c r="ML132" s="20"/>
      <c r="MM132" s="20"/>
      <c r="MN132" s="20"/>
      <c r="MO132" s="21"/>
      <c r="MP132" s="21"/>
      <c r="MQ132" s="7"/>
      <c r="MR132" s="7"/>
      <c r="MS132" s="21"/>
      <c r="MT132" s="20"/>
      <c r="MU132" s="20"/>
      <c r="MV132" s="20"/>
      <c r="MW132" s="21"/>
      <c r="MX132" s="21"/>
      <c r="MY132" s="21"/>
      <c r="MZ132" s="21"/>
      <c r="NA132" s="21"/>
      <c r="NB132" s="20"/>
      <c r="NC132" s="20"/>
      <c r="ND132" s="20"/>
      <c r="NE132" s="20"/>
      <c r="NF132" s="21"/>
      <c r="NG132" s="21"/>
      <c r="NH132" s="7"/>
      <c r="NI132" s="7"/>
      <c r="NJ132" s="21"/>
      <c r="NK132" s="20"/>
      <c r="NL132" s="20"/>
      <c r="NM132" s="20"/>
      <c r="NN132" s="21"/>
      <c r="NO132" s="21"/>
      <c r="NP132" s="21"/>
      <c r="NQ132" s="21"/>
      <c r="NR132" s="21"/>
      <c r="NS132" s="20"/>
      <c r="NT132" s="20"/>
      <c r="NU132" s="20"/>
      <c r="NV132" s="20"/>
      <c r="NW132" s="21"/>
      <c r="NX132" s="21"/>
      <c r="NY132" s="7"/>
      <c r="NZ132" s="7"/>
      <c r="OA132" s="21"/>
      <c r="OB132" s="20"/>
      <c r="OC132" s="20"/>
      <c r="OD132" s="20"/>
      <c r="OE132" s="21"/>
      <c r="OF132" s="21"/>
      <c r="OG132" s="21"/>
      <c r="OH132" s="21"/>
      <c r="OI132" s="21"/>
      <c r="OJ132" s="20"/>
      <c r="OK132" s="20"/>
      <c r="OL132" s="20"/>
      <c r="OM132" s="20"/>
      <c r="ON132" s="21"/>
      <c r="OO132" s="21"/>
      <c r="OP132" s="7"/>
      <c r="OQ132" s="7"/>
      <c r="OR132" s="21"/>
      <c r="OS132" s="20"/>
      <c r="OT132" s="20"/>
      <c r="OU132" s="20"/>
      <c r="OV132" s="21"/>
      <c r="OW132" s="21"/>
      <c r="OX132" s="21"/>
      <c r="OY132" s="21"/>
      <c r="OZ132" s="21"/>
      <c r="PA132" s="20"/>
      <c r="PB132" s="20"/>
      <c r="PC132" s="20"/>
      <c r="PD132" s="20"/>
      <c r="PE132" s="21"/>
      <c r="PF132" s="21"/>
      <c r="PG132" s="7"/>
      <c r="PH132" s="7"/>
      <c r="PI132" s="21"/>
      <c r="PJ132" s="20"/>
      <c r="PK132" s="20"/>
      <c r="PL132" s="20"/>
      <c r="PM132" s="21"/>
      <c r="PN132" s="21"/>
      <c r="PO132" s="21"/>
      <c r="PP132" s="21"/>
      <c r="PQ132" s="21"/>
      <c r="PR132" s="20"/>
      <c r="PS132" s="20"/>
      <c r="PT132" s="20"/>
      <c r="PU132" s="20"/>
      <c r="PV132" s="21"/>
      <c r="PW132" s="21"/>
      <c r="PX132" s="7"/>
      <c r="PY132" s="7"/>
      <c r="PZ132" s="21"/>
      <c r="QA132" s="20"/>
      <c r="QB132" s="20"/>
      <c r="QC132" s="20"/>
      <c r="QD132" s="21"/>
      <c r="QE132" s="21"/>
      <c r="QF132" s="21"/>
      <c r="QG132" s="21"/>
      <c r="QH132" s="21"/>
      <c r="QI132" s="20"/>
      <c r="QJ132" s="20"/>
      <c r="QK132" s="20"/>
      <c r="QL132" s="20"/>
      <c r="QM132" s="21"/>
      <c r="QN132" s="21"/>
      <c r="QO132" s="7"/>
      <c r="QP132" s="7"/>
      <c r="QQ132" s="21"/>
      <c r="QR132" s="20"/>
      <c r="QS132" s="20"/>
      <c r="QT132" s="20"/>
      <c r="QU132" s="21"/>
      <c r="QV132" s="21"/>
      <c r="QW132" s="21"/>
      <c r="QX132" s="21"/>
      <c r="QY132" s="21"/>
      <c r="QZ132" s="20"/>
      <c r="RA132" s="20"/>
      <c r="RB132" s="20"/>
      <c r="RC132" s="20"/>
      <c r="RD132" s="21"/>
      <c r="RE132" s="21"/>
      <c r="RF132" s="7"/>
      <c r="RG132" s="7"/>
      <c r="RH132" s="21"/>
      <c r="RI132" s="20"/>
      <c r="RJ132" s="20"/>
      <c r="RK132" s="20"/>
      <c r="RL132" s="21"/>
      <c r="RM132" s="21"/>
      <c r="RN132" s="21"/>
      <c r="RO132" s="21"/>
      <c r="RP132" s="21"/>
      <c r="RQ132" s="20"/>
      <c r="RR132" s="20"/>
      <c r="RS132" s="20"/>
      <c r="RT132" s="20"/>
      <c r="RU132" s="21"/>
      <c r="RV132" s="21"/>
      <c r="RW132" s="7"/>
      <c r="RX132" s="7"/>
      <c r="RY132" s="21"/>
      <c r="RZ132" s="20"/>
      <c r="SA132" s="20"/>
      <c r="SB132" s="20"/>
      <c r="SC132" s="21"/>
      <c r="SD132" s="21"/>
      <c r="SE132" s="21"/>
      <c r="SF132" s="21"/>
      <c r="SG132" s="21"/>
      <c r="SH132" s="20"/>
      <c r="SI132" s="20"/>
      <c r="SJ132" s="20"/>
      <c r="SK132" s="20"/>
      <c r="SL132" s="21"/>
      <c r="SM132" s="21"/>
      <c r="SN132" s="7"/>
      <c r="SO132" s="7"/>
      <c r="SP132" s="21"/>
      <c r="SQ132" s="20"/>
      <c r="SR132" s="20"/>
      <c r="SS132" s="20"/>
      <c r="ST132" s="21"/>
      <c r="SU132" s="21"/>
      <c r="SV132" s="21"/>
      <c r="SW132" s="21"/>
      <c r="SX132" s="21"/>
      <c r="SY132" s="20"/>
      <c r="SZ132" s="20"/>
      <c r="TA132" s="20"/>
      <c r="TB132" s="20"/>
      <c r="TC132" s="21"/>
      <c r="TD132" s="21"/>
      <c r="TE132" s="7"/>
      <c r="TF132" s="7"/>
      <c r="TG132" s="21"/>
      <c r="TH132" s="20"/>
      <c r="TI132" s="20"/>
      <c r="TJ132" s="20"/>
      <c r="TK132" s="21"/>
      <c r="TL132" s="21"/>
      <c r="TM132" s="21"/>
      <c r="TN132" s="21"/>
      <c r="TO132" s="21"/>
      <c r="TP132" s="20"/>
      <c r="TQ132" s="20"/>
      <c r="TR132" s="20"/>
      <c r="TS132" s="20"/>
      <c r="TT132" s="21"/>
      <c r="TU132" s="21"/>
      <c r="TV132" s="7"/>
      <c r="TW132" s="7"/>
      <c r="TX132" s="21"/>
      <c r="TY132" s="20"/>
      <c r="TZ132" s="20"/>
      <c r="UA132" s="20"/>
      <c r="UB132" s="21"/>
      <c r="UC132" s="21"/>
      <c r="UD132" s="21"/>
      <c r="UE132" s="21"/>
      <c r="UF132" s="21"/>
      <c r="UG132" s="20"/>
      <c r="UH132" s="20"/>
      <c r="UI132" s="20"/>
      <c r="UJ132" s="20"/>
      <c r="UK132" s="21"/>
      <c r="UL132" s="21"/>
      <c r="UM132" s="7"/>
      <c r="UN132" s="7"/>
      <c r="UO132" s="21"/>
      <c r="UP132" s="20"/>
      <c r="UQ132" s="20"/>
      <c r="UR132" s="20"/>
      <c r="US132" s="21"/>
      <c r="UT132" s="21"/>
      <c r="UU132" s="21"/>
      <c r="UV132" s="21"/>
      <c r="UW132" s="21"/>
      <c r="UX132" s="20"/>
      <c r="UY132" s="20"/>
      <c r="UZ132" s="20"/>
      <c r="VA132" s="20"/>
      <c r="VB132" s="21"/>
      <c r="VC132" s="21"/>
      <c r="VD132" s="7"/>
      <c r="VE132" s="7"/>
      <c r="VF132" s="21"/>
      <c r="VG132" s="20"/>
      <c r="VH132" s="20"/>
      <c r="VI132" s="20"/>
      <c r="VJ132" s="21"/>
      <c r="VK132" s="21"/>
      <c r="VL132" s="21"/>
      <c r="VM132" s="21"/>
      <c r="VN132" s="21"/>
      <c r="VO132" s="20"/>
      <c r="VP132" s="20"/>
      <c r="VQ132" s="20"/>
      <c r="VR132" s="20"/>
      <c r="VS132" s="21"/>
      <c r="VT132" s="21"/>
      <c r="VU132" s="7"/>
      <c r="VV132" s="7"/>
      <c r="VW132" s="21"/>
      <c r="VX132" s="20"/>
      <c r="VY132" s="20"/>
      <c r="VZ132" s="20"/>
      <c r="WA132" s="21"/>
      <c r="WB132" s="21"/>
      <c r="WC132" s="21"/>
      <c r="WD132" s="21"/>
      <c r="WE132" s="21"/>
      <c r="WF132" s="20"/>
      <c r="WG132" s="20"/>
      <c r="WH132" s="20"/>
      <c r="WI132" s="20"/>
      <c r="WJ132" s="21"/>
      <c r="WK132" s="21"/>
      <c r="WL132" s="7"/>
      <c r="WM132" s="7"/>
      <c r="WN132" s="21"/>
      <c r="WO132" s="20"/>
      <c r="WP132" s="20"/>
      <c r="WQ132" s="20"/>
      <c r="WR132" s="21"/>
      <c r="WS132" s="21"/>
      <c r="WT132" s="21"/>
      <c r="WU132" s="21"/>
      <c r="WV132" s="21"/>
      <c r="WW132" s="20"/>
      <c r="WX132" s="20"/>
      <c r="WY132" s="20"/>
      <c r="WZ132" s="20"/>
      <c r="XA132" s="21"/>
      <c r="XB132" s="21"/>
      <c r="XC132" s="7"/>
      <c r="XD132" s="7"/>
      <c r="XE132" s="21"/>
      <c r="XF132" s="20"/>
      <c r="XG132" s="20"/>
      <c r="XH132" s="20"/>
      <c r="XI132" s="21"/>
      <c r="XJ132" s="21"/>
      <c r="XK132" s="21"/>
      <c r="XL132" s="21"/>
      <c r="XM132" s="21"/>
      <c r="XN132" s="20"/>
      <c r="XO132" s="20"/>
      <c r="XP132" s="20"/>
      <c r="XQ132" s="20"/>
      <c r="XR132" s="21"/>
      <c r="XS132" s="21"/>
      <c r="XT132" s="7"/>
      <c r="XU132" s="7"/>
      <c r="XV132" s="21"/>
      <c r="XW132" s="20"/>
      <c r="XX132" s="20"/>
      <c r="XY132" s="20"/>
      <c r="XZ132" s="21"/>
      <c r="YA132" s="21"/>
      <c r="YB132" s="21"/>
      <c r="YC132" s="21"/>
      <c r="YD132" s="21"/>
      <c r="YE132" s="20"/>
      <c r="YF132" s="20"/>
      <c r="YG132" s="20"/>
      <c r="YH132" s="20"/>
      <c r="YI132" s="21"/>
      <c r="YJ132" s="21"/>
      <c r="YK132" s="7"/>
      <c r="YL132" s="7"/>
      <c r="YM132" s="21"/>
      <c r="YN132" s="20"/>
      <c r="YO132" s="20"/>
      <c r="YP132" s="20"/>
      <c r="YQ132" s="21"/>
      <c r="YR132" s="21"/>
      <c r="YS132" s="21"/>
      <c r="YT132" s="21"/>
      <c r="YU132" s="21"/>
      <c r="YV132" s="20"/>
      <c r="YW132" s="20"/>
      <c r="YX132" s="20"/>
      <c r="YY132" s="20"/>
      <c r="YZ132" s="21"/>
      <c r="ZA132" s="21"/>
      <c r="ZB132" s="7"/>
      <c r="ZC132" s="7"/>
      <c r="ZD132" s="21"/>
      <c r="ZE132" s="20"/>
      <c r="ZF132" s="20"/>
      <c r="ZG132" s="20"/>
      <c r="ZH132" s="21"/>
      <c r="ZI132" s="21"/>
      <c r="ZJ132" s="21"/>
      <c r="ZK132" s="21"/>
      <c r="ZL132" s="21"/>
      <c r="ZM132" s="20"/>
      <c r="ZN132" s="20"/>
      <c r="ZO132" s="20"/>
      <c r="ZP132" s="20"/>
      <c r="ZQ132" s="21"/>
      <c r="ZR132" s="21"/>
      <c r="ZS132" s="7"/>
      <c r="ZT132" s="7"/>
      <c r="ZU132" s="21"/>
      <c r="ZV132" s="20"/>
      <c r="ZW132" s="20"/>
      <c r="ZX132" s="20"/>
      <c r="ZY132" s="21"/>
      <c r="ZZ132" s="21"/>
      <c r="AAA132" s="21"/>
      <c r="AAB132" s="21"/>
      <c r="AAC132" s="21"/>
      <c r="AAD132" s="20"/>
      <c r="AAE132" s="20"/>
      <c r="AAF132" s="20"/>
      <c r="AAG132" s="20"/>
      <c r="AAH132" s="21"/>
      <c r="AAI132" s="21"/>
      <c r="AAJ132" s="7"/>
      <c r="AAK132" s="7"/>
      <c r="AAL132" s="21"/>
      <c r="AAM132" s="20"/>
      <c r="AAN132" s="20"/>
      <c r="AAO132" s="20"/>
      <c r="AAP132" s="21"/>
      <c r="AAQ132" s="21"/>
      <c r="AAR132" s="21"/>
      <c r="AAS132" s="21"/>
      <c r="AAT132" s="21"/>
      <c r="AAU132" s="20"/>
      <c r="AAV132" s="20"/>
      <c r="AAW132" s="20"/>
      <c r="AAX132" s="20"/>
      <c r="AAY132" s="21"/>
      <c r="AAZ132" s="21"/>
      <c r="ABA132" s="7"/>
      <c r="ABB132" s="7"/>
      <c r="ABC132" s="21"/>
      <c r="ABD132" s="20"/>
      <c r="ABE132" s="20"/>
      <c r="ABF132" s="20"/>
      <c r="ABG132" s="21"/>
      <c r="ABH132" s="21"/>
      <c r="ABI132" s="21"/>
      <c r="ABJ132" s="21"/>
      <c r="ABK132" s="21"/>
      <c r="ABL132" s="20"/>
      <c r="ABM132" s="20"/>
      <c r="ABN132" s="20"/>
      <c r="ABO132" s="20"/>
      <c r="ABP132" s="21"/>
      <c r="ABQ132" s="21"/>
      <c r="ABR132" s="7"/>
      <c r="ABS132" s="7"/>
      <c r="ABT132" s="21"/>
      <c r="ABU132" s="20"/>
      <c r="ABV132" s="20"/>
      <c r="ABW132" s="20"/>
      <c r="ABX132" s="21"/>
      <c r="ABY132" s="21"/>
      <c r="ABZ132" s="21"/>
      <c r="ACA132" s="21"/>
      <c r="ACB132" s="21"/>
      <c r="ACC132" s="20"/>
      <c r="ACD132" s="20"/>
      <c r="ACE132" s="20"/>
      <c r="ACF132" s="20"/>
      <c r="ACG132" s="21"/>
      <c r="ACH132" s="21"/>
      <c r="ACI132" s="7"/>
      <c r="ACJ132" s="7"/>
      <c r="ACK132" s="21"/>
      <c r="ACL132" s="20"/>
      <c r="ACM132" s="20"/>
      <c r="ACN132" s="20"/>
      <c r="ACO132" s="21"/>
      <c r="ACP132" s="21"/>
      <c r="ACQ132" s="21"/>
      <c r="ACR132" s="21"/>
      <c r="ACS132" s="21"/>
      <c r="ACT132" s="20"/>
      <c r="ACU132" s="20"/>
      <c r="ACV132" s="20"/>
      <c r="ACW132" s="20"/>
      <c r="ACX132" s="21"/>
      <c r="ACY132" s="21"/>
      <c r="ACZ132" s="7"/>
      <c r="ADA132" s="7"/>
      <c r="ADB132" s="21"/>
      <c r="ADC132" s="20"/>
      <c r="ADD132" s="20"/>
      <c r="ADE132" s="20"/>
      <c r="ADF132" s="21"/>
      <c r="ADG132" s="21"/>
      <c r="ADH132" s="21"/>
      <c r="ADI132" s="21"/>
      <c r="ADJ132" s="21"/>
      <c r="ADK132" s="20"/>
      <c r="ADL132" s="20"/>
      <c r="ADM132" s="20"/>
      <c r="ADN132" s="20"/>
      <c r="ADO132" s="21"/>
      <c r="ADP132" s="21"/>
      <c r="ADQ132" s="7"/>
      <c r="ADR132" s="7"/>
      <c r="ADS132" s="21"/>
      <c r="ADT132" s="20"/>
      <c r="ADU132" s="20"/>
      <c r="ADV132" s="20"/>
      <c r="ADW132" s="21"/>
      <c r="ADX132" s="21"/>
      <c r="ADY132" s="21"/>
      <c r="ADZ132" s="21"/>
      <c r="AEA132" s="21"/>
      <c r="AEB132" s="20"/>
      <c r="AEC132" s="20"/>
      <c r="AED132" s="20"/>
      <c r="AEE132" s="20"/>
      <c r="AEF132" s="21"/>
      <c r="AEG132" s="21"/>
      <c r="AEH132" s="7"/>
      <c r="AEI132" s="7"/>
      <c r="AEJ132" s="21"/>
      <c r="AEK132" s="20"/>
      <c r="AEL132" s="20"/>
      <c r="AEM132" s="20"/>
      <c r="AEN132" s="21"/>
      <c r="AEO132" s="21"/>
      <c r="AEP132" s="21"/>
      <c r="AEQ132" s="21"/>
      <c r="AER132" s="21"/>
      <c r="AES132" s="20"/>
      <c r="AET132" s="20"/>
      <c r="AEU132" s="20"/>
      <c r="AEV132" s="20"/>
      <c r="AEW132" s="21"/>
      <c r="AEX132" s="21"/>
      <c r="AEY132" s="7"/>
      <c r="AEZ132" s="7"/>
      <c r="AFA132" s="21"/>
      <c r="AFB132" s="20"/>
      <c r="AFC132" s="20"/>
      <c r="AFD132" s="20"/>
      <c r="AFE132" s="21"/>
      <c r="AFF132" s="21"/>
      <c r="AFG132" s="21"/>
      <c r="AFH132" s="21"/>
      <c r="AFI132" s="21"/>
      <c r="AFJ132" s="20"/>
      <c r="AFK132" s="20"/>
      <c r="AFL132" s="20"/>
      <c r="AFM132" s="20"/>
      <c r="AFN132" s="21"/>
      <c r="AFO132" s="21"/>
      <c r="AFP132" s="7"/>
      <c r="AFQ132" s="7"/>
      <c r="AFR132" s="21"/>
      <c r="AFS132" s="20"/>
      <c r="AFT132" s="20"/>
      <c r="AFU132" s="20"/>
      <c r="AFV132" s="21"/>
      <c r="AFW132" s="21"/>
      <c r="AFX132" s="21"/>
      <c r="AFY132" s="21"/>
      <c r="AFZ132" s="21"/>
      <c r="AGA132" s="20"/>
      <c r="AGB132" s="20"/>
      <c r="AGC132" s="20"/>
      <c r="AGD132" s="20"/>
      <c r="AGE132" s="21"/>
      <c r="AGF132" s="21"/>
      <c r="AGG132" s="7"/>
      <c r="AGH132" s="7"/>
      <c r="AGI132" s="21"/>
      <c r="AGJ132" s="20"/>
      <c r="AGK132" s="20"/>
      <c r="AGL132" s="20"/>
      <c r="AGM132" s="21"/>
      <c r="AGN132" s="21"/>
      <c r="AGO132" s="21"/>
      <c r="AGP132" s="21"/>
      <c r="AGQ132" s="21"/>
      <c r="AGR132" s="20"/>
      <c r="AGS132" s="20"/>
      <c r="AGT132" s="20"/>
      <c r="AGU132" s="20"/>
      <c r="AGV132" s="21"/>
      <c r="AGW132" s="21"/>
      <c r="AGX132" s="7"/>
      <c r="AGY132" s="7"/>
      <c r="AGZ132" s="21"/>
      <c r="AHA132" s="20"/>
      <c r="AHB132" s="20"/>
      <c r="AHC132" s="20"/>
      <c r="AHD132" s="21"/>
      <c r="AHE132" s="21"/>
      <c r="AHF132" s="21"/>
      <c r="AHG132" s="21"/>
      <c r="AHH132" s="21"/>
      <c r="AHI132" s="20"/>
      <c r="AHJ132" s="20"/>
      <c r="AHK132" s="20"/>
      <c r="AHL132" s="20"/>
      <c r="AHM132" s="21"/>
      <c r="AHN132" s="21"/>
      <c r="AHO132" s="7"/>
      <c r="AHP132" s="7"/>
      <c r="AHQ132" s="21"/>
      <c r="AHR132" s="20"/>
      <c r="AHS132" s="20"/>
      <c r="AHT132" s="20"/>
      <c r="AHU132" s="21"/>
      <c r="AHV132" s="21"/>
      <c r="AHW132" s="21"/>
      <c r="AHX132" s="21"/>
      <c r="AHY132" s="21"/>
      <c r="AHZ132" s="20"/>
      <c r="AIA132" s="20"/>
      <c r="AIB132" s="20"/>
      <c r="AIC132" s="20"/>
      <c r="AID132" s="21"/>
      <c r="AIE132" s="21"/>
      <c r="AIF132" s="7"/>
      <c r="AIG132" s="7"/>
      <c r="AIH132" s="21"/>
      <c r="AII132" s="20"/>
      <c r="AIJ132" s="20"/>
      <c r="AIK132" s="20"/>
      <c r="AIL132" s="21"/>
      <c r="AIM132" s="21"/>
      <c r="AIN132" s="21"/>
      <c r="AIO132" s="21"/>
      <c r="AIP132" s="21"/>
      <c r="AIQ132" s="20"/>
      <c r="AIR132" s="20"/>
      <c r="AIS132" s="20"/>
      <c r="AIT132" s="20"/>
      <c r="AIU132" s="21"/>
      <c r="AIV132" s="21"/>
      <c r="AIW132" s="7"/>
      <c r="AIX132" s="7"/>
      <c r="AIY132" s="21"/>
      <c r="AIZ132" s="20"/>
      <c r="AJA132" s="20"/>
      <c r="AJB132" s="20"/>
      <c r="AJC132" s="21"/>
      <c r="AJD132" s="21"/>
      <c r="AJE132" s="21"/>
      <c r="AJF132" s="21"/>
      <c r="AJG132" s="21"/>
      <c r="AJH132" s="20"/>
      <c r="AJI132" s="20"/>
      <c r="AJJ132" s="20"/>
      <c r="AJK132" s="20"/>
      <c r="AJL132" s="21"/>
      <c r="AJM132" s="21"/>
      <c r="AJN132" s="7"/>
      <c r="AJO132" s="7"/>
      <c r="AJP132" s="21"/>
      <c r="AJQ132" s="20"/>
      <c r="AJR132" s="20"/>
      <c r="AJS132" s="20"/>
      <c r="AJT132" s="21"/>
      <c r="AJU132" s="21"/>
      <c r="AJV132" s="21"/>
      <c r="AJW132" s="21"/>
      <c r="AJX132" s="21"/>
      <c r="AJY132" s="20"/>
      <c r="AJZ132" s="20"/>
      <c r="AKA132" s="20"/>
      <c r="AKB132" s="20"/>
      <c r="AKC132" s="21"/>
      <c r="AKD132" s="21"/>
      <c r="AKE132" s="7"/>
      <c r="AKF132" s="7"/>
      <c r="AKG132" s="21"/>
      <c r="AKH132" s="20"/>
      <c r="AKI132" s="20"/>
      <c r="AKJ132" s="20"/>
      <c r="AKK132" s="21"/>
      <c r="AKL132" s="21"/>
      <c r="AKM132" s="21"/>
      <c r="AKN132" s="21"/>
      <c r="AKO132" s="21"/>
      <c r="AKP132" s="20"/>
      <c r="AKQ132" s="20"/>
      <c r="AKR132" s="20"/>
      <c r="AKS132" s="20"/>
      <c r="AKT132" s="21"/>
      <c r="AKU132" s="21"/>
      <c r="AKV132" s="7"/>
      <c r="AKW132" s="7"/>
      <c r="AKX132" s="21"/>
      <c r="AKY132" s="20"/>
      <c r="AKZ132" s="20"/>
      <c r="ALA132" s="20"/>
      <c r="ALB132" s="21"/>
      <c r="ALC132" s="21"/>
      <c r="ALD132" s="21"/>
      <c r="ALE132" s="21"/>
      <c r="ALF132" s="21"/>
      <c r="ALG132" s="20"/>
      <c r="ALH132" s="20"/>
      <c r="ALI132" s="20"/>
      <c r="ALJ132" s="20"/>
      <c r="ALK132" s="21"/>
      <c r="ALL132" s="21"/>
      <c r="ALM132" s="7"/>
      <c r="ALN132" s="7"/>
      <c r="ALO132" s="21"/>
      <c r="ALP132" s="20"/>
      <c r="ALQ132" s="20"/>
      <c r="ALR132" s="20"/>
      <c r="ALS132" s="21"/>
      <c r="ALT132" s="21"/>
      <c r="ALU132" s="21"/>
      <c r="ALV132" s="21"/>
      <c r="ALW132" s="21"/>
      <c r="ALX132" s="20"/>
      <c r="ALY132" s="20"/>
      <c r="ALZ132" s="20"/>
      <c r="AMA132" s="20"/>
      <c r="AMB132" s="21"/>
      <c r="AMC132" s="21"/>
      <c r="AMD132" s="7"/>
      <c r="AME132" s="7"/>
      <c r="AMF132" s="21"/>
      <c r="AMG132" s="20"/>
      <c r="AMH132" s="20"/>
      <c r="AMI132" s="20"/>
      <c r="AMJ132" s="21"/>
      <c r="AMK132" s="21"/>
      <c r="AML132" s="21"/>
      <c r="AMM132" s="21"/>
      <c r="AMN132" s="21"/>
      <c r="AMO132" s="20"/>
      <c r="AMP132" s="20"/>
      <c r="AMQ132" s="20"/>
      <c r="AMR132" s="20"/>
      <c r="AMS132" s="21"/>
      <c r="AMT132" s="21"/>
      <c r="AMU132" s="7"/>
      <c r="AMV132" s="7"/>
      <c r="AMW132" s="21"/>
      <c r="AMX132" s="20"/>
      <c r="AMY132" s="20"/>
      <c r="AMZ132" s="20"/>
      <c r="ANA132" s="21"/>
      <c r="ANB132" s="21"/>
      <c r="ANC132" s="21"/>
      <c r="AND132" s="21"/>
      <c r="ANE132" s="21"/>
      <c r="ANF132" s="20"/>
      <c r="ANG132" s="20"/>
      <c r="ANH132" s="20"/>
      <c r="ANI132" s="20"/>
      <c r="ANJ132" s="21"/>
      <c r="ANK132" s="21"/>
      <c r="ANL132" s="7"/>
      <c r="ANM132" s="7"/>
      <c r="ANN132" s="21"/>
      <c r="ANO132" s="20"/>
      <c r="ANP132" s="20"/>
      <c r="ANQ132" s="20"/>
      <c r="ANR132" s="21"/>
      <c r="ANS132" s="21"/>
      <c r="ANT132" s="21"/>
      <c r="ANU132" s="21"/>
      <c r="ANV132" s="21"/>
      <c r="ANW132" s="20"/>
      <c r="ANX132" s="20"/>
      <c r="ANY132" s="20"/>
      <c r="ANZ132" s="20"/>
      <c r="AOA132" s="21"/>
      <c r="AOB132" s="21"/>
      <c r="AOC132" s="7"/>
      <c r="AOD132" s="7"/>
      <c r="AOE132" s="21"/>
      <c r="AOF132" s="20"/>
      <c r="AOG132" s="20"/>
      <c r="AOH132" s="20"/>
      <c r="AOI132" s="21"/>
      <c r="AOJ132" s="21"/>
      <c r="AOK132" s="21"/>
      <c r="AOL132" s="21"/>
      <c r="AOM132" s="21"/>
      <c r="AON132" s="20"/>
      <c r="AOO132" s="20"/>
      <c r="AOP132" s="20"/>
      <c r="AOQ132" s="20"/>
      <c r="AOR132" s="21"/>
      <c r="AOS132" s="21"/>
      <c r="AOT132" s="7"/>
      <c r="AOU132" s="7"/>
      <c r="AOV132" s="21"/>
      <c r="AOW132" s="20"/>
      <c r="AOX132" s="20"/>
      <c r="AOY132" s="20"/>
      <c r="AOZ132" s="21"/>
      <c r="APA132" s="21"/>
      <c r="APB132" s="21"/>
      <c r="APC132" s="21"/>
      <c r="APD132" s="21"/>
      <c r="APE132" s="20"/>
      <c r="APF132" s="20"/>
      <c r="APG132" s="20"/>
      <c r="APH132" s="20"/>
      <c r="API132" s="21"/>
      <c r="APJ132" s="21"/>
      <c r="APK132" s="7"/>
      <c r="APL132" s="7"/>
      <c r="APM132" s="21"/>
      <c r="APN132" s="20"/>
      <c r="APO132" s="20"/>
      <c r="APP132" s="20"/>
      <c r="APQ132" s="21"/>
      <c r="APR132" s="21"/>
      <c r="APS132" s="21"/>
      <c r="APT132" s="21"/>
      <c r="APU132" s="21"/>
      <c r="APV132" s="20"/>
      <c r="APW132" s="20"/>
      <c r="APX132" s="20"/>
      <c r="APY132" s="20"/>
      <c r="APZ132" s="21"/>
      <c r="AQA132" s="21"/>
      <c r="AQB132" s="7"/>
      <c r="AQC132" s="7"/>
      <c r="AQD132" s="21"/>
      <c r="AQE132" s="20"/>
      <c r="AQF132" s="20"/>
      <c r="AQG132" s="20"/>
      <c r="AQH132" s="21"/>
      <c r="AQI132" s="21"/>
      <c r="AQJ132" s="21"/>
      <c r="AQK132" s="21"/>
      <c r="AQL132" s="21"/>
      <c r="AQM132" s="20"/>
      <c r="AQN132" s="20"/>
      <c r="AQO132" s="20"/>
      <c r="AQP132" s="20"/>
      <c r="AQQ132" s="21"/>
      <c r="AQR132" s="21"/>
      <c r="AQS132" s="7"/>
      <c r="AQT132" s="7"/>
      <c r="AQU132" s="21"/>
      <c r="AQV132" s="20"/>
      <c r="AQW132" s="20"/>
      <c r="AQX132" s="20"/>
      <c r="AQY132" s="21"/>
      <c r="AQZ132" s="21"/>
      <c r="ARA132" s="21"/>
      <c r="ARB132" s="21"/>
      <c r="ARC132" s="21"/>
      <c r="ARD132" s="20"/>
      <c r="ARE132" s="20"/>
      <c r="ARF132" s="20"/>
      <c r="ARG132" s="20"/>
      <c r="ARH132" s="21"/>
      <c r="ARI132" s="21"/>
      <c r="ARJ132" s="7"/>
      <c r="ARK132" s="7"/>
      <c r="ARL132" s="21"/>
      <c r="ARM132" s="20"/>
      <c r="ARN132" s="20"/>
      <c r="ARO132" s="20"/>
      <c r="ARP132" s="21"/>
      <c r="ARQ132" s="21"/>
      <c r="ARR132" s="21"/>
      <c r="ARS132" s="21"/>
      <c r="ART132" s="21"/>
      <c r="ARU132" s="20"/>
      <c r="ARV132" s="20"/>
      <c r="ARW132" s="20"/>
      <c r="ARX132" s="20"/>
      <c r="ARY132" s="21"/>
      <c r="ARZ132" s="21"/>
      <c r="ASA132" s="7"/>
      <c r="ASB132" s="7"/>
      <c r="ASC132" s="21"/>
      <c r="ASD132" s="20"/>
      <c r="ASE132" s="20"/>
      <c r="ASF132" s="20"/>
      <c r="ASG132" s="21"/>
      <c r="ASH132" s="21"/>
      <c r="ASI132" s="21"/>
      <c r="ASJ132" s="21"/>
      <c r="ASK132" s="21"/>
      <c r="ASL132" s="20"/>
      <c r="ASM132" s="20"/>
      <c r="ASN132" s="20"/>
      <c r="ASO132" s="20"/>
      <c r="ASP132" s="21"/>
      <c r="ASQ132" s="21"/>
      <c r="ASR132" s="7"/>
      <c r="ASS132" s="7"/>
      <c r="AST132" s="21"/>
      <c r="ASU132" s="20"/>
      <c r="ASV132" s="20"/>
      <c r="ASW132" s="20"/>
      <c r="ASX132" s="21"/>
      <c r="ASY132" s="21"/>
      <c r="ASZ132" s="21"/>
      <c r="ATA132" s="21"/>
      <c r="ATB132" s="21"/>
      <c r="ATC132" s="20"/>
      <c r="ATD132" s="20"/>
      <c r="ATE132" s="20"/>
      <c r="ATF132" s="20"/>
      <c r="ATG132" s="21"/>
      <c r="ATH132" s="21"/>
      <c r="ATI132" s="7"/>
      <c r="ATJ132" s="7"/>
      <c r="ATK132" s="21"/>
      <c r="ATL132" s="20"/>
      <c r="ATM132" s="20"/>
      <c r="ATN132" s="20"/>
      <c r="ATO132" s="21"/>
      <c r="ATP132" s="21"/>
      <c r="ATQ132" s="21"/>
      <c r="ATR132" s="21"/>
      <c r="ATS132" s="21"/>
      <c r="ATT132" s="20"/>
      <c r="ATU132" s="20"/>
      <c r="ATV132" s="20"/>
      <c r="ATW132" s="20"/>
      <c r="ATX132" s="21"/>
      <c r="ATY132" s="21"/>
      <c r="ATZ132" s="7"/>
      <c r="AUA132" s="7"/>
      <c r="AUB132" s="21"/>
      <c r="AUC132" s="20"/>
      <c r="AUD132" s="20"/>
      <c r="AUE132" s="20"/>
      <c r="AUF132" s="21"/>
      <c r="AUG132" s="21"/>
      <c r="AUH132" s="21"/>
      <c r="AUI132" s="21"/>
      <c r="AUJ132" s="21"/>
      <c r="AUK132" s="20"/>
      <c r="AUL132" s="20"/>
      <c r="AUM132" s="20"/>
      <c r="AUN132" s="20"/>
      <c r="AUO132" s="21"/>
      <c r="AUP132" s="21"/>
      <c r="AUQ132" s="7"/>
      <c r="AUR132" s="7"/>
      <c r="AUS132" s="21"/>
      <c r="AUT132" s="20"/>
      <c r="AUU132" s="20"/>
      <c r="AUV132" s="20"/>
      <c r="AUW132" s="21"/>
      <c r="AUX132" s="21"/>
      <c r="AUY132" s="21"/>
      <c r="AUZ132" s="21"/>
      <c r="AVA132" s="21"/>
      <c r="AVB132" s="20"/>
      <c r="AVC132" s="20"/>
      <c r="AVD132" s="20"/>
      <c r="AVE132" s="20"/>
      <c r="AVF132" s="21"/>
      <c r="AVG132" s="21"/>
      <c r="AVH132" s="7"/>
      <c r="AVI132" s="7"/>
      <c r="AVJ132" s="21"/>
      <c r="AVK132" s="20"/>
      <c r="AVL132" s="20"/>
      <c r="AVM132" s="20"/>
      <c r="AVN132" s="21"/>
      <c r="AVO132" s="21"/>
      <c r="AVP132" s="21"/>
      <c r="AVQ132" s="21"/>
      <c r="AVR132" s="21"/>
      <c r="AVS132" s="20"/>
      <c r="AVT132" s="20"/>
      <c r="AVU132" s="20"/>
      <c r="AVV132" s="20"/>
      <c r="AVW132" s="21"/>
      <c r="AVX132" s="21"/>
      <c r="AVY132" s="7"/>
      <c r="AVZ132" s="7"/>
      <c r="AWA132" s="21"/>
      <c r="AWB132" s="20"/>
      <c r="AWC132" s="20"/>
      <c r="AWD132" s="20"/>
      <c r="AWE132" s="21"/>
      <c r="AWF132" s="21"/>
      <c r="AWG132" s="21"/>
      <c r="AWH132" s="21"/>
      <c r="AWI132" s="21"/>
      <c r="AWJ132" s="20"/>
      <c r="AWK132" s="20"/>
      <c r="AWL132" s="20"/>
      <c r="AWM132" s="20"/>
      <c r="AWN132" s="21"/>
      <c r="AWO132" s="21"/>
      <c r="AWP132" s="7"/>
      <c r="AWQ132" s="7"/>
      <c r="AWR132" s="21"/>
      <c r="AWS132" s="20"/>
      <c r="AWT132" s="20"/>
      <c r="AWU132" s="20"/>
      <c r="AWV132" s="21"/>
      <c r="AWW132" s="21"/>
      <c r="AWX132" s="21"/>
      <c r="AWY132" s="21"/>
      <c r="AWZ132" s="21"/>
      <c r="AXA132" s="20"/>
      <c r="AXB132" s="20"/>
      <c r="AXC132" s="20"/>
      <c r="AXD132" s="20"/>
      <c r="AXE132" s="21"/>
      <c r="AXF132" s="21"/>
      <c r="AXG132" s="7"/>
      <c r="AXH132" s="7"/>
      <c r="AXI132" s="21"/>
      <c r="AXJ132" s="20"/>
      <c r="AXK132" s="20"/>
      <c r="AXL132" s="20"/>
      <c r="AXM132" s="21"/>
      <c r="AXN132" s="21"/>
      <c r="AXO132" s="21"/>
      <c r="AXP132" s="21"/>
      <c r="AXQ132" s="21"/>
      <c r="AXR132" s="20"/>
      <c r="AXS132" s="20"/>
      <c r="AXT132" s="20"/>
      <c r="AXU132" s="20"/>
      <c r="AXV132" s="21"/>
      <c r="AXW132" s="21"/>
      <c r="AXX132" s="7"/>
      <c r="AXY132" s="7"/>
      <c r="AXZ132" s="21"/>
      <c r="AYA132" s="20"/>
      <c r="AYB132" s="20"/>
      <c r="AYC132" s="20"/>
      <c r="AYD132" s="21"/>
      <c r="AYE132" s="21"/>
      <c r="AYF132" s="21"/>
      <c r="AYG132" s="21"/>
      <c r="AYH132" s="21"/>
      <c r="AYI132" s="20"/>
      <c r="AYJ132" s="20"/>
      <c r="AYK132" s="20"/>
      <c r="AYL132" s="20"/>
      <c r="AYM132" s="21"/>
      <c r="AYN132" s="21"/>
      <c r="AYO132" s="7"/>
      <c r="AYP132" s="7"/>
      <c r="AYQ132" s="21"/>
      <c r="AYR132" s="20"/>
      <c r="AYS132" s="20"/>
      <c r="AYT132" s="20"/>
      <c r="AYU132" s="21"/>
      <c r="AYV132" s="21"/>
      <c r="AYW132" s="21"/>
      <c r="AYX132" s="21"/>
      <c r="AYY132" s="21"/>
      <c r="AYZ132" s="20"/>
      <c r="AZA132" s="20"/>
      <c r="AZB132" s="20"/>
      <c r="AZC132" s="20"/>
      <c r="AZD132" s="21"/>
      <c r="AZE132" s="21"/>
      <c r="AZF132" s="7"/>
      <c r="AZG132" s="7"/>
      <c r="AZH132" s="21"/>
      <c r="AZI132" s="20"/>
      <c r="AZJ132" s="20"/>
      <c r="AZK132" s="20"/>
      <c r="AZL132" s="21"/>
      <c r="AZM132" s="21"/>
      <c r="AZN132" s="21"/>
      <c r="AZO132" s="21"/>
      <c r="AZP132" s="21"/>
      <c r="AZQ132" s="20"/>
      <c r="AZR132" s="20"/>
      <c r="AZS132" s="20"/>
      <c r="AZT132" s="20"/>
      <c r="AZU132" s="21"/>
      <c r="AZV132" s="21"/>
      <c r="AZW132" s="7"/>
      <c r="AZX132" s="7"/>
      <c r="AZY132" s="21"/>
      <c r="AZZ132" s="20"/>
      <c r="BAA132" s="20"/>
      <c r="BAB132" s="20"/>
      <c r="BAC132" s="21"/>
      <c r="BAD132" s="21"/>
      <c r="BAE132" s="21"/>
      <c r="BAF132" s="21"/>
      <c r="BAG132" s="21"/>
      <c r="BAH132" s="20"/>
      <c r="BAI132" s="20"/>
      <c r="BAJ132" s="20"/>
      <c r="BAK132" s="20"/>
      <c r="BAL132" s="21"/>
      <c r="BAM132" s="21"/>
      <c r="BAN132" s="7"/>
      <c r="BAO132" s="7"/>
      <c r="BAP132" s="21"/>
      <c r="BAQ132" s="20"/>
      <c r="BAR132" s="20"/>
      <c r="BAS132" s="20"/>
      <c r="BAT132" s="21"/>
      <c r="BAU132" s="21"/>
      <c r="BAV132" s="21"/>
      <c r="BAW132" s="21"/>
      <c r="BAX132" s="21"/>
      <c r="BAY132" s="20"/>
      <c r="BAZ132" s="20"/>
      <c r="BBA132" s="20"/>
      <c r="BBB132" s="20"/>
      <c r="BBC132" s="21"/>
      <c r="BBD132" s="21"/>
      <c r="BBE132" s="7"/>
      <c r="BBF132" s="7"/>
      <c r="BBG132" s="21"/>
      <c r="BBH132" s="20"/>
      <c r="BBI132" s="20"/>
      <c r="BBJ132" s="20"/>
      <c r="BBK132" s="21"/>
      <c r="BBL132" s="21"/>
      <c r="BBM132" s="21"/>
      <c r="BBN132" s="21"/>
      <c r="BBO132" s="21"/>
      <c r="BBP132" s="20"/>
      <c r="BBQ132" s="20"/>
      <c r="BBR132" s="20"/>
      <c r="BBS132" s="20"/>
      <c r="BBT132" s="21"/>
      <c r="BBU132" s="21"/>
      <c r="BBV132" s="7"/>
      <c r="BBW132" s="7"/>
      <c r="BBX132" s="21"/>
      <c r="BBY132" s="20"/>
      <c r="BBZ132" s="20"/>
      <c r="BCA132" s="20"/>
      <c r="BCB132" s="21"/>
      <c r="BCC132" s="21"/>
      <c r="BCD132" s="21"/>
      <c r="BCE132" s="21"/>
      <c r="BCF132" s="21"/>
      <c r="BCG132" s="20"/>
      <c r="BCH132" s="20"/>
      <c r="BCI132" s="20"/>
      <c r="BCJ132" s="20"/>
      <c r="BCK132" s="21"/>
      <c r="BCL132" s="21"/>
      <c r="BCM132" s="7"/>
      <c r="BCN132" s="7"/>
      <c r="BCO132" s="21"/>
      <c r="BCP132" s="20"/>
      <c r="BCQ132" s="20"/>
      <c r="BCR132" s="20"/>
      <c r="BCS132" s="21"/>
      <c r="BCT132" s="21"/>
      <c r="BCU132" s="21"/>
      <c r="BCV132" s="21"/>
      <c r="BCW132" s="21"/>
      <c r="BCX132" s="20"/>
      <c r="BCY132" s="20"/>
      <c r="BCZ132" s="20"/>
      <c r="BDA132" s="20"/>
      <c r="BDB132" s="21"/>
      <c r="BDC132" s="21"/>
      <c r="BDD132" s="7"/>
      <c r="BDE132" s="7"/>
      <c r="BDF132" s="21"/>
      <c r="BDG132" s="20"/>
      <c r="BDH132" s="20"/>
      <c r="BDI132" s="20"/>
      <c r="BDJ132" s="21"/>
      <c r="BDK132" s="21"/>
      <c r="BDL132" s="21"/>
      <c r="BDM132" s="21"/>
      <c r="BDN132" s="21"/>
      <c r="BDO132" s="20"/>
      <c r="BDP132" s="20"/>
      <c r="BDQ132" s="20"/>
      <c r="BDR132" s="20"/>
      <c r="BDS132" s="21"/>
      <c r="BDT132" s="21"/>
      <c r="BDU132" s="7"/>
      <c r="BDV132" s="7"/>
      <c r="BDW132" s="21"/>
      <c r="BDX132" s="20"/>
      <c r="BDY132" s="20"/>
      <c r="BDZ132" s="20"/>
      <c r="BEA132" s="21"/>
      <c r="BEB132" s="21"/>
      <c r="BEC132" s="21"/>
      <c r="BED132" s="21"/>
      <c r="BEE132" s="21"/>
      <c r="BEF132" s="20"/>
      <c r="BEG132" s="20"/>
      <c r="BEH132" s="20"/>
      <c r="BEI132" s="20"/>
      <c r="BEJ132" s="21"/>
      <c r="BEK132" s="21"/>
      <c r="BEL132" s="7"/>
      <c r="BEM132" s="7"/>
      <c r="BEN132" s="21"/>
      <c r="BEO132" s="20"/>
      <c r="BEP132" s="20"/>
      <c r="BEQ132" s="20"/>
      <c r="BER132" s="21"/>
      <c r="BES132" s="21"/>
      <c r="BET132" s="21"/>
      <c r="BEU132" s="21"/>
      <c r="BEV132" s="21"/>
      <c r="BEW132" s="20"/>
      <c r="BEX132" s="20"/>
      <c r="BEY132" s="20"/>
      <c r="BEZ132" s="20"/>
      <c r="BFA132" s="21"/>
      <c r="BFB132" s="21"/>
      <c r="BFC132" s="7"/>
      <c r="BFD132" s="7"/>
      <c r="BFE132" s="21"/>
      <c r="BFF132" s="20"/>
      <c r="BFG132" s="20"/>
      <c r="BFH132" s="20"/>
      <c r="BFI132" s="21"/>
      <c r="BFJ132" s="21"/>
      <c r="BFK132" s="21"/>
      <c r="BFL132" s="21"/>
      <c r="BFM132" s="21"/>
      <c r="BFN132" s="20"/>
      <c r="BFO132" s="20"/>
      <c r="BFP132" s="20"/>
      <c r="BFQ132" s="20"/>
      <c r="BFR132" s="21"/>
      <c r="BFS132" s="21"/>
      <c r="BFT132" s="7"/>
      <c r="BFU132" s="7"/>
      <c r="BFV132" s="21"/>
      <c r="BFW132" s="20"/>
      <c r="BFX132" s="20"/>
      <c r="BFY132" s="20"/>
      <c r="BFZ132" s="21"/>
      <c r="BGA132" s="21"/>
      <c r="BGB132" s="21"/>
      <c r="BGC132" s="21"/>
      <c r="BGD132" s="21"/>
      <c r="BGE132" s="20"/>
      <c r="BGF132" s="20"/>
      <c r="BGG132" s="20"/>
      <c r="BGH132" s="20"/>
      <c r="BGI132" s="21"/>
      <c r="BGJ132" s="21"/>
      <c r="BGK132" s="7"/>
      <c r="BGL132" s="7"/>
      <c r="BGM132" s="21"/>
      <c r="BGN132" s="20"/>
      <c r="BGO132" s="20"/>
      <c r="BGP132" s="20"/>
      <c r="BGQ132" s="21"/>
      <c r="BGR132" s="21"/>
      <c r="BGS132" s="21"/>
      <c r="BGT132" s="21"/>
      <c r="BGU132" s="21"/>
      <c r="BGV132" s="20"/>
      <c r="BGW132" s="20"/>
      <c r="BGX132" s="20"/>
      <c r="BGY132" s="20"/>
      <c r="BGZ132" s="21"/>
      <c r="BHA132" s="21"/>
      <c r="BHB132" s="7"/>
      <c r="BHC132" s="7"/>
      <c r="BHD132" s="21"/>
      <c r="BHE132" s="20"/>
      <c r="BHF132" s="20"/>
      <c r="BHG132" s="20"/>
      <c r="BHH132" s="21"/>
      <c r="BHI132" s="21"/>
      <c r="BHJ132" s="21"/>
      <c r="BHK132" s="21"/>
      <c r="BHL132" s="21"/>
      <c r="BHM132" s="20"/>
      <c r="BHN132" s="20"/>
      <c r="BHO132" s="20"/>
      <c r="BHP132" s="20"/>
      <c r="BHQ132" s="21"/>
      <c r="BHR132" s="21"/>
      <c r="BHS132" s="7"/>
      <c r="BHT132" s="7"/>
      <c r="BHU132" s="21"/>
      <c r="BHV132" s="20"/>
      <c r="BHW132" s="20"/>
      <c r="BHX132" s="20"/>
      <c r="BHY132" s="21"/>
      <c r="BHZ132" s="21"/>
      <c r="BIA132" s="21"/>
      <c r="BIB132" s="21"/>
      <c r="BIC132" s="21"/>
      <c r="BID132" s="20"/>
      <c r="BIE132" s="20"/>
      <c r="BIF132" s="20"/>
      <c r="BIG132" s="20"/>
      <c r="BIH132" s="21"/>
      <c r="BII132" s="21"/>
      <c r="BIJ132" s="7"/>
      <c r="BIK132" s="7"/>
      <c r="BIL132" s="21"/>
      <c r="BIM132" s="20"/>
      <c r="BIN132" s="20"/>
      <c r="BIO132" s="20"/>
      <c r="BIP132" s="21"/>
      <c r="BIQ132" s="21"/>
      <c r="BIR132" s="21"/>
      <c r="BIS132" s="21"/>
      <c r="BIT132" s="21"/>
      <c r="BIU132" s="20"/>
      <c r="BIV132" s="20"/>
      <c r="BIW132" s="20"/>
      <c r="BIX132" s="20"/>
      <c r="BIY132" s="21"/>
      <c r="BIZ132" s="21"/>
      <c r="BJA132" s="7"/>
      <c r="BJB132" s="7"/>
      <c r="BJC132" s="21"/>
      <c r="BJD132" s="20"/>
      <c r="BJE132" s="20"/>
      <c r="BJF132" s="20"/>
      <c r="BJG132" s="21"/>
      <c r="BJH132" s="21"/>
      <c r="BJI132" s="21"/>
      <c r="BJJ132" s="21"/>
      <c r="BJK132" s="21"/>
      <c r="BJL132" s="20"/>
      <c r="BJM132" s="20"/>
      <c r="BJN132" s="20"/>
      <c r="BJO132" s="20"/>
      <c r="BJP132" s="21"/>
      <c r="BJQ132" s="21"/>
      <c r="BJR132" s="7"/>
      <c r="BJS132" s="7"/>
      <c r="BJT132" s="21"/>
      <c r="BJU132" s="20"/>
      <c r="BJV132" s="20"/>
      <c r="BJW132" s="20"/>
      <c r="BJX132" s="21"/>
      <c r="BJY132" s="21"/>
      <c r="BJZ132" s="21"/>
      <c r="BKA132" s="21"/>
      <c r="BKB132" s="21"/>
      <c r="BKC132" s="20"/>
      <c r="BKD132" s="20"/>
      <c r="BKE132" s="20"/>
      <c r="BKF132" s="20"/>
      <c r="BKG132" s="21"/>
      <c r="BKH132" s="21"/>
      <c r="BKI132" s="7"/>
      <c r="BKJ132" s="7"/>
      <c r="BKK132" s="21"/>
      <c r="BKL132" s="20"/>
      <c r="BKM132" s="20"/>
      <c r="BKN132" s="20"/>
      <c r="BKO132" s="21"/>
      <c r="BKP132" s="21"/>
      <c r="BKQ132" s="21"/>
      <c r="BKR132" s="21"/>
      <c r="BKS132" s="21"/>
      <c r="BKT132" s="20"/>
      <c r="BKU132" s="20"/>
      <c r="BKV132" s="20"/>
      <c r="BKW132" s="20"/>
      <c r="BKX132" s="21"/>
      <c r="BKY132" s="21"/>
      <c r="BKZ132" s="7"/>
      <c r="BLA132" s="7"/>
      <c r="BLB132" s="21"/>
      <c r="BLC132" s="20"/>
      <c r="BLD132" s="20"/>
      <c r="BLE132" s="20"/>
      <c r="BLF132" s="21"/>
      <c r="BLG132" s="21"/>
      <c r="BLH132" s="21"/>
      <c r="BLI132" s="21"/>
      <c r="BLJ132" s="21"/>
      <c r="BLK132" s="20"/>
      <c r="BLL132" s="20"/>
      <c r="BLM132" s="20"/>
      <c r="BLN132" s="20"/>
      <c r="BLO132" s="21"/>
      <c r="BLP132" s="21"/>
      <c r="BLQ132" s="7"/>
      <c r="BLR132" s="7"/>
      <c r="BLS132" s="21"/>
      <c r="BLT132" s="20"/>
      <c r="BLU132" s="20"/>
      <c r="BLV132" s="20"/>
      <c r="BLW132" s="21"/>
      <c r="BLX132" s="21"/>
      <c r="BLY132" s="21"/>
      <c r="BLZ132" s="21"/>
      <c r="BMA132" s="21"/>
      <c r="BMB132" s="20"/>
      <c r="BMC132" s="20"/>
      <c r="BMD132" s="20"/>
      <c r="BME132" s="20"/>
      <c r="BMF132" s="21"/>
      <c r="BMG132" s="21"/>
      <c r="BMH132" s="7"/>
      <c r="BMI132" s="7"/>
      <c r="BMJ132" s="21"/>
      <c r="BMK132" s="20"/>
      <c r="BML132" s="20"/>
      <c r="BMM132" s="20"/>
      <c r="BMN132" s="21"/>
      <c r="BMO132" s="21"/>
      <c r="BMP132" s="21"/>
      <c r="BMQ132" s="21"/>
      <c r="BMR132" s="21"/>
      <c r="BMS132" s="20"/>
      <c r="BMT132" s="20"/>
      <c r="BMU132" s="20"/>
      <c r="BMV132" s="20"/>
      <c r="BMW132" s="21"/>
      <c r="BMX132" s="21"/>
      <c r="BMY132" s="7"/>
      <c r="BMZ132" s="7"/>
      <c r="BNA132" s="21"/>
      <c r="BNB132" s="20"/>
      <c r="BNC132" s="20"/>
      <c r="BND132" s="20"/>
      <c r="BNE132" s="21"/>
      <c r="BNF132" s="21"/>
      <c r="BNG132" s="21"/>
      <c r="BNH132" s="21"/>
      <c r="BNI132" s="21"/>
      <c r="BNJ132" s="20"/>
      <c r="BNK132" s="20"/>
      <c r="BNL132" s="20"/>
      <c r="BNM132" s="20"/>
      <c r="BNN132" s="21"/>
      <c r="BNO132" s="21"/>
      <c r="BNP132" s="7"/>
      <c r="BNQ132" s="7"/>
      <c r="BNR132" s="21"/>
      <c r="BNS132" s="20"/>
      <c r="BNT132" s="20"/>
      <c r="BNU132" s="20"/>
      <c r="BNV132" s="21"/>
      <c r="BNW132" s="21"/>
      <c r="BNX132" s="21"/>
      <c r="BNY132" s="21"/>
      <c r="BNZ132" s="21"/>
      <c r="BOA132" s="20"/>
      <c r="BOB132" s="20"/>
      <c r="BOC132" s="20"/>
      <c r="BOD132" s="20"/>
      <c r="BOE132" s="21"/>
      <c r="BOF132" s="21"/>
      <c r="BOG132" s="7"/>
      <c r="BOH132" s="7"/>
      <c r="BOI132" s="21"/>
      <c r="BOJ132" s="20"/>
      <c r="BOK132" s="20"/>
      <c r="BOL132" s="20"/>
      <c r="BOM132" s="21"/>
      <c r="BON132" s="21"/>
      <c r="BOO132" s="21"/>
      <c r="BOP132" s="21"/>
      <c r="BOQ132" s="21"/>
      <c r="BOR132" s="20"/>
      <c r="BOS132" s="20"/>
      <c r="BOT132" s="20"/>
      <c r="BOU132" s="20"/>
      <c r="BOV132" s="21"/>
      <c r="BOW132" s="21"/>
      <c r="BOX132" s="7"/>
      <c r="BOY132" s="7"/>
      <c r="BOZ132" s="21"/>
      <c r="BPA132" s="20"/>
      <c r="BPB132" s="20"/>
      <c r="BPC132" s="20"/>
      <c r="BPD132" s="21"/>
      <c r="BPE132" s="21"/>
      <c r="BPF132" s="21"/>
      <c r="BPG132" s="21"/>
      <c r="BPH132" s="21"/>
      <c r="BPI132" s="20"/>
      <c r="BPJ132" s="20"/>
      <c r="BPK132" s="20"/>
      <c r="BPL132" s="20"/>
      <c r="BPM132" s="21"/>
      <c r="BPN132" s="21"/>
      <c r="BPO132" s="7"/>
      <c r="BPP132" s="7"/>
      <c r="BPQ132" s="21"/>
      <c r="BPR132" s="20"/>
      <c r="BPS132" s="20"/>
      <c r="BPT132" s="20"/>
      <c r="BPU132" s="21"/>
      <c r="BPV132" s="21"/>
      <c r="BPW132" s="21"/>
      <c r="BPX132" s="21"/>
      <c r="BPY132" s="21"/>
      <c r="BPZ132" s="20"/>
      <c r="BQA132" s="20"/>
      <c r="BQB132" s="20"/>
      <c r="BQC132" s="20"/>
      <c r="BQD132" s="21"/>
      <c r="BQE132" s="21"/>
      <c r="BQF132" s="7"/>
      <c r="BQG132" s="7"/>
      <c r="BQH132" s="21"/>
      <c r="BQI132" s="20"/>
      <c r="BQJ132" s="20"/>
      <c r="BQK132" s="20"/>
      <c r="BQL132" s="21"/>
      <c r="BQM132" s="21"/>
      <c r="BQN132" s="21"/>
      <c r="BQO132" s="21"/>
      <c r="BQP132" s="21"/>
      <c r="BQQ132" s="20"/>
      <c r="BQR132" s="20"/>
      <c r="BQS132" s="20"/>
      <c r="BQT132" s="20"/>
      <c r="BQU132" s="21"/>
      <c r="BQV132" s="21"/>
      <c r="BQW132" s="7"/>
      <c r="BQX132" s="7"/>
      <c r="BQY132" s="21"/>
      <c r="BQZ132" s="20"/>
      <c r="BRA132" s="20"/>
      <c r="BRB132" s="20"/>
      <c r="BRC132" s="21"/>
      <c r="BRD132" s="21"/>
      <c r="BRE132" s="21"/>
      <c r="BRF132" s="21"/>
      <c r="BRG132" s="21"/>
      <c r="BRH132" s="20"/>
      <c r="BRI132" s="20"/>
      <c r="BRJ132" s="20"/>
      <c r="BRK132" s="20"/>
      <c r="BRL132" s="21"/>
      <c r="BRM132" s="21"/>
      <c r="BRN132" s="7"/>
      <c r="BRO132" s="7"/>
      <c r="BRP132" s="21"/>
      <c r="BRQ132" s="20"/>
      <c r="BRR132" s="20"/>
      <c r="BRS132" s="20"/>
      <c r="BRT132" s="21"/>
      <c r="BRU132" s="21"/>
      <c r="BRV132" s="21"/>
      <c r="BRW132" s="21"/>
      <c r="BRX132" s="21"/>
      <c r="BRY132" s="20"/>
      <c r="BRZ132" s="20"/>
      <c r="BSA132" s="20"/>
      <c r="BSB132" s="20"/>
      <c r="BSC132" s="21"/>
      <c r="BSD132" s="21"/>
      <c r="BSE132" s="7"/>
      <c r="BSF132" s="7"/>
      <c r="BSG132" s="21"/>
      <c r="BSH132" s="20"/>
      <c r="BSI132" s="20"/>
      <c r="BSJ132" s="20"/>
      <c r="BSK132" s="21"/>
      <c r="BSL132" s="21"/>
      <c r="BSM132" s="21"/>
      <c r="BSN132" s="21"/>
      <c r="BSO132" s="21"/>
      <c r="BSP132" s="20"/>
      <c r="BSQ132" s="20"/>
      <c r="BSR132" s="20"/>
      <c r="BSS132" s="20"/>
      <c r="BST132" s="21"/>
      <c r="BSU132" s="21"/>
      <c r="BSV132" s="7"/>
      <c r="BSW132" s="7"/>
      <c r="BSX132" s="21"/>
      <c r="BSY132" s="20"/>
      <c r="BSZ132" s="20"/>
      <c r="BTA132" s="20"/>
      <c r="BTB132" s="21"/>
      <c r="BTC132" s="21"/>
      <c r="BTD132" s="21"/>
      <c r="BTE132" s="21"/>
      <c r="BTF132" s="21"/>
      <c r="BTG132" s="20"/>
      <c r="BTH132" s="20"/>
      <c r="BTI132" s="20"/>
      <c r="BTJ132" s="20"/>
      <c r="BTK132" s="21"/>
      <c r="BTL132" s="21"/>
      <c r="BTM132" s="7"/>
      <c r="BTN132" s="7"/>
      <c r="BTO132" s="21"/>
      <c r="BTP132" s="20"/>
      <c r="BTQ132" s="20"/>
      <c r="BTR132" s="20"/>
      <c r="BTS132" s="21"/>
      <c r="BTT132" s="21"/>
      <c r="BTU132" s="21"/>
      <c r="BTV132" s="21"/>
      <c r="BTW132" s="21"/>
      <c r="BTX132" s="20"/>
      <c r="BTY132" s="20"/>
      <c r="BTZ132" s="20"/>
      <c r="BUA132" s="20"/>
      <c r="BUB132" s="21"/>
      <c r="BUC132" s="21"/>
      <c r="BUD132" s="7"/>
      <c r="BUE132" s="7"/>
      <c r="BUF132" s="21"/>
      <c r="BUG132" s="20"/>
      <c r="BUH132" s="20"/>
      <c r="BUI132" s="20"/>
      <c r="BUJ132" s="21"/>
      <c r="BUK132" s="21"/>
      <c r="BUL132" s="21"/>
      <c r="BUM132" s="21"/>
      <c r="BUN132" s="21"/>
      <c r="BUO132" s="20"/>
      <c r="BUP132" s="20"/>
      <c r="BUQ132" s="20"/>
      <c r="BUR132" s="20"/>
      <c r="BUS132" s="21"/>
      <c r="BUT132" s="21"/>
      <c r="BUU132" s="7"/>
      <c r="BUV132" s="7"/>
      <c r="BUW132" s="21"/>
      <c r="BUX132" s="20"/>
      <c r="BUY132" s="20"/>
      <c r="BUZ132" s="20"/>
      <c r="BVA132" s="21"/>
      <c r="BVB132" s="21"/>
      <c r="BVC132" s="21"/>
      <c r="BVD132" s="21"/>
      <c r="BVE132" s="21"/>
      <c r="BVF132" s="20"/>
      <c r="BVG132" s="20"/>
      <c r="BVH132" s="20"/>
      <c r="BVI132" s="20"/>
      <c r="BVJ132" s="21"/>
      <c r="BVK132" s="21"/>
      <c r="BVL132" s="7"/>
      <c r="BVM132" s="7"/>
      <c r="BVN132" s="21"/>
      <c r="BVO132" s="20"/>
      <c r="BVP132" s="20"/>
      <c r="BVQ132" s="20"/>
      <c r="BVR132" s="21"/>
      <c r="BVS132" s="21"/>
      <c r="BVT132" s="21"/>
      <c r="BVU132" s="21"/>
      <c r="BVV132" s="21"/>
      <c r="BVW132" s="20"/>
      <c r="BVX132" s="20"/>
      <c r="BVY132" s="20"/>
      <c r="BVZ132" s="20"/>
      <c r="BWA132" s="21"/>
      <c r="BWB132" s="21"/>
      <c r="BWC132" s="7"/>
      <c r="BWD132" s="7"/>
      <c r="BWE132" s="21"/>
      <c r="BWF132" s="20"/>
      <c r="BWG132" s="20"/>
      <c r="BWH132" s="20"/>
      <c r="BWI132" s="21"/>
      <c r="BWJ132" s="21"/>
      <c r="BWK132" s="21"/>
      <c r="BWL132" s="21"/>
      <c r="BWM132" s="21"/>
      <c r="BWN132" s="20"/>
      <c r="BWO132" s="20"/>
      <c r="BWP132" s="20"/>
      <c r="BWQ132" s="20"/>
      <c r="BWR132" s="21"/>
      <c r="BWS132" s="21"/>
      <c r="BWT132" s="7"/>
      <c r="BWU132" s="7"/>
      <c r="BWV132" s="21"/>
      <c r="BWW132" s="20"/>
      <c r="BWX132" s="20"/>
      <c r="BWY132" s="20"/>
      <c r="BWZ132" s="21"/>
      <c r="BXA132" s="21"/>
      <c r="BXB132" s="21"/>
      <c r="BXC132" s="21"/>
      <c r="BXD132" s="21"/>
      <c r="BXE132" s="20"/>
      <c r="BXF132" s="20"/>
      <c r="BXG132" s="20"/>
      <c r="BXH132" s="20"/>
      <c r="BXI132" s="21"/>
      <c r="BXJ132" s="21"/>
      <c r="BXK132" s="7"/>
      <c r="BXL132" s="7"/>
      <c r="BXM132" s="21"/>
      <c r="BXN132" s="20"/>
      <c r="BXO132" s="20"/>
      <c r="BXP132" s="20"/>
      <c r="BXQ132" s="21"/>
      <c r="BXR132" s="21"/>
      <c r="BXS132" s="21"/>
      <c r="BXT132" s="21"/>
      <c r="BXU132" s="21"/>
      <c r="BXV132" s="20"/>
      <c r="BXW132" s="20"/>
      <c r="BXX132" s="20"/>
      <c r="BXY132" s="20"/>
      <c r="BXZ132" s="21"/>
      <c r="BYA132" s="21"/>
      <c r="BYB132" s="7"/>
      <c r="BYC132" s="7"/>
      <c r="BYD132" s="21"/>
      <c r="BYE132" s="20"/>
      <c r="BYF132" s="20"/>
      <c r="BYG132" s="20"/>
      <c r="BYH132" s="21"/>
      <c r="BYI132" s="21"/>
      <c r="BYJ132" s="21"/>
      <c r="BYK132" s="21"/>
      <c r="BYL132" s="21"/>
      <c r="BYM132" s="20"/>
      <c r="BYN132" s="20"/>
      <c r="BYO132" s="20"/>
      <c r="BYP132" s="20"/>
      <c r="BYQ132" s="21"/>
      <c r="BYR132" s="21"/>
      <c r="BYS132" s="7"/>
      <c r="BYT132" s="7"/>
      <c r="BYU132" s="21"/>
      <c r="BYV132" s="20"/>
      <c r="BYW132" s="20"/>
      <c r="BYX132" s="20"/>
      <c r="BYY132" s="21"/>
      <c r="BYZ132" s="21"/>
      <c r="BZA132" s="21"/>
      <c r="BZB132" s="21"/>
      <c r="BZC132" s="21"/>
      <c r="BZD132" s="20"/>
      <c r="BZE132" s="20"/>
      <c r="BZF132" s="20"/>
      <c r="BZG132" s="20"/>
      <c r="BZH132" s="21"/>
      <c r="BZI132" s="21"/>
      <c r="BZJ132" s="7"/>
      <c r="BZK132" s="7"/>
      <c r="BZL132" s="21"/>
      <c r="BZM132" s="20"/>
      <c r="BZN132" s="20"/>
      <c r="BZO132" s="20"/>
      <c r="BZP132" s="21"/>
      <c r="BZQ132" s="21"/>
      <c r="BZR132" s="21"/>
      <c r="BZS132" s="21"/>
      <c r="BZT132" s="21"/>
      <c r="BZU132" s="20"/>
      <c r="BZV132" s="20"/>
      <c r="BZW132" s="20"/>
      <c r="BZX132" s="20"/>
      <c r="BZY132" s="21"/>
      <c r="BZZ132" s="21"/>
      <c r="CAA132" s="7"/>
      <c r="CAB132" s="7"/>
      <c r="CAC132" s="21"/>
      <c r="CAD132" s="20"/>
      <c r="CAE132" s="20"/>
      <c r="CAF132" s="20"/>
      <c r="CAG132" s="21"/>
      <c r="CAH132" s="21"/>
      <c r="CAI132" s="21"/>
      <c r="CAJ132" s="21"/>
      <c r="CAK132" s="21"/>
      <c r="CAL132" s="20"/>
      <c r="CAM132" s="20"/>
      <c r="CAN132" s="20"/>
      <c r="CAO132" s="20"/>
      <c r="CAP132" s="21"/>
      <c r="CAQ132" s="21"/>
      <c r="CAR132" s="7"/>
      <c r="CAS132" s="7"/>
      <c r="CAT132" s="21"/>
      <c r="CAU132" s="20"/>
      <c r="CAV132" s="20"/>
      <c r="CAW132" s="20"/>
      <c r="CAX132" s="21"/>
      <c r="CAY132" s="21"/>
      <c r="CAZ132" s="21"/>
      <c r="CBA132" s="21"/>
      <c r="CBB132" s="21"/>
      <c r="CBC132" s="20"/>
      <c r="CBD132" s="20"/>
      <c r="CBE132" s="20"/>
      <c r="CBF132" s="20"/>
      <c r="CBG132" s="21"/>
      <c r="CBH132" s="21"/>
      <c r="CBI132" s="7"/>
      <c r="CBJ132" s="7"/>
      <c r="CBK132" s="21"/>
      <c r="CBL132" s="20"/>
      <c r="CBM132" s="20"/>
      <c r="CBN132" s="20"/>
      <c r="CBO132" s="21"/>
      <c r="CBP132" s="21"/>
      <c r="CBQ132" s="21"/>
      <c r="CBR132" s="21"/>
      <c r="CBS132" s="21"/>
      <c r="CBT132" s="20"/>
      <c r="CBU132" s="20"/>
      <c r="CBV132" s="20"/>
      <c r="CBW132" s="20"/>
      <c r="CBX132" s="21"/>
      <c r="CBY132" s="21"/>
      <c r="CBZ132" s="7"/>
      <c r="CCA132" s="7"/>
      <c r="CCB132" s="21"/>
      <c r="CCC132" s="20"/>
      <c r="CCD132" s="20"/>
      <c r="CCE132" s="20"/>
      <c r="CCF132" s="21"/>
      <c r="CCG132" s="21"/>
      <c r="CCH132" s="21"/>
      <c r="CCI132" s="21"/>
      <c r="CCJ132" s="21"/>
      <c r="CCK132" s="20"/>
      <c r="CCL132" s="20"/>
      <c r="CCM132" s="20"/>
      <c r="CCN132" s="20"/>
      <c r="CCO132" s="21"/>
      <c r="CCP132" s="21"/>
      <c r="CCQ132" s="7"/>
      <c r="CCR132" s="7"/>
      <c r="CCS132" s="21"/>
      <c r="CCT132" s="20"/>
      <c r="CCU132" s="20"/>
      <c r="CCV132" s="20"/>
      <c r="CCW132" s="21"/>
      <c r="CCX132" s="21"/>
      <c r="CCY132" s="21"/>
      <c r="CCZ132" s="21"/>
      <c r="CDA132" s="21"/>
      <c r="CDB132" s="20"/>
      <c r="CDC132" s="20"/>
      <c r="CDD132" s="20"/>
      <c r="CDE132" s="20"/>
      <c r="CDF132" s="21"/>
      <c r="CDG132" s="21"/>
      <c r="CDH132" s="7"/>
      <c r="CDI132" s="7"/>
      <c r="CDJ132" s="21"/>
      <c r="CDK132" s="20"/>
      <c r="CDL132" s="20"/>
      <c r="CDM132" s="20"/>
      <c r="CDN132" s="21"/>
      <c r="CDO132" s="21"/>
      <c r="CDP132" s="21"/>
      <c r="CDQ132" s="21"/>
      <c r="CDR132" s="21"/>
      <c r="CDS132" s="20"/>
      <c r="CDT132" s="20"/>
      <c r="CDU132" s="20"/>
      <c r="CDV132" s="20"/>
      <c r="CDW132" s="21"/>
      <c r="CDX132" s="21"/>
      <c r="CDY132" s="7"/>
      <c r="CDZ132" s="7"/>
      <c r="CEA132" s="21"/>
      <c r="CEB132" s="20"/>
      <c r="CEC132" s="20"/>
      <c r="CED132" s="20"/>
      <c r="CEE132" s="21"/>
      <c r="CEF132" s="21"/>
      <c r="CEG132" s="21"/>
      <c r="CEH132" s="21"/>
      <c r="CEI132" s="21"/>
      <c r="CEJ132" s="20"/>
      <c r="CEK132" s="20"/>
      <c r="CEL132" s="20"/>
      <c r="CEM132" s="20"/>
      <c r="CEN132" s="21"/>
      <c r="CEO132" s="21"/>
      <c r="CEP132" s="7"/>
      <c r="CEQ132" s="7"/>
      <c r="CER132" s="21"/>
      <c r="CES132" s="20"/>
      <c r="CET132" s="20"/>
      <c r="CEU132" s="20"/>
      <c r="CEV132" s="21"/>
      <c r="CEW132" s="21"/>
      <c r="CEX132" s="21"/>
      <c r="CEY132" s="21"/>
      <c r="CEZ132" s="21"/>
      <c r="CFA132" s="20"/>
      <c r="CFB132" s="20"/>
      <c r="CFC132" s="20"/>
      <c r="CFD132" s="20"/>
      <c r="CFE132" s="21"/>
      <c r="CFF132" s="21"/>
      <c r="CFG132" s="7"/>
      <c r="CFH132" s="7"/>
      <c r="CFI132" s="21"/>
      <c r="CFJ132" s="20"/>
      <c r="CFK132" s="20"/>
      <c r="CFL132" s="20"/>
      <c r="CFM132" s="21"/>
      <c r="CFN132" s="21"/>
      <c r="CFO132" s="21"/>
      <c r="CFP132" s="21"/>
      <c r="CFQ132" s="21"/>
      <c r="CFR132" s="20"/>
      <c r="CFS132" s="20"/>
      <c r="CFT132" s="20"/>
      <c r="CFU132" s="20"/>
      <c r="CFV132" s="21"/>
      <c r="CFW132" s="21"/>
      <c r="CFX132" s="7"/>
      <c r="CFY132" s="7"/>
      <c r="CFZ132" s="21"/>
      <c r="CGA132" s="20"/>
      <c r="CGB132" s="20"/>
      <c r="CGC132" s="20"/>
      <c r="CGD132" s="21"/>
      <c r="CGE132" s="21"/>
      <c r="CGF132" s="21"/>
      <c r="CGG132" s="21"/>
      <c r="CGH132" s="21"/>
      <c r="CGI132" s="20"/>
      <c r="CGJ132" s="20"/>
      <c r="CGK132" s="20"/>
      <c r="CGL132" s="20"/>
      <c r="CGM132" s="21"/>
      <c r="CGN132" s="21"/>
      <c r="CGO132" s="7"/>
      <c r="CGP132" s="7"/>
      <c r="CGQ132" s="21"/>
      <c r="CGR132" s="20"/>
      <c r="CGS132" s="20"/>
      <c r="CGT132" s="20"/>
      <c r="CGU132" s="21"/>
      <c r="CGV132" s="21"/>
      <c r="CGW132" s="21"/>
      <c r="CGX132" s="21"/>
      <c r="CGY132" s="21"/>
      <c r="CGZ132" s="20"/>
      <c r="CHA132" s="20"/>
      <c r="CHB132" s="20"/>
      <c r="CHC132" s="20"/>
      <c r="CHD132" s="21"/>
      <c r="CHE132" s="21"/>
      <c r="CHF132" s="7"/>
      <c r="CHG132" s="7"/>
      <c r="CHH132" s="21"/>
      <c r="CHI132" s="20"/>
      <c r="CHJ132" s="20"/>
      <c r="CHK132" s="20"/>
      <c r="CHL132" s="21"/>
      <c r="CHM132" s="21"/>
      <c r="CHN132" s="21"/>
      <c r="CHO132" s="21"/>
      <c r="CHP132" s="21"/>
      <c r="CHQ132" s="20"/>
      <c r="CHR132" s="20"/>
      <c r="CHS132" s="20"/>
      <c r="CHT132" s="20"/>
      <c r="CHU132" s="21"/>
      <c r="CHV132" s="21"/>
      <c r="CHW132" s="7"/>
      <c r="CHX132" s="7"/>
      <c r="CHY132" s="21"/>
      <c r="CHZ132" s="20"/>
      <c r="CIA132" s="20"/>
      <c r="CIB132" s="20"/>
      <c r="CIC132" s="21"/>
      <c r="CID132" s="21"/>
      <c r="CIE132" s="21"/>
      <c r="CIF132" s="21"/>
      <c r="CIG132" s="21"/>
      <c r="CIH132" s="20"/>
      <c r="CII132" s="20"/>
      <c r="CIJ132" s="20"/>
      <c r="CIK132" s="20"/>
      <c r="CIL132" s="21"/>
      <c r="CIM132" s="21"/>
      <c r="CIN132" s="7"/>
      <c r="CIO132" s="7"/>
      <c r="CIP132" s="21"/>
      <c r="CIQ132" s="20"/>
      <c r="CIR132" s="20"/>
      <c r="CIS132" s="20"/>
      <c r="CIT132" s="21"/>
      <c r="CIU132" s="21"/>
      <c r="CIV132" s="21"/>
      <c r="CIW132" s="21"/>
      <c r="CIX132" s="21"/>
      <c r="CIY132" s="20"/>
      <c r="CIZ132" s="20"/>
      <c r="CJA132" s="20"/>
      <c r="CJB132" s="20"/>
      <c r="CJC132" s="21"/>
      <c r="CJD132" s="21"/>
      <c r="CJE132" s="7"/>
      <c r="CJF132" s="7"/>
      <c r="CJG132" s="21"/>
      <c r="CJH132" s="20"/>
      <c r="CJI132" s="20"/>
      <c r="CJJ132" s="20"/>
      <c r="CJK132" s="21"/>
      <c r="CJL132" s="21"/>
      <c r="CJM132" s="21"/>
      <c r="CJN132" s="21"/>
      <c r="CJO132" s="21"/>
      <c r="CJP132" s="20"/>
      <c r="CJQ132" s="20"/>
      <c r="CJR132" s="20"/>
      <c r="CJS132" s="20"/>
      <c r="CJT132" s="21"/>
      <c r="CJU132" s="21"/>
      <c r="CJV132" s="7"/>
      <c r="CJW132" s="7"/>
      <c r="CJX132" s="21"/>
      <c r="CJY132" s="20"/>
      <c r="CJZ132" s="20"/>
      <c r="CKA132" s="20"/>
      <c r="CKB132" s="21"/>
      <c r="CKC132" s="21"/>
      <c r="CKD132" s="21"/>
      <c r="CKE132" s="21"/>
      <c r="CKF132" s="21"/>
      <c r="CKG132" s="20"/>
      <c r="CKH132" s="20"/>
      <c r="CKI132" s="20"/>
      <c r="CKJ132" s="20"/>
      <c r="CKK132" s="21"/>
      <c r="CKL132" s="21"/>
      <c r="CKM132" s="7"/>
      <c r="CKN132" s="7"/>
      <c r="CKO132" s="21"/>
      <c r="CKP132" s="20"/>
      <c r="CKQ132" s="20"/>
      <c r="CKR132" s="20"/>
      <c r="CKS132" s="21"/>
      <c r="CKT132" s="21"/>
      <c r="CKU132" s="21"/>
      <c r="CKV132" s="21"/>
      <c r="CKW132" s="21"/>
      <c r="CKX132" s="20"/>
      <c r="CKY132" s="20"/>
      <c r="CKZ132" s="20"/>
      <c r="CLA132" s="20"/>
      <c r="CLB132" s="21"/>
      <c r="CLC132" s="21"/>
      <c r="CLD132" s="7"/>
      <c r="CLE132" s="7"/>
      <c r="CLF132" s="21"/>
      <c r="CLG132" s="20"/>
      <c r="CLH132" s="20"/>
      <c r="CLI132" s="20"/>
      <c r="CLJ132" s="21"/>
      <c r="CLK132" s="21"/>
      <c r="CLL132" s="21"/>
      <c r="CLM132" s="21"/>
      <c r="CLN132" s="21"/>
      <c r="CLO132" s="20"/>
      <c r="CLP132" s="20"/>
      <c r="CLQ132" s="20"/>
      <c r="CLR132" s="20"/>
      <c r="CLS132" s="21"/>
      <c r="CLT132" s="21"/>
      <c r="CLU132" s="7"/>
      <c r="CLV132" s="7"/>
      <c r="CLW132" s="21"/>
      <c r="CLX132" s="20"/>
      <c r="CLY132" s="20"/>
      <c r="CLZ132" s="20"/>
      <c r="CMA132" s="21"/>
      <c r="CMB132" s="21"/>
      <c r="CMC132" s="21"/>
      <c r="CMD132" s="21"/>
      <c r="CME132" s="21"/>
      <c r="CMF132" s="20"/>
      <c r="CMG132" s="20"/>
      <c r="CMH132" s="20"/>
      <c r="CMI132" s="20"/>
      <c r="CMJ132" s="21"/>
      <c r="CMK132" s="21"/>
      <c r="CML132" s="7"/>
      <c r="CMM132" s="7"/>
      <c r="CMN132" s="21"/>
      <c r="CMO132" s="20"/>
      <c r="CMP132" s="20"/>
      <c r="CMQ132" s="20"/>
      <c r="CMR132" s="21"/>
      <c r="CMS132" s="21"/>
      <c r="CMT132" s="21"/>
      <c r="CMU132" s="21"/>
      <c r="CMV132" s="21"/>
      <c r="CMW132" s="20"/>
      <c r="CMX132" s="20"/>
      <c r="CMY132" s="20"/>
      <c r="CMZ132" s="20"/>
      <c r="CNA132" s="21"/>
      <c r="CNB132" s="21"/>
      <c r="CNC132" s="7"/>
      <c r="CND132" s="7"/>
      <c r="CNE132" s="21"/>
      <c r="CNF132" s="20"/>
      <c r="CNG132" s="20"/>
      <c r="CNH132" s="20"/>
      <c r="CNI132" s="21"/>
      <c r="CNJ132" s="21"/>
      <c r="CNK132" s="21"/>
      <c r="CNL132" s="21"/>
      <c r="CNM132" s="21"/>
      <c r="CNN132" s="20"/>
      <c r="CNO132" s="20"/>
      <c r="CNP132" s="20"/>
      <c r="CNQ132" s="20"/>
      <c r="CNR132" s="21"/>
      <c r="CNS132" s="21"/>
      <c r="CNT132" s="7"/>
      <c r="CNU132" s="7"/>
      <c r="CNV132" s="21"/>
      <c r="CNW132" s="20"/>
      <c r="CNX132" s="20"/>
      <c r="CNY132" s="20"/>
      <c r="CNZ132" s="21"/>
      <c r="COA132" s="21"/>
      <c r="COB132" s="21"/>
      <c r="COC132" s="21"/>
      <c r="COD132" s="21"/>
      <c r="COE132" s="20"/>
      <c r="COF132" s="20"/>
      <c r="COG132" s="20"/>
      <c r="COH132" s="20"/>
      <c r="COI132" s="21"/>
      <c r="COJ132" s="21"/>
      <c r="COK132" s="7"/>
      <c r="COL132" s="7"/>
      <c r="COM132" s="21"/>
      <c r="CON132" s="20"/>
      <c r="COO132" s="20"/>
      <c r="COP132" s="20"/>
      <c r="COQ132" s="21"/>
      <c r="COR132" s="21"/>
      <c r="COS132" s="21"/>
      <c r="COT132" s="21"/>
      <c r="COU132" s="21"/>
      <c r="COV132" s="20"/>
      <c r="COW132" s="20"/>
      <c r="COX132" s="20"/>
      <c r="COY132" s="20"/>
      <c r="COZ132" s="21"/>
      <c r="CPA132" s="21"/>
      <c r="CPB132" s="7"/>
      <c r="CPC132" s="7"/>
      <c r="CPD132" s="21"/>
      <c r="CPE132" s="20"/>
      <c r="CPF132" s="20"/>
      <c r="CPG132" s="20"/>
      <c r="CPH132" s="21"/>
      <c r="CPI132" s="21"/>
      <c r="CPJ132" s="21"/>
      <c r="CPK132" s="21"/>
      <c r="CPL132" s="21"/>
      <c r="CPM132" s="20"/>
      <c r="CPN132" s="20"/>
      <c r="CPO132" s="20"/>
      <c r="CPP132" s="20"/>
      <c r="CPQ132" s="21"/>
      <c r="CPR132" s="21"/>
      <c r="CPS132" s="7"/>
      <c r="CPT132" s="7"/>
      <c r="CPU132" s="21"/>
      <c r="CPV132" s="20"/>
      <c r="CPW132" s="20"/>
      <c r="CPX132" s="20"/>
      <c r="CPY132" s="21"/>
      <c r="CPZ132" s="21"/>
      <c r="CQA132" s="21"/>
      <c r="CQB132" s="21"/>
      <c r="CQC132" s="21"/>
      <c r="CQD132" s="20"/>
      <c r="CQE132" s="20"/>
      <c r="CQF132" s="20"/>
      <c r="CQG132" s="20"/>
      <c r="CQH132" s="21"/>
      <c r="CQI132" s="21"/>
      <c r="CQJ132" s="7"/>
      <c r="CQK132" s="7"/>
      <c r="CQL132" s="21"/>
      <c r="CQM132" s="20"/>
      <c r="CQN132" s="20"/>
      <c r="CQO132" s="20"/>
      <c r="CQP132" s="21"/>
      <c r="CQQ132" s="21"/>
      <c r="CQR132" s="21"/>
      <c r="CQS132" s="21"/>
      <c r="CQT132" s="21"/>
      <c r="CQU132" s="20"/>
      <c r="CQV132" s="20"/>
      <c r="CQW132" s="20"/>
      <c r="CQX132" s="20"/>
      <c r="CQY132" s="21"/>
      <c r="CQZ132" s="21"/>
      <c r="CRA132" s="7"/>
      <c r="CRB132" s="7"/>
      <c r="CRC132" s="21"/>
      <c r="CRD132" s="20"/>
      <c r="CRE132" s="20"/>
      <c r="CRF132" s="20"/>
      <c r="CRG132" s="21"/>
      <c r="CRH132" s="21"/>
      <c r="CRI132" s="21"/>
      <c r="CRJ132" s="21"/>
      <c r="CRK132" s="21"/>
      <c r="CRL132" s="20"/>
      <c r="CRM132" s="20"/>
      <c r="CRN132" s="20"/>
      <c r="CRO132" s="20"/>
      <c r="CRP132" s="21"/>
      <c r="CRQ132" s="21"/>
      <c r="CRR132" s="7"/>
      <c r="CRS132" s="7"/>
      <c r="CRT132" s="21"/>
      <c r="CRU132" s="20"/>
      <c r="CRV132" s="20"/>
      <c r="CRW132" s="20"/>
      <c r="CRX132" s="21"/>
      <c r="CRY132" s="21"/>
      <c r="CRZ132" s="21"/>
      <c r="CSA132" s="21"/>
      <c r="CSB132" s="21"/>
      <c r="CSC132" s="20"/>
      <c r="CSD132" s="20"/>
      <c r="CSE132" s="20"/>
      <c r="CSF132" s="20"/>
      <c r="CSG132" s="21"/>
      <c r="CSH132" s="21"/>
      <c r="CSI132" s="7"/>
      <c r="CSJ132" s="7"/>
      <c r="CSK132" s="21"/>
      <c r="CSL132" s="20"/>
      <c r="CSM132" s="20"/>
      <c r="CSN132" s="20"/>
      <c r="CSO132" s="21"/>
      <c r="CSP132" s="21"/>
      <c r="CSQ132" s="21"/>
      <c r="CSR132" s="21"/>
      <c r="CSS132" s="21"/>
      <c r="CST132" s="20"/>
      <c r="CSU132" s="20"/>
      <c r="CSV132" s="20"/>
      <c r="CSW132" s="20"/>
      <c r="CSX132" s="21"/>
      <c r="CSY132" s="21"/>
      <c r="CSZ132" s="7"/>
      <c r="CTA132" s="7"/>
      <c r="CTB132" s="21"/>
      <c r="CTC132" s="20"/>
      <c r="CTD132" s="20"/>
      <c r="CTE132" s="20"/>
      <c r="CTF132" s="21"/>
      <c r="CTG132" s="21"/>
      <c r="CTH132" s="21"/>
      <c r="CTI132" s="21"/>
      <c r="CTJ132" s="21"/>
      <c r="CTK132" s="20"/>
      <c r="CTL132" s="20"/>
      <c r="CTM132" s="20"/>
      <c r="CTN132" s="20"/>
      <c r="CTO132" s="21"/>
      <c r="CTP132" s="21"/>
      <c r="CTQ132" s="7"/>
      <c r="CTR132" s="7"/>
      <c r="CTS132" s="21"/>
      <c r="CTT132" s="20"/>
      <c r="CTU132" s="20"/>
      <c r="CTV132" s="20"/>
      <c r="CTW132" s="21"/>
      <c r="CTX132" s="21"/>
      <c r="CTY132" s="21"/>
      <c r="CTZ132" s="21"/>
      <c r="CUA132" s="21"/>
      <c r="CUB132" s="20"/>
      <c r="CUC132" s="20"/>
      <c r="CUD132" s="20"/>
      <c r="CUE132" s="20"/>
      <c r="CUF132" s="21"/>
      <c r="CUG132" s="21"/>
      <c r="CUH132" s="7"/>
      <c r="CUI132" s="7"/>
      <c r="CUJ132" s="21"/>
      <c r="CUK132" s="20"/>
      <c r="CUL132" s="20"/>
      <c r="CUM132" s="20"/>
      <c r="CUN132" s="21"/>
      <c r="CUO132" s="21"/>
      <c r="CUP132" s="21"/>
      <c r="CUQ132" s="21"/>
      <c r="CUR132" s="21"/>
      <c r="CUS132" s="20"/>
      <c r="CUT132" s="20"/>
      <c r="CUU132" s="20"/>
      <c r="CUV132" s="20"/>
      <c r="CUW132" s="21"/>
      <c r="CUX132" s="21"/>
      <c r="CUY132" s="7"/>
      <c r="CUZ132" s="7"/>
      <c r="CVA132" s="21"/>
      <c r="CVB132" s="20"/>
      <c r="CVC132" s="20"/>
      <c r="CVD132" s="20"/>
      <c r="CVE132" s="21"/>
      <c r="CVF132" s="21"/>
      <c r="CVG132" s="21"/>
      <c r="CVH132" s="21"/>
      <c r="CVI132" s="21"/>
      <c r="CVJ132" s="20"/>
      <c r="CVK132" s="20"/>
      <c r="CVL132" s="20"/>
      <c r="CVM132" s="20"/>
      <c r="CVN132" s="21"/>
      <c r="CVO132" s="21"/>
      <c r="CVP132" s="7"/>
      <c r="CVQ132" s="7"/>
      <c r="CVR132" s="21"/>
      <c r="CVS132" s="20"/>
      <c r="CVT132" s="20"/>
      <c r="CVU132" s="20"/>
      <c r="CVV132" s="21"/>
      <c r="CVW132" s="21"/>
      <c r="CVX132" s="21"/>
      <c r="CVY132" s="21"/>
      <c r="CVZ132" s="21"/>
      <c r="CWA132" s="20"/>
      <c r="CWB132" s="20"/>
      <c r="CWC132" s="20"/>
      <c r="CWD132" s="20"/>
      <c r="CWE132" s="21"/>
      <c r="CWF132" s="21"/>
      <c r="CWG132" s="7"/>
      <c r="CWH132" s="7"/>
      <c r="CWI132" s="21"/>
      <c r="CWJ132" s="20"/>
      <c r="CWK132" s="20"/>
      <c r="CWL132" s="20"/>
      <c r="CWM132" s="21"/>
      <c r="CWN132" s="21"/>
      <c r="CWO132" s="21"/>
      <c r="CWP132" s="21"/>
      <c r="CWQ132" s="21"/>
      <c r="CWR132" s="20"/>
      <c r="CWS132" s="20"/>
      <c r="CWT132" s="20"/>
      <c r="CWU132" s="20"/>
      <c r="CWV132" s="21"/>
      <c r="CWW132" s="21"/>
      <c r="CWX132" s="7"/>
      <c r="CWY132" s="7"/>
      <c r="CWZ132" s="21"/>
      <c r="CXA132" s="20"/>
      <c r="CXB132" s="20"/>
      <c r="CXC132" s="20"/>
      <c r="CXD132" s="21"/>
      <c r="CXE132" s="21"/>
      <c r="CXF132" s="21"/>
      <c r="CXG132" s="21"/>
      <c r="CXH132" s="21"/>
      <c r="CXI132" s="20"/>
      <c r="CXJ132" s="20"/>
      <c r="CXK132" s="20"/>
      <c r="CXL132" s="20"/>
      <c r="CXM132" s="21"/>
      <c r="CXN132" s="21"/>
      <c r="CXO132" s="7"/>
      <c r="CXP132" s="7"/>
      <c r="CXQ132" s="21"/>
      <c r="CXR132" s="20"/>
      <c r="CXS132" s="20"/>
      <c r="CXT132" s="20"/>
      <c r="CXU132" s="21"/>
      <c r="CXV132" s="21"/>
      <c r="CXW132" s="21"/>
      <c r="CXX132" s="21"/>
      <c r="CXY132" s="21"/>
      <c r="CXZ132" s="20"/>
      <c r="CYA132" s="20"/>
      <c r="CYB132" s="20"/>
      <c r="CYC132" s="20"/>
      <c r="CYD132" s="21"/>
      <c r="CYE132" s="21"/>
      <c r="CYF132" s="7"/>
      <c r="CYG132" s="7"/>
      <c r="CYH132" s="21"/>
      <c r="CYI132" s="20"/>
      <c r="CYJ132" s="20"/>
      <c r="CYK132" s="20"/>
      <c r="CYL132" s="21"/>
      <c r="CYM132" s="21"/>
      <c r="CYN132" s="21"/>
      <c r="CYO132" s="21"/>
      <c r="CYP132" s="21"/>
      <c r="CYQ132" s="20"/>
      <c r="CYR132" s="20"/>
      <c r="CYS132" s="20"/>
      <c r="CYT132" s="20"/>
      <c r="CYU132" s="21"/>
      <c r="CYV132" s="21"/>
      <c r="CYW132" s="7"/>
      <c r="CYX132" s="7"/>
      <c r="CYY132" s="21"/>
      <c r="CYZ132" s="20"/>
      <c r="CZA132" s="20"/>
      <c r="CZB132" s="20"/>
      <c r="CZC132" s="21"/>
      <c r="CZD132" s="21"/>
      <c r="CZE132" s="21"/>
      <c r="CZF132" s="21"/>
      <c r="CZG132" s="21"/>
      <c r="CZH132" s="20"/>
      <c r="CZI132" s="20"/>
      <c r="CZJ132" s="20"/>
      <c r="CZK132" s="20"/>
      <c r="CZL132" s="21"/>
      <c r="CZM132" s="21"/>
      <c r="CZN132" s="7"/>
      <c r="CZO132" s="7"/>
      <c r="CZP132" s="21"/>
      <c r="CZQ132" s="20"/>
      <c r="CZR132" s="20"/>
      <c r="CZS132" s="20"/>
      <c r="CZT132" s="21"/>
      <c r="CZU132" s="21"/>
      <c r="CZV132" s="21"/>
      <c r="CZW132" s="21"/>
      <c r="CZX132" s="21"/>
      <c r="CZY132" s="20"/>
      <c r="CZZ132" s="20"/>
      <c r="DAA132" s="20"/>
      <c r="DAB132" s="20"/>
      <c r="DAC132" s="21"/>
      <c r="DAD132" s="21"/>
      <c r="DAE132" s="7"/>
      <c r="DAF132" s="7"/>
      <c r="DAG132" s="21"/>
      <c r="DAH132" s="20"/>
      <c r="DAI132" s="20"/>
      <c r="DAJ132" s="20"/>
      <c r="DAK132" s="21"/>
      <c r="DAL132" s="21"/>
      <c r="DAM132" s="21"/>
      <c r="DAN132" s="21"/>
      <c r="DAO132" s="21"/>
      <c r="DAP132" s="20"/>
      <c r="DAQ132" s="20"/>
      <c r="DAR132" s="20"/>
      <c r="DAS132" s="20"/>
      <c r="DAT132" s="21"/>
      <c r="DAU132" s="21"/>
      <c r="DAV132" s="7"/>
      <c r="DAW132" s="7"/>
      <c r="DAX132" s="21"/>
      <c r="DAY132" s="20"/>
      <c r="DAZ132" s="20"/>
      <c r="DBA132" s="20"/>
      <c r="DBB132" s="21"/>
      <c r="DBC132" s="21"/>
      <c r="DBD132" s="21"/>
      <c r="DBE132" s="21"/>
      <c r="DBF132" s="21"/>
      <c r="DBG132" s="20"/>
      <c r="DBH132" s="20"/>
      <c r="DBI132" s="20"/>
      <c r="DBJ132" s="20"/>
      <c r="DBK132" s="21"/>
      <c r="DBL132" s="21"/>
      <c r="DBM132" s="7"/>
      <c r="DBN132" s="7"/>
      <c r="DBO132" s="21"/>
      <c r="DBP132" s="20"/>
      <c r="DBQ132" s="20"/>
      <c r="DBR132" s="20"/>
      <c r="DBS132" s="21"/>
      <c r="DBT132" s="21"/>
      <c r="DBU132" s="21"/>
      <c r="DBV132" s="21"/>
      <c r="DBW132" s="21"/>
      <c r="DBX132" s="20"/>
      <c r="DBY132" s="20"/>
      <c r="DBZ132" s="20"/>
      <c r="DCA132" s="20"/>
      <c r="DCB132" s="21"/>
      <c r="DCC132" s="21"/>
      <c r="DCD132" s="7"/>
      <c r="DCE132" s="7"/>
      <c r="DCF132" s="21"/>
      <c r="DCG132" s="20"/>
      <c r="DCH132" s="20"/>
      <c r="DCI132" s="20"/>
      <c r="DCJ132" s="21"/>
      <c r="DCK132" s="21"/>
      <c r="DCL132" s="21"/>
      <c r="DCM132" s="21"/>
      <c r="DCN132" s="21"/>
      <c r="DCO132" s="20"/>
      <c r="DCP132" s="20"/>
      <c r="DCQ132" s="20"/>
      <c r="DCR132" s="20"/>
      <c r="DCS132" s="21"/>
      <c r="DCT132" s="21"/>
      <c r="DCU132" s="7"/>
      <c r="DCV132" s="7"/>
      <c r="DCW132" s="21"/>
      <c r="DCX132" s="20"/>
      <c r="DCY132" s="20"/>
      <c r="DCZ132" s="20"/>
      <c r="DDA132" s="21"/>
      <c r="DDB132" s="21"/>
      <c r="DDC132" s="21"/>
      <c r="DDD132" s="21"/>
      <c r="DDE132" s="21"/>
      <c r="DDF132" s="20"/>
      <c r="DDG132" s="20"/>
      <c r="DDH132" s="20"/>
      <c r="DDI132" s="20"/>
      <c r="DDJ132" s="21"/>
      <c r="DDK132" s="21"/>
      <c r="DDL132" s="7"/>
      <c r="DDM132" s="7"/>
      <c r="DDN132" s="21"/>
      <c r="DDO132" s="20"/>
      <c r="DDP132" s="20"/>
      <c r="DDQ132" s="20"/>
      <c r="DDR132" s="21"/>
      <c r="DDS132" s="21"/>
      <c r="DDT132" s="21"/>
      <c r="DDU132" s="21"/>
      <c r="DDV132" s="21"/>
      <c r="DDW132" s="20"/>
      <c r="DDX132" s="20"/>
      <c r="DDY132" s="20"/>
      <c r="DDZ132" s="20"/>
      <c r="DEA132" s="21"/>
      <c r="DEB132" s="21"/>
      <c r="DEC132" s="7"/>
      <c r="DED132" s="7"/>
      <c r="DEE132" s="21"/>
      <c r="DEF132" s="20"/>
      <c r="DEG132" s="20"/>
      <c r="DEH132" s="20"/>
      <c r="DEI132" s="21"/>
      <c r="DEJ132" s="21"/>
      <c r="DEK132" s="21"/>
      <c r="DEL132" s="21"/>
      <c r="DEM132" s="21"/>
      <c r="DEN132" s="20"/>
      <c r="DEO132" s="20"/>
      <c r="DEP132" s="20"/>
      <c r="DEQ132" s="20"/>
      <c r="DER132" s="21"/>
      <c r="DES132" s="21"/>
      <c r="DET132" s="7"/>
      <c r="DEU132" s="7"/>
      <c r="DEV132" s="21"/>
      <c r="DEW132" s="20"/>
      <c r="DEX132" s="20"/>
      <c r="DEY132" s="20"/>
      <c r="DEZ132" s="21"/>
      <c r="DFA132" s="21"/>
      <c r="DFB132" s="21"/>
      <c r="DFC132" s="21"/>
      <c r="DFD132" s="21"/>
      <c r="DFE132" s="20"/>
      <c r="DFF132" s="20"/>
      <c r="DFG132" s="20"/>
      <c r="DFH132" s="20"/>
      <c r="DFI132" s="21"/>
      <c r="DFJ132" s="21"/>
      <c r="DFK132" s="7"/>
      <c r="DFL132" s="7"/>
      <c r="DFM132" s="21"/>
      <c r="DFN132" s="20"/>
      <c r="DFO132" s="20"/>
      <c r="DFP132" s="20"/>
      <c r="DFQ132" s="21"/>
      <c r="DFR132" s="21"/>
      <c r="DFS132" s="21"/>
      <c r="DFT132" s="21"/>
      <c r="DFU132" s="21"/>
      <c r="DFV132" s="20"/>
      <c r="DFW132" s="20"/>
      <c r="DFX132" s="20"/>
      <c r="DFY132" s="20"/>
      <c r="DFZ132" s="21"/>
      <c r="DGA132" s="21"/>
      <c r="DGB132" s="7"/>
      <c r="DGC132" s="7"/>
      <c r="DGD132" s="21"/>
      <c r="DGE132" s="20"/>
      <c r="DGF132" s="20"/>
      <c r="DGG132" s="20"/>
      <c r="DGH132" s="21"/>
      <c r="DGI132" s="21"/>
      <c r="DGJ132" s="21"/>
      <c r="DGK132" s="21"/>
      <c r="DGL132" s="21"/>
      <c r="DGM132" s="20"/>
      <c r="DGN132" s="20"/>
      <c r="DGO132" s="20"/>
      <c r="DGP132" s="20"/>
      <c r="DGQ132" s="21"/>
      <c r="DGR132" s="21"/>
      <c r="DGS132" s="7"/>
      <c r="DGT132" s="7"/>
      <c r="DGU132" s="21"/>
      <c r="DGV132" s="20"/>
      <c r="DGW132" s="20"/>
      <c r="DGX132" s="20"/>
      <c r="DGY132" s="21"/>
      <c r="DGZ132" s="21"/>
      <c r="DHA132" s="21"/>
      <c r="DHB132" s="21"/>
      <c r="DHC132" s="21"/>
      <c r="DHD132" s="20"/>
      <c r="DHE132" s="20"/>
      <c r="DHF132" s="20"/>
      <c r="DHG132" s="20"/>
      <c r="DHH132" s="21"/>
      <c r="DHI132" s="21"/>
      <c r="DHJ132" s="7"/>
      <c r="DHK132" s="7"/>
      <c r="DHL132" s="21"/>
      <c r="DHM132" s="20"/>
      <c r="DHN132" s="20"/>
      <c r="DHO132" s="20"/>
      <c r="DHP132" s="21"/>
      <c r="DHQ132" s="21"/>
      <c r="DHR132" s="21"/>
      <c r="DHS132" s="21"/>
      <c r="DHT132" s="21"/>
      <c r="DHU132" s="20"/>
      <c r="DHV132" s="20"/>
      <c r="DHW132" s="20"/>
      <c r="DHX132" s="20"/>
      <c r="DHY132" s="21"/>
      <c r="DHZ132" s="21"/>
      <c r="DIA132" s="7"/>
      <c r="DIB132" s="7"/>
      <c r="DIC132" s="21"/>
      <c r="DID132" s="20"/>
      <c r="DIE132" s="20"/>
      <c r="DIF132" s="20"/>
      <c r="DIG132" s="21"/>
      <c r="DIH132" s="21"/>
      <c r="DII132" s="21"/>
      <c r="DIJ132" s="21"/>
      <c r="DIK132" s="21"/>
      <c r="DIL132" s="20"/>
      <c r="DIM132" s="20"/>
      <c r="DIN132" s="20"/>
      <c r="DIO132" s="20"/>
      <c r="DIP132" s="21"/>
      <c r="DIQ132" s="21"/>
      <c r="DIR132" s="7"/>
      <c r="DIS132" s="7"/>
      <c r="DIT132" s="21"/>
      <c r="DIU132" s="20"/>
      <c r="DIV132" s="20"/>
      <c r="DIW132" s="20"/>
      <c r="DIX132" s="21"/>
      <c r="DIY132" s="21"/>
      <c r="DIZ132" s="21"/>
      <c r="DJA132" s="21"/>
      <c r="DJB132" s="21"/>
      <c r="DJC132" s="20"/>
      <c r="DJD132" s="20"/>
      <c r="DJE132" s="20"/>
      <c r="DJF132" s="20"/>
      <c r="DJG132" s="21"/>
      <c r="DJH132" s="21"/>
      <c r="DJI132" s="7"/>
      <c r="DJJ132" s="7"/>
      <c r="DJK132" s="21"/>
      <c r="DJL132" s="20"/>
      <c r="DJM132" s="20"/>
      <c r="DJN132" s="20"/>
      <c r="DJO132" s="21"/>
      <c r="DJP132" s="21"/>
      <c r="DJQ132" s="21"/>
      <c r="DJR132" s="21"/>
      <c r="DJS132" s="21"/>
      <c r="DJT132" s="20"/>
      <c r="DJU132" s="20"/>
      <c r="DJV132" s="20"/>
      <c r="DJW132" s="20"/>
      <c r="DJX132" s="21"/>
      <c r="DJY132" s="21"/>
      <c r="DJZ132" s="7"/>
      <c r="DKA132" s="7"/>
      <c r="DKB132" s="21"/>
      <c r="DKC132" s="20"/>
      <c r="DKD132" s="20"/>
      <c r="DKE132" s="20"/>
      <c r="DKF132" s="21"/>
      <c r="DKG132" s="21"/>
      <c r="DKH132" s="21"/>
      <c r="DKI132" s="21"/>
      <c r="DKJ132" s="21"/>
      <c r="DKK132" s="20"/>
      <c r="DKL132" s="20"/>
      <c r="DKM132" s="20"/>
      <c r="DKN132" s="20"/>
      <c r="DKO132" s="21"/>
      <c r="DKP132" s="21"/>
      <c r="DKQ132" s="7"/>
      <c r="DKR132" s="7"/>
      <c r="DKS132" s="21"/>
      <c r="DKT132" s="20"/>
      <c r="DKU132" s="20"/>
      <c r="DKV132" s="20"/>
      <c r="DKW132" s="21"/>
      <c r="DKX132" s="21"/>
      <c r="DKY132" s="21"/>
      <c r="DKZ132" s="21"/>
      <c r="DLA132" s="21"/>
      <c r="DLB132" s="20"/>
      <c r="DLC132" s="20"/>
      <c r="DLD132" s="20"/>
      <c r="DLE132" s="20"/>
      <c r="DLF132" s="21"/>
      <c r="DLG132" s="21"/>
      <c r="DLH132" s="7"/>
      <c r="DLI132" s="7"/>
      <c r="DLJ132" s="21"/>
      <c r="DLK132" s="20"/>
      <c r="DLL132" s="20"/>
      <c r="DLM132" s="20"/>
      <c r="DLN132" s="21"/>
      <c r="DLO132" s="21"/>
      <c r="DLP132" s="21"/>
      <c r="DLQ132" s="21"/>
      <c r="DLR132" s="21"/>
      <c r="DLS132" s="20"/>
      <c r="DLT132" s="20"/>
      <c r="DLU132" s="20"/>
      <c r="DLV132" s="20"/>
      <c r="DLW132" s="21"/>
      <c r="DLX132" s="21"/>
      <c r="DLY132" s="7"/>
      <c r="DLZ132" s="7"/>
      <c r="DMA132" s="21"/>
      <c r="DMB132" s="20"/>
      <c r="DMC132" s="20"/>
      <c r="DMD132" s="20"/>
      <c r="DME132" s="21"/>
      <c r="DMF132" s="21"/>
      <c r="DMG132" s="21"/>
      <c r="DMH132" s="21"/>
      <c r="DMI132" s="21"/>
      <c r="DMJ132" s="20"/>
      <c r="DMK132" s="20"/>
      <c r="DML132" s="20"/>
      <c r="DMM132" s="20"/>
      <c r="DMN132" s="21"/>
      <c r="DMO132" s="21"/>
      <c r="DMP132" s="7"/>
      <c r="DMQ132" s="7"/>
      <c r="DMR132" s="21"/>
      <c r="DMS132" s="20"/>
      <c r="DMT132" s="20"/>
      <c r="DMU132" s="20"/>
      <c r="DMV132" s="21"/>
      <c r="DMW132" s="21"/>
      <c r="DMX132" s="21"/>
      <c r="DMY132" s="21"/>
      <c r="DMZ132" s="21"/>
      <c r="DNA132" s="20"/>
      <c r="DNB132" s="20"/>
      <c r="DNC132" s="20"/>
      <c r="DND132" s="20"/>
      <c r="DNE132" s="21"/>
      <c r="DNF132" s="21"/>
      <c r="DNG132" s="7"/>
      <c r="DNH132" s="7"/>
      <c r="DNI132" s="21"/>
      <c r="DNJ132" s="20"/>
      <c r="DNK132" s="20"/>
      <c r="DNL132" s="20"/>
      <c r="DNM132" s="21"/>
      <c r="DNN132" s="21"/>
      <c r="DNO132" s="21"/>
      <c r="DNP132" s="21"/>
      <c r="DNQ132" s="21"/>
      <c r="DNR132" s="20"/>
      <c r="DNS132" s="20"/>
      <c r="DNT132" s="20"/>
      <c r="DNU132" s="20"/>
      <c r="DNV132" s="21"/>
      <c r="DNW132" s="21"/>
      <c r="DNX132" s="7"/>
      <c r="DNY132" s="7"/>
      <c r="DNZ132" s="21"/>
      <c r="DOA132" s="20"/>
      <c r="DOB132" s="20"/>
      <c r="DOC132" s="20"/>
      <c r="DOD132" s="21"/>
      <c r="DOE132" s="21"/>
      <c r="DOF132" s="21"/>
      <c r="DOG132" s="21"/>
      <c r="DOH132" s="21"/>
      <c r="DOI132" s="20"/>
      <c r="DOJ132" s="20"/>
      <c r="DOK132" s="20"/>
      <c r="DOL132" s="20"/>
      <c r="DOM132" s="21"/>
      <c r="DON132" s="21"/>
      <c r="DOO132" s="7"/>
      <c r="DOP132" s="7"/>
      <c r="DOQ132" s="21"/>
      <c r="DOR132" s="20"/>
      <c r="DOS132" s="20"/>
      <c r="DOT132" s="20"/>
      <c r="DOU132" s="21"/>
      <c r="DOV132" s="21"/>
      <c r="DOW132" s="21"/>
      <c r="DOX132" s="21"/>
      <c r="DOY132" s="21"/>
      <c r="DOZ132" s="20"/>
      <c r="DPA132" s="20"/>
      <c r="DPB132" s="20"/>
      <c r="DPC132" s="20"/>
      <c r="DPD132" s="21"/>
      <c r="DPE132" s="21"/>
      <c r="DPF132" s="7"/>
      <c r="DPG132" s="7"/>
      <c r="DPH132" s="21"/>
      <c r="DPI132" s="20"/>
      <c r="DPJ132" s="20"/>
      <c r="DPK132" s="20"/>
      <c r="DPL132" s="21"/>
      <c r="DPM132" s="21"/>
      <c r="DPN132" s="21"/>
      <c r="DPO132" s="21"/>
      <c r="DPP132" s="21"/>
      <c r="DPQ132" s="20"/>
      <c r="DPR132" s="20"/>
      <c r="DPS132" s="20"/>
      <c r="DPT132" s="20"/>
      <c r="DPU132" s="21"/>
      <c r="DPV132" s="21"/>
      <c r="DPW132" s="7"/>
      <c r="DPX132" s="7"/>
      <c r="DPY132" s="21"/>
      <c r="DPZ132" s="20"/>
      <c r="DQA132" s="20"/>
      <c r="DQB132" s="20"/>
      <c r="DQC132" s="21"/>
      <c r="DQD132" s="21"/>
      <c r="DQE132" s="21"/>
      <c r="DQF132" s="21"/>
      <c r="DQG132" s="21"/>
      <c r="DQH132" s="20"/>
      <c r="DQI132" s="20"/>
      <c r="DQJ132" s="20"/>
      <c r="DQK132" s="20"/>
      <c r="DQL132" s="21"/>
      <c r="DQM132" s="21"/>
      <c r="DQN132" s="7"/>
      <c r="DQO132" s="7"/>
      <c r="DQP132" s="21"/>
      <c r="DQQ132" s="20"/>
      <c r="DQR132" s="20"/>
      <c r="DQS132" s="20"/>
      <c r="DQT132" s="21"/>
      <c r="DQU132" s="21"/>
      <c r="DQV132" s="21"/>
      <c r="DQW132" s="21"/>
      <c r="DQX132" s="21"/>
      <c r="DQY132" s="20"/>
      <c r="DQZ132" s="20"/>
      <c r="DRA132" s="20"/>
      <c r="DRB132" s="20"/>
      <c r="DRC132" s="21"/>
      <c r="DRD132" s="21"/>
      <c r="DRE132" s="7"/>
      <c r="DRF132" s="7"/>
      <c r="DRG132" s="21"/>
      <c r="DRH132" s="20"/>
      <c r="DRI132" s="20"/>
      <c r="DRJ132" s="20"/>
      <c r="DRK132" s="21"/>
      <c r="DRL132" s="21"/>
      <c r="DRM132" s="21"/>
      <c r="DRN132" s="21"/>
      <c r="DRO132" s="21"/>
      <c r="DRP132" s="20"/>
      <c r="DRQ132" s="20"/>
      <c r="DRR132" s="20"/>
      <c r="DRS132" s="20"/>
      <c r="DRT132" s="21"/>
      <c r="DRU132" s="21"/>
      <c r="DRV132" s="7"/>
      <c r="DRW132" s="7"/>
      <c r="DRX132" s="21"/>
      <c r="DRY132" s="20"/>
      <c r="DRZ132" s="20"/>
      <c r="DSA132" s="20"/>
      <c r="DSB132" s="21"/>
      <c r="DSC132" s="21"/>
      <c r="DSD132" s="21"/>
      <c r="DSE132" s="21"/>
      <c r="DSF132" s="21"/>
      <c r="DSG132" s="20"/>
      <c r="DSH132" s="20"/>
      <c r="DSI132" s="20"/>
      <c r="DSJ132" s="20"/>
      <c r="DSK132" s="21"/>
      <c r="DSL132" s="21"/>
      <c r="DSM132" s="7"/>
      <c r="DSN132" s="7"/>
      <c r="DSO132" s="21"/>
      <c r="DSP132" s="20"/>
      <c r="DSQ132" s="20"/>
      <c r="DSR132" s="20"/>
      <c r="DSS132" s="21"/>
      <c r="DST132" s="21"/>
      <c r="DSU132" s="21"/>
      <c r="DSV132" s="21"/>
      <c r="DSW132" s="21"/>
      <c r="DSX132" s="20"/>
      <c r="DSY132" s="20"/>
      <c r="DSZ132" s="20"/>
      <c r="DTA132" s="20"/>
      <c r="DTB132" s="21"/>
      <c r="DTC132" s="21"/>
      <c r="DTD132" s="7"/>
      <c r="DTE132" s="7"/>
      <c r="DTF132" s="21"/>
      <c r="DTG132" s="20"/>
      <c r="DTH132" s="20"/>
      <c r="DTI132" s="20"/>
      <c r="DTJ132" s="21"/>
      <c r="DTK132" s="21"/>
      <c r="DTL132" s="21"/>
      <c r="DTM132" s="21"/>
      <c r="DTN132" s="21"/>
      <c r="DTO132" s="20"/>
      <c r="DTP132" s="20"/>
      <c r="DTQ132" s="20"/>
      <c r="DTR132" s="20"/>
      <c r="DTS132" s="21"/>
      <c r="DTT132" s="21"/>
      <c r="DTU132" s="7"/>
      <c r="DTV132" s="7"/>
      <c r="DTW132" s="21"/>
      <c r="DTX132" s="20"/>
      <c r="DTY132" s="20"/>
      <c r="DTZ132" s="20"/>
      <c r="DUA132" s="21"/>
      <c r="DUB132" s="21"/>
      <c r="DUC132" s="21"/>
      <c r="DUD132" s="21"/>
      <c r="DUE132" s="21"/>
      <c r="DUF132" s="20"/>
      <c r="DUG132" s="20"/>
      <c r="DUH132" s="20"/>
      <c r="DUI132" s="20"/>
      <c r="DUJ132" s="21"/>
      <c r="DUK132" s="21"/>
      <c r="DUL132" s="7"/>
      <c r="DUM132" s="7"/>
      <c r="DUN132" s="21"/>
      <c r="DUO132" s="20"/>
      <c r="DUP132" s="20"/>
      <c r="DUQ132" s="20"/>
      <c r="DUR132" s="21"/>
      <c r="DUS132" s="21"/>
      <c r="DUT132" s="21"/>
      <c r="DUU132" s="21"/>
      <c r="DUV132" s="21"/>
      <c r="DUW132" s="20"/>
      <c r="DUX132" s="20"/>
      <c r="DUY132" s="20"/>
      <c r="DUZ132" s="20"/>
      <c r="DVA132" s="21"/>
      <c r="DVB132" s="21"/>
      <c r="DVC132" s="7"/>
      <c r="DVD132" s="7"/>
      <c r="DVE132" s="21"/>
      <c r="DVF132" s="20"/>
      <c r="DVG132" s="20"/>
      <c r="DVH132" s="20"/>
      <c r="DVI132" s="21"/>
      <c r="DVJ132" s="21"/>
      <c r="DVK132" s="21"/>
      <c r="DVL132" s="21"/>
      <c r="DVM132" s="21"/>
      <c r="DVN132" s="20"/>
      <c r="DVO132" s="20"/>
      <c r="DVP132" s="20"/>
      <c r="DVQ132" s="20"/>
      <c r="DVR132" s="21"/>
      <c r="DVS132" s="21"/>
      <c r="DVT132" s="7"/>
      <c r="DVU132" s="7"/>
      <c r="DVV132" s="21"/>
      <c r="DVW132" s="20"/>
      <c r="DVX132" s="20"/>
      <c r="DVY132" s="20"/>
      <c r="DVZ132" s="21"/>
      <c r="DWA132" s="21"/>
      <c r="DWB132" s="21"/>
      <c r="DWC132" s="21"/>
      <c r="DWD132" s="21"/>
      <c r="DWE132" s="20"/>
      <c r="DWF132" s="20"/>
      <c r="DWG132" s="20"/>
      <c r="DWH132" s="20"/>
      <c r="DWI132" s="21"/>
      <c r="DWJ132" s="21"/>
      <c r="DWK132" s="7"/>
      <c r="DWL132" s="7"/>
      <c r="DWM132" s="21"/>
      <c r="DWN132" s="20"/>
      <c r="DWO132" s="20"/>
      <c r="DWP132" s="20"/>
      <c r="DWQ132" s="21"/>
      <c r="DWR132" s="21"/>
      <c r="DWS132" s="21"/>
      <c r="DWT132" s="21"/>
      <c r="DWU132" s="21"/>
      <c r="DWV132" s="20"/>
      <c r="DWW132" s="20"/>
      <c r="DWX132" s="20"/>
      <c r="DWY132" s="20"/>
      <c r="DWZ132" s="21"/>
      <c r="DXA132" s="21"/>
      <c r="DXB132" s="7"/>
      <c r="DXC132" s="7"/>
      <c r="DXD132" s="21"/>
      <c r="DXE132" s="20"/>
      <c r="DXF132" s="20"/>
      <c r="DXG132" s="20"/>
      <c r="DXH132" s="21"/>
      <c r="DXI132" s="21"/>
      <c r="DXJ132" s="21"/>
      <c r="DXK132" s="21"/>
      <c r="DXL132" s="21"/>
      <c r="DXM132" s="20"/>
      <c r="DXN132" s="20"/>
      <c r="DXO132" s="20"/>
      <c r="DXP132" s="20"/>
      <c r="DXQ132" s="21"/>
      <c r="DXR132" s="21"/>
      <c r="DXS132" s="7"/>
      <c r="DXT132" s="7"/>
      <c r="DXU132" s="21"/>
      <c r="DXV132" s="20"/>
      <c r="DXW132" s="20"/>
      <c r="DXX132" s="20"/>
      <c r="DXY132" s="21"/>
      <c r="DXZ132" s="21"/>
      <c r="DYA132" s="21"/>
      <c r="DYB132" s="21"/>
      <c r="DYC132" s="21"/>
      <c r="DYD132" s="20"/>
      <c r="DYE132" s="20"/>
      <c r="DYF132" s="20"/>
      <c r="DYG132" s="20"/>
      <c r="DYH132" s="21"/>
      <c r="DYI132" s="21"/>
      <c r="DYJ132" s="7"/>
      <c r="DYK132" s="7"/>
      <c r="DYL132" s="21"/>
      <c r="DYM132" s="20"/>
      <c r="DYN132" s="20"/>
      <c r="DYO132" s="20"/>
      <c r="DYP132" s="21"/>
      <c r="DYQ132" s="21"/>
      <c r="DYR132" s="21"/>
      <c r="DYS132" s="21"/>
      <c r="DYT132" s="21"/>
      <c r="DYU132" s="20"/>
      <c r="DYV132" s="20"/>
      <c r="DYW132" s="20"/>
      <c r="DYX132" s="20"/>
      <c r="DYY132" s="21"/>
      <c r="DYZ132" s="21"/>
      <c r="DZA132" s="7"/>
      <c r="DZB132" s="7"/>
      <c r="DZC132" s="21"/>
      <c r="DZD132" s="20"/>
      <c r="DZE132" s="20"/>
      <c r="DZF132" s="20"/>
      <c r="DZG132" s="21"/>
      <c r="DZH132" s="21"/>
      <c r="DZI132" s="21"/>
      <c r="DZJ132" s="21"/>
      <c r="DZK132" s="21"/>
      <c r="DZL132" s="20"/>
      <c r="DZM132" s="20"/>
      <c r="DZN132" s="20"/>
      <c r="DZO132" s="20"/>
      <c r="DZP132" s="21"/>
      <c r="DZQ132" s="21"/>
      <c r="DZR132" s="7"/>
      <c r="DZS132" s="7"/>
      <c r="DZT132" s="21"/>
      <c r="DZU132" s="20"/>
      <c r="DZV132" s="20"/>
      <c r="DZW132" s="20"/>
      <c r="DZX132" s="21"/>
      <c r="DZY132" s="21"/>
      <c r="DZZ132" s="21"/>
      <c r="EAA132" s="21"/>
      <c r="EAB132" s="21"/>
      <c r="EAC132" s="20"/>
      <c r="EAD132" s="20"/>
      <c r="EAE132" s="20"/>
      <c r="EAF132" s="20"/>
      <c r="EAG132" s="21"/>
      <c r="EAH132" s="21"/>
      <c r="EAI132" s="7"/>
      <c r="EAJ132" s="7"/>
      <c r="EAK132" s="21"/>
      <c r="EAL132" s="20"/>
      <c r="EAM132" s="20"/>
      <c r="EAN132" s="20"/>
      <c r="EAO132" s="21"/>
      <c r="EAP132" s="21"/>
      <c r="EAQ132" s="21"/>
      <c r="EAR132" s="21"/>
      <c r="EAS132" s="21"/>
      <c r="EAT132" s="20"/>
      <c r="EAU132" s="20"/>
      <c r="EAV132" s="20"/>
      <c r="EAW132" s="20"/>
      <c r="EAX132" s="21"/>
      <c r="EAY132" s="21"/>
      <c r="EAZ132" s="7"/>
      <c r="EBA132" s="7"/>
      <c r="EBB132" s="21"/>
      <c r="EBC132" s="20"/>
      <c r="EBD132" s="20"/>
      <c r="EBE132" s="20"/>
      <c r="EBF132" s="21"/>
      <c r="EBG132" s="21"/>
      <c r="EBH132" s="21"/>
      <c r="EBI132" s="21"/>
      <c r="EBJ132" s="21"/>
      <c r="EBK132" s="20"/>
      <c r="EBL132" s="20"/>
      <c r="EBM132" s="20"/>
      <c r="EBN132" s="20"/>
      <c r="EBO132" s="21"/>
      <c r="EBP132" s="21"/>
      <c r="EBQ132" s="7"/>
      <c r="EBR132" s="7"/>
      <c r="EBS132" s="21"/>
      <c r="EBT132" s="20"/>
      <c r="EBU132" s="20"/>
      <c r="EBV132" s="20"/>
      <c r="EBW132" s="21"/>
      <c r="EBX132" s="21"/>
      <c r="EBY132" s="21"/>
      <c r="EBZ132" s="21"/>
      <c r="ECA132" s="21"/>
      <c r="ECB132" s="20"/>
      <c r="ECC132" s="20"/>
      <c r="ECD132" s="20"/>
      <c r="ECE132" s="20"/>
      <c r="ECF132" s="21"/>
      <c r="ECG132" s="21"/>
      <c r="ECH132" s="7"/>
      <c r="ECI132" s="7"/>
      <c r="ECJ132" s="21"/>
      <c r="ECK132" s="20"/>
      <c r="ECL132" s="20"/>
      <c r="ECM132" s="20"/>
      <c r="ECN132" s="21"/>
      <c r="ECO132" s="21"/>
      <c r="ECP132" s="21"/>
      <c r="ECQ132" s="21"/>
      <c r="ECR132" s="21"/>
      <c r="ECS132" s="20"/>
      <c r="ECT132" s="20"/>
      <c r="ECU132" s="20"/>
      <c r="ECV132" s="20"/>
      <c r="ECW132" s="21"/>
      <c r="ECX132" s="21"/>
      <c r="ECY132" s="7"/>
      <c r="ECZ132" s="7"/>
      <c r="EDA132" s="21"/>
      <c r="EDB132" s="20"/>
      <c r="EDC132" s="20"/>
      <c r="EDD132" s="20"/>
      <c r="EDE132" s="21"/>
      <c r="EDF132" s="21"/>
      <c r="EDG132" s="21"/>
      <c r="EDH132" s="21"/>
      <c r="EDI132" s="21"/>
      <c r="EDJ132" s="20"/>
      <c r="EDK132" s="20"/>
      <c r="EDL132" s="20"/>
      <c r="EDM132" s="20"/>
      <c r="EDN132" s="21"/>
      <c r="EDO132" s="21"/>
      <c r="EDP132" s="7"/>
      <c r="EDQ132" s="7"/>
      <c r="EDR132" s="21"/>
      <c r="EDS132" s="20"/>
      <c r="EDT132" s="20"/>
      <c r="EDU132" s="20"/>
      <c r="EDV132" s="21"/>
      <c r="EDW132" s="21"/>
      <c r="EDX132" s="21"/>
      <c r="EDY132" s="21"/>
      <c r="EDZ132" s="21"/>
      <c r="EEA132" s="20"/>
      <c r="EEB132" s="20"/>
      <c r="EEC132" s="20"/>
      <c r="EED132" s="20"/>
      <c r="EEE132" s="21"/>
      <c r="EEF132" s="21"/>
      <c r="EEG132" s="7"/>
      <c r="EEH132" s="7"/>
      <c r="EEI132" s="21"/>
      <c r="EEJ132" s="20"/>
      <c r="EEK132" s="20"/>
      <c r="EEL132" s="20"/>
      <c r="EEM132" s="21"/>
      <c r="EEN132" s="21"/>
      <c r="EEO132" s="21"/>
      <c r="EEP132" s="21"/>
      <c r="EEQ132" s="21"/>
      <c r="EER132" s="20"/>
      <c r="EES132" s="20"/>
      <c r="EET132" s="20"/>
      <c r="EEU132" s="20"/>
      <c r="EEV132" s="21"/>
      <c r="EEW132" s="21"/>
      <c r="EEX132" s="7"/>
      <c r="EEY132" s="7"/>
      <c r="EEZ132" s="21"/>
      <c r="EFA132" s="20"/>
      <c r="EFB132" s="20"/>
      <c r="EFC132" s="20"/>
      <c r="EFD132" s="21"/>
      <c r="EFE132" s="21"/>
      <c r="EFF132" s="21"/>
      <c r="EFG132" s="21"/>
      <c r="EFH132" s="21"/>
      <c r="EFI132" s="20"/>
      <c r="EFJ132" s="20"/>
      <c r="EFK132" s="20"/>
      <c r="EFL132" s="20"/>
      <c r="EFM132" s="21"/>
      <c r="EFN132" s="21"/>
      <c r="EFO132" s="7"/>
      <c r="EFP132" s="7"/>
      <c r="EFQ132" s="21"/>
      <c r="EFR132" s="20"/>
      <c r="EFS132" s="20"/>
      <c r="EFT132" s="20"/>
      <c r="EFU132" s="21"/>
      <c r="EFV132" s="21"/>
      <c r="EFW132" s="21"/>
      <c r="EFX132" s="21"/>
      <c r="EFY132" s="21"/>
      <c r="EFZ132" s="20"/>
      <c r="EGA132" s="20"/>
      <c r="EGB132" s="20"/>
      <c r="EGC132" s="20"/>
      <c r="EGD132" s="21"/>
      <c r="EGE132" s="21"/>
      <c r="EGF132" s="7"/>
      <c r="EGG132" s="7"/>
      <c r="EGH132" s="21"/>
      <c r="EGI132" s="20"/>
      <c r="EGJ132" s="20"/>
      <c r="EGK132" s="20"/>
      <c r="EGL132" s="21"/>
      <c r="EGM132" s="21"/>
      <c r="EGN132" s="21"/>
      <c r="EGO132" s="21"/>
      <c r="EGP132" s="21"/>
      <c r="EGQ132" s="20"/>
      <c r="EGR132" s="20"/>
      <c r="EGS132" s="20"/>
      <c r="EGT132" s="20"/>
      <c r="EGU132" s="21"/>
      <c r="EGV132" s="21"/>
      <c r="EGW132" s="7"/>
      <c r="EGX132" s="7"/>
      <c r="EGY132" s="21"/>
      <c r="EGZ132" s="20"/>
      <c r="EHA132" s="20"/>
      <c r="EHB132" s="20"/>
      <c r="EHC132" s="21"/>
      <c r="EHD132" s="21"/>
      <c r="EHE132" s="21"/>
      <c r="EHF132" s="21"/>
      <c r="EHG132" s="21"/>
      <c r="EHH132" s="20"/>
      <c r="EHI132" s="20"/>
      <c r="EHJ132" s="20"/>
      <c r="EHK132" s="20"/>
      <c r="EHL132" s="21"/>
      <c r="EHM132" s="21"/>
      <c r="EHN132" s="7"/>
      <c r="EHO132" s="7"/>
      <c r="EHP132" s="21"/>
      <c r="EHQ132" s="20"/>
      <c r="EHR132" s="20"/>
      <c r="EHS132" s="20"/>
      <c r="EHT132" s="21"/>
      <c r="EHU132" s="21"/>
      <c r="EHV132" s="21"/>
      <c r="EHW132" s="21"/>
      <c r="EHX132" s="21"/>
      <c r="EHY132" s="20"/>
      <c r="EHZ132" s="20"/>
      <c r="EIA132" s="20"/>
      <c r="EIB132" s="20"/>
      <c r="EIC132" s="21"/>
      <c r="EID132" s="21"/>
      <c r="EIE132" s="7"/>
      <c r="EIF132" s="7"/>
      <c r="EIG132" s="21"/>
      <c r="EIH132" s="20"/>
      <c r="EII132" s="20"/>
      <c r="EIJ132" s="20"/>
      <c r="EIK132" s="21"/>
      <c r="EIL132" s="21"/>
      <c r="EIM132" s="21"/>
      <c r="EIN132" s="21"/>
      <c r="EIO132" s="21"/>
      <c r="EIP132" s="20"/>
      <c r="EIQ132" s="20"/>
      <c r="EIR132" s="20"/>
      <c r="EIS132" s="20"/>
      <c r="EIT132" s="21"/>
      <c r="EIU132" s="21"/>
      <c r="EIV132" s="7"/>
      <c r="EIW132" s="7"/>
      <c r="EIX132" s="21"/>
      <c r="EIY132" s="20"/>
      <c r="EIZ132" s="20"/>
      <c r="EJA132" s="20"/>
      <c r="EJB132" s="21"/>
      <c r="EJC132" s="21"/>
      <c r="EJD132" s="21"/>
      <c r="EJE132" s="21"/>
      <c r="EJF132" s="21"/>
      <c r="EJG132" s="20"/>
      <c r="EJH132" s="20"/>
      <c r="EJI132" s="20"/>
      <c r="EJJ132" s="20"/>
      <c r="EJK132" s="21"/>
      <c r="EJL132" s="21"/>
      <c r="EJM132" s="7"/>
      <c r="EJN132" s="7"/>
      <c r="EJO132" s="21"/>
      <c r="EJP132" s="20"/>
      <c r="EJQ132" s="20"/>
      <c r="EJR132" s="20"/>
      <c r="EJS132" s="21"/>
      <c r="EJT132" s="21"/>
      <c r="EJU132" s="21"/>
      <c r="EJV132" s="21"/>
      <c r="EJW132" s="21"/>
      <c r="EJX132" s="20"/>
      <c r="EJY132" s="20"/>
      <c r="EJZ132" s="20"/>
      <c r="EKA132" s="20"/>
      <c r="EKB132" s="21"/>
      <c r="EKC132" s="21"/>
      <c r="EKD132" s="7"/>
      <c r="EKE132" s="7"/>
      <c r="EKF132" s="21"/>
      <c r="EKG132" s="20"/>
      <c r="EKH132" s="20"/>
      <c r="EKI132" s="20"/>
      <c r="EKJ132" s="21"/>
      <c r="EKK132" s="21"/>
      <c r="EKL132" s="21"/>
      <c r="EKM132" s="21"/>
      <c r="EKN132" s="21"/>
      <c r="EKO132" s="20"/>
      <c r="EKP132" s="20"/>
      <c r="EKQ132" s="20"/>
      <c r="EKR132" s="20"/>
      <c r="EKS132" s="21"/>
      <c r="EKT132" s="21"/>
      <c r="EKU132" s="7"/>
      <c r="EKV132" s="7"/>
      <c r="EKW132" s="21"/>
      <c r="EKX132" s="20"/>
      <c r="EKY132" s="20"/>
      <c r="EKZ132" s="20"/>
      <c r="ELA132" s="21"/>
      <c r="ELB132" s="21"/>
      <c r="ELC132" s="21"/>
      <c r="ELD132" s="21"/>
      <c r="ELE132" s="21"/>
      <c r="ELF132" s="20"/>
      <c r="ELG132" s="20"/>
      <c r="ELH132" s="20"/>
      <c r="ELI132" s="20"/>
      <c r="ELJ132" s="21"/>
      <c r="ELK132" s="21"/>
      <c r="ELL132" s="7"/>
      <c r="ELM132" s="7"/>
      <c r="ELN132" s="21"/>
      <c r="ELO132" s="20"/>
      <c r="ELP132" s="20"/>
      <c r="ELQ132" s="20"/>
      <c r="ELR132" s="21"/>
      <c r="ELS132" s="21"/>
      <c r="ELT132" s="21"/>
      <c r="ELU132" s="21"/>
      <c r="ELV132" s="21"/>
      <c r="ELW132" s="20"/>
      <c r="ELX132" s="20"/>
      <c r="ELY132" s="20"/>
      <c r="ELZ132" s="20"/>
      <c r="EMA132" s="21"/>
      <c r="EMB132" s="21"/>
      <c r="EMC132" s="7"/>
      <c r="EMD132" s="7"/>
      <c r="EME132" s="21"/>
      <c r="EMF132" s="20"/>
      <c r="EMG132" s="20"/>
      <c r="EMH132" s="20"/>
      <c r="EMI132" s="21"/>
      <c r="EMJ132" s="21"/>
      <c r="EMK132" s="21"/>
      <c r="EML132" s="21"/>
      <c r="EMM132" s="21"/>
      <c r="EMN132" s="20"/>
      <c r="EMO132" s="20"/>
      <c r="EMP132" s="20"/>
      <c r="EMQ132" s="20"/>
      <c r="EMR132" s="21"/>
      <c r="EMS132" s="21"/>
      <c r="EMT132" s="7"/>
      <c r="EMU132" s="7"/>
      <c r="EMV132" s="21"/>
      <c r="EMW132" s="20"/>
      <c r="EMX132" s="20"/>
      <c r="EMY132" s="20"/>
      <c r="EMZ132" s="21"/>
      <c r="ENA132" s="21"/>
      <c r="ENB132" s="21"/>
      <c r="ENC132" s="21"/>
      <c r="END132" s="21"/>
      <c r="ENE132" s="20"/>
      <c r="ENF132" s="20"/>
      <c r="ENG132" s="20"/>
      <c r="ENH132" s="20"/>
      <c r="ENI132" s="21"/>
      <c r="ENJ132" s="21"/>
      <c r="ENK132" s="7"/>
      <c r="ENL132" s="7"/>
      <c r="ENM132" s="21"/>
      <c r="ENN132" s="20"/>
      <c r="ENO132" s="20"/>
      <c r="ENP132" s="20"/>
      <c r="ENQ132" s="21"/>
      <c r="ENR132" s="21"/>
      <c r="ENS132" s="21"/>
      <c r="ENT132" s="21"/>
      <c r="ENU132" s="21"/>
      <c r="ENV132" s="20"/>
      <c r="ENW132" s="20"/>
      <c r="ENX132" s="20"/>
      <c r="ENY132" s="20"/>
      <c r="ENZ132" s="21"/>
      <c r="EOA132" s="21"/>
      <c r="EOB132" s="7"/>
      <c r="EOC132" s="7"/>
      <c r="EOD132" s="21"/>
      <c r="EOE132" s="20"/>
      <c r="EOF132" s="20"/>
      <c r="EOG132" s="20"/>
      <c r="EOH132" s="21"/>
      <c r="EOI132" s="21"/>
      <c r="EOJ132" s="21"/>
      <c r="EOK132" s="21"/>
      <c r="EOL132" s="21"/>
      <c r="EOM132" s="20"/>
      <c r="EON132" s="20"/>
      <c r="EOO132" s="20"/>
      <c r="EOP132" s="20"/>
      <c r="EOQ132" s="21"/>
      <c r="EOR132" s="21"/>
      <c r="EOS132" s="7"/>
      <c r="EOT132" s="7"/>
      <c r="EOU132" s="21"/>
      <c r="EOV132" s="20"/>
      <c r="EOW132" s="20"/>
      <c r="EOX132" s="20"/>
      <c r="EOY132" s="21"/>
      <c r="EOZ132" s="21"/>
      <c r="EPA132" s="21"/>
      <c r="EPB132" s="21"/>
      <c r="EPC132" s="21"/>
      <c r="EPD132" s="20"/>
      <c r="EPE132" s="20"/>
      <c r="EPF132" s="20"/>
      <c r="EPG132" s="20"/>
      <c r="EPH132" s="21"/>
      <c r="EPI132" s="21"/>
      <c r="EPJ132" s="7"/>
      <c r="EPK132" s="7"/>
      <c r="EPL132" s="21"/>
      <c r="EPM132" s="20"/>
      <c r="EPN132" s="20"/>
      <c r="EPO132" s="20"/>
      <c r="EPP132" s="21"/>
      <c r="EPQ132" s="21"/>
      <c r="EPR132" s="21"/>
      <c r="EPS132" s="21"/>
      <c r="EPT132" s="21"/>
      <c r="EPU132" s="20"/>
      <c r="EPV132" s="20"/>
      <c r="EPW132" s="20"/>
      <c r="EPX132" s="20"/>
      <c r="EPY132" s="21"/>
      <c r="EPZ132" s="21"/>
      <c r="EQA132" s="7"/>
      <c r="EQB132" s="7"/>
      <c r="EQC132" s="21"/>
      <c r="EQD132" s="20"/>
      <c r="EQE132" s="20"/>
      <c r="EQF132" s="20"/>
      <c r="EQG132" s="21"/>
      <c r="EQH132" s="21"/>
      <c r="EQI132" s="21"/>
      <c r="EQJ132" s="21"/>
      <c r="EQK132" s="21"/>
      <c r="EQL132" s="20"/>
      <c r="EQM132" s="20"/>
      <c r="EQN132" s="20"/>
      <c r="EQO132" s="20"/>
      <c r="EQP132" s="21"/>
      <c r="EQQ132" s="21"/>
      <c r="EQR132" s="7"/>
      <c r="EQS132" s="7"/>
      <c r="EQT132" s="21"/>
      <c r="EQU132" s="20"/>
      <c r="EQV132" s="20"/>
      <c r="EQW132" s="20"/>
      <c r="EQX132" s="21"/>
      <c r="EQY132" s="21"/>
      <c r="EQZ132" s="21"/>
      <c r="ERA132" s="21"/>
      <c r="ERB132" s="21"/>
      <c r="ERC132" s="20"/>
      <c r="ERD132" s="20"/>
      <c r="ERE132" s="20"/>
      <c r="ERF132" s="20"/>
      <c r="ERG132" s="21"/>
      <c r="ERH132" s="21"/>
      <c r="ERI132" s="7"/>
      <c r="ERJ132" s="7"/>
      <c r="ERK132" s="21"/>
      <c r="ERL132" s="20"/>
      <c r="ERM132" s="20"/>
      <c r="ERN132" s="20"/>
      <c r="ERO132" s="21"/>
      <c r="ERP132" s="21"/>
      <c r="ERQ132" s="21"/>
      <c r="ERR132" s="21"/>
      <c r="ERS132" s="21"/>
      <c r="ERT132" s="20"/>
      <c r="ERU132" s="20"/>
      <c r="ERV132" s="20"/>
      <c r="ERW132" s="20"/>
      <c r="ERX132" s="21"/>
      <c r="ERY132" s="21"/>
      <c r="ERZ132" s="7"/>
      <c r="ESA132" s="7"/>
      <c r="ESB132" s="21"/>
      <c r="ESC132" s="20"/>
      <c r="ESD132" s="20"/>
      <c r="ESE132" s="20"/>
      <c r="ESF132" s="21"/>
      <c r="ESG132" s="21"/>
      <c r="ESH132" s="21"/>
      <c r="ESI132" s="21"/>
      <c r="ESJ132" s="21"/>
      <c r="ESK132" s="20"/>
      <c r="ESL132" s="20"/>
      <c r="ESM132" s="20"/>
      <c r="ESN132" s="20"/>
      <c r="ESO132" s="21"/>
      <c r="ESP132" s="21"/>
      <c r="ESQ132" s="7"/>
      <c r="ESR132" s="7"/>
      <c r="ESS132" s="21"/>
      <c r="EST132" s="20"/>
      <c r="ESU132" s="20"/>
      <c r="ESV132" s="20"/>
      <c r="ESW132" s="21"/>
      <c r="ESX132" s="21"/>
      <c r="ESY132" s="21"/>
      <c r="ESZ132" s="21"/>
      <c r="ETA132" s="21"/>
      <c r="ETB132" s="20"/>
      <c r="ETC132" s="20"/>
      <c r="ETD132" s="20"/>
      <c r="ETE132" s="20"/>
      <c r="ETF132" s="21"/>
      <c r="ETG132" s="21"/>
      <c r="ETH132" s="7"/>
      <c r="ETI132" s="7"/>
      <c r="ETJ132" s="21"/>
      <c r="ETK132" s="20"/>
      <c r="ETL132" s="20"/>
      <c r="ETM132" s="20"/>
      <c r="ETN132" s="21"/>
      <c r="ETO132" s="21"/>
      <c r="ETP132" s="21"/>
      <c r="ETQ132" s="21"/>
      <c r="ETR132" s="21"/>
      <c r="ETS132" s="20"/>
      <c r="ETT132" s="20"/>
      <c r="ETU132" s="20"/>
      <c r="ETV132" s="20"/>
      <c r="ETW132" s="21"/>
      <c r="ETX132" s="21"/>
      <c r="ETY132" s="7"/>
      <c r="ETZ132" s="7"/>
      <c r="EUA132" s="21"/>
      <c r="EUB132" s="20"/>
      <c r="EUC132" s="20"/>
      <c r="EUD132" s="20"/>
      <c r="EUE132" s="21"/>
      <c r="EUF132" s="21"/>
      <c r="EUG132" s="21"/>
      <c r="EUH132" s="21"/>
      <c r="EUI132" s="21"/>
      <c r="EUJ132" s="20"/>
      <c r="EUK132" s="20"/>
      <c r="EUL132" s="20"/>
      <c r="EUM132" s="20"/>
      <c r="EUN132" s="21"/>
      <c r="EUO132" s="21"/>
      <c r="EUP132" s="7"/>
      <c r="EUQ132" s="7"/>
      <c r="EUR132" s="21"/>
      <c r="EUS132" s="20"/>
      <c r="EUT132" s="20"/>
      <c r="EUU132" s="20"/>
      <c r="EUV132" s="21"/>
      <c r="EUW132" s="21"/>
      <c r="EUX132" s="21"/>
      <c r="EUY132" s="21"/>
      <c r="EUZ132" s="21"/>
      <c r="EVA132" s="20"/>
      <c r="EVB132" s="20"/>
      <c r="EVC132" s="20"/>
      <c r="EVD132" s="20"/>
      <c r="EVE132" s="21"/>
      <c r="EVF132" s="21"/>
      <c r="EVG132" s="7"/>
      <c r="EVH132" s="7"/>
      <c r="EVI132" s="21"/>
      <c r="EVJ132" s="20"/>
      <c r="EVK132" s="20"/>
      <c r="EVL132" s="20"/>
      <c r="EVM132" s="21"/>
      <c r="EVN132" s="21"/>
      <c r="EVO132" s="21"/>
      <c r="EVP132" s="21"/>
      <c r="EVQ132" s="21"/>
      <c r="EVR132" s="20"/>
      <c r="EVS132" s="20"/>
      <c r="EVT132" s="20"/>
      <c r="EVU132" s="20"/>
      <c r="EVV132" s="21"/>
      <c r="EVW132" s="21"/>
      <c r="EVX132" s="7"/>
      <c r="EVY132" s="7"/>
      <c r="EVZ132" s="21"/>
      <c r="EWA132" s="20"/>
      <c r="EWB132" s="20"/>
      <c r="EWC132" s="20"/>
      <c r="EWD132" s="21"/>
      <c r="EWE132" s="21"/>
      <c r="EWF132" s="21"/>
      <c r="EWG132" s="21"/>
      <c r="EWH132" s="21"/>
      <c r="EWI132" s="20"/>
      <c r="EWJ132" s="20"/>
      <c r="EWK132" s="20"/>
      <c r="EWL132" s="20"/>
      <c r="EWM132" s="21"/>
      <c r="EWN132" s="21"/>
      <c r="EWO132" s="7"/>
      <c r="EWP132" s="7"/>
      <c r="EWQ132" s="21"/>
      <c r="EWR132" s="20"/>
      <c r="EWS132" s="20"/>
      <c r="EWT132" s="20"/>
      <c r="EWU132" s="21"/>
      <c r="EWV132" s="21"/>
      <c r="EWW132" s="21"/>
      <c r="EWX132" s="21"/>
      <c r="EWY132" s="21"/>
      <c r="EWZ132" s="20"/>
      <c r="EXA132" s="20"/>
      <c r="EXB132" s="20"/>
      <c r="EXC132" s="20"/>
      <c r="EXD132" s="21"/>
      <c r="EXE132" s="21"/>
      <c r="EXF132" s="7"/>
      <c r="EXG132" s="7"/>
      <c r="EXH132" s="21"/>
      <c r="EXI132" s="20"/>
      <c r="EXJ132" s="20"/>
      <c r="EXK132" s="20"/>
      <c r="EXL132" s="21"/>
      <c r="EXM132" s="21"/>
      <c r="EXN132" s="21"/>
      <c r="EXO132" s="21"/>
      <c r="EXP132" s="21"/>
      <c r="EXQ132" s="20"/>
      <c r="EXR132" s="20"/>
      <c r="EXS132" s="20"/>
      <c r="EXT132" s="20"/>
      <c r="EXU132" s="21"/>
      <c r="EXV132" s="21"/>
      <c r="EXW132" s="7"/>
      <c r="EXX132" s="7"/>
      <c r="EXY132" s="21"/>
      <c r="EXZ132" s="20"/>
      <c r="EYA132" s="20"/>
      <c r="EYB132" s="20"/>
      <c r="EYC132" s="21"/>
      <c r="EYD132" s="21"/>
      <c r="EYE132" s="21"/>
      <c r="EYF132" s="21"/>
      <c r="EYG132" s="21"/>
      <c r="EYH132" s="20"/>
      <c r="EYI132" s="20"/>
      <c r="EYJ132" s="20"/>
      <c r="EYK132" s="20"/>
      <c r="EYL132" s="21"/>
      <c r="EYM132" s="21"/>
      <c r="EYN132" s="7"/>
      <c r="EYO132" s="7"/>
      <c r="EYP132" s="21"/>
      <c r="EYQ132" s="20"/>
      <c r="EYR132" s="20"/>
      <c r="EYS132" s="20"/>
      <c r="EYT132" s="21"/>
      <c r="EYU132" s="21"/>
      <c r="EYV132" s="21"/>
      <c r="EYW132" s="21"/>
      <c r="EYX132" s="21"/>
      <c r="EYY132" s="20"/>
      <c r="EYZ132" s="20"/>
      <c r="EZA132" s="20"/>
      <c r="EZB132" s="20"/>
      <c r="EZC132" s="21"/>
      <c r="EZD132" s="21"/>
      <c r="EZE132" s="7"/>
      <c r="EZF132" s="7"/>
      <c r="EZG132" s="21"/>
      <c r="EZH132" s="20"/>
      <c r="EZI132" s="20"/>
      <c r="EZJ132" s="20"/>
      <c r="EZK132" s="21"/>
      <c r="EZL132" s="21"/>
      <c r="EZM132" s="21"/>
      <c r="EZN132" s="21"/>
      <c r="EZO132" s="21"/>
      <c r="EZP132" s="20"/>
      <c r="EZQ132" s="20"/>
      <c r="EZR132" s="20"/>
      <c r="EZS132" s="20"/>
      <c r="EZT132" s="21"/>
      <c r="EZU132" s="21"/>
      <c r="EZV132" s="7"/>
      <c r="EZW132" s="7"/>
      <c r="EZX132" s="21"/>
      <c r="EZY132" s="20"/>
      <c r="EZZ132" s="20"/>
      <c r="FAA132" s="20"/>
      <c r="FAB132" s="21"/>
      <c r="FAC132" s="21"/>
      <c r="FAD132" s="21"/>
      <c r="FAE132" s="21"/>
      <c r="FAF132" s="21"/>
      <c r="FAG132" s="20"/>
      <c r="FAH132" s="20"/>
      <c r="FAI132" s="20"/>
      <c r="FAJ132" s="20"/>
      <c r="FAK132" s="21"/>
      <c r="FAL132" s="21"/>
      <c r="FAM132" s="7"/>
      <c r="FAN132" s="7"/>
      <c r="FAO132" s="21"/>
      <c r="FAP132" s="20"/>
      <c r="FAQ132" s="20"/>
      <c r="FAR132" s="20"/>
      <c r="FAS132" s="21"/>
      <c r="FAT132" s="21"/>
      <c r="FAU132" s="21"/>
      <c r="FAV132" s="21"/>
      <c r="FAW132" s="21"/>
      <c r="FAX132" s="20"/>
      <c r="FAY132" s="20"/>
      <c r="FAZ132" s="20"/>
      <c r="FBA132" s="20"/>
      <c r="FBB132" s="21"/>
      <c r="FBC132" s="21"/>
      <c r="FBD132" s="7"/>
      <c r="FBE132" s="7"/>
      <c r="FBF132" s="21"/>
      <c r="FBG132" s="20"/>
      <c r="FBH132" s="20"/>
      <c r="FBI132" s="20"/>
      <c r="FBJ132" s="21"/>
      <c r="FBK132" s="21"/>
      <c r="FBL132" s="21"/>
      <c r="FBM132" s="21"/>
      <c r="FBN132" s="21"/>
      <c r="FBO132" s="20"/>
      <c r="FBP132" s="20"/>
      <c r="FBQ132" s="20"/>
      <c r="FBR132" s="20"/>
      <c r="FBS132" s="21"/>
      <c r="FBT132" s="21"/>
      <c r="FBU132" s="7"/>
      <c r="FBV132" s="7"/>
      <c r="FBW132" s="21"/>
      <c r="FBX132" s="20"/>
      <c r="FBY132" s="20"/>
      <c r="FBZ132" s="20"/>
      <c r="FCA132" s="21"/>
      <c r="FCB132" s="21"/>
      <c r="FCC132" s="21"/>
      <c r="FCD132" s="21"/>
      <c r="FCE132" s="21"/>
      <c r="FCF132" s="20"/>
      <c r="FCG132" s="20"/>
      <c r="FCH132" s="20"/>
      <c r="FCI132" s="20"/>
      <c r="FCJ132" s="21"/>
      <c r="FCK132" s="21"/>
      <c r="FCL132" s="7"/>
      <c r="FCM132" s="7"/>
      <c r="FCN132" s="21"/>
      <c r="FCO132" s="20"/>
      <c r="FCP132" s="20"/>
      <c r="FCQ132" s="20"/>
      <c r="FCR132" s="21"/>
      <c r="FCS132" s="21"/>
      <c r="FCT132" s="21"/>
      <c r="FCU132" s="21"/>
      <c r="FCV132" s="21"/>
      <c r="FCW132" s="20"/>
      <c r="FCX132" s="20"/>
      <c r="FCY132" s="20"/>
      <c r="FCZ132" s="20"/>
      <c r="FDA132" s="21"/>
      <c r="FDB132" s="21"/>
      <c r="FDC132" s="7"/>
      <c r="FDD132" s="7"/>
      <c r="FDE132" s="21"/>
      <c r="FDF132" s="20"/>
      <c r="FDG132" s="20"/>
      <c r="FDH132" s="20"/>
      <c r="FDI132" s="21"/>
      <c r="FDJ132" s="21"/>
      <c r="FDK132" s="21"/>
      <c r="FDL132" s="21"/>
      <c r="FDM132" s="21"/>
      <c r="FDN132" s="20"/>
      <c r="FDO132" s="20"/>
      <c r="FDP132" s="20"/>
      <c r="FDQ132" s="20"/>
      <c r="FDR132" s="21"/>
      <c r="FDS132" s="21"/>
      <c r="FDT132" s="7"/>
      <c r="FDU132" s="7"/>
      <c r="FDV132" s="21"/>
      <c r="FDW132" s="20"/>
      <c r="FDX132" s="20"/>
      <c r="FDY132" s="20"/>
      <c r="FDZ132" s="21"/>
      <c r="FEA132" s="21"/>
      <c r="FEB132" s="21"/>
      <c r="FEC132" s="21"/>
      <c r="FED132" s="21"/>
      <c r="FEE132" s="20"/>
      <c r="FEF132" s="20"/>
      <c r="FEG132" s="20"/>
      <c r="FEH132" s="20"/>
      <c r="FEI132" s="21"/>
      <c r="FEJ132" s="21"/>
      <c r="FEK132" s="7"/>
      <c r="FEL132" s="7"/>
      <c r="FEM132" s="21"/>
      <c r="FEN132" s="20"/>
      <c r="FEO132" s="20"/>
      <c r="FEP132" s="20"/>
      <c r="FEQ132" s="21"/>
      <c r="FER132" s="21"/>
      <c r="FES132" s="21"/>
      <c r="FET132" s="21"/>
      <c r="FEU132" s="21"/>
      <c r="FEV132" s="20"/>
      <c r="FEW132" s="20"/>
      <c r="FEX132" s="20"/>
      <c r="FEY132" s="20"/>
      <c r="FEZ132" s="21"/>
      <c r="FFA132" s="21"/>
      <c r="FFB132" s="7"/>
      <c r="FFC132" s="7"/>
      <c r="FFD132" s="21"/>
      <c r="FFE132" s="20"/>
      <c r="FFF132" s="20"/>
      <c r="FFG132" s="20"/>
      <c r="FFH132" s="21"/>
      <c r="FFI132" s="21"/>
      <c r="FFJ132" s="21"/>
      <c r="FFK132" s="21"/>
      <c r="FFL132" s="21"/>
      <c r="FFM132" s="20"/>
      <c r="FFN132" s="20"/>
      <c r="FFO132" s="20"/>
      <c r="FFP132" s="20"/>
      <c r="FFQ132" s="21"/>
      <c r="FFR132" s="21"/>
      <c r="FFS132" s="7"/>
      <c r="FFT132" s="7"/>
      <c r="FFU132" s="21"/>
      <c r="FFV132" s="20"/>
      <c r="FFW132" s="20"/>
      <c r="FFX132" s="20"/>
      <c r="FFY132" s="21"/>
      <c r="FFZ132" s="21"/>
      <c r="FGA132" s="21"/>
      <c r="FGB132" s="21"/>
      <c r="FGC132" s="21"/>
      <c r="FGD132" s="20"/>
      <c r="FGE132" s="20"/>
      <c r="FGF132" s="20"/>
      <c r="FGG132" s="20"/>
      <c r="FGH132" s="21"/>
      <c r="FGI132" s="21"/>
      <c r="FGJ132" s="7"/>
      <c r="FGK132" s="7"/>
      <c r="FGL132" s="21"/>
      <c r="FGM132" s="20"/>
      <c r="FGN132" s="20"/>
      <c r="FGO132" s="20"/>
      <c r="FGP132" s="21"/>
      <c r="FGQ132" s="21"/>
      <c r="FGR132" s="21"/>
      <c r="FGS132" s="21"/>
      <c r="FGT132" s="21"/>
      <c r="FGU132" s="20"/>
      <c r="FGV132" s="20"/>
      <c r="FGW132" s="20"/>
      <c r="FGX132" s="20"/>
      <c r="FGY132" s="21"/>
      <c r="FGZ132" s="21"/>
      <c r="FHA132" s="7"/>
      <c r="FHB132" s="7"/>
      <c r="FHC132" s="21"/>
      <c r="FHD132" s="20"/>
      <c r="FHE132" s="20"/>
      <c r="FHF132" s="20"/>
      <c r="FHG132" s="21"/>
      <c r="FHH132" s="21"/>
      <c r="FHI132" s="21"/>
      <c r="FHJ132" s="21"/>
      <c r="FHK132" s="21"/>
      <c r="FHL132" s="20"/>
      <c r="FHM132" s="20"/>
      <c r="FHN132" s="20"/>
      <c r="FHO132" s="20"/>
      <c r="FHP132" s="21"/>
      <c r="FHQ132" s="21"/>
      <c r="FHR132" s="7"/>
      <c r="FHS132" s="7"/>
      <c r="FHT132" s="21"/>
      <c r="FHU132" s="20"/>
      <c r="FHV132" s="20"/>
      <c r="FHW132" s="20"/>
      <c r="FHX132" s="21"/>
      <c r="FHY132" s="21"/>
      <c r="FHZ132" s="21"/>
      <c r="FIA132" s="21"/>
      <c r="FIB132" s="21"/>
      <c r="FIC132" s="20"/>
      <c r="FID132" s="20"/>
      <c r="FIE132" s="20"/>
      <c r="FIF132" s="20"/>
      <c r="FIG132" s="21"/>
      <c r="FIH132" s="21"/>
      <c r="FII132" s="7"/>
      <c r="FIJ132" s="7"/>
      <c r="FIK132" s="21"/>
      <c r="FIL132" s="20"/>
      <c r="FIM132" s="20"/>
      <c r="FIN132" s="20"/>
      <c r="FIO132" s="21"/>
      <c r="FIP132" s="21"/>
      <c r="FIQ132" s="21"/>
      <c r="FIR132" s="21"/>
      <c r="FIS132" s="21"/>
      <c r="FIT132" s="20"/>
      <c r="FIU132" s="20"/>
      <c r="FIV132" s="20"/>
      <c r="FIW132" s="20"/>
      <c r="FIX132" s="21"/>
      <c r="FIY132" s="21"/>
      <c r="FIZ132" s="7"/>
      <c r="FJA132" s="7"/>
      <c r="FJB132" s="21"/>
      <c r="FJC132" s="20"/>
      <c r="FJD132" s="20"/>
      <c r="FJE132" s="20"/>
      <c r="FJF132" s="21"/>
      <c r="FJG132" s="21"/>
      <c r="FJH132" s="21"/>
      <c r="FJI132" s="21"/>
      <c r="FJJ132" s="21"/>
      <c r="FJK132" s="20"/>
      <c r="FJL132" s="20"/>
      <c r="FJM132" s="20"/>
      <c r="FJN132" s="20"/>
      <c r="FJO132" s="21"/>
      <c r="FJP132" s="21"/>
      <c r="FJQ132" s="7"/>
      <c r="FJR132" s="7"/>
      <c r="FJS132" s="21"/>
      <c r="FJT132" s="20"/>
      <c r="FJU132" s="20"/>
      <c r="FJV132" s="20"/>
      <c r="FJW132" s="21"/>
      <c r="FJX132" s="21"/>
      <c r="FJY132" s="21"/>
      <c r="FJZ132" s="21"/>
      <c r="FKA132" s="21"/>
      <c r="FKB132" s="20"/>
      <c r="FKC132" s="20"/>
      <c r="FKD132" s="20"/>
      <c r="FKE132" s="20"/>
      <c r="FKF132" s="21"/>
      <c r="FKG132" s="21"/>
      <c r="FKH132" s="7"/>
      <c r="FKI132" s="7"/>
      <c r="FKJ132" s="21"/>
      <c r="FKK132" s="20"/>
      <c r="FKL132" s="20"/>
      <c r="FKM132" s="20"/>
      <c r="FKN132" s="21"/>
      <c r="FKO132" s="21"/>
      <c r="FKP132" s="21"/>
      <c r="FKQ132" s="21"/>
      <c r="FKR132" s="21"/>
      <c r="FKS132" s="20"/>
      <c r="FKT132" s="20"/>
      <c r="FKU132" s="20"/>
      <c r="FKV132" s="20"/>
      <c r="FKW132" s="21"/>
      <c r="FKX132" s="21"/>
      <c r="FKY132" s="7"/>
      <c r="FKZ132" s="7"/>
      <c r="FLA132" s="21"/>
      <c r="FLB132" s="20"/>
      <c r="FLC132" s="20"/>
      <c r="FLD132" s="20"/>
      <c r="FLE132" s="21"/>
      <c r="FLF132" s="21"/>
      <c r="FLG132" s="21"/>
      <c r="FLH132" s="21"/>
      <c r="FLI132" s="21"/>
      <c r="FLJ132" s="20"/>
      <c r="FLK132" s="20"/>
      <c r="FLL132" s="20"/>
      <c r="FLM132" s="20"/>
      <c r="FLN132" s="21"/>
      <c r="FLO132" s="21"/>
      <c r="FLP132" s="7"/>
      <c r="FLQ132" s="7"/>
      <c r="FLR132" s="21"/>
      <c r="FLS132" s="20"/>
      <c r="FLT132" s="20"/>
      <c r="FLU132" s="20"/>
      <c r="FLV132" s="21"/>
      <c r="FLW132" s="21"/>
      <c r="FLX132" s="21"/>
      <c r="FLY132" s="21"/>
      <c r="FLZ132" s="21"/>
      <c r="FMA132" s="20"/>
      <c r="FMB132" s="20"/>
      <c r="FMC132" s="20"/>
      <c r="FMD132" s="20"/>
      <c r="FME132" s="21"/>
      <c r="FMF132" s="21"/>
      <c r="FMG132" s="7"/>
      <c r="FMH132" s="7"/>
      <c r="FMI132" s="21"/>
      <c r="FMJ132" s="20"/>
      <c r="FMK132" s="20"/>
      <c r="FML132" s="20"/>
      <c r="FMM132" s="21"/>
      <c r="FMN132" s="21"/>
      <c r="FMO132" s="21"/>
      <c r="FMP132" s="21"/>
      <c r="FMQ132" s="21"/>
      <c r="FMR132" s="20"/>
      <c r="FMS132" s="20"/>
      <c r="FMT132" s="20"/>
      <c r="FMU132" s="20"/>
      <c r="FMV132" s="21"/>
      <c r="FMW132" s="21"/>
      <c r="FMX132" s="7"/>
      <c r="FMY132" s="7"/>
      <c r="FMZ132" s="21"/>
      <c r="FNA132" s="20"/>
      <c r="FNB132" s="20"/>
      <c r="FNC132" s="20"/>
      <c r="FND132" s="21"/>
      <c r="FNE132" s="21"/>
      <c r="FNF132" s="21"/>
      <c r="FNG132" s="21"/>
      <c r="FNH132" s="21"/>
      <c r="FNI132" s="20"/>
      <c r="FNJ132" s="20"/>
      <c r="FNK132" s="20"/>
      <c r="FNL132" s="20"/>
      <c r="FNM132" s="21"/>
      <c r="FNN132" s="21"/>
      <c r="FNO132" s="7"/>
      <c r="FNP132" s="7"/>
      <c r="FNQ132" s="21"/>
      <c r="FNR132" s="20"/>
      <c r="FNS132" s="20"/>
      <c r="FNT132" s="20"/>
      <c r="FNU132" s="21"/>
      <c r="FNV132" s="21"/>
      <c r="FNW132" s="21"/>
      <c r="FNX132" s="21"/>
      <c r="FNY132" s="21"/>
      <c r="FNZ132" s="20"/>
      <c r="FOA132" s="20"/>
      <c r="FOB132" s="20"/>
      <c r="FOC132" s="20"/>
      <c r="FOD132" s="21"/>
      <c r="FOE132" s="21"/>
      <c r="FOF132" s="7"/>
      <c r="FOG132" s="7"/>
      <c r="FOH132" s="21"/>
      <c r="FOI132" s="20"/>
      <c r="FOJ132" s="20"/>
      <c r="FOK132" s="20"/>
      <c r="FOL132" s="21"/>
      <c r="FOM132" s="21"/>
      <c r="FON132" s="21"/>
      <c r="FOO132" s="21"/>
      <c r="FOP132" s="21"/>
      <c r="FOQ132" s="20"/>
      <c r="FOR132" s="20"/>
      <c r="FOS132" s="20"/>
      <c r="FOT132" s="20"/>
      <c r="FOU132" s="21"/>
      <c r="FOV132" s="21"/>
      <c r="FOW132" s="7"/>
      <c r="FOX132" s="7"/>
      <c r="FOY132" s="21"/>
      <c r="FOZ132" s="20"/>
      <c r="FPA132" s="20"/>
      <c r="FPB132" s="20"/>
      <c r="FPC132" s="21"/>
      <c r="FPD132" s="21"/>
      <c r="FPE132" s="21"/>
      <c r="FPF132" s="21"/>
      <c r="FPG132" s="21"/>
      <c r="FPH132" s="20"/>
      <c r="FPI132" s="20"/>
      <c r="FPJ132" s="20"/>
      <c r="FPK132" s="20"/>
      <c r="FPL132" s="21"/>
      <c r="FPM132" s="21"/>
      <c r="FPN132" s="7"/>
      <c r="FPO132" s="7"/>
      <c r="FPP132" s="21"/>
      <c r="FPQ132" s="20"/>
      <c r="FPR132" s="20"/>
      <c r="FPS132" s="20"/>
      <c r="FPT132" s="21"/>
      <c r="FPU132" s="21"/>
      <c r="FPV132" s="21"/>
      <c r="FPW132" s="21"/>
      <c r="FPX132" s="21"/>
      <c r="FPY132" s="20"/>
      <c r="FPZ132" s="20"/>
      <c r="FQA132" s="20"/>
      <c r="FQB132" s="20"/>
      <c r="FQC132" s="21"/>
      <c r="FQD132" s="21"/>
      <c r="FQE132" s="7"/>
      <c r="FQF132" s="7"/>
      <c r="FQG132" s="21"/>
      <c r="FQH132" s="20"/>
      <c r="FQI132" s="20"/>
      <c r="FQJ132" s="20"/>
      <c r="FQK132" s="21"/>
      <c r="FQL132" s="21"/>
      <c r="FQM132" s="21"/>
      <c r="FQN132" s="21"/>
      <c r="FQO132" s="21"/>
      <c r="FQP132" s="20"/>
      <c r="FQQ132" s="20"/>
      <c r="FQR132" s="20"/>
      <c r="FQS132" s="20"/>
      <c r="FQT132" s="21"/>
      <c r="FQU132" s="21"/>
      <c r="FQV132" s="7"/>
      <c r="FQW132" s="7"/>
      <c r="FQX132" s="21"/>
      <c r="FQY132" s="20"/>
      <c r="FQZ132" s="20"/>
      <c r="FRA132" s="20"/>
      <c r="FRB132" s="21"/>
      <c r="FRC132" s="21"/>
      <c r="FRD132" s="21"/>
      <c r="FRE132" s="21"/>
      <c r="FRF132" s="21"/>
      <c r="FRG132" s="20"/>
      <c r="FRH132" s="20"/>
      <c r="FRI132" s="20"/>
      <c r="FRJ132" s="20"/>
      <c r="FRK132" s="21"/>
      <c r="FRL132" s="21"/>
      <c r="FRM132" s="7"/>
      <c r="FRN132" s="7"/>
      <c r="FRO132" s="21"/>
      <c r="FRP132" s="20"/>
      <c r="FRQ132" s="20"/>
      <c r="FRR132" s="20"/>
      <c r="FRS132" s="21"/>
      <c r="FRT132" s="21"/>
      <c r="FRU132" s="21"/>
      <c r="FRV132" s="21"/>
      <c r="FRW132" s="21"/>
      <c r="FRX132" s="20"/>
      <c r="FRY132" s="20"/>
      <c r="FRZ132" s="20"/>
      <c r="FSA132" s="20"/>
      <c r="FSB132" s="21"/>
      <c r="FSC132" s="21"/>
      <c r="FSD132" s="7"/>
      <c r="FSE132" s="7"/>
      <c r="FSF132" s="21"/>
      <c r="FSG132" s="20"/>
      <c r="FSH132" s="20"/>
      <c r="FSI132" s="20"/>
      <c r="FSJ132" s="21"/>
      <c r="FSK132" s="21"/>
      <c r="FSL132" s="21"/>
      <c r="FSM132" s="21"/>
      <c r="FSN132" s="21"/>
      <c r="FSO132" s="20"/>
      <c r="FSP132" s="20"/>
      <c r="FSQ132" s="20"/>
      <c r="FSR132" s="20"/>
      <c r="FSS132" s="21"/>
      <c r="FST132" s="21"/>
      <c r="FSU132" s="7"/>
      <c r="FSV132" s="7"/>
      <c r="FSW132" s="21"/>
      <c r="FSX132" s="20"/>
      <c r="FSY132" s="20"/>
      <c r="FSZ132" s="20"/>
      <c r="FTA132" s="21"/>
      <c r="FTB132" s="21"/>
      <c r="FTC132" s="21"/>
      <c r="FTD132" s="21"/>
      <c r="FTE132" s="21"/>
      <c r="FTF132" s="20"/>
      <c r="FTG132" s="20"/>
      <c r="FTH132" s="20"/>
      <c r="FTI132" s="20"/>
      <c r="FTJ132" s="21"/>
      <c r="FTK132" s="21"/>
      <c r="FTL132" s="7"/>
      <c r="FTM132" s="7"/>
      <c r="FTN132" s="21"/>
      <c r="FTO132" s="20"/>
      <c r="FTP132" s="20"/>
      <c r="FTQ132" s="20"/>
      <c r="FTR132" s="21"/>
      <c r="FTS132" s="21"/>
      <c r="FTT132" s="21"/>
      <c r="FTU132" s="21"/>
      <c r="FTV132" s="21"/>
      <c r="FTW132" s="20"/>
      <c r="FTX132" s="20"/>
      <c r="FTY132" s="20"/>
      <c r="FTZ132" s="20"/>
      <c r="FUA132" s="21"/>
      <c r="FUB132" s="21"/>
      <c r="FUC132" s="7"/>
      <c r="FUD132" s="7"/>
      <c r="FUE132" s="21"/>
      <c r="FUF132" s="20"/>
      <c r="FUG132" s="20"/>
      <c r="FUH132" s="20"/>
      <c r="FUI132" s="21"/>
      <c r="FUJ132" s="21"/>
      <c r="FUK132" s="21"/>
      <c r="FUL132" s="21"/>
      <c r="FUM132" s="21"/>
      <c r="FUN132" s="20"/>
      <c r="FUO132" s="20"/>
      <c r="FUP132" s="20"/>
      <c r="FUQ132" s="20"/>
      <c r="FUR132" s="21"/>
      <c r="FUS132" s="21"/>
      <c r="FUT132" s="7"/>
      <c r="FUU132" s="7"/>
      <c r="FUV132" s="21"/>
      <c r="FUW132" s="20"/>
      <c r="FUX132" s="20"/>
      <c r="FUY132" s="20"/>
      <c r="FUZ132" s="21"/>
      <c r="FVA132" s="21"/>
      <c r="FVB132" s="21"/>
      <c r="FVC132" s="21"/>
      <c r="FVD132" s="21"/>
      <c r="FVE132" s="20"/>
      <c r="FVF132" s="20"/>
      <c r="FVG132" s="20"/>
      <c r="FVH132" s="20"/>
      <c r="FVI132" s="21"/>
      <c r="FVJ132" s="21"/>
      <c r="FVK132" s="7"/>
      <c r="FVL132" s="7"/>
      <c r="FVM132" s="21"/>
      <c r="FVN132" s="20"/>
      <c r="FVO132" s="20"/>
      <c r="FVP132" s="20"/>
      <c r="FVQ132" s="21"/>
      <c r="FVR132" s="21"/>
      <c r="FVS132" s="21"/>
      <c r="FVT132" s="21"/>
      <c r="FVU132" s="21"/>
      <c r="FVV132" s="20"/>
      <c r="FVW132" s="20"/>
      <c r="FVX132" s="20"/>
      <c r="FVY132" s="20"/>
      <c r="FVZ132" s="21"/>
      <c r="FWA132" s="21"/>
      <c r="FWB132" s="7"/>
      <c r="FWC132" s="7"/>
      <c r="FWD132" s="21"/>
      <c r="FWE132" s="20"/>
      <c r="FWF132" s="20"/>
      <c r="FWG132" s="20"/>
      <c r="FWH132" s="21"/>
      <c r="FWI132" s="21"/>
      <c r="FWJ132" s="21"/>
      <c r="FWK132" s="21"/>
      <c r="FWL132" s="21"/>
      <c r="FWM132" s="20"/>
      <c r="FWN132" s="20"/>
      <c r="FWO132" s="20"/>
      <c r="FWP132" s="20"/>
      <c r="FWQ132" s="21"/>
      <c r="FWR132" s="21"/>
      <c r="FWS132" s="7"/>
      <c r="FWT132" s="7"/>
      <c r="FWU132" s="21"/>
      <c r="FWV132" s="20"/>
      <c r="FWW132" s="20"/>
      <c r="FWX132" s="20"/>
      <c r="FWY132" s="21"/>
      <c r="FWZ132" s="21"/>
      <c r="FXA132" s="21"/>
      <c r="FXB132" s="21"/>
      <c r="FXC132" s="21"/>
      <c r="FXD132" s="20"/>
      <c r="FXE132" s="20"/>
      <c r="FXF132" s="20"/>
      <c r="FXG132" s="20"/>
      <c r="FXH132" s="21"/>
      <c r="FXI132" s="21"/>
      <c r="FXJ132" s="7"/>
      <c r="FXK132" s="7"/>
      <c r="FXL132" s="21"/>
      <c r="FXM132" s="20"/>
      <c r="FXN132" s="20"/>
      <c r="FXO132" s="20"/>
      <c r="FXP132" s="21"/>
      <c r="FXQ132" s="21"/>
      <c r="FXR132" s="21"/>
      <c r="FXS132" s="21"/>
      <c r="FXT132" s="21"/>
      <c r="FXU132" s="20"/>
      <c r="FXV132" s="20"/>
      <c r="FXW132" s="20"/>
      <c r="FXX132" s="20"/>
      <c r="FXY132" s="21"/>
      <c r="FXZ132" s="21"/>
      <c r="FYA132" s="7"/>
      <c r="FYB132" s="7"/>
      <c r="FYC132" s="21"/>
      <c r="FYD132" s="20"/>
      <c r="FYE132" s="20"/>
      <c r="FYF132" s="20"/>
      <c r="FYG132" s="21"/>
      <c r="FYH132" s="21"/>
      <c r="FYI132" s="21"/>
      <c r="FYJ132" s="21"/>
      <c r="FYK132" s="21"/>
      <c r="FYL132" s="20"/>
      <c r="FYM132" s="20"/>
      <c r="FYN132" s="20"/>
      <c r="FYO132" s="20"/>
      <c r="FYP132" s="21"/>
      <c r="FYQ132" s="21"/>
      <c r="FYR132" s="7"/>
      <c r="FYS132" s="7"/>
      <c r="FYT132" s="21"/>
      <c r="FYU132" s="20"/>
      <c r="FYV132" s="20"/>
      <c r="FYW132" s="20"/>
      <c r="FYX132" s="21"/>
      <c r="FYY132" s="21"/>
      <c r="FYZ132" s="21"/>
      <c r="FZA132" s="21"/>
      <c r="FZB132" s="21"/>
      <c r="FZC132" s="20"/>
      <c r="FZD132" s="20"/>
      <c r="FZE132" s="20"/>
      <c r="FZF132" s="20"/>
      <c r="FZG132" s="21"/>
      <c r="FZH132" s="21"/>
      <c r="FZI132" s="7"/>
      <c r="FZJ132" s="7"/>
      <c r="FZK132" s="21"/>
      <c r="FZL132" s="20"/>
      <c r="FZM132" s="20"/>
      <c r="FZN132" s="20"/>
      <c r="FZO132" s="21"/>
      <c r="FZP132" s="21"/>
      <c r="FZQ132" s="21"/>
      <c r="FZR132" s="21"/>
      <c r="FZS132" s="21"/>
      <c r="FZT132" s="20"/>
      <c r="FZU132" s="20"/>
      <c r="FZV132" s="20"/>
      <c r="FZW132" s="20"/>
      <c r="FZX132" s="21"/>
      <c r="FZY132" s="21"/>
      <c r="FZZ132" s="7"/>
      <c r="GAA132" s="7"/>
      <c r="GAB132" s="21"/>
      <c r="GAC132" s="20"/>
      <c r="GAD132" s="20"/>
      <c r="GAE132" s="20"/>
      <c r="GAF132" s="21"/>
      <c r="GAG132" s="21"/>
      <c r="GAH132" s="21"/>
      <c r="GAI132" s="21"/>
      <c r="GAJ132" s="21"/>
      <c r="GAK132" s="20"/>
      <c r="GAL132" s="20"/>
      <c r="GAM132" s="20"/>
      <c r="GAN132" s="20"/>
      <c r="GAO132" s="21"/>
      <c r="GAP132" s="21"/>
      <c r="GAQ132" s="7"/>
      <c r="GAR132" s="7"/>
      <c r="GAS132" s="21"/>
      <c r="GAT132" s="20"/>
      <c r="GAU132" s="20"/>
      <c r="GAV132" s="20"/>
      <c r="GAW132" s="21"/>
      <c r="GAX132" s="21"/>
      <c r="GAY132" s="21"/>
      <c r="GAZ132" s="21"/>
      <c r="GBA132" s="21"/>
      <c r="GBB132" s="20"/>
      <c r="GBC132" s="20"/>
      <c r="GBD132" s="20"/>
      <c r="GBE132" s="20"/>
      <c r="GBF132" s="21"/>
      <c r="GBG132" s="21"/>
      <c r="GBH132" s="7"/>
      <c r="GBI132" s="7"/>
      <c r="GBJ132" s="21"/>
      <c r="GBK132" s="20"/>
      <c r="GBL132" s="20"/>
      <c r="GBM132" s="20"/>
      <c r="GBN132" s="21"/>
      <c r="GBO132" s="21"/>
      <c r="GBP132" s="21"/>
      <c r="GBQ132" s="21"/>
      <c r="GBR132" s="21"/>
      <c r="GBS132" s="20"/>
      <c r="GBT132" s="20"/>
      <c r="GBU132" s="20"/>
      <c r="GBV132" s="20"/>
      <c r="GBW132" s="21"/>
      <c r="GBX132" s="21"/>
      <c r="GBY132" s="7"/>
      <c r="GBZ132" s="7"/>
      <c r="GCA132" s="21"/>
      <c r="GCB132" s="20"/>
      <c r="GCC132" s="20"/>
      <c r="GCD132" s="20"/>
      <c r="GCE132" s="21"/>
      <c r="GCF132" s="21"/>
      <c r="GCG132" s="21"/>
      <c r="GCH132" s="21"/>
      <c r="GCI132" s="21"/>
      <c r="GCJ132" s="20"/>
      <c r="GCK132" s="20"/>
      <c r="GCL132" s="20"/>
      <c r="GCM132" s="20"/>
      <c r="GCN132" s="21"/>
      <c r="GCO132" s="21"/>
      <c r="GCP132" s="7"/>
      <c r="GCQ132" s="7"/>
      <c r="GCR132" s="21"/>
      <c r="GCS132" s="20"/>
      <c r="GCT132" s="20"/>
      <c r="GCU132" s="20"/>
      <c r="GCV132" s="21"/>
      <c r="GCW132" s="21"/>
      <c r="GCX132" s="21"/>
      <c r="GCY132" s="21"/>
      <c r="GCZ132" s="21"/>
      <c r="GDA132" s="20"/>
      <c r="GDB132" s="20"/>
      <c r="GDC132" s="20"/>
      <c r="GDD132" s="20"/>
      <c r="GDE132" s="21"/>
      <c r="GDF132" s="21"/>
      <c r="GDG132" s="7"/>
      <c r="GDH132" s="7"/>
      <c r="GDI132" s="21"/>
      <c r="GDJ132" s="20"/>
      <c r="GDK132" s="20"/>
      <c r="GDL132" s="20"/>
      <c r="GDM132" s="21"/>
      <c r="GDN132" s="21"/>
      <c r="GDO132" s="21"/>
      <c r="GDP132" s="21"/>
      <c r="GDQ132" s="21"/>
      <c r="GDR132" s="20"/>
      <c r="GDS132" s="20"/>
      <c r="GDT132" s="20"/>
      <c r="GDU132" s="20"/>
      <c r="GDV132" s="21"/>
      <c r="GDW132" s="21"/>
      <c r="GDX132" s="7"/>
      <c r="GDY132" s="7"/>
      <c r="GDZ132" s="21"/>
      <c r="GEA132" s="20"/>
      <c r="GEB132" s="20"/>
      <c r="GEC132" s="20"/>
      <c r="GED132" s="21"/>
      <c r="GEE132" s="21"/>
      <c r="GEF132" s="21"/>
      <c r="GEG132" s="21"/>
      <c r="GEH132" s="21"/>
      <c r="GEI132" s="20"/>
      <c r="GEJ132" s="20"/>
      <c r="GEK132" s="20"/>
      <c r="GEL132" s="20"/>
      <c r="GEM132" s="21"/>
      <c r="GEN132" s="21"/>
      <c r="GEO132" s="7"/>
      <c r="GEP132" s="7"/>
      <c r="GEQ132" s="21"/>
      <c r="GER132" s="20"/>
      <c r="GES132" s="20"/>
      <c r="GET132" s="20"/>
      <c r="GEU132" s="21"/>
      <c r="GEV132" s="21"/>
      <c r="GEW132" s="21"/>
      <c r="GEX132" s="21"/>
      <c r="GEY132" s="21"/>
      <c r="GEZ132" s="20"/>
      <c r="GFA132" s="20"/>
      <c r="GFB132" s="20"/>
      <c r="GFC132" s="20"/>
      <c r="GFD132" s="21"/>
      <c r="GFE132" s="21"/>
      <c r="GFF132" s="7"/>
      <c r="GFG132" s="7"/>
      <c r="GFH132" s="21"/>
      <c r="GFI132" s="20"/>
      <c r="GFJ132" s="20"/>
      <c r="GFK132" s="20"/>
      <c r="GFL132" s="21"/>
      <c r="GFM132" s="21"/>
      <c r="GFN132" s="21"/>
      <c r="GFO132" s="21"/>
      <c r="GFP132" s="21"/>
      <c r="GFQ132" s="20"/>
      <c r="GFR132" s="20"/>
      <c r="GFS132" s="20"/>
      <c r="GFT132" s="20"/>
      <c r="GFU132" s="21"/>
      <c r="GFV132" s="21"/>
      <c r="GFW132" s="7"/>
      <c r="GFX132" s="7"/>
      <c r="GFY132" s="21"/>
      <c r="GFZ132" s="20"/>
      <c r="GGA132" s="20"/>
      <c r="GGB132" s="20"/>
      <c r="GGC132" s="21"/>
      <c r="GGD132" s="21"/>
      <c r="GGE132" s="21"/>
      <c r="GGF132" s="21"/>
      <c r="GGG132" s="21"/>
      <c r="GGH132" s="20"/>
      <c r="GGI132" s="20"/>
      <c r="GGJ132" s="20"/>
      <c r="GGK132" s="20"/>
      <c r="GGL132" s="21"/>
      <c r="GGM132" s="21"/>
      <c r="GGN132" s="7"/>
      <c r="GGO132" s="7"/>
      <c r="GGP132" s="21"/>
      <c r="GGQ132" s="20"/>
      <c r="GGR132" s="20"/>
      <c r="GGS132" s="20"/>
      <c r="GGT132" s="21"/>
      <c r="GGU132" s="21"/>
      <c r="GGV132" s="21"/>
      <c r="GGW132" s="21"/>
      <c r="GGX132" s="21"/>
      <c r="GGY132" s="20"/>
      <c r="GGZ132" s="20"/>
      <c r="GHA132" s="20"/>
      <c r="GHB132" s="20"/>
      <c r="GHC132" s="21"/>
      <c r="GHD132" s="21"/>
      <c r="GHE132" s="7"/>
      <c r="GHF132" s="7"/>
      <c r="GHG132" s="21"/>
      <c r="GHH132" s="20"/>
      <c r="GHI132" s="20"/>
      <c r="GHJ132" s="20"/>
      <c r="GHK132" s="21"/>
      <c r="GHL132" s="21"/>
      <c r="GHM132" s="21"/>
      <c r="GHN132" s="21"/>
      <c r="GHO132" s="21"/>
      <c r="GHP132" s="20"/>
      <c r="GHQ132" s="20"/>
      <c r="GHR132" s="20"/>
      <c r="GHS132" s="20"/>
      <c r="GHT132" s="21"/>
      <c r="GHU132" s="21"/>
      <c r="GHV132" s="7"/>
      <c r="GHW132" s="7"/>
      <c r="GHX132" s="21"/>
      <c r="GHY132" s="20"/>
      <c r="GHZ132" s="20"/>
      <c r="GIA132" s="20"/>
      <c r="GIB132" s="21"/>
      <c r="GIC132" s="21"/>
      <c r="GID132" s="21"/>
      <c r="GIE132" s="21"/>
      <c r="GIF132" s="21"/>
      <c r="GIG132" s="20"/>
      <c r="GIH132" s="20"/>
      <c r="GII132" s="20"/>
      <c r="GIJ132" s="20"/>
      <c r="GIK132" s="21"/>
      <c r="GIL132" s="21"/>
      <c r="GIM132" s="7"/>
      <c r="GIN132" s="7"/>
      <c r="GIO132" s="21"/>
      <c r="GIP132" s="20"/>
      <c r="GIQ132" s="20"/>
      <c r="GIR132" s="20"/>
      <c r="GIS132" s="21"/>
      <c r="GIT132" s="21"/>
      <c r="GIU132" s="21"/>
      <c r="GIV132" s="21"/>
      <c r="GIW132" s="21"/>
      <c r="GIX132" s="20"/>
      <c r="GIY132" s="20"/>
      <c r="GIZ132" s="20"/>
      <c r="GJA132" s="20"/>
      <c r="GJB132" s="21"/>
      <c r="GJC132" s="21"/>
      <c r="GJD132" s="7"/>
      <c r="GJE132" s="7"/>
      <c r="GJF132" s="21"/>
      <c r="GJG132" s="20"/>
      <c r="GJH132" s="20"/>
      <c r="GJI132" s="20"/>
      <c r="GJJ132" s="21"/>
      <c r="GJK132" s="21"/>
      <c r="GJL132" s="21"/>
      <c r="GJM132" s="21"/>
      <c r="GJN132" s="21"/>
      <c r="GJO132" s="20"/>
      <c r="GJP132" s="20"/>
      <c r="GJQ132" s="20"/>
      <c r="GJR132" s="20"/>
      <c r="GJS132" s="21"/>
      <c r="GJT132" s="21"/>
      <c r="GJU132" s="7"/>
      <c r="GJV132" s="7"/>
      <c r="GJW132" s="21"/>
      <c r="GJX132" s="20"/>
      <c r="GJY132" s="20"/>
      <c r="GJZ132" s="20"/>
      <c r="GKA132" s="21"/>
      <c r="GKB132" s="21"/>
      <c r="GKC132" s="21"/>
      <c r="GKD132" s="21"/>
      <c r="GKE132" s="21"/>
      <c r="GKF132" s="20"/>
      <c r="GKG132" s="20"/>
      <c r="GKH132" s="20"/>
      <c r="GKI132" s="20"/>
      <c r="GKJ132" s="21"/>
      <c r="GKK132" s="21"/>
      <c r="GKL132" s="7"/>
      <c r="GKM132" s="7"/>
      <c r="GKN132" s="21"/>
      <c r="GKO132" s="20"/>
      <c r="GKP132" s="20"/>
      <c r="GKQ132" s="20"/>
      <c r="GKR132" s="21"/>
      <c r="GKS132" s="21"/>
      <c r="GKT132" s="21"/>
      <c r="GKU132" s="21"/>
      <c r="GKV132" s="21"/>
      <c r="GKW132" s="20"/>
      <c r="GKX132" s="20"/>
      <c r="GKY132" s="20"/>
      <c r="GKZ132" s="20"/>
      <c r="GLA132" s="21"/>
      <c r="GLB132" s="21"/>
      <c r="GLC132" s="7"/>
      <c r="GLD132" s="7"/>
      <c r="GLE132" s="21"/>
      <c r="GLF132" s="20"/>
      <c r="GLG132" s="20"/>
      <c r="GLH132" s="20"/>
      <c r="GLI132" s="21"/>
      <c r="GLJ132" s="21"/>
      <c r="GLK132" s="21"/>
      <c r="GLL132" s="21"/>
      <c r="GLM132" s="21"/>
      <c r="GLN132" s="20"/>
      <c r="GLO132" s="20"/>
      <c r="GLP132" s="20"/>
      <c r="GLQ132" s="20"/>
      <c r="GLR132" s="21"/>
      <c r="GLS132" s="21"/>
      <c r="GLT132" s="7"/>
      <c r="GLU132" s="7"/>
      <c r="GLV132" s="21"/>
      <c r="GLW132" s="20"/>
      <c r="GLX132" s="20"/>
      <c r="GLY132" s="20"/>
      <c r="GLZ132" s="21"/>
      <c r="GMA132" s="21"/>
      <c r="GMB132" s="21"/>
      <c r="GMC132" s="21"/>
      <c r="GMD132" s="21"/>
      <c r="GME132" s="20"/>
      <c r="GMF132" s="20"/>
      <c r="GMG132" s="20"/>
      <c r="GMH132" s="20"/>
      <c r="GMI132" s="21"/>
      <c r="GMJ132" s="21"/>
      <c r="GMK132" s="7"/>
      <c r="GML132" s="7"/>
      <c r="GMM132" s="21"/>
      <c r="GMN132" s="20"/>
      <c r="GMO132" s="20"/>
      <c r="GMP132" s="20"/>
      <c r="GMQ132" s="21"/>
      <c r="GMR132" s="21"/>
      <c r="GMS132" s="21"/>
      <c r="GMT132" s="21"/>
      <c r="GMU132" s="21"/>
      <c r="GMV132" s="20"/>
      <c r="GMW132" s="20"/>
      <c r="GMX132" s="20"/>
      <c r="GMY132" s="20"/>
      <c r="GMZ132" s="21"/>
      <c r="GNA132" s="21"/>
      <c r="GNB132" s="7"/>
      <c r="GNC132" s="7"/>
      <c r="GND132" s="21"/>
      <c r="GNE132" s="20"/>
      <c r="GNF132" s="20"/>
      <c r="GNG132" s="20"/>
      <c r="GNH132" s="21"/>
      <c r="GNI132" s="21"/>
      <c r="GNJ132" s="21"/>
      <c r="GNK132" s="21"/>
      <c r="GNL132" s="21"/>
      <c r="GNM132" s="20"/>
      <c r="GNN132" s="20"/>
      <c r="GNO132" s="20"/>
      <c r="GNP132" s="20"/>
      <c r="GNQ132" s="21"/>
      <c r="GNR132" s="21"/>
      <c r="GNS132" s="7"/>
      <c r="GNT132" s="7"/>
      <c r="GNU132" s="21"/>
      <c r="GNV132" s="20"/>
      <c r="GNW132" s="20"/>
      <c r="GNX132" s="20"/>
      <c r="GNY132" s="21"/>
      <c r="GNZ132" s="21"/>
      <c r="GOA132" s="21"/>
      <c r="GOB132" s="21"/>
      <c r="GOC132" s="21"/>
      <c r="GOD132" s="20"/>
      <c r="GOE132" s="20"/>
      <c r="GOF132" s="20"/>
      <c r="GOG132" s="20"/>
      <c r="GOH132" s="21"/>
      <c r="GOI132" s="21"/>
      <c r="GOJ132" s="7"/>
      <c r="GOK132" s="7"/>
      <c r="GOL132" s="21"/>
      <c r="GOM132" s="20"/>
      <c r="GON132" s="20"/>
      <c r="GOO132" s="20"/>
      <c r="GOP132" s="21"/>
      <c r="GOQ132" s="21"/>
      <c r="GOR132" s="21"/>
      <c r="GOS132" s="21"/>
      <c r="GOT132" s="21"/>
      <c r="GOU132" s="20"/>
      <c r="GOV132" s="20"/>
      <c r="GOW132" s="20"/>
      <c r="GOX132" s="20"/>
      <c r="GOY132" s="21"/>
      <c r="GOZ132" s="21"/>
      <c r="GPA132" s="7"/>
      <c r="GPB132" s="7"/>
      <c r="GPC132" s="21"/>
      <c r="GPD132" s="20"/>
      <c r="GPE132" s="20"/>
      <c r="GPF132" s="20"/>
      <c r="GPG132" s="21"/>
      <c r="GPH132" s="21"/>
      <c r="GPI132" s="21"/>
      <c r="GPJ132" s="21"/>
      <c r="GPK132" s="21"/>
      <c r="GPL132" s="20"/>
      <c r="GPM132" s="20"/>
      <c r="GPN132" s="20"/>
      <c r="GPO132" s="20"/>
      <c r="GPP132" s="21"/>
      <c r="GPQ132" s="21"/>
      <c r="GPR132" s="7"/>
      <c r="GPS132" s="7"/>
      <c r="GPT132" s="21"/>
      <c r="GPU132" s="20"/>
      <c r="GPV132" s="20"/>
      <c r="GPW132" s="20"/>
      <c r="GPX132" s="21"/>
      <c r="GPY132" s="21"/>
      <c r="GPZ132" s="21"/>
      <c r="GQA132" s="21"/>
      <c r="GQB132" s="21"/>
      <c r="GQC132" s="20"/>
      <c r="GQD132" s="20"/>
      <c r="GQE132" s="20"/>
      <c r="GQF132" s="20"/>
      <c r="GQG132" s="21"/>
      <c r="GQH132" s="21"/>
      <c r="GQI132" s="7"/>
      <c r="GQJ132" s="7"/>
      <c r="GQK132" s="21"/>
      <c r="GQL132" s="20"/>
      <c r="GQM132" s="20"/>
      <c r="GQN132" s="20"/>
      <c r="GQO132" s="21"/>
      <c r="GQP132" s="21"/>
      <c r="GQQ132" s="21"/>
      <c r="GQR132" s="21"/>
      <c r="GQS132" s="21"/>
      <c r="GQT132" s="20"/>
      <c r="GQU132" s="20"/>
      <c r="GQV132" s="20"/>
      <c r="GQW132" s="20"/>
      <c r="GQX132" s="21"/>
      <c r="GQY132" s="21"/>
      <c r="GQZ132" s="7"/>
      <c r="GRA132" s="7"/>
      <c r="GRB132" s="21"/>
      <c r="GRC132" s="20"/>
      <c r="GRD132" s="20"/>
      <c r="GRE132" s="20"/>
      <c r="GRF132" s="21"/>
      <c r="GRG132" s="21"/>
      <c r="GRH132" s="21"/>
      <c r="GRI132" s="21"/>
      <c r="GRJ132" s="21"/>
      <c r="GRK132" s="20"/>
      <c r="GRL132" s="20"/>
      <c r="GRM132" s="20"/>
      <c r="GRN132" s="20"/>
      <c r="GRO132" s="21"/>
      <c r="GRP132" s="21"/>
      <c r="GRQ132" s="7"/>
      <c r="GRR132" s="7"/>
      <c r="GRS132" s="21"/>
      <c r="GRT132" s="20"/>
      <c r="GRU132" s="20"/>
      <c r="GRV132" s="20"/>
      <c r="GRW132" s="21"/>
      <c r="GRX132" s="21"/>
      <c r="GRY132" s="21"/>
      <c r="GRZ132" s="21"/>
      <c r="GSA132" s="21"/>
      <c r="GSB132" s="20"/>
      <c r="GSC132" s="20"/>
      <c r="GSD132" s="20"/>
      <c r="GSE132" s="20"/>
      <c r="GSF132" s="21"/>
      <c r="GSG132" s="21"/>
      <c r="GSH132" s="7"/>
      <c r="GSI132" s="7"/>
      <c r="GSJ132" s="21"/>
      <c r="GSK132" s="20"/>
      <c r="GSL132" s="20"/>
      <c r="GSM132" s="20"/>
      <c r="GSN132" s="21"/>
      <c r="GSO132" s="21"/>
      <c r="GSP132" s="21"/>
      <c r="GSQ132" s="21"/>
      <c r="GSR132" s="21"/>
      <c r="GSS132" s="20"/>
      <c r="GST132" s="20"/>
      <c r="GSU132" s="20"/>
      <c r="GSV132" s="20"/>
      <c r="GSW132" s="21"/>
      <c r="GSX132" s="21"/>
      <c r="GSY132" s="7"/>
      <c r="GSZ132" s="7"/>
      <c r="GTA132" s="21"/>
      <c r="GTB132" s="20"/>
      <c r="GTC132" s="20"/>
      <c r="GTD132" s="20"/>
      <c r="GTE132" s="21"/>
      <c r="GTF132" s="21"/>
      <c r="GTG132" s="21"/>
      <c r="GTH132" s="21"/>
      <c r="GTI132" s="21"/>
      <c r="GTJ132" s="20"/>
      <c r="GTK132" s="20"/>
      <c r="GTL132" s="20"/>
      <c r="GTM132" s="20"/>
      <c r="GTN132" s="21"/>
      <c r="GTO132" s="21"/>
      <c r="GTP132" s="7"/>
      <c r="GTQ132" s="7"/>
      <c r="GTR132" s="21"/>
      <c r="GTS132" s="20"/>
      <c r="GTT132" s="20"/>
      <c r="GTU132" s="20"/>
      <c r="GTV132" s="21"/>
      <c r="GTW132" s="21"/>
      <c r="GTX132" s="21"/>
      <c r="GTY132" s="21"/>
      <c r="GTZ132" s="21"/>
      <c r="GUA132" s="20"/>
      <c r="GUB132" s="20"/>
      <c r="GUC132" s="20"/>
      <c r="GUD132" s="20"/>
      <c r="GUE132" s="21"/>
      <c r="GUF132" s="21"/>
      <c r="GUG132" s="7"/>
      <c r="GUH132" s="7"/>
      <c r="GUI132" s="21"/>
      <c r="GUJ132" s="20"/>
      <c r="GUK132" s="20"/>
      <c r="GUL132" s="20"/>
      <c r="GUM132" s="21"/>
      <c r="GUN132" s="21"/>
      <c r="GUO132" s="21"/>
      <c r="GUP132" s="21"/>
      <c r="GUQ132" s="21"/>
      <c r="GUR132" s="20"/>
      <c r="GUS132" s="20"/>
      <c r="GUT132" s="20"/>
      <c r="GUU132" s="20"/>
      <c r="GUV132" s="21"/>
      <c r="GUW132" s="21"/>
      <c r="GUX132" s="7"/>
      <c r="GUY132" s="7"/>
      <c r="GUZ132" s="21"/>
      <c r="GVA132" s="20"/>
      <c r="GVB132" s="20"/>
      <c r="GVC132" s="20"/>
      <c r="GVD132" s="21"/>
      <c r="GVE132" s="21"/>
      <c r="GVF132" s="21"/>
      <c r="GVG132" s="21"/>
      <c r="GVH132" s="21"/>
      <c r="GVI132" s="20"/>
      <c r="GVJ132" s="20"/>
      <c r="GVK132" s="20"/>
      <c r="GVL132" s="20"/>
      <c r="GVM132" s="21"/>
      <c r="GVN132" s="21"/>
      <c r="GVO132" s="7"/>
      <c r="GVP132" s="7"/>
      <c r="GVQ132" s="21"/>
      <c r="GVR132" s="20"/>
      <c r="GVS132" s="20"/>
      <c r="GVT132" s="20"/>
      <c r="GVU132" s="21"/>
      <c r="GVV132" s="21"/>
      <c r="GVW132" s="21"/>
      <c r="GVX132" s="21"/>
      <c r="GVY132" s="21"/>
      <c r="GVZ132" s="20"/>
      <c r="GWA132" s="20"/>
      <c r="GWB132" s="20"/>
      <c r="GWC132" s="20"/>
      <c r="GWD132" s="21"/>
      <c r="GWE132" s="21"/>
      <c r="GWF132" s="7"/>
      <c r="GWG132" s="7"/>
      <c r="GWH132" s="21"/>
      <c r="GWI132" s="20"/>
      <c r="GWJ132" s="20"/>
      <c r="GWK132" s="20"/>
      <c r="GWL132" s="21"/>
      <c r="GWM132" s="21"/>
      <c r="GWN132" s="21"/>
      <c r="GWO132" s="21"/>
      <c r="GWP132" s="21"/>
      <c r="GWQ132" s="20"/>
      <c r="GWR132" s="20"/>
      <c r="GWS132" s="20"/>
      <c r="GWT132" s="20"/>
      <c r="GWU132" s="21"/>
      <c r="GWV132" s="21"/>
      <c r="GWW132" s="7"/>
      <c r="GWX132" s="7"/>
      <c r="GWY132" s="21"/>
      <c r="GWZ132" s="20"/>
      <c r="GXA132" s="20"/>
      <c r="GXB132" s="20"/>
      <c r="GXC132" s="21"/>
      <c r="GXD132" s="21"/>
      <c r="GXE132" s="21"/>
      <c r="GXF132" s="21"/>
      <c r="GXG132" s="21"/>
      <c r="GXH132" s="20"/>
      <c r="GXI132" s="20"/>
      <c r="GXJ132" s="20"/>
      <c r="GXK132" s="20"/>
      <c r="GXL132" s="21"/>
      <c r="GXM132" s="21"/>
      <c r="GXN132" s="7"/>
      <c r="GXO132" s="7"/>
      <c r="GXP132" s="21"/>
      <c r="GXQ132" s="20"/>
      <c r="GXR132" s="20"/>
      <c r="GXS132" s="20"/>
      <c r="GXT132" s="21"/>
      <c r="GXU132" s="21"/>
      <c r="GXV132" s="21"/>
      <c r="GXW132" s="21"/>
      <c r="GXX132" s="21"/>
      <c r="GXY132" s="20"/>
      <c r="GXZ132" s="20"/>
      <c r="GYA132" s="20"/>
      <c r="GYB132" s="20"/>
      <c r="GYC132" s="21"/>
      <c r="GYD132" s="21"/>
      <c r="GYE132" s="7"/>
      <c r="GYF132" s="7"/>
      <c r="GYG132" s="21"/>
      <c r="GYH132" s="20"/>
      <c r="GYI132" s="20"/>
      <c r="GYJ132" s="20"/>
      <c r="GYK132" s="21"/>
      <c r="GYL132" s="21"/>
      <c r="GYM132" s="21"/>
      <c r="GYN132" s="21"/>
      <c r="GYO132" s="21"/>
      <c r="GYP132" s="20"/>
      <c r="GYQ132" s="20"/>
      <c r="GYR132" s="20"/>
      <c r="GYS132" s="20"/>
      <c r="GYT132" s="21"/>
      <c r="GYU132" s="21"/>
      <c r="GYV132" s="7"/>
      <c r="GYW132" s="7"/>
      <c r="GYX132" s="21"/>
      <c r="GYY132" s="20"/>
      <c r="GYZ132" s="20"/>
      <c r="GZA132" s="20"/>
      <c r="GZB132" s="21"/>
      <c r="GZC132" s="21"/>
      <c r="GZD132" s="21"/>
      <c r="GZE132" s="21"/>
      <c r="GZF132" s="21"/>
      <c r="GZG132" s="20"/>
      <c r="GZH132" s="20"/>
      <c r="GZI132" s="20"/>
      <c r="GZJ132" s="20"/>
      <c r="GZK132" s="21"/>
      <c r="GZL132" s="21"/>
      <c r="GZM132" s="7"/>
      <c r="GZN132" s="7"/>
      <c r="GZO132" s="21"/>
      <c r="GZP132" s="20"/>
      <c r="GZQ132" s="20"/>
      <c r="GZR132" s="20"/>
      <c r="GZS132" s="21"/>
      <c r="GZT132" s="21"/>
      <c r="GZU132" s="21"/>
      <c r="GZV132" s="21"/>
      <c r="GZW132" s="21"/>
      <c r="GZX132" s="20"/>
      <c r="GZY132" s="20"/>
      <c r="GZZ132" s="20"/>
      <c r="HAA132" s="20"/>
      <c r="HAB132" s="21"/>
      <c r="HAC132" s="21"/>
      <c r="HAD132" s="7"/>
      <c r="HAE132" s="7"/>
      <c r="HAF132" s="21"/>
      <c r="HAG132" s="20"/>
      <c r="HAH132" s="20"/>
      <c r="HAI132" s="20"/>
      <c r="HAJ132" s="21"/>
      <c r="HAK132" s="21"/>
      <c r="HAL132" s="21"/>
      <c r="HAM132" s="21"/>
      <c r="HAN132" s="21"/>
      <c r="HAO132" s="20"/>
      <c r="HAP132" s="20"/>
      <c r="HAQ132" s="20"/>
      <c r="HAR132" s="20"/>
      <c r="HAS132" s="21"/>
      <c r="HAT132" s="21"/>
      <c r="HAU132" s="7"/>
      <c r="HAV132" s="7"/>
      <c r="HAW132" s="21"/>
      <c r="HAX132" s="20"/>
      <c r="HAY132" s="20"/>
      <c r="HAZ132" s="20"/>
      <c r="HBA132" s="21"/>
      <c r="HBB132" s="21"/>
      <c r="HBC132" s="21"/>
      <c r="HBD132" s="21"/>
      <c r="HBE132" s="21"/>
      <c r="HBF132" s="20"/>
      <c r="HBG132" s="20"/>
      <c r="HBH132" s="20"/>
      <c r="HBI132" s="20"/>
      <c r="HBJ132" s="21"/>
      <c r="HBK132" s="21"/>
      <c r="HBL132" s="7"/>
      <c r="HBM132" s="7"/>
      <c r="HBN132" s="21"/>
      <c r="HBO132" s="20"/>
      <c r="HBP132" s="20"/>
      <c r="HBQ132" s="20"/>
      <c r="HBR132" s="21"/>
      <c r="HBS132" s="21"/>
      <c r="HBT132" s="21"/>
      <c r="HBU132" s="21"/>
      <c r="HBV132" s="21"/>
      <c r="HBW132" s="20"/>
      <c r="HBX132" s="20"/>
      <c r="HBY132" s="20"/>
      <c r="HBZ132" s="20"/>
      <c r="HCA132" s="21"/>
      <c r="HCB132" s="21"/>
      <c r="HCC132" s="7"/>
      <c r="HCD132" s="7"/>
      <c r="HCE132" s="21"/>
      <c r="HCF132" s="20"/>
      <c r="HCG132" s="20"/>
      <c r="HCH132" s="20"/>
      <c r="HCI132" s="21"/>
      <c r="HCJ132" s="21"/>
      <c r="HCK132" s="21"/>
      <c r="HCL132" s="21"/>
      <c r="HCM132" s="21"/>
      <c r="HCN132" s="20"/>
      <c r="HCO132" s="20"/>
      <c r="HCP132" s="20"/>
      <c r="HCQ132" s="20"/>
      <c r="HCR132" s="21"/>
      <c r="HCS132" s="21"/>
      <c r="HCT132" s="7"/>
      <c r="HCU132" s="7"/>
      <c r="HCV132" s="21"/>
      <c r="HCW132" s="20"/>
      <c r="HCX132" s="20"/>
      <c r="HCY132" s="20"/>
      <c r="HCZ132" s="21"/>
      <c r="HDA132" s="21"/>
      <c r="HDB132" s="21"/>
      <c r="HDC132" s="21"/>
      <c r="HDD132" s="21"/>
      <c r="HDE132" s="20"/>
      <c r="HDF132" s="20"/>
      <c r="HDG132" s="20"/>
      <c r="HDH132" s="20"/>
      <c r="HDI132" s="21"/>
      <c r="HDJ132" s="21"/>
      <c r="HDK132" s="7"/>
      <c r="HDL132" s="7"/>
      <c r="HDM132" s="21"/>
      <c r="HDN132" s="20"/>
      <c r="HDO132" s="20"/>
      <c r="HDP132" s="20"/>
      <c r="HDQ132" s="21"/>
      <c r="HDR132" s="21"/>
      <c r="HDS132" s="21"/>
      <c r="HDT132" s="21"/>
      <c r="HDU132" s="21"/>
      <c r="HDV132" s="20"/>
      <c r="HDW132" s="20"/>
      <c r="HDX132" s="20"/>
      <c r="HDY132" s="20"/>
      <c r="HDZ132" s="21"/>
      <c r="HEA132" s="21"/>
      <c r="HEB132" s="7"/>
      <c r="HEC132" s="7"/>
      <c r="HED132" s="21"/>
      <c r="HEE132" s="20"/>
      <c r="HEF132" s="20"/>
      <c r="HEG132" s="20"/>
      <c r="HEH132" s="21"/>
      <c r="HEI132" s="21"/>
      <c r="HEJ132" s="21"/>
      <c r="HEK132" s="21"/>
      <c r="HEL132" s="21"/>
      <c r="HEM132" s="20"/>
      <c r="HEN132" s="20"/>
      <c r="HEO132" s="20"/>
      <c r="HEP132" s="20"/>
      <c r="HEQ132" s="21"/>
      <c r="HER132" s="21"/>
      <c r="HES132" s="7"/>
      <c r="HET132" s="7"/>
      <c r="HEU132" s="21"/>
      <c r="HEV132" s="20"/>
      <c r="HEW132" s="20"/>
      <c r="HEX132" s="20"/>
      <c r="HEY132" s="21"/>
      <c r="HEZ132" s="21"/>
      <c r="HFA132" s="21"/>
      <c r="HFB132" s="21"/>
      <c r="HFC132" s="21"/>
      <c r="HFD132" s="20"/>
      <c r="HFE132" s="20"/>
      <c r="HFF132" s="20"/>
      <c r="HFG132" s="20"/>
      <c r="HFH132" s="21"/>
      <c r="HFI132" s="21"/>
      <c r="HFJ132" s="7"/>
      <c r="HFK132" s="7"/>
      <c r="HFL132" s="21"/>
      <c r="HFM132" s="20"/>
      <c r="HFN132" s="20"/>
      <c r="HFO132" s="20"/>
      <c r="HFP132" s="21"/>
      <c r="HFQ132" s="21"/>
      <c r="HFR132" s="21"/>
      <c r="HFS132" s="21"/>
      <c r="HFT132" s="21"/>
      <c r="HFU132" s="20"/>
      <c r="HFV132" s="20"/>
      <c r="HFW132" s="20"/>
      <c r="HFX132" s="20"/>
      <c r="HFY132" s="21"/>
      <c r="HFZ132" s="21"/>
      <c r="HGA132" s="7"/>
      <c r="HGB132" s="7"/>
      <c r="HGC132" s="21"/>
      <c r="HGD132" s="20"/>
      <c r="HGE132" s="20"/>
      <c r="HGF132" s="20"/>
      <c r="HGG132" s="21"/>
      <c r="HGH132" s="21"/>
      <c r="HGI132" s="21"/>
      <c r="HGJ132" s="21"/>
      <c r="HGK132" s="21"/>
      <c r="HGL132" s="20"/>
      <c r="HGM132" s="20"/>
      <c r="HGN132" s="20"/>
      <c r="HGO132" s="20"/>
      <c r="HGP132" s="21"/>
      <c r="HGQ132" s="21"/>
      <c r="HGR132" s="7"/>
      <c r="HGS132" s="7"/>
      <c r="HGT132" s="21"/>
      <c r="HGU132" s="20"/>
      <c r="HGV132" s="20"/>
      <c r="HGW132" s="20"/>
      <c r="HGX132" s="21"/>
      <c r="HGY132" s="21"/>
      <c r="HGZ132" s="21"/>
      <c r="HHA132" s="21"/>
      <c r="HHB132" s="21"/>
      <c r="HHC132" s="20"/>
      <c r="HHD132" s="20"/>
      <c r="HHE132" s="20"/>
      <c r="HHF132" s="20"/>
      <c r="HHG132" s="21"/>
      <c r="HHH132" s="21"/>
      <c r="HHI132" s="7"/>
      <c r="HHJ132" s="7"/>
      <c r="HHK132" s="21"/>
      <c r="HHL132" s="20"/>
      <c r="HHM132" s="20"/>
      <c r="HHN132" s="20"/>
      <c r="HHO132" s="21"/>
      <c r="HHP132" s="21"/>
      <c r="HHQ132" s="21"/>
      <c r="HHR132" s="21"/>
      <c r="HHS132" s="21"/>
      <c r="HHT132" s="20"/>
      <c r="HHU132" s="20"/>
      <c r="HHV132" s="20"/>
      <c r="HHW132" s="20"/>
      <c r="HHX132" s="21"/>
      <c r="HHY132" s="21"/>
      <c r="HHZ132" s="7"/>
      <c r="HIA132" s="7"/>
      <c r="HIB132" s="21"/>
      <c r="HIC132" s="20"/>
      <c r="HID132" s="20"/>
      <c r="HIE132" s="20"/>
      <c r="HIF132" s="21"/>
      <c r="HIG132" s="21"/>
      <c r="HIH132" s="21"/>
      <c r="HII132" s="21"/>
      <c r="HIJ132" s="21"/>
      <c r="HIK132" s="20"/>
      <c r="HIL132" s="20"/>
      <c r="HIM132" s="20"/>
      <c r="HIN132" s="20"/>
      <c r="HIO132" s="21"/>
      <c r="HIP132" s="21"/>
      <c r="HIQ132" s="7"/>
      <c r="HIR132" s="7"/>
      <c r="HIS132" s="21"/>
      <c r="HIT132" s="20"/>
      <c r="HIU132" s="20"/>
      <c r="HIV132" s="20"/>
      <c r="HIW132" s="21"/>
      <c r="HIX132" s="21"/>
      <c r="HIY132" s="21"/>
      <c r="HIZ132" s="21"/>
      <c r="HJA132" s="21"/>
      <c r="HJB132" s="20"/>
      <c r="HJC132" s="20"/>
      <c r="HJD132" s="20"/>
      <c r="HJE132" s="20"/>
      <c r="HJF132" s="21"/>
      <c r="HJG132" s="21"/>
      <c r="HJH132" s="7"/>
      <c r="HJI132" s="7"/>
      <c r="HJJ132" s="21"/>
      <c r="HJK132" s="20"/>
      <c r="HJL132" s="20"/>
      <c r="HJM132" s="20"/>
      <c r="HJN132" s="21"/>
      <c r="HJO132" s="21"/>
      <c r="HJP132" s="21"/>
      <c r="HJQ132" s="21"/>
      <c r="HJR132" s="21"/>
      <c r="HJS132" s="20"/>
      <c r="HJT132" s="20"/>
      <c r="HJU132" s="20"/>
      <c r="HJV132" s="20"/>
      <c r="HJW132" s="21"/>
      <c r="HJX132" s="21"/>
      <c r="HJY132" s="7"/>
      <c r="HJZ132" s="7"/>
      <c r="HKA132" s="21"/>
      <c r="HKB132" s="20"/>
      <c r="HKC132" s="20"/>
      <c r="HKD132" s="20"/>
      <c r="HKE132" s="21"/>
      <c r="HKF132" s="21"/>
      <c r="HKG132" s="21"/>
      <c r="HKH132" s="21"/>
      <c r="HKI132" s="21"/>
      <c r="HKJ132" s="20"/>
      <c r="HKK132" s="20"/>
      <c r="HKL132" s="20"/>
      <c r="HKM132" s="20"/>
      <c r="HKN132" s="21"/>
      <c r="HKO132" s="21"/>
      <c r="HKP132" s="7"/>
      <c r="HKQ132" s="7"/>
      <c r="HKR132" s="21"/>
      <c r="HKS132" s="20"/>
      <c r="HKT132" s="20"/>
      <c r="HKU132" s="20"/>
      <c r="HKV132" s="21"/>
      <c r="HKW132" s="21"/>
      <c r="HKX132" s="21"/>
      <c r="HKY132" s="21"/>
      <c r="HKZ132" s="21"/>
      <c r="HLA132" s="20"/>
      <c r="HLB132" s="20"/>
      <c r="HLC132" s="20"/>
      <c r="HLD132" s="20"/>
      <c r="HLE132" s="21"/>
      <c r="HLF132" s="21"/>
      <c r="HLG132" s="7"/>
      <c r="HLH132" s="7"/>
      <c r="HLI132" s="21"/>
      <c r="HLJ132" s="20"/>
      <c r="HLK132" s="20"/>
      <c r="HLL132" s="20"/>
      <c r="HLM132" s="21"/>
      <c r="HLN132" s="21"/>
      <c r="HLO132" s="21"/>
      <c r="HLP132" s="21"/>
      <c r="HLQ132" s="21"/>
      <c r="HLR132" s="20"/>
      <c r="HLS132" s="20"/>
      <c r="HLT132" s="20"/>
      <c r="HLU132" s="20"/>
      <c r="HLV132" s="21"/>
      <c r="HLW132" s="21"/>
      <c r="HLX132" s="7"/>
      <c r="HLY132" s="7"/>
      <c r="HLZ132" s="21"/>
      <c r="HMA132" s="20"/>
      <c r="HMB132" s="20"/>
      <c r="HMC132" s="20"/>
      <c r="HMD132" s="21"/>
      <c r="HME132" s="21"/>
      <c r="HMF132" s="21"/>
      <c r="HMG132" s="21"/>
      <c r="HMH132" s="21"/>
      <c r="HMI132" s="20"/>
      <c r="HMJ132" s="20"/>
      <c r="HMK132" s="20"/>
      <c r="HML132" s="20"/>
      <c r="HMM132" s="21"/>
      <c r="HMN132" s="21"/>
      <c r="HMO132" s="7"/>
      <c r="HMP132" s="7"/>
      <c r="HMQ132" s="21"/>
      <c r="HMR132" s="20"/>
      <c r="HMS132" s="20"/>
      <c r="HMT132" s="20"/>
      <c r="HMU132" s="21"/>
      <c r="HMV132" s="21"/>
      <c r="HMW132" s="21"/>
      <c r="HMX132" s="21"/>
      <c r="HMY132" s="21"/>
      <c r="HMZ132" s="20"/>
      <c r="HNA132" s="20"/>
      <c r="HNB132" s="20"/>
      <c r="HNC132" s="20"/>
      <c r="HND132" s="21"/>
      <c r="HNE132" s="21"/>
      <c r="HNF132" s="7"/>
      <c r="HNG132" s="7"/>
      <c r="HNH132" s="21"/>
      <c r="HNI132" s="20"/>
      <c r="HNJ132" s="20"/>
      <c r="HNK132" s="20"/>
      <c r="HNL132" s="21"/>
      <c r="HNM132" s="21"/>
      <c r="HNN132" s="21"/>
      <c r="HNO132" s="21"/>
      <c r="HNP132" s="21"/>
      <c r="HNQ132" s="20"/>
      <c r="HNR132" s="20"/>
      <c r="HNS132" s="20"/>
      <c r="HNT132" s="20"/>
      <c r="HNU132" s="21"/>
      <c r="HNV132" s="21"/>
      <c r="HNW132" s="7"/>
      <c r="HNX132" s="7"/>
      <c r="HNY132" s="21"/>
      <c r="HNZ132" s="20"/>
      <c r="HOA132" s="20"/>
      <c r="HOB132" s="20"/>
      <c r="HOC132" s="21"/>
      <c r="HOD132" s="21"/>
      <c r="HOE132" s="21"/>
      <c r="HOF132" s="21"/>
      <c r="HOG132" s="21"/>
      <c r="HOH132" s="20"/>
      <c r="HOI132" s="20"/>
      <c r="HOJ132" s="20"/>
      <c r="HOK132" s="20"/>
      <c r="HOL132" s="21"/>
      <c r="HOM132" s="21"/>
      <c r="HON132" s="7"/>
      <c r="HOO132" s="7"/>
      <c r="HOP132" s="21"/>
      <c r="HOQ132" s="20"/>
      <c r="HOR132" s="20"/>
      <c r="HOS132" s="20"/>
      <c r="HOT132" s="21"/>
      <c r="HOU132" s="21"/>
      <c r="HOV132" s="21"/>
      <c r="HOW132" s="21"/>
      <c r="HOX132" s="21"/>
      <c r="HOY132" s="20"/>
      <c r="HOZ132" s="20"/>
      <c r="HPA132" s="20"/>
      <c r="HPB132" s="20"/>
      <c r="HPC132" s="21"/>
      <c r="HPD132" s="21"/>
      <c r="HPE132" s="7"/>
      <c r="HPF132" s="7"/>
      <c r="HPG132" s="21"/>
      <c r="HPH132" s="20"/>
      <c r="HPI132" s="20"/>
      <c r="HPJ132" s="20"/>
      <c r="HPK132" s="21"/>
      <c r="HPL132" s="21"/>
      <c r="HPM132" s="21"/>
      <c r="HPN132" s="21"/>
      <c r="HPO132" s="21"/>
      <c r="HPP132" s="20"/>
      <c r="HPQ132" s="20"/>
      <c r="HPR132" s="20"/>
      <c r="HPS132" s="20"/>
      <c r="HPT132" s="21"/>
      <c r="HPU132" s="21"/>
      <c r="HPV132" s="7"/>
      <c r="HPW132" s="7"/>
      <c r="HPX132" s="21"/>
      <c r="HPY132" s="20"/>
      <c r="HPZ132" s="20"/>
      <c r="HQA132" s="20"/>
      <c r="HQB132" s="21"/>
      <c r="HQC132" s="21"/>
      <c r="HQD132" s="21"/>
      <c r="HQE132" s="21"/>
      <c r="HQF132" s="21"/>
      <c r="HQG132" s="20"/>
      <c r="HQH132" s="20"/>
      <c r="HQI132" s="20"/>
      <c r="HQJ132" s="20"/>
      <c r="HQK132" s="21"/>
      <c r="HQL132" s="21"/>
      <c r="HQM132" s="7"/>
      <c r="HQN132" s="7"/>
      <c r="HQO132" s="21"/>
      <c r="HQP132" s="20"/>
      <c r="HQQ132" s="20"/>
      <c r="HQR132" s="20"/>
      <c r="HQS132" s="21"/>
      <c r="HQT132" s="21"/>
      <c r="HQU132" s="21"/>
      <c r="HQV132" s="21"/>
      <c r="HQW132" s="21"/>
      <c r="HQX132" s="20"/>
      <c r="HQY132" s="20"/>
      <c r="HQZ132" s="20"/>
      <c r="HRA132" s="20"/>
      <c r="HRB132" s="21"/>
      <c r="HRC132" s="21"/>
      <c r="HRD132" s="7"/>
      <c r="HRE132" s="7"/>
      <c r="HRF132" s="21"/>
      <c r="HRG132" s="20"/>
      <c r="HRH132" s="20"/>
      <c r="HRI132" s="20"/>
      <c r="HRJ132" s="21"/>
      <c r="HRK132" s="21"/>
      <c r="HRL132" s="21"/>
      <c r="HRM132" s="21"/>
      <c r="HRN132" s="21"/>
      <c r="HRO132" s="20"/>
      <c r="HRP132" s="20"/>
      <c r="HRQ132" s="20"/>
      <c r="HRR132" s="20"/>
      <c r="HRS132" s="21"/>
      <c r="HRT132" s="21"/>
      <c r="HRU132" s="7"/>
      <c r="HRV132" s="7"/>
      <c r="HRW132" s="21"/>
      <c r="HRX132" s="20"/>
      <c r="HRY132" s="20"/>
      <c r="HRZ132" s="20"/>
      <c r="HSA132" s="21"/>
      <c r="HSB132" s="21"/>
      <c r="HSC132" s="21"/>
      <c r="HSD132" s="21"/>
      <c r="HSE132" s="21"/>
      <c r="HSF132" s="20"/>
      <c r="HSG132" s="20"/>
      <c r="HSH132" s="20"/>
      <c r="HSI132" s="20"/>
      <c r="HSJ132" s="21"/>
      <c r="HSK132" s="21"/>
      <c r="HSL132" s="7"/>
      <c r="HSM132" s="7"/>
      <c r="HSN132" s="21"/>
      <c r="HSO132" s="20"/>
      <c r="HSP132" s="20"/>
      <c r="HSQ132" s="20"/>
      <c r="HSR132" s="21"/>
      <c r="HSS132" s="21"/>
      <c r="HST132" s="21"/>
      <c r="HSU132" s="21"/>
      <c r="HSV132" s="21"/>
      <c r="HSW132" s="20"/>
      <c r="HSX132" s="20"/>
      <c r="HSY132" s="20"/>
      <c r="HSZ132" s="20"/>
      <c r="HTA132" s="21"/>
      <c r="HTB132" s="21"/>
      <c r="HTC132" s="7"/>
      <c r="HTD132" s="7"/>
      <c r="HTE132" s="21"/>
      <c r="HTF132" s="20"/>
      <c r="HTG132" s="20"/>
      <c r="HTH132" s="20"/>
      <c r="HTI132" s="21"/>
      <c r="HTJ132" s="21"/>
      <c r="HTK132" s="21"/>
      <c r="HTL132" s="21"/>
      <c r="HTM132" s="21"/>
      <c r="HTN132" s="20"/>
      <c r="HTO132" s="20"/>
      <c r="HTP132" s="20"/>
      <c r="HTQ132" s="20"/>
      <c r="HTR132" s="21"/>
      <c r="HTS132" s="21"/>
      <c r="HTT132" s="7"/>
      <c r="HTU132" s="7"/>
      <c r="HTV132" s="21"/>
      <c r="HTW132" s="20"/>
      <c r="HTX132" s="20"/>
      <c r="HTY132" s="20"/>
      <c r="HTZ132" s="21"/>
      <c r="HUA132" s="21"/>
      <c r="HUB132" s="21"/>
      <c r="HUC132" s="21"/>
      <c r="HUD132" s="21"/>
      <c r="HUE132" s="20"/>
      <c r="HUF132" s="20"/>
      <c r="HUG132" s="20"/>
      <c r="HUH132" s="20"/>
      <c r="HUI132" s="21"/>
      <c r="HUJ132" s="21"/>
      <c r="HUK132" s="7"/>
      <c r="HUL132" s="7"/>
      <c r="HUM132" s="21"/>
      <c r="HUN132" s="20"/>
      <c r="HUO132" s="20"/>
      <c r="HUP132" s="20"/>
      <c r="HUQ132" s="21"/>
      <c r="HUR132" s="21"/>
      <c r="HUS132" s="21"/>
      <c r="HUT132" s="21"/>
      <c r="HUU132" s="21"/>
      <c r="HUV132" s="20"/>
      <c r="HUW132" s="20"/>
      <c r="HUX132" s="20"/>
      <c r="HUY132" s="20"/>
      <c r="HUZ132" s="21"/>
      <c r="HVA132" s="21"/>
      <c r="HVB132" s="7"/>
      <c r="HVC132" s="7"/>
      <c r="HVD132" s="21"/>
      <c r="HVE132" s="20"/>
      <c r="HVF132" s="20"/>
      <c r="HVG132" s="20"/>
      <c r="HVH132" s="21"/>
      <c r="HVI132" s="21"/>
      <c r="HVJ132" s="21"/>
      <c r="HVK132" s="21"/>
      <c r="HVL132" s="21"/>
      <c r="HVM132" s="20"/>
      <c r="HVN132" s="20"/>
      <c r="HVO132" s="20"/>
      <c r="HVP132" s="20"/>
      <c r="HVQ132" s="21"/>
      <c r="HVR132" s="21"/>
      <c r="HVS132" s="7"/>
      <c r="HVT132" s="7"/>
      <c r="HVU132" s="21"/>
      <c r="HVV132" s="20"/>
      <c r="HVW132" s="20"/>
      <c r="HVX132" s="20"/>
      <c r="HVY132" s="21"/>
      <c r="HVZ132" s="21"/>
      <c r="HWA132" s="21"/>
      <c r="HWB132" s="21"/>
      <c r="HWC132" s="21"/>
      <c r="HWD132" s="20"/>
      <c r="HWE132" s="20"/>
      <c r="HWF132" s="20"/>
      <c r="HWG132" s="20"/>
      <c r="HWH132" s="21"/>
      <c r="HWI132" s="21"/>
      <c r="HWJ132" s="7"/>
      <c r="HWK132" s="7"/>
      <c r="HWL132" s="21"/>
      <c r="HWM132" s="20"/>
      <c r="HWN132" s="20"/>
      <c r="HWO132" s="20"/>
      <c r="HWP132" s="21"/>
      <c r="HWQ132" s="21"/>
      <c r="HWR132" s="21"/>
      <c r="HWS132" s="21"/>
      <c r="HWT132" s="21"/>
      <c r="HWU132" s="20"/>
      <c r="HWV132" s="20"/>
      <c r="HWW132" s="20"/>
      <c r="HWX132" s="20"/>
      <c r="HWY132" s="21"/>
      <c r="HWZ132" s="21"/>
      <c r="HXA132" s="7"/>
      <c r="HXB132" s="7"/>
      <c r="HXC132" s="21"/>
      <c r="HXD132" s="20"/>
      <c r="HXE132" s="20"/>
      <c r="HXF132" s="20"/>
      <c r="HXG132" s="21"/>
      <c r="HXH132" s="21"/>
      <c r="HXI132" s="21"/>
      <c r="HXJ132" s="21"/>
      <c r="HXK132" s="21"/>
      <c r="HXL132" s="20"/>
      <c r="HXM132" s="20"/>
      <c r="HXN132" s="20"/>
      <c r="HXO132" s="20"/>
      <c r="HXP132" s="21"/>
      <c r="HXQ132" s="21"/>
      <c r="HXR132" s="7"/>
      <c r="HXS132" s="7"/>
      <c r="HXT132" s="21"/>
      <c r="HXU132" s="20"/>
      <c r="HXV132" s="20"/>
      <c r="HXW132" s="20"/>
      <c r="HXX132" s="21"/>
      <c r="HXY132" s="21"/>
      <c r="HXZ132" s="21"/>
      <c r="HYA132" s="21"/>
      <c r="HYB132" s="21"/>
      <c r="HYC132" s="20"/>
      <c r="HYD132" s="20"/>
      <c r="HYE132" s="20"/>
      <c r="HYF132" s="20"/>
      <c r="HYG132" s="21"/>
      <c r="HYH132" s="21"/>
      <c r="HYI132" s="7"/>
      <c r="HYJ132" s="7"/>
      <c r="HYK132" s="21"/>
      <c r="HYL132" s="20"/>
      <c r="HYM132" s="20"/>
      <c r="HYN132" s="20"/>
      <c r="HYO132" s="21"/>
      <c r="HYP132" s="21"/>
      <c r="HYQ132" s="21"/>
      <c r="HYR132" s="21"/>
      <c r="HYS132" s="21"/>
      <c r="HYT132" s="20"/>
      <c r="HYU132" s="20"/>
      <c r="HYV132" s="20"/>
      <c r="HYW132" s="20"/>
      <c r="HYX132" s="21"/>
      <c r="HYY132" s="21"/>
      <c r="HYZ132" s="7"/>
      <c r="HZA132" s="7"/>
      <c r="HZB132" s="21"/>
      <c r="HZC132" s="20"/>
      <c r="HZD132" s="20"/>
      <c r="HZE132" s="20"/>
      <c r="HZF132" s="21"/>
      <c r="HZG132" s="21"/>
      <c r="HZH132" s="21"/>
      <c r="HZI132" s="21"/>
      <c r="HZJ132" s="21"/>
      <c r="HZK132" s="20"/>
      <c r="HZL132" s="20"/>
      <c r="HZM132" s="20"/>
      <c r="HZN132" s="20"/>
      <c r="HZO132" s="21"/>
      <c r="HZP132" s="21"/>
      <c r="HZQ132" s="7"/>
      <c r="HZR132" s="7"/>
      <c r="HZS132" s="21"/>
      <c r="HZT132" s="20"/>
      <c r="HZU132" s="20"/>
      <c r="HZV132" s="20"/>
      <c r="HZW132" s="21"/>
      <c r="HZX132" s="21"/>
      <c r="HZY132" s="21"/>
      <c r="HZZ132" s="21"/>
      <c r="IAA132" s="21"/>
      <c r="IAB132" s="20"/>
      <c r="IAC132" s="20"/>
      <c r="IAD132" s="20"/>
      <c r="IAE132" s="20"/>
      <c r="IAF132" s="21"/>
      <c r="IAG132" s="21"/>
      <c r="IAH132" s="7"/>
      <c r="IAI132" s="7"/>
      <c r="IAJ132" s="21"/>
      <c r="IAK132" s="20"/>
      <c r="IAL132" s="20"/>
      <c r="IAM132" s="20"/>
      <c r="IAN132" s="21"/>
      <c r="IAO132" s="21"/>
      <c r="IAP132" s="21"/>
      <c r="IAQ132" s="21"/>
      <c r="IAR132" s="21"/>
      <c r="IAS132" s="20"/>
      <c r="IAT132" s="20"/>
      <c r="IAU132" s="20"/>
      <c r="IAV132" s="20"/>
      <c r="IAW132" s="21"/>
      <c r="IAX132" s="21"/>
      <c r="IAY132" s="7"/>
      <c r="IAZ132" s="7"/>
      <c r="IBA132" s="21"/>
      <c r="IBB132" s="20"/>
      <c r="IBC132" s="20"/>
      <c r="IBD132" s="20"/>
      <c r="IBE132" s="21"/>
      <c r="IBF132" s="21"/>
      <c r="IBG132" s="21"/>
      <c r="IBH132" s="21"/>
      <c r="IBI132" s="21"/>
      <c r="IBJ132" s="20"/>
      <c r="IBK132" s="20"/>
      <c r="IBL132" s="20"/>
      <c r="IBM132" s="20"/>
      <c r="IBN132" s="21"/>
      <c r="IBO132" s="21"/>
      <c r="IBP132" s="7"/>
      <c r="IBQ132" s="7"/>
      <c r="IBR132" s="21"/>
      <c r="IBS132" s="20"/>
      <c r="IBT132" s="20"/>
      <c r="IBU132" s="20"/>
      <c r="IBV132" s="21"/>
      <c r="IBW132" s="21"/>
      <c r="IBX132" s="21"/>
      <c r="IBY132" s="21"/>
      <c r="IBZ132" s="21"/>
      <c r="ICA132" s="20"/>
      <c r="ICB132" s="20"/>
      <c r="ICC132" s="20"/>
      <c r="ICD132" s="20"/>
      <c r="ICE132" s="21"/>
      <c r="ICF132" s="21"/>
      <c r="ICG132" s="7"/>
      <c r="ICH132" s="7"/>
      <c r="ICI132" s="21"/>
      <c r="ICJ132" s="20"/>
      <c r="ICK132" s="20"/>
      <c r="ICL132" s="20"/>
      <c r="ICM132" s="21"/>
      <c r="ICN132" s="21"/>
      <c r="ICO132" s="21"/>
      <c r="ICP132" s="21"/>
      <c r="ICQ132" s="21"/>
      <c r="ICR132" s="20"/>
      <c r="ICS132" s="20"/>
      <c r="ICT132" s="20"/>
      <c r="ICU132" s="20"/>
      <c r="ICV132" s="21"/>
      <c r="ICW132" s="21"/>
      <c r="ICX132" s="7"/>
      <c r="ICY132" s="7"/>
      <c r="ICZ132" s="21"/>
      <c r="IDA132" s="20"/>
      <c r="IDB132" s="20"/>
      <c r="IDC132" s="20"/>
      <c r="IDD132" s="21"/>
      <c r="IDE132" s="21"/>
      <c r="IDF132" s="21"/>
      <c r="IDG132" s="21"/>
      <c r="IDH132" s="21"/>
      <c r="IDI132" s="20"/>
      <c r="IDJ132" s="20"/>
      <c r="IDK132" s="20"/>
      <c r="IDL132" s="20"/>
      <c r="IDM132" s="21"/>
      <c r="IDN132" s="21"/>
      <c r="IDO132" s="7"/>
      <c r="IDP132" s="7"/>
      <c r="IDQ132" s="21"/>
      <c r="IDR132" s="20"/>
      <c r="IDS132" s="20"/>
      <c r="IDT132" s="20"/>
      <c r="IDU132" s="21"/>
      <c r="IDV132" s="21"/>
      <c r="IDW132" s="21"/>
      <c r="IDX132" s="21"/>
      <c r="IDY132" s="21"/>
      <c r="IDZ132" s="20"/>
      <c r="IEA132" s="20"/>
      <c r="IEB132" s="20"/>
      <c r="IEC132" s="20"/>
      <c r="IED132" s="21"/>
      <c r="IEE132" s="21"/>
      <c r="IEF132" s="7"/>
      <c r="IEG132" s="7"/>
      <c r="IEH132" s="21"/>
      <c r="IEI132" s="20"/>
      <c r="IEJ132" s="20"/>
      <c r="IEK132" s="20"/>
      <c r="IEL132" s="21"/>
      <c r="IEM132" s="21"/>
      <c r="IEN132" s="21"/>
      <c r="IEO132" s="21"/>
      <c r="IEP132" s="21"/>
      <c r="IEQ132" s="20"/>
      <c r="IER132" s="20"/>
      <c r="IES132" s="20"/>
      <c r="IET132" s="20"/>
      <c r="IEU132" s="21"/>
      <c r="IEV132" s="21"/>
      <c r="IEW132" s="7"/>
      <c r="IEX132" s="7"/>
      <c r="IEY132" s="21"/>
      <c r="IEZ132" s="20"/>
      <c r="IFA132" s="20"/>
      <c r="IFB132" s="20"/>
      <c r="IFC132" s="21"/>
      <c r="IFD132" s="21"/>
      <c r="IFE132" s="21"/>
      <c r="IFF132" s="21"/>
      <c r="IFG132" s="21"/>
      <c r="IFH132" s="20"/>
      <c r="IFI132" s="20"/>
      <c r="IFJ132" s="20"/>
      <c r="IFK132" s="20"/>
      <c r="IFL132" s="21"/>
      <c r="IFM132" s="21"/>
      <c r="IFN132" s="7"/>
      <c r="IFO132" s="7"/>
      <c r="IFP132" s="21"/>
      <c r="IFQ132" s="20"/>
      <c r="IFR132" s="20"/>
      <c r="IFS132" s="20"/>
      <c r="IFT132" s="21"/>
      <c r="IFU132" s="21"/>
      <c r="IFV132" s="21"/>
      <c r="IFW132" s="21"/>
      <c r="IFX132" s="21"/>
      <c r="IFY132" s="20"/>
      <c r="IFZ132" s="20"/>
      <c r="IGA132" s="20"/>
      <c r="IGB132" s="20"/>
      <c r="IGC132" s="21"/>
      <c r="IGD132" s="21"/>
      <c r="IGE132" s="7"/>
      <c r="IGF132" s="7"/>
      <c r="IGG132" s="21"/>
      <c r="IGH132" s="20"/>
      <c r="IGI132" s="20"/>
      <c r="IGJ132" s="20"/>
      <c r="IGK132" s="21"/>
      <c r="IGL132" s="21"/>
      <c r="IGM132" s="21"/>
      <c r="IGN132" s="21"/>
      <c r="IGO132" s="21"/>
      <c r="IGP132" s="20"/>
      <c r="IGQ132" s="20"/>
      <c r="IGR132" s="20"/>
      <c r="IGS132" s="20"/>
      <c r="IGT132" s="21"/>
      <c r="IGU132" s="21"/>
      <c r="IGV132" s="7"/>
      <c r="IGW132" s="7"/>
      <c r="IGX132" s="21"/>
      <c r="IGY132" s="20"/>
      <c r="IGZ132" s="20"/>
      <c r="IHA132" s="20"/>
      <c r="IHB132" s="21"/>
      <c r="IHC132" s="21"/>
      <c r="IHD132" s="21"/>
      <c r="IHE132" s="21"/>
      <c r="IHF132" s="21"/>
      <c r="IHG132" s="20"/>
      <c r="IHH132" s="20"/>
      <c r="IHI132" s="20"/>
      <c r="IHJ132" s="20"/>
      <c r="IHK132" s="21"/>
      <c r="IHL132" s="21"/>
      <c r="IHM132" s="7"/>
      <c r="IHN132" s="7"/>
      <c r="IHO132" s="21"/>
      <c r="IHP132" s="20"/>
      <c r="IHQ132" s="20"/>
      <c r="IHR132" s="20"/>
      <c r="IHS132" s="21"/>
      <c r="IHT132" s="21"/>
      <c r="IHU132" s="21"/>
      <c r="IHV132" s="21"/>
      <c r="IHW132" s="21"/>
      <c r="IHX132" s="20"/>
      <c r="IHY132" s="20"/>
      <c r="IHZ132" s="20"/>
      <c r="IIA132" s="20"/>
      <c r="IIB132" s="21"/>
      <c r="IIC132" s="21"/>
      <c r="IID132" s="7"/>
      <c r="IIE132" s="7"/>
      <c r="IIF132" s="21"/>
      <c r="IIG132" s="20"/>
      <c r="IIH132" s="20"/>
      <c r="III132" s="20"/>
      <c r="IIJ132" s="21"/>
      <c r="IIK132" s="21"/>
      <c r="IIL132" s="21"/>
      <c r="IIM132" s="21"/>
      <c r="IIN132" s="21"/>
      <c r="IIO132" s="20"/>
      <c r="IIP132" s="20"/>
      <c r="IIQ132" s="20"/>
      <c r="IIR132" s="20"/>
      <c r="IIS132" s="21"/>
      <c r="IIT132" s="21"/>
      <c r="IIU132" s="7"/>
      <c r="IIV132" s="7"/>
      <c r="IIW132" s="21"/>
      <c r="IIX132" s="20"/>
      <c r="IIY132" s="20"/>
      <c r="IIZ132" s="20"/>
      <c r="IJA132" s="21"/>
      <c r="IJB132" s="21"/>
      <c r="IJC132" s="21"/>
      <c r="IJD132" s="21"/>
      <c r="IJE132" s="21"/>
      <c r="IJF132" s="20"/>
      <c r="IJG132" s="20"/>
      <c r="IJH132" s="20"/>
      <c r="IJI132" s="20"/>
      <c r="IJJ132" s="21"/>
      <c r="IJK132" s="21"/>
      <c r="IJL132" s="7"/>
      <c r="IJM132" s="7"/>
      <c r="IJN132" s="21"/>
      <c r="IJO132" s="20"/>
      <c r="IJP132" s="20"/>
      <c r="IJQ132" s="20"/>
      <c r="IJR132" s="21"/>
      <c r="IJS132" s="21"/>
      <c r="IJT132" s="21"/>
      <c r="IJU132" s="21"/>
      <c r="IJV132" s="21"/>
      <c r="IJW132" s="20"/>
      <c r="IJX132" s="20"/>
      <c r="IJY132" s="20"/>
      <c r="IJZ132" s="20"/>
      <c r="IKA132" s="21"/>
      <c r="IKB132" s="21"/>
      <c r="IKC132" s="7"/>
      <c r="IKD132" s="7"/>
      <c r="IKE132" s="21"/>
      <c r="IKF132" s="20"/>
      <c r="IKG132" s="20"/>
      <c r="IKH132" s="20"/>
      <c r="IKI132" s="21"/>
      <c r="IKJ132" s="21"/>
      <c r="IKK132" s="21"/>
      <c r="IKL132" s="21"/>
      <c r="IKM132" s="21"/>
      <c r="IKN132" s="20"/>
      <c r="IKO132" s="20"/>
      <c r="IKP132" s="20"/>
      <c r="IKQ132" s="20"/>
      <c r="IKR132" s="21"/>
      <c r="IKS132" s="21"/>
      <c r="IKT132" s="7"/>
      <c r="IKU132" s="7"/>
      <c r="IKV132" s="21"/>
      <c r="IKW132" s="20"/>
      <c r="IKX132" s="20"/>
      <c r="IKY132" s="20"/>
      <c r="IKZ132" s="21"/>
      <c r="ILA132" s="21"/>
      <c r="ILB132" s="21"/>
      <c r="ILC132" s="21"/>
      <c r="ILD132" s="21"/>
      <c r="ILE132" s="20"/>
      <c r="ILF132" s="20"/>
      <c r="ILG132" s="20"/>
      <c r="ILH132" s="20"/>
      <c r="ILI132" s="21"/>
      <c r="ILJ132" s="21"/>
      <c r="ILK132" s="7"/>
      <c r="ILL132" s="7"/>
      <c r="ILM132" s="21"/>
      <c r="ILN132" s="20"/>
      <c r="ILO132" s="20"/>
      <c r="ILP132" s="20"/>
      <c r="ILQ132" s="21"/>
      <c r="ILR132" s="21"/>
      <c r="ILS132" s="21"/>
      <c r="ILT132" s="21"/>
      <c r="ILU132" s="21"/>
      <c r="ILV132" s="20"/>
      <c r="ILW132" s="20"/>
      <c r="ILX132" s="20"/>
      <c r="ILY132" s="20"/>
      <c r="ILZ132" s="21"/>
      <c r="IMA132" s="21"/>
      <c r="IMB132" s="7"/>
      <c r="IMC132" s="7"/>
      <c r="IMD132" s="21"/>
      <c r="IME132" s="20"/>
      <c r="IMF132" s="20"/>
      <c r="IMG132" s="20"/>
      <c r="IMH132" s="21"/>
      <c r="IMI132" s="21"/>
      <c r="IMJ132" s="21"/>
      <c r="IMK132" s="21"/>
      <c r="IML132" s="21"/>
      <c r="IMM132" s="20"/>
      <c r="IMN132" s="20"/>
      <c r="IMO132" s="20"/>
      <c r="IMP132" s="20"/>
      <c r="IMQ132" s="21"/>
      <c r="IMR132" s="21"/>
      <c r="IMS132" s="7"/>
      <c r="IMT132" s="7"/>
      <c r="IMU132" s="21"/>
      <c r="IMV132" s="20"/>
      <c r="IMW132" s="20"/>
      <c r="IMX132" s="20"/>
      <c r="IMY132" s="21"/>
      <c r="IMZ132" s="21"/>
      <c r="INA132" s="21"/>
      <c r="INB132" s="21"/>
      <c r="INC132" s="21"/>
      <c r="IND132" s="20"/>
      <c r="INE132" s="20"/>
      <c r="INF132" s="20"/>
      <c r="ING132" s="20"/>
      <c r="INH132" s="21"/>
      <c r="INI132" s="21"/>
      <c r="INJ132" s="7"/>
      <c r="INK132" s="7"/>
      <c r="INL132" s="21"/>
      <c r="INM132" s="20"/>
      <c r="INN132" s="20"/>
      <c r="INO132" s="20"/>
      <c r="INP132" s="21"/>
      <c r="INQ132" s="21"/>
      <c r="INR132" s="21"/>
      <c r="INS132" s="21"/>
      <c r="INT132" s="21"/>
      <c r="INU132" s="20"/>
      <c r="INV132" s="20"/>
      <c r="INW132" s="20"/>
      <c r="INX132" s="20"/>
      <c r="INY132" s="21"/>
      <c r="INZ132" s="21"/>
      <c r="IOA132" s="7"/>
      <c r="IOB132" s="7"/>
      <c r="IOC132" s="21"/>
      <c r="IOD132" s="20"/>
      <c r="IOE132" s="20"/>
      <c r="IOF132" s="20"/>
      <c r="IOG132" s="21"/>
      <c r="IOH132" s="21"/>
      <c r="IOI132" s="21"/>
      <c r="IOJ132" s="21"/>
      <c r="IOK132" s="21"/>
      <c r="IOL132" s="20"/>
      <c r="IOM132" s="20"/>
      <c r="ION132" s="20"/>
      <c r="IOO132" s="20"/>
      <c r="IOP132" s="21"/>
      <c r="IOQ132" s="21"/>
      <c r="IOR132" s="7"/>
      <c r="IOS132" s="7"/>
      <c r="IOT132" s="21"/>
      <c r="IOU132" s="20"/>
      <c r="IOV132" s="20"/>
      <c r="IOW132" s="20"/>
      <c r="IOX132" s="21"/>
      <c r="IOY132" s="21"/>
      <c r="IOZ132" s="21"/>
      <c r="IPA132" s="21"/>
      <c r="IPB132" s="21"/>
      <c r="IPC132" s="20"/>
      <c r="IPD132" s="20"/>
      <c r="IPE132" s="20"/>
      <c r="IPF132" s="20"/>
      <c r="IPG132" s="21"/>
      <c r="IPH132" s="21"/>
      <c r="IPI132" s="7"/>
      <c r="IPJ132" s="7"/>
      <c r="IPK132" s="21"/>
      <c r="IPL132" s="20"/>
      <c r="IPM132" s="20"/>
      <c r="IPN132" s="20"/>
      <c r="IPO132" s="21"/>
      <c r="IPP132" s="21"/>
      <c r="IPQ132" s="21"/>
      <c r="IPR132" s="21"/>
      <c r="IPS132" s="21"/>
      <c r="IPT132" s="20"/>
      <c r="IPU132" s="20"/>
      <c r="IPV132" s="20"/>
      <c r="IPW132" s="20"/>
      <c r="IPX132" s="21"/>
      <c r="IPY132" s="21"/>
      <c r="IPZ132" s="7"/>
      <c r="IQA132" s="7"/>
      <c r="IQB132" s="21"/>
      <c r="IQC132" s="20"/>
      <c r="IQD132" s="20"/>
      <c r="IQE132" s="20"/>
      <c r="IQF132" s="21"/>
      <c r="IQG132" s="21"/>
      <c r="IQH132" s="21"/>
      <c r="IQI132" s="21"/>
      <c r="IQJ132" s="21"/>
      <c r="IQK132" s="20"/>
      <c r="IQL132" s="20"/>
      <c r="IQM132" s="20"/>
      <c r="IQN132" s="20"/>
      <c r="IQO132" s="21"/>
      <c r="IQP132" s="21"/>
      <c r="IQQ132" s="7"/>
      <c r="IQR132" s="7"/>
      <c r="IQS132" s="21"/>
      <c r="IQT132" s="20"/>
      <c r="IQU132" s="20"/>
      <c r="IQV132" s="20"/>
      <c r="IQW132" s="21"/>
      <c r="IQX132" s="21"/>
      <c r="IQY132" s="21"/>
      <c r="IQZ132" s="21"/>
      <c r="IRA132" s="21"/>
      <c r="IRB132" s="20"/>
      <c r="IRC132" s="20"/>
      <c r="IRD132" s="20"/>
      <c r="IRE132" s="20"/>
      <c r="IRF132" s="21"/>
      <c r="IRG132" s="21"/>
      <c r="IRH132" s="7"/>
      <c r="IRI132" s="7"/>
      <c r="IRJ132" s="21"/>
      <c r="IRK132" s="20"/>
      <c r="IRL132" s="20"/>
      <c r="IRM132" s="20"/>
      <c r="IRN132" s="21"/>
      <c r="IRO132" s="21"/>
      <c r="IRP132" s="21"/>
      <c r="IRQ132" s="21"/>
      <c r="IRR132" s="21"/>
      <c r="IRS132" s="20"/>
      <c r="IRT132" s="20"/>
      <c r="IRU132" s="20"/>
      <c r="IRV132" s="20"/>
      <c r="IRW132" s="21"/>
      <c r="IRX132" s="21"/>
      <c r="IRY132" s="7"/>
      <c r="IRZ132" s="7"/>
      <c r="ISA132" s="21"/>
      <c r="ISB132" s="20"/>
      <c r="ISC132" s="20"/>
      <c r="ISD132" s="20"/>
      <c r="ISE132" s="21"/>
      <c r="ISF132" s="21"/>
      <c r="ISG132" s="21"/>
      <c r="ISH132" s="21"/>
      <c r="ISI132" s="21"/>
      <c r="ISJ132" s="20"/>
      <c r="ISK132" s="20"/>
      <c r="ISL132" s="20"/>
      <c r="ISM132" s="20"/>
      <c r="ISN132" s="21"/>
      <c r="ISO132" s="21"/>
      <c r="ISP132" s="7"/>
      <c r="ISQ132" s="7"/>
      <c r="ISR132" s="21"/>
      <c r="ISS132" s="20"/>
      <c r="IST132" s="20"/>
      <c r="ISU132" s="20"/>
      <c r="ISV132" s="21"/>
      <c r="ISW132" s="21"/>
      <c r="ISX132" s="21"/>
      <c r="ISY132" s="21"/>
      <c r="ISZ132" s="21"/>
      <c r="ITA132" s="20"/>
      <c r="ITB132" s="20"/>
      <c r="ITC132" s="20"/>
      <c r="ITD132" s="20"/>
      <c r="ITE132" s="21"/>
      <c r="ITF132" s="21"/>
      <c r="ITG132" s="7"/>
      <c r="ITH132" s="7"/>
      <c r="ITI132" s="21"/>
      <c r="ITJ132" s="20"/>
      <c r="ITK132" s="20"/>
      <c r="ITL132" s="20"/>
      <c r="ITM132" s="21"/>
      <c r="ITN132" s="21"/>
      <c r="ITO132" s="21"/>
      <c r="ITP132" s="21"/>
      <c r="ITQ132" s="21"/>
      <c r="ITR132" s="20"/>
      <c r="ITS132" s="20"/>
      <c r="ITT132" s="20"/>
      <c r="ITU132" s="20"/>
      <c r="ITV132" s="21"/>
      <c r="ITW132" s="21"/>
      <c r="ITX132" s="7"/>
      <c r="ITY132" s="7"/>
      <c r="ITZ132" s="21"/>
      <c r="IUA132" s="20"/>
      <c r="IUB132" s="20"/>
      <c r="IUC132" s="20"/>
      <c r="IUD132" s="21"/>
      <c r="IUE132" s="21"/>
      <c r="IUF132" s="21"/>
      <c r="IUG132" s="21"/>
      <c r="IUH132" s="21"/>
      <c r="IUI132" s="20"/>
      <c r="IUJ132" s="20"/>
      <c r="IUK132" s="20"/>
      <c r="IUL132" s="20"/>
      <c r="IUM132" s="21"/>
      <c r="IUN132" s="21"/>
      <c r="IUO132" s="7"/>
      <c r="IUP132" s="7"/>
      <c r="IUQ132" s="21"/>
      <c r="IUR132" s="20"/>
      <c r="IUS132" s="20"/>
      <c r="IUT132" s="20"/>
      <c r="IUU132" s="21"/>
      <c r="IUV132" s="21"/>
      <c r="IUW132" s="21"/>
      <c r="IUX132" s="21"/>
      <c r="IUY132" s="21"/>
      <c r="IUZ132" s="20"/>
      <c r="IVA132" s="20"/>
      <c r="IVB132" s="20"/>
      <c r="IVC132" s="20"/>
      <c r="IVD132" s="21"/>
      <c r="IVE132" s="21"/>
      <c r="IVF132" s="7"/>
      <c r="IVG132" s="7"/>
      <c r="IVH132" s="21"/>
      <c r="IVI132" s="20"/>
      <c r="IVJ132" s="20"/>
      <c r="IVK132" s="20"/>
      <c r="IVL132" s="21"/>
      <c r="IVM132" s="21"/>
      <c r="IVN132" s="21"/>
      <c r="IVO132" s="21"/>
      <c r="IVP132" s="21"/>
      <c r="IVQ132" s="20"/>
      <c r="IVR132" s="20"/>
      <c r="IVS132" s="20"/>
      <c r="IVT132" s="20"/>
      <c r="IVU132" s="21"/>
      <c r="IVV132" s="21"/>
      <c r="IVW132" s="7"/>
      <c r="IVX132" s="7"/>
      <c r="IVY132" s="21"/>
      <c r="IVZ132" s="20"/>
      <c r="IWA132" s="20"/>
      <c r="IWB132" s="20"/>
      <c r="IWC132" s="21"/>
      <c r="IWD132" s="21"/>
      <c r="IWE132" s="21"/>
      <c r="IWF132" s="21"/>
      <c r="IWG132" s="21"/>
      <c r="IWH132" s="20"/>
      <c r="IWI132" s="20"/>
      <c r="IWJ132" s="20"/>
      <c r="IWK132" s="20"/>
      <c r="IWL132" s="21"/>
      <c r="IWM132" s="21"/>
      <c r="IWN132" s="7"/>
      <c r="IWO132" s="7"/>
      <c r="IWP132" s="21"/>
      <c r="IWQ132" s="20"/>
      <c r="IWR132" s="20"/>
      <c r="IWS132" s="20"/>
      <c r="IWT132" s="21"/>
      <c r="IWU132" s="21"/>
      <c r="IWV132" s="21"/>
      <c r="IWW132" s="21"/>
      <c r="IWX132" s="21"/>
      <c r="IWY132" s="20"/>
      <c r="IWZ132" s="20"/>
      <c r="IXA132" s="20"/>
      <c r="IXB132" s="20"/>
      <c r="IXC132" s="21"/>
      <c r="IXD132" s="21"/>
      <c r="IXE132" s="7"/>
      <c r="IXF132" s="7"/>
      <c r="IXG132" s="21"/>
      <c r="IXH132" s="20"/>
      <c r="IXI132" s="20"/>
      <c r="IXJ132" s="20"/>
      <c r="IXK132" s="21"/>
      <c r="IXL132" s="21"/>
      <c r="IXM132" s="21"/>
      <c r="IXN132" s="21"/>
      <c r="IXO132" s="21"/>
      <c r="IXP132" s="20"/>
      <c r="IXQ132" s="20"/>
      <c r="IXR132" s="20"/>
      <c r="IXS132" s="20"/>
      <c r="IXT132" s="21"/>
      <c r="IXU132" s="21"/>
      <c r="IXV132" s="7"/>
      <c r="IXW132" s="7"/>
      <c r="IXX132" s="21"/>
      <c r="IXY132" s="20"/>
      <c r="IXZ132" s="20"/>
      <c r="IYA132" s="20"/>
      <c r="IYB132" s="21"/>
      <c r="IYC132" s="21"/>
      <c r="IYD132" s="21"/>
      <c r="IYE132" s="21"/>
      <c r="IYF132" s="21"/>
      <c r="IYG132" s="20"/>
      <c r="IYH132" s="20"/>
      <c r="IYI132" s="20"/>
      <c r="IYJ132" s="20"/>
      <c r="IYK132" s="21"/>
      <c r="IYL132" s="21"/>
      <c r="IYM132" s="7"/>
      <c r="IYN132" s="7"/>
      <c r="IYO132" s="21"/>
      <c r="IYP132" s="20"/>
      <c r="IYQ132" s="20"/>
      <c r="IYR132" s="20"/>
      <c r="IYS132" s="21"/>
      <c r="IYT132" s="21"/>
      <c r="IYU132" s="21"/>
      <c r="IYV132" s="21"/>
      <c r="IYW132" s="21"/>
      <c r="IYX132" s="20"/>
      <c r="IYY132" s="20"/>
      <c r="IYZ132" s="20"/>
      <c r="IZA132" s="20"/>
      <c r="IZB132" s="21"/>
      <c r="IZC132" s="21"/>
      <c r="IZD132" s="7"/>
      <c r="IZE132" s="7"/>
      <c r="IZF132" s="21"/>
      <c r="IZG132" s="20"/>
      <c r="IZH132" s="20"/>
      <c r="IZI132" s="20"/>
      <c r="IZJ132" s="21"/>
      <c r="IZK132" s="21"/>
      <c r="IZL132" s="21"/>
      <c r="IZM132" s="21"/>
      <c r="IZN132" s="21"/>
      <c r="IZO132" s="20"/>
      <c r="IZP132" s="20"/>
      <c r="IZQ132" s="20"/>
      <c r="IZR132" s="20"/>
      <c r="IZS132" s="21"/>
      <c r="IZT132" s="21"/>
      <c r="IZU132" s="7"/>
      <c r="IZV132" s="7"/>
      <c r="IZW132" s="21"/>
      <c r="IZX132" s="20"/>
      <c r="IZY132" s="20"/>
      <c r="IZZ132" s="20"/>
      <c r="JAA132" s="21"/>
      <c r="JAB132" s="21"/>
      <c r="JAC132" s="21"/>
      <c r="JAD132" s="21"/>
      <c r="JAE132" s="21"/>
      <c r="JAF132" s="20"/>
      <c r="JAG132" s="20"/>
      <c r="JAH132" s="20"/>
      <c r="JAI132" s="20"/>
      <c r="JAJ132" s="21"/>
      <c r="JAK132" s="21"/>
      <c r="JAL132" s="7"/>
      <c r="JAM132" s="7"/>
      <c r="JAN132" s="21"/>
      <c r="JAO132" s="20"/>
      <c r="JAP132" s="20"/>
      <c r="JAQ132" s="20"/>
      <c r="JAR132" s="21"/>
      <c r="JAS132" s="21"/>
      <c r="JAT132" s="21"/>
      <c r="JAU132" s="21"/>
      <c r="JAV132" s="21"/>
      <c r="JAW132" s="20"/>
      <c r="JAX132" s="20"/>
      <c r="JAY132" s="20"/>
      <c r="JAZ132" s="20"/>
      <c r="JBA132" s="21"/>
      <c r="JBB132" s="21"/>
      <c r="JBC132" s="7"/>
      <c r="JBD132" s="7"/>
      <c r="JBE132" s="21"/>
      <c r="JBF132" s="20"/>
      <c r="JBG132" s="20"/>
      <c r="JBH132" s="20"/>
      <c r="JBI132" s="21"/>
      <c r="JBJ132" s="21"/>
      <c r="JBK132" s="21"/>
      <c r="JBL132" s="21"/>
      <c r="JBM132" s="21"/>
      <c r="JBN132" s="20"/>
      <c r="JBO132" s="20"/>
      <c r="JBP132" s="20"/>
      <c r="JBQ132" s="20"/>
      <c r="JBR132" s="21"/>
      <c r="JBS132" s="21"/>
      <c r="JBT132" s="7"/>
      <c r="JBU132" s="7"/>
      <c r="JBV132" s="21"/>
      <c r="JBW132" s="20"/>
      <c r="JBX132" s="20"/>
      <c r="JBY132" s="20"/>
      <c r="JBZ132" s="21"/>
      <c r="JCA132" s="21"/>
      <c r="JCB132" s="21"/>
      <c r="JCC132" s="21"/>
      <c r="JCD132" s="21"/>
      <c r="JCE132" s="20"/>
      <c r="JCF132" s="20"/>
      <c r="JCG132" s="20"/>
      <c r="JCH132" s="20"/>
      <c r="JCI132" s="21"/>
      <c r="JCJ132" s="21"/>
      <c r="JCK132" s="7"/>
      <c r="JCL132" s="7"/>
      <c r="JCM132" s="21"/>
      <c r="JCN132" s="20"/>
      <c r="JCO132" s="20"/>
      <c r="JCP132" s="20"/>
      <c r="JCQ132" s="21"/>
      <c r="JCR132" s="21"/>
      <c r="JCS132" s="21"/>
      <c r="JCT132" s="21"/>
      <c r="JCU132" s="21"/>
      <c r="JCV132" s="20"/>
      <c r="JCW132" s="20"/>
      <c r="JCX132" s="20"/>
      <c r="JCY132" s="20"/>
      <c r="JCZ132" s="21"/>
      <c r="JDA132" s="21"/>
      <c r="JDB132" s="7"/>
      <c r="JDC132" s="7"/>
      <c r="JDD132" s="21"/>
      <c r="JDE132" s="20"/>
      <c r="JDF132" s="20"/>
      <c r="JDG132" s="20"/>
      <c r="JDH132" s="21"/>
      <c r="JDI132" s="21"/>
      <c r="JDJ132" s="21"/>
      <c r="JDK132" s="21"/>
      <c r="JDL132" s="21"/>
      <c r="JDM132" s="20"/>
      <c r="JDN132" s="20"/>
      <c r="JDO132" s="20"/>
      <c r="JDP132" s="20"/>
      <c r="JDQ132" s="21"/>
      <c r="JDR132" s="21"/>
      <c r="JDS132" s="7"/>
      <c r="JDT132" s="7"/>
      <c r="JDU132" s="21"/>
      <c r="JDV132" s="20"/>
      <c r="JDW132" s="20"/>
      <c r="JDX132" s="20"/>
      <c r="JDY132" s="21"/>
      <c r="JDZ132" s="21"/>
      <c r="JEA132" s="21"/>
      <c r="JEB132" s="21"/>
      <c r="JEC132" s="21"/>
      <c r="JED132" s="20"/>
      <c r="JEE132" s="20"/>
      <c r="JEF132" s="20"/>
      <c r="JEG132" s="20"/>
      <c r="JEH132" s="21"/>
      <c r="JEI132" s="21"/>
      <c r="JEJ132" s="7"/>
      <c r="JEK132" s="7"/>
      <c r="JEL132" s="21"/>
      <c r="JEM132" s="20"/>
      <c r="JEN132" s="20"/>
      <c r="JEO132" s="20"/>
      <c r="JEP132" s="21"/>
      <c r="JEQ132" s="21"/>
      <c r="JER132" s="21"/>
      <c r="JES132" s="21"/>
      <c r="JET132" s="21"/>
      <c r="JEU132" s="20"/>
      <c r="JEV132" s="20"/>
      <c r="JEW132" s="20"/>
      <c r="JEX132" s="20"/>
      <c r="JEY132" s="21"/>
      <c r="JEZ132" s="21"/>
      <c r="JFA132" s="7"/>
      <c r="JFB132" s="7"/>
      <c r="JFC132" s="21"/>
      <c r="JFD132" s="20"/>
      <c r="JFE132" s="20"/>
      <c r="JFF132" s="20"/>
      <c r="JFG132" s="21"/>
      <c r="JFH132" s="21"/>
      <c r="JFI132" s="21"/>
      <c r="JFJ132" s="21"/>
      <c r="JFK132" s="21"/>
      <c r="JFL132" s="20"/>
      <c r="JFM132" s="20"/>
      <c r="JFN132" s="20"/>
      <c r="JFO132" s="20"/>
      <c r="JFP132" s="21"/>
      <c r="JFQ132" s="21"/>
      <c r="JFR132" s="7"/>
      <c r="JFS132" s="7"/>
      <c r="JFT132" s="21"/>
      <c r="JFU132" s="20"/>
      <c r="JFV132" s="20"/>
      <c r="JFW132" s="20"/>
      <c r="JFX132" s="21"/>
      <c r="JFY132" s="21"/>
      <c r="JFZ132" s="21"/>
      <c r="JGA132" s="21"/>
      <c r="JGB132" s="21"/>
      <c r="JGC132" s="20"/>
      <c r="JGD132" s="20"/>
      <c r="JGE132" s="20"/>
      <c r="JGF132" s="20"/>
      <c r="JGG132" s="21"/>
      <c r="JGH132" s="21"/>
      <c r="JGI132" s="7"/>
      <c r="JGJ132" s="7"/>
      <c r="JGK132" s="21"/>
      <c r="JGL132" s="20"/>
      <c r="JGM132" s="20"/>
      <c r="JGN132" s="20"/>
      <c r="JGO132" s="21"/>
      <c r="JGP132" s="21"/>
      <c r="JGQ132" s="21"/>
      <c r="JGR132" s="21"/>
      <c r="JGS132" s="21"/>
      <c r="JGT132" s="20"/>
      <c r="JGU132" s="20"/>
      <c r="JGV132" s="20"/>
      <c r="JGW132" s="20"/>
      <c r="JGX132" s="21"/>
      <c r="JGY132" s="21"/>
      <c r="JGZ132" s="7"/>
      <c r="JHA132" s="7"/>
      <c r="JHB132" s="21"/>
      <c r="JHC132" s="20"/>
      <c r="JHD132" s="20"/>
      <c r="JHE132" s="20"/>
      <c r="JHF132" s="21"/>
      <c r="JHG132" s="21"/>
      <c r="JHH132" s="21"/>
      <c r="JHI132" s="21"/>
      <c r="JHJ132" s="21"/>
      <c r="JHK132" s="20"/>
      <c r="JHL132" s="20"/>
      <c r="JHM132" s="20"/>
      <c r="JHN132" s="20"/>
      <c r="JHO132" s="21"/>
      <c r="JHP132" s="21"/>
      <c r="JHQ132" s="7"/>
      <c r="JHR132" s="7"/>
      <c r="JHS132" s="21"/>
      <c r="JHT132" s="20"/>
      <c r="JHU132" s="20"/>
      <c r="JHV132" s="20"/>
      <c r="JHW132" s="21"/>
      <c r="JHX132" s="21"/>
      <c r="JHY132" s="21"/>
      <c r="JHZ132" s="21"/>
      <c r="JIA132" s="21"/>
      <c r="JIB132" s="20"/>
      <c r="JIC132" s="20"/>
      <c r="JID132" s="20"/>
      <c r="JIE132" s="20"/>
      <c r="JIF132" s="21"/>
      <c r="JIG132" s="21"/>
      <c r="JIH132" s="7"/>
      <c r="JII132" s="7"/>
      <c r="JIJ132" s="21"/>
      <c r="JIK132" s="20"/>
      <c r="JIL132" s="20"/>
      <c r="JIM132" s="20"/>
      <c r="JIN132" s="21"/>
      <c r="JIO132" s="21"/>
      <c r="JIP132" s="21"/>
      <c r="JIQ132" s="21"/>
      <c r="JIR132" s="21"/>
      <c r="JIS132" s="20"/>
      <c r="JIT132" s="20"/>
      <c r="JIU132" s="20"/>
      <c r="JIV132" s="20"/>
      <c r="JIW132" s="21"/>
      <c r="JIX132" s="21"/>
      <c r="JIY132" s="7"/>
      <c r="JIZ132" s="7"/>
      <c r="JJA132" s="21"/>
      <c r="JJB132" s="20"/>
      <c r="JJC132" s="20"/>
      <c r="JJD132" s="20"/>
      <c r="JJE132" s="21"/>
      <c r="JJF132" s="21"/>
      <c r="JJG132" s="21"/>
      <c r="JJH132" s="21"/>
      <c r="JJI132" s="21"/>
      <c r="JJJ132" s="20"/>
      <c r="JJK132" s="20"/>
      <c r="JJL132" s="20"/>
      <c r="JJM132" s="20"/>
      <c r="JJN132" s="21"/>
      <c r="JJO132" s="21"/>
      <c r="JJP132" s="7"/>
      <c r="JJQ132" s="7"/>
      <c r="JJR132" s="21"/>
      <c r="JJS132" s="20"/>
      <c r="JJT132" s="20"/>
      <c r="JJU132" s="20"/>
      <c r="JJV132" s="21"/>
      <c r="JJW132" s="21"/>
      <c r="JJX132" s="21"/>
      <c r="JJY132" s="21"/>
      <c r="JJZ132" s="21"/>
      <c r="JKA132" s="20"/>
      <c r="JKB132" s="20"/>
      <c r="JKC132" s="20"/>
      <c r="JKD132" s="20"/>
      <c r="JKE132" s="21"/>
      <c r="JKF132" s="21"/>
      <c r="JKG132" s="7"/>
      <c r="JKH132" s="7"/>
      <c r="JKI132" s="21"/>
      <c r="JKJ132" s="20"/>
      <c r="JKK132" s="20"/>
      <c r="JKL132" s="20"/>
      <c r="JKM132" s="21"/>
      <c r="JKN132" s="21"/>
      <c r="JKO132" s="21"/>
      <c r="JKP132" s="21"/>
      <c r="JKQ132" s="21"/>
      <c r="JKR132" s="20"/>
      <c r="JKS132" s="20"/>
      <c r="JKT132" s="20"/>
      <c r="JKU132" s="20"/>
      <c r="JKV132" s="21"/>
      <c r="JKW132" s="21"/>
      <c r="JKX132" s="7"/>
      <c r="JKY132" s="7"/>
      <c r="JKZ132" s="21"/>
      <c r="JLA132" s="20"/>
      <c r="JLB132" s="20"/>
      <c r="JLC132" s="20"/>
      <c r="JLD132" s="21"/>
      <c r="JLE132" s="21"/>
      <c r="JLF132" s="21"/>
      <c r="JLG132" s="21"/>
      <c r="JLH132" s="21"/>
      <c r="JLI132" s="20"/>
      <c r="JLJ132" s="20"/>
      <c r="JLK132" s="20"/>
      <c r="JLL132" s="20"/>
      <c r="JLM132" s="21"/>
      <c r="JLN132" s="21"/>
      <c r="JLO132" s="7"/>
      <c r="JLP132" s="7"/>
      <c r="JLQ132" s="21"/>
      <c r="JLR132" s="20"/>
      <c r="JLS132" s="20"/>
      <c r="JLT132" s="20"/>
      <c r="JLU132" s="21"/>
      <c r="JLV132" s="21"/>
      <c r="JLW132" s="21"/>
      <c r="JLX132" s="21"/>
      <c r="JLY132" s="21"/>
      <c r="JLZ132" s="20"/>
      <c r="JMA132" s="20"/>
      <c r="JMB132" s="20"/>
      <c r="JMC132" s="20"/>
      <c r="JMD132" s="21"/>
      <c r="JME132" s="21"/>
      <c r="JMF132" s="7"/>
      <c r="JMG132" s="7"/>
      <c r="JMH132" s="21"/>
      <c r="JMI132" s="20"/>
      <c r="JMJ132" s="20"/>
      <c r="JMK132" s="20"/>
      <c r="JML132" s="21"/>
      <c r="JMM132" s="21"/>
      <c r="JMN132" s="21"/>
      <c r="JMO132" s="21"/>
      <c r="JMP132" s="21"/>
      <c r="JMQ132" s="20"/>
      <c r="JMR132" s="20"/>
      <c r="JMS132" s="20"/>
      <c r="JMT132" s="20"/>
      <c r="JMU132" s="21"/>
      <c r="JMV132" s="21"/>
      <c r="JMW132" s="7"/>
      <c r="JMX132" s="7"/>
      <c r="JMY132" s="21"/>
      <c r="JMZ132" s="20"/>
      <c r="JNA132" s="20"/>
      <c r="JNB132" s="20"/>
      <c r="JNC132" s="21"/>
      <c r="JND132" s="21"/>
      <c r="JNE132" s="21"/>
      <c r="JNF132" s="21"/>
      <c r="JNG132" s="21"/>
      <c r="JNH132" s="20"/>
      <c r="JNI132" s="20"/>
      <c r="JNJ132" s="20"/>
      <c r="JNK132" s="20"/>
      <c r="JNL132" s="21"/>
      <c r="JNM132" s="21"/>
      <c r="JNN132" s="7"/>
      <c r="JNO132" s="7"/>
      <c r="JNP132" s="21"/>
      <c r="JNQ132" s="20"/>
      <c r="JNR132" s="20"/>
      <c r="JNS132" s="20"/>
      <c r="JNT132" s="21"/>
      <c r="JNU132" s="21"/>
      <c r="JNV132" s="21"/>
      <c r="JNW132" s="21"/>
      <c r="JNX132" s="21"/>
      <c r="JNY132" s="20"/>
      <c r="JNZ132" s="20"/>
      <c r="JOA132" s="20"/>
      <c r="JOB132" s="20"/>
      <c r="JOC132" s="21"/>
      <c r="JOD132" s="21"/>
      <c r="JOE132" s="7"/>
      <c r="JOF132" s="7"/>
      <c r="JOG132" s="21"/>
      <c r="JOH132" s="20"/>
      <c r="JOI132" s="20"/>
      <c r="JOJ132" s="20"/>
      <c r="JOK132" s="21"/>
      <c r="JOL132" s="21"/>
      <c r="JOM132" s="21"/>
      <c r="JON132" s="21"/>
      <c r="JOO132" s="21"/>
      <c r="JOP132" s="20"/>
      <c r="JOQ132" s="20"/>
      <c r="JOR132" s="20"/>
      <c r="JOS132" s="20"/>
      <c r="JOT132" s="21"/>
      <c r="JOU132" s="21"/>
      <c r="JOV132" s="7"/>
      <c r="JOW132" s="7"/>
      <c r="JOX132" s="21"/>
      <c r="JOY132" s="20"/>
      <c r="JOZ132" s="20"/>
      <c r="JPA132" s="20"/>
      <c r="JPB132" s="21"/>
      <c r="JPC132" s="21"/>
      <c r="JPD132" s="21"/>
      <c r="JPE132" s="21"/>
      <c r="JPF132" s="21"/>
      <c r="JPG132" s="20"/>
      <c r="JPH132" s="20"/>
      <c r="JPI132" s="20"/>
      <c r="JPJ132" s="20"/>
      <c r="JPK132" s="21"/>
      <c r="JPL132" s="21"/>
      <c r="JPM132" s="7"/>
      <c r="JPN132" s="7"/>
      <c r="JPO132" s="21"/>
      <c r="JPP132" s="20"/>
      <c r="JPQ132" s="20"/>
      <c r="JPR132" s="20"/>
      <c r="JPS132" s="21"/>
      <c r="JPT132" s="21"/>
      <c r="JPU132" s="21"/>
      <c r="JPV132" s="21"/>
      <c r="JPW132" s="21"/>
      <c r="JPX132" s="20"/>
      <c r="JPY132" s="20"/>
      <c r="JPZ132" s="20"/>
      <c r="JQA132" s="20"/>
      <c r="JQB132" s="21"/>
      <c r="JQC132" s="21"/>
      <c r="JQD132" s="7"/>
      <c r="JQE132" s="7"/>
      <c r="JQF132" s="21"/>
      <c r="JQG132" s="20"/>
      <c r="JQH132" s="20"/>
      <c r="JQI132" s="20"/>
      <c r="JQJ132" s="21"/>
      <c r="JQK132" s="21"/>
      <c r="JQL132" s="21"/>
      <c r="JQM132" s="21"/>
      <c r="JQN132" s="21"/>
      <c r="JQO132" s="20"/>
      <c r="JQP132" s="20"/>
      <c r="JQQ132" s="20"/>
      <c r="JQR132" s="20"/>
      <c r="JQS132" s="21"/>
      <c r="JQT132" s="21"/>
      <c r="JQU132" s="7"/>
      <c r="JQV132" s="7"/>
      <c r="JQW132" s="21"/>
      <c r="JQX132" s="20"/>
      <c r="JQY132" s="20"/>
      <c r="JQZ132" s="20"/>
      <c r="JRA132" s="21"/>
      <c r="JRB132" s="21"/>
      <c r="JRC132" s="21"/>
      <c r="JRD132" s="21"/>
      <c r="JRE132" s="21"/>
      <c r="JRF132" s="20"/>
      <c r="JRG132" s="20"/>
      <c r="JRH132" s="20"/>
      <c r="JRI132" s="20"/>
      <c r="JRJ132" s="21"/>
      <c r="JRK132" s="21"/>
      <c r="JRL132" s="7"/>
      <c r="JRM132" s="7"/>
      <c r="JRN132" s="21"/>
      <c r="JRO132" s="20"/>
      <c r="JRP132" s="20"/>
      <c r="JRQ132" s="20"/>
      <c r="JRR132" s="21"/>
      <c r="JRS132" s="21"/>
      <c r="JRT132" s="21"/>
      <c r="JRU132" s="21"/>
      <c r="JRV132" s="21"/>
      <c r="JRW132" s="20"/>
      <c r="JRX132" s="20"/>
      <c r="JRY132" s="20"/>
      <c r="JRZ132" s="20"/>
      <c r="JSA132" s="21"/>
      <c r="JSB132" s="21"/>
      <c r="JSC132" s="7"/>
      <c r="JSD132" s="7"/>
      <c r="JSE132" s="21"/>
      <c r="JSF132" s="20"/>
      <c r="JSG132" s="20"/>
      <c r="JSH132" s="20"/>
      <c r="JSI132" s="21"/>
      <c r="JSJ132" s="21"/>
      <c r="JSK132" s="21"/>
      <c r="JSL132" s="21"/>
      <c r="JSM132" s="21"/>
      <c r="JSN132" s="20"/>
      <c r="JSO132" s="20"/>
      <c r="JSP132" s="20"/>
      <c r="JSQ132" s="20"/>
      <c r="JSR132" s="21"/>
      <c r="JSS132" s="21"/>
      <c r="JST132" s="7"/>
      <c r="JSU132" s="7"/>
      <c r="JSV132" s="21"/>
      <c r="JSW132" s="20"/>
      <c r="JSX132" s="20"/>
      <c r="JSY132" s="20"/>
      <c r="JSZ132" s="21"/>
      <c r="JTA132" s="21"/>
      <c r="JTB132" s="21"/>
      <c r="JTC132" s="21"/>
      <c r="JTD132" s="21"/>
      <c r="JTE132" s="20"/>
      <c r="JTF132" s="20"/>
      <c r="JTG132" s="20"/>
      <c r="JTH132" s="20"/>
      <c r="JTI132" s="21"/>
      <c r="JTJ132" s="21"/>
      <c r="JTK132" s="7"/>
      <c r="JTL132" s="7"/>
      <c r="JTM132" s="21"/>
      <c r="JTN132" s="20"/>
      <c r="JTO132" s="20"/>
      <c r="JTP132" s="20"/>
      <c r="JTQ132" s="21"/>
      <c r="JTR132" s="21"/>
      <c r="JTS132" s="21"/>
      <c r="JTT132" s="21"/>
      <c r="JTU132" s="21"/>
      <c r="JTV132" s="20"/>
      <c r="JTW132" s="20"/>
      <c r="JTX132" s="20"/>
      <c r="JTY132" s="20"/>
      <c r="JTZ132" s="21"/>
      <c r="JUA132" s="21"/>
      <c r="JUB132" s="7"/>
      <c r="JUC132" s="7"/>
      <c r="JUD132" s="21"/>
      <c r="JUE132" s="20"/>
      <c r="JUF132" s="20"/>
      <c r="JUG132" s="20"/>
      <c r="JUH132" s="21"/>
      <c r="JUI132" s="21"/>
      <c r="JUJ132" s="21"/>
      <c r="JUK132" s="21"/>
      <c r="JUL132" s="21"/>
      <c r="JUM132" s="20"/>
      <c r="JUN132" s="20"/>
      <c r="JUO132" s="20"/>
      <c r="JUP132" s="20"/>
      <c r="JUQ132" s="21"/>
      <c r="JUR132" s="21"/>
      <c r="JUS132" s="7"/>
      <c r="JUT132" s="7"/>
      <c r="JUU132" s="21"/>
      <c r="JUV132" s="20"/>
      <c r="JUW132" s="20"/>
      <c r="JUX132" s="20"/>
      <c r="JUY132" s="21"/>
      <c r="JUZ132" s="21"/>
      <c r="JVA132" s="21"/>
      <c r="JVB132" s="21"/>
      <c r="JVC132" s="21"/>
      <c r="JVD132" s="20"/>
      <c r="JVE132" s="20"/>
      <c r="JVF132" s="20"/>
      <c r="JVG132" s="20"/>
      <c r="JVH132" s="21"/>
      <c r="JVI132" s="21"/>
      <c r="JVJ132" s="7"/>
      <c r="JVK132" s="7"/>
      <c r="JVL132" s="21"/>
      <c r="JVM132" s="20"/>
      <c r="JVN132" s="20"/>
      <c r="JVO132" s="20"/>
      <c r="JVP132" s="21"/>
      <c r="JVQ132" s="21"/>
      <c r="JVR132" s="21"/>
      <c r="JVS132" s="21"/>
      <c r="JVT132" s="21"/>
      <c r="JVU132" s="20"/>
      <c r="JVV132" s="20"/>
      <c r="JVW132" s="20"/>
      <c r="JVX132" s="20"/>
      <c r="JVY132" s="21"/>
      <c r="JVZ132" s="21"/>
      <c r="JWA132" s="7"/>
      <c r="JWB132" s="7"/>
      <c r="JWC132" s="21"/>
      <c r="JWD132" s="20"/>
      <c r="JWE132" s="20"/>
      <c r="JWF132" s="20"/>
      <c r="JWG132" s="21"/>
      <c r="JWH132" s="21"/>
      <c r="JWI132" s="21"/>
      <c r="JWJ132" s="21"/>
      <c r="JWK132" s="21"/>
      <c r="JWL132" s="20"/>
      <c r="JWM132" s="20"/>
      <c r="JWN132" s="20"/>
      <c r="JWO132" s="20"/>
      <c r="JWP132" s="21"/>
      <c r="JWQ132" s="21"/>
      <c r="JWR132" s="7"/>
      <c r="JWS132" s="7"/>
      <c r="JWT132" s="21"/>
      <c r="JWU132" s="20"/>
      <c r="JWV132" s="20"/>
      <c r="JWW132" s="20"/>
      <c r="JWX132" s="21"/>
      <c r="JWY132" s="21"/>
      <c r="JWZ132" s="21"/>
      <c r="JXA132" s="21"/>
      <c r="JXB132" s="21"/>
      <c r="JXC132" s="20"/>
      <c r="JXD132" s="20"/>
      <c r="JXE132" s="20"/>
      <c r="JXF132" s="20"/>
      <c r="JXG132" s="21"/>
      <c r="JXH132" s="21"/>
      <c r="JXI132" s="7"/>
      <c r="JXJ132" s="7"/>
      <c r="JXK132" s="21"/>
      <c r="JXL132" s="20"/>
      <c r="JXM132" s="20"/>
      <c r="JXN132" s="20"/>
      <c r="JXO132" s="21"/>
      <c r="JXP132" s="21"/>
      <c r="JXQ132" s="21"/>
      <c r="JXR132" s="21"/>
      <c r="JXS132" s="21"/>
      <c r="JXT132" s="20"/>
      <c r="JXU132" s="20"/>
      <c r="JXV132" s="20"/>
      <c r="JXW132" s="20"/>
      <c r="JXX132" s="21"/>
      <c r="JXY132" s="21"/>
      <c r="JXZ132" s="7"/>
      <c r="JYA132" s="7"/>
      <c r="JYB132" s="21"/>
      <c r="JYC132" s="20"/>
      <c r="JYD132" s="20"/>
      <c r="JYE132" s="20"/>
      <c r="JYF132" s="21"/>
      <c r="JYG132" s="21"/>
      <c r="JYH132" s="21"/>
      <c r="JYI132" s="21"/>
      <c r="JYJ132" s="21"/>
      <c r="JYK132" s="20"/>
      <c r="JYL132" s="20"/>
      <c r="JYM132" s="20"/>
      <c r="JYN132" s="20"/>
      <c r="JYO132" s="21"/>
      <c r="JYP132" s="21"/>
      <c r="JYQ132" s="7"/>
      <c r="JYR132" s="7"/>
      <c r="JYS132" s="21"/>
      <c r="JYT132" s="20"/>
      <c r="JYU132" s="20"/>
      <c r="JYV132" s="20"/>
      <c r="JYW132" s="21"/>
      <c r="JYX132" s="21"/>
      <c r="JYY132" s="21"/>
      <c r="JYZ132" s="21"/>
      <c r="JZA132" s="21"/>
      <c r="JZB132" s="20"/>
      <c r="JZC132" s="20"/>
      <c r="JZD132" s="20"/>
      <c r="JZE132" s="20"/>
      <c r="JZF132" s="21"/>
      <c r="JZG132" s="21"/>
      <c r="JZH132" s="7"/>
      <c r="JZI132" s="7"/>
      <c r="JZJ132" s="21"/>
      <c r="JZK132" s="20"/>
      <c r="JZL132" s="20"/>
      <c r="JZM132" s="20"/>
      <c r="JZN132" s="21"/>
      <c r="JZO132" s="21"/>
      <c r="JZP132" s="21"/>
      <c r="JZQ132" s="21"/>
      <c r="JZR132" s="21"/>
      <c r="JZS132" s="20"/>
      <c r="JZT132" s="20"/>
      <c r="JZU132" s="20"/>
      <c r="JZV132" s="20"/>
      <c r="JZW132" s="21"/>
      <c r="JZX132" s="21"/>
      <c r="JZY132" s="7"/>
      <c r="JZZ132" s="7"/>
      <c r="KAA132" s="21"/>
      <c r="KAB132" s="20"/>
      <c r="KAC132" s="20"/>
      <c r="KAD132" s="20"/>
      <c r="KAE132" s="21"/>
      <c r="KAF132" s="21"/>
      <c r="KAG132" s="21"/>
      <c r="KAH132" s="21"/>
      <c r="KAI132" s="21"/>
      <c r="KAJ132" s="20"/>
      <c r="KAK132" s="20"/>
      <c r="KAL132" s="20"/>
      <c r="KAM132" s="20"/>
      <c r="KAN132" s="21"/>
      <c r="KAO132" s="21"/>
      <c r="KAP132" s="7"/>
      <c r="KAQ132" s="7"/>
      <c r="KAR132" s="21"/>
      <c r="KAS132" s="20"/>
      <c r="KAT132" s="20"/>
      <c r="KAU132" s="20"/>
      <c r="KAV132" s="21"/>
      <c r="KAW132" s="21"/>
      <c r="KAX132" s="21"/>
      <c r="KAY132" s="21"/>
      <c r="KAZ132" s="21"/>
      <c r="KBA132" s="20"/>
      <c r="KBB132" s="20"/>
      <c r="KBC132" s="20"/>
      <c r="KBD132" s="20"/>
      <c r="KBE132" s="21"/>
      <c r="KBF132" s="21"/>
      <c r="KBG132" s="7"/>
      <c r="KBH132" s="7"/>
      <c r="KBI132" s="21"/>
      <c r="KBJ132" s="20"/>
      <c r="KBK132" s="20"/>
      <c r="KBL132" s="20"/>
      <c r="KBM132" s="21"/>
      <c r="KBN132" s="21"/>
      <c r="KBO132" s="21"/>
      <c r="KBP132" s="21"/>
      <c r="KBQ132" s="21"/>
      <c r="KBR132" s="20"/>
      <c r="KBS132" s="20"/>
      <c r="KBT132" s="20"/>
      <c r="KBU132" s="20"/>
      <c r="KBV132" s="21"/>
      <c r="KBW132" s="21"/>
      <c r="KBX132" s="7"/>
      <c r="KBY132" s="7"/>
      <c r="KBZ132" s="21"/>
      <c r="KCA132" s="20"/>
      <c r="KCB132" s="20"/>
      <c r="KCC132" s="20"/>
      <c r="KCD132" s="21"/>
      <c r="KCE132" s="21"/>
      <c r="KCF132" s="21"/>
      <c r="KCG132" s="21"/>
      <c r="KCH132" s="21"/>
      <c r="KCI132" s="20"/>
      <c r="KCJ132" s="20"/>
      <c r="KCK132" s="20"/>
      <c r="KCL132" s="20"/>
      <c r="KCM132" s="21"/>
      <c r="KCN132" s="21"/>
      <c r="KCO132" s="7"/>
      <c r="KCP132" s="7"/>
      <c r="KCQ132" s="21"/>
      <c r="KCR132" s="20"/>
      <c r="KCS132" s="20"/>
      <c r="KCT132" s="20"/>
      <c r="KCU132" s="21"/>
      <c r="KCV132" s="21"/>
      <c r="KCW132" s="21"/>
      <c r="KCX132" s="21"/>
      <c r="KCY132" s="21"/>
      <c r="KCZ132" s="20"/>
      <c r="KDA132" s="20"/>
      <c r="KDB132" s="20"/>
      <c r="KDC132" s="20"/>
      <c r="KDD132" s="21"/>
      <c r="KDE132" s="21"/>
      <c r="KDF132" s="7"/>
      <c r="KDG132" s="7"/>
      <c r="KDH132" s="21"/>
      <c r="KDI132" s="20"/>
      <c r="KDJ132" s="20"/>
      <c r="KDK132" s="20"/>
      <c r="KDL132" s="21"/>
      <c r="KDM132" s="21"/>
      <c r="KDN132" s="21"/>
      <c r="KDO132" s="21"/>
      <c r="KDP132" s="21"/>
      <c r="KDQ132" s="20"/>
      <c r="KDR132" s="20"/>
      <c r="KDS132" s="20"/>
      <c r="KDT132" s="20"/>
      <c r="KDU132" s="21"/>
      <c r="KDV132" s="21"/>
      <c r="KDW132" s="7"/>
      <c r="KDX132" s="7"/>
      <c r="KDY132" s="21"/>
      <c r="KDZ132" s="20"/>
      <c r="KEA132" s="20"/>
      <c r="KEB132" s="20"/>
      <c r="KEC132" s="21"/>
      <c r="KED132" s="21"/>
      <c r="KEE132" s="21"/>
      <c r="KEF132" s="21"/>
      <c r="KEG132" s="21"/>
      <c r="KEH132" s="20"/>
      <c r="KEI132" s="20"/>
      <c r="KEJ132" s="20"/>
      <c r="KEK132" s="20"/>
      <c r="KEL132" s="21"/>
      <c r="KEM132" s="21"/>
      <c r="KEN132" s="7"/>
      <c r="KEO132" s="7"/>
      <c r="KEP132" s="21"/>
      <c r="KEQ132" s="20"/>
      <c r="KER132" s="20"/>
      <c r="KES132" s="20"/>
      <c r="KET132" s="21"/>
      <c r="KEU132" s="21"/>
      <c r="KEV132" s="21"/>
      <c r="KEW132" s="21"/>
      <c r="KEX132" s="21"/>
      <c r="KEY132" s="20"/>
      <c r="KEZ132" s="20"/>
      <c r="KFA132" s="20"/>
      <c r="KFB132" s="20"/>
      <c r="KFC132" s="21"/>
      <c r="KFD132" s="21"/>
      <c r="KFE132" s="7"/>
      <c r="KFF132" s="7"/>
      <c r="KFG132" s="21"/>
      <c r="KFH132" s="20"/>
      <c r="KFI132" s="20"/>
      <c r="KFJ132" s="20"/>
      <c r="KFK132" s="21"/>
      <c r="KFL132" s="21"/>
      <c r="KFM132" s="21"/>
      <c r="KFN132" s="21"/>
      <c r="KFO132" s="21"/>
      <c r="KFP132" s="20"/>
      <c r="KFQ132" s="20"/>
      <c r="KFR132" s="20"/>
      <c r="KFS132" s="20"/>
      <c r="KFT132" s="21"/>
      <c r="KFU132" s="21"/>
      <c r="KFV132" s="7"/>
      <c r="KFW132" s="7"/>
      <c r="KFX132" s="21"/>
      <c r="KFY132" s="20"/>
      <c r="KFZ132" s="20"/>
      <c r="KGA132" s="20"/>
      <c r="KGB132" s="21"/>
      <c r="KGC132" s="21"/>
      <c r="KGD132" s="21"/>
      <c r="KGE132" s="21"/>
      <c r="KGF132" s="21"/>
      <c r="KGG132" s="20"/>
      <c r="KGH132" s="20"/>
      <c r="KGI132" s="20"/>
      <c r="KGJ132" s="20"/>
      <c r="KGK132" s="21"/>
      <c r="KGL132" s="21"/>
      <c r="KGM132" s="7"/>
      <c r="KGN132" s="7"/>
      <c r="KGO132" s="21"/>
      <c r="KGP132" s="20"/>
      <c r="KGQ132" s="20"/>
      <c r="KGR132" s="20"/>
      <c r="KGS132" s="21"/>
      <c r="KGT132" s="21"/>
      <c r="KGU132" s="21"/>
      <c r="KGV132" s="21"/>
      <c r="KGW132" s="21"/>
      <c r="KGX132" s="20"/>
      <c r="KGY132" s="20"/>
      <c r="KGZ132" s="20"/>
      <c r="KHA132" s="20"/>
      <c r="KHB132" s="21"/>
      <c r="KHC132" s="21"/>
      <c r="KHD132" s="7"/>
      <c r="KHE132" s="7"/>
      <c r="KHF132" s="21"/>
      <c r="KHG132" s="20"/>
      <c r="KHH132" s="20"/>
      <c r="KHI132" s="20"/>
      <c r="KHJ132" s="21"/>
      <c r="KHK132" s="21"/>
      <c r="KHL132" s="21"/>
      <c r="KHM132" s="21"/>
      <c r="KHN132" s="21"/>
      <c r="KHO132" s="20"/>
      <c r="KHP132" s="20"/>
      <c r="KHQ132" s="20"/>
      <c r="KHR132" s="20"/>
      <c r="KHS132" s="21"/>
      <c r="KHT132" s="21"/>
      <c r="KHU132" s="7"/>
      <c r="KHV132" s="7"/>
      <c r="KHW132" s="21"/>
      <c r="KHX132" s="20"/>
      <c r="KHY132" s="20"/>
      <c r="KHZ132" s="20"/>
      <c r="KIA132" s="21"/>
      <c r="KIB132" s="21"/>
      <c r="KIC132" s="21"/>
      <c r="KID132" s="21"/>
      <c r="KIE132" s="21"/>
      <c r="KIF132" s="20"/>
      <c r="KIG132" s="20"/>
      <c r="KIH132" s="20"/>
      <c r="KII132" s="20"/>
      <c r="KIJ132" s="21"/>
      <c r="KIK132" s="21"/>
      <c r="KIL132" s="7"/>
      <c r="KIM132" s="7"/>
      <c r="KIN132" s="21"/>
      <c r="KIO132" s="20"/>
      <c r="KIP132" s="20"/>
      <c r="KIQ132" s="20"/>
      <c r="KIR132" s="21"/>
      <c r="KIS132" s="21"/>
      <c r="KIT132" s="21"/>
      <c r="KIU132" s="21"/>
      <c r="KIV132" s="21"/>
      <c r="KIW132" s="20"/>
      <c r="KIX132" s="20"/>
      <c r="KIY132" s="20"/>
      <c r="KIZ132" s="20"/>
      <c r="KJA132" s="21"/>
      <c r="KJB132" s="21"/>
      <c r="KJC132" s="7"/>
      <c r="KJD132" s="7"/>
      <c r="KJE132" s="21"/>
      <c r="KJF132" s="20"/>
      <c r="KJG132" s="20"/>
      <c r="KJH132" s="20"/>
      <c r="KJI132" s="21"/>
      <c r="KJJ132" s="21"/>
      <c r="KJK132" s="21"/>
      <c r="KJL132" s="21"/>
      <c r="KJM132" s="21"/>
      <c r="KJN132" s="20"/>
      <c r="KJO132" s="20"/>
      <c r="KJP132" s="20"/>
      <c r="KJQ132" s="20"/>
      <c r="KJR132" s="21"/>
      <c r="KJS132" s="21"/>
      <c r="KJT132" s="7"/>
      <c r="KJU132" s="7"/>
      <c r="KJV132" s="21"/>
      <c r="KJW132" s="20"/>
      <c r="KJX132" s="20"/>
      <c r="KJY132" s="20"/>
      <c r="KJZ132" s="21"/>
      <c r="KKA132" s="21"/>
      <c r="KKB132" s="21"/>
      <c r="KKC132" s="21"/>
      <c r="KKD132" s="21"/>
      <c r="KKE132" s="20"/>
      <c r="KKF132" s="20"/>
      <c r="KKG132" s="20"/>
      <c r="KKH132" s="20"/>
      <c r="KKI132" s="21"/>
      <c r="KKJ132" s="21"/>
      <c r="KKK132" s="7"/>
      <c r="KKL132" s="7"/>
      <c r="KKM132" s="21"/>
      <c r="KKN132" s="20"/>
      <c r="KKO132" s="20"/>
      <c r="KKP132" s="20"/>
      <c r="KKQ132" s="21"/>
      <c r="KKR132" s="21"/>
      <c r="KKS132" s="21"/>
      <c r="KKT132" s="21"/>
      <c r="KKU132" s="21"/>
      <c r="KKV132" s="20"/>
      <c r="KKW132" s="20"/>
      <c r="KKX132" s="20"/>
      <c r="KKY132" s="20"/>
      <c r="KKZ132" s="21"/>
      <c r="KLA132" s="21"/>
      <c r="KLB132" s="7"/>
      <c r="KLC132" s="7"/>
      <c r="KLD132" s="21"/>
      <c r="KLE132" s="20"/>
      <c r="KLF132" s="20"/>
      <c r="KLG132" s="20"/>
      <c r="KLH132" s="21"/>
      <c r="KLI132" s="21"/>
      <c r="KLJ132" s="21"/>
      <c r="KLK132" s="21"/>
      <c r="KLL132" s="21"/>
      <c r="KLM132" s="20"/>
      <c r="KLN132" s="20"/>
      <c r="KLO132" s="20"/>
      <c r="KLP132" s="20"/>
      <c r="KLQ132" s="21"/>
      <c r="KLR132" s="21"/>
      <c r="KLS132" s="7"/>
      <c r="KLT132" s="7"/>
      <c r="KLU132" s="21"/>
      <c r="KLV132" s="20"/>
      <c r="KLW132" s="20"/>
      <c r="KLX132" s="20"/>
      <c r="KLY132" s="21"/>
      <c r="KLZ132" s="21"/>
      <c r="KMA132" s="21"/>
      <c r="KMB132" s="21"/>
      <c r="KMC132" s="21"/>
      <c r="KMD132" s="20"/>
      <c r="KME132" s="20"/>
      <c r="KMF132" s="20"/>
      <c r="KMG132" s="20"/>
      <c r="KMH132" s="21"/>
      <c r="KMI132" s="21"/>
      <c r="KMJ132" s="7"/>
      <c r="KMK132" s="7"/>
      <c r="KML132" s="21"/>
      <c r="KMM132" s="20"/>
      <c r="KMN132" s="20"/>
      <c r="KMO132" s="20"/>
      <c r="KMP132" s="21"/>
      <c r="KMQ132" s="21"/>
      <c r="KMR132" s="21"/>
      <c r="KMS132" s="21"/>
      <c r="KMT132" s="21"/>
      <c r="KMU132" s="20"/>
      <c r="KMV132" s="20"/>
      <c r="KMW132" s="20"/>
      <c r="KMX132" s="20"/>
      <c r="KMY132" s="21"/>
      <c r="KMZ132" s="21"/>
      <c r="KNA132" s="7"/>
      <c r="KNB132" s="7"/>
      <c r="KNC132" s="21"/>
      <c r="KND132" s="20"/>
      <c r="KNE132" s="20"/>
      <c r="KNF132" s="20"/>
      <c r="KNG132" s="21"/>
      <c r="KNH132" s="21"/>
      <c r="KNI132" s="21"/>
      <c r="KNJ132" s="21"/>
      <c r="KNK132" s="21"/>
      <c r="KNL132" s="20"/>
      <c r="KNM132" s="20"/>
      <c r="KNN132" s="20"/>
      <c r="KNO132" s="20"/>
      <c r="KNP132" s="21"/>
      <c r="KNQ132" s="21"/>
      <c r="KNR132" s="7"/>
      <c r="KNS132" s="7"/>
      <c r="KNT132" s="21"/>
      <c r="KNU132" s="20"/>
      <c r="KNV132" s="20"/>
      <c r="KNW132" s="20"/>
      <c r="KNX132" s="21"/>
      <c r="KNY132" s="21"/>
      <c r="KNZ132" s="21"/>
      <c r="KOA132" s="21"/>
      <c r="KOB132" s="21"/>
      <c r="KOC132" s="20"/>
      <c r="KOD132" s="20"/>
      <c r="KOE132" s="20"/>
      <c r="KOF132" s="20"/>
      <c r="KOG132" s="21"/>
      <c r="KOH132" s="21"/>
      <c r="KOI132" s="7"/>
      <c r="KOJ132" s="7"/>
      <c r="KOK132" s="21"/>
      <c r="KOL132" s="20"/>
      <c r="KOM132" s="20"/>
      <c r="KON132" s="20"/>
      <c r="KOO132" s="21"/>
      <c r="KOP132" s="21"/>
      <c r="KOQ132" s="21"/>
      <c r="KOR132" s="21"/>
      <c r="KOS132" s="21"/>
      <c r="KOT132" s="20"/>
      <c r="KOU132" s="20"/>
      <c r="KOV132" s="20"/>
      <c r="KOW132" s="20"/>
      <c r="KOX132" s="21"/>
      <c r="KOY132" s="21"/>
      <c r="KOZ132" s="7"/>
      <c r="KPA132" s="7"/>
      <c r="KPB132" s="21"/>
      <c r="KPC132" s="20"/>
      <c r="KPD132" s="20"/>
      <c r="KPE132" s="20"/>
      <c r="KPF132" s="21"/>
      <c r="KPG132" s="21"/>
      <c r="KPH132" s="21"/>
      <c r="KPI132" s="21"/>
      <c r="KPJ132" s="21"/>
      <c r="KPK132" s="20"/>
      <c r="KPL132" s="20"/>
      <c r="KPM132" s="20"/>
      <c r="KPN132" s="20"/>
      <c r="KPO132" s="21"/>
      <c r="KPP132" s="21"/>
      <c r="KPQ132" s="7"/>
      <c r="KPR132" s="7"/>
      <c r="KPS132" s="21"/>
      <c r="KPT132" s="20"/>
      <c r="KPU132" s="20"/>
      <c r="KPV132" s="20"/>
      <c r="KPW132" s="21"/>
      <c r="KPX132" s="21"/>
      <c r="KPY132" s="21"/>
      <c r="KPZ132" s="21"/>
      <c r="KQA132" s="21"/>
      <c r="KQB132" s="20"/>
      <c r="KQC132" s="20"/>
      <c r="KQD132" s="20"/>
      <c r="KQE132" s="20"/>
      <c r="KQF132" s="21"/>
      <c r="KQG132" s="21"/>
      <c r="KQH132" s="7"/>
      <c r="KQI132" s="7"/>
      <c r="KQJ132" s="21"/>
      <c r="KQK132" s="20"/>
      <c r="KQL132" s="20"/>
      <c r="KQM132" s="20"/>
      <c r="KQN132" s="21"/>
      <c r="KQO132" s="21"/>
      <c r="KQP132" s="21"/>
      <c r="KQQ132" s="21"/>
      <c r="KQR132" s="21"/>
      <c r="KQS132" s="20"/>
      <c r="KQT132" s="20"/>
      <c r="KQU132" s="20"/>
      <c r="KQV132" s="20"/>
      <c r="KQW132" s="21"/>
      <c r="KQX132" s="21"/>
      <c r="KQY132" s="7"/>
      <c r="KQZ132" s="7"/>
      <c r="KRA132" s="21"/>
      <c r="KRB132" s="20"/>
      <c r="KRC132" s="20"/>
      <c r="KRD132" s="20"/>
      <c r="KRE132" s="21"/>
      <c r="KRF132" s="21"/>
      <c r="KRG132" s="21"/>
      <c r="KRH132" s="21"/>
      <c r="KRI132" s="21"/>
      <c r="KRJ132" s="20"/>
      <c r="KRK132" s="20"/>
      <c r="KRL132" s="20"/>
      <c r="KRM132" s="20"/>
      <c r="KRN132" s="21"/>
      <c r="KRO132" s="21"/>
      <c r="KRP132" s="7"/>
      <c r="KRQ132" s="7"/>
      <c r="KRR132" s="21"/>
      <c r="KRS132" s="20"/>
      <c r="KRT132" s="20"/>
      <c r="KRU132" s="20"/>
      <c r="KRV132" s="21"/>
      <c r="KRW132" s="21"/>
      <c r="KRX132" s="21"/>
      <c r="KRY132" s="21"/>
      <c r="KRZ132" s="21"/>
      <c r="KSA132" s="20"/>
      <c r="KSB132" s="20"/>
      <c r="KSC132" s="20"/>
      <c r="KSD132" s="20"/>
      <c r="KSE132" s="21"/>
      <c r="KSF132" s="21"/>
      <c r="KSG132" s="7"/>
      <c r="KSH132" s="7"/>
      <c r="KSI132" s="21"/>
      <c r="KSJ132" s="20"/>
      <c r="KSK132" s="20"/>
      <c r="KSL132" s="20"/>
      <c r="KSM132" s="21"/>
      <c r="KSN132" s="21"/>
      <c r="KSO132" s="21"/>
      <c r="KSP132" s="21"/>
      <c r="KSQ132" s="21"/>
      <c r="KSR132" s="20"/>
      <c r="KSS132" s="20"/>
      <c r="KST132" s="20"/>
      <c r="KSU132" s="20"/>
      <c r="KSV132" s="21"/>
      <c r="KSW132" s="21"/>
      <c r="KSX132" s="7"/>
      <c r="KSY132" s="7"/>
      <c r="KSZ132" s="21"/>
      <c r="KTA132" s="20"/>
      <c r="KTB132" s="20"/>
      <c r="KTC132" s="20"/>
      <c r="KTD132" s="21"/>
      <c r="KTE132" s="21"/>
      <c r="KTF132" s="21"/>
      <c r="KTG132" s="21"/>
      <c r="KTH132" s="21"/>
      <c r="KTI132" s="20"/>
      <c r="KTJ132" s="20"/>
      <c r="KTK132" s="20"/>
      <c r="KTL132" s="20"/>
      <c r="KTM132" s="21"/>
      <c r="KTN132" s="21"/>
      <c r="KTO132" s="7"/>
      <c r="KTP132" s="7"/>
      <c r="KTQ132" s="21"/>
      <c r="KTR132" s="20"/>
      <c r="KTS132" s="20"/>
      <c r="KTT132" s="20"/>
      <c r="KTU132" s="21"/>
      <c r="KTV132" s="21"/>
      <c r="KTW132" s="21"/>
      <c r="KTX132" s="21"/>
      <c r="KTY132" s="21"/>
      <c r="KTZ132" s="20"/>
      <c r="KUA132" s="20"/>
      <c r="KUB132" s="20"/>
      <c r="KUC132" s="20"/>
      <c r="KUD132" s="21"/>
      <c r="KUE132" s="21"/>
      <c r="KUF132" s="7"/>
      <c r="KUG132" s="7"/>
      <c r="KUH132" s="21"/>
      <c r="KUI132" s="20"/>
      <c r="KUJ132" s="20"/>
      <c r="KUK132" s="20"/>
      <c r="KUL132" s="21"/>
      <c r="KUM132" s="21"/>
      <c r="KUN132" s="21"/>
      <c r="KUO132" s="21"/>
      <c r="KUP132" s="21"/>
      <c r="KUQ132" s="20"/>
      <c r="KUR132" s="20"/>
      <c r="KUS132" s="20"/>
      <c r="KUT132" s="20"/>
      <c r="KUU132" s="21"/>
      <c r="KUV132" s="21"/>
      <c r="KUW132" s="7"/>
      <c r="KUX132" s="7"/>
      <c r="KUY132" s="21"/>
      <c r="KUZ132" s="20"/>
      <c r="KVA132" s="20"/>
      <c r="KVB132" s="20"/>
      <c r="KVC132" s="21"/>
      <c r="KVD132" s="21"/>
      <c r="KVE132" s="21"/>
      <c r="KVF132" s="21"/>
      <c r="KVG132" s="21"/>
      <c r="KVH132" s="20"/>
      <c r="KVI132" s="20"/>
      <c r="KVJ132" s="20"/>
      <c r="KVK132" s="20"/>
      <c r="KVL132" s="21"/>
      <c r="KVM132" s="21"/>
      <c r="KVN132" s="7"/>
      <c r="KVO132" s="7"/>
      <c r="KVP132" s="21"/>
      <c r="KVQ132" s="20"/>
      <c r="KVR132" s="20"/>
      <c r="KVS132" s="20"/>
      <c r="KVT132" s="21"/>
      <c r="KVU132" s="21"/>
      <c r="KVV132" s="21"/>
      <c r="KVW132" s="21"/>
      <c r="KVX132" s="21"/>
      <c r="KVY132" s="20"/>
      <c r="KVZ132" s="20"/>
      <c r="KWA132" s="20"/>
      <c r="KWB132" s="20"/>
      <c r="KWC132" s="21"/>
      <c r="KWD132" s="21"/>
      <c r="KWE132" s="7"/>
      <c r="KWF132" s="7"/>
      <c r="KWG132" s="21"/>
      <c r="KWH132" s="20"/>
      <c r="KWI132" s="20"/>
      <c r="KWJ132" s="20"/>
      <c r="KWK132" s="21"/>
      <c r="KWL132" s="21"/>
      <c r="KWM132" s="21"/>
      <c r="KWN132" s="21"/>
      <c r="KWO132" s="21"/>
      <c r="KWP132" s="20"/>
      <c r="KWQ132" s="20"/>
      <c r="KWR132" s="20"/>
      <c r="KWS132" s="20"/>
      <c r="KWT132" s="21"/>
      <c r="KWU132" s="21"/>
      <c r="KWV132" s="7"/>
      <c r="KWW132" s="7"/>
      <c r="KWX132" s="21"/>
      <c r="KWY132" s="20"/>
      <c r="KWZ132" s="20"/>
      <c r="KXA132" s="20"/>
      <c r="KXB132" s="21"/>
      <c r="KXC132" s="21"/>
      <c r="KXD132" s="21"/>
      <c r="KXE132" s="21"/>
      <c r="KXF132" s="21"/>
      <c r="KXG132" s="20"/>
      <c r="KXH132" s="20"/>
      <c r="KXI132" s="20"/>
      <c r="KXJ132" s="20"/>
      <c r="KXK132" s="21"/>
      <c r="KXL132" s="21"/>
      <c r="KXM132" s="7"/>
      <c r="KXN132" s="7"/>
      <c r="KXO132" s="21"/>
      <c r="KXP132" s="20"/>
      <c r="KXQ132" s="20"/>
      <c r="KXR132" s="20"/>
      <c r="KXS132" s="21"/>
      <c r="KXT132" s="21"/>
      <c r="KXU132" s="21"/>
      <c r="KXV132" s="21"/>
      <c r="KXW132" s="21"/>
      <c r="KXX132" s="20"/>
      <c r="KXY132" s="20"/>
      <c r="KXZ132" s="20"/>
      <c r="KYA132" s="20"/>
      <c r="KYB132" s="21"/>
      <c r="KYC132" s="21"/>
      <c r="KYD132" s="7"/>
      <c r="KYE132" s="7"/>
      <c r="KYF132" s="21"/>
      <c r="KYG132" s="20"/>
      <c r="KYH132" s="20"/>
      <c r="KYI132" s="20"/>
      <c r="KYJ132" s="21"/>
      <c r="KYK132" s="21"/>
      <c r="KYL132" s="21"/>
      <c r="KYM132" s="21"/>
      <c r="KYN132" s="21"/>
      <c r="KYO132" s="20"/>
      <c r="KYP132" s="20"/>
      <c r="KYQ132" s="20"/>
      <c r="KYR132" s="20"/>
      <c r="KYS132" s="21"/>
      <c r="KYT132" s="21"/>
      <c r="KYU132" s="7"/>
      <c r="KYV132" s="7"/>
      <c r="KYW132" s="21"/>
      <c r="KYX132" s="20"/>
      <c r="KYY132" s="20"/>
      <c r="KYZ132" s="20"/>
      <c r="KZA132" s="21"/>
      <c r="KZB132" s="21"/>
      <c r="KZC132" s="21"/>
      <c r="KZD132" s="21"/>
      <c r="KZE132" s="21"/>
      <c r="KZF132" s="20"/>
      <c r="KZG132" s="20"/>
      <c r="KZH132" s="20"/>
      <c r="KZI132" s="20"/>
      <c r="KZJ132" s="21"/>
      <c r="KZK132" s="21"/>
      <c r="KZL132" s="7"/>
      <c r="KZM132" s="7"/>
      <c r="KZN132" s="21"/>
      <c r="KZO132" s="20"/>
      <c r="KZP132" s="20"/>
      <c r="KZQ132" s="20"/>
      <c r="KZR132" s="21"/>
      <c r="KZS132" s="21"/>
      <c r="KZT132" s="21"/>
      <c r="KZU132" s="21"/>
      <c r="KZV132" s="21"/>
      <c r="KZW132" s="20"/>
      <c r="KZX132" s="20"/>
      <c r="KZY132" s="20"/>
      <c r="KZZ132" s="20"/>
      <c r="LAA132" s="21"/>
      <c r="LAB132" s="21"/>
      <c r="LAC132" s="7"/>
      <c r="LAD132" s="7"/>
      <c r="LAE132" s="21"/>
      <c r="LAF132" s="20"/>
      <c r="LAG132" s="20"/>
      <c r="LAH132" s="20"/>
      <c r="LAI132" s="21"/>
      <c r="LAJ132" s="21"/>
      <c r="LAK132" s="21"/>
      <c r="LAL132" s="21"/>
      <c r="LAM132" s="21"/>
      <c r="LAN132" s="20"/>
      <c r="LAO132" s="20"/>
      <c r="LAP132" s="20"/>
      <c r="LAQ132" s="20"/>
      <c r="LAR132" s="21"/>
      <c r="LAS132" s="21"/>
      <c r="LAT132" s="7"/>
      <c r="LAU132" s="7"/>
      <c r="LAV132" s="21"/>
      <c r="LAW132" s="20"/>
      <c r="LAX132" s="20"/>
      <c r="LAY132" s="20"/>
      <c r="LAZ132" s="21"/>
      <c r="LBA132" s="21"/>
      <c r="LBB132" s="21"/>
      <c r="LBC132" s="21"/>
      <c r="LBD132" s="21"/>
      <c r="LBE132" s="20"/>
      <c r="LBF132" s="20"/>
      <c r="LBG132" s="20"/>
      <c r="LBH132" s="20"/>
      <c r="LBI132" s="21"/>
      <c r="LBJ132" s="21"/>
      <c r="LBK132" s="7"/>
      <c r="LBL132" s="7"/>
      <c r="LBM132" s="21"/>
      <c r="LBN132" s="20"/>
      <c r="LBO132" s="20"/>
      <c r="LBP132" s="20"/>
      <c r="LBQ132" s="21"/>
      <c r="LBR132" s="21"/>
      <c r="LBS132" s="21"/>
      <c r="LBT132" s="21"/>
      <c r="LBU132" s="21"/>
      <c r="LBV132" s="20"/>
      <c r="LBW132" s="20"/>
      <c r="LBX132" s="20"/>
      <c r="LBY132" s="20"/>
      <c r="LBZ132" s="21"/>
      <c r="LCA132" s="21"/>
      <c r="LCB132" s="7"/>
      <c r="LCC132" s="7"/>
      <c r="LCD132" s="21"/>
      <c r="LCE132" s="20"/>
      <c r="LCF132" s="20"/>
      <c r="LCG132" s="20"/>
      <c r="LCH132" s="21"/>
      <c r="LCI132" s="21"/>
      <c r="LCJ132" s="21"/>
      <c r="LCK132" s="21"/>
      <c r="LCL132" s="21"/>
      <c r="LCM132" s="20"/>
      <c r="LCN132" s="20"/>
      <c r="LCO132" s="20"/>
      <c r="LCP132" s="20"/>
      <c r="LCQ132" s="21"/>
      <c r="LCR132" s="21"/>
      <c r="LCS132" s="7"/>
      <c r="LCT132" s="7"/>
      <c r="LCU132" s="21"/>
      <c r="LCV132" s="20"/>
      <c r="LCW132" s="20"/>
      <c r="LCX132" s="20"/>
      <c r="LCY132" s="21"/>
      <c r="LCZ132" s="21"/>
      <c r="LDA132" s="21"/>
      <c r="LDB132" s="21"/>
      <c r="LDC132" s="21"/>
      <c r="LDD132" s="20"/>
      <c r="LDE132" s="20"/>
      <c r="LDF132" s="20"/>
      <c r="LDG132" s="20"/>
      <c r="LDH132" s="21"/>
      <c r="LDI132" s="21"/>
      <c r="LDJ132" s="7"/>
      <c r="LDK132" s="7"/>
      <c r="LDL132" s="21"/>
      <c r="LDM132" s="20"/>
      <c r="LDN132" s="20"/>
      <c r="LDO132" s="20"/>
      <c r="LDP132" s="21"/>
      <c r="LDQ132" s="21"/>
      <c r="LDR132" s="21"/>
      <c r="LDS132" s="21"/>
      <c r="LDT132" s="21"/>
      <c r="LDU132" s="20"/>
      <c r="LDV132" s="20"/>
      <c r="LDW132" s="20"/>
      <c r="LDX132" s="20"/>
      <c r="LDY132" s="21"/>
      <c r="LDZ132" s="21"/>
      <c r="LEA132" s="7"/>
      <c r="LEB132" s="7"/>
      <c r="LEC132" s="21"/>
      <c r="LED132" s="20"/>
      <c r="LEE132" s="20"/>
      <c r="LEF132" s="20"/>
      <c r="LEG132" s="21"/>
      <c r="LEH132" s="21"/>
      <c r="LEI132" s="21"/>
      <c r="LEJ132" s="21"/>
      <c r="LEK132" s="21"/>
      <c r="LEL132" s="20"/>
      <c r="LEM132" s="20"/>
      <c r="LEN132" s="20"/>
      <c r="LEO132" s="20"/>
      <c r="LEP132" s="21"/>
      <c r="LEQ132" s="21"/>
      <c r="LER132" s="7"/>
      <c r="LES132" s="7"/>
      <c r="LET132" s="21"/>
      <c r="LEU132" s="20"/>
      <c r="LEV132" s="20"/>
      <c r="LEW132" s="20"/>
      <c r="LEX132" s="21"/>
      <c r="LEY132" s="21"/>
      <c r="LEZ132" s="21"/>
      <c r="LFA132" s="21"/>
      <c r="LFB132" s="21"/>
      <c r="LFC132" s="20"/>
      <c r="LFD132" s="20"/>
      <c r="LFE132" s="20"/>
      <c r="LFF132" s="20"/>
      <c r="LFG132" s="21"/>
      <c r="LFH132" s="21"/>
      <c r="LFI132" s="7"/>
      <c r="LFJ132" s="7"/>
      <c r="LFK132" s="21"/>
      <c r="LFL132" s="20"/>
      <c r="LFM132" s="20"/>
      <c r="LFN132" s="20"/>
      <c r="LFO132" s="21"/>
      <c r="LFP132" s="21"/>
      <c r="LFQ132" s="21"/>
      <c r="LFR132" s="21"/>
      <c r="LFS132" s="21"/>
      <c r="LFT132" s="20"/>
      <c r="LFU132" s="20"/>
      <c r="LFV132" s="20"/>
      <c r="LFW132" s="20"/>
      <c r="LFX132" s="21"/>
      <c r="LFY132" s="21"/>
      <c r="LFZ132" s="7"/>
      <c r="LGA132" s="7"/>
      <c r="LGB132" s="21"/>
      <c r="LGC132" s="20"/>
      <c r="LGD132" s="20"/>
      <c r="LGE132" s="20"/>
      <c r="LGF132" s="21"/>
      <c r="LGG132" s="21"/>
      <c r="LGH132" s="21"/>
      <c r="LGI132" s="21"/>
      <c r="LGJ132" s="21"/>
      <c r="LGK132" s="20"/>
      <c r="LGL132" s="20"/>
      <c r="LGM132" s="20"/>
      <c r="LGN132" s="20"/>
      <c r="LGO132" s="21"/>
      <c r="LGP132" s="21"/>
      <c r="LGQ132" s="7"/>
      <c r="LGR132" s="7"/>
      <c r="LGS132" s="21"/>
      <c r="LGT132" s="20"/>
      <c r="LGU132" s="20"/>
      <c r="LGV132" s="20"/>
      <c r="LGW132" s="21"/>
      <c r="LGX132" s="21"/>
      <c r="LGY132" s="21"/>
      <c r="LGZ132" s="21"/>
      <c r="LHA132" s="21"/>
      <c r="LHB132" s="20"/>
      <c r="LHC132" s="20"/>
      <c r="LHD132" s="20"/>
      <c r="LHE132" s="20"/>
      <c r="LHF132" s="21"/>
      <c r="LHG132" s="21"/>
      <c r="LHH132" s="7"/>
      <c r="LHI132" s="7"/>
      <c r="LHJ132" s="21"/>
      <c r="LHK132" s="20"/>
      <c r="LHL132" s="20"/>
      <c r="LHM132" s="20"/>
      <c r="LHN132" s="21"/>
      <c r="LHO132" s="21"/>
      <c r="LHP132" s="21"/>
      <c r="LHQ132" s="21"/>
      <c r="LHR132" s="21"/>
      <c r="LHS132" s="20"/>
      <c r="LHT132" s="20"/>
      <c r="LHU132" s="20"/>
      <c r="LHV132" s="20"/>
      <c r="LHW132" s="21"/>
      <c r="LHX132" s="21"/>
      <c r="LHY132" s="7"/>
      <c r="LHZ132" s="7"/>
      <c r="LIA132" s="21"/>
      <c r="LIB132" s="20"/>
      <c r="LIC132" s="20"/>
      <c r="LID132" s="20"/>
      <c r="LIE132" s="21"/>
      <c r="LIF132" s="21"/>
      <c r="LIG132" s="21"/>
      <c r="LIH132" s="21"/>
      <c r="LII132" s="21"/>
      <c r="LIJ132" s="20"/>
      <c r="LIK132" s="20"/>
      <c r="LIL132" s="20"/>
      <c r="LIM132" s="20"/>
      <c r="LIN132" s="21"/>
      <c r="LIO132" s="21"/>
      <c r="LIP132" s="7"/>
      <c r="LIQ132" s="7"/>
      <c r="LIR132" s="21"/>
      <c r="LIS132" s="20"/>
      <c r="LIT132" s="20"/>
      <c r="LIU132" s="20"/>
      <c r="LIV132" s="21"/>
      <c r="LIW132" s="21"/>
      <c r="LIX132" s="21"/>
      <c r="LIY132" s="21"/>
      <c r="LIZ132" s="21"/>
      <c r="LJA132" s="20"/>
      <c r="LJB132" s="20"/>
      <c r="LJC132" s="20"/>
      <c r="LJD132" s="20"/>
      <c r="LJE132" s="21"/>
      <c r="LJF132" s="21"/>
      <c r="LJG132" s="7"/>
      <c r="LJH132" s="7"/>
      <c r="LJI132" s="21"/>
      <c r="LJJ132" s="20"/>
      <c r="LJK132" s="20"/>
      <c r="LJL132" s="20"/>
      <c r="LJM132" s="21"/>
      <c r="LJN132" s="21"/>
      <c r="LJO132" s="21"/>
      <c r="LJP132" s="21"/>
      <c r="LJQ132" s="21"/>
      <c r="LJR132" s="20"/>
      <c r="LJS132" s="20"/>
      <c r="LJT132" s="20"/>
      <c r="LJU132" s="20"/>
      <c r="LJV132" s="21"/>
      <c r="LJW132" s="21"/>
      <c r="LJX132" s="7"/>
      <c r="LJY132" s="7"/>
      <c r="LJZ132" s="21"/>
      <c r="LKA132" s="20"/>
      <c r="LKB132" s="20"/>
      <c r="LKC132" s="20"/>
      <c r="LKD132" s="21"/>
      <c r="LKE132" s="21"/>
      <c r="LKF132" s="21"/>
      <c r="LKG132" s="21"/>
      <c r="LKH132" s="21"/>
      <c r="LKI132" s="20"/>
      <c r="LKJ132" s="20"/>
      <c r="LKK132" s="20"/>
      <c r="LKL132" s="20"/>
      <c r="LKM132" s="21"/>
      <c r="LKN132" s="21"/>
      <c r="LKO132" s="7"/>
      <c r="LKP132" s="7"/>
      <c r="LKQ132" s="21"/>
      <c r="LKR132" s="20"/>
      <c r="LKS132" s="20"/>
      <c r="LKT132" s="20"/>
      <c r="LKU132" s="21"/>
      <c r="LKV132" s="21"/>
      <c r="LKW132" s="21"/>
      <c r="LKX132" s="21"/>
      <c r="LKY132" s="21"/>
      <c r="LKZ132" s="20"/>
      <c r="LLA132" s="20"/>
      <c r="LLB132" s="20"/>
      <c r="LLC132" s="20"/>
      <c r="LLD132" s="21"/>
      <c r="LLE132" s="21"/>
      <c r="LLF132" s="7"/>
      <c r="LLG132" s="7"/>
      <c r="LLH132" s="21"/>
      <c r="LLI132" s="20"/>
      <c r="LLJ132" s="20"/>
      <c r="LLK132" s="20"/>
      <c r="LLL132" s="21"/>
      <c r="LLM132" s="21"/>
      <c r="LLN132" s="21"/>
      <c r="LLO132" s="21"/>
      <c r="LLP132" s="21"/>
      <c r="LLQ132" s="20"/>
      <c r="LLR132" s="20"/>
      <c r="LLS132" s="20"/>
      <c r="LLT132" s="20"/>
      <c r="LLU132" s="21"/>
      <c r="LLV132" s="21"/>
      <c r="LLW132" s="7"/>
      <c r="LLX132" s="7"/>
      <c r="LLY132" s="21"/>
      <c r="LLZ132" s="20"/>
      <c r="LMA132" s="20"/>
      <c r="LMB132" s="20"/>
      <c r="LMC132" s="21"/>
      <c r="LMD132" s="21"/>
      <c r="LME132" s="21"/>
      <c r="LMF132" s="21"/>
      <c r="LMG132" s="21"/>
      <c r="LMH132" s="20"/>
      <c r="LMI132" s="20"/>
      <c r="LMJ132" s="20"/>
      <c r="LMK132" s="20"/>
      <c r="LML132" s="21"/>
      <c r="LMM132" s="21"/>
      <c r="LMN132" s="7"/>
      <c r="LMO132" s="7"/>
      <c r="LMP132" s="21"/>
      <c r="LMQ132" s="20"/>
      <c r="LMR132" s="20"/>
      <c r="LMS132" s="20"/>
      <c r="LMT132" s="21"/>
      <c r="LMU132" s="21"/>
      <c r="LMV132" s="21"/>
      <c r="LMW132" s="21"/>
      <c r="LMX132" s="21"/>
      <c r="LMY132" s="20"/>
      <c r="LMZ132" s="20"/>
      <c r="LNA132" s="20"/>
      <c r="LNB132" s="20"/>
      <c r="LNC132" s="21"/>
      <c r="LND132" s="21"/>
      <c r="LNE132" s="7"/>
      <c r="LNF132" s="7"/>
      <c r="LNG132" s="21"/>
      <c r="LNH132" s="20"/>
      <c r="LNI132" s="20"/>
      <c r="LNJ132" s="20"/>
      <c r="LNK132" s="21"/>
      <c r="LNL132" s="21"/>
      <c r="LNM132" s="21"/>
      <c r="LNN132" s="21"/>
      <c r="LNO132" s="21"/>
      <c r="LNP132" s="20"/>
      <c r="LNQ132" s="20"/>
      <c r="LNR132" s="20"/>
      <c r="LNS132" s="20"/>
      <c r="LNT132" s="21"/>
      <c r="LNU132" s="21"/>
      <c r="LNV132" s="7"/>
      <c r="LNW132" s="7"/>
      <c r="LNX132" s="21"/>
      <c r="LNY132" s="20"/>
      <c r="LNZ132" s="20"/>
      <c r="LOA132" s="20"/>
      <c r="LOB132" s="21"/>
      <c r="LOC132" s="21"/>
      <c r="LOD132" s="21"/>
      <c r="LOE132" s="21"/>
      <c r="LOF132" s="21"/>
      <c r="LOG132" s="20"/>
      <c r="LOH132" s="20"/>
      <c r="LOI132" s="20"/>
      <c r="LOJ132" s="20"/>
      <c r="LOK132" s="21"/>
      <c r="LOL132" s="21"/>
      <c r="LOM132" s="7"/>
      <c r="LON132" s="7"/>
      <c r="LOO132" s="21"/>
      <c r="LOP132" s="20"/>
      <c r="LOQ132" s="20"/>
      <c r="LOR132" s="20"/>
      <c r="LOS132" s="21"/>
      <c r="LOT132" s="21"/>
      <c r="LOU132" s="21"/>
      <c r="LOV132" s="21"/>
      <c r="LOW132" s="21"/>
      <c r="LOX132" s="20"/>
      <c r="LOY132" s="20"/>
      <c r="LOZ132" s="20"/>
      <c r="LPA132" s="20"/>
      <c r="LPB132" s="21"/>
      <c r="LPC132" s="21"/>
      <c r="LPD132" s="7"/>
      <c r="LPE132" s="7"/>
      <c r="LPF132" s="21"/>
      <c r="LPG132" s="20"/>
      <c r="LPH132" s="20"/>
      <c r="LPI132" s="20"/>
      <c r="LPJ132" s="21"/>
      <c r="LPK132" s="21"/>
      <c r="LPL132" s="21"/>
      <c r="LPM132" s="21"/>
      <c r="LPN132" s="21"/>
      <c r="LPO132" s="20"/>
      <c r="LPP132" s="20"/>
      <c r="LPQ132" s="20"/>
      <c r="LPR132" s="20"/>
      <c r="LPS132" s="21"/>
      <c r="LPT132" s="21"/>
      <c r="LPU132" s="7"/>
      <c r="LPV132" s="7"/>
      <c r="LPW132" s="21"/>
      <c r="LPX132" s="20"/>
      <c r="LPY132" s="20"/>
      <c r="LPZ132" s="20"/>
      <c r="LQA132" s="21"/>
      <c r="LQB132" s="21"/>
      <c r="LQC132" s="21"/>
      <c r="LQD132" s="21"/>
      <c r="LQE132" s="21"/>
      <c r="LQF132" s="20"/>
      <c r="LQG132" s="20"/>
      <c r="LQH132" s="20"/>
      <c r="LQI132" s="20"/>
      <c r="LQJ132" s="21"/>
      <c r="LQK132" s="21"/>
      <c r="LQL132" s="7"/>
      <c r="LQM132" s="7"/>
      <c r="LQN132" s="21"/>
      <c r="LQO132" s="20"/>
      <c r="LQP132" s="20"/>
      <c r="LQQ132" s="20"/>
      <c r="LQR132" s="21"/>
      <c r="LQS132" s="21"/>
      <c r="LQT132" s="21"/>
      <c r="LQU132" s="21"/>
      <c r="LQV132" s="21"/>
      <c r="LQW132" s="20"/>
      <c r="LQX132" s="20"/>
      <c r="LQY132" s="20"/>
      <c r="LQZ132" s="20"/>
      <c r="LRA132" s="21"/>
      <c r="LRB132" s="21"/>
      <c r="LRC132" s="7"/>
      <c r="LRD132" s="7"/>
      <c r="LRE132" s="21"/>
      <c r="LRF132" s="20"/>
      <c r="LRG132" s="20"/>
      <c r="LRH132" s="20"/>
      <c r="LRI132" s="21"/>
      <c r="LRJ132" s="21"/>
      <c r="LRK132" s="21"/>
      <c r="LRL132" s="21"/>
      <c r="LRM132" s="21"/>
      <c r="LRN132" s="20"/>
      <c r="LRO132" s="20"/>
      <c r="LRP132" s="20"/>
      <c r="LRQ132" s="20"/>
      <c r="LRR132" s="21"/>
      <c r="LRS132" s="21"/>
      <c r="LRT132" s="7"/>
      <c r="LRU132" s="7"/>
      <c r="LRV132" s="21"/>
      <c r="LRW132" s="20"/>
      <c r="LRX132" s="20"/>
      <c r="LRY132" s="20"/>
      <c r="LRZ132" s="21"/>
      <c r="LSA132" s="21"/>
      <c r="LSB132" s="21"/>
      <c r="LSC132" s="21"/>
      <c r="LSD132" s="21"/>
      <c r="LSE132" s="20"/>
      <c r="LSF132" s="20"/>
      <c r="LSG132" s="20"/>
      <c r="LSH132" s="20"/>
      <c r="LSI132" s="21"/>
      <c r="LSJ132" s="21"/>
      <c r="LSK132" s="7"/>
      <c r="LSL132" s="7"/>
      <c r="LSM132" s="21"/>
      <c r="LSN132" s="20"/>
      <c r="LSO132" s="20"/>
      <c r="LSP132" s="20"/>
      <c r="LSQ132" s="21"/>
      <c r="LSR132" s="21"/>
      <c r="LSS132" s="21"/>
      <c r="LST132" s="21"/>
      <c r="LSU132" s="21"/>
      <c r="LSV132" s="20"/>
      <c r="LSW132" s="20"/>
      <c r="LSX132" s="20"/>
      <c r="LSY132" s="20"/>
      <c r="LSZ132" s="21"/>
      <c r="LTA132" s="21"/>
      <c r="LTB132" s="7"/>
      <c r="LTC132" s="7"/>
      <c r="LTD132" s="21"/>
      <c r="LTE132" s="20"/>
      <c r="LTF132" s="20"/>
      <c r="LTG132" s="20"/>
      <c r="LTH132" s="21"/>
      <c r="LTI132" s="21"/>
      <c r="LTJ132" s="21"/>
      <c r="LTK132" s="21"/>
      <c r="LTL132" s="21"/>
      <c r="LTM132" s="20"/>
      <c r="LTN132" s="20"/>
      <c r="LTO132" s="20"/>
      <c r="LTP132" s="20"/>
      <c r="LTQ132" s="21"/>
      <c r="LTR132" s="21"/>
      <c r="LTS132" s="7"/>
      <c r="LTT132" s="7"/>
      <c r="LTU132" s="21"/>
      <c r="LTV132" s="20"/>
      <c r="LTW132" s="20"/>
      <c r="LTX132" s="20"/>
      <c r="LTY132" s="21"/>
      <c r="LTZ132" s="21"/>
      <c r="LUA132" s="21"/>
      <c r="LUB132" s="21"/>
      <c r="LUC132" s="21"/>
      <c r="LUD132" s="20"/>
      <c r="LUE132" s="20"/>
      <c r="LUF132" s="20"/>
      <c r="LUG132" s="20"/>
      <c r="LUH132" s="21"/>
      <c r="LUI132" s="21"/>
      <c r="LUJ132" s="7"/>
      <c r="LUK132" s="7"/>
      <c r="LUL132" s="21"/>
      <c r="LUM132" s="20"/>
      <c r="LUN132" s="20"/>
      <c r="LUO132" s="20"/>
      <c r="LUP132" s="21"/>
      <c r="LUQ132" s="21"/>
      <c r="LUR132" s="21"/>
      <c r="LUS132" s="21"/>
      <c r="LUT132" s="21"/>
      <c r="LUU132" s="20"/>
      <c r="LUV132" s="20"/>
      <c r="LUW132" s="20"/>
      <c r="LUX132" s="20"/>
      <c r="LUY132" s="21"/>
      <c r="LUZ132" s="21"/>
      <c r="LVA132" s="7"/>
      <c r="LVB132" s="7"/>
      <c r="LVC132" s="21"/>
      <c r="LVD132" s="20"/>
      <c r="LVE132" s="20"/>
      <c r="LVF132" s="20"/>
      <c r="LVG132" s="21"/>
      <c r="LVH132" s="21"/>
      <c r="LVI132" s="21"/>
      <c r="LVJ132" s="21"/>
      <c r="LVK132" s="21"/>
      <c r="LVL132" s="20"/>
      <c r="LVM132" s="20"/>
      <c r="LVN132" s="20"/>
      <c r="LVO132" s="20"/>
      <c r="LVP132" s="21"/>
      <c r="LVQ132" s="21"/>
      <c r="LVR132" s="7"/>
      <c r="LVS132" s="7"/>
      <c r="LVT132" s="21"/>
      <c r="LVU132" s="20"/>
      <c r="LVV132" s="20"/>
      <c r="LVW132" s="20"/>
      <c r="LVX132" s="21"/>
      <c r="LVY132" s="21"/>
      <c r="LVZ132" s="21"/>
      <c r="LWA132" s="21"/>
      <c r="LWB132" s="21"/>
      <c r="LWC132" s="20"/>
      <c r="LWD132" s="20"/>
      <c r="LWE132" s="20"/>
      <c r="LWF132" s="20"/>
      <c r="LWG132" s="21"/>
      <c r="LWH132" s="21"/>
      <c r="LWI132" s="7"/>
      <c r="LWJ132" s="7"/>
      <c r="LWK132" s="21"/>
      <c r="LWL132" s="20"/>
      <c r="LWM132" s="20"/>
      <c r="LWN132" s="20"/>
      <c r="LWO132" s="21"/>
      <c r="LWP132" s="21"/>
      <c r="LWQ132" s="21"/>
      <c r="LWR132" s="21"/>
      <c r="LWS132" s="21"/>
      <c r="LWT132" s="20"/>
      <c r="LWU132" s="20"/>
      <c r="LWV132" s="20"/>
      <c r="LWW132" s="20"/>
      <c r="LWX132" s="21"/>
      <c r="LWY132" s="21"/>
      <c r="LWZ132" s="7"/>
      <c r="LXA132" s="7"/>
      <c r="LXB132" s="21"/>
      <c r="LXC132" s="20"/>
      <c r="LXD132" s="20"/>
      <c r="LXE132" s="20"/>
      <c r="LXF132" s="21"/>
      <c r="LXG132" s="21"/>
      <c r="LXH132" s="21"/>
      <c r="LXI132" s="21"/>
      <c r="LXJ132" s="21"/>
      <c r="LXK132" s="20"/>
      <c r="LXL132" s="20"/>
      <c r="LXM132" s="20"/>
      <c r="LXN132" s="20"/>
      <c r="LXO132" s="21"/>
      <c r="LXP132" s="21"/>
      <c r="LXQ132" s="7"/>
      <c r="LXR132" s="7"/>
      <c r="LXS132" s="21"/>
      <c r="LXT132" s="20"/>
      <c r="LXU132" s="20"/>
      <c r="LXV132" s="20"/>
      <c r="LXW132" s="21"/>
      <c r="LXX132" s="21"/>
      <c r="LXY132" s="21"/>
      <c r="LXZ132" s="21"/>
      <c r="LYA132" s="21"/>
      <c r="LYB132" s="20"/>
      <c r="LYC132" s="20"/>
      <c r="LYD132" s="20"/>
      <c r="LYE132" s="20"/>
      <c r="LYF132" s="21"/>
      <c r="LYG132" s="21"/>
      <c r="LYH132" s="7"/>
      <c r="LYI132" s="7"/>
      <c r="LYJ132" s="21"/>
      <c r="LYK132" s="20"/>
      <c r="LYL132" s="20"/>
      <c r="LYM132" s="20"/>
      <c r="LYN132" s="21"/>
      <c r="LYO132" s="21"/>
      <c r="LYP132" s="21"/>
      <c r="LYQ132" s="21"/>
      <c r="LYR132" s="21"/>
      <c r="LYS132" s="20"/>
      <c r="LYT132" s="20"/>
      <c r="LYU132" s="20"/>
      <c r="LYV132" s="20"/>
      <c r="LYW132" s="21"/>
      <c r="LYX132" s="21"/>
      <c r="LYY132" s="7"/>
      <c r="LYZ132" s="7"/>
      <c r="LZA132" s="21"/>
      <c r="LZB132" s="20"/>
      <c r="LZC132" s="20"/>
      <c r="LZD132" s="20"/>
      <c r="LZE132" s="21"/>
      <c r="LZF132" s="21"/>
      <c r="LZG132" s="21"/>
      <c r="LZH132" s="21"/>
      <c r="LZI132" s="21"/>
      <c r="LZJ132" s="20"/>
      <c r="LZK132" s="20"/>
      <c r="LZL132" s="20"/>
      <c r="LZM132" s="20"/>
      <c r="LZN132" s="21"/>
      <c r="LZO132" s="21"/>
      <c r="LZP132" s="7"/>
      <c r="LZQ132" s="7"/>
      <c r="LZR132" s="21"/>
      <c r="LZS132" s="20"/>
      <c r="LZT132" s="20"/>
      <c r="LZU132" s="20"/>
      <c r="LZV132" s="21"/>
      <c r="LZW132" s="21"/>
      <c r="LZX132" s="21"/>
      <c r="LZY132" s="21"/>
      <c r="LZZ132" s="21"/>
      <c r="MAA132" s="20"/>
      <c r="MAB132" s="20"/>
      <c r="MAC132" s="20"/>
      <c r="MAD132" s="20"/>
      <c r="MAE132" s="21"/>
      <c r="MAF132" s="21"/>
      <c r="MAG132" s="7"/>
      <c r="MAH132" s="7"/>
      <c r="MAI132" s="21"/>
      <c r="MAJ132" s="20"/>
      <c r="MAK132" s="20"/>
      <c r="MAL132" s="20"/>
      <c r="MAM132" s="21"/>
      <c r="MAN132" s="21"/>
      <c r="MAO132" s="21"/>
      <c r="MAP132" s="21"/>
      <c r="MAQ132" s="21"/>
      <c r="MAR132" s="20"/>
      <c r="MAS132" s="20"/>
      <c r="MAT132" s="20"/>
      <c r="MAU132" s="20"/>
      <c r="MAV132" s="21"/>
      <c r="MAW132" s="21"/>
      <c r="MAX132" s="7"/>
      <c r="MAY132" s="7"/>
      <c r="MAZ132" s="21"/>
      <c r="MBA132" s="20"/>
      <c r="MBB132" s="20"/>
      <c r="MBC132" s="20"/>
      <c r="MBD132" s="21"/>
      <c r="MBE132" s="21"/>
      <c r="MBF132" s="21"/>
      <c r="MBG132" s="21"/>
      <c r="MBH132" s="21"/>
      <c r="MBI132" s="20"/>
      <c r="MBJ132" s="20"/>
      <c r="MBK132" s="20"/>
      <c r="MBL132" s="20"/>
      <c r="MBM132" s="21"/>
      <c r="MBN132" s="21"/>
      <c r="MBO132" s="7"/>
      <c r="MBP132" s="7"/>
      <c r="MBQ132" s="21"/>
      <c r="MBR132" s="20"/>
      <c r="MBS132" s="20"/>
      <c r="MBT132" s="20"/>
      <c r="MBU132" s="21"/>
      <c r="MBV132" s="21"/>
      <c r="MBW132" s="21"/>
      <c r="MBX132" s="21"/>
      <c r="MBY132" s="21"/>
      <c r="MBZ132" s="20"/>
      <c r="MCA132" s="20"/>
      <c r="MCB132" s="20"/>
      <c r="MCC132" s="20"/>
      <c r="MCD132" s="21"/>
      <c r="MCE132" s="21"/>
      <c r="MCF132" s="7"/>
      <c r="MCG132" s="7"/>
      <c r="MCH132" s="21"/>
      <c r="MCI132" s="20"/>
      <c r="MCJ132" s="20"/>
      <c r="MCK132" s="20"/>
      <c r="MCL132" s="21"/>
      <c r="MCM132" s="21"/>
      <c r="MCN132" s="21"/>
      <c r="MCO132" s="21"/>
      <c r="MCP132" s="21"/>
      <c r="MCQ132" s="20"/>
      <c r="MCR132" s="20"/>
      <c r="MCS132" s="20"/>
      <c r="MCT132" s="20"/>
      <c r="MCU132" s="21"/>
      <c r="MCV132" s="21"/>
      <c r="MCW132" s="7"/>
      <c r="MCX132" s="7"/>
      <c r="MCY132" s="21"/>
      <c r="MCZ132" s="20"/>
      <c r="MDA132" s="20"/>
      <c r="MDB132" s="20"/>
      <c r="MDC132" s="21"/>
      <c r="MDD132" s="21"/>
      <c r="MDE132" s="21"/>
      <c r="MDF132" s="21"/>
      <c r="MDG132" s="21"/>
      <c r="MDH132" s="20"/>
      <c r="MDI132" s="20"/>
      <c r="MDJ132" s="20"/>
      <c r="MDK132" s="20"/>
      <c r="MDL132" s="21"/>
      <c r="MDM132" s="21"/>
      <c r="MDN132" s="7"/>
      <c r="MDO132" s="7"/>
      <c r="MDP132" s="21"/>
      <c r="MDQ132" s="20"/>
      <c r="MDR132" s="20"/>
      <c r="MDS132" s="20"/>
      <c r="MDT132" s="21"/>
      <c r="MDU132" s="21"/>
      <c r="MDV132" s="21"/>
      <c r="MDW132" s="21"/>
      <c r="MDX132" s="21"/>
      <c r="MDY132" s="20"/>
      <c r="MDZ132" s="20"/>
      <c r="MEA132" s="20"/>
      <c r="MEB132" s="20"/>
      <c r="MEC132" s="21"/>
      <c r="MED132" s="21"/>
      <c r="MEE132" s="7"/>
      <c r="MEF132" s="7"/>
      <c r="MEG132" s="21"/>
      <c r="MEH132" s="20"/>
      <c r="MEI132" s="20"/>
      <c r="MEJ132" s="20"/>
      <c r="MEK132" s="21"/>
      <c r="MEL132" s="21"/>
      <c r="MEM132" s="21"/>
      <c r="MEN132" s="21"/>
      <c r="MEO132" s="21"/>
      <c r="MEP132" s="20"/>
      <c r="MEQ132" s="20"/>
      <c r="MER132" s="20"/>
      <c r="MES132" s="20"/>
      <c r="MET132" s="21"/>
      <c r="MEU132" s="21"/>
      <c r="MEV132" s="7"/>
      <c r="MEW132" s="7"/>
      <c r="MEX132" s="21"/>
      <c r="MEY132" s="20"/>
      <c r="MEZ132" s="20"/>
      <c r="MFA132" s="20"/>
      <c r="MFB132" s="21"/>
      <c r="MFC132" s="21"/>
      <c r="MFD132" s="21"/>
      <c r="MFE132" s="21"/>
      <c r="MFF132" s="21"/>
      <c r="MFG132" s="20"/>
      <c r="MFH132" s="20"/>
      <c r="MFI132" s="20"/>
      <c r="MFJ132" s="20"/>
      <c r="MFK132" s="21"/>
      <c r="MFL132" s="21"/>
      <c r="MFM132" s="7"/>
      <c r="MFN132" s="7"/>
      <c r="MFO132" s="21"/>
      <c r="MFP132" s="20"/>
      <c r="MFQ132" s="20"/>
      <c r="MFR132" s="20"/>
      <c r="MFS132" s="21"/>
      <c r="MFT132" s="21"/>
      <c r="MFU132" s="21"/>
      <c r="MFV132" s="21"/>
      <c r="MFW132" s="21"/>
      <c r="MFX132" s="20"/>
      <c r="MFY132" s="20"/>
      <c r="MFZ132" s="20"/>
      <c r="MGA132" s="20"/>
      <c r="MGB132" s="21"/>
      <c r="MGC132" s="21"/>
      <c r="MGD132" s="7"/>
      <c r="MGE132" s="7"/>
      <c r="MGF132" s="21"/>
      <c r="MGG132" s="20"/>
      <c r="MGH132" s="20"/>
      <c r="MGI132" s="20"/>
      <c r="MGJ132" s="21"/>
      <c r="MGK132" s="21"/>
      <c r="MGL132" s="21"/>
      <c r="MGM132" s="21"/>
      <c r="MGN132" s="21"/>
      <c r="MGO132" s="20"/>
      <c r="MGP132" s="20"/>
      <c r="MGQ132" s="20"/>
      <c r="MGR132" s="20"/>
      <c r="MGS132" s="21"/>
      <c r="MGT132" s="21"/>
      <c r="MGU132" s="7"/>
      <c r="MGV132" s="7"/>
      <c r="MGW132" s="21"/>
      <c r="MGX132" s="20"/>
      <c r="MGY132" s="20"/>
      <c r="MGZ132" s="20"/>
      <c r="MHA132" s="21"/>
      <c r="MHB132" s="21"/>
      <c r="MHC132" s="21"/>
      <c r="MHD132" s="21"/>
      <c r="MHE132" s="21"/>
      <c r="MHF132" s="20"/>
      <c r="MHG132" s="20"/>
      <c r="MHH132" s="20"/>
      <c r="MHI132" s="20"/>
      <c r="MHJ132" s="21"/>
      <c r="MHK132" s="21"/>
      <c r="MHL132" s="7"/>
      <c r="MHM132" s="7"/>
      <c r="MHN132" s="21"/>
      <c r="MHO132" s="20"/>
      <c r="MHP132" s="20"/>
      <c r="MHQ132" s="20"/>
      <c r="MHR132" s="21"/>
      <c r="MHS132" s="21"/>
      <c r="MHT132" s="21"/>
      <c r="MHU132" s="21"/>
      <c r="MHV132" s="21"/>
      <c r="MHW132" s="20"/>
      <c r="MHX132" s="20"/>
      <c r="MHY132" s="20"/>
      <c r="MHZ132" s="20"/>
      <c r="MIA132" s="21"/>
      <c r="MIB132" s="21"/>
      <c r="MIC132" s="7"/>
      <c r="MID132" s="7"/>
      <c r="MIE132" s="21"/>
      <c r="MIF132" s="20"/>
      <c r="MIG132" s="20"/>
      <c r="MIH132" s="20"/>
      <c r="MII132" s="21"/>
      <c r="MIJ132" s="21"/>
      <c r="MIK132" s="21"/>
      <c r="MIL132" s="21"/>
      <c r="MIM132" s="21"/>
      <c r="MIN132" s="20"/>
      <c r="MIO132" s="20"/>
      <c r="MIP132" s="20"/>
      <c r="MIQ132" s="20"/>
      <c r="MIR132" s="21"/>
      <c r="MIS132" s="21"/>
      <c r="MIT132" s="7"/>
      <c r="MIU132" s="7"/>
      <c r="MIV132" s="21"/>
      <c r="MIW132" s="20"/>
      <c r="MIX132" s="20"/>
      <c r="MIY132" s="20"/>
      <c r="MIZ132" s="21"/>
      <c r="MJA132" s="21"/>
      <c r="MJB132" s="21"/>
      <c r="MJC132" s="21"/>
      <c r="MJD132" s="21"/>
      <c r="MJE132" s="20"/>
      <c r="MJF132" s="20"/>
      <c r="MJG132" s="20"/>
      <c r="MJH132" s="20"/>
      <c r="MJI132" s="21"/>
      <c r="MJJ132" s="21"/>
      <c r="MJK132" s="7"/>
      <c r="MJL132" s="7"/>
      <c r="MJM132" s="21"/>
      <c r="MJN132" s="20"/>
      <c r="MJO132" s="20"/>
      <c r="MJP132" s="20"/>
      <c r="MJQ132" s="21"/>
      <c r="MJR132" s="21"/>
      <c r="MJS132" s="21"/>
      <c r="MJT132" s="21"/>
      <c r="MJU132" s="21"/>
      <c r="MJV132" s="20"/>
      <c r="MJW132" s="20"/>
      <c r="MJX132" s="20"/>
      <c r="MJY132" s="20"/>
      <c r="MJZ132" s="21"/>
      <c r="MKA132" s="21"/>
      <c r="MKB132" s="7"/>
      <c r="MKC132" s="7"/>
      <c r="MKD132" s="21"/>
      <c r="MKE132" s="20"/>
      <c r="MKF132" s="20"/>
      <c r="MKG132" s="20"/>
      <c r="MKH132" s="21"/>
      <c r="MKI132" s="21"/>
      <c r="MKJ132" s="21"/>
      <c r="MKK132" s="21"/>
      <c r="MKL132" s="21"/>
      <c r="MKM132" s="20"/>
      <c r="MKN132" s="20"/>
      <c r="MKO132" s="20"/>
      <c r="MKP132" s="20"/>
      <c r="MKQ132" s="21"/>
      <c r="MKR132" s="21"/>
      <c r="MKS132" s="7"/>
      <c r="MKT132" s="7"/>
      <c r="MKU132" s="21"/>
      <c r="MKV132" s="20"/>
      <c r="MKW132" s="20"/>
      <c r="MKX132" s="20"/>
      <c r="MKY132" s="21"/>
      <c r="MKZ132" s="21"/>
      <c r="MLA132" s="21"/>
      <c r="MLB132" s="21"/>
      <c r="MLC132" s="21"/>
      <c r="MLD132" s="20"/>
      <c r="MLE132" s="20"/>
      <c r="MLF132" s="20"/>
      <c r="MLG132" s="20"/>
      <c r="MLH132" s="21"/>
      <c r="MLI132" s="21"/>
      <c r="MLJ132" s="7"/>
      <c r="MLK132" s="7"/>
      <c r="MLL132" s="21"/>
      <c r="MLM132" s="20"/>
      <c r="MLN132" s="20"/>
      <c r="MLO132" s="20"/>
      <c r="MLP132" s="21"/>
      <c r="MLQ132" s="21"/>
      <c r="MLR132" s="21"/>
      <c r="MLS132" s="21"/>
      <c r="MLT132" s="21"/>
      <c r="MLU132" s="20"/>
      <c r="MLV132" s="20"/>
      <c r="MLW132" s="20"/>
      <c r="MLX132" s="20"/>
      <c r="MLY132" s="21"/>
      <c r="MLZ132" s="21"/>
      <c r="MMA132" s="7"/>
      <c r="MMB132" s="7"/>
      <c r="MMC132" s="21"/>
      <c r="MMD132" s="20"/>
      <c r="MME132" s="20"/>
      <c r="MMF132" s="20"/>
      <c r="MMG132" s="21"/>
      <c r="MMH132" s="21"/>
      <c r="MMI132" s="21"/>
      <c r="MMJ132" s="21"/>
      <c r="MMK132" s="21"/>
      <c r="MML132" s="20"/>
      <c r="MMM132" s="20"/>
      <c r="MMN132" s="20"/>
      <c r="MMO132" s="20"/>
      <c r="MMP132" s="21"/>
      <c r="MMQ132" s="21"/>
      <c r="MMR132" s="7"/>
      <c r="MMS132" s="7"/>
      <c r="MMT132" s="21"/>
      <c r="MMU132" s="20"/>
      <c r="MMV132" s="20"/>
      <c r="MMW132" s="20"/>
      <c r="MMX132" s="21"/>
      <c r="MMY132" s="21"/>
      <c r="MMZ132" s="21"/>
      <c r="MNA132" s="21"/>
      <c r="MNB132" s="21"/>
      <c r="MNC132" s="20"/>
      <c r="MND132" s="20"/>
      <c r="MNE132" s="20"/>
      <c r="MNF132" s="20"/>
      <c r="MNG132" s="21"/>
      <c r="MNH132" s="21"/>
      <c r="MNI132" s="7"/>
      <c r="MNJ132" s="7"/>
      <c r="MNK132" s="21"/>
      <c r="MNL132" s="20"/>
      <c r="MNM132" s="20"/>
      <c r="MNN132" s="20"/>
      <c r="MNO132" s="21"/>
      <c r="MNP132" s="21"/>
      <c r="MNQ132" s="21"/>
      <c r="MNR132" s="21"/>
      <c r="MNS132" s="21"/>
      <c r="MNT132" s="20"/>
      <c r="MNU132" s="20"/>
      <c r="MNV132" s="20"/>
      <c r="MNW132" s="20"/>
      <c r="MNX132" s="21"/>
      <c r="MNY132" s="21"/>
      <c r="MNZ132" s="7"/>
      <c r="MOA132" s="7"/>
      <c r="MOB132" s="21"/>
      <c r="MOC132" s="20"/>
      <c r="MOD132" s="20"/>
      <c r="MOE132" s="20"/>
      <c r="MOF132" s="21"/>
      <c r="MOG132" s="21"/>
      <c r="MOH132" s="21"/>
      <c r="MOI132" s="21"/>
      <c r="MOJ132" s="21"/>
      <c r="MOK132" s="20"/>
      <c r="MOL132" s="20"/>
      <c r="MOM132" s="20"/>
      <c r="MON132" s="20"/>
      <c r="MOO132" s="21"/>
      <c r="MOP132" s="21"/>
      <c r="MOQ132" s="7"/>
      <c r="MOR132" s="7"/>
      <c r="MOS132" s="21"/>
      <c r="MOT132" s="20"/>
      <c r="MOU132" s="20"/>
      <c r="MOV132" s="20"/>
      <c r="MOW132" s="21"/>
      <c r="MOX132" s="21"/>
      <c r="MOY132" s="21"/>
      <c r="MOZ132" s="21"/>
      <c r="MPA132" s="21"/>
      <c r="MPB132" s="20"/>
      <c r="MPC132" s="20"/>
      <c r="MPD132" s="20"/>
      <c r="MPE132" s="20"/>
      <c r="MPF132" s="21"/>
      <c r="MPG132" s="21"/>
      <c r="MPH132" s="7"/>
      <c r="MPI132" s="7"/>
      <c r="MPJ132" s="21"/>
      <c r="MPK132" s="20"/>
      <c r="MPL132" s="20"/>
      <c r="MPM132" s="20"/>
      <c r="MPN132" s="21"/>
      <c r="MPO132" s="21"/>
      <c r="MPP132" s="21"/>
      <c r="MPQ132" s="21"/>
      <c r="MPR132" s="21"/>
      <c r="MPS132" s="20"/>
      <c r="MPT132" s="20"/>
      <c r="MPU132" s="20"/>
      <c r="MPV132" s="20"/>
      <c r="MPW132" s="21"/>
      <c r="MPX132" s="21"/>
      <c r="MPY132" s="7"/>
      <c r="MPZ132" s="7"/>
      <c r="MQA132" s="21"/>
      <c r="MQB132" s="20"/>
      <c r="MQC132" s="20"/>
      <c r="MQD132" s="20"/>
      <c r="MQE132" s="21"/>
      <c r="MQF132" s="21"/>
      <c r="MQG132" s="21"/>
      <c r="MQH132" s="21"/>
      <c r="MQI132" s="21"/>
      <c r="MQJ132" s="20"/>
      <c r="MQK132" s="20"/>
      <c r="MQL132" s="20"/>
      <c r="MQM132" s="20"/>
      <c r="MQN132" s="21"/>
      <c r="MQO132" s="21"/>
      <c r="MQP132" s="7"/>
      <c r="MQQ132" s="7"/>
      <c r="MQR132" s="21"/>
      <c r="MQS132" s="20"/>
      <c r="MQT132" s="20"/>
      <c r="MQU132" s="20"/>
      <c r="MQV132" s="21"/>
      <c r="MQW132" s="21"/>
      <c r="MQX132" s="21"/>
      <c r="MQY132" s="21"/>
      <c r="MQZ132" s="21"/>
      <c r="MRA132" s="20"/>
      <c r="MRB132" s="20"/>
      <c r="MRC132" s="20"/>
      <c r="MRD132" s="20"/>
      <c r="MRE132" s="21"/>
      <c r="MRF132" s="21"/>
      <c r="MRG132" s="7"/>
      <c r="MRH132" s="7"/>
      <c r="MRI132" s="21"/>
      <c r="MRJ132" s="20"/>
      <c r="MRK132" s="20"/>
      <c r="MRL132" s="20"/>
      <c r="MRM132" s="21"/>
      <c r="MRN132" s="21"/>
      <c r="MRO132" s="21"/>
      <c r="MRP132" s="21"/>
      <c r="MRQ132" s="21"/>
      <c r="MRR132" s="20"/>
      <c r="MRS132" s="20"/>
      <c r="MRT132" s="20"/>
      <c r="MRU132" s="20"/>
      <c r="MRV132" s="21"/>
      <c r="MRW132" s="21"/>
      <c r="MRX132" s="7"/>
      <c r="MRY132" s="7"/>
      <c r="MRZ132" s="21"/>
      <c r="MSA132" s="20"/>
      <c r="MSB132" s="20"/>
      <c r="MSC132" s="20"/>
      <c r="MSD132" s="21"/>
      <c r="MSE132" s="21"/>
      <c r="MSF132" s="21"/>
      <c r="MSG132" s="21"/>
      <c r="MSH132" s="21"/>
      <c r="MSI132" s="20"/>
      <c r="MSJ132" s="20"/>
      <c r="MSK132" s="20"/>
      <c r="MSL132" s="20"/>
      <c r="MSM132" s="21"/>
      <c r="MSN132" s="21"/>
      <c r="MSO132" s="7"/>
      <c r="MSP132" s="7"/>
      <c r="MSQ132" s="21"/>
      <c r="MSR132" s="20"/>
      <c r="MSS132" s="20"/>
      <c r="MST132" s="20"/>
      <c r="MSU132" s="21"/>
      <c r="MSV132" s="21"/>
      <c r="MSW132" s="21"/>
      <c r="MSX132" s="21"/>
      <c r="MSY132" s="21"/>
      <c r="MSZ132" s="20"/>
      <c r="MTA132" s="20"/>
      <c r="MTB132" s="20"/>
      <c r="MTC132" s="20"/>
      <c r="MTD132" s="21"/>
      <c r="MTE132" s="21"/>
      <c r="MTF132" s="7"/>
      <c r="MTG132" s="7"/>
      <c r="MTH132" s="21"/>
      <c r="MTI132" s="20"/>
      <c r="MTJ132" s="20"/>
      <c r="MTK132" s="20"/>
      <c r="MTL132" s="21"/>
      <c r="MTM132" s="21"/>
      <c r="MTN132" s="21"/>
      <c r="MTO132" s="21"/>
      <c r="MTP132" s="21"/>
      <c r="MTQ132" s="20"/>
      <c r="MTR132" s="20"/>
      <c r="MTS132" s="20"/>
      <c r="MTT132" s="20"/>
      <c r="MTU132" s="21"/>
      <c r="MTV132" s="21"/>
      <c r="MTW132" s="7"/>
      <c r="MTX132" s="7"/>
      <c r="MTY132" s="21"/>
      <c r="MTZ132" s="20"/>
      <c r="MUA132" s="20"/>
      <c r="MUB132" s="20"/>
      <c r="MUC132" s="21"/>
      <c r="MUD132" s="21"/>
      <c r="MUE132" s="21"/>
      <c r="MUF132" s="21"/>
      <c r="MUG132" s="21"/>
      <c r="MUH132" s="20"/>
      <c r="MUI132" s="20"/>
      <c r="MUJ132" s="20"/>
      <c r="MUK132" s="20"/>
      <c r="MUL132" s="21"/>
      <c r="MUM132" s="21"/>
      <c r="MUN132" s="7"/>
      <c r="MUO132" s="7"/>
      <c r="MUP132" s="21"/>
      <c r="MUQ132" s="20"/>
      <c r="MUR132" s="20"/>
      <c r="MUS132" s="20"/>
      <c r="MUT132" s="21"/>
      <c r="MUU132" s="21"/>
      <c r="MUV132" s="21"/>
      <c r="MUW132" s="21"/>
      <c r="MUX132" s="21"/>
      <c r="MUY132" s="20"/>
      <c r="MUZ132" s="20"/>
      <c r="MVA132" s="20"/>
      <c r="MVB132" s="20"/>
      <c r="MVC132" s="21"/>
      <c r="MVD132" s="21"/>
      <c r="MVE132" s="7"/>
      <c r="MVF132" s="7"/>
      <c r="MVG132" s="21"/>
      <c r="MVH132" s="20"/>
      <c r="MVI132" s="20"/>
      <c r="MVJ132" s="20"/>
      <c r="MVK132" s="21"/>
      <c r="MVL132" s="21"/>
      <c r="MVM132" s="21"/>
      <c r="MVN132" s="21"/>
      <c r="MVO132" s="21"/>
      <c r="MVP132" s="20"/>
      <c r="MVQ132" s="20"/>
      <c r="MVR132" s="20"/>
      <c r="MVS132" s="20"/>
      <c r="MVT132" s="21"/>
      <c r="MVU132" s="21"/>
      <c r="MVV132" s="7"/>
      <c r="MVW132" s="7"/>
      <c r="MVX132" s="21"/>
      <c r="MVY132" s="20"/>
      <c r="MVZ132" s="20"/>
      <c r="MWA132" s="20"/>
      <c r="MWB132" s="21"/>
      <c r="MWC132" s="21"/>
      <c r="MWD132" s="21"/>
      <c r="MWE132" s="21"/>
      <c r="MWF132" s="21"/>
      <c r="MWG132" s="20"/>
      <c r="MWH132" s="20"/>
      <c r="MWI132" s="20"/>
      <c r="MWJ132" s="20"/>
      <c r="MWK132" s="21"/>
      <c r="MWL132" s="21"/>
      <c r="MWM132" s="7"/>
      <c r="MWN132" s="7"/>
      <c r="MWO132" s="21"/>
      <c r="MWP132" s="20"/>
      <c r="MWQ132" s="20"/>
      <c r="MWR132" s="20"/>
      <c r="MWS132" s="21"/>
      <c r="MWT132" s="21"/>
      <c r="MWU132" s="21"/>
      <c r="MWV132" s="21"/>
      <c r="MWW132" s="21"/>
      <c r="MWX132" s="20"/>
      <c r="MWY132" s="20"/>
      <c r="MWZ132" s="20"/>
      <c r="MXA132" s="20"/>
      <c r="MXB132" s="21"/>
      <c r="MXC132" s="21"/>
      <c r="MXD132" s="7"/>
      <c r="MXE132" s="7"/>
      <c r="MXF132" s="21"/>
      <c r="MXG132" s="20"/>
      <c r="MXH132" s="20"/>
      <c r="MXI132" s="20"/>
      <c r="MXJ132" s="21"/>
      <c r="MXK132" s="21"/>
      <c r="MXL132" s="21"/>
      <c r="MXM132" s="21"/>
      <c r="MXN132" s="21"/>
      <c r="MXO132" s="20"/>
      <c r="MXP132" s="20"/>
      <c r="MXQ132" s="20"/>
      <c r="MXR132" s="20"/>
      <c r="MXS132" s="21"/>
      <c r="MXT132" s="21"/>
      <c r="MXU132" s="7"/>
      <c r="MXV132" s="7"/>
      <c r="MXW132" s="21"/>
      <c r="MXX132" s="20"/>
      <c r="MXY132" s="20"/>
      <c r="MXZ132" s="20"/>
      <c r="MYA132" s="21"/>
      <c r="MYB132" s="21"/>
      <c r="MYC132" s="21"/>
      <c r="MYD132" s="21"/>
      <c r="MYE132" s="21"/>
      <c r="MYF132" s="20"/>
      <c r="MYG132" s="20"/>
      <c r="MYH132" s="20"/>
      <c r="MYI132" s="20"/>
      <c r="MYJ132" s="21"/>
      <c r="MYK132" s="21"/>
      <c r="MYL132" s="7"/>
      <c r="MYM132" s="7"/>
      <c r="MYN132" s="21"/>
      <c r="MYO132" s="20"/>
      <c r="MYP132" s="20"/>
      <c r="MYQ132" s="20"/>
      <c r="MYR132" s="21"/>
      <c r="MYS132" s="21"/>
      <c r="MYT132" s="21"/>
      <c r="MYU132" s="21"/>
      <c r="MYV132" s="21"/>
      <c r="MYW132" s="20"/>
      <c r="MYX132" s="20"/>
      <c r="MYY132" s="20"/>
      <c r="MYZ132" s="20"/>
      <c r="MZA132" s="21"/>
      <c r="MZB132" s="21"/>
      <c r="MZC132" s="7"/>
      <c r="MZD132" s="7"/>
      <c r="MZE132" s="21"/>
      <c r="MZF132" s="20"/>
      <c r="MZG132" s="20"/>
      <c r="MZH132" s="20"/>
      <c r="MZI132" s="21"/>
      <c r="MZJ132" s="21"/>
      <c r="MZK132" s="21"/>
      <c r="MZL132" s="21"/>
      <c r="MZM132" s="21"/>
      <c r="MZN132" s="20"/>
      <c r="MZO132" s="20"/>
      <c r="MZP132" s="20"/>
      <c r="MZQ132" s="20"/>
      <c r="MZR132" s="21"/>
      <c r="MZS132" s="21"/>
      <c r="MZT132" s="7"/>
      <c r="MZU132" s="7"/>
      <c r="MZV132" s="21"/>
      <c r="MZW132" s="20"/>
      <c r="MZX132" s="20"/>
      <c r="MZY132" s="20"/>
      <c r="MZZ132" s="21"/>
      <c r="NAA132" s="21"/>
      <c r="NAB132" s="21"/>
      <c r="NAC132" s="21"/>
      <c r="NAD132" s="21"/>
      <c r="NAE132" s="20"/>
      <c r="NAF132" s="20"/>
      <c r="NAG132" s="20"/>
      <c r="NAH132" s="20"/>
      <c r="NAI132" s="21"/>
      <c r="NAJ132" s="21"/>
      <c r="NAK132" s="7"/>
      <c r="NAL132" s="7"/>
      <c r="NAM132" s="21"/>
      <c r="NAN132" s="20"/>
      <c r="NAO132" s="20"/>
      <c r="NAP132" s="20"/>
      <c r="NAQ132" s="21"/>
      <c r="NAR132" s="21"/>
      <c r="NAS132" s="21"/>
      <c r="NAT132" s="21"/>
      <c r="NAU132" s="21"/>
      <c r="NAV132" s="20"/>
      <c r="NAW132" s="20"/>
      <c r="NAX132" s="20"/>
      <c r="NAY132" s="20"/>
      <c r="NAZ132" s="21"/>
      <c r="NBA132" s="21"/>
      <c r="NBB132" s="7"/>
      <c r="NBC132" s="7"/>
      <c r="NBD132" s="21"/>
      <c r="NBE132" s="20"/>
      <c r="NBF132" s="20"/>
      <c r="NBG132" s="20"/>
      <c r="NBH132" s="21"/>
      <c r="NBI132" s="21"/>
      <c r="NBJ132" s="21"/>
      <c r="NBK132" s="21"/>
      <c r="NBL132" s="21"/>
      <c r="NBM132" s="20"/>
      <c r="NBN132" s="20"/>
      <c r="NBO132" s="20"/>
      <c r="NBP132" s="20"/>
      <c r="NBQ132" s="21"/>
      <c r="NBR132" s="21"/>
      <c r="NBS132" s="7"/>
      <c r="NBT132" s="7"/>
      <c r="NBU132" s="21"/>
      <c r="NBV132" s="20"/>
      <c r="NBW132" s="20"/>
      <c r="NBX132" s="20"/>
      <c r="NBY132" s="21"/>
      <c r="NBZ132" s="21"/>
      <c r="NCA132" s="21"/>
      <c r="NCB132" s="21"/>
      <c r="NCC132" s="21"/>
      <c r="NCD132" s="20"/>
      <c r="NCE132" s="20"/>
      <c r="NCF132" s="20"/>
      <c r="NCG132" s="20"/>
      <c r="NCH132" s="21"/>
      <c r="NCI132" s="21"/>
      <c r="NCJ132" s="7"/>
      <c r="NCK132" s="7"/>
      <c r="NCL132" s="21"/>
      <c r="NCM132" s="20"/>
      <c r="NCN132" s="20"/>
      <c r="NCO132" s="20"/>
      <c r="NCP132" s="21"/>
      <c r="NCQ132" s="21"/>
      <c r="NCR132" s="21"/>
      <c r="NCS132" s="21"/>
      <c r="NCT132" s="21"/>
      <c r="NCU132" s="20"/>
      <c r="NCV132" s="20"/>
      <c r="NCW132" s="20"/>
      <c r="NCX132" s="20"/>
      <c r="NCY132" s="21"/>
      <c r="NCZ132" s="21"/>
      <c r="NDA132" s="7"/>
      <c r="NDB132" s="7"/>
      <c r="NDC132" s="21"/>
      <c r="NDD132" s="20"/>
      <c r="NDE132" s="20"/>
      <c r="NDF132" s="20"/>
      <c r="NDG132" s="21"/>
      <c r="NDH132" s="21"/>
      <c r="NDI132" s="21"/>
      <c r="NDJ132" s="21"/>
      <c r="NDK132" s="21"/>
      <c r="NDL132" s="20"/>
      <c r="NDM132" s="20"/>
      <c r="NDN132" s="20"/>
      <c r="NDO132" s="20"/>
      <c r="NDP132" s="21"/>
      <c r="NDQ132" s="21"/>
      <c r="NDR132" s="7"/>
      <c r="NDS132" s="7"/>
      <c r="NDT132" s="21"/>
      <c r="NDU132" s="20"/>
      <c r="NDV132" s="20"/>
      <c r="NDW132" s="20"/>
      <c r="NDX132" s="21"/>
      <c r="NDY132" s="21"/>
      <c r="NDZ132" s="21"/>
      <c r="NEA132" s="21"/>
      <c r="NEB132" s="21"/>
      <c r="NEC132" s="20"/>
      <c r="NED132" s="20"/>
      <c r="NEE132" s="20"/>
      <c r="NEF132" s="20"/>
      <c r="NEG132" s="21"/>
      <c r="NEH132" s="21"/>
      <c r="NEI132" s="7"/>
      <c r="NEJ132" s="7"/>
      <c r="NEK132" s="21"/>
      <c r="NEL132" s="20"/>
      <c r="NEM132" s="20"/>
      <c r="NEN132" s="20"/>
      <c r="NEO132" s="21"/>
      <c r="NEP132" s="21"/>
      <c r="NEQ132" s="21"/>
      <c r="NER132" s="21"/>
      <c r="NES132" s="21"/>
      <c r="NET132" s="20"/>
      <c r="NEU132" s="20"/>
      <c r="NEV132" s="20"/>
      <c r="NEW132" s="20"/>
      <c r="NEX132" s="21"/>
      <c r="NEY132" s="21"/>
      <c r="NEZ132" s="7"/>
      <c r="NFA132" s="7"/>
      <c r="NFB132" s="21"/>
      <c r="NFC132" s="20"/>
      <c r="NFD132" s="20"/>
      <c r="NFE132" s="20"/>
      <c r="NFF132" s="21"/>
      <c r="NFG132" s="21"/>
      <c r="NFH132" s="21"/>
      <c r="NFI132" s="21"/>
      <c r="NFJ132" s="21"/>
      <c r="NFK132" s="20"/>
      <c r="NFL132" s="20"/>
      <c r="NFM132" s="20"/>
      <c r="NFN132" s="20"/>
      <c r="NFO132" s="21"/>
      <c r="NFP132" s="21"/>
      <c r="NFQ132" s="7"/>
      <c r="NFR132" s="7"/>
      <c r="NFS132" s="21"/>
      <c r="NFT132" s="20"/>
      <c r="NFU132" s="20"/>
      <c r="NFV132" s="20"/>
      <c r="NFW132" s="21"/>
      <c r="NFX132" s="21"/>
      <c r="NFY132" s="21"/>
      <c r="NFZ132" s="21"/>
      <c r="NGA132" s="21"/>
      <c r="NGB132" s="20"/>
      <c r="NGC132" s="20"/>
      <c r="NGD132" s="20"/>
      <c r="NGE132" s="20"/>
      <c r="NGF132" s="21"/>
      <c r="NGG132" s="21"/>
      <c r="NGH132" s="7"/>
      <c r="NGI132" s="7"/>
      <c r="NGJ132" s="21"/>
      <c r="NGK132" s="20"/>
      <c r="NGL132" s="20"/>
      <c r="NGM132" s="20"/>
      <c r="NGN132" s="21"/>
      <c r="NGO132" s="21"/>
      <c r="NGP132" s="21"/>
      <c r="NGQ132" s="21"/>
      <c r="NGR132" s="21"/>
      <c r="NGS132" s="20"/>
      <c r="NGT132" s="20"/>
      <c r="NGU132" s="20"/>
      <c r="NGV132" s="20"/>
      <c r="NGW132" s="21"/>
      <c r="NGX132" s="21"/>
      <c r="NGY132" s="7"/>
      <c r="NGZ132" s="7"/>
      <c r="NHA132" s="21"/>
      <c r="NHB132" s="20"/>
      <c r="NHC132" s="20"/>
      <c r="NHD132" s="20"/>
      <c r="NHE132" s="21"/>
      <c r="NHF132" s="21"/>
      <c r="NHG132" s="21"/>
      <c r="NHH132" s="21"/>
      <c r="NHI132" s="21"/>
      <c r="NHJ132" s="20"/>
      <c r="NHK132" s="20"/>
      <c r="NHL132" s="20"/>
      <c r="NHM132" s="20"/>
      <c r="NHN132" s="21"/>
      <c r="NHO132" s="21"/>
      <c r="NHP132" s="7"/>
      <c r="NHQ132" s="7"/>
      <c r="NHR132" s="21"/>
      <c r="NHS132" s="20"/>
      <c r="NHT132" s="20"/>
      <c r="NHU132" s="20"/>
      <c r="NHV132" s="21"/>
      <c r="NHW132" s="21"/>
      <c r="NHX132" s="21"/>
      <c r="NHY132" s="21"/>
      <c r="NHZ132" s="21"/>
      <c r="NIA132" s="20"/>
      <c r="NIB132" s="20"/>
      <c r="NIC132" s="20"/>
      <c r="NID132" s="20"/>
      <c r="NIE132" s="21"/>
      <c r="NIF132" s="21"/>
      <c r="NIG132" s="7"/>
      <c r="NIH132" s="7"/>
      <c r="NII132" s="21"/>
      <c r="NIJ132" s="20"/>
      <c r="NIK132" s="20"/>
      <c r="NIL132" s="20"/>
      <c r="NIM132" s="21"/>
      <c r="NIN132" s="21"/>
      <c r="NIO132" s="21"/>
      <c r="NIP132" s="21"/>
      <c r="NIQ132" s="21"/>
      <c r="NIR132" s="20"/>
      <c r="NIS132" s="20"/>
      <c r="NIT132" s="20"/>
      <c r="NIU132" s="20"/>
      <c r="NIV132" s="21"/>
      <c r="NIW132" s="21"/>
      <c r="NIX132" s="7"/>
      <c r="NIY132" s="7"/>
      <c r="NIZ132" s="21"/>
      <c r="NJA132" s="20"/>
      <c r="NJB132" s="20"/>
      <c r="NJC132" s="20"/>
      <c r="NJD132" s="21"/>
      <c r="NJE132" s="21"/>
      <c r="NJF132" s="21"/>
      <c r="NJG132" s="21"/>
      <c r="NJH132" s="21"/>
      <c r="NJI132" s="20"/>
      <c r="NJJ132" s="20"/>
      <c r="NJK132" s="20"/>
      <c r="NJL132" s="20"/>
      <c r="NJM132" s="21"/>
      <c r="NJN132" s="21"/>
      <c r="NJO132" s="7"/>
      <c r="NJP132" s="7"/>
      <c r="NJQ132" s="21"/>
      <c r="NJR132" s="20"/>
      <c r="NJS132" s="20"/>
      <c r="NJT132" s="20"/>
      <c r="NJU132" s="21"/>
      <c r="NJV132" s="21"/>
      <c r="NJW132" s="21"/>
      <c r="NJX132" s="21"/>
      <c r="NJY132" s="21"/>
      <c r="NJZ132" s="20"/>
      <c r="NKA132" s="20"/>
      <c r="NKB132" s="20"/>
      <c r="NKC132" s="20"/>
      <c r="NKD132" s="21"/>
      <c r="NKE132" s="21"/>
      <c r="NKF132" s="7"/>
      <c r="NKG132" s="7"/>
      <c r="NKH132" s="21"/>
      <c r="NKI132" s="20"/>
      <c r="NKJ132" s="20"/>
      <c r="NKK132" s="20"/>
      <c r="NKL132" s="21"/>
      <c r="NKM132" s="21"/>
      <c r="NKN132" s="21"/>
      <c r="NKO132" s="21"/>
      <c r="NKP132" s="21"/>
      <c r="NKQ132" s="20"/>
      <c r="NKR132" s="20"/>
      <c r="NKS132" s="20"/>
      <c r="NKT132" s="20"/>
      <c r="NKU132" s="21"/>
      <c r="NKV132" s="21"/>
      <c r="NKW132" s="7"/>
      <c r="NKX132" s="7"/>
      <c r="NKY132" s="21"/>
      <c r="NKZ132" s="20"/>
      <c r="NLA132" s="20"/>
      <c r="NLB132" s="20"/>
      <c r="NLC132" s="21"/>
      <c r="NLD132" s="21"/>
      <c r="NLE132" s="21"/>
      <c r="NLF132" s="21"/>
      <c r="NLG132" s="21"/>
      <c r="NLH132" s="20"/>
      <c r="NLI132" s="20"/>
      <c r="NLJ132" s="20"/>
      <c r="NLK132" s="20"/>
      <c r="NLL132" s="21"/>
      <c r="NLM132" s="21"/>
      <c r="NLN132" s="7"/>
      <c r="NLO132" s="7"/>
      <c r="NLP132" s="21"/>
      <c r="NLQ132" s="20"/>
      <c r="NLR132" s="20"/>
      <c r="NLS132" s="20"/>
      <c r="NLT132" s="21"/>
      <c r="NLU132" s="21"/>
      <c r="NLV132" s="21"/>
      <c r="NLW132" s="21"/>
      <c r="NLX132" s="21"/>
      <c r="NLY132" s="20"/>
      <c r="NLZ132" s="20"/>
      <c r="NMA132" s="20"/>
      <c r="NMB132" s="20"/>
      <c r="NMC132" s="21"/>
      <c r="NMD132" s="21"/>
      <c r="NME132" s="7"/>
      <c r="NMF132" s="7"/>
      <c r="NMG132" s="21"/>
      <c r="NMH132" s="20"/>
      <c r="NMI132" s="20"/>
      <c r="NMJ132" s="20"/>
      <c r="NMK132" s="21"/>
      <c r="NML132" s="21"/>
      <c r="NMM132" s="21"/>
      <c r="NMN132" s="21"/>
      <c r="NMO132" s="21"/>
      <c r="NMP132" s="20"/>
      <c r="NMQ132" s="20"/>
      <c r="NMR132" s="20"/>
      <c r="NMS132" s="20"/>
      <c r="NMT132" s="21"/>
      <c r="NMU132" s="21"/>
      <c r="NMV132" s="7"/>
      <c r="NMW132" s="7"/>
      <c r="NMX132" s="21"/>
      <c r="NMY132" s="20"/>
      <c r="NMZ132" s="20"/>
      <c r="NNA132" s="20"/>
      <c r="NNB132" s="21"/>
      <c r="NNC132" s="21"/>
      <c r="NND132" s="21"/>
      <c r="NNE132" s="21"/>
      <c r="NNF132" s="21"/>
      <c r="NNG132" s="20"/>
      <c r="NNH132" s="20"/>
      <c r="NNI132" s="20"/>
      <c r="NNJ132" s="20"/>
      <c r="NNK132" s="21"/>
      <c r="NNL132" s="21"/>
      <c r="NNM132" s="7"/>
      <c r="NNN132" s="7"/>
      <c r="NNO132" s="21"/>
      <c r="NNP132" s="20"/>
      <c r="NNQ132" s="20"/>
      <c r="NNR132" s="20"/>
      <c r="NNS132" s="21"/>
      <c r="NNT132" s="21"/>
      <c r="NNU132" s="21"/>
      <c r="NNV132" s="21"/>
      <c r="NNW132" s="21"/>
      <c r="NNX132" s="20"/>
      <c r="NNY132" s="20"/>
      <c r="NNZ132" s="20"/>
      <c r="NOA132" s="20"/>
      <c r="NOB132" s="21"/>
      <c r="NOC132" s="21"/>
      <c r="NOD132" s="7"/>
      <c r="NOE132" s="7"/>
      <c r="NOF132" s="21"/>
      <c r="NOG132" s="20"/>
      <c r="NOH132" s="20"/>
      <c r="NOI132" s="20"/>
      <c r="NOJ132" s="21"/>
      <c r="NOK132" s="21"/>
      <c r="NOL132" s="21"/>
      <c r="NOM132" s="21"/>
      <c r="NON132" s="21"/>
      <c r="NOO132" s="20"/>
      <c r="NOP132" s="20"/>
      <c r="NOQ132" s="20"/>
      <c r="NOR132" s="20"/>
      <c r="NOS132" s="21"/>
      <c r="NOT132" s="21"/>
      <c r="NOU132" s="7"/>
      <c r="NOV132" s="7"/>
      <c r="NOW132" s="21"/>
      <c r="NOX132" s="20"/>
      <c r="NOY132" s="20"/>
      <c r="NOZ132" s="20"/>
      <c r="NPA132" s="21"/>
      <c r="NPB132" s="21"/>
      <c r="NPC132" s="21"/>
      <c r="NPD132" s="21"/>
      <c r="NPE132" s="21"/>
      <c r="NPF132" s="20"/>
      <c r="NPG132" s="20"/>
      <c r="NPH132" s="20"/>
      <c r="NPI132" s="20"/>
      <c r="NPJ132" s="21"/>
      <c r="NPK132" s="21"/>
      <c r="NPL132" s="7"/>
      <c r="NPM132" s="7"/>
      <c r="NPN132" s="21"/>
      <c r="NPO132" s="20"/>
      <c r="NPP132" s="20"/>
      <c r="NPQ132" s="20"/>
      <c r="NPR132" s="21"/>
      <c r="NPS132" s="21"/>
      <c r="NPT132" s="21"/>
      <c r="NPU132" s="21"/>
      <c r="NPV132" s="21"/>
      <c r="NPW132" s="20"/>
      <c r="NPX132" s="20"/>
      <c r="NPY132" s="20"/>
      <c r="NPZ132" s="20"/>
      <c r="NQA132" s="21"/>
      <c r="NQB132" s="21"/>
      <c r="NQC132" s="7"/>
      <c r="NQD132" s="7"/>
      <c r="NQE132" s="21"/>
      <c r="NQF132" s="20"/>
      <c r="NQG132" s="20"/>
      <c r="NQH132" s="20"/>
      <c r="NQI132" s="21"/>
      <c r="NQJ132" s="21"/>
      <c r="NQK132" s="21"/>
      <c r="NQL132" s="21"/>
      <c r="NQM132" s="21"/>
      <c r="NQN132" s="20"/>
      <c r="NQO132" s="20"/>
      <c r="NQP132" s="20"/>
      <c r="NQQ132" s="20"/>
      <c r="NQR132" s="21"/>
      <c r="NQS132" s="21"/>
      <c r="NQT132" s="7"/>
      <c r="NQU132" s="7"/>
      <c r="NQV132" s="21"/>
      <c r="NQW132" s="20"/>
      <c r="NQX132" s="20"/>
      <c r="NQY132" s="20"/>
      <c r="NQZ132" s="21"/>
      <c r="NRA132" s="21"/>
      <c r="NRB132" s="21"/>
      <c r="NRC132" s="21"/>
      <c r="NRD132" s="21"/>
      <c r="NRE132" s="20"/>
      <c r="NRF132" s="20"/>
      <c r="NRG132" s="20"/>
      <c r="NRH132" s="20"/>
      <c r="NRI132" s="21"/>
      <c r="NRJ132" s="21"/>
      <c r="NRK132" s="7"/>
      <c r="NRL132" s="7"/>
      <c r="NRM132" s="21"/>
      <c r="NRN132" s="20"/>
      <c r="NRO132" s="20"/>
      <c r="NRP132" s="20"/>
      <c r="NRQ132" s="21"/>
      <c r="NRR132" s="21"/>
      <c r="NRS132" s="21"/>
      <c r="NRT132" s="21"/>
      <c r="NRU132" s="21"/>
      <c r="NRV132" s="20"/>
      <c r="NRW132" s="20"/>
      <c r="NRX132" s="20"/>
      <c r="NRY132" s="20"/>
      <c r="NRZ132" s="21"/>
      <c r="NSA132" s="21"/>
      <c r="NSB132" s="7"/>
      <c r="NSC132" s="7"/>
      <c r="NSD132" s="21"/>
      <c r="NSE132" s="20"/>
      <c r="NSF132" s="20"/>
      <c r="NSG132" s="20"/>
      <c r="NSH132" s="21"/>
      <c r="NSI132" s="21"/>
      <c r="NSJ132" s="21"/>
      <c r="NSK132" s="21"/>
      <c r="NSL132" s="21"/>
      <c r="NSM132" s="20"/>
      <c r="NSN132" s="20"/>
      <c r="NSO132" s="20"/>
      <c r="NSP132" s="20"/>
      <c r="NSQ132" s="21"/>
      <c r="NSR132" s="21"/>
      <c r="NSS132" s="7"/>
      <c r="NST132" s="7"/>
      <c r="NSU132" s="21"/>
      <c r="NSV132" s="20"/>
      <c r="NSW132" s="20"/>
      <c r="NSX132" s="20"/>
      <c r="NSY132" s="21"/>
      <c r="NSZ132" s="21"/>
      <c r="NTA132" s="21"/>
      <c r="NTB132" s="21"/>
      <c r="NTC132" s="21"/>
      <c r="NTD132" s="20"/>
      <c r="NTE132" s="20"/>
      <c r="NTF132" s="20"/>
      <c r="NTG132" s="20"/>
      <c r="NTH132" s="21"/>
      <c r="NTI132" s="21"/>
      <c r="NTJ132" s="7"/>
      <c r="NTK132" s="7"/>
      <c r="NTL132" s="21"/>
      <c r="NTM132" s="20"/>
      <c r="NTN132" s="20"/>
      <c r="NTO132" s="20"/>
      <c r="NTP132" s="21"/>
      <c r="NTQ132" s="21"/>
      <c r="NTR132" s="21"/>
      <c r="NTS132" s="21"/>
      <c r="NTT132" s="21"/>
      <c r="NTU132" s="20"/>
      <c r="NTV132" s="20"/>
      <c r="NTW132" s="20"/>
      <c r="NTX132" s="20"/>
      <c r="NTY132" s="21"/>
      <c r="NTZ132" s="21"/>
      <c r="NUA132" s="7"/>
      <c r="NUB132" s="7"/>
      <c r="NUC132" s="21"/>
      <c r="NUD132" s="20"/>
      <c r="NUE132" s="20"/>
      <c r="NUF132" s="20"/>
      <c r="NUG132" s="21"/>
      <c r="NUH132" s="21"/>
      <c r="NUI132" s="21"/>
      <c r="NUJ132" s="21"/>
      <c r="NUK132" s="21"/>
      <c r="NUL132" s="20"/>
      <c r="NUM132" s="20"/>
      <c r="NUN132" s="20"/>
      <c r="NUO132" s="20"/>
      <c r="NUP132" s="21"/>
      <c r="NUQ132" s="21"/>
      <c r="NUR132" s="7"/>
      <c r="NUS132" s="7"/>
      <c r="NUT132" s="21"/>
      <c r="NUU132" s="20"/>
      <c r="NUV132" s="20"/>
      <c r="NUW132" s="20"/>
      <c r="NUX132" s="21"/>
      <c r="NUY132" s="21"/>
      <c r="NUZ132" s="21"/>
      <c r="NVA132" s="21"/>
      <c r="NVB132" s="21"/>
      <c r="NVC132" s="20"/>
      <c r="NVD132" s="20"/>
      <c r="NVE132" s="20"/>
      <c r="NVF132" s="20"/>
      <c r="NVG132" s="21"/>
      <c r="NVH132" s="21"/>
      <c r="NVI132" s="7"/>
      <c r="NVJ132" s="7"/>
      <c r="NVK132" s="21"/>
      <c r="NVL132" s="20"/>
      <c r="NVM132" s="20"/>
      <c r="NVN132" s="20"/>
      <c r="NVO132" s="21"/>
      <c r="NVP132" s="21"/>
      <c r="NVQ132" s="21"/>
      <c r="NVR132" s="21"/>
      <c r="NVS132" s="21"/>
      <c r="NVT132" s="20"/>
      <c r="NVU132" s="20"/>
      <c r="NVV132" s="20"/>
      <c r="NVW132" s="20"/>
      <c r="NVX132" s="21"/>
      <c r="NVY132" s="21"/>
      <c r="NVZ132" s="7"/>
      <c r="NWA132" s="7"/>
      <c r="NWB132" s="21"/>
      <c r="NWC132" s="20"/>
      <c r="NWD132" s="20"/>
      <c r="NWE132" s="20"/>
      <c r="NWF132" s="21"/>
      <c r="NWG132" s="21"/>
      <c r="NWH132" s="21"/>
      <c r="NWI132" s="21"/>
      <c r="NWJ132" s="21"/>
      <c r="NWK132" s="20"/>
      <c r="NWL132" s="20"/>
      <c r="NWM132" s="20"/>
      <c r="NWN132" s="20"/>
      <c r="NWO132" s="21"/>
      <c r="NWP132" s="21"/>
      <c r="NWQ132" s="7"/>
      <c r="NWR132" s="7"/>
      <c r="NWS132" s="21"/>
      <c r="NWT132" s="20"/>
      <c r="NWU132" s="20"/>
      <c r="NWV132" s="20"/>
      <c r="NWW132" s="21"/>
      <c r="NWX132" s="21"/>
      <c r="NWY132" s="21"/>
      <c r="NWZ132" s="21"/>
      <c r="NXA132" s="21"/>
      <c r="NXB132" s="20"/>
      <c r="NXC132" s="20"/>
      <c r="NXD132" s="20"/>
      <c r="NXE132" s="20"/>
      <c r="NXF132" s="21"/>
      <c r="NXG132" s="21"/>
      <c r="NXH132" s="7"/>
      <c r="NXI132" s="7"/>
      <c r="NXJ132" s="21"/>
      <c r="NXK132" s="20"/>
      <c r="NXL132" s="20"/>
      <c r="NXM132" s="20"/>
      <c r="NXN132" s="21"/>
      <c r="NXO132" s="21"/>
      <c r="NXP132" s="21"/>
      <c r="NXQ132" s="21"/>
      <c r="NXR132" s="21"/>
      <c r="NXS132" s="20"/>
      <c r="NXT132" s="20"/>
      <c r="NXU132" s="20"/>
      <c r="NXV132" s="20"/>
      <c r="NXW132" s="21"/>
      <c r="NXX132" s="21"/>
      <c r="NXY132" s="7"/>
      <c r="NXZ132" s="7"/>
      <c r="NYA132" s="21"/>
      <c r="NYB132" s="20"/>
      <c r="NYC132" s="20"/>
      <c r="NYD132" s="20"/>
      <c r="NYE132" s="21"/>
      <c r="NYF132" s="21"/>
      <c r="NYG132" s="21"/>
      <c r="NYH132" s="21"/>
      <c r="NYI132" s="21"/>
      <c r="NYJ132" s="20"/>
      <c r="NYK132" s="20"/>
      <c r="NYL132" s="20"/>
      <c r="NYM132" s="20"/>
      <c r="NYN132" s="21"/>
      <c r="NYO132" s="21"/>
      <c r="NYP132" s="7"/>
      <c r="NYQ132" s="7"/>
      <c r="NYR132" s="21"/>
      <c r="NYS132" s="20"/>
      <c r="NYT132" s="20"/>
      <c r="NYU132" s="20"/>
      <c r="NYV132" s="21"/>
      <c r="NYW132" s="21"/>
      <c r="NYX132" s="21"/>
      <c r="NYY132" s="21"/>
      <c r="NYZ132" s="21"/>
      <c r="NZA132" s="20"/>
      <c r="NZB132" s="20"/>
      <c r="NZC132" s="20"/>
      <c r="NZD132" s="20"/>
      <c r="NZE132" s="21"/>
      <c r="NZF132" s="21"/>
      <c r="NZG132" s="7"/>
      <c r="NZH132" s="7"/>
      <c r="NZI132" s="21"/>
      <c r="NZJ132" s="20"/>
      <c r="NZK132" s="20"/>
      <c r="NZL132" s="20"/>
      <c r="NZM132" s="21"/>
      <c r="NZN132" s="21"/>
      <c r="NZO132" s="21"/>
      <c r="NZP132" s="21"/>
      <c r="NZQ132" s="21"/>
      <c r="NZR132" s="20"/>
      <c r="NZS132" s="20"/>
      <c r="NZT132" s="20"/>
      <c r="NZU132" s="20"/>
      <c r="NZV132" s="21"/>
      <c r="NZW132" s="21"/>
      <c r="NZX132" s="7"/>
      <c r="NZY132" s="7"/>
      <c r="NZZ132" s="21"/>
      <c r="OAA132" s="20"/>
      <c r="OAB132" s="20"/>
      <c r="OAC132" s="20"/>
      <c r="OAD132" s="21"/>
      <c r="OAE132" s="21"/>
      <c r="OAF132" s="21"/>
      <c r="OAG132" s="21"/>
      <c r="OAH132" s="21"/>
      <c r="OAI132" s="20"/>
      <c r="OAJ132" s="20"/>
      <c r="OAK132" s="20"/>
      <c r="OAL132" s="20"/>
      <c r="OAM132" s="21"/>
      <c r="OAN132" s="21"/>
      <c r="OAO132" s="7"/>
      <c r="OAP132" s="7"/>
      <c r="OAQ132" s="21"/>
      <c r="OAR132" s="20"/>
      <c r="OAS132" s="20"/>
      <c r="OAT132" s="20"/>
      <c r="OAU132" s="21"/>
      <c r="OAV132" s="21"/>
      <c r="OAW132" s="21"/>
      <c r="OAX132" s="21"/>
      <c r="OAY132" s="21"/>
      <c r="OAZ132" s="20"/>
      <c r="OBA132" s="20"/>
      <c r="OBB132" s="20"/>
      <c r="OBC132" s="20"/>
      <c r="OBD132" s="21"/>
      <c r="OBE132" s="21"/>
      <c r="OBF132" s="7"/>
      <c r="OBG132" s="7"/>
      <c r="OBH132" s="21"/>
      <c r="OBI132" s="20"/>
      <c r="OBJ132" s="20"/>
      <c r="OBK132" s="20"/>
      <c r="OBL132" s="21"/>
      <c r="OBM132" s="21"/>
      <c r="OBN132" s="21"/>
      <c r="OBO132" s="21"/>
      <c r="OBP132" s="21"/>
      <c r="OBQ132" s="20"/>
      <c r="OBR132" s="20"/>
      <c r="OBS132" s="20"/>
      <c r="OBT132" s="20"/>
      <c r="OBU132" s="21"/>
      <c r="OBV132" s="21"/>
      <c r="OBW132" s="7"/>
      <c r="OBX132" s="7"/>
      <c r="OBY132" s="21"/>
      <c r="OBZ132" s="20"/>
      <c r="OCA132" s="20"/>
      <c r="OCB132" s="20"/>
      <c r="OCC132" s="21"/>
      <c r="OCD132" s="21"/>
      <c r="OCE132" s="21"/>
      <c r="OCF132" s="21"/>
      <c r="OCG132" s="21"/>
      <c r="OCH132" s="20"/>
      <c r="OCI132" s="20"/>
      <c r="OCJ132" s="20"/>
      <c r="OCK132" s="20"/>
      <c r="OCL132" s="21"/>
      <c r="OCM132" s="21"/>
      <c r="OCN132" s="7"/>
      <c r="OCO132" s="7"/>
      <c r="OCP132" s="21"/>
      <c r="OCQ132" s="20"/>
      <c r="OCR132" s="20"/>
      <c r="OCS132" s="20"/>
      <c r="OCT132" s="21"/>
      <c r="OCU132" s="21"/>
      <c r="OCV132" s="21"/>
      <c r="OCW132" s="21"/>
      <c r="OCX132" s="21"/>
      <c r="OCY132" s="20"/>
      <c r="OCZ132" s="20"/>
      <c r="ODA132" s="20"/>
      <c r="ODB132" s="20"/>
      <c r="ODC132" s="21"/>
      <c r="ODD132" s="21"/>
      <c r="ODE132" s="7"/>
      <c r="ODF132" s="7"/>
      <c r="ODG132" s="21"/>
      <c r="ODH132" s="20"/>
      <c r="ODI132" s="20"/>
      <c r="ODJ132" s="20"/>
      <c r="ODK132" s="21"/>
      <c r="ODL132" s="21"/>
      <c r="ODM132" s="21"/>
      <c r="ODN132" s="21"/>
      <c r="ODO132" s="21"/>
      <c r="ODP132" s="20"/>
      <c r="ODQ132" s="20"/>
      <c r="ODR132" s="20"/>
      <c r="ODS132" s="20"/>
      <c r="ODT132" s="21"/>
      <c r="ODU132" s="21"/>
      <c r="ODV132" s="7"/>
      <c r="ODW132" s="7"/>
      <c r="ODX132" s="21"/>
      <c r="ODY132" s="20"/>
      <c r="ODZ132" s="20"/>
      <c r="OEA132" s="20"/>
      <c r="OEB132" s="21"/>
      <c r="OEC132" s="21"/>
      <c r="OED132" s="21"/>
      <c r="OEE132" s="21"/>
      <c r="OEF132" s="21"/>
      <c r="OEG132" s="20"/>
      <c r="OEH132" s="20"/>
      <c r="OEI132" s="20"/>
      <c r="OEJ132" s="20"/>
      <c r="OEK132" s="21"/>
      <c r="OEL132" s="21"/>
      <c r="OEM132" s="7"/>
      <c r="OEN132" s="7"/>
      <c r="OEO132" s="21"/>
      <c r="OEP132" s="20"/>
      <c r="OEQ132" s="20"/>
      <c r="OER132" s="20"/>
      <c r="OES132" s="21"/>
      <c r="OET132" s="21"/>
      <c r="OEU132" s="21"/>
      <c r="OEV132" s="21"/>
      <c r="OEW132" s="21"/>
      <c r="OEX132" s="20"/>
      <c r="OEY132" s="20"/>
      <c r="OEZ132" s="20"/>
      <c r="OFA132" s="20"/>
      <c r="OFB132" s="21"/>
      <c r="OFC132" s="21"/>
      <c r="OFD132" s="7"/>
      <c r="OFE132" s="7"/>
      <c r="OFF132" s="21"/>
      <c r="OFG132" s="20"/>
      <c r="OFH132" s="20"/>
      <c r="OFI132" s="20"/>
      <c r="OFJ132" s="21"/>
      <c r="OFK132" s="21"/>
      <c r="OFL132" s="21"/>
      <c r="OFM132" s="21"/>
      <c r="OFN132" s="21"/>
      <c r="OFO132" s="20"/>
      <c r="OFP132" s="20"/>
      <c r="OFQ132" s="20"/>
      <c r="OFR132" s="20"/>
      <c r="OFS132" s="21"/>
      <c r="OFT132" s="21"/>
      <c r="OFU132" s="7"/>
      <c r="OFV132" s="7"/>
      <c r="OFW132" s="21"/>
      <c r="OFX132" s="20"/>
      <c r="OFY132" s="20"/>
      <c r="OFZ132" s="20"/>
      <c r="OGA132" s="21"/>
      <c r="OGB132" s="21"/>
      <c r="OGC132" s="21"/>
      <c r="OGD132" s="21"/>
      <c r="OGE132" s="21"/>
      <c r="OGF132" s="20"/>
      <c r="OGG132" s="20"/>
      <c r="OGH132" s="20"/>
      <c r="OGI132" s="20"/>
      <c r="OGJ132" s="21"/>
      <c r="OGK132" s="21"/>
      <c r="OGL132" s="7"/>
      <c r="OGM132" s="7"/>
      <c r="OGN132" s="21"/>
      <c r="OGO132" s="20"/>
      <c r="OGP132" s="20"/>
      <c r="OGQ132" s="20"/>
      <c r="OGR132" s="21"/>
      <c r="OGS132" s="21"/>
      <c r="OGT132" s="21"/>
      <c r="OGU132" s="21"/>
      <c r="OGV132" s="21"/>
      <c r="OGW132" s="20"/>
      <c r="OGX132" s="20"/>
      <c r="OGY132" s="20"/>
      <c r="OGZ132" s="20"/>
      <c r="OHA132" s="21"/>
      <c r="OHB132" s="21"/>
      <c r="OHC132" s="7"/>
      <c r="OHD132" s="7"/>
      <c r="OHE132" s="21"/>
      <c r="OHF132" s="20"/>
      <c r="OHG132" s="20"/>
      <c r="OHH132" s="20"/>
      <c r="OHI132" s="21"/>
      <c r="OHJ132" s="21"/>
      <c r="OHK132" s="21"/>
      <c r="OHL132" s="21"/>
      <c r="OHM132" s="21"/>
      <c r="OHN132" s="20"/>
      <c r="OHO132" s="20"/>
      <c r="OHP132" s="20"/>
      <c r="OHQ132" s="20"/>
      <c r="OHR132" s="21"/>
      <c r="OHS132" s="21"/>
      <c r="OHT132" s="7"/>
      <c r="OHU132" s="7"/>
      <c r="OHV132" s="21"/>
      <c r="OHW132" s="20"/>
      <c r="OHX132" s="20"/>
      <c r="OHY132" s="20"/>
      <c r="OHZ132" s="21"/>
      <c r="OIA132" s="21"/>
      <c r="OIB132" s="21"/>
      <c r="OIC132" s="21"/>
      <c r="OID132" s="21"/>
      <c r="OIE132" s="20"/>
      <c r="OIF132" s="20"/>
      <c r="OIG132" s="20"/>
      <c r="OIH132" s="20"/>
      <c r="OII132" s="21"/>
      <c r="OIJ132" s="21"/>
      <c r="OIK132" s="7"/>
      <c r="OIL132" s="7"/>
      <c r="OIM132" s="21"/>
      <c r="OIN132" s="20"/>
      <c r="OIO132" s="20"/>
      <c r="OIP132" s="20"/>
      <c r="OIQ132" s="21"/>
      <c r="OIR132" s="21"/>
      <c r="OIS132" s="21"/>
      <c r="OIT132" s="21"/>
      <c r="OIU132" s="21"/>
      <c r="OIV132" s="20"/>
      <c r="OIW132" s="20"/>
      <c r="OIX132" s="20"/>
      <c r="OIY132" s="20"/>
      <c r="OIZ132" s="21"/>
      <c r="OJA132" s="21"/>
      <c r="OJB132" s="7"/>
      <c r="OJC132" s="7"/>
      <c r="OJD132" s="21"/>
      <c r="OJE132" s="20"/>
      <c r="OJF132" s="20"/>
      <c r="OJG132" s="20"/>
      <c r="OJH132" s="21"/>
      <c r="OJI132" s="21"/>
      <c r="OJJ132" s="21"/>
      <c r="OJK132" s="21"/>
      <c r="OJL132" s="21"/>
      <c r="OJM132" s="20"/>
      <c r="OJN132" s="20"/>
      <c r="OJO132" s="20"/>
      <c r="OJP132" s="20"/>
      <c r="OJQ132" s="21"/>
      <c r="OJR132" s="21"/>
      <c r="OJS132" s="7"/>
      <c r="OJT132" s="7"/>
      <c r="OJU132" s="21"/>
      <c r="OJV132" s="20"/>
      <c r="OJW132" s="20"/>
      <c r="OJX132" s="20"/>
      <c r="OJY132" s="21"/>
      <c r="OJZ132" s="21"/>
      <c r="OKA132" s="21"/>
      <c r="OKB132" s="21"/>
      <c r="OKC132" s="21"/>
      <c r="OKD132" s="20"/>
      <c r="OKE132" s="20"/>
      <c r="OKF132" s="20"/>
      <c r="OKG132" s="20"/>
      <c r="OKH132" s="21"/>
      <c r="OKI132" s="21"/>
      <c r="OKJ132" s="7"/>
      <c r="OKK132" s="7"/>
      <c r="OKL132" s="21"/>
      <c r="OKM132" s="20"/>
      <c r="OKN132" s="20"/>
      <c r="OKO132" s="20"/>
      <c r="OKP132" s="21"/>
      <c r="OKQ132" s="21"/>
      <c r="OKR132" s="21"/>
      <c r="OKS132" s="21"/>
      <c r="OKT132" s="21"/>
      <c r="OKU132" s="20"/>
      <c r="OKV132" s="20"/>
      <c r="OKW132" s="20"/>
      <c r="OKX132" s="20"/>
      <c r="OKY132" s="21"/>
      <c r="OKZ132" s="21"/>
      <c r="OLA132" s="7"/>
      <c r="OLB132" s="7"/>
      <c r="OLC132" s="21"/>
      <c r="OLD132" s="20"/>
      <c r="OLE132" s="20"/>
      <c r="OLF132" s="20"/>
      <c r="OLG132" s="21"/>
      <c r="OLH132" s="21"/>
      <c r="OLI132" s="21"/>
      <c r="OLJ132" s="21"/>
      <c r="OLK132" s="21"/>
      <c r="OLL132" s="20"/>
      <c r="OLM132" s="20"/>
      <c r="OLN132" s="20"/>
      <c r="OLO132" s="20"/>
      <c r="OLP132" s="21"/>
      <c r="OLQ132" s="21"/>
      <c r="OLR132" s="7"/>
      <c r="OLS132" s="7"/>
      <c r="OLT132" s="21"/>
      <c r="OLU132" s="20"/>
      <c r="OLV132" s="20"/>
      <c r="OLW132" s="20"/>
      <c r="OLX132" s="21"/>
      <c r="OLY132" s="21"/>
      <c r="OLZ132" s="21"/>
      <c r="OMA132" s="21"/>
      <c r="OMB132" s="21"/>
      <c r="OMC132" s="20"/>
      <c r="OMD132" s="20"/>
      <c r="OME132" s="20"/>
      <c r="OMF132" s="20"/>
      <c r="OMG132" s="21"/>
      <c r="OMH132" s="21"/>
      <c r="OMI132" s="7"/>
      <c r="OMJ132" s="7"/>
      <c r="OMK132" s="21"/>
      <c r="OML132" s="20"/>
      <c r="OMM132" s="20"/>
      <c r="OMN132" s="20"/>
      <c r="OMO132" s="21"/>
      <c r="OMP132" s="21"/>
      <c r="OMQ132" s="21"/>
      <c r="OMR132" s="21"/>
      <c r="OMS132" s="21"/>
      <c r="OMT132" s="20"/>
      <c r="OMU132" s="20"/>
      <c r="OMV132" s="20"/>
      <c r="OMW132" s="20"/>
      <c r="OMX132" s="21"/>
      <c r="OMY132" s="21"/>
      <c r="OMZ132" s="7"/>
      <c r="ONA132" s="7"/>
      <c r="ONB132" s="21"/>
      <c r="ONC132" s="20"/>
      <c r="OND132" s="20"/>
      <c r="ONE132" s="20"/>
      <c r="ONF132" s="21"/>
      <c r="ONG132" s="21"/>
      <c r="ONH132" s="21"/>
      <c r="ONI132" s="21"/>
      <c r="ONJ132" s="21"/>
      <c r="ONK132" s="20"/>
      <c r="ONL132" s="20"/>
      <c r="ONM132" s="20"/>
      <c r="ONN132" s="20"/>
      <c r="ONO132" s="21"/>
      <c r="ONP132" s="21"/>
      <c r="ONQ132" s="7"/>
      <c r="ONR132" s="7"/>
      <c r="ONS132" s="21"/>
      <c r="ONT132" s="20"/>
      <c r="ONU132" s="20"/>
      <c r="ONV132" s="20"/>
      <c r="ONW132" s="21"/>
      <c r="ONX132" s="21"/>
      <c r="ONY132" s="21"/>
      <c r="ONZ132" s="21"/>
      <c r="OOA132" s="21"/>
      <c r="OOB132" s="20"/>
      <c r="OOC132" s="20"/>
      <c r="OOD132" s="20"/>
      <c r="OOE132" s="20"/>
      <c r="OOF132" s="21"/>
      <c r="OOG132" s="21"/>
      <c r="OOH132" s="7"/>
      <c r="OOI132" s="7"/>
      <c r="OOJ132" s="21"/>
      <c r="OOK132" s="20"/>
      <c r="OOL132" s="20"/>
      <c r="OOM132" s="20"/>
      <c r="OON132" s="21"/>
      <c r="OOO132" s="21"/>
      <c r="OOP132" s="21"/>
      <c r="OOQ132" s="21"/>
      <c r="OOR132" s="21"/>
      <c r="OOS132" s="20"/>
      <c r="OOT132" s="20"/>
      <c r="OOU132" s="20"/>
      <c r="OOV132" s="20"/>
      <c r="OOW132" s="21"/>
      <c r="OOX132" s="21"/>
      <c r="OOY132" s="7"/>
      <c r="OOZ132" s="7"/>
      <c r="OPA132" s="21"/>
      <c r="OPB132" s="20"/>
      <c r="OPC132" s="20"/>
      <c r="OPD132" s="20"/>
      <c r="OPE132" s="21"/>
      <c r="OPF132" s="21"/>
      <c r="OPG132" s="21"/>
      <c r="OPH132" s="21"/>
      <c r="OPI132" s="21"/>
      <c r="OPJ132" s="20"/>
      <c r="OPK132" s="20"/>
      <c r="OPL132" s="20"/>
      <c r="OPM132" s="20"/>
      <c r="OPN132" s="21"/>
      <c r="OPO132" s="21"/>
      <c r="OPP132" s="7"/>
      <c r="OPQ132" s="7"/>
      <c r="OPR132" s="21"/>
      <c r="OPS132" s="20"/>
      <c r="OPT132" s="20"/>
      <c r="OPU132" s="20"/>
      <c r="OPV132" s="21"/>
      <c r="OPW132" s="21"/>
      <c r="OPX132" s="21"/>
      <c r="OPY132" s="21"/>
      <c r="OPZ132" s="21"/>
      <c r="OQA132" s="20"/>
      <c r="OQB132" s="20"/>
      <c r="OQC132" s="20"/>
      <c r="OQD132" s="20"/>
      <c r="OQE132" s="21"/>
      <c r="OQF132" s="21"/>
      <c r="OQG132" s="7"/>
      <c r="OQH132" s="7"/>
      <c r="OQI132" s="21"/>
      <c r="OQJ132" s="20"/>
      <c r="OQK132" s="20"/>
      <c r="OQL132" s="20"/>
      <c r="OQM132" s="21"/>
      <c r="OQN132" s="21"/>
      <c r="OQO132" s="21"/>
      <c r="OQP132" s="21"/>
      <c r="OQQ132" s="21"/>
      <c r="OQR132" s="20"/>
      <c r="OQS132" s="20"/>
      <c r="OQT132" s="20"/>
      <c r="OQU132" s="20"/>
      <c r="OQV132" s="21"/>
      <c r="OQW132" s="21"/>
      <c r="OQX132" s="7"/>
      <c r="OQY132" s="7"/>
      <c r="OQZ132" s="21"/>
      <c r="ORA132" s="20"/>
      <c r="ORB132" s="20"/>
      <c r="ORC132" s="20"/>
      <c r="ORD132" s="21"/>
      <c r="ORE132" s="21"/>
      <c r="ORF132" s="21"/>
      <c r="ORG132" s="21"/>
      <c r="ORH132" s="21"/>
      <c r="ORI132" s="20"/>
      <c r="ORJ132" s="20"/>
      <c r="ORK132" s="20"/>
      <c r="ORL132" s="20"/>
      <c r="ORM132" s="21"/>
      <c r="ORN132" s="21"/>
      <c r="ORO132" s="7"/>
      <c r="ORP132" s="7"/>
      <c r="ORQ132" s="21"/>
      <c r="ORR132" s="20"/>
      <c r="ORS132" s="20"/>
      <c r="ORT132" s="20"/>
      <c r="ORU132" s="21"/>
      <c r="ORV132" s="21"/>
      <c r="ORW132" s="21"/>
      <c r="ORX132" s="21"/>
      <c r="ORY132" s="21"/>
      <c r="ORZ132" s="20"/>
      <c r="OSA132" s="20"/>
      <c r="OSB132" s="20"/>
      <c r="OSC132" s="20"/>
      <c r="OSD132" s="21"/>
      <c r="OSE132" s="21"/>
      <c r="OSF132" s="7"/>
      <c r="OSG132" s="7"/>
      <c r="OSH132" s="21"/>
      <c r="OSI132" s="20"/>
      <c r="OSJ132" s="20"/>
      <c r="OSK132" s="20"/>
      <c r="OSL132" s="21"/>
      <c r="OSM132" s="21"/>
      <c r="OSN132" s="21"/>
      <c r="OSO132" s="21"/>
      <c r="OSP132" s="21"/>
      <c r="OSQ132" s="20"/>
      <c r="OSR132" s="20"/>
      <c r="OSS132" s="20"/>
      <c r="OST132" s="20"/>
      <c r="OSU132" s="21"/>
      <c r="OSV132" s="21"/>
      <c r="OSW132" s="7"/>
      <c r="OSX132" s="7"/>
      <c r="OSY132" s="21"/>
      <c r="OSZ132" s="20"/>
      <c r="OTA132" s="20"/>
      <c r="OTB132" s="20"/>
      <c r="OTC132" s="21"/>
      <c r="OTD132" s="21"/>
      <c r="OTE132" s="21"/>
      <c r="OTF132" s="21"/>
      <c r="OTG132" s="21"/>
      <c r="OTH132" s="20"/>
      <c r="OTI132" s="20"/>
      <c r="OTJ132" s="20"/>
      <c r="OTK132" s="20"/>
      <c r="OTL132" s="21"/>
      <c r="OTM132" s="21"/>
      <c r="OTN132" s="7"/>
      <c r="OTO132" s="7"/>
      <c r="OTP132" s="21"/>
      <c r="OTQ132" s="20"/>
      <c r="OTR132" s="20"/>
      <c r="OTS132" s="20"/>
      <c r="OTT132" s="21"/>
      <c r="OTU132" s="21"/>
      <c r="OTV132" s="21"/>
      <c r="OTW132" s="21"/>
      <c r="OTX132" s="21"/>
      <c r="OTY132" s="20"/>
      <c r="OTZ132" s="20"/>
      <c r="OUA132" s="20"/>
      <c r="OUB132" s="20"/>
      <c r="OUC132" s="21"/>
      <c r="OUD132" s="21"/>
      <c r="OUE132" s="7"/>
      <c r="OUF132" s="7"/>
      <c r="OUG132" s="21"/>
      <c r="OUH132" s="20"/>
      <c r="OUI132" s="20"/>
      <c r="OUJ132" s="20"/>
      <c r="OUK132" s="21"/>
      <c r="OUL132" s="21"/>
      <c r="OUM132" s="21"/>
      <c r="OUN132" s="21"/>
      <c r="OUO132" s="21"/>
      <c r="OUP132" s="20"/>
      <c r="OUQ132" s="20"/>
      <c r="OUR132" s="20"/>
      <c r="OUS132" s="20"/>
      <c r="OUT132" s="21"/>
      <c r="OUU132" s="21"/>
      <c r="OUV132" s="7"/>
      <c r="OUW132" s="7"/>
      <c r="OUX132" s="21"/>
      <c r="OUY132" s="20"/>
      <c r="OUZ132" s="20"/>
      <c r="OVA132" s="20"/>
      <c r="OVB132" s="21"/>
      <c r="OVC132" s="21"/>
      <c r="OVD132" s="21"/>
      <c r="OVE132" s="21"/>
      <c r="OVF132" s="21"/>
      <c r="OVG132" s="20"/>
      <c r="OVH132" s="20"/>
      <c r="OVI132" s="20"/>
      <c r="OVJ132" s="20"/>
      <c r="OVK132" s="21"/>
      <c r="OVL132" s="21"/>
      <c r="OVM132" s="7"/>
      <c r="OVN132" s="7"/>
      <c r="OVO132" s="21"/>
      <c r="OVP132" s="20"/>
      <c r="OVQ132" s="20"/>
      <c r="OVR132" s="20"/>
      <c r="OVS132" s="21"/>
      <c r="OVT132" s="21"/>
      <c r="OVU132" s="21"/>
      <c r="OVV132" s="21"/>
      <c r="OVW132" s="21"/>
      <c r="OVX132" s="20"/>
      <c r="OVY132" s="20"/>
      <c r="OVZ132" s="20"/>
      <c r="OWA132" s="20"/>
      <c r="OWB132" s="21"/>
      <c r="OWC132" s="21"/>
      <c r="OWD132" s="7"/>
      <c r="OWE132" s="7"/>
      <c r="OWF132" s="21"/>
      <c r="OWG132" s="20"/>
      <c r="OWH132" s="20"/>
      <c r="OWI132" s="20"/>
      <c r="OWJ132" s="21"/>
      <c r="OWK132" s="21"/>
      <c r="OWL132" s="21"/>
      <c r="OWM132" s="21"/>
      <c r="OWN132" s="21"/>
      <c r="OWO132" s="20"/>
      <c r="OWP132" s="20"/>
      <c r="OWQ132" s="20"/>
      <c r="OWR132" s="20"/>
      <c r="OWS132" s="21"/>
      <c r="OWT132" s="21"/>
      <c r="OWU132" s="7"/>
      <c r="OWV132" s="7"/>
      <c r="OWW132" s="21"/>
      <c r="OWX132" s="20"/>
      <c r="OWY132" s="20"/>
      <c r="OWZ132" s="20"/>
      <c r="OXA132" s="21"/>
      <c r="OXB132" s="21"/>
      <c r="OXC132" s="21"/>
      <c r="OXD132" s="21"/>
      <c r="OXE132" s="21"/>
      <c r="OXF132" s="20"/>
      <c r="OXG132" s="20"/>
      <c r="OXH132" s="20"/>
      <c r="OXI132" s="20"/>
      <c r="OXJ132" s="21"/>
      <c r="OXK132" s="21"/>
      <c r="OXL132" s="7"/>
      <c r="OXM132" s="7"/>
      <c r="OXN132" s="21"/>
      <c r="OXO132" s="20"/>
      <c r="OXP132" s="20"/>
      <c r="OXQ132" s="20"/>
      <c r="OXR132" s="21"/>
      <c r="OXS132" s="21"/>
      <c r="OXT132" s="21"/>
      <c r="OXU132" s="21"/>
      <c r="OXV132" s="21"/>
      <c r="OXW132" s="20"/>
      <c r="OXX132" s="20"/>
      <c r="OXY132" s="20"/>
      <c r="OXZ132" s="20"/>
      <c r="OYA132" s="21"/>
      <c r="OYB132" s="21"/>
      <c r="OYC132" s="7"/>
      <c r="OYD132" s="7"/>
      <c r="OYE132" s="21"/>
      <c r="OYF132" s="20"/>
      <c r="OYG132" s="20"/>
      <c r="OYH132" s="20"/>
      <c r="OYI132" s="21"/>
      <c r="OYJ132" s="21"/>
      <c r="OYK132" s="21"/>
      <c r="OYL132" s="21"/>
      <c r="OYM132" s="21"/>
      <c r="OYN132" s="20"/>
      <c r="OYO132" s="20"/>
      <c r="OYP132" s="20"/>
      <c r="OYQ132" s="20"/>
      <c r="OYR132" s="21"/>
      <c r="OYS132" s="21"/>
      <c r="OYT132" s="7"/>
      <c r="OYU132" s="7"/>
      <c r="OYV132" s="21"/>
      <c r="OYW132" s="20"/>
      <c r="OYX132" s="20"/>
      <c r="OYY132" s="20"/>
      <c r="OYZ132" s="21"/>
      <c r="OZA132" s="21"/>
      <c r="OZB132" s="21"/>
      <c r="OZC132" s="21"/>
      <c r="OZD132" s="21"/>
      <c r="OZE132" s="20"/>
      <c r="OZF132" s="20"/>
      <c r="OZG132" s="20"/>
      <c r="OZH132" s="20"/>
      <c r="OZI132" s="21"/>
      <c r="OZJ132" s="21"/>
      <c r="OZK132" s="7"/>
      <c r="OZL132" s="7"/>
      <c r="OZM132" s="21"/>
      <c r="OZN132" s="20"/>
      <c r="OZO132" s="20"/>
      <c r="OZP132" s="20"/>
      <c r="OZQ132" s="21"/>
      <c r="OZR132" s="21"/>
      <c r="OZS132" s="21"/>
      <c r="OZT132" s="21"/>
      <c r="OZU132" s="21"/>
      <c r="OZV132" s="20"/>
      <c r="OZW132" s="20"/>
      <c r="OZX132" s="20"/>
      <c r="OZY132" s="20"/>
      <c r="OZZ132" s="21"/>
      <c r="PAA132" s="21"/>
      <c r="PAB132" s="7"/>
      <c r="PAC132" s="7"/>
      <c r="PAD132" s="21"/>
      <c r="PAE132" s="20"/>
      <c r="PAF132" s="20"/>
      <c r="PAG132" s="20"/>
      <c r="PAH132" s="21"/>
      <c r="PAI132" s="21"/>
      <c r="PAJ132" s="21"/>
      <c r="PAK132" s="21"/>
      <c r="PAL132" s="21"/>
      <c r="PAM132" s="20"/>
      <c r="PAN132" s="20"/>
      <c r="PAO132" s="20"/>
      <c r="PAP132" s="20"/>
      <c r="PAQ132" s="21"/>
      <c r="PAR132" s="21"/>
      <c r="PAS132" s="7"/>
      <c r="PAT132" s="7"/>
      <c r="PAU132" s="21"/>
      <c r="PAV132" s="20"/>
      <c r="PAW132" s="20"/>
      <c r="PAX132" s="20"/>
      <c r="PAY132" s="21"/>
      <c r="PAZ132" s="21"/>
      <c r="PBA132" s="21"/>
      <c r="PBB132" s="21"/>
      <c r="PBC132" s="21"/>
      <c r="PBD132" s="20"/>
      <c r="PBE132" s="20"/>
      <c r="PBF132" s="20"/>
      <c r="PBG132" s="20"/>
      <c r="PBH132" s="21"/>
      <c r="PBI132" s="21"/>
      <c r="PBJ132" s="7"/>
      <c r="PBK132" s="7"/>
      <c r="PBL132" s="21"/>
      <c r="PBM132" s="20"/>
      <c r="PBN132" s="20"/>
      <c r="PBO132" s="20"/>
      <c r="PBP132" s="21"/>
      <c r="PBQ132" s="21"/>
      <c r="PBR132" s="21"/>
      <c r="PBS132" s="21"/>
      <c r="PBT132" s="21"/>
      <c r="PBU132" s="20"/>
      <c r="PBV132" s="20"/>
      <c r="PBW132" s="20"/>
      <c r="PBX132" s="20"/>
      <c r="PBY132" s="21"/>
      <c r="PBZ132" s="21"/>
      <c r="PCA132" s="7"/>
      <c r="PCB132" s="7"/>
      <c r="PCC132" s="21"/>
      <c r="PCD132" s="20"/>
      <c r="PCE132" s="20"/>
      <c r="PCF132" s="20"/>
      <c r="PCG132" s="21"/>
      <c r="PCH132" s="21"/>
      <c r="PCI132" s="21"/>
      <c r="PCJ132" s="21"/>
      <c r="PCK132" s="21"/>
      <c r="PCL132" s="20"/>
      <c r="PCM132" s="20"/>
      <c r="PCN132" s="20"/>
      <c r="PCO132" s="20"/>
      <c r="PCP132" s="21"/>
      <c r="PCQ132" s="21"/>
      <c r="PCR132" s="7"/>
      <c r="PCS132" s="7"/>
      <c r="PCT132" s="21"/>
      <c r="PCU132" s="20"/>
      <c r="PCV132" s="20"/>
      <c r="PCW132" s="20"/>
      <c r="PCX132" s="21"/>
      <c r="PCY132" s="21"/>
      <c r="PCZ132" s="21"/>
      <c r="PDA132" s="21"/>
      <c r="PDB132" s="21"/>
      <c r="PDC132" s="20"/>
      <c r="PDD132" s="20"/>
      <c r="PDE132" s="20"/>
      <c r="PDF132" s="20"/>
      <c r="PDG132" s="21"/>
      <c r="PDH132" s="21"/>
      <c r="PDI132" s="7"/>
      <c r="PDJ132" s="7"/>
      <c r="PDK132" s="21"/>
      <c r="PDL132" s="20"/>
      <c r="PDM132" s="20"/>
      <c r="PDN132" s="20"/>
      <c r="PDO132" s="21"/>
      <c r="PDP132" s="21"/>
      <c r="PDQ132" s="21"/>
      <c r="PDR132" s="21"/>
      <c r="PDS132" s="21"/>
      <c r="PDT132" s="20"/>
      <c r="PDU132" s="20"/>
      <c r="PDV132" s="20"/>
      <c r="PDW132" s="20"/>
      <c r="PDX132" s="21"/>
      <c r="PDY132" s="21"/>
      <c r="PDZ132" s="7"/>
      <c r="PEA132" s="7"/>
      <c r="PEB132" s="21"/>
      <c r="PEC132" s="20"/>
      <c r="PED132" s="20"/>
      <c r="PEE132" s="20"/>
      <c r="PEF132" s="21"/>
      <c r="PEG132" s="21"/>
      <c r="PEH132" s="21"/>
      <c r="PEI132" s="21"/>
      <c r="PEJ132" s="21"/>
      <c r="PEK132" s="20"/>
      <c r="PEL132" s="20"/>
      <c r="PEM132" s="20"/>
      <c r="PEN132" s="20"/>
      <c r="PEO132" s="21"/>
      <c r="PEP132" s="21"/>
      <c r="PEQ132" s="7"/>
      <c r="PER132" s="7"/>
      <c r="PES132" s="21"/>
      <c r="PET132" s="20"/>
      <c r="PEU132" s="20"/>
      <c r="PEV132" s="20"/>
      <c r="PEW132" s="21"/>
      <c r="PEX132" s="21"/>
      <c r="PEY132" s="21"/>
      <c r="PEZ132" s="21"/>
      <c r="PFA132" s="21"/>
      <c r="PFB132" s="20"/>
      <c r="PFC132" s="20"/>
      <c r="PFD132" s="20"/>
      <c r="PFE132" s="20"/>
      <c r="PFF132" s="21"/>
      <c r="PFG132" s="21"/>
      <c r="PFH132" s="7"/>
      <c r="PFI132" s="7"/>
      <c r="PFJ132" s="21"/>
      <c r="PFK132" s="20"/>
      <c r="PFL132" s="20"/>
      <c r="PFM132" s="20"/>
      <c r="PFN132" s="21"/>
      <c r="PFO132" s="21"/>
      <c r="PFP132" s="21"/>
      <c r="PFQ132" s="21"/>
      <c r="PFR132" s="21"/>
      <c r="PFS132" s="20"/>
      <c r="PFT132" s="20"/>
      <c r="PFU132" s="20"/>
      <c r="PFV132" s="20"/>
      <c r="PFW132" s="21"/>
      <c r="PFX132" s="21"/>
      <c r="PFY132" s="7"/>
      <c r="PFZ132" s="7"/>
      <c r="PGA132" s="21"/>
      <c r="PGB132" s="20"/>
      <c r="PGC132" s="20"/>
      <c r="PGD132" s="20"/>
      <c r="PGE132" s="21"/>
      <c r="PGF132" s="21"/>
      <c r="PGG132" s="21"/>
      <c r="PGH132" s="21"/>
      <c r="PGI132" s="21"/>
      <c r="PGJ132" s="20"/>
      <c r="PGK132" s="20"/>
      <c r="PGL132" s="20"/>
      <c r="PGM132" s="20"/>
      <c r="PGN132" s="21"/>
      <c r="PGO132" s="21"/>
      <c r="PGP132" s="7"/>
      <c r="PGQ132" s="7"/>
      <c r="PGR132" s="21"/>
      <c r="PGS132" s="20"/>
      <c r="PGT132" s="20"/>
      <c r="PGU132" s="20"/>
      <c r="PGV132" s="21"/>
      <c r="PGW132" s="21"/>
      <c r="PGX132" s="21"/>
      <c r="PGY132" s="21"/>
      <c r="PGZ132" s="21"/>
      <c r="PHA132" s="20"/>
      <c r="PHB132" s="20"/>
      <c r="PHC132" s="20"/>
      <c r="PHD132" s="20"/>
      <c r="PHE132" s="21"/>
      <c r="PHF132" s="21"/>
      <c r="PHG132" s="7"/>
      <c r="PHH132" s="7"/>
      <c r="PHI132" s="21"/>
      <c r="PHJ132" s="20"/>
      <c r="PHK132" s="20"/>
      <c r="PHL132" s="20"/>
      <c r="PHM132" s="21"/>
      <c r="PHN132" s="21"/>
      <c r="PHO132" s="21"/>
      <c r="PHP132" s="21"/>
      <c r="PHQ132" s="21"/>
      <c r="PHR132" s="20"/>
      <c r="PHS132" s="20"/>
      <c r="PHT132" s="20"/>
      <c r="PHU132" s="20"/>
      <c r="PHV132" s="21"/>
      <c r="PHW132" s="21"/>
      <c r="PHX132" s="7"/>
      <c r="PHY132" s="7"/>
      <c r="PHZ132" s="21"/>
      <c r="PIA132" s="20"/>
      <c r="PIB132" s="20"/>
      <c r="PIC132" s="20"/>
      <c r="PID132" s="21"/>
      <c r="PIE132" s="21"/>
      <c r="PIF132" s="21"/>
      <c r="PIG132" s="21"/>
      <c r="PIH132" s="21"/>
      <c r="PII132" s="20"/>
      <c r="PIJ132" s="20"/>
      <c r="PIK132" s="20"/>
      <c r="PIL132" s="20"/>
      <c r="PIM132" s="21"/>
      <c r="PIN132" s="21"/>
      <c r="PIO132" s="7"/>
      <c r="PIP132" s="7"/>
      <c r="PIQ132" s="21"/>
      <c r="PIR132" s="20"/>
      <c r="PIS132" s="20"/>
      <c r="PIT132" s="20"/>
      <c r="PIU132" s="21"/>
      <c r="PIV132" s="21"/>
      <c r="PIW132" s="21"/>
      <c r="PIX132" s="21"/>
      <c r="PIY132" s="21"/>
      <c r="PIZ132" s="20"/>
      <c r="PJA132" s="20"/>
      <c r="PJB132" s="20"/>
      <c r="PJC132" s="20"/>
      <c r="PJD132" s="21"/>
      <c r="PJE132" s="21"/>
      <c r="PJF132" s="7"/>
      <c r="PJG132" s="7"/>
      <c r="PJH132" s="21"/>
      <c r="PJI132" s="20"/>
      <c r="PJJ132" s="20"/>
      <c r="PJK132" s="20"/>
      <c r="PJL132" s="21"/>
      <c r="PJM132" s="21"/>
      <c r="PJN132" s="21"/>
      <c r="PJO132" s="21"/>
      <c r="PJP132" s="21"/>
      <c r="PJQ132" s="20"/>
      <c r="PJR132" s="20"/>
      <c r="PJS132" s="20"/>
      <c r="PJT132" s="20"/>
      <c r="PJU132" s="21"/>
      <c r="PJV132" s="21"/>
      <c r="PJW132" s="7"/>
      <c r="PJX132" s="7"/>
      <c r="PJY132" s="21"/>
      <c r="PJZ132" s="20"/>
      <c r="PKA132" s="20"/>
      <c r="PKB132" s="20"/>
      <c r="PKC132" s="21"/>
      <c r="PKD132" s="21"/>
      <c r="PKE132" s="21"/>
      <c r="PKF132" s="21"/>
      <c r="PKG132" s="21"/>
      <c r="PKH132" s="20"/>
      <c r="PKI132" s="20"/>
      <c r="PKJ132" s="20"/>
      <c r="PKK132" s="20"/>
      <c r="PKL132" s="21"/>
      <c r="PKM132" s="21"/>
      <c r="PKN132" s="7"/>
      <c r="PKO132" s="7"/>
      <c r="PKP132" s="21"/>
      <c r="PKQ132" s="20"/>
      <c r="PKR132" s="20"/>
      <c r="PKS132" s="20"/>
      <c r="PKT132" s="21"/>
      <c r="PKU132" s="21"/>
      <c r="PKV132" s="21"/>
      <c r="PKW132" s="21"/>
      <c r="PKX132" s="21"/>
      <c r="PKY132" s="20"/>
      <c r="PKZ132" s="20"/>
      <c r="PLA132" s="20"/>
      <c r="PLB132" s="20"/>
      <c r="PLC132" s="21"/>
      <c r="PLD132" s="21"/>
      <c r="PLE132" s="7"/>
      <c r="PLF132" s="7"/>
      <c r="PLG132" s="21"/>
      <c r="PLH132" s="20"/>
      <c r="PLI132" s="20"/>
      <c r="PLJ132" s="20"/>
      <c r="PLK132" s="21"/>
      <c r="PLL132" s="21"/>
      <c r="PLM132" s="21"/>
      <c r="PLN132" s="21"/>
      <c r="PLO132" s="21"/>
      <c r="PLP132" s="20"/>
      <c r="PLQ132" s="20"/>
      <c r="PLR132" s="20"/>
      <c r="PLS132" s="20"/>
      <c r="PLT132" s="21"/>
      <c r="PLU132" s="21"/>
      <c r="PLV132" s="7"/>
      <c r="PLW132" s="7"/>
      <c r="PLX132" s="21"/>
      <c r="PLY132" s="20"/>
      <c r="PLZ132" s="20"/>
      <c r="PMA132" s="20"/>
      <c r="PMB132" s="21"/>
      <c r="PMC132" s="21"/>
      <c r="PMD132" s="21"/>
      <c r="PME132" s="21"/>
      <c r="PMF132" s="21"/>
      <c r="PMG132" s="20"/>
      <c r="PMH132" s="20"/>
      <c r="PMI132" s="20"/>
      <c r="PMJ132" s="20"/>
      <c r="PMK132" s="21"/>
      <c r="PML132" s="21"/>
      <c r="PMM132" s="7"/>
      <c r="PMN132" s="7"/>
      <c r="PMO132" s="21"/>
      <c r="PMP132" s="20"/>
      <c r="PMQ132" s="20"/>
      <c r="PMR132" s="20"/>
      <c r="PMS132" s="21"/>
      <c r="PMT132" s="21"/>
      <c r="PMU132" s="21"/>
      <c r="PMV132" s="21"/>
      <c r="PMW132" s="21"/>
      <c r="PMX132" s="20"/>
      <c r="PMY132" s="20"/>
      <c r="PMZ132" s="20"/>
      <c r="PNA132" s="20"/>
      <c r="PNB132" s="21"/>
      <c r="PNC132" s="21"/>
      <c r="PND132" s="7"/>
      <c r="PNE132" s="7"/>
      <c r="PNF132" s="21"/>
      <c r="PNG132" s="20"/>
      <c r="PNH132" s="20"/>
      <c r="PNI132" s="20"/>
      <c r="PNJ132" s="21"/>
      <c r="PNK132" s="21"/>
      <c r="PNL132" s="21"/>
      <c r="PNM132" s="21"/>
      <c r="PNN132" s="21"/>
      <c r="PNO132" s="20"/>
      <c r="PNP132" s="20"/>
      <c r="PNQ132" s="20"/>
      <c r="PNR132" s="20"/>
      <c r="PNS132" s="21"/>
      <c r="PNT132" s="21"/>
      <c r="PNU132" s="7"/>
      <c r="PNV132" s="7"/>
      <c r="PNW132" s="21"/>
      <c r="PNX132" s="20"/>
      <c r="PNY132" s="20"/>
      <c r="PNZ132" s="20"/>
      <c r="POA132" s="21"/>
      <c r="POB132" s="21"/>
      <c r="POC132" s="21"/>
      <c r="POD132" s="21"/>
      <c r="POE132" s="21"/>
      <c r="POF132" s="20"/>
      <c r="POG132" s="20"/>
      <c r="POH132" s="20"/>
      <c r="POI132" s="20"/>
      <c r="POJ132" s="21"/>
      <c r="POK132" s="21"/>
      <c r="POL132" s="7"/>
      <c r="POM132" s="7"/>
      <c r="PON132" s="21"/>
      <c r="POO132" s="20"/>
      <c r="POP132" s="20"/>
      <c r="POQ132" s="20"/>
      <c r="POR132" s="21"/>
      <c r="POS132" s="21"/>
      <c r="POT132" s="21"/>
      <c r="POU132" s="21"/>
      <c r="POV132" s="21"/>
      <c r="POW132" s="20"/>
      <c r="POX132" s="20"/>
      <c r="POY132" s="20"/>
      <c r="POZ132" s="20"/>
      <c r="PPA132" s="21"/>
      <c r="PPB132" s="21"/>
      <c r="PPC132" s="7"/>
      <c r="PPD132" s="7"/>
      <c r="PPE132" s="21"/>
      <c r="PPF132" s="20"/>
      <c r="PPG132" s="20"/>
      <c r="PPH132" s="20"/>
      <c r="PPI132" s="21"/>
      <c r="PPJ132" s="21"/>
      <c r="PPK132" s="21"/>
      <c r="PPL132" s="21"/>
      <c r="PPM132" s="21"/>
      <c r="PPN132" s="20"/>
      <c r="PPO132" s="20"/>
      <c r="PPP132" s="20"/>
      <c r="PPQ132" s="20"/>
      <c r="PPR132" s="21"/>
      <c r="PPS132" s="21"/>
      <c r="PPT132" s="7"/>
      <c r="PPU132" s="7"/>
      <c r="PPV132" s="21"/>
      <c r="PPW132" s="20"/>
      <c r="PPX132" s="20"/>
      <c r="PPY132" s="20"/>
      <c r="PPZ132" s="21"/>
      <c r="PQA132" s="21"/>
      <c r="PQB132" s="21"/>
      <c r="PQC132" s="21"/>
      <c r="PQD132" s="21"/>
      <c r="PQE132" s="20"/>
      <c r="PQF132" s="20"/>
      <c r="PQG132" s="20"/>
      <c r="PQH132" s="20"/>
      <c r="PQI132" s="21"/>
      <c r="PQJ132" s="21"/>
      <c r="PQK132" s="7"/>
      <c r="PQL132" s="7"/>
      <c r="PQM132" s="21"/>
      <c r="PQN132" s="20"/>
      <c r="PQO132" s="20"/>
      <c r="PQP132" s="20"/>
      <c r="PQQ132" s="21"/>
      <c r="PQR132" s="21"/>
      <c r="PQS132" s="21"/>
      <c r="PQT132" s="21"/>
      <c r="PQU132" s="21"/>
      <c r="PQV132" s="20"/>
      <c r="PQW132" s="20"/>
      <c r="PQX132" s="20"/>
      <c r="PQY132" s="20"/>
      <c r="PQZ132" s="21"/>
      <c r="PRA132" s="21"/>
      <c r="PRB132" s="7"/>
      <c r="PRC132" s="7"/>
      <c r="PRD132" s="21"/>
      <c r="PRE132" s="20"/>
      <c r="PRF132" s="20"/>
      <c r="PRG132" s="20"/>
      <c r="PRH132" s="21"/>
      <c r="PRI132" s="21"/>
      <c r="PRJ132" s="21"/>
      <c r="PRK132" s="21"/>
      <c r="PRL132" s="21"/>
      <c r="PRM132" s="20"/>
      <c r="PRN132" s="20"/>
      <c r="PRO132" s="20"/>
      <c r="PRP132" s="20"/>
      <c r="PRQ132" s="21"/>
      <c r="PRR132" s="21"/>
      <c r="PRS132" s="7"/>
      <c r="PRT132" s="7"/>
      <c r="PRU132" s="21"/>
      <c r="PRV132" s="20"/>
      <c r="PRW132" s="20"/>
      <c r="PRX132" s="20"/>
      <c r="PRY132" s="21"/>
      <c r="PRZ132" s="21"/>
      <c r="PSA132" s="21"/>
      <c r="PSB132" s="21"/>
      <c r="PSC132" s="21"/>
      <c r="PSD132" s="20"/>
      <c r="PSE132" s="20"/>
      <c r="PSF132" s="20"/>
      <c r="PSG132" s="20"/>
      <c r="PSH132" s="21"/>
      <c r="PSI132" s="21"/>
      <c r="PSJ132" s="7"/>
      <c r="PSK132" s="7"/>
      <c r="PSL132" s="21"/>
      <c r="PSM132" s="20"/>
      <c r="PSN132" s="20"/>
      <c r="PSO132" s="20"/>
      <c r="PSP132" s="21"/>
      <c r="PSQ132" s="21"/>
      <c r="PSR132" s="21"/>
      <c r="PSS132" s="21"/>
      <c r="PST132" s="21"/>
      <c r="PSU132" s="20"/>
      <c r="PSV132" s="20"/>
      <c r="PSW132" s="20"/>
      <c r="PSX132" s="20"/>
      <c r="PSY132" s="21"/>
      <c r="PSZ132" s="21"/>
      <c r="PTA132" s="7"/>
      <c r="PTB132" s="7"/>
      <c r="PTC132" s="21"/>
      <c r="PTD132" s="20"/>
      <c r="PTE132" s="20"/>
      <c r="PTF132" s="20"/>
      <c r="PTG132" s="21"/>
      <c r="PTH132" s="21"/>
      <c r="PTI132" s="21"/>
      <c r="PTJ132" s="21"/>
      <c r="PTK132" s="21"/>
      <c r="PTL132" s="20"/>
      <c r="PTM132" s="20"/>
      <c r="PTN132" s="20"/>
      <c r="PTO132" s="20"/>
      <c r="PTP132" s="21"/>
      <c r="PTQ132" s="21"/>
      <c r="PTR132" s="7"/>
      <c r="PTS132" s="7"/>
      <c r="PTT132" s="21"/>
      <c r="PTU132" s="20"/>
      <c r="PTV132" s="20"/>
      <c r="PTW132" s="20"/>
      <c r="PTX132" s="21"/>
      <c r="PTY132" s="21"/>
      <c r="PTZ132" s="21"/>
      <c r="PUA132" s="21"/>
      <c r="PUB132" s="21"/>
      <c r="PUC132" s="20"/>
      <c r="PUD132" s="20"/>
      <c r="PUE132" s="20"/>
      <c r="PUF132" s="20"/>
      <c r="PUG132" s="21"/>
      <c r="PUH132" s="21"/>
      <c r="PUI132" s="7"/>
      <c r="PUJ132" s="7"/>
      <c r="PUK132" s="21"/>
      <c r="PUL132" s="20"/>
      <c r="PUM132" s="20"/>
      <c r="PUN132" s="20"/>
      <c r="PUO132" s="21"/>
      <c r="PUP132" s="21"/>
      <c r="PUQ132" s="21"/>
      <c r="PUR132" s="21"/>
      <c r="PUS132" s="21"/>
      <c r="PUT132" s="20"/>
      <c r="PUU132" s="20"/>
      <c r="PUV132" s="20"/>
      <c r="PUW132" s="20"/>
      <c r="PUX132" s="21"/>
      <c r="PUY132" s="21"/>
      <c r="PUZ132" s="7"/>
      <c r="PVA132" s="7"/>
      <c r="PVB132" s="21"/>
      <c r="PVC132" s="20"/>
      <c r="PVD132" s="20"/>
      <c r="PVE132" s="20"/>
      <c r="PVF132" s="21"/>
      <c r="PVG132" s="21"/>
      <c r="PVH132" s="21"/>
      <c r="PVI132" s="21"/>
      <c r="PVJ132" s="21"/>
      <c r="PVK132" s="20"/>
      <c r="PVL132" s="20"/>
      <c r="PVM132" s="20"/>
      <c r="PVN132" s="20"/>
      <c r="PVO132" s="21"/>
      <c r="PVP132" s="21"/>
      <c r="PVQ132" s="7"/>
      <c r="PVR132" s="7"/>
      <c r="PVS132" s="21"/>
      <c r="PVT132" s="20"/>
      <c r="PVU132" s="20"/>
      <c r="PVV132" s="20"/>
      <c r="PVW132" s="21"/>
      <c r="PVX132" s="21"/>
      <c r="PVY132" s="21"/>
      <c r="PVZ132" s="21"/>
      <c r="PWA132" s="21"/>
      <c r="PWB132" s="20"/>
      <c r="PWC132" s="20"/>
      <c r="PWD132" s="20"/>
      <c r="PWE132" s="20"/>
      <c r="PWF132" s="21"/>
      <c r="PWG132" s="21"/>
      <c r="PWH132" s="7"/>
      <c r="PWI132" s="7"/>
      <c r="PWJ132" s="21"/>
      <c r="PWK132" s="20"/>
      <c r="PWL132" s="20"/>
      <c r="PWM132" s="20"/>
      <c r="PWN132" s="21"/>
      <c r="PWO132" s="21"/>
      <c r="PWP132" s="21"/>
      <c r="PWQ132" s="21"/>
      <c r="PWR132" s="21"/>
      <c r="PWS132" s="20"/>
      <c r="PWT132" s="20"/>
      <c r="PWU132" s="20"/>
      <c r="PWV132" s="20"/>
      <c r="PWW132" s="21"/>
      <c r="PWX132" s="21"/>
      <c r="PWY132" s="7"/>
      <c r="PWZ132" s="7"/>
      <c r="PXA132" s="21"/>
      <c r="PXB132" s="20"/>
      <c r="PXC132" s="20"/>
      <c r="PXD132" s="20"/>
      <c r="PXE132" s="21"/>
      <c r="PXF132" s="21"/>
      <c r="PXG132" s="21"/>
      <c r="PXH132" s="21"/>
      <c r="PXI132" s="21"/>
      <c r="PXJ132" s="20"/>
      <c r="PXK132" s="20"/>
      <c r="PXL132" s="20"/>
      <c r="PXM132" s="20"/>
      <c r="PXN132" s="21"/>
      <c r="PXO132" s="21"/>
      <c r="PXP132" s="7"/>
      <c r="PXQ132" s="7"/>
      <c r="PXR132" s="21"/>
      <c r="PXS132" s="20"/>
      <c r="PXT132" s="20"/>
      <c r="PXU132" s="20"/>
      <c r="PXV132" s="21"/>
      <c r="PXW132" s="21"/>
      <c r="PXX132" s="21"/>
      <c r="PXY132" s="21"/>
      <c r="PXZ132" s="21"/>
      <c r="PYA132" s="20"/>
      <c r="PYB132" s="20"/>
      <c r="PYC132" s="20"/>
      <c r="PYD132" s="20"/>
      <c r="PYE132" s="21"/>
      <c r="PYF132" s="21"/>
      <c r="PYG132" s="7"/>
      <c r="PYH132" s="7"/>
      <c r="PYI132" s="21"/>
      <c r="PYJ132" s="20"/>
      <c r="PYK132" s="20"/>
      <c r="PYL132" s="20"/>
      <c r="PYM132" s="21"/>
      <c r="PYN132" s="21"/>
      <c r="PYO132" s="21"/>
      <c r="PYP132" s="21"/>
      <c r="PYQ132" s="21"/>
      <c r="PYR132" s="20"/>
      <c r="PYS132" s="20"/>
      <c r="PYT132" s="20"/>
      <c r="PYU132" s="20"/>
      <c r="PYV132" s="21"/>
      <c r="PYW132" s="21"/>
      <c r="PYX132" s="7"/>
      <c r="PYY132" s="7"/>
      <c r="PYZ132" s="21"/>
      <c r="PZA132" s="20"/>
      <c r="PZB132" s="20"/>
      <c r="PZC132" s="20"/>
      <c r="PZD132" s="21"/>
      <c r="PZE132" s="21"/>
      <c r="PZF132" s="21"/>
      <c r="PZG132" s="21"/>
      <c r="PZH132" s="21"/>
      <c r="PZI132" s="20"/>
      <c r="PZJ132" s="20"/>
      <c r="PZK132" s="20"/>
      <c r="PZL132" s="20"/>
      <c r="PZM132" s="21"/>
      <c r="PZN132" s="21"/>
      <c r="PZO132" s="7"/>
      <c r="PZP132" s="7"/>
      <c r="PZQ132" s="21"/>
      <c r="PZR132" s="20"/>
      <c r="PZS132" s="20"/>
      <c r="PZT132" s="20"/>
      <c r="PZU132" s="21"/>
      <c r="PZV132" s="21"/>
      <c r="PZW132" s="21"/>
      <c r="PZX132" s="21"/>
      <c r="PZY132" s="21"/>
      <c r="PZZ132" s="20"/>
      <c r="QAA132" s="20"/>
      <c r="QAB132" s="20"/>
      <c r="QAC132" s="20"/>
      <c r="QAD132" s="21"/>
      <c r="QAE132" s="21"/>
      <c r="QAF132" s="7"/>
      <c r="QAG132" s="7"/>
      <c r="QAH132" s="21"/>
      <c r="QAI132" s="20"/>
      <c r="QAJ132" s="20"/>
      <c r="QAK132" s="20"/>
      <c r="QAL132" s="21"/>
      <c r="QAM132" s="21"/>
      <c r="QAN132" s="21"/>
      <c r="QAO132" s="21"/>
      <c r="QAP132" s="21"/>
      <c r="QAQ132" s="20"/>
      <c r="QAR132" s="20"/>
      <c r="QAS132" s="20"/>
      <c r="QAT132" s="20"/>
      <c r="QAU132" s="21"/>
      <c r="QAV132" s="21"/>
      <c r="QAW132" s="7"/>
      <c r="QAX132" s="7"/>
      <c r="QAY132" s="21"/>
      <c r="QAZ132" s="20"/>
      <c r="QBA132" s="20"/>
      <c r="QBB132" s="20"/>
      <c r="QBC132" s="21"/>
      <c r="QBD132" s="21"/>
      <c r="QBE132" s="21"/>
      <c r="QBF132" s="21"/>
      <c r="QBG132" s="21"/>
      <c r="QBH132" s="20"/>
      <c r="QBI132" s="20"/>
      <c r="QBJ132" s="20"/>
      <c r="QBK132" s="20"/>
      <c r="QBL132" s="21"/>
      <c r="QBM132" s="21"/>
      <c r="QBN132" s="7"/>
      <c r="QBO132" s="7"/>
      <c r="QBP132" s="21"/>
      <c r="QBQ132" s="20"/>
      <c r="QBR132" s="20"/>
      <c r="QBS132" s="20"/>
      <c r="QBT132" s="21"/>
      <c r="QBU132" s="21"/>
      <c r="QBV132" s="21"/>
      <c r="QBW132" s="21"/>
      <c r="QBX132" s="21"/>
      <c r="QBY132" s="20"/>
      <c r="QBZ132" s="20"/>
      <c r="QCA132" s="20"/>
      <c r="QCB132" s="20"/>
      <c r="QCC132" s="21"/>
      <c r="QCD132" s="21"/>
      <c r="QCE132" s="7"/>
      <c r="QCF132" s="7"/>
      <c r="QCG132" s="21"/>
      <c r="QCH132" s="20"/>
      <c r="QCI132" s="20"/>
      <c r="QCJ132" s="20"/>
      <c r="QCK132" s="21"/>
      <c r="QCL132" s="21"/>
      <c r="QCM132" s="21"/>
      <c r="QCN132" s="21"/>
      <c r="QCO132" s="21"/>
      <c r="QCP132" s="20"/>
      <c r="QCQ132" s="20"/>
      <c r="QCR132" s="20"/>
      <c r="QCS132" s="20"/>
      <c r="QCT132" s="21"/>
      <c r="QCU132" s="21"/>
      <c r="QCV132" s="7"/>
      <c r="QCW132" s="7"/>
      <c r="QCX132" s="21"/>
      <c r="QCY132" s="20"/>
      <c r="QCZ132" s="20"/>
      <c r="QDA132" s="20"/>
      <c r="QDB132" s="21"/>
      <c r="QDC132" s="21"/>
      <c r="QDD132" s="21"/>
      <c r="QDE132" s="21"/>
      <c r="QDF132" s="21"/>
      <c r="QDG132" s="20"/>
      <c r="QDH132" s="20"/>
      <c r="QDI132" s="20"/>
      <c r="QDJ132" s="20"/>
      <c r="QDK132" s="21"/>
      <c r="QDL132" s="21"/>
      <c r="QDM132" s="7"/>
      <c r="QDN132" s="7"/>
      <c r="QDO132" s="21"/>
      <c r="QDP132" s="20"/>
      <c r="QDQ132" s="20"/>
      <c r="QDR132" s="20"/>
      <c r="QDS132" s="21"/>
      <c r="QDT132" s="21"/>
      <c r="QDU132" s="21"/>
      <c r="QDV132" s="21"/>
      <c r="QDW132" s="21"/>
      <c r="QDX132" s="20"/>
      <c r="QDY132" s="20"/>
      <c r="QDZ132" s="20"/>
      <c r="QEA132" s="20"/>
      <c r="QEB132" s="21"/>
      <c r="QEC132" s="21"/>
      <c r="QED132" s="7"/>
      <c r="QEE132" s="7"/>
      <c r="QEF132" s="21"/>
      <c r="QEG132" s="20"/>
      <c r="QEH132" s="20"/>
      <c r="QEI132" s="20"/>
      <c r="QEJ132" s="21"/>
      <c r="QEK132" s="21"/>
      <c r="QEL132" s="21"/>
      <c r="QEM132" s="21"/>
      <c r="QEN132" s="21"/>
      <c r="QEO132" s="20"/>
      <c r="QEP132" s="20"/>
      <c r="QEQ132" s="20"/>
      <c r="QER132" s="20"/>
      <c r="QES132" s="21"/>
      <c r="QET132" s="21"/>
      <c r="QEU132" s="7"/>
      <c r="QEV132" s="7"/>
      <c r="QEW132" s="21"/>
      <c r="QEX132" s="20"/>
      <c r="QEY132" s="20"/>
      <c r="QEZ132" s="20"/>
      <c r="QFA132" s="21"/>
      <c r="QFB132" s="21"/>
      <c r="QFC132" s="21"/>
      <c r="QFD132" s="21"/>
      <c r="QFE132" s="21"/>
      <c r="QFF132" s="20"/>
      <c r="QFG132" s="20"/>
      <c r="QFH132" s="20"/>
      <c r="QFI132" s="20"/>
      <c r="QFJ132" s="21"/>
      <c r="QFK132" s="21"/>
      <c r="QFL132" s="7"/>
      <c r="QFM132" s="7"/>
      <c r="QFN132" s="21"/>
      <c r="QFO132" s="20"/>
      <c r="QFP132" s="20"/>
      <c r="QFQ132" s="20"/>
      <c r="QFR132" s="21"/>
      <c r="QFS132" s="21"/>
      <c r="QFT132" s="21"/>
      <c r="QFU132" s="21"/>
      <c r="QFV132" s="21"/>
      <c r="QFW132" s="20"/>
      <c r="QFX132" s="20"/>
      <c r="QFY132" s="20"/>
      <c r="QFZ132" s="20"/>
      <c r="QGA132" s="21"/>
      <c r="QGB132" s="21"/>
      <c r="QGC132" s="7"/>
      <c r="QGD132" s="7"/>
      <c r="QGE132" s="21"/>
      <c r="QGF132" s="20"/>
      <c r="QGG132" s="20"/>
      <c r="QGH132" s="20"/>
      <c r="QGI132" s="21"/>
      <c r="QGJ132" s="21"/>
      <c r="QGK132" s="21"/>
      <c r="QGL132" s="21"/>
      <c r="QGM132" s="21"/>
      <c r="QGN132" s="20"/>
      <c r="QGO132" s="20"/>
      <c r="QGP132" s="20"/>
      <c r="QGQ132" s="20"/>
      <c r="QGR132" s="21"/>
      <c r="QGS132" s="21"/>
      <c r="QGT132" s="7"/>
      <c r="QGU132" s="7"/>
      <c r="QGV132" s="21"/>
      <c r="QGW132" s="20"/>
      <c r="QGX132" s="20"/>
      <c r="QGY132" s="20"/>
      <c r="QGZ132" s="21"/>
      <c r="QHA132" s="21"/>
      <c r="QHB132" s="21"/>
      <c r="QHC132" s="21"/>
      <c r="QHD132" s="21"/>
      <c r="QHE132" s="20"/>
      <c r="QHF132" s="20"/>
      <c r="QHG132" s="20"/>
      <c r="QHH132" s="20"/>
      <c r="QHI132" s="21"/>
      <c r="QHJ132" s="21"/>
      <c r="QHK132" s="7"/>
      <c r="QHL132" s="7"/>
      <c r="QHM132" s="21"/>
      <c r="QHN132" s="20"/>
      <c r="QHO132" s="20"/>
      <c r="QHP132" s="20"/>
      <c r="QHQ132" s="21"/>
      <c r="QHR132" s="21"/>
      <c r="QHS132" s="21"/>
      <c r="QHT132" s="21"/>
      <c r="QHU132" s="21"/>
      <c r="QHV132" s="20"/>
      <c r="QHW132" s="20"/>
      <c r="QHX132" s="20"/>
      <c r="QHY132" s="20"/>
      <c r="QHZ132" s="21"/>
      <c r="QIA132" s="21"/>
      <c r="QIB132" s="7"/>
      <c r="QIC132" s="7"/>
      <c r="QID132" s="21"/>
      <c r="QIE132" s="20"/>
      <c r="QIF132" s="20"/>
      <c r="QIG132" s="20"/>
      <c r="QIH132" s="21"/>
      <c r="QII132" s="21"/>
      <c r="QIJ132" s="21"/>
      <c r="QIK132" s="21"/>
      <c r="QIL132" s="21"/>
      <c r="QIM132" s="20"/>
      <c r="QIN132" s="20"/>
      <c r="QIO132" s="20"/>
      <c r="QIP132" s="20"/>
      <c r="QIQ132" s="21"/>
      <c r="QIR132" s="21"/>
      <c r="QIS132" s="7"/>
      <c r="QIT132" s="7"/>
      <c r="QIU132" s="21"/>
      <c r="QIV132" s="20"/>
      <c r="QIW132" s="20"/>
      <c r="QIX132" s="20"/>
      <c r="QIY132" s="21"/>
      <c r="QIZ132" s="21"/>
      <c r="QJA132" s="21"/>
      <c r="QJB132" s="21"/>
      <c r="QJC132" s="21"/>
      <c r="QJD132" s="20"/>
      <c r="QJE132" s="20"/>
      <c r="QJF132" s="20"/>
      <c r="QJG132" s="20"/>
      <c r="QJH132" s="21"/>
      <c r="QJI132" s="21"/>
      <c r="QJJ132" s="7"/>
      <c r="QJK132" s="7"/>
      <c r="QJL132" s="21"/>
      <c r="QJM132" s="20"/>
      <c r="QJN132" s="20"/>
      <c r="QJO132" s="20"/>
      <c r="QJP132" s="21"/>
      <c r="QJQ132" s="21"/>
      <c r="QJR132" s="21"/>
      <c r="QJS132" s="21"/>
      <c r="QJT132" s="21"/>
      <c r="QJU132" s="20"/>
      <c r="QJV132" s="20"/>
      <c r="QJW132" s="20"/>
      <c r="QJX132" s="20"/>
      <c r="QJY132" s="21"/>
      <c r="QJZ132" s="21"/>
      <c r="QKA132" s="7"/>
      <c r="QKB132" s="7"/>
      <c r="QKC132" s="21"/>
      <c r="QKD132" s="20"/>
      <c r="QKE132" s="20"/>
      <c r="QKF132" s="20"/>
      <c r="QKG132" s="21"/>
      <c r="QKH132" s="21"/>
      <c r="QKI132" s="21"/>
      <c r="QKJ132" s="21"/>
      <c r="QKK132" s="21"/>
      <c r="QKL132" s="20"/>
      <c r="QKM132" s="20"/>
      <c r="QKN132" s="20"/>
      <c r="QKO132" s="20"/>
      <c r="QKP132" s="21"/>
      <c r="QKQ132" s="21"/>
      <c r="QKR132" s="7"/>
      <c r="QKS132" s="7"/>
      <c r="QKT132" s="21"/>
      <c r="QKU132" s="20"/>
      <c r="QKV132" s="20"/>
      <c r="QKW132" s="20"/>
      <c r="QKX132" s="21"/>
      <c r="QKY132" s="21"/>
      <c r="QKZ132" s="21"/>
      <c r="QLA132" s="21"/>
      <c r="QLB132" s="21"/>
      <c r="QLC132" s="20"/>
      <c r="QLD132" s="20"/>
      <c r="QLE132" s="20"/>
      <c r="QLF132" s="20"/>
      <c r="QLG132" s="21"/>
      <c r="QLH132" s="21"/>
      <c r="QLI132" s="7"/>
      <c r="QLJ132" s="7"/>
      <c r="QLK132" s="21"/>
      <c r="QLL132" s="20"/>
      <c r="QLM132" s="20"/>
      <c r="QLN132" s="20"/>
      <c r="QLO132" s="21"/>
      <c r="QLP132" s="21"/>
      <c r="QLQ132" s="21"/>
      <c r="QLR132" s="21"/>
      <c r="QLS132" s="21"/>
      <c r="QLT132" s="20"/>
      <c r="QLU132" s="20"/>
      <c r="QLV132" s="20"/>
      <c r="QLW132" s="20"/>
      <c r="QLX132" s="21"/>
      <c r="QLY132" s="21"/>
      <c r="QLZ132" s="7"/>
      <c r="QMA132" s="7"/>
      <c r="QMB132" s="21"/>
      <c r="QMC132" s="20"/>
      <c r="QMD132" s="20"/>
      <c r="QME132" s="20"/>
      <c r="QMF132" s="21"/>
      <c r="QMG132" s="21"/>
      <c r="QMH132" s="21"/>
      <c r="QMI132" s="21"/>
      <c r="QMJ132" s="21"/>
      <c r="QMK132" s="20"/>
      <c r="QML132" s="20"/>
      <c r="QMM132" s="20"/>
      <c r="QMN132" s="20"/>
      <c r="QMO132" s="21"/>
      <c r="QMP132" s="21"/>
      <c r="QMQ132" s="7"/>
      <c r="QMR132" s="7"/>
      <c r="QMS132" s="21"/>
      <c r="QMT132" s="20"/>
      <c r="QMU132" s="20"/>
      <c r="QMV132" s="20"/>
      <c r="QMW132" s="21"/>
      <c r="QMX132" s="21"/>
      <c r="QMY132" s="21"/>
      <c r="QMZ132" s="21"/>
      <c r="QNA132" s="21"/>
      <c r="QNB132" s="20"/>
      <c r="QNC132" s="20"/>
      <c r="QND132" s="20"/>
      <c r="QNE132" s="20"/>
      <c r="QNF132" s="21"/>
      <c r="QNG132" s="21"/>
      <c r="QNH132" s="7"/>
      <c r="QNI132" s="7"/>
      <c r="QNJ132" s="21"/>
      <c r="QNK132" s="20"/>
      <c r="QNL132" s="20"/>
      <c r="QNM132" s="20"/>
      <c r="QNN132" s="21"/>
      <c r="QNO132" s="21"/>
      <c r="QNP132" s="21"/>
      <c r="QNQ132" s="21"/>
      <c r="QNR132" s="21"/>
      <c r="QNS132" s="20"/>
      <c r="QNT132" s="20"/>
      <c r="QNU132" s="20"/>
      <c r="QNV132" s="20"/>
      <c r="QNW132" s="21"/>
      <c r="QNX132" s="21"/>
      <c r="QNY132" s="7"/>
      <c r="QNZ132" s="7"/>
      <c r="QOA132" s="21"/>
      <c r="QOB132" s="20"/>
      <c r="QOC132" s="20"/>
      <c r="QOD132" s="20"/>
      <c r="QOE132" s="21"/>
      <c r="QOF132" s="21"/>
      <c r="QOG132" s="21"/>
      <c r="QOH132" s="21"/>
      <c r="QOI132" s="21"/>
      <c r="QOJ132" s="20"/>
      <c r="QOK132" s="20"/>
      <c r="QOL132" s="20"/>
      <c r="QOM132" s="20"/>
      <c r="QON132" s="21"/>
      <c r="QOO132" s="21"/>
      <c r="QOP132" s="7"/>
      <c r="QOQ132" s="7"/>
      <c r="QOR132" s="21"/>
      <c r="QOS132" s="20"/>
      <c r="QOT132" s="20"/>
      <c r="QOU132" s="20"/>
      <c r="QOV132" s="21"/>
      <c r="QOW132" s="21"/>
      <c r="QOX132" s="21"/>
      <c r="QOY132" s="21"/>
      <c r="QOZ132" s="21"/>
      <c r="QPA132" s="20"/>
      <c r="QPB132" s="20"/>
      <c r="QPC132" s="20"/>
      <c r="QPD132" s="20"/>
      <c r="QPE132" s="21"/>
      <c r="QPF132" s="21"/>
      <c r="QPG132" s="7"/>
      <c r="QPH132" s="7"/>
      <c r="QPI132" s="21"/>
      <c r="QPJ132" s="20"/>
      <c r="QPK132" s="20"/>
      <c r="QPL132" s="20"/>
      <c r="QPM132" s="21"/>
      <c r="QPN132" s="21"/>
      <c r="QPO132" s="21"/>
      <c r="QPP132" s="21"/>
      <c r="QPQ132" s="21"/>
      <c r="QPR132" s="20"/>
      <c r="QPS132" s="20"/>
      <c r="QPT132" s="20"/>
      <c r="QPU132" s="20"/>
      <c r="QPV132" s="21"/>
      <c r="QPW132" s="21"/>
      <c r="QPX132" s="7"/>
      <c r="QPY132" s="7"/>
      <c r="QPZ132" s="21"/>
      <c r="QQA132" s="20"/>
      <c r="QQB132" s="20"/>
      <c r="QQC132" s="20"/>
      <c r="QQD132" s="21"/>
      <c r="QQE132" s="21"/>
      <c r="QQF132" s="21"/>
      <c r="QQG132" s="21"/>
      <c r="QQH132" s="21"/>
      <c r="QQI132" s="20"/>
      <c r="QQJ132" s="20"/>
      <c r="QQK132" s="20"/>
      <c r="QQL132" s="20"/>
      <c r="QQM132" s="21"/>
      <c r="QQN132" s="21"/>
      <c r="QQO132" s="7"/>
      <c r="QQP132" s="7"/>
      <c r="QQQ132" s="21"/>
      <c r="QQR132" s="20"/>
      <c r="QQS132" s="20"/>
      <c r="QQT132" s="20"/>
      <c r="QQU132" s="21"/>
      <c r="QQV132" s="21"/>
      <c r="QQW132" s="21"/>
      <c r="QQX132" s="21"/>
      <c r="QQY132" s="21"/>
      <c r="QQZ132" s="20"/>
      <c r="QRA132" s="20"/>
      <c r="QRB132" s="20"/>
      <c r="QRC132" s="20"/>
      <c r="QRD132" s="21"/>
      <c r="QRE132" s="21"/>
      <c r="QRF132" s="7"/>
      <c r="QRG132" s="7"/>
      <c r="QRH132" s="21"/>
      <c r="QRI132" s="20"/>
      <c r="QRJ132" s="20"/>
      <c r="QRK132" s="20"/>
      <c r="QRL132" s="21"/>
      <c r="QRM132" s="21"/>
      <c r="QRN132" s="21"/>
      <c r="QRO132" s="21"/>
      <c r="QRP132" s="21"/>
      <c r="QRQ132" s="20"/>
      <c r="QRR132" s="20"/>
      <c r="QRS132" s="20"/>
      <c r="QRT132" s="20"/>
      <c r="QRU132" s="21"/>
      <c r="QRV132" s="21"/>
      <c r="QRW132" s="7"/>
      <c r="QRX132" s="7"/>
      <c r="QRY132" s="21"/>
      <c r="QRZ132" s="20"/>
      <c r="QSA132" s="20"/>
      <c r="QSB132" s="20"/>
      <c r="QSC132" s="21"/>
      <c r="QSD132" s="21"/>
      <c r="QSE132" s="21"/>
      <c r="QSF132" s="21"/>
      <c r="QSG132" s="21"/>
      <c r="QSH132" s="20"/>
      <c r="QSI132" s="20"/>
      <c r="QSJ132" s="20"/>
      <c r="QSK132" s="20"/>
      <c r="QSL132" s="21"/>
      <c r="QSM132" s="21"/>
      <c r="QSN132" s="7"/>
      <c r="QSO132" s="7"/>
      <c r="QSP132" s="21"/>
      <c r="QSQ132" s="20"/>
      <c r="QSR132" s="20"/>
      <c r="QSS132" s="20"/>
      <c r="QST132" s="21"/>
      <c r="QSU132" s="21"/>
      <c r="QSV132" s="21"/>
      <c r="QSW132" s="21"/>
      <c r="QSX132" s="21"/>
      <c r="QSY132" s="20"/>
      <c r="QSZ132" s="20"/>
      <c r="QTA132" s="20"/>
      <c r="QTB132" s="20"/>
      <c r="QTC132" s="21"/>
      <c r="QTD132" s="21"/>
      <c r="QTE132" s="7"/>
      <c r="QTF132" s="7"/>
      <c r="QTG132" s="21"/>
      <c r="QTH132" s="20"/>
      <c r="QTI132" s="20"/>
      <c r="QTJ132" s="20"/>
      <c r="QTK132" s="21"/>
      <c r="QTL132" s="21"/>
      <c r="QTM132" s="21"/>
      <c r="QTN132" s="21"/>
      <c r="QTO132" s="21"/>
      <c r="QTP132" s="20"/>
      <c r="QTQ132" s="20"/>
      <c r="QTR132" s="20"/>
      <c r="QTS132" s="20"/>
      <c r="QTT132" s="21"/>
      <c r="QTU132" s="21"/>
      <c r="QTV132" s="7"/>
      <c r="QTW132" s="7"/>
      <c r="QTX132" s="21"/>
      <c r="QTY132" s="20"/>
      <c r="QTZ132" s="20"/>
      <c r="QUA132" s="20"/>
      <c r="QUB132" s="21"/>
      <c r="QUC132" s="21"/>
      <c r="QUD132" s="21"/>
      <c r="QUE132" s="21"/>
      <c r="QUF132" s="21"/>
      <c r="QUG132" s="20"/>
      <c r="QUH132" s="20"/>
      <c r="QUI132" s="20"/>
      <c r="QUJ132" s="20"/>
      <c r="QUK132" s="21"/>
      <c r="QUL132" s="21"/>
      <c r="QUM132" s="7"/>
      <c r="QUN132" s="7"/>
      <c r="QUO132" s="21"/>
      <c r="QUP132" s="20"/>
      <c r="QUQ132" s="20"/>
      <c r="QUR132" s="20"/>
      <c r="QUS132" s="21"/>
      <c r="QUT132" s="21"/>
      <c r="QUU132" s="21"/>
      <c r="QUV132" s="21"/>
      <c r="QUW132" s="21"/>
      <c r="QUX132" s="20"/>
      <c r="QUY132" s="20"/>
      <c r="QUZ132" s="20"/>
      <c r="QVA132" s="20"/>
      <c r="QVB132" s="21"/>
      <c r="QVC132" s="21"/>
      <c r="QVD132" s="7"/>
      <c r="QVE132" s="7"/>
      <c r="QVF132" s="21"/>
      <c r="QVG132" s="20"/>
      <c r="QVH132" s="20"/>
      <c r="QVI132" s="20"/>
      <c r="QVJ132" s="21"/>
      <c r="QVK132" s="21"/>
      <c r="QVL132" s="21"/>
      <c r="QVM132" s="21"/>
      <c r="QVN132" s="21"/>
      <c r="QVO132" s="20"/>
      <c r="QVP132" s="20"/>
      <c r="QVQ132" s="20"/>
      <c r="QVR132" s="20"/>
      <c r="QVS132" s="21"/>
      <c r="QVT132" s="21"/>
      <c r="QVU132" s="7"/>
      <c r="QVV132" s="7"/>
      <c r="QVW132" s="21"/>
      <c r="QVX132" s="20"/>
      <c r="QVY132" s="20"/>
      <c r="QVZ132" s="20"/>
      <c r="QWA132" s="21"/>
      <c r="QWB132" s="21"/>
      <c r="QWC132" s="21"/>
      <c r="QWD132" s="21"/>
      <c r="QWE132" s="21"/>
      <c r="QWF132" s="20"/>
      <c r="QWG132" s="20"/>
      <c r="QWH132" s="20"/>
      <c r="QWI132" s="20"/>
      <c r="QWJ132" s="21"/>
      <c r="QWK132" s="21"/>
      <c r="QWL132" s="7"/>
      <c r="QWM132" s="7"/>
      <c r="QWN132" s="21"/>
      <c r="QWO132" s="20"/>
      <c r="QWP132" s="20"/>
      <c r="QWQ132" s="20"/>
      <c r="QWR132" s="21"/>
      <c r="QWS132" s="21"/>
      <c r="QWT132" s="21"/>
      <c r="QWU132" s="21"/>
      <c r="QWV132" s="21"/>
      <c r="QWW132" s="20"/>
      <c r="QWX132" s="20"/>
      <c r="QWY132" s="20"/>
      <c r="QWZ132" s="20"/>
      <c r="QXA132" s="21"/>
      <c r="QXB132" s="21"/>
      <c r="QXC132" s="7"/>
      <c r="QXD132" s="7"/>
      <c r="QXE132" s="21"/>
      <c r="QXF132" s="20"/>
      <c r="QXG132" s="20"/>
      <c r="QXH132" s="20"/>
      <c r="QXI132" s="21"/>
      <c r="QXJ132" s="21"/>
      <c r="QXK132" s="21"/>
      <c r="QXL132" s="21"/>
      <c r="QXM132" s="21"/>
      <c r="QXN132" s="20"/>
      <c r="QXO132" s="20"/>
      <c r="QXP132" s="20"/>
      <c r="QXQ132" s="20"/>
      <c r="QXR132" s="21"/>
      <c r="QXS132" s="21"/>
      <c r="QXT132" s="7"/>
      <c r="QXU132" s="7"/>
      <c r="QXV132" s="21"/>
      <c r="QXW132" s="20"/>
      <c r="QXX132" s="20"/>
      <c r="QXY132" s="20"/>
      <c r="QXZ132" s="21"/>
      <c r="QYA132" s="21"/>
      <c r="QYB132" s="21"/>
      <c r="QYC132" s="21"/>
      <c r="QYD132" s="21"/>
      <c r="QYE132" s="20"/>
      <c r="QYF132" s="20"/>
      <c r="QYG132" s="20"/>
      <c r="QYH132" s="20"/>
      <c r="QYI132" s="21"/>
      <c r="QYJ132" s="21"/>
      <c r="QYK132" s="7"/>
      <c r="QYL132" s="7"/>
      <c r="QYM132" s="21"/>
      <c r="QYN132" s="20"/>
      <c r="QYO132" s="20"/>
      <c r="QYP132" s="20"/>
      <c r="QYQ132" s="21"/>
      <c r="QYR132" s="21"/>
      <c r="QYS132" s="21"/>
      <c r="QYT132" s="21"/>
      <c r="QYU132" s="21"/>
      <c r="QYV132" s="20"/>
      <c r="QYW132" s="20"/>
      <c r="QYX132" s="20"/>
      <c r="QYY132" s="20"/>
      <c r="QYZ132" s="21"/>
      <c r="QZA132" s="21"/>
      <c r="QZB132" s="7"/>
      <c r="QZC132" s="7"/>
      <c r="QZD132" s="21"/>
      <c r="QZE132" s="20"/>
      <c r="QZF132" s="20"/>
      <c r="QZG132" s="20"/>
      <c r="QZH132" s="21"/>
      <c r="QZI132" s="21"/>
      <c r="QZJ132" s="21"/>
      <c r="QZK132" s="21"/>
      <c r="QZL132" s="21"/>
      <c r="QZM132" s="20"/>
      <c r="QZN132" s="20"/>
      <c r="QZO132" s="20"/>
      <c r="QZP132" s="20"/>
      <c r="QZQ132" s="21"/>
      <c r="QZR132" s="21"/>
      <c r="QZS132" s="7"/>
      <c r="QZT132" s="7"/>
      <c r="QZU132" s="21"/>
      <c r="QZV132" s="20"/>
      <c r="QZW132" s="20"/>
      <c r="QZX132" s="20"/>
      <c r="QZY132" s="21"/>
      <c r="QZZ132" s="21"/>
      <c r="RAA132" s="21"/>
      <c r="RAB132" s="21"/>
      <c r="RAC132" s="21"/>
      <c r="RAD132" s="20"/>
      <c r="RAE132" s="20"/>
      <c r="RAF132" s="20"/>
      <c r="RAG132" s="20"/>
      <c r="RAH132" s="21"/>
      <c r="RAI132" s="21"/>
      <c r="RAJ132" s="7"/>
      <c r="RAK132" s="7"/>
      <c r="RAL132" s="21"/>
      <c r="RAM132" s="20"/>
      <c r="RAN132" s="20"/>
      <c r="RAO132" s="20"/>
      <c r="RAP132" s="21"/>
      <c r="RAQ132" s="21"/>
      <c r="RAR132" s="21"/>
      <c r="RAS132" s="21"/>
      <c r="RAT132" s="21"/>
      <c r="RAU132" s="20"/>
      <c r="RAV132" s="20"/>
      <c r="RAW132" s="20"/>
      <c r="RAX132" s="20"/>
      <c r="RAY132" s="21"/>
      <c r="RAZ132" s="21"/>
      <c r="RBA132" s="7"/>
      <c r="RBB132" s="7"/>
      <c r="RBC132" s="21"/>
      <c r="RBD132" s="20"/>
      <c r="RBE132" s="20"/>
      <c r="RBF132" s="20"/>
      <c r="RBG132" s="21"/>
      <c r="RBH132" s="21"/>
      <c r="RBI132" s="21"/>
      <c r="RBJ132" s="21"/>
      <c r="RBK132" s="21"/>
      <c r="RBL132" s="20"/>
      <c r="RBM132" s="20"/>
      <c r="RBN132" s="20"/>
      <c r="RBO132" s="20"/>
      <c r="RBP132" s="21"/>
      <c r="RBQ132" s="21"/>
      <c r="RBR132" s="7"/>
      <c r="RBS132" s="7"/>
      <c r="RBT132" s="21"/>
      <c r="RBU132" s="20"/>
      <c r="RBV132" s="20"/>
      <c r="RBW132" s="20"/>
      <c r="RBX132" s="21"/>
      <c r="RBY132" s="21"/>
      <c r="RBZ132" s="21"/>
      <c r="RCA132" s="21"/>
      <c r="RCB132" s="21"/>
      <c r="RCC132" s="20"/>
      <c r="RCD132" s="20"/>
      <c r="RCE132" s="20"/>
      <c r="RCF132" s="20"/>
      <c r="RCG132" s="21"/>
      <c r="RCH132" s="21"/>
      <c r="RCI132" s="7"/>
      <c r="RCJ132" s="7"/>
      <c r="RCK132" s="21"/>
      <c r="RCL132" s="20"/>
      <c r="RCM132" s="20"/>
      <c r="RCN132" s="20"/>
      <c r="RCO132" s="21"/>
      <c r="RCP132" s="21"/>
      <c r="RCQ132" s="21"/>
      <c r="RCR132" s="21"/>
      <c r="RCS132" s="21"/>
      <c r="RCT132" s="20"/>
      <c r="RCU132" s="20"/>
      <c r="RCV132" s="20"/>
      <c r="RCW132" s="20"/>
      <c r="RCX132" s="21"/>
      <c r="RCY132" s="21"/>
      <c r="RCZ132" s="7"/>
      <c r="RDA132" s="7"/>
      <c r="RDB132" s="21"/>
      <c r="RDC132" s="20"/>
      <c r="RDD132" s="20"/>
      <c r="RDE132" s="20"/>
      <c r="RDF132" s="21"/>
      <c r="RDG132" s="21"/>
      <c r="RDH132" s="21"/>
      <c r="RDI132" s="21"/>
      <c r="RDJ132" s="21"/>
      <c r="RDK132" s="20"/>
      <c r="RDL132" s="20"/>
      <c r="RDM132" s="20"/>
      <c r="RDN132" s="20"/>
      <c r="RDO132" s="21"/>
      <c r="RDP132" s="21"/>
      <c r="RDQ132" s="7"/>
      <c r="RDR132" s="7"/>
      <c r="RDS132" s="21"/>
      <c r="RDT132" s="20"/>
      <c r="RDU132" s="20"/>
      <c r="RDV132" s="20"/>
      <c r="RDW132" s="21"/>
      <c r="RDX132" s="21"/>
      <c r="RDY132" s="21"/>
      <c r="RDZ132" s="21"/>
      <c r="REA132" s="21"/>
      <c r="REB132" s="20"/>
      <c r="REC132" s="20"/>
      <c r="RED132" s="20"/>
      <c r="REE132" s="20"/>
      <c r="REF132" s="21"/>
      <c r="REG132" s="21"/>
      <c r="REH132" s="7"/>
      <c r="REI132" s="7"/>
      <c r="REJ132" s="21"/>
      <c r="REK132" s="20"/>
      <c r="REL132" s="20"/>
      <c r="REM132" s="20"/>
      <c r="REN132" s="21"/>
      <c r="REO132" s="21"/>
      <c r="REP132" s="21"/>
      <c r="REQ132" s="21"/>
      <c r="RER132" s="21"/>
      <c r="RES132" s="20"/>
      <c r="RET132" s="20"/>
      <c r="REU132" s="20"/>
      <c r="REV132" s="20"/>
      <c r="REW132" s="21"/>
      <c r="REX132" s="21"/>
      <c r="REY132" s="7"/>
      <c r="REZ132" s="7"/>
      <c r="RFA132" s="21"/>
      <c r="RFB132" s="20"/>
      <c r="RFC132" s="20"/>
      <c r="RFD132" s="20"/>
      <c r="RFE132" s="21"/>
      <c r="RFF132" s="21"/>
      <c r="RFG132" s="21"/>
      <c r="RFH132" s="21"/>
      <c r="RFI132" s="21"/>
      <c r="RFJ132" s="20"/>
      <c r="RFK132" s="20"/>
      <c r="RFL132" s="20"/>
      <c r="RFM132" s="20"/>
      <c r="RFN132" s="21"/>
      <c r="RFO132" s="21"/>
      <c r="RFP132" s="7"/>
      <c r="RFQ132" s="7"/>
      <c r="RFR132" s="21"/>
      <c r="RFS132" s="20"/>
      <c r="RFT132" s="20"/>
      <c r="RFU132" s="20"/>
      <c r="RFV132" s="21"/>
      <c r="RFW132" s="21"/>
      <c r="RFX132" s="21"/>
      <c r="RFY132" s="21"/>
      <c r="RFZ132" s="21"/>
      <c r="RGA132" s="20"/>
      <c r="RGB132" s="20"/>
      <c r="RGC132" s="20"/>
      <c r="RGD132" s="20"/>
      <c r="RGE132" s="21"/>
      <c r="RGF132" s="21"/>
      <c r="RGG132" s="7"/>
      <c r="RGH132" s="7"/>
      <c r="RGI132" s="21"/>
      <c r="RGJ132" s="20"/>
      <c r="RGK132" s="20"/>
      <c r="RGL132" s="20"/>
      <c r="RGM132" s="21"/>
      <c r="RGN132" s="21"/>
      <c r="RGO132" s="21"/>
      <c r="RGP132" s="21"/>
      <c r="RGQ132" s="21"/>
      <c r="RGR132" s="20"/>
      <c r="RGS132" s="20"/>
      <c r="RGT132" s="20"/>
      <c r="RGU132" s="20"/>
      <c r="RGV132" s="21"/>
      <c r="RGW132" s="21"/>
      <c r="RGX132" s="7"/>
      <c r="RGY132" s="7"/>
      <c r="RGZ132" s="21"/>
      <c r="RHA132" s="20"/>
      <c r="RHB132" s="20"/>
      <c r="RHC132" s="20"/>
      <c r="RHD132" s="21"/>
      <c r="RHE132" s="21"/>
      <c r="RHF132" s="21"/>
      <c r="RHG132" s="21"/>
      <c r="RHH132" s="21"/>
      <c r="RHI132" s="20"/>
      <c r="RHJ132" s="20"/>
      <c r="RHK132" s="20"/>
      <c r="RHL132" s="20"/>
      <c r="RHM132" s="21"/>
      <c r="RHN132" s="21"/>
      <c r="RHO132" s="7"/>
      <c r="RHP132" s="7"/>
      <c r="RHQ132" s="21"/>
      <c r="RHR132" s="20"/>
      <c r="RHS132" s="20"/>
      <c r="RHT132" s="20"/>
      <c r="RHU132" s="21"/>
      <c r="RHV132" s="21"/>
      <c r="RHW132" s="21"/>
      <c r="RHX132" s="21"/>
      <c r="RHY132" s="21"/>
      <c r="RHZ132" s="20"/>
      <c r="RIA132" s="20"/>
      <c r="RIB132" s="20"/>
      <c r="RIC132" s="20"/>
      <c r="RID132" s="21"/>
      <c r="RIE132" s="21"/>
      <c r="RIF132" s="7"/>
      <c r="RIG132" s="7"/>
      <c r="RIH132" s="21"/>
      <c r="RII132" s="20"/>
      <c r="RIJ132" s="20"/>
      <c r="RIK132" s="20"/>
      <c r="RIL132" s="21"/>
      <c r="RIM132" s="21"/>
      <c r="RIN132" s="21"/>
      <c r="RIO132" s="21"/>
      <c r="RIP132" s="21"/>
      <c r="RIQ132" s="20"/>
      <c r="RIR132" s="20"/>
      <c r="RIS132" s="20"/>
      <c r="RIT132" s="20"/>
      <c r="RIU132" s="21"/>
      <c r="RIV132" s="21"/>
      <c r="RIW132" s="7"/>
      <c r="RIX132" s="7"/>
      <c r="RIY132" s="21"/>
      <c r="RIZ132" s="20"/>
      <c r="RJA132" s="20"/>
      <c r="RJB132" s="20"/>
      <c r="RJC132" s="21"/>
      <c r="RJD132" s="21"/>
      <c r="RJE132" s="21"/>
      <c r="RJF132" s="21"/>
      <c r="RJG132" s="21"/>
      <c r="RJH132" s="20"/>
      <c r="RJI132" s="20"/>
      <c r="RJJ132" s="20"/>
      <c r="RJK132" s="20"/>
      <c r="RJL132" s="21"/>
      <c r="RJM132" s="21"/>
      <c r="RJN132" s="7"/>
      <c r="RJO132" s="7"/>
      <c r="RJP132" s="21"/>
      <c r="RJQ132" s="20"/>
      <c r="RJR132" s="20"/>
      <c r="RJS132" s="20"/>
      <c r="RJT132" s="21"/>
      <c r="RJU132" s="21"/>
      <c r="RJV132" s="21"/>
      <c r="RJW132" s="21"/>
      <c r="RJX132" s="21"/>
      <c r="RJY132" s="20"/>
      <c r="RJZ132" s="20"/>
      <c r="RKA132" s="20"/>
      <c r="RKB132" s="20"/>
      <c r="RKC132" s="21"/>
      <c r="RKD132" s="21"/>
      <c r="RKE132" s="7"/>
      <c r="RKF132" s="7"/>
      <c r="RKG132" s="21"/>
      <c r="RKH132" s="20"/>
      <c r="RKI132" s="20"/>
      <c r="RKJ132" s="20"/>
      <c r="RKK132" s="21"/>
      <c r="RKL132" s="21"/>
      <c r="RKM132" s="21"/>
      <c r="RKN132" s="21"/>
      <c r="RKO132" s="21"/>
      <c r="RKP132" s="20"/>
      <c r="RKQ132" s="20"/>
      <c r="RKR132" s="20"/>
      <c r="RKS132" s="20"/>
      <c r="RKT132" s="21"/>
      <c r="RKU132" s="21"/>
      <c r="RKV132" s="7"/>
      <c r="RKW132" s="7"/>
      <c r="RKX132" s="21"/>
      <c r="RKY132" s="20"/>
      <c r="RKZ132" s="20"/>
      <c r="RLA132" s="20"/>
      <c r="RLB132" s="21"/>
      <c r="RLC132" s="21"/>
      <c r="RLD132" s="21"/>
      <c r="RLE132" s="21"/>
      <c r="RLF132" s="21"/>
      <c r="RLG132" s="20"/>
      <c r="RLH132" s="20"/>
      <c r="RLI132" s="20"/>
      <c r="RLJ132" s="20"/>
      <c r="RLK132" s="21"/>
      <c r="RLL132" s="21"/>
      <c r="RLM132" s="7"/>
      <c r="RLN132" s="7"/>
      <c r="RLO132" s="21"/>
      <c r="RLP132" s="20"/>
      <c r="RLQ132" s="20"/>
      <c r="RLR132" s="20"/>
      <c r="RLS132" s="21"/>
      <c r="RLT132" s="21"/>
      <c r="RLU132" s="21"/>
      <c r="RLV132" s="21"/>
      <c r="RLW132" s="21"/>
      <c r="RLX132" s="20"/>
      <c r="RLY132" s="20"/>
      <c r="RLZ132" s="20"/>
      <c r="RMA132" s="20"/>
      <c r="RMB132" s="21"/>
      <c r="RMC132" s="21"/>
      <c r="RMD132" s="7"/>
      <c r="RME132" s="7"/>
      <c r="RMF132" s="21"/>
      <c r="RMG132" s="20"/>
      <c r="RMH132" s="20"/>
      <c r="RMI132" s="20"/>
      <c r="RMJ132" s="21"/>
      <c r="RMK132" s="21"/>
      <c r="RML132" s="21"/>
      <c r="RMM132" s="21"/>
      <c r="RMN132" s="21"/>
      <c r="RMO132" s="20"/>
      <c r="RMP132" s="20"/>
      <c r="RMQ132" s="20"/>
      <c r="RMR132" s="20"/>
      <c r="RMS132" s="21"/>
      <c r="RMT132" s="21"/>
      <c r="RMU132" s="7"/>
      <c r="RMV132" s="7"/>
      <c r="RMW132" s="21"/>
      <c r="RMX132" s="20"/>
      <c r="RMY132" s="20"/>
      <c r="RMZ132" s="20"/>
      <c r="RNA132" s="21"/>
      <c r="RNB132" s="21"/>
      <c r="RNC132" s="21"/>
      <c r="RND132" s="21"/>
      <c r="RNE132" s="21"/>
      <c r="RNF132" s="20"/>
      <c r="RNG132" s="20"/>
      <c r="RNH132" s="20"/>
      <c r="RNI132" s="20"/>
      <c r="RNJ132" s="21"/>
      <c r="RNK132" s="21"/>
      <c r="RNL132" s="7"/>
      <c r="RNM132" s="7"/>
      <c r="RNN132" s="21"/>
      <c r="RNO132" s="20"/>
      <c r="RNP132" s="20"/>
      <c r="RNQ132" s="20"/>
      <c r="RNR132" s="21"/>
      <c r="RNS132" s="21"/>
      <c r="RNT132" s="21"/>
      <c r="RNU132" s="21"/>
      <c r="RNV132" s="21"/>
      <c r="RNW132" s="20"/>
      <c r="RNX132" s="20"/>
      <c r="RNY132" s="20"/>
      <c r="RNZ132" s="20"/>
      <c r="ROA132" s="21"/>
      <c r="ROB132" s="21"/>
      <c r="ROC132" s="7"/>
      <c r="ROD132" s="7"/>
      <c r="ROE132" s="21"/>
      <c r="ROF132" s="20"/>
      <c r="ROG132" s="20"/>
      <c r="ROH132" s="20"/>
      <c r="ROI132" s="21"/>
      <c r="ROJ132" s="21"/>
      <c r="ROK132" s="21"/>
      <c r="ROL132" s="21"/>
      <c r="ROM132" s="21"/>
      <c r="RON132" s="20"/>
      <c r="ROO132" s="20"/>
      <c r="ROP132" s="20"/>
      <c r="ROQ132" s="20"/>
      <c r="ROR132" s="21"/>
      <c r="ROS132" s="21"/>
      <c r="ROT132" s="7"/>
      <c r="ROU132" s="7"/>
      <c r="ROV132" s="21"/>
      <c r="ROW132" s="20"/>
      <c r="ROX132" s="20"/>
      <c r="ROY132" s="20"/>
      <c r="ROZ132" s="21"/>
      <c r="RPA132" s="21"/>
      <c r="RPB132" s="21"/>
      <c r="RPC132" s="21"/>
      <c r="RPD132" s="21"/>
      <c r="RPE132" s="20"/>
      <c r="RPF132" s="20"/>
      <c r="RPG132" s="20"/>
      <c r="RPH132" s="20"/>
      <c r="RPI132" s="21"/>
      <c r="RPJ132" s="21"/>
      <c r="RPK132" s="7"/>
      <c r="RPL132" s="7"/>
      <c r="RPM132" s="21"/>
      <c r="RPN132" s="20"/>
      <c r="RPO132" s="20"/>
      <c r="RPP132" s="20"/>
      <c r="RPQ132" s="21"/>
      <c r="RPR132" s="21"/>
      <c r="RPS132" s="21"/>
      <c r="RPT132" s="21"/>
      <c r="RPU132" s="21"/>
      <c r="RPV132" s="20"/>
      <c r="RPW132" s="20"/>
      <c r="RPX132" s="20"/>
      <c r="RPY132" s="20"/>
      <c r="RPZ132" s="21"/>
      <c r="RQA132" s="21"/>
      <c r="RQB132" s="7"/>
      <c r="RQC132" s="7"/>
      <c r="RQD132" s="21"/>
      <c r="RQE132" s="20"/>
      <c r="RQF132" s="20"/>
      <c r="RQG132" s="20"/>
      <c r="RQH132" s="21"/>
      <c r="RQI132" s="21"/>
      <c r="RQJ132" s="21"/>
      <c r="RQK132" s="21"/>
      <c r="RQL132" s="21"/>
      <c r="RQM132" s="20"/>
      <c r="RQN132" s="20"/>
      <c r="RQO132" s="20"/>
      <c r="RQP132" s="20"/>
      <c r="RQQ132" s="21"/>
      <c r="RQR132" s="21"/>
      <c r="RQS132" s="7"/>
      <c r="RQT132" s="7"/>
      <c r="RQU132" s="21"/>
      <c r="RQV132" s="20"/>
      <c r="RQW132" s="20"/>
      <c r="RQX132" s="20"/>
      <c r="RQY132" s="21"/>
      <c r="RQZ132" s="21"/>
      <c r="RRA132" s="21"/>
      <c r="RRB132" s="21"/>
      <c r="RRC132" s="21"/>
      <c r="RRD132" s="20"/>
      <c r="RRE132" s="20"/>
      <c r="RRF132" s="20"/>
      <c r="RRG132" s="20"/>
      <c r="RRH132" s="21"/>
      <c r="RRI132" s="21"/>
      <c r="RRJ132" s="7"/>
      <c r="RRK132" s="7"/>
      <c r="RRL132" s="21"/>
      <c r="RRM132" s="20"/>
      <c r="RRN132" s="20"/>
      <c r="RRO132" s="20"/>
      <c r="RRP132" s="21"/>
      <c r="RRQ132" s="21"/>
      <c r="RRR132" s="21"/>
      <c r="RRS132" s="21"/>
      <c r="RRT132" s="21"/>
      <c r="RRU132" s="20"/>
      <c r="RRV132" s="20"/>
      <c r="RRW132" s="20"/>
      <c r="RRX132" s="20"/>
      <c r="RRY132" s="21"/>
      <c r="RRZ132" s="21"/>
      <c r="RSA132" s="7"/>
      <c r="RSB132" s="7"/>
      <c r="RSC132" s="21"/>
      <c r="RSD132" s="20"/>
      <c r="RSE132" s="20"/>
      <c r="RSF132" s="20"/>
      <c r="RSG132" s="21"/>
      <c r="RSH132" s="21"/>
      <c r="RSI132" s="21"/>
      <c r="RSJ132" s="21"/>
      <c r="RSK132" s="21"/>
      <c r="RSL132" s="20"/>
      <c r="RSM132" s="20"/>
      <c r="RSN132" s="20"/>
      <c r="RSO132" s="20"/>
      <c r="RSP132" s="21"/>
      <c r="RSQ132" s="21"/>
      <c r="RSR132" s="7"/>
      <c r="RSS132" s="7"/>
      <c r="RST132" s="21"/>
      <c r="RSU132" s="20"/>
      <c r="RSV132" s="20"/>
      <c r="RSW132" s="20"/>
      <c r="RSX132" s="21"/>
      <c r="RSY132" s="21"/>
      <c r="RSZ132" s="21"/>
      <c r="RTA132" s="21"/>
      <c r="RTB132" s="21"/>
      <c r="RTC132" s="20"/>
      <c r="RTD132" s="20"/>
      <c r="RTE132" s="20"/>
      <c r="RTF132" s="20"/>
      <c r="RTG132" s="21"/>
      <c r="RTH132" s="21"/>
      <c r="RTI132" s="7"/>
      <c r="RTJ132" s="7"/>
      <c r="RTK132" s="21"/>
      <c r="RTL132" s="20"/>
      <c r="RTM132" s="20"/>
      <c r="RTN132" s="20"/>
      <c r="RTO132" s="21"/>
      <c r="RTP132" s="21"/>
      <c r="RTQ132" s="21"/>
      <c r="RTR132" s="21"/>
      <c r="RTS132" s="21"/>
      <c r="RTT132" s="20"/>
      <c r="RTU132" s="20"/>
      <c r="RTV132" s="20"/>
      <c r="RTW132" s="20"/>
      <c r="RTX132" s="21"/>
      <c r="RTY132" s="21"/>
      <c r="RTZ132" s="7"/>
      <c r="RUA132" s="7"/>
      <c r="RUB132" s="21"/>
      <c r="RUC132" s="20"/>
      <c r="RUD132" s="20"/>
      <c r="RUE132" s="20"/>
      <c r="RUF132" s="21"/>
      <c r="RUG132" s="21"/>
      <c r="RUH132" s="21"/>
      <c r="RUI132" s="21"/>
      <c r="RUJ132" s="21"/>
      <c r="RUK132" s="20"/>
      <c r="RUL132" s="20"/>
      <c r="RUM132" s="20"/>
      <c r="RUN132" s="20"/>
      <c r="RUO132" s="21"/>
      <c r="RUP132" s="21"/>
      <c r="RUQ132" s="7"/>
      <c r="RUR132" s="7"/>
      <c r="RUS132" s="21"/>
      <c r="RUT132" s="20"/>
      <c r="RUU132" s="20"/>
      <c r="RUV132" s="20"/>
      <c r="RUW132" s="21"/>
      <c r="RUX132" s="21"/>
      <c r="RUY132" s="21"/>
      <c r="RUZ132" s="21"/>
      <c r="RVA132" s="21"/>
      <c r="RVB132" s="20"/>
      <c r="RVC132" s="20"/>
      <c r="RVD132" s="20"/>
      <c r="RVE132" s="20"/>
      <c r="RVF132" s="21"/>
      <c r="RVG132" s="21"/>
      <c r="RVH132" s="7"/>
      <c r="RVI132" s="7"/>
      <c r="RVJ132" s="21"/>
      <c r="RVK132" s="20"/>
      <c r="RVL132" s="20"/>
      <c r="RVM132" s="20"/>
      <c r="RVN132" s="21"/>
      <c r="RVO132" s="21"/>
      <c r="RVP132" s="21"/>
      <c r="RVQ132" s="21"/>
      <c r="RVR132" s="21"/>
      <c r="RVS132" s="20"/>
      <c r="RVT132" s="20"/>
      <c r="RVU132" s="20"/>
      <c r="RVV132" s="20"/>
      <c r="RVW132" s="21"/>
      <c r="RVX132" s="21"/>
      <c r="RVY132" s="7"/>
      <c r="RVZ132" s="7"/>
      <c r="RWA132" s="21"/>
      <c r="RWB132" s="20"/>
      <c r="RWC132" s="20"/>
      <c r="RWD132" s="20"/>
      <c r="RWE132" s="21"/>
      <c r="RWF132" s="21"/>
      <c r="RWG132" s="21"/>
      <c r="RWH132" s="21"/>
      <c r="RWI132" s="21"/>
      <c r="RWJ132" s="20"/>
      <c r="RWK132" s="20"/>
      <c r="RWL132" s="20"/>
      <c r="RWM132" s="20"/>
      <c r="RWN132" s="21"/>
      <c r="RWO132" s="21"/>
      <c r="RWP132" s="7"/>
      <c r="RWQ132" s="7"/>
      <c r="RWR132" s="21"/>
      <c r="RWS132" s="20"/>
      <c r="RWT132" s="20"/>
      <c r="RWU132" s="20"/>
      <c r="RWV132" s="21"/>
      <c r="RWW132" s="21"/>
      <c r="RWX132" s="21"/>
      <c r="RWY132" s="21"/>
      <c r="RWZ132" s="21"/>
      <c r="RXA132" s="20"/>
      <c r="RXB132" s="20"/>
      <c r="RXC132" s="20"/>
      <c r="RXD132" s="20"/>
      <c r="RXE132" s="21"/>
      <c r="RXF132" s="21"/>
      <c r="RXG132" s="7"/>
      <c r="RXH132" s="7"/>
      <c r="RXI132" s="21"/>
      <c r="RXJ132" s="20"/>
      <c r="RXK132" s="20"/>
      <c r="RXL132" s="20"/>
      <c r="RXM132" s="21"/>
      <c r="RXN132" s="21"/>
      <c r="RXO132" s="21"/>
      <c r="RXP132" s="21"/>
      <c r="RXQ132" s="21"/>
      <c r="RXR132" s="20"/>
      <c r="RXS132" s="20"/>
      <c r="RXT132" s="20"/>
      <c r="RXU132" s="20"/>
      <c r="RXV132" s="21"/>
      <c r="RXW132" s="21"/>
      <c r="RXX132" s="7"/>
      <c r="RXY132" s="7"/>
      <c r="RXZ132" s="21"/>
      <c r="RYA132" s="20"/>
      <c r="RYB132" s="20"/>
      <c r="RYC132" s="20"/>
      <c r="RYD132" s="21"/>
      <c r="RYE132" s="21"/>
      <c r="RYF132" s="21"/>
      <c r="RYG132" s="21"/>
      <c r="RYH132" s="21"/>
      <c r="RYI132" s="20"/>
      <c r="RYJ132" s="20"/>
      <c r="RYK132" s="20"/>
      <c r="RYL132" s="20"/>
      <c r="RYM132" s="21"/>
      <c r="RYN132" s="21"/>
      <c r="RYO132" s="7"/>
      <c r="RYP132" s="7"/>
      <c r="RYQ132" s="21"/>
      <c r="RYR132" s="20"/>
      <c r="RYS132" s="20"/>
      <c r="RYT132" s="20"/>
      <c r="RYU132" s="21"/>
      <c r="RYV132" s="21"/>
      <c r="RYW132" s="21"/>
      <c r="RYX132" s="21"/>
      <c r="RYY132" s="21"/>
      <c r="RYZ132" s="20"/>
      <c r="RZA132" s="20"/>
      <c r="RZB132" s="20"/>
      <c r="RZC132" s="20"/>
      <c r="RZD132" s="21"/>
      <c r="RZE132" s="21"/>
      <c r="RZF132" s="7"/>
      <c r="RZG132" s="7"/>
      <c r="RZH132" s="21"/>
      <c r="RZI132" s="20"/>
      <c r="RZJ132" s="20"/>
      <c r="RZK132" s="20"/>
      <c r="RZL132" s="21"/>
      <c r="RZM132" s="21"/>
      <c r="RZN132" s="21"/>
      <c r="RZO132" s="21"/>
      <c r="RZP132" s="21"/>
      <c r="RZQ132" s="20"/>
      <c r="RZR132" s="20"/>
      <c r="RZS132" s="20"/>
      <c r="RZT132" s="20"/>
      <c r="RZU132" s="21"/>
      <c r="RZV132" s="21"/>
      <c r="RZW132" s="7"/>
      <c r="RZX132" s="7"/>
      <c r="RZY132" s="21"/>
      <c r="RZZ132" s="20"/>
      <c r="SAA132" s="20"/>
      <c r="SAB132" s="20"/>
      <c r="SAC132" s="21"/>
      <c r="SAD132" s="21"/>
      <c r="SAE132" s="21"/>
      <c r="SAF132" s="21"/>
      <c r="SAG132" s="21"/>
      <c r="SAH132" s="20"/>
      <c r="SAI132" s="20"/>
      <c r="SAJ132" s="20"/>
      <c r="SAK132" s="20"/>
      <c r="SAL132" s="21"/>
      <c r="SAM132" s="21"/>
      <c r="SAN132" s="7"/>
      <c r="SAO132" s="7"/>
      <c r="SAP132" s="21"/>
      <c r="SAQ132" s="20"/>
      <c r="SAR132" s="20"/>
      <c r="SAS132" s="20"/>
      <c r="SAT132" s="21"/>
      <c r="SAU132" s="21"/>
      <c r="SAV132" s="21"/>
      <c r="SAW132" s="21"/>
      <c r="SAX132" s="21"/>
      <c r="SAY132" s="20"/>
      <c r="SAZ132" s="20"/>
      <c r="SBA132" s="20"/>
      <c r="SBB132" s="20"/>
      <c r="SBC132" s="21"/>
      <c r="SBD132" s="21"/>
      <c r="SBE132" s="7"/>
      <c r="SBF132" s="7"/>
      <c r="SBG132" s="21"/>
      <c r="SBH132" s="20"/>
      <c r="SBI132" s="20"/>
      <c r="SBJ132" s="20"/>
      <c r="SBK132" s="21"/>
      <c r="SBL132" s="21"/>
      <c r="SBM132" s="21"/>
      <c r="SBN132" s="21"/>
      <c r="SBO132" s="21"/>
      <c r="SBP132" s="20"/>
      <c r="SBQ132" s="20"/>
      <c r="SBR132" s="20"/>
      <c r="SBS132" s="20"/>
      <c r="SBT132" s="21"/>
      <c r="SBU132" s="21"/>
      <c r="SBV132" s="7"/>
      <c r="SBW132" s="7"/>
      <c r="SBX132" s="21"/>
      <c r="SBY132" s="20"/>
      <c r="SBZ132" s="20"/>
      <c r="SCA132" s="20"/>
      <c r="SCB132" s="21"/>
      <c r="SCC132" s="21"/>
      <c r="SCD132" s="21"/>
      <c r="SCE132" s="21"/>
      <c r="SCF132" s="21"/>
      <c r="SCG132" s="20"/>
      <c r="SCH132" s="20"/>
      <c r="SCI132" s="20"/>
      <c r="SCJ132" s="20"/>
      <c r="SCK132" s="21"/>
      <c r="SCL132" s="21"/>
      <c r="SCM132" s="7"/>
      <c r="SCN132" s="7"/>
      <c r="SCO132" s="21"/>
      <c r="SCP132" s="20"/>
      <c r="SCQ132" s="20"/>
      <c r="SCR132" s="20"/>
      <c r="SCS132" s="21"/>
      <c r="SCT132" s="21"/>
      <c r="SCU132" s="21"/>
      <c r="SCV132" s="21"/>
      <c r="SCW132" s="21"/>
      <c r="SCX132" s="20"/>
      <c r="SCY132" s="20"/>
      <c r="SCZ132" s="20"/>
      <c r="SDA132" s="20"/>
      <c r="SDB132" s="21"/>
      <c r="SDC132" s="21"/>
      <c r="SDD132" s="7"/>
      <c r="SDE132" s="7"/>
      <c r="SDF132" s="21"/>
      <c r="SDG132" s="20"/>
      <c r="SDH132" s="20"/>
      <c r="SDI132" s="20"/>
      <c r="SDJ132" s="21"/>
      <c r="SDK132" s="21"/>
      <c r="SDL132" s="21"/>
      <c r="SDM132" s="21"/>
      <c r="SDN132" s="21"/>
      <c r="SDO132" s="20"/>
      <c r="SDP132" s="20"/>
      <c r="SDQ132" s="20"/>
      <c r="SDR132" s="20"/>
      <c r="SDS132" s="21"/>
      <c r="SDT132" s="21"/>
      <c r="SDU132" s="7"/>
      <c r="SDV132" s="7"/>
      <c r="SDW132" s="21"/>
      <c r="SDX132" s="20"/>
      <c r="SDY132" s="20"/>
      <c r="SDZ132" s="20"/>
      <c r="SEA132" s="21"/>
      <c r="SEB132" s="21"/>
      <c r="SEC132" s="21"/>
      <c r="SED132" s="21"/>
      <c r="SEE132" s="21"/>
      <c r="SEF132" s="20"/>
      <c r="SEG132" s="20"/>
      <c r="SEH132" s="20"/>
      <c r="SEI132" s="20"/>
      <c r="SEJ132" s="21"/>
      <c r="SEK132" s="21"/>
      <c r="SEL132" s="7"/>
      <c r="SEM132" s="7"/>
      <c r="SEN132" s="21"/>
      <c r="SEO132" s="20"/>
      <c r="SEP132" s="20"/>
      <c r="SEQ132" s="20"/>
      <c r="SER132" s="21"/>
      <c r="SES132" s="21"/>
      <c r="SET132" s="21"/>
      <c r="SEU132" s="21"/>
      <c r="SEV132" s="21"/>
      <c r="SEW132" s="20"/>
      <c r="SEX132" s="20"/>
      <c r="SEY132" s="20"/>
      <c r="SEZ132" s="20"/>
      <c r="SFA132" s="21"/>
      <c r="SFB132" s="21"/>
      <c r="SFC132" s="7"/>
      <c r="SFD132" s="7"/>
      <c r="SFE132" s="21"/>
      <c r="SFF132" s="20"/>
      <c r="SFG132" s="20"/>
      <c r="SFH132" s="20"/>
      <c r="SFI132" s="21"/>
      <c r="SFJ132" s="21"/>
      <c r="SFK132" s="21"/>
      <c r="SFL132" s="21"/>
      <c r="SFM132" s="21"/>
      <c r="SFN132" s="20"/>
      <c r="SFO132" s="20"/>
      <c r="SFP132" s="20"/>
      <c r="SFQ132" s="20"/>
      <c r="SFR132" s="21"/>
      <c r="SFS132" s="21"/>
      <c r="SFT132" s="7"/>
      <c r="SFU132" s="7"/>
      <c r="SFV132" s="21"/>
      <c r="SFW132" s="20"/>
      <c r="SFX132" s="20"/>
      <c r="SFY132" s="20"/>
      <c r="SFZ132" s="21"/>
      <c r="SGA132" s="21"/>
      <c r="SGB132" s="21"/>
      <c r="SGC132" s="21"/>
      <c r="SGD132" s="21"/>
      <c r="SGE132" s="20"/>
      <c r="SGF132" s="20"/>
      <c r="SGG132" s="20"/>
      <c r="SGH132" s="20"/>
      <c r="SGI132" s="21"/>
      <c r="SGJ132" s="21"/>
      <c r="SGK132" s="7"/>
      <c r="SGL132" s="7"/>
      <c r="SGM132" s="21"/>
      <c r="SGN132" s="20"/>
      <c r="SGO132" s="20"/>
      <c r="SGP132" s="20"/>
      <c r="SGQ132" s="21"/>
      <c r="SGR132" s="21"/>
      <c r="SGS132" s="21"/>
      <c r="SGT132" s="21"/>
      <c r="SGU132" s="21"/>
      <c r="SGV132" s="20"/>
      <c r="SGW132" s="20"/>
      <c r="SGX132" s="20"/>
      <c r="SGY132" s="20"/>
      <c r="SGZ132" s="21"/>
      <c r="SHA132" s="21"/>
      <c r="SHB132" s="7"/>
      <c r="SHC132" s="7"/>
      <c r="SHD132" s="21"/>
      <c r="SHE132" s="20"/>
      <c r="SHF132" s="20"/>
      <c r="SHG132" s="20"/>
      <c r="SHH132" s="21"/>
      <c r="SHI132" s="21"/>
      <c r="SHJ132" s="21"/>
      <c r="SHK132" s="21"/>
      <c r="SHL132" s="21"/>
      <c r="SHM132" s="20"/>
      <c r="SHN132" s="20"/>
      <c r="SHO132" s="20"/>
      <c r="SHP132" s="20"/>
      <c r="SHQ132" s="21"/>
      <c r="SHR132" s="21"/>
      <c r="SHS132" s="7"/>
      <c r="SHT132" s="7"/>
      <c r="SHU132" s="21"/>
      <c r="SHV132" s="20"/>
      <c r="SHW132" s="20"/>
      <c r="SHX132" s="20"/>
      <c r="SHY132" s="21"/>
      <c r="SHZ132" s="21"/>
      <c r="SIA132" s="21"/>
      <c r="SIB132" s="21"/>
      <c r="SIC132" s="21"/>
      <c r="SID132" s="20"/>
      <c r="SIE132" s="20"/>
      <c r="SIF132" s="20"/>
      <c r="SIG132" s="20"/>
      <c r="SIH132" s="21"/>
      <c r="SII132" s="21"/>
      <c r="SIJ132" s="7"/>
      <c r="SIK132" s="7"/>
      <c r="SIL132" s="21"/>
      <c r="SIM132" s="20"/>
      <c r="SIN132" s="20"/>
      <c r="SIO132" s="20"/>
      <c r="SIP132" s="21"/>
      <c r="SIQ132" s="21"/>
      <c r="SIR132" s="21"/>
      <c r="SIS132" s="21"/>
      <c r="SIT132" s="21"/>
      <c r="SIU132" s="20"/>
      <c r="SIV132" s="20"/>
      <c r="SIW132" s="20"/>
      <c r="SIX132" s="20"/>
      <c r="SIY132" s="21"/>
      <c r="SIZ132" s="21"/>
      <c r="SJA132" s="7"/>
      <c r="SJB132" s="7"/>
      <c r="SJC132" s="21"/>
      <c r="SJD132" s="20"/>
      <c r="SJE132" s="20"/>
      <c r="SJF132" s="20"/>
      <c r="SJG132" s="21"/>
      <c r="SJH132" s="21"/>
      <c r="SJI132" s="21"/>
      <c r="SJJ132" s="21"/>
      <c r="SJK132" s="21"/>
      <c r="SJL132" s="20"/>
      <c r="SJM132" s="20"/>
      <c r="SJN132" s="20"/>
      <c r="SJO132" s="20"/>
      <c r="SJP132" s="21"/>
      <c r="SJQ132" s="21"/>
      <c r="SJR132" s="7"/>
      <c r="SJS132" s="7"/>
      <c r="SJT132" s="21"/>
      <c r="SJU132" s="20"/>
      <c r="SJV132" s="20"/>
      <c r="SJW132" s="20"/>
      <c r="SJX132" s="21"/>
      <c r="SJY132" s="21"/>
      <c r="SJZ132" s="21"/>
      <c r="SKA132" s="21"/>
      <c r="SKB132" s="21"/>
      <c r="SKC132" s="20"/>
      <c r="SKD132" s="20"/>
      <c r="SKE132" s="20"/>
      <c r="SKF132" s="20"/>
      <c r="SKG132" s="21"/>
      <c r="SKH132" s="21"/>
      <c r="SKI132" s="7"/>
      <c r="SKJ132" s="7"/>
      <c r="SKK132" s="21"/>
      <c r="SKL132" s="20"/>
      <c r="SKM132" s="20"/>
      <c r="SKN132" s="20"/>
      <c r="SKO132" s="21"/>
      <c r="SKP132" s="21"/>
      <c r="SKQ132" s="21"/>
      <c r="SKR132" s="21"/>
      <c r="SKS132" s="21"/>
      <c r="SKT132" s="20"/>
      <c r="SKU132" s="20"/>
      <c r="SKV132" s="20"/>
      <c r="SKW132" s="20"/>
      <c r="SKX132" s="21"/>
      <c r="SKY132" s="21"/>
      <c r="SKZ132" s="7"/>
      <c r="SLA132" s="7"/>
      <c r="SLB132" s="21"/>
      <c r="SLC132" s="20"/>
      <c r="SLD132" s="20"/>
      <c r="SLE132" s="20"/>
      <c r="SLF132" s="21"/>
      <c r="SLG132" s="21"/>
      <c r="SLH132" s="21"/>
      <c r="SLI132" s="21"/>
      <c r="SLJ132" s="21"/>
      <c r="SLK132" s="20"/>
      <c r="SLL132" s="20"/>
      <c r="SLM132" s="20"/>
      <c r="SLN132" s="20"/>
      <c r="SLO132" s="21"/>
      <c r="SLP132" s="21"/>
      <c r="SLQ132" s="7"/>
      <c r="SLR132" s="7"/>
      <c r="SLS132" s="21"/>
      <c r="SLT132" s="20"/>
      <c r="SLU132" s="20"/>
      <c r="SLV132" s="20"/>
      <c r="SLW132" s="21"/>
      <c r="SLX132" s="21"/>
      <c r="SLY132" s="21"/>
      <c r="SLZ132" s="21"/>
      <c r="SMA132" s="21"/>
      <c r="SMB132" s="20"/>
      <c r="SMC132" s="20"/>
      <c r="SMD132" s="20"/>
      <c r="SME132" s="20"/>
      <c r="SMF132" s="21"/>
      <c r="SMG132" s="21"/>
      <c r="SMH132" s="7"/>
      <c r="SMI132" s="7"/>
      <c r="SMJ132" s="21"/>
      <c r="SMK132" s="20"/>
      <c r="SML132" s="20"/>
      <c r="SMM132" s="20"/>
      <c r="SMN132" s="21"/>
      <c r="SMO132" s="21"/>
      <c r="SMP132" s="21"/>
      <c r="SMQ132" s="21"/>
      <c r="SMR132" s="21"/>
      <c r="SMS132" s="20"/>
      <c r="SMT132" s="20"/>
      <c r="SMU132" s="20"/>
      <c r="SMV132" s="20"/>
      <c r="SMW132" s="21"/>
      <c r="SMX132" s="21"/>
      <c r="SMY132" s="7"/>
      <c r="SMZ132" s="7"/>
      <c r="SNA132" s="21"/>
      <c r="SNB132" s="20"/>
      <c r="SNC132" s="20"/>
      <c r="SND132" s="20"/>
      <c r="SNE132" s="21"/>
      <c r="SNF132" s="21"/>
      <c r="SNG132" s="21"/>
      <c r="SNH132" s="21"/>
      <c r="SNI132" s="21"/>
      <c r="SNJ132" s="20"/>
      <c r="SNK132" s="20"/>
      <c r="SNL132" s="20"/>
      <c r="SNM132" s="20"/>
      <c r="SNN132" s="21"/>
      <c r="SNO132" s="21"/>
      <c r="SNP132" s="7"/>
      <c r="SNQ132" s="7"/>
      <c r="SNR132" s="21"/>
      <c r="SNS132" s="20"/>
      <c r="SNT132" s="20"/>
      <c r="SNU132" s="20"/>
      <c r="SNV132" s="21"/>
      <c r="SNW132" s="21"/>
      <c r="SNX132" s="21"/>
      <c r="SNY132" s="21"/>
      <c r="SNZ132" s="21"/>
      <c r="SOA132" s="20"/>
      <c r="SOB132" s="20"/>
      <c r="SOC132" s="20"/>
      <c r="SOD132" s="20"/>
      <c r="SOE132" s="21"/>
      <c r="SOF132" s="21"/>
      <c r="SOG132" s="7"/>
      <c r="SOH132" s="7"/>
      <c r="SOI132" s="21"/>
      <c r="SOJ132" s="20"/>
      <c r="SOK132" s="20"/>
      <c r="SOL132" s="20"/>
      <c r="SOM132" s="21"/>
      <c r="SON132" s="21"/>
      <c r="SOO132" s="21"/>
      <c r="SOP132" s="21"/>
      <c r="SOQ132" s="21"/>
      <c r="SOR132" s="20"/>
      <c r="SOS132" s="20"/>
      <c r="SOT132" s="20"/>
      <c r="SOU132" s="20"/>
      <c r="SOV132" s="21"/>
      <c r="SOW132" s="21"/>
      <c r="SOX132" s="7"/>
      <c r="SOY132" s="7"/>
      <c r="SOZ132" s="21"/>
      <c r="SPA132" s="20"/>
      <c r="SPB132" s="20"/>
      <c r="SPC132" s="20"/>
      <c r="SPD132" s="21"/>
      <c r="SPE132" s="21"/>
      <c r="SPF132" s="21"/>
      <c r="SPG132" s="21"/>
      <c r="SPH132" s="21"/>
      <c r="SPI132" s="20"/>
      <c r="SPJ132" s="20"/>
      <c r="SPK132" s="20"/>
      <c r="SPL132" s="20"/>
      <c r="SPM132" s="21"/>
      <c r="SPN132" s="21"/>
      <c r="SPO132" s="7"/>
      <c r="SPP132" s="7"/>
      <c r="SPQ132" s="21"/>
      <c r="SPR132" s="20"/>
      <c r="SPS132" s="20"/>
      <c r="SPT132" s="20"/>
      <c r="SPU132" s="21"/>
      <c r="SPV132" s="21"/>
      <c r="SPW132" s="21"/>
      <c r="SPX132" s="21"/>
      <c r="SPY132" s="21"/>
      <c r="SPZ132" s="20"/>
      <c r="SQA132" s="20"/>
      <c r="SQB132" s="20"/>
      <c r="SQC132" s="20"/>
      <c r="SQD132" s="21"/>
      <c r="SQE132" s="21"/>
      <c r="SQF132" s="7"/>
      <c r="SQG132" s="7"/>
      <c r="SQH132" s="21"/>
      <c r="SQI132" s="20"/>
      <c r="SQJ132" s="20"/>
      <c r="SQK132" s="20"/>
      <c r="SQL132" s="21"/>
      <c r="SQM132" s="21"/>
      <c r="SQN132" s="21"/>
      <c r="SQO132" s="21"/>
      <c r="SQP132" s="21"/>
      <c r="SQQ132" s="20"/>
      <c r="SQR132" s="20"/>
      <c r="SQS132" s="20"/>
      <c r="SQT132" s="20"/>
      <c r="SQU132" s="21"/>
      <c r="SQV132" s="21"/>
      <c r="SQW132" s="7"/>
      <c r="SQX132" s="7"/>
      <c r="SQY132" s="21"/>
      <c r="SQZ132" s="20"/>
      <c r="SRA132" s="20"/>
      <c r="SRB132" s="20"/>
      <c r="SRC132" s="21"/>
      <c r="SRD132" s="21"/>
      <c r="SRE132" s="21"/>
      <c r="SRF132" s="21"/>
      <c r="SRG132" s="21"/>
      <c r="SRH132" s="20"/>
      <c r="SRI132" s="20"/>
      <c r="SRJ132" s="20"/>
      <c r="SRK132" s="20"/>
      <c r="SRL132" s="21"/>
      <c r="SRM132" s="21"/>
      <c r="SRN132" s="7"/>
      <c r="SRO132" s="7"/>
      <c r="SRP132" s="21"/>
      <c r="SRQ132" s="20"/>
      <c r="SRR132" s="20"/>
      <c r="SRS132" s="20"/>
      <c r="SRT132" s="21"/>
      <c r="SRU132" s="21"/>
      <c r="SRV132" s="21"/>
      <c r="SRW132" s="21"/>
      <c r="SRX132" s="21"/>
      <c r="SRY132" s="20"/>
      <c r="SRZ132" s="20"/>
      <c r="SSA132" s="20"/>
      <c r="SSB132" s="20"/>
      <c r="SSC132" s="21"/>
      <c r="SSD132" s="21"/>
      <c r="SSE132" s="7"/>
      <c r="SSF132" s="7"/>
      <c r="SSG132" s="21"/>
      <c r="SSH132" s="20"/>
      <c r="SSI132" s="20"/>
      <c r="SSJ132" s="20"/>
      <c r="SSK132" s="21"/>
      <c r="SSL132" s="21"/>
      <c r="SSM132" s="21"/>
      <c r="SSN132" s="21"/>
      <c r="SSO132" s="21"/>
      <c r="SSP132" s="20"/>
      <c r="SSQ132" s="20"/>
      <c r="SSR132" s="20"/>
      <c r="SSS132" s="20"/>
      <c r="SST132" s="21"/>
      <c r="SSU132" s="21"/>
      <c r="SSV132" s="7"/>
      <c r="SSW132" s="7"/>
      <c r="SSX132" s="21"/>
      <c r="SSY132" s="20"/>
      <c r="SSZ132" s="20"/>
      <c r="STA132" s="20"/>
      <c r="STB132" s="21"/>
      <c r="STC132" s="21"/>
      <c r="STD132" s="21"/>
      <c r="STE132" s="21"/>
      <c r="STF132" s="21"/>
      <c r="STG132" s="20"/>
      <c r="STH132" s="20"/>
      <c r="STI132" s="20"/>
      <c r="STJ132" s="20"/>
      <c r="STK132" s="21"/>
      <c r="STL132" s="21"/>
      <c r="STM132" s="7"/>
      <c r="STN132" s="7"/>
      <c r="STO132" s="21"/>
      <c r="STP132" s="20"/>
      <c r="STQ132" s="20"/>
      <c r="STR132" s="20"/>
      <c r="STS132" s="21"/>
      <c r="STT132" s="21"/>
      <c r="STU132" s="21"/>
      <c r="STV132" s="21"/>
      <c r="STW132" s="21"/>
      <c r="STX132" s="20"/>
      <c r="STY132" s="20"/>
      <c r="STZ132" s="20"/>
      <c r="SUA132" s="20"/>
      <c r="SUB132" s="21"/>
      <c r="SUC132" s="21"/>
      <c r="SUD132" s="7"/>
      <c r="SUE132" s="7"/>
      <c r="SUF132" s="21"/>
      <c r="SUG132" s="20"/>
      <c r="SUH132" s="20"/>
      <c r="SUI132" s="20"/>
      <c r="SUJ132" s="21"/>
      <c r="SUK132" s="21"/>
      <c r="SUL132" s="21"/>
      <c r="SUM132" s="21"/>
      <c r="SUN132" s="21"/>
      <c r="SUO132" s="20"/>
      <c r="SUP132" s="20"/>
      <c r="SUQ132" s="20"/>
      <c r="SUR132" s="20"/>
      <c r="SUS132" s="21"/>
      <c r="SUT132" s="21"/>
      <c r="SUU132" s="7"/>
      <c r="SUV132" s="7"/>
      <c r="SUW132" s="21"/>
      <c r="SUX132" s="20"/>
      <c r="SUY132" s="20"/>
      <c r="SUZ132" s="20"/>
      <c r="SVA132" s="21"/>
      <c r="SVB132" s="21"/>
      <c r="SVC132" s="21"/>
      <c r="SVD132" s="21"/>
      <c r="SVE132" s="21"/>
      <c r="SVF132" s="20"/>
      <c r="SVG132" s="20"/>
      <c r="SVH132" s="20"/>
      <c r="SVI132" s="20"/>
      <c r="SVJ132" s="21"/>
      <c r="SVK132" s="21"/>
      <c r="SVL132" s="7"/>
      <c r="SVM132" s="7"/>
      <c r="SVN132" s="21"/>
      <c r="SVO132" s="20"/>
      <c r="SVP132" s="20"/>
      <c r="SVQ132" s="20"/>
      <c r="SVR132" s="21"/>
      <c r="SVS132" s="21"/>
      <c r="SVT132" s="21"/>
      <c r="SVU132" s="21"/>
      <c r="SVV132" s="21"/>
      <c r="SVW132" s="20"/>
      <c r="SVX132" s="20"/>
      <c r="SVY132" s="20"/>
      <c r="SVZ132" s="20"/>
      <c r="SWA132" s="21"/>
      <c r="SWB132" s="21"/>
      <c r="SWC132" s="7"/>
      <c r="SWD132" s="7"/>
      <c r="SWE132" s="21"/>
      <c r="SWF132" s="20"/>
      <c r="SWG132" s="20"/>
      <c r="SWH132" s="20"/>
      <c r="SWI132" s="21"/>
      <c r="SWJ132" s="21"/>
      <c r="SWK132" s="21"/>
      <c r="SWL132" s="21"/>
      <c r="SWM132" s="21"/>
      <c r="SWN132" s="20"/>
      <c r="SWO132" s="20"/>
      <c r="SWP132" s="20"/>
      <c r="SWQ132" s="20"/>
      <c r="SWR132" s="21"/>
      <c r="SWS132" s="21"/>
      <c r="SWT132" s="7"/>
      <c r="SWU132" s="7"/>
      <c r="SWV132" s="21"/>
      <c r="SWW132" s="20"/>
      <c r="SWX132" s="20"/>
      <c r="SWY132" s="20"/>
      <c r="SWZ132" s="21"/>
      <c r="SXA132" s="21"/>
      <c r="SXB132" s="21"/>
      <c r="SXC132" s="21"/>
      <c r="SXD132" s="21"/>
      <c r="SXE132" s="20"/>
      <c r="SXF132" s="20"/>
      <c r="SXG132" s="20"/>
      <c r="SXH132" s="20"/>
      <c r="SXI132" s="21"/>
      <c r="SXJ132" s="21"/>
      <c r="SXK132" s="7"/>
      <c r="SXL132" s="7"/>
      <c r="SXM132" s="21"/>
      <c r="SXN132" s="20"/>
      <c r="SXO132" s="20"/>
      <c r="SXP132" s="20"/>
      <c r="SXQ132" s="21"/>
      <c r="SXR132" s="21"/>
      <c r="SXS132" s="21"/>
      <c r="SXT132" s="21"/>
      <c r="SXU132" s="21"/>
      <c r="SXV132" s="20"/>
      <c r="SXW132" s="20"/>
      <c r="SXX132" s="20"/>
      <c r="SXY132" s="20"/>
      <c r="SXZ132" s="21"/>
      <c r="SYA132" s="21"/>
      <c r="SYB132" s="7"/>
      <c r="SYC132" s="7"/>
      <c r="SYD132" s="21"/>
      <c r="SYE132" s="20"/>
      <c r="SYF132" s="20"/>
      <c r="SYG132" s="20"/>
      <c r="SYH132" s="21"/>
      <c r="SYI132" s="21"/>
      <c r="SYJ132" s="21"/>
      <c r="SYK132" s="21"/>
      <c r="SYL132" s="21"/>
      <c r="SYM132" s="20"/>
      <c r="SYN132" s="20"/>
      <c r="SYO132" s="20"/>
      <c r="SYP132" s="20"/>
      <c r="SYQ132" s="21"/>
      <c r="SYR132" s="21"/>
      <c r="SYS132" s="7"/>
      <c r="SYT132" s="7"/>
      <c r="SYU132" s="21"/>
      <c r="SYV132" s="20"/>
      <c r="SYW132" s="20"/>
      <c r="SYX132" s="20"/>
      <c r="SYY132" s="21"/>
      <c r="SYZ132" s="21"/>
      <c r="SZA132" s="21"/>
      <c r="SZB132" s="21"/>
      <c r="SZC132" s="21"/>
      <c r="SZD132" s="20"/>
      <c r="SZE132" s="20"/>
      <c r="SZF132" s="20"/>
      <c r="SZG132" s="20"/>
      <c r="SZH132" s="21"/>
      <c r="SZI132" s="21"/>
      <c r="SZJ132" s="7"/>
      <c r="SZK132" s="7"/>
      <c r="SZL132" s="21"/>
      <c r="SZM132" s="20"/>
      <c r="SZN132" s="20"/>
      <c r="SZO132" s="20"/>
      <c r="SZP132" s="21"/>
      <c r="SZQ132" s="21"/>
      <c r="SZR132" s="21"/>
      <c r="SZS132" s="21"/>
      <c r="SZT132" s="21"/>
      <c r="SZU132" s="20"/>
      <c r="SZV132" s="20"/>
      <c r="SZW132" s="20"/>
      <c r="SZX132" s="20"/>
      <c r="SZY132" s="21"/>
      <c r="SZZ132" s="21"/>
      <c r="TAA132" s="7"/>
      <c r="TAB132" s="7"/>
      <c r="TAC132" s="21"/>
      <c r="TAD132" s="20"/>
      <c r="TAE132" s="20"/>
      <c r="TAF132" s="20"/>
      <c r="TAG132" s="21"/>
      <c r="TAH132" s="21"/>
      <c r="TAI132" s="21"/>
      <c r="TAJ132" s="21"/>
      <c r="TAK132" s="21"/>
      <c r="TAL132" s="20"/>
      <c r="TAM132" s="20"/>
      <c r="TAN132" s="20"/>
      <c r="TAO132" s="20"/>
      <c r="TAP132" s="21"/>
      <c r="TAQ132" s="21"/>
      <c r="TAR132" s="7"/>
      <c r="TAS132" s="7"/>
      <c r="TAT132" s="21"/>
      <c r="TAU132" s="20"/>
      <c r="TAV132" s="20"/>
      <c r="TAW132" s="20"/>
      <c r="TAX132" s="21"/>
      <c r="TAY132" s="21"/>
      <c r="TAZ132" s="21"/>
      <c r="TBA132" s="21"/>
      <c r="TBB132" s="21"/>
      <c r="TBC132" s="20"/>
      <c r="TBD132" s="20"/>
      <c r="TBE132" s="20"/>
      <c r="TBF132" s="20"/>
      <c r="TBG132" s="21"/>
      <c r="TBH132" s="21"/>
      <c r="TBI132" s="7"/>
      <c r="TBJ132" s="7"/>
      <c r="TBK132" s="21"/>
      <c r="TBL132" s="20"/>
      <c r="TBM132" s="20"/>
      <c r="TBN132" s="20"/>
      <c r="TBO132" s="21"/>
      <c r="TBP132" s="21"/>
      <c r="TBQ132" s="21"/>
      <c r="TBR132" s="21"/>
      <c r="TBS132" s="21"/>
      <c r="TBT132" s="20"/>
      <c r="TBU132" s="20"/>
      <c r="TBV132" s="20"/>
      <c r="TBW132" s="20"/>
      <c r="TBX132" s="21"/>
      <c r="TBY132" s="21"/>
      <c r="TBZ132" s="7"/>
      <c r="TCA132" s="7"/>
      <c r="TCB132" s="21"/>
      <c r="TCC132" s="20"/>
      <c r="TCD132" s="20"/>
      <c r="TCE132" s="20"/>
      <c r="TCF132" s="21"/>
      <c r="TCG132" s="21"/>
      <c r="TCH132" s="21"/>
      <c r="TCI132" s="21"/>
      <c r="TCJ132" s="21"/>
      <c r="TCK132" s="20"/>
      <c r="TCL132" s="20"/>
      <c r="TCM132" s="20"/>
      <c r="TCN132" s="20"/>
      <c r="TCO132" s="21"/>
      <c r="TCP132" s="21"/>
      <c r="TCQ132" s="7"/>
      <c r="TCR132" s="7"/>
      <c r="TCS132" s="21"/>
      <c r="TCT132" s="20"/>
      <c r="TCU132" s="20"/>
      <c r="TCV132" s="20"/>
      <c r="TCW132" s="21"/>
      <c r="TCX132" s="21"/>
      <c r="TCY132" s="21"/>
      <c r="TCZ132" s="21"/>
      <c r="TDA132" s="21"/>
      <c r="TDB132" s="20"/>
      <c r="TDC132" s="20"/>
      <c r="TDD132" s="20"/>
      <c r="TDE132" s="20"/>
      <c r="TDF132" s="21"/>
      <c r="TDG132" s="21"/>
      <c r="TDH132" s="7"/>
      <c r="TDI132" s="7"/>
      <c r="TDJ132" s="21"/>
      <c r="TDK132" s="20"/>
      <c r="TDL132" s="20"/>
      <c r="TDM132" s="20"/>
      <c r="TDN132" s="21"/>
      <c r="TDO132" s="21"/>
      <c r="TDP132" s="21"/>
      <c r="TDQ132" s="21"/>
      <c r="TDR132" s="21"/>
      <c r="TDS132" s="20"/>
      <c r="TDT132" s="20"/>
      <c r="TDU132" s="20"/>
      <c r="TDV132" s="20"/>
      <c r="TDW132" s="21"/>
      <c r="TDX132" s="21"/>
      <c r="TDY132" s="7"/>
      <c r="TDZ132" s="7"/>
      <c r="TEA132" s="21"/>
      <c r="TEB132" s="20"/>
      <c r="TEC132" s="20"/>
      <c r="TED132" s="20"/>
      <c r="TEE132" s="21"/>
      <c r="TEF132" s="21"/>
      <c r="TEG132" s="21"/>
      <c r="TEH132" s="21"/>
      <c r="TEI132" s="21"/>
      <c r="TEJ132" s="20"/>
      <c r="TEK132" s="20"/>
      <c r="TEL132" s="20"/>
      <c r="TEM132" s="20"/>
      <c r="TEN132" s="21"/>
      <c r="TEO132" s="21"/>
      <c r="TEP132" s="7"/>
      <c r="TEQ132" s="7"/>
      <c r="TER132" s="21"/>
      <c r="TES132" s="20"/>
      <c r="TET132" s="20"/>
      <c r="TEU132" s="20"/>
      <c r="TEV132" s="21"/>
      <c r="TEW132" s="21"/>
      <c r="TEX132" s="21"/>
      <c r="TEY132" s="21"/>
      <c r="TEZ132" s="21"/>
      <c r="TFA132" s="20"/>
      <c r="TFB132" s="20"/>
      <c r="TFC132" s="20"/>
      <c r="TFD132" s="20"/>
      <c r="TFE132" s="21"/>
      <c r="TFF132" s="21"/>
      <c r="TFG132" s="7"/>
      <c r="TFH132" s="7"/>
      <c r="TFI132" s="21"/>
      <c r="TFJ132" s="20"/>
      <c r="TFK132" s="20"/>
      <c r="TFL132" s="20"/>
      <c r="TFM132" s="21"/>
      <c r="TFN132" s="21"/>
      <c r="TFO132" s="21"/>
      <c r="TFP132" s="21"/>
      <c r="TFQ132" s="21"/>
      <c r="TFR132" s="20"/>
      <c r="TFS132" s="20"/>
      <c r="TFT132" s="20"/>
      <c r="TFU132" s="20"/>
      <c r="TFV132" s="21"/>
      <c r="TFW132" s="21"/>
      <c r="TFX132" s="7"/>
      <c r="TFY132" s="7"/>
      <c r="TFZ132" s="21"/>
      <c r="TGA132" s="20"/>
      <c r="TGB132" s="20"/>
      <c r="TGC132" s="20"/>
      <c r="TGD132" s="21"/>
      <c r="TGE132" s="21"/>
      <c r="TGF132" s="21"/>
      <c r="TGG132" s="21"/>
      <c r="TGH132" s="21"/>
      <c r="TGI132" s="20"/>
      <c r="TGJ132" s="20"/>
      <c r="TGK132" s="20"/>
      <c r="TGL132" s="20"/>
      <c r="TGM132" s="21"/>
      <c r="TGN132" s="21"/>
      <c r="TGO132" s="7"/>
      <c r="TGP132" s="7"/>
      <c r="TGQ132" s="21"/>
      <c r="TGR132" s="20"/>
      <c r="TGS132" s="20"/>
      <c r="TGT132" s="20"/>
      <c r="TGU132" s="21"/>
      <c r="TGV132" s="21"/>
      <c r="TGW132" s="21"/>
      <c r="TGX132" s="21"/>
      <c r="TGY132" s="21"/>
      <c r="TGZ132" s="20"/>
      <c r="THA132" s="20"/>
      <c r="THB132" s="20"/>
      <c r="THC132" s="20"/>
      <c r="THD132" s="21"/>
      <c r="THE132" s="21"/>
      <c r="THF132" s="7"/>
      <c r="THG132" s="7"/>
      <c r="THH132" s="21"/>
      <c r="THI132" s="20"/>
      <c r="THJ132" s="20"/>
      <c r="THK132" s="20"/>
      <c r="THL132" s="21"/>
      <c r="THM132" s="21"/>
      <c r="THN132" s="21"/>
      <c r="THO132" s="21"/>
      <c r="THP132" s="21"/>
      <c r="THQ132" s="20"/>
      <c r="THR132" s="20"/>
      <c r="THS132" s="20"/>
      <c r="THT132" s="20"/>
      <c r="THU132" s="21"/>
      <c r="THV132" s="21"/>
      <c r="THW132" s="7"/>
      <c r="THX132" s="7"/>
      <c r="THY132" s="21"/>
      <c r="THZ132" s="20"/>
      <c r="TIA132" s="20"/>
      <c r="TIB132" s="20"/>
      <c r="TIC132" s="21"/>
      <c r="TID132" s="21"/>
      <c r="TIE132" s="21"/>
      <c r="TIF132" s="21"/>
      <c r="TIG132" s="21"/>
      <c r="TIH132" s="20"/>
      <c r="TII132" s="20"/>
      <c r="TIJ132" s="20"/>
      <c r="TIK132" s="20"/>
      <c r="TIL132" s="21"/>
      <c r="TIM132" s="21"/>
      <c r="TIN132" s="7"/>
      <c r="TIO132" s="7"/>
      <c r="TIP132" s="21"/>
      <c r="TIQ132" s="20"/>
      <c r="TIR132" s="20"/>
      <c r="TIS132" s="20"/>
      <c r="TIT132" s="21"/>
      <c r="TIU132" s="21"/>
      <c r="TIV132" s="21"/>
      <c r="TIW132" s="21"/>
      <c r="TIX132" s="21"/>
      <c r="TIY132" s="20"/>
      <c r="TIZ132" s="20"/>
      <c r="TJA132" s="20"/>
      <c r="TJB132" s="20"/>
      <c r="TJC132" s="21"/>
      <c r="TJD132" s="21"/>
      <c r="TJE132" s="7"/>
      <c r="TJF132" s="7"/>
      <c r="TJG132" s="21"/>
      <c r="TJH132" s="20"/>
      <c r="TJI132" s="20"/>
      <c r="TJJ132" s="20"/>
      <c r="TJK132" s="21"/>
      <c r="TJL132" s="21"/>
      <c r="TJM132" s="21"/>
      <c r="TJN132" s="21"/>
      <c r="TJO132" s="21"/>
      <c r="TJP132" s="20"/>
      <c r="TJQ132" s="20"/>
      <c r="TJR132" s="20"/>
      <c r="TJS132" s="20"/>
      <c r="TJT132" s="21"/>
      <c r="TJU132" s="21"/>
      <c r="TJV132" s="7"/>
      <c r="TJW132" s="7"/>
      <c r="TJX132" s="21"/>
      <c r="TJY132" s="20"/>
      <c r="TJZ132" s="20"/>
      <c r="TKA132" s="20"/>
      <c r="TKB132" s="21"/>
      <c r="TKC132" s="21"/>
      <c r="TKD132" s="21"/>
      <c r="TKE132" s="21"/>
      <c r="TKF132" s="21"/>
      <c r="TKG132" s="20"/>
      <c r="TKH132" s="20"/>
      <c r="TKI132" s="20"/>
      <c r="TKJ132" s="20"/>
      <c r="TKK132" s="21"/>
      <c r="TKL132" s="21"/>
      <c r="TKM132" s="7"/>
      <c r="TKN132" s="7"/>
      <c r="TKO132" s="21"/>
      <c r="TKP132" s="20"/>
      <c r="TKQ132" s="20"/>
      <c r="TKR132" s="20"/>
      <c r="TKS132" s="21"/>
      <c r="TKT132" s="21"/>
      <c r="TKU132" s="21"/>
      <c r="TKV132" s="21"/>
      <c r="TKW132" s="21"/>
      <c r="TKX132" s="20"/>
      <c r="TKY132" s="20"/>
      <c r="TKZ132" s="20"/>
      <c r="TLA132" s="20"/>
      <c r="TLB132" s="21"/>
      <c r="TLC132" s="21"/>
      <c r="TLD132" s="7"/>
      <c r="TLE132" s="7"/>
      <c r="TLF132" s="21"/>
      <c r="TLG132" s="20"/>
      <c r="TLH132" s="20"/>
      <c r="TLI132" s="20"/>
      <c r="TLJ132" s="21"/>
      <c r="TLK132" s="21"/>
      <c r="TLL132" s="21"/>
      <c r="TLM132" s="21"/>
      <c r="TLN132" s="21"/>
      <c r="TLO132" s="20"/>
      <c r="TLP132" s="20"/>
      <c r="TLQ132" s="20"/>
      <c r="TLR132" s="20"/>
      <c r="TLS132" s="21"/>
      <c r="TLT132" s="21"/>
      <c r="TLU132" s="7"/>
      <c r="TLV132" s="7"/>
      <c r="TLW132" s="21"/>
      <c r="TLX132" s="20"/>
      <c r="TLY132" s="20"/>
      <c r="TLZ132" s="20"/>
      <c r="TMA132" s="21"/>
      <c r="TMB132" s="21"/>
      <c r="TMC132" s="21"/>
      <c r="TMD132" s="21"/>
      <c r="TME132" s="21"/>
      <c r="TMF132" s="20"/>
      <c r="TMG132" s="20"/>
      <c r="TMH132" s="20"/>
      <c r="TMI132" s="20"/>
      <c r="TMJ132" s="21"/>
      <c r="TMK132" s="21"/>
      <c r="TML132" s="7"/>
      <c r="TMM132" s="7"/>
      <c r="TMN132" s="21"/>
      <c r="TMO132" s="20"/>
      <c r="TMP132" s="20"/>
      <c r="TMQ132" s="20"/>
      <c r="TMR132" s="21"/>
      <c r="TMS132" s="21"/>
      <c r="TMT132" s="21"/>
      <c r="TMU132" s="21"/>
      <c r="TMV132" s="21"/>
      <c r="TMW132" s="20"/>
      <c r="TMX132" s="20"/>
      <c r="TMY132" s="20"/>
      <c r="TMZ132" s="20"/>
      <c r="TNA132" s="21"/>
      <c r="TNB132" s="21"/>
      <c r="TNC132" s="7"/>
      <c r="TND132" s="7"/>
      <c r="TNE132" s="21"/>
      <c r="TNF132" s="20"/>
      <c r="TNG132" s="20"/>
      <c r="TNH132" s="20"/>
      <c r="TNI132" s="21"/>
      <c r="TNJ132" s="21"/>
      <c r="TNK132" s="21"/>
      <c r="TNL132" s="21"/>
      <c r="TNM132" s="21"/>
      <c r="TNN132" s="20"/>
      <c r="TNO132" s="20"/>
      <c r="TNP132" s="20"/>
      <c r="TNQ132" s="20"/>
      <c r="TNR132" s="21"/>
      <c r="TNS132" s="21"/>
      <c r="TNT132" s="7"/>
      <c r="TNU132" s="7"/>
      <c r="TNV132" s="21"/>
      <c r="TNW132" s="20"/>
      <c r="TNX132" s="20"/>
      <c r="TNY132" s="20"/>
      <c r="TNZ132" s="21"/>
      <c r="TOA132" s="21"/>
      <c r="TOB132" s="21"/>
      <c r="TOC132" s="21"/>
      <c r="TOD132" s="21"/>
      <c r="TOE132" s="20"/>
      <c r="TOF132" s="20"/>
      <c r="TOG132" s="20"/>
      <c r="TOH132" s="20"/>
      <c r="TOI132" s="21"/>
      <c r="TOJ132" s="21"/>
      <c r="TOK132" s="7"/>
      <c r="TOL132" s="7"/>
      <c r="TOM132" s="21"/>
      <c r="TON132" s="20"/>
      <c r="TOO132" s="20"/>
      <c r="TOP132" s="20"/>
      <c r="TOQ132" s="21"/>
      <c r="TOR132" s="21"/>
      <c r="TOS132" s="21"/>
      <c r="TOT132" s="21"/>
      <c r="TOU132" s="21"/>
      <c r="TOV132" s="20"/>
      <c r="TOW132" s="20"/>
      <c r="TOX132" s="20"/>
      <c r="TOY132" s="20"/>
      <c r="TOZ132" s="21"/>
      <c r="TPA132" s="21"/>
      <c r="TPB132" s="7"/>
      <c r="TPC132" s="7"/>
      <c r="TPD132" s="21"/>
      <c r="TPE132" s="20"/>
      <c r="TPF132" s="20"/>
      <c r="TPG132" s="20"/>
      <c r="TPH132" s="21"/>
      <c r="TPI132" s="21"/>
      <c r="TPJ132" s="21"/>
      <c r="TPK132" s="21"/>
      <c r="TPL132" s="21"/>
      <c r="TPM132" s="20"/>
      <c r="TPN132" s="20"/>
      <c r="TPO132" s="20"/>
      <c r="TPP132" s="20"/>
      <c r="TPQ132" s="21"/>
      <c r="TPR132" s="21"/>
      <c r="TPS132" s="7"/>
      <c r="TPT132" s="7"/>
      <c r="TPU132" s="21"/>
      <c r="TPV132" s="20"/>
      <c r="TPW132" s="20"/>
      <c r="TPX132" s="20"/>
      <c r="TPY132" s="21"/>
      <c r="TPZ132" s="21"/>
      <c r="TQA132" s="21"/>
      <c r="TQB132" s="21"/>
      <c r="TQC132" s="21"/>
      <c r="TQD132" s="20"/>
      <c r="TQE132" s="20"/>
      <c r="TQF132" s="20"/>
      <c r="TQG132" s="20"/>
      <c r="TQH132" s="21"/>
      <c r="TQI132" s="21"/>
      <c r="TQJ132" s="7"/>
      <c r="TQK132" s="7"/>
      <c r="TQL132" s="21"/>
      <c r="TQM132" s="20"/>
      <c r="TQN132" s="20"/>
      <c r="TQO132" s="20"/>
      <c r="TQP132" s="21"/>
      <c r="TQQ132" s="21"/>
      <c r="TQR132" s="21"/>
      <c r="TQS132" s="21"/>
      <c r="TQT132" s="21"/>
      <c r="TQU132" s="20"/>
      <c r="TQV132" s="20"/>
      <c r="TQW132" s="20"/>
      <c r="TQX132" s="20"/>
      <c r="TQY132" s="21"/>
      <c r="TQZ132" s="21"/>
      <c r="TRA132" s="7"/>
      <c r="TRB132" s="7"/>
      <c r="TRC132" s="21"/>
      <c r="TRD132" s="20"/>
      <c r="TRE132" s="20"/>
      <c r="TRF132" s="20"/>
      <c r="TRG132" s="21"/>
      <c r="TRH132" s="21"/>
      <c r="TRI132" s="21"/>
      <c r="TRJ132" s="21"/>
      <c r="TRK132" s="21"/>
      <c r="TRL132" s="20"/>
      <c r="TRM132" s="20"/>
      <c r="TRN132" s="20"/>
      <c r="TRO132" s="20"/>
      <c r="TRP132" s="21"/>
      <c r="TRQ132" s="21"/>
      <c r="TRR132" s="7"/>
      <c r="TRS132" s="7"/>
      <c r="TRT132" s="21"/>
      <c r="TRU132" s="20"/>
      <c r="TRV132" s="20"/>
      <c r="TRW132" s="20"/>
      <c r="TRX132" s="21"/>
      <c r="TRY132" s="21"/>
      <c r="TRZ132" s="21"/>
      <c r="TSA132" s="21"/>
      <c r="TSB132" s="21"/>
      <c r="TSC132" s="20"/>
      <c r="TSD132" s="20"/>
      <c r="TSE132" s="20"/>
      <c r="TSF132" s="20"/>
      <c r="TSG132" s="21"/>
      <c r="TSH132" s="21"/>
      <c r="TSI132" s="7"/>
      <c r="TSJ132" s="7"/>
      <c r="TSK132" s="21"/>
      <c r="TSL132" s="20"/>
      <c r="TSM132" s="20"/>
      <c r="TSN132" s="20"/>
      <c r="TSO132" s="21"/>
      <c r="TSP132" s="21"/>
      <c r="TSQ132" s="21"/>
      <c r="TSR132" s="21"/>
      <c r="TSS132" s="21"/>
      <c r="TST132" s="20"/>
      <c r="TSU132" s="20"/>
      <c r="TSV132" s="20"/>
      <c r="TSW132" s="20"/>
      <c r="TSX132" s="21"/>
      <c r="TSY132" s="21"/>
      <c r="TSZ132" s="7"/>
      <c r="TTA132" s="7"/>
      <c r="TTB132" s="21"/>
      <c r="TTC132" s="20"/>
      <c r="TTD132" s="20"/>
      <c r="TTE132" s="20"/>
      <c r="TTF132" s="21"/>
      <c r="TTG132" s="21"/>
      <c r="TTH132" s="21"/>
      <c r="TTI132" s="21"/>
      <c r="TTJ132" s="21"/>
      <c r="TTK132" s="20"/>
      <c r="TTL132" s="20"/>
      <c r="TTM132" s="20"/>
      <c r="TTN132" s="20"/>
      <c r="TTO132" s="21"/>
      <c r="TTP132" s="21"/>
      <c r="TTQ132" s="7"/>
      <c r="TTR132" s="7"/>
      <c r="TTS132" s="21"/>
      <c r="TTT132" s="20"/>
      <c r="TTU132" s="20"/>
      <c r="TTV132" s="20"/>
      <c r="TTW132" s="21"/>
      <c r="TTX132" s="21"/>
      <c r="TTY132" s="21"/>
      <c r="TTZ132" s="21"/>
      <c r="TUA132" s="21"/>
      <c r="TUB132" s="20"/>
      <c r="TUC132" s="20"/>
      <c r="TUD132" s="20"/>
      <c r="TUE132" s="20"/>
      <c r="TUF132" s="21"/>
      <c r="TUG132" s="21"/>
      <c r="TUH132" s="7"/>
      <c r="TUI132" s="7"/>
      <c r="TUJ132" s="21"/>
      <c r="TUK132" s="20"/>
      <c r="TUL132" s="20"/>
      <c r="TUM132" s="20"/>
      <c r="TUN132" s="21"/>
      <c r="TUO132" s="21"/>
      <c r="TUP132" s="21"/>
      <c r="TUQ132" s="21"/>
      <c r="TUR132" s="21"/>
      <c r="TUS132" s="20"/>
      <c r="TUT132" s="20"/>
      <c r="TUU132" s="20"/>
      <c r="TUV132" s="20"/>
      <c r="TUW132" s="21"/>
      <c r="TUX132" s="21"/>
      <c r="TUY132" s="7"/>
      <c r="TUZ132" s="7"/>
      <c r="TVA132" s="21"/>
      <c r="TVB132" s="20"/>
      <c r="TVC132" s="20"/>
      <c r="TVD132" s="20"/>
      <c r="TVE132" s="21"/>
      <c r="TVF132" s="21"/>
      <c r="TVG132" s="21"/>
      <c r="TVH132" s="21"/>
      <c r="TVI132" s="21"/>
      <c r="TVJ132" s="20"/>
      <c r="TVK132" s="20"/>
      <c r="TVL132" s="20"/>
      <c r="TVM132" s="20"/>
      <c r="TVN132" s="21"/>
      <c r="TVO132" s="21"/>
      <c r="TVP132" s="7"/>
      <c r="TVQ132" s="7"/>
      <c r="TVR132" s="21"/>
      <c r="TVS132" s="20"/>
      <c r="TVT132" s="20"/>
      <c r="TVU132" s="20"/>
      <c r="TVV132" s="21"/>
      <c r="TVW132" s="21"/>
      <c r="TVX132" s="21"/>
      <c r="TVY132" s="21"/>
      <c r="TVZ132" s="21"/>
      <c r="TWA132" s="20"/>
      <c r="TWB132" s="20"/>
      <c r="TWC132" s="20"/>
      <c r="TWD132" s="20"/>
      <c r="TWE132" s="21"/>
      <c r="TWF132" s="21"/>
      <c r="TWG132" s="7"/>
      <c r="TWH132" s="7"/>
      <c r="TWI132" s="21"/>
      <c r="TWJ132" s="20"/>
      <c r="TWK132" s="20"/>
      <c r="TWL132" s="20"/>
      <c r="TWM132" s="21"/>
      <c r="TWN132" s="21"/>
      <c r="TWO132" s="21"/>
      <c r="TWP132" s="21"/>
      <c r="TWQ132" s="21"/>
      <c r="TWR132" s="20"/>
      <c r="TWS132" s="20"/>
      <c r="TWT132" s="20"/>
      <c r="TWU132" s="20"/>
      <c r="TWV132" s="21"/>
      <c r="TWW132" s="21"/>
      <c r="TWX132" s="7"/>
      <c r="TWY132" s="7"/>
      <c r="TWZ132" s="21"/>
      <c r="TXA132" s="20"/>
      <c r="TXB132" s="20"/>
      <c r="TXC132" s="20"/>
      <c r="TXD132" s="21"/>
      <c r="TXE132" s="21"/>
      <c r="TXF132" s="21"/>
      <c r="TXG132" s="21"/>
      <c r="TXH132" s="21"/>
      <c r="TXI132" s="20"/>
      <c r="TXJ132" s="20"/>
      <c r="TXK132" s="20"/>
      <c r="TXL132" s="20"/>
      <c r="TXM132" s="21"/>
      <c r="TXN132" s="21"/>
      <c r="TXO132" s="7"/>
      <c r="TXP132" s="7"/>
      <c r="TXQ132" s="21"/>
      <c r="TXR132" s="20"/>
      <c r="TXS132" s="20"/>
      <c r="TXT132" s="20"/>
      <c r="TXU132" s="21"/>
      <c r="TXV132" s="21"/>
      <c r="TXW132" s="21"/>
      <c r="TXX132" s="21"/>
      <c r="TXY132" s="21"/>
      <c r="TXZ132" s="20"/>
      <c r="TYA132" s="20"/>
      <c r="TYB132" s="20"/>
      <c r="TYC132" s="20"/>
      <c r="TYD132" s="21"/>
      <c r="TYE132" s="21"/>
      <c r="TYF132" s="7"/>
      <c r="TYG132" s="7"/>
      <c r="TYH132" s="21"/>
      <c r="TYI132" s="20"/>
      <c r="TYJ132" s="20"/>
      <c r="TYK132" s="20"/>
      <c r="TYL132" s="21"/>
      <c r="TYM132" s="21"/>
      <c r="TYN132" s="21"/>
      <c r="TYO132" s="21"/>
      <c r="TYP132" s="21"/>
      <c r="TYQ132" s="20"/>
      <c r="TYR132" s="20"/>
      <c r="TYS132" s="20"/>
      <c r="TYT132" s="20"/>
      <c r="TYU132" s="21"/>
      <c r="TYV132" s="21"/>
      <c r="TYW132" s="7"/>
      <c r="TYX132" s="7"/>
      <c r="TYY132" s="21"/>
      <c r="TYZ132" s="20"/>
      <c r="TZA132" s="20"/>
      <c r="TZB132" s="20"/>
      <c r="TZC132" s="21"/>
      <c r="TZD132" s="21"/>
      <c r="TZE132" s="21"/>
      <c r="TZF132" s="21"/>
      <c r="TZG132" s="21"/>
      <c r="TZH132" s="20"/>
      <c r="TZI132" s="20"/>
      <c r="TZJ132" s="20"/>
      <c r="TZK132" s="20"/>
      <c r="TZL132" s="21"/>
      <c r="TZM132" s="21"/>
      <c r="TZN132" s="7"/>
      <c r="TZO132" s="7"/>
      <c r="TZP132" s="21"/>
      <c r="TZQ132" s="20"/>
      <c r="TZR132" s="20"/>
      <c r="TZS132" s="20"/>
      <c r="TZT132" s="21"/>
      <c r="TZU132" s="21"/>
      <c r="TZV132" s="21"/>
      <c r="TZW132" s="21"/>
      <c r="TZX132" s="21"/>
      <c r="TZY132" s="20"/>
      <c r="TZZ132" s="20"/>
      <c r="UAA132" s="20"/>
      <c r="UAB132" s="20"/>
      <c r="UAC132" s="21"/>
      <c r="UAD132" s="21"/>
      <c r="UAE132" s="7"/>
      <c r="UAF132" s="7"/>
      <c r="UAG132" s="21"/>
      <c r="UAH132" s="20"/>
      <c r="UAI132" s="20"/>
      <c r="UAJ132" s="20"/>
      <c r="UAK132" s="21"/>
      <c r="UAL132" s="21"/>
      <c r="UAM132" s="21"/>
      <c r="UAN132" s="21"/>
      <c r="UAO132" s="21"/>
      <c r="UAP132" s="20"/>
      <c r="UAQ132" s="20"/>
      <c r="UAR132" s="20"/>
      <c r="UAS132" s="20"/>
      <c r="UAT132" s="21"/>
      <c r="UAU132" s="21"/>
      <c r="UAV132" s="7"/>
      <c r="UAW132" s="7"/>
      <c r="UAX132" s="21"/>
      <c r="UAY132" s="20"/>
      <c r="UAZ132" s="20"/>
      <c r="UBA132" s="20"/>
      <c r="UBB132" s="21"/>
      <c r="UBC132" s="21"/>
      <c r="UBD132" s="21"/>
      <c r="UBE132" s="21"/>
      <c r="UBF132" s="21"/>
      <c r="UBG132" s="20"/>
      <c r="UBH132" s="20"/>
      <c r="UBI132" s="20"/>
      <c r="UBJ132" s="20"/>
      <c r="UBK132" s="21"/>
      <c r="UBL132" s="21"/>
      <c r="UBM132" s="7"/>
      <c r="UBN132" s="7"/>
      <c r="UBO132" s="21"/>
      <c r="UBP132" s="20"/>
      <c r="UBQ132" s="20"/>
      <c r="UBR132" s="20"/>
      <c r="UBS132" s="21"/>
      <c r="UBT132" s="21"/>
      <c r="UBU132" s="21"/>
      <c r="UBV132" s="21"/>
      <c r="UBW132" s="21"/>
      <c r="UBX132" s="20"/>
      <c r="UBY132" s="20"/>
      <c r="UBZ132" s="20"/>
      <c r="UCA132" s="20"/>
      <c r="UCB132" s="21"/>
      <c r="UCC132" s="21"/>
      <c r="UCD132" s="7"/>
      <c r="UCE132" s="7"/>
      <c r="UCF132" s="21"/>
      <c r="UCG132" s="20"/>
      <c r="UCH132" s="20"/>
      <c r="UCI132" s="20"/>
      <c r="UCJ132" s="21"/>
      <c r="UCK132" s="21"/>
      <c r="UCL132" s="21"/>
      <c r="UCM132" s="21"/>
      <c r="UCN132" s="21"/>
      <c r="UCO132" s="20"/>
      <c r="UCP132" s="20"/>
      <c r="UCQ132" s="20"/>
      <c r="UCR132" s="20"/>
      <c r="UCS132" s="21"/>
      <c r="UCT132" s="21"/>
      <c r="UCU132" s="7"/>
      <c r="UCV132" s="7"/>
      <c r="UCW132" s="21"/>
      <c r="UCX132" s="20"/>
      <c r="UCY132" s="20"/>
      <c r="UCZ132" s="20"/>
      <c r="UDA132" s="21"/>
      <c r="UDB132" s="21"/>
      <c r="UDC132" s="21"/>
      <c r="UDD132" s="21"/>
      <c r="UDE132" s="21"/>
      <c r="UDF132" s="20"/>
      <c r="UDG132" s="20"/>
      <c r="UDH132" s="20"/>
      <c r="UDI132" s="20"/>
      <c r="UDJ132" s="21"/>
      <c r="UDK132" s="21"/>
      <c r="UDL132" s="7"/>
      <c r="UDM132" s="7"/>
      <c r="UDN132" s="21"/>
      <c r="UDO132" s="20"/>
      <c r="UDP132" s="20"/>
      <c r="UDQ132" s="20"/>
      <c r="UDR132" s="21"/>
      <c r="UDS132" s="21"/>
      <c r="UDT132" s="21"/>
      <c r="UDU132" s="21"/>
      <c r="UDV132" s="21"/>
      <c r="UDW132" s="20"/>
      <c r="UDX132" s="20"/>
      <c r="UDY132" s="20"/>
      <c r="UDZ132" s="20"/>
      <c r="UEA132" s="21"/>
      <c r="UEB132" s="21"/>
      <c r="UEC132" s="7"/>
      <c r="UED132" s="7"/>
      <c r="UEE132" s="21"/>
      <c r="UEF132" s="20"/>
      <c r="UEG132" s="20"/>
      <c r="UEH132" s="20"/>
      <c r="UEI132" s="21"/>
      <c r="UEJ132" s="21"/>
      <c r="UEK132" s="21"/>
      <c r="UEL132" s="21"/>
      <c r="UEM132" s="21"/>
      <c r="UEN132" s="20"/>
      <c r="UEO132" s="20"/>
      <c r="UEP132" s="20"/>
      <c r="UEQ132" s="20"/>
      <c r="UER132" s="21"/>
      <c r="UES132" s="21"/>
      <c r="UET132" s="7"/>
      <c r="UEU132" s="7"/>
      <c r="UEV132" s="21"/>
      <c r="UEW132" s="20"/>
      <c r="UEX132" s="20"/>
      <c r="UEY132" s="20"/>
      <c r="UEZ132" s="21"/>
      <c r="UFA132" s="21"/>
      <c r="UFB132" s="21"/>
      <c r="UFC132" s="21"/>
      <c r="UFD132" s="21"/>
      <c r="UFE132" s="20"/>
      <c r="UFF132" s="20"/>
      <c r="UFG132" s="20"/>
      <c r="UFH132" s="20"/>
      <c r="UFI132" s="21"/>
      <c r="UFJ132" s="21"/>
      <c r="UFK132" s="7"/>
      <c r="UFL132" s="7"/>
      <c r="UFM132" s="21"/>
      <c r="UFN132" s="20"/>
      <c r="UFO132" s="20"/>
      <c r="UFP132" s="20"/>
      <c r="UFQ132" s="21"/>
      <c r="UFR132" s="21"/>
      <c r="UFS132" s="21"/>
      <c r="UFT132" s="21"/>
      <c r="UFU132" s="21"/>
      <c r="UFV132" s="20"/>
      <c r="UFW132" s="20"/>
      <c r="UFX132" s="20"/>
      <c r="UFY132" s="20"/>
      <c r="UFZ132" s="21"/>
      <c r="UGA132" s="21"/>
      <c r="UGB132" s="7"/>
      <c r="UGC132" s="7"/>
      <c r="UGD132" s="21"/>
      <c r="UGE132" s="20"/>
      <c r="UGF132" s="20"/>
      <c r="UGG132" s="20"/>
      <c r="UGH132" s="21"/>
      <c r="UGI132" s="21"/>
      <c r="UGJ132" s="21"/>
      <c r="UGK132" s="21"/>
      <c r="UGL132" s="21"/>
      <c r="UGM132" s="20"/>
      <c r="UGN132" s="20"/>
      <c r="UGO132" s="20"/>
      <c r="UGP132" s="20"/>
      <c r="UGQ132" s="21"/>
      <c r="UGR132" s="21"/>
      <c r="UGS132" s="7"/>
      <c r="UGT132" s="7"/>
      <c r="UGU132" s="21"/>
      <c r="UGV132" s="20"/>
      <c r="UGW132" s="20"/>
      <c r="UGX132" s="20"/>
      <c r="UGY132" s="21"/>
      <c r="UGZ132" s="21"/>
      <c r="UHA132" s="21"/>
      <c r="UHB132" s="21"/>
      <c r="UHC132" s="21"/>
      <c r="UHD132" s="20"/>
      <c r="UHE132" s="20"/>
      <c r="UHF132" s="20"/>
      <c r="UHG132" s="20"/>
      <c r="UHH132" s="21"/>
      <c r="UHI132" s="21"/>
      <c r="UHJ132" s="7"/>
      <c r="UHK132" s="7"/>
      <c r="UHL132" s="21"/>
      <c r="UHM132" s="20"/>
      <c r="UHN132" s="20"/>
      <c r="UHO132" s="20"/>
      <c r="UHP132" s="21"/>
      <c r="UHQ132" s="21"/>
      <c r="UHR132" s="21"/>
      <c r="UHS132" s="21"/>
      <c r="UHT132" s="21"/>
      <c r="UHU132" s="20"/>
      <c r="UHV132" s="20"/>
      <c r="UHW132" s="20"/>
      <c r="UHX132" s="20"/>
      <c r="UHY132" s="21"/>
      <c r="UHZ132" s="21"/>
      <c r="UIA132" s="7"/>
      <c r="UIB132" s="7"/>
      <c r="UIC132" s="21"/>
      <c r="UID132" s="20"/>
      <c r="UIE132" s="20"/>
      <c r="UIF132" s="20"/>
      <c r="UIG132" s="21"/>
      <c r="UIH132" s="21"/>
      <c r="UII132" s="21"/>
      <c r="UIJ132" s="21"/>
      <c r="UIK132" s="21"/>
      <c r="UIL132" s="20"/>
      <c r="UIM132" s="20"/>
      <c r="UIN132" s="20"/>
      <c r="UIO132" s="20"/>
      <c r="UIP132" s="21"/>
      <c r="UIQ132" s="21"/>
      <c r="UIR132" s="7"/>
      <c r="UIS132" s="7"/>
      <c r="UIT132" s="21"/>
      <c r="UIU132" s="20"/>
      <c r="UIV132" s="20"/>
      <c r="UIW132" s="20"/>
      <c r="UIX132" s="21"/>
      <c r="UIY132" s="21"/>
      <c r="UIZ132" s="21"/>
      <c r="UJA132" s="21"/>
      <c r="UJB132" s="21"/>
      <c r="UJC132" s="20"/>
      <c r="UJD132" s="20"/>
      <c r="UJE132" s="20"/>
      <c r="UJF132" s="20"/>
      <c r="UJG132" s="21"/>
      <c r="UJH132" s="21"/>
      <c r="UJI132" s="7"/>
      <c r="UJJ132" s="7"/>
      <c r="UJK132" s="21"/>
      <c r="UJL132" s="20"/>
      <c r="UJM132" s="20"/>
      <c r="UJN132" s="20"/>
      <c r="UJO132" s="21"/>
      <c r="UJP132" s="21"/>
      <c r="UJQ132" s="21"/>
      <c r="UJR132" s="21"/>
      <c r="UJS132" s="21"/>
      <c r="UJT132" s="20"/>
      <c r="UJU132" s="20"/>
      <c r="UJV132" s="20"/>
      <c r="UJW132" s="20"/>
      <c r="UJX132" s="21"/>
      <c r="UJY132" s="21"/>
      <c r="UJZ132" s="7"/>
      <c r="UKA132" s="7"/>
      <c r="UKB132" s="21"/>
      <c r="UKC132" s="20"/>
      <c r="UKD132" s="20"/>
      <c r="UKE132" s="20"/>
      <c r="UKF132" s="21"/>
      <c r="UKG132" s="21"/>
      <c r="UKH132" s="21"/>
      <c r="UKI132" s="21"/>
      <c r="UKJ132" s="21"/>
      <c r="UKK132" s="20"/>
      <c r="UKL132" s="20"/>
      <c r="UKM132" s="20"/>
      <c r="UKN132" s="20"/>
      <c r="UKO132" s="21"/>
      <c r="UKP132" s="21"/>
      <c r="UKQ132" s="7"/>
      <c r="UKR132" s="7"/>
      <c r="UKS132" s="21"/>
      <c r="UKT132" s="20"/>
      <c r="UKU132" s="20"/>
      <c r="UKV132" s="20"/>
      <c r="UKW132" s="21"/>
      <c r="UKX132" s="21"/>
      <c r="UKY132" s="21"/>
      <c r="UKZ132" s="21"/>
      <c r="ULA132" s="21"/>
      <c r="ULB132" s="20"/>
      <c r="ULC132" s="20"/>
      <c r="ULD132" s="20"/>
      <c r="ULE132" s="20"/>
      <c r="ULF132" s="21"/>
      <c r="ULG132" s="21"/>
      <c r="ULH132" s="7"/>
      <c r="ULI132" s="7"/>
      <c r="ULJ132" s="21"/>
      <c r="ULK132" s="20"/>
      <c r="ULL132" s="20"/>
      <c r="ULM132" s="20"/>
      <c r="ULN132" s="21"/>
      <c r="ULO132" s="21"/>
      <c r="ULP132" s="21"/>
      <c r="ULQ132" s="21"/>
      <c r="ULR132" s="21"/>
      <c r="ULS132" s="20"/>
      <c r="ULT132" s="20"/>
      <c r="ULU132" s="20"/>
      <c r="ULV132" s="20"/>
      <c r="ULW132" s="21"/>
      <c r="ULX132" s="21"/>
      <c r="ULY132" s="7"/>
      <c r="ULZ132" s="7"/>
      <c r="UMA132" s="21"/>
      <c r="UMB132" s="20"/>
      <c r="UMC132" s="20"/>
      <c r="UMD132" s="20"/>
      <c r="UME132" s="21"/>
      <c r="UMF132" s="21"/>
      <c r="UMG132" s="21"/>
      <c r="UMH132" s="21"/>
      <c r="UMI132" s="21"/>
      <c r="UMJ132" s="20"/>
      <c r="UMK132" s="20"/>
      <c r="UML132" s="20"/>
      <c r="UMM132" s="20"/>
      <c r="UMN132" s="21"/>
      <c r="UMO132" s="21"/>
      <c r="UMP132" s="7"/>
      <c r="UMQ132" s="7"/>
      <c r="UMR132" s="21"/>
      <c r="UMS132" s="20"/>
      <c r="UMT132" s="20"/>
      <c r="UMU132" s="20"/>
      <c r="UMV132" s="21"/>
      <c r="UMW132" s="21"/>
      <c r="UMX132" s="21"/>
      <c r="UMY132" s="21"/>
      <c r="UMZ132" s="21"/>
      <c r="UNA132" s="20"/>
      <c r="UNB132" s="20"/>
      <c r="UNC132" s="20"/>
      <c r="UND132" s="20"/>
      <c r="UNE132" s="21"/>
      <c r="UNF132" s="21"/>
      <c r="UNG132" s="7"/>
      <c r="UNH132" s="7"/>
      <c r="UNI132" s="21"/>
      <c r="UNJ132" s="20"/>
      <c r="UNK132" s="20"/>
      <c r="UNL132" s="20"/>
      <c r="UNM132" s="21"/>
      <c r="UNN132" s="21"/>
      <c r="UNO132" s="21"/>
      <c r="UNP132" s="21"/>
      <c r="UNQ132" s="21"/>
      <c r="UNR132" s="20"/>
      <c r="UNS132" s="20"/>
      <c r="UNT132" s="20"/>
      <c r="UNU132" s="20"/>
      <c r="UNV132" s="21"/>
      <c r="UNW132" s="21"/>
      <c r="UNX132" s="7"/>
      <c r="UNY132" s="7"/>
      <c r="UNZ132" s="21"/>
      <c r="UOA132" s="20"/>
      <c r="UOB132" s="20"/>
      <c r="UOC132" s="20"/>
      <c r="UOD132" s="21"/>
      <c r="UOE132" s="21"/>
      <c r="UOF132" s="21"/>
      <c r="UOG132" s="21"/>
      <c r="UOH132" s="21"/>
      <c r="UOI132" s="20"/>
      <c r="UOJ132" s="20"/>
      <c r="UOK132" s="20"/>
      <c r="UOL132" s="20"/>
      <c r="UOM132" s="21"/>
      <c r="UON132" s="21"/>
      <c r="UOO132" s="7"/>
      <c r="UOP132" s="7"/>
      <c r="UOQ132" s="21"/>
      <c r="UOR132" s="20"/>
      <c r="UOS132" s="20"/>
      <c r="UOT132" s="20"/>
      <c r="UOU132" s="21"/>
      <c r="UOV132" s="21"/>
      <c r="UOW132" s="21"/>
      <c r="UOX132" s="21"/>
      <c r="UOY132" s="21"/>
      <c r="UOZ132" s="20"/>
      <c r="UPA132" s="20"/>
      <c r="UPB132" s="20"/>
      <c r="UPC132" s="20"/>
      <c r="UPD132" s="21"/>
      <c r="UPE132" s="21"/>
      <c r="UPF132" s="7"/>
      <c r="UPG132" s="7"/>
      <c r="UPH132" s="21"/>
      <c r="UPI132" s="20"/>
      <c r="UPJ132" s="20"/>
      <c r="UPK132" s="20"/>
      <c r="UPL132" s="21"/>
      <c r="UPM132" s="21"/>
      <c r="UPN132" s="21"/>
      <c r="UPO132" s="21"/>
      <c r="UPP132" s="21"/>
      <c r="UPQ132" s="20"/>
      <c r="UPR132" s="20"/>
      <c r="UPS132" s="20"/>
      <c r="UPT132" s="20"/>
      <c r="UPU132" s="21"/>
      <c r="UPV132" s="21"/>
      <c r="UPW132" s="7"/>
      <c r="UPX132" s="7"/>
      <c r="UPY132" s="21"/>
      <c r="UPZ132" s="20"/>
      <c r="UQA132" s="20"/>
      <c r="UQB132" s="20"/>
      <c r="UQC132" s="21"/>
      <c r="UQD132" s="21"/>
      <c r="UQE132" s="21"/>
      <c r="UQF132" s="21"/>
      <c r="UQG132" s="21"/>
      <c r="UQH132" s="20"/>
      <c r="UQI132" s="20"/>
      <c r="UQJ132" s="20"/>
      <c r="UQK132" s="20"/>
      <c r="UQL132" s="21"/>
      <c r="UQM132" s="21"/>
      <c r="UQN132" s="7"/>
      <c r="UQO132" s="7"/>
      <c r="UQP132" s="21"/>
      <c r="UQQ132" s="20"/>
      <c r="UQR132" s="20"/>
      <c r="UQS132" s="20"/>
      <c r="UQT132" s="21"/>
      <c r="UQU132" s="21"/>
      <c r="UQV132" s="21"/>
      <c r="UQW132" s="21"/>
      <c r="UQX132" s="21"/>
      <c r="UQY132" s="20"/>
      <c r="UQZ132" s="20"/>
      <c r="URA132" s="20"/>
      <c r="URB132" s="20"/>
      <c r="URC132" s="21"/>
      <c r="URD132" s="21"/>
      <c r="URE132" s="7"/>
      <c r="URF132" s="7"/>
      <c r="URG132" s="21"/>
      <c r="URH132" s="20"/>
      <c r="URI132" s="20"/>
      <c r="URJ132" s="20"/>
      <c r="URK132" s="21"/>
      <c r="URL132" s="21"/>
      <c r="URM132" s="21"/>
      <c r="URN132" s="21"/>
      <c r="URO132" s="21"/>
      <c r="URP132" s="20"/>
      <c r="URQ132" s="20"/>
      <c r="URR132" s="20"/>
      <c r="URS132" s="20"/>
      <c r="URT132" s="21"/>
      <c r="URU132" s="21"/>
      <c r="URV132" s="7"/>
      <c r="URW132" s="7"/>
      <c r="URX132" s="21"/>
      <c r="URY132" s="20"/>
      <c r="URZ132" s="20"/>
      <c r="USA132" s="20"/>
      <c r="USB132" s="21"/>
      <c r="USC132" s="21"/>
      <c r="USD132" s="21"/>
      <c r="USE132" s="21"/>
      <c r="USF132" s="21"/>
      <c r="USG132" s="20"/>
      <c r="USH132" s="20"/>
      <c r="USI132" s="20"/>
      <c r="USJ132" s="20"/>
      <c r="USK132" s="21"/>
      <c r="USL132" s="21"/>
      <c r="USM132" s="7"/>
      <c r="USN132" s="7"/>
      <c r="USO132" s="21"/>
      <c r="USP132" s="20"/>
      <c r="USQ132" s="20"/>
      <c r="USR132" s="20"/>
      <c r="USS132" s="21"/>
      <c r="UST132" s="21"/>
      <c r="USU132" s="21"/>
      <c r="USV132" s="21"/>
      <c r="USW132" s="21"/>
      <c r="USX132" s="20"/>
      <c r="USY132" s="20"/>
      <c r="USZ132" s="20"/>
      <c r="UTA132" s="20"/>
      <c r="UTB132" s="21"/>
      <c r="UTC132" s="21"/>
      <c r="UTD132" s="7"/>
      <c r="UTE132" s="7"/>
      <c r="UTF132" s="21"/>
      <c r="UTG132" s="20"/>
      <c r="UTH132" s="20"/>
      <c r="UTI132" s="20"/>
      <c r="UTJ132" s="21"/>
      <c r="UTK132" s="21"/>
      <c r="UTL132" s="21"/>
      <c r="UTM132" s="21"/>
      <c r="UTN132" s="21"/>
      <c r="UTO132" s="20"/>
      <c r="UTP132" s="20"/>
      <c r="UTQ132" s="20"/>
      <c r="UTR132" s="20"/>
      <c r="UTS132" s="21"/>
      <c r="UTT132" s="21"/>
      <c r="UTU132" s="7"/>
      <c r="UTV132" s="7"/>
      <c r="UTW132" s="21"/>
      <c r="UTX132" s="20"/>
      <c r="UTY132" s="20"/>
      <c r="UTZ132" s="20"/>
      <c r="UUA132" s="21"/>
      <c r="UUB132" s="21"/>
      <c r="UUC132" s="21"/>
      <c r="UUD132" s="21"/>
      <c r="UUE132" s="21"/>
      <c r="UUF132" s="20"/>
      <c r="UUG132" s="20"/>
      <c r="UUH132" s="20"/>
      <c r="UUI132" s="20"/>
      <c r="UUJ132" s="21"/>
      <c r="UUK132" s="21"/>
      <c r="UUL132" s="7"/>
      <c r="UUM132" s="7"/>
      <c r="UUN132" s="21"/>
      <c r="UUO132" s="20"/>
      <c r="UUP132" s="20"/>
      <c r="UUQ132" s="20"/>
      <c r="UUR132" s="21"/>
      <c r="UUS132" s="21"/>
      <c r="UUT132" s="21"/>
      <c r="UUU132" s="21"/>
      <c r="UUV132" s="21"/>
      <c r="UUW132" s="20"/>
      <c r="UUX132" s="20"/>
      <c r="UUY132" s="20"/>
      <c r="UUZ132" s="20"/>
      <c r="UVA132" s="21"/>
      <c r="UVB132" s="21"/>
      <c r="UVC132" s="7"/>
      <c r="UVD132" s="7"/>
      <c r="UVE132" s="21"/>
      <c r="UVF132" s="20"/>
      <c r="UVG132" s="20"/>
      <c r="UVH132" s="20"/>
      <c r="UVI132" s="21"/>
      <c r="UVJ132" s="21"/>
      <c r="UVK132" s="21"/>
      <c r="UVL132" s="21"/>
      <c r="UVM132" s="21"/>
      <c r="UVN132" s="20"/>
      <c r="UVO132" s="20"/>
      <c r="UVP132" s="20"/>
      <c r="UVQ132" s="20"/>
      <c r="UVR132" s="21"/>
      <c r="UVS132" s="21"/>
      <c r="UVT132" s="7"/>
      <c r="UVU132" s="7"/>
      <c r="UVV132" s="21"/>
      <c r="UVW132" s="20"/>
      <c r="UVX132" s="20"/>
      <c r="UVY132" s="20"/>
      <c r="UVZ132" s="21"/>
      <c r="UWA132" s="21"/>
      <c r="UWB132" s="21"/>
      <c r="UWC132" s="21"/>
      <c r="UWD132" s="21"/>
      <c r="UWE132" s="20"/>
      <c r="UWF132" s="20"/>
      <c r="UWG132" s="20"/>
      <c r="UWH132" s="20"/>
      <c r="UWI132" s="21"/>
      <c r="UWJ132" s="21"/>
      <c r="UWK132" s="7"/>
      <c r="UWL132" s="7"/>
      <c r="UWM132" s="21"/>
      <c r="UWN132" s="20"/>
      <c r="UWO132" s="20"/>
      <c r="UWP132" s="20"/>
      <c r="UWQ132" s="21"/>
      <c r="UWR132" s="21"/>
      <c r="UWS132" s="21"/>
      <c r="UWT132" s="21"/>
      <c r="UWU132" s="21"/>
      <c r="UWV132" s="20"/>
      <c r="UWW132" s="20"/>
      <c r="UWX132" s="20"/>
      <c r="UWY132" s="20"/>
      <c r="UWZ132" s="21"/>
      <c r="UXA132" s="21"/>
      <c r="UXB132" s="7"/>
      <c r="UXC132" s="7"/>
      <c r="UXD132" s="21"/>
      <c r="UXE132" s="20"/>
      <c r="UXF132" s="20"/>
      <c r="UXG132" s="20"/>
      <c r="UXH132" s="21"/>
      <c r="UXI132" s="21"/>
      <c r="UXJ132" s="21"/>
      <c r="UXK132" s="21"/>
      <c r="UXL132" s="21"/>
      <c r="UXM132" s="20"/>
      <c r="UXN132" s="20"/>
      <c r="UXO132" s="20"/>
      <c r="UXP132" s="20"/>
      <c r="UXQ132" s="21"/>
      <c r="UXR132" s="21"/>
      <c r="UXS132" s="7"/>
      <c r="UXT132" s="7"/>
      <c r="UXU132" s="21"/>
      <c r="UXV132" s="20"/>
      <c r="UXW132" s="20"/>
      <c r="UXX132" s="20"/>
      <c r="UXY132" s="21"/>
      <c r="UXZ132" s="21"/>
      <c r="UYA132" s="21"/>
      <c r="UYB132" s="21"/>
      <c r="UYC132" s="21"/>
      <c r="UYD132" s="20"/>
      <c r="UYE132" s="20"/>
      <c r="UYF132" s="20"/>
      <c r="UYG132" s="20"/>
      <c r="UYH132" s="21"/>
      <c r="UYI132" s="21"/>
      <c r="UYJ132" s="7"/>
      <c r="UYK132" s="7"/>
      <c r="UYL132" s="21"/>
      <c r="UYM132" s="20"/>
      <c r="UYN132" s="20"/>
      <c r="UYO132" s="20"/>
      <c r="UYP132" s="21"/>
      <c r="UYQ132" s="21"/>
      <c r="UYR132" s="21"/>
      <c r="UYS132" s="21"/>
      <c r="UYT132" s="21"/>
      <c r="UYU132" s="20"/>
      <c r="UYV132" s="20"/>
      <c r="UYW132" s="20"/>
      <c r="UYX132" s="20"/>
      <c r="UYY132" s="21"/>
      <c r="UYZ132" s="21"/>
      <c r="UZA132" s="7"/>
      <c r="UZB132" s="7"/>
      <c r="UZC132" s="21"/>
      <c r="UZD132" s="20"/>
      <c r="UZE132" s="20"/>
      <c r="UZF132" s="20"/>
      <c r="UZG132" s="21"/>
      <c r="UZH132" s="21"/>
      <c r="UZI132" s="21"/>
      <c r="UZJ132" s="21"/>
      <c r="UZK132" s="21"/>
      <c r="UZL132" s="20"/>
      <c r="UZM132" s="20"/>
      <c r="UZN132" s="20"/>
      <c r="UZO132" s="20"/>
      <c r="UZP132" s="21"/>
      <c r="UZQ132" s="21"/>
      <c r="UZR132" s="7"/>
      <c r="UZS132" s="7"/>
      <c r="UZT132" s="21"/>
      <c r="UZU132" s="20"/>
      <c r="UZV132" s="20"/>
      <c r="UZW132" s="20"/>
      <c r="UZX132" s="21"/>
      <c r="UZY132" s="21"/>
      <c r="UZZ132" s="21"/>
      <c r="VAA132" s="21"/>
      <c r="VAB132" s="21"/>
      <c r="VAC132" s="20"/>
      <c r="VAD132" s="20"/>
      <c r="VAE132" s="20"/>
      <c r="VAF132" s="20"/>
      <c r="VAG132" s="21"/>
      <c r="VAH132" s="21"/>
      <c r="VAI132" s="7"/>
      <c r="VAJ132" s="7"/>
      <c r="VAK132" s="21"/>
      <c r="VAL132" s="20"/>
      <c r="VAM132" s="20"/>
      <c r="VAN132" s="20"/>
      <c r="VAO132" s="21"/>
      <c r="VAP132" s="21"/>
      <c r="VAQ132" s="21"/>
      <c r="VAR132" s="21"/>
      <c r="VAS132" s="21"/>
      <c r="VAT132" s="20"/>
      <c r="VAU132" s="20"/>
      <c r="VAV132" s="20"/>
      <c r="VAW132" s="20"/>
      <c r="VAX132" s="21"/>
      <c r="VAY132" s="21"/>
      <c r="VAZ132" s="7"/>
      <c r="VBA132" s="7"/>
      <c r="VBB132" s="21"/>
      <c r="VBC132" s="20"/>
      <c r="VBD132" s="20"/>
      <c r="VBE132" s="20"/>
      <c r="VBF132" s="21"/>
      <c r="VBG132" s="21"/>
      <c r="VBH132" s="21"/>
      <c r="VBI132" s="21"/>
      <c r="VBJ132" s="21"/>
      <c r="VBK132" s="20"/>
      <c r="VBL132" s="20"/>
      <c r="VBM132" s="20"/>
      <c r="VBN132" s="20"/>
      <c r="VBO132" s="21"/>
      <c r="VBP132" s="21"/>
      <c r="VBQ132" s="7"/>
      <c r="VBR132" s="7"/>
      <c r="VBS132" s="21"/>
      <c r="VBT132" s="20"/>
      <c r="VBU132" s="20"/>
      <c r="VBV132" s="20"/>
      <c r="VBW132" s="21"/>
      <c r="VBX132" s="21"/>
      <c r="VBY132" s="21"/>
      <c r="VBZ132" s="21"/>
      <c r="VCA132" s="21"/>
      <c r="VCB132" s="20"/>
      <c r="VCC132" s="20"/>
      <c r="VCD132" s="20"/>
      <c r="VCE132" s="20"/>
      <c r="VCF132" s="21"/>
      <c r="VCG132" s="21"/>
      <c r="VCH132" s="7"/>
      <c r="VCI132" s="7"/>
      <c r="VCJ132" s="21"/>
      <c r="VCK132" s="20"/>
      <c r="VCL132" s="20"/>
      <c r="VCM132" s="20"/>
      <c r="VCN132" s="21"/>
      <c r="VCO132" s="21"/>
      <c r="VCP132" s="21"/>
      <c r="VCQ132" s="21"/>
      <c r="VCR132" s="21"/>
      <c r="VCS132" s="20"/>
      <c r="VCT132" s="20"/>
      <c r="VCU132" s="20"/>
      <c r="VCV132" s="20"/>
      <c r="VCW132" s="21"/>
      <c r="VCX132" s="21"/>
      <c r="VCY132" s="7"/>
      <c r="VCZ132" s="7"/>
      <c r="VDA132" s="21"/>
      <c r="VDB132" s="20"/>
      <c r="VDC132" s="20"/>
      <c r="VDD132" s="20"/>
      <c r="VDE132" s="21"/>
      <c r="VDF132" s="21"/>
      <c r="VDG132" s="21"/>
      <c r="VDH132" s="21"/>
      <c r="VDI132" s="21"/>
      <c r="VDJ132" s="20"/>
      <c r="VDK132" s="20"/>
      <c r="VDL132" s="20"/>
      <c r="VDM132" s="20"/>
      <c r="VDN132" s="21"/>
      <c r="VDO132" s="21"/>
      <c r="VDP132" s="7"/>
      <c r="VDQ132" s="7"/>
      <c r="VDR132" s="21"/>
      <c r="VDS132" s="20"/>
      <c r="VDT132" s="20"/>
      <c r="VDU132" s="20"/>
      <c r="VDV132" s="21"/>
      <c r="VDW132" s="21"/>
      <c r="VDX132" s="21"/>
      <c r="VDY132" s="21"/>
      <c r="VDZ132" s="21"/>
      <c r="VEA132" s="20"/>
      <c r="VEB132" s="20"/>
      <c r="VEC132" s="20"/>
      <c r="VED132" s="20"/>
      <c r="VEE132" s="21"/>
      <c r="VEF132" s="21"/>
      <c r="VEG132" s="7"/>
      <c r="VEH132" s="7"/>
      <c r="VEI132" s="21"/>
      <c r="VEJ132" s="20"/>
      <c r="VEK132" s="20"/>
      <c r="VEL132" s="20"/>
      <c r="VEM132" s="21"/>
      <c r="VEN132" s="21"/>
      <c r="VEO132" s="21"/>
      <c r="VEP132" s="21"/>
      <c r="VEQ132" s="21"/>
      <c r="VER132" s="20"/>
      <c r="VES132" s="20"/>
      <c r="VET132" s="20"/>
      <c r="VEU132" s="20"/>
      <c r="VEV132" s="21"/>
      <c r="VEW132" s="21"/>
      <c r="VEX132" s="7"/>
      <c r="VEY132" s="7"/>
      <c r="VEZ132" s="21"/>
      <c r="VFA132" s="20"/>
      <c r="VFB132" s="20"/>
      <c r="VFC132" s="20"/>
      <c r="VFD132" s="21"/>
      <c r="VFE132" s="21"/>
      <c r="VFF132" s="21"/>
      <c r="VFG132" s="21"/>
      <c r="VFH132" s="21"/>
      <c r="VFI132" s="20"/>
      <c r="VFJ132" s="20"/>
      <c r="VFK132" s="20"/>
      <c r="VFL132" s="20"/>
      <c r="VFM132" s="21"/>
      <c r="VFN132" s="21"/>
      <c r="VFO132" s="7"/>
      <c r="VFP132" s="7"/>
      <c r="VFQ132" s="21"/>
      <c r="VFR132" s="20"/>
      <c r="VFS132" s="20"/>
      <c r="VFT132" s="20"/>
      <c r="VFU132" s="21"/>
      <c r="VFV132" s="21"/>
      <c r="VFW132" s="21"/>
      <c r="VFX132" s="21"/>
      <c r="VFY132" s="21"/>
      <c r="VFZ132" s="20"/>
      <c r="VGA132" s="20"/>
      <c r="VGB132" s="20"/>
      <c r="VGC132" s="20"/>
      <c r="VGD132" s="21"/>
      <c r="VGE132" s="21"/>
      <c r="VGF132" s="7"/>
      <c r="VGG132" s="7"/>
      <c r="VGH132" s="21"/>
      <c r="VGI132" s="20"/>
      <c r="VGJ132" s="20"/>
      <c r="VGK132" s="20"/>
      <c r="VGL132" s="21"/>
      <c r="VGM132" s="21"/>
      <c r="VGN132" s="21"/>
      <c r="VGO132" s="21"/>
      <c r="VGP132" s="21"/>
      <c r="VGQ132" s="20"/>
      <c r="VGR132" s="20"/>
      <c r="VGS132" s="20"/>
      <c r="VGT132" s="20"/>
      <c r="VGU132" s="21"/>
      <c r="VGV132" s="21"/>
      <c r="VGW132" s="7"/>
      <c r="VGX132" s="7"/>
      <c r="VGY132" s="21"/>
      <c r="VGZ132" s="20"/>
      <c r="VHA132" s="20"/>
      <c r="VHB132" s="20"/>
      <c r="VHC132" s="21"/>
      <c r="VHD132" s="21"/>
      <c r="VHE132" s="21"/>
      <c r="VHF132" s="21"/>
      <c r="VHG132" s="21"/>
      <c r="VHH132" s="20"/>
      <c r="VHI132" s="20"/>
      <c r="VHJ132" s="20"/>
      <c r="VHK132" s="20"/>
      <c r="VHL132" s="21"/>
      <c r="VHM132" s="21"/>
      <c r="VHN132" s="7"/>
      <c r="VHO132" s="7"/>
      <c r="VHP132" s="21"/>
      <c r="VHQ132" s="20"/>
      <c r="VHR132" s="20"/>
      <c r="VHS132" s="20"/>
      <c r="VHT132" s="21"/>
      <c r="VHU132" s="21"/>
      <c r="VHV132" s="21"/>
      <c r="VHW132" s="21"/>
      <c r="VHX132" s="21"/>
      <c r="VHY132" s="20"/>
      <c r="VHZ132" s="20"/>
      <c r="VIA132" s="20"/>
      <c r="VIB132" s="20"/>
      <c r="VIC132" s="21"/>
      <c r="VID132" s="21"/>
      <c r="VIE132" s="7"/>
      <c r="VIF132" s="7"/>
      <c r="VIG132" s="21"/>
      <c r="VIH132" s="20"/>
      <c r="VII132" s="20"/>
      <c r="VIJ132" s="20"/>
      <c r="VIK132" s="21"/>
      <c r="VIL132" s="21"/>
      <c r="VIM132" s="21"/>
      <c r="VIN132" s="21"/>
      <c r="VIO132" s="21"/>
      <c r="VIP132" s="20"/>
      <c r="VIQ132" s="20"/>
      <c r="VIR132" s="20"/>
      <c r="VIS132" s="20"/>
      <c r="VIT132" s="21"/>
      <c r="VIU132" s="21"/>
      <c r="VIV132" s="7"/>
      <c r="VIW132" s="7"/>
      <c r="VIX132" s="21"/>
      <c r="VIY132" s="20"/>
      <c r="VIZ132" s="20"/>
      <c r="VJA132" s="20"/>
      <c r="VJB132" s="21"/>
      <c r="VJC132" s="21"/>
      <c r="VJD132" s="21"/>
      <c r="VJE132" s="21"/>
      <c r="VJF132" s="21"/>
      <c r="VJG132" s="20"/>
      <c r="VJH132" s="20"/>
      <c r="VJI132" s="20"/>
      <c r="VJJ132" s="20"/>
      <c r="VJK132" s="21"/>
      <c r="VJL132" s="21"/>
      <c r="VJM132" s="7"/>
      <c r="VJN132" s="7"/>
      <c r="VJO132" s="21"/>
      <c r="VJP132" s="20"/>
      <c r="VJQ132" s="20"/>
      <c r="VJR132" s="20"/>
      <c r="VJS132" s="21"/>
      <c r="VJT132" s="21"/>
      <c r="VJU132" s="21"/>
      <c r="VJV132" s="21"/>
      <c r="VJW132" s="21"/>
      <c r="VJX132" s="20"/>
      <c r="VJY132" s="20"/>
      <c r="VJZ132" s="20"/>
      <c r="VKA132" s="20"/>
      <c r="VKB132" s="21"/>
      <c r="VKC132" s="21"/>
      <c r="VKD132" s="7"/>
      <c r="VKE132" s="7"/>
      <c r="VKF132" s="21"/>
      <c r="VKG132" s="20"/>
      <c r="VKH132" s="20"/>
      <c r="VKI132" s="20"/>
      <c r="VKJ132" s="21"/>
      <c r="VKK132" s="21"/>
      <c r="VKL132" s="21"/>
      <c r="VKM132" s="21"/>
      <c r="VKN132" s="21"/>
      <c r="VKO132" s="20"/>
      <c r="VKP132" s="20"/>
      <c r="VKQ132" s="20"/>
      <c r="VKR132" s="20"/>
      <c r="VKS132" s="21"/>
      <c r="VKT132" s="21"/>
      <c r="VKU132" s="7"/>
      <c r="VKV132" s="7"/>
      <c r="VKW132" s="21"/>
      <c r="VKX132" s="20"/>
      <c r="VKY132" s="20"/>
      <c r="VKZ132" s="20"/>
      <c r="VLA132" s="21"/>
      <c r="VLB132" s="21"/>
      <c r="VLC132" s="21"/>
      <c r="VLD132" s="21"/>
      <c r="VLE132" s="21"/>
      <c r="VLF132" s="20"/>
      <c r="VLG132" s="20"/>
      <c r="VLH132" s="20"/>
      <c r="VLI132" s="20"/>
      <c r="VLJ132" s="21"/>
      <c r="VLK132" s="21"/>
      <c r="VLL132" s="7"/>
      <c r="VLM132" s="7"/>
      <c r="VLN132" s="21"/>
      <c r="VLO132" s="20"/>
      <c r="VLP132" s="20"/>
      <c r="VLQ132" s="20"/>
      <c r="VLR132" s="21"/>
      <c r="VLS132" s="21"/>
      <c r="VLT132" s="21"/>
      <c r="VLU132" s="21"/>
      <c r="VLV132" s="21"/>
      <c r="VLW132" s="20"/>
      <c r="VLX132" s="20"/>
      <c r="VLY132" s="20"/>
      <c r="VLZ132" s="20"/>
      <c r="VMA132" s="21"/>
      <c r="VMB132" s="21"/>
      <c r="VMC132" s="7"/>
      <c r="VMD132" s="7"/>
      <c r="VME132" s="21"/>
      <c r="VMF132" s="20"/>
      <c r="VMG132" s="20"/>
      <c r="VMH132" s="20"/>
      <c r="VMI132" s="21"/>
      <c r="VMJ132" s="21"/>
      <c r="VMK132" s="21"/>
      <c r="VML132" s="21"/>
      <c r="VMM132" s="21"/>
      <c r="VMN132" s="20"/>
      <c r="VMO132" s="20"/>
      <c r="VMP132" s="20"/>
      <c r="VMQ132" s="20"/>
      <c r="VMR132" s="21"/>
      <c r="VMS132" s="21"/>
      <c r="VMT132" s="7"/>
      <c r="VMU132" s="7"/>
      <c r="VMV132" s="21"/>
      <c r="VMW132" s="20"/>
      <c r="VMX132" s="20"/>
      <c r="VMY132" s="20"/>
      <c r="VMZ132" s="21"/>
      <c r="VNA132" s="21"/>
      <c r="VNB132" s="21"/>
      <c r="VNC132" s="21"/>
      <c r="VND132" s="21"/>
      <c r="VNE132" s="20"/>
      <c r="VNF132" s="20"/>
      <c r="VNG132" s="20"/>
      <c r="VNH132" s="20"/>
      <c r="VNI132" s="21"/>
      <c r="VNJ132" s="21"/>
      <c r="VNK132" s="7"/>
      <c r="VNL132" s="7"/>
      <c r="VNM132" s="21"/>
      <c r="VNN132" s="20"/>
      <c r="VNO132" s="20"/>
      <c r="VNP132" s="20"/>
      <c r="VNQ132" s="21"/>
      <c r="VNR132" s="21"/>
      <c r="VNS132" s="21"/>
      <c r="VNT132" s="21"/>
      <c r="VNU132" s="21"/>
      <c r="VNV132" s="20"/>
      <c r="VNW132" s="20"/>
      <c r="VNX132" s="20"/>
      <c r="VNY132" s="20"/>
      <c r="VNZ132" s="21"/>
      <c r="VOA132" s="21"/>
      <c r="VOB132" s="7"/>
      <c r="VOC132" s="7"/>
      <c r="VOD132" s="21"/>
      <c r="VOE132" s="20"/>
      <c r="VOF132" s="20"/>
      <c r="VOG132" s="20"/>
      <c r="VOH132" s="21"/>
      <c r="VOI132" s="21"/>
      <c r="VOJ132" s="21"/>
      <c r="VOK132" s="21"/>
      <c r="VOL132" s="21"/>
      <c r="VOM132" s="20"/>
      <c r="VON132" s="20"/>
      <c r="VOO132" s="20"/>
      <c r="VOP132" s="20"/>
      <c r="VOQ132" s="21"/>
      <c r="VOR132" s="21"/>
      <c r="VOS132" s="7"/>
      <c r="VOT132" s="7"/>
      <c r="VOU132" s="21"/>
      <c r="VOV132" s="20"/>
      <c r="VOW132" s="20"/>
      <c r="VOX132" s="20"/>
      <c r="VOY132" s="21"/>
      <c r="VOZ132" s="21"/>
      <c r="VPA132" s="21"/>
      <c r="VPB132" s="21"/>
      <c r="VPC132" s="21"/>
      <c r="VPD132" s="20"/>
      <c r="VPE132" s="20"/>
      <c r="VPF132" s="20"/>
      <c r="VPG132" s="20"/>
      <c r="VPH132" s="21"/>
      <c r="VPI132" s="21"/>
      <c r="VPJ132" s="7"/>
      <c r="VPK132" s="7"/>
      <c r="VPL132" s="21"/>
      <c r="VPM132" s="20"/>
      <c r="VPN132" s="20"/>
      <c r="VPO132" s="20"/>
      <c r="VPP132" s="21"/>
      <c r="VPQ132" s="21"/>
      <c r="VPR132" s="21"/>
      <c r="VPS132" s="21"/>
      <c r="VPT132" s="21"/>
      <c r="VPU132" s="20"/>
      <c r="VPV132" s="20"/>
      <c r="VPW132" s="20"/>
      <c r="VPX132" s="20"/>
      <c r="VPY132" s="21"/>
      <c r="VPZ132" s="21"/>
      <c r="VQA132" s="7"/>
      <c r="VQB132" s="7"/>
      <c r="VQC132" s="21"/>
      <c r="VQD132" s="20"/>
      <c r="VQE132" s="20"/>
      <c r="VQF132" s="20"/>
      <c r="VQG132" s="21"/>
      <c r="VQH132" s="21"/>
      <c r="VQI132" s="21"/>
      <c r="VQJ132" s="21"/>
      <c r="VQK132" s="21"/>
      <c r="VQL132" s="20"/>
      <c r="VQM132" s="20"/>
      <c r="VQN132" s="20"/>
      <c r="VQO132" s="20"/>
      <c r="VQP132" s="21"/>
      <c r="VQQ132" s="21"/>
      <c r="VQR132" s="7"/>
      <c r="VQS132" s="7"/>
      <c r="VQT132" s="21"/>
      <c r="VQU132" s="20"/>
      <c r="VQV132" s="20"/>
      <c r="VQW132" s="20"/>
      <c r="VQX132" s="21"/>
      <c r="VQY132" s="21"/>
      <c r="VQZ132" s="21"/>
      <c r="VRA132" s="21"/>
      <c r="VRB132" s="21"/>
      <c r="VRC132" s="20"/>
      <c r="VRD132" s="20"/>
      <c r="VRE132" s="20"/>
      <c r="VRF132" s="20"/>
      <c r="VRG132" s="21"/>
      <c r="VRH132" s="21"/>
      <c r="VRI132" s="7"/>
      <c r="VRJ132" s="7"/>
      <c r="VRK132" s="21"/>
      <c r="VRL132" s="20"/>
      <c r="VRM132" s="20"/>
      <c r="VRN132" s="20"/>
      <c r="VRO132" s="21"/>
      <c r="VRP132" s="21"/>
      <c r="VRQ132" s="21"/>
      <c r="VRR132" s="21"/>
      <c r="VRS132" s="21"/>
      <c r="VRT132" s="20"/>
      <c r="VRU132" s="20"/>
      <c r="VRV132" s="20"/>
      <c r="VRW132" s="20"/>
      <c r="VRX132" s="21"/>
      <c r="VRY132" s="21"/>
      <c r="VRZ132" s="7"/>
      <c r="VSA132" s="7"/>
      <c r="VSB132" s="21"/>
      <c r="VSC132" s="20"/>
      <c r="VSD132" s="20"/>
      <c r="VSE132" s="20"/>
      <c r="VSF132" s="21"/>
      <c r="VSG132" s="21"/>
      <c r="VSH132" s="21"/>
      <c r="VSI132" s="21"/>
      <c r="VSJ132" s="21"/>
      <c r="VSK132" s="20"/>
      <c r="VSL132" s="20"/>
      <c r="VSM132" s="20"/>
      <c r="VSN132" s="20"/>
      <c r="VSO132" s="21"/>
      <c r="VSP132" s="21"/>
      <c r="VSQ132" s="7"/>
      <c r="VSR132" s="7"/>
      <c r="VSS132" s="21"/>
      <c r="VST132" s="20"/>
      <c r="VSU132" s="20"/>
      <c r="VSV132" s="20"/>
      <c r="VSW132" s="21"/>
      <c r="VSX132" s="21"/>
      <c r="VSY132" s="21"/>
      <c r="VSZ132" s="21"/>
      <c r="VTA132" s="21"/>
      <c r="VTB132" s="20"/>
      <c r="VTC132" s="20"/>
      <c r="VTD132" s="20"/>
      <c r="VTE132" s="20"/>
      <c r="VTF132" s="21"/>
      <c r="VTG132" s="21"/>
      <c r="VTH132" s="7"/>
      <c r="VTI132" s="7"/>
      <c r="VTJ132" s="21"/>
      <c r="VTK132" s="20"/>
      <c r="VTL132" s="20"/>
      <c r="VTM132" s="20"/>
      <c r="VTN132" s="21"/>
      <c r="VTO132" s="21"/>
      <c r="VTP132" s="21"/>
      <c r="VTQ132" s="21"/>
      <c r="VTR132" s="21"/>
      <c r="VTS132" s="20"/>
      <c r="VTT132" s="20"/>
      <c r="VTU132" s="20"/>
      <c r="VTV132" s="20"/>
      <c r="VTW132" s="21"/>
      <c r="VTX132" s="21"/>
      <c r="VTY132" s="7"/>
      <c r="VTZ132" s="7"/>
      <c r="VUA132" s="21"/>
      <c r="VUB132" s="20"/>
      <c r="VUC132" s="20"/>
      <c r="VUD132" s="20"/>
      <c r="VUE132" s="21"/>
      <c r="VUF132" s="21"/>
      <c r="VUG132" s="21"/>
      <c r="VUH132" s="21"/>
      <c r="VUI132" s="21"/>
      <c r="VUJ132" s="20"/>
      <c r="VUK132" s="20"/>
      <c r="VUL132" s="20"/>
      <c r="VUM132" s="20"/>
      <c r="VUN132" s="21"/>
      <c r="VUO132" s="21"/>
      <c r="VUP132" s="7"/>
      <c r="VUQ132" s="7"/>
      <c r="VUR132" s="21"/>
      <c r="VUS132" s="20"/>
      <c r="VUT132" s="20"/>
      <c r="VUU132" s="20"/>
      <c r="VUV132" s="21"/>
      <c r="VUW132" s="21"/>
      <c r="VUX132" s="21"/>
      <c r="VUY132" s="21"/>
      <c r="VUZ132" s="21"/>
      <c r="VVA132" s="20"/>
      <c r="VVB132" s="20"/>
      <c r="VVC132" s="20"/>
      <c r="VVD132" s="20"/>
      <c r="VVE132" s="21"/>
      <c r="VVF132" s="21"/>
      <c r="VVG132" s="7"/>
      <c r="VVH132" s="7"/>
      <c r="VVI132" s="21"/>
      <c r="VVJ132" s="20"/>
      <c r="VVK132" s="20"/>
      <c r="VVL132" s="20"/>
      <c r="VVM132" s="21"/>
      <c r="VVN132" s="21"/>
      <c r="VVO132" s="21"/>
      <c r="VVP132" s="21"/>
      <c r="VVQ132" s="21"/>
      <c r="VVR132" s="20"/>
      <c r="VVS132" s="20"/>
      <c r="VVT132" s="20"/>
      <c r="VVU132" s="20"/>
      <c r="VVV132" s="21"/>
      <c r="VVW132" s="21"/>
      <c r="VVX132" s="7"/>
      <c r="VVY132" s="7"/>
      <c r="VVZ132" s="21"/>
      <c r="VWA132" s="20"/>
      <c r="VWB132" s="20"/>
      <c r="VWC132" s="20"/>
      <c r="VWD132" s="21"/>
      <c r="VWE132" s="21"/>
      <c r="VWF132" s="21"/>
      <c r="VWG132" s="21"/>
      <c r="VWH132" s="21"/>
      <c r="VWI132" s="20"/>
      <c r="VWJ132" s="20"/>
      <c r="VWK132" s="20"/>
      <c r="VWL132" s="20"/>
      <c r="VWM132" s="21"/>
      <c r="VWN132" s="21"/>
      <c r="VWO132" s="7"/>
      <c r="VWP132" s="7"/>
      <c r="VWQ132" s="21"/>
      <c r="VWR132" s="20"/>
      <c r="VWS132" s="20"/>
      <c r="VWT132" s="20"/>
      <c r="VWU132" s="21"/>
      <c r="VWV132" s="21"/>
      <c r="VWW132" s="21"/>
      <c r="VWX132" s="21"/>
      <c r="VWY132" s="21"/>
      <c r="VWZ132" s="20"/>
      <c r="VXA132" s="20"/>
      <c r="VXB132" s="20"/>
      <c r="VXC132" s="20"/>
      <c r="VXD132" s="21"/>
      <c r="VXE132" s="21"/>
      <c r="VXF132" s="7"/>
      <c r="VXG132" s="7"/>
      <c r="VXH132" s="21"/>
      <c r="VXI132" s="20"/>
      <c r="VXJ132" s="20"/>
      <c r="VXK132" s="20"/>
      <c r="VXL132" s="21"/>
      <c r="VXM132" s="21"/>
      <c r="VXN132" s="21"/>
      <c r="VXO132" s="21"/>
      <c r="VXP132" s="21"/>
      <c r="VXQ132" s="20"/>
      <c r="VXR132" s="20"/>
      <c r="VXS132" s="20"/>
      <c r="VXT132" s="20"/>
      <c r="VXU132" s="21"/>
      <c r="VXV132" s="21"/>
      <c r="VXW132" s="7"/>
      <c r="VXX132" s="7"/>
      <c r="VXY132" s="21"/>
      <c r="VXZ132" s="20"/>
      <c r="VYA132" s="20"/>
      <c r="VYB132" s="20"/>
      <c r="VYC132" s="21"/>
      <c r="VYD132" s="21"/>
      <c r="VYE132" s="21"/>
      <c r="VYF132" s="21"/>
      <c r="VYG132" s="21"/>
      <c r="VYH132" s="20"/>
      <c r="VYI132" s="20"/>
      <c r="VYJ132" s="20"/>
      <c r="VYK132" s="20"/>
      <c r="VYL132" s="21"/>
      <c r="VYM132" s="21"/>
      <c r="VYN132" s="7"/>
      <c r="VYO132" s="7"/>
      <c r="VYP132" s="21"/>
      <c r="VYQ132" s="20"/>
      <c r="VYR132" s="20"/>
      <c r="VYS132" s="20"/>
      <c r="VYT132" s="21"/>
      <c r="VYU132" s="21"/>
      <c r="VYV132" s="21"/>
      <c r="VYW132" s="21"/>
      <c r="VYX132" s="21"/>
      <c r="VYY132" s="20"/>
      <c r="VYZ132" s="20"/>
      <c r="VZA132" s="20"/>
      <c r="VZB132" s="20"/>
      <c r="VZC132" s="21"/>
      <c r="VZD132" s="21"/>
      <c r="VZE132" s="7"/>
      <c r="VZF132" s="7"/>
      <c r="VZG132" s="21"/>
      <c r="VZH132" s="20"/>
      <c r="VZI132" s="20"/>
      <c r="VZJ132" s="20"/>
      <c r="VZK132" s="21"/>
      <c r="VZL132" s="21"/>
      <c r="VZM132" s="21"/>
      <c r="VZN132" s="21"/>
      <c r="VZO132" s="21"/>
      <c r="VZP132" s="20"/>
      <c r="VZQ132" s="20"/>
      <c r="VZR132" s="20"/>
      <c r="VZS132" s="20"/>
      <c r="VZT132" s="21"/>
      <c r="VZU132" s="21"/>
      <c r="VZV132" s="7"/>
      <c r="VZW132" s="7"/>
      <c r="VZX132" s="21"/>
      <c r="VZY132" s="20"/>
      <c r="VZZ132" s="20"/>
      <c r="WAA132" s="20"/>
      <c r="WAB132" s="21"/>
      <c r="WAC132" s="21"/>
      <c r="WAD132" s="21"/>
      <c r="WAE132" s="21"/>
      <c r="WAF132" s="21"/>
      <c r="WAG132" s="20"/>
      <c r="WAH132" s="20"/>
      <c r="WAI132" s="20"/>
      <c r="WAJ132" s="20"/>
      <c r="WAK132" s="21"/>
      <c r="WAL132" s="21"/>
      <c r="WAM132" s="7"/>
      <c r="WAN132" s="7"/>
      <c r="WAO132" s="21"/>
      <c r="WAP132" s="20"/>
      <c r="WAQ132" s="20"/>
      <c r="WAR132" s="20"/>
      <c r="WAS132" s="21"/>
      <c r="WAT132" s="21"/>
      <c r="WAU132" s="21"/>
      <c r="WAV132" s="21"/>
      <c r="WAW132" s="21"/>
      <c r="WAX132" s="20"/>
      <c r="WAY132" s="20"/>
      <c r="WAZ132" s="20"/>
      <c r="WBA132" s="20"/>
      <c r="WBB132" s="21"/>
      <c r="WBC132" s="21"/>
      <c r="WBD132" s="7"/>
      <c r="WBE132" s="7"/>
      <c r="WBF132" s="21"/>
      <c r="WBG132" s="20"/>
      <c r="WBH132" s="20"/>
      <c r="WBI132" s="20"/>
      <c r="WBJ132" s="21"/>
      <c r="WBK132" s="21"/>
      <c r="WBL132" s="21"/>
      <c r="WBM132" s="21"/>
      <c r="WBN132" s="21"/>
      <c r="WBO132" s="20"/>
      <c r="WBP132" s="20"/>
      <c r="WBQ132" s="20"/>
      <c r="WBR132" s="20"/>
      <c r="WBS132" s="21"/>
      <c r="WBT132" s="21"/>
      <c r="WBU132" s="7"/>
      <c r="WBV132" s="7"/>
      <c r="WBW132" s="21"/>
      <c r="WBX132" s="20"/>
      <c r="WBY132" s="20"/>
      <c r="WBZ132" s="20"/>
      <c r="WCA132" s="21"/>
      <c r="WCB132" s="21"/>
      <c r="WCC132" s="21"/>
      <c r="WCD132" s="21"/>
      <c r="WCE132" s="21"/>
      <c r="WCF132" s="20"/>
      <c r="WCG132" s="20"/>
      <c r="WCH132" s="20"/>
      <c r="WCI132" s="20"/>
      <c r="WCJ132" s="21"/>
      <c r="WCK132" s="21"/>
      <c r="WCL132" s="7"/>
      <c r="WCM132" s="7"/>
      <c r="WCN132" s="21"/>
      <c r="WCO132" s="20"/>
      <c r="WCP132" s="20"/>
      <c r="WCQ132" s="20"/>
      <c r="WCR132" s="21"/>
      <c r="WCS132" s="21"/>
      <c r="WCT132" s="21"/>
      <c r="WCU132" s="21"/>
      <c r="WCV132" s="21"/>
      <c r="WCW132" s="20"/>
      <c r="WCX132" s="20"/>
      <c r="WCY132" s="20"/>
      <c r="WCZ132" s="20"/>
      <c r="WDA132" s="21"/>
      <c r="WDB132" s="21"/>
      <c r="WDC132" s="7"/>
      <c r="WDD132" s="7"/>
      <c r="WDE132" s="21"/>
      <c r="WDF132" s="20"/>
      <c r="WDG132" s="20"/>
      <c r="WDH132" s="20"/>
      <c r="WDI132" s="21"/>
      <c r="WDJ132" s="21"/>
      <c r="WDK132" s="21"/>
      <c r="WDL132" s="21"/>
      <c r="WDM132" s="21"/>
      <c r="WDN132" s="20"/>
      <c r="WDO132" s="20"/>
      <c r="WDP132" s="20"/>
      <c r="WDQ132" s="20"/>
      <c r="WDR132" s="21"/>
      <c r="WDS132" s="21"/>
      <c r="WDT132" s="7"/>
      <c r="WDU132" s="7"/>
      <c r="WDV132" s="21"/>
      <c r="WDW132" s="20"/>
      <c r="WDX132" s="20"/>
      <c r="WDY132" s="20"/>
      <c r="WDZ132" s="21"/>
      <c r="WEA132" s="21"/>
      <c r="WEB132" s="21"/>
      <c r="WEC132" s="21"/>
      <c r="WED132" s="21"/>
      <c r="WEE132" s="20"/>
      <c r="WEF132" s="20"/>
      <c r="WEG132" s="20"/>
      <c r="WEH132" s="20"/>
      <c r="WEI132" s="21"/>
      <c r="WEJ132" s="21"/>
      <c r="WEK132" s="7"/>
      <c r="WEL132" s="7"/>
      <c r="WEM132" s="21"/>
      <c r="WEN132" s="20"/>
      <c r="WEO132" s="20"/>
      <c r="WEP132" s="20"/>
      <c r="WEQ132" s="21"/>
      <c r="WER132" s="21"/>
      <c r="WES132" s="21"/>
      <c r="WET132" s="21"/>
      <c r="WEU132" s="21"/>
      <c r="WEV132" s="20"/>
      <c r="WEW132" s="20"/>
      <c r="WEX132" s="20"/>
      <c r="WEY132" s="20"/>
      <c r="WEZ132" s="21"/>
      <c r="WFA132" s="21"/>
      <c r="WFB132" s="7"/>
      <c r="WFC132" s="7"/>
      <c r="WFD132" s="21"/>
      <c r="WFE132" s="20"/>
      <c r="WFF132" s="20"/>
      <c r="WFG132" s="20"/>
      <c r="WFH132" s="21"/>
      <c r="WFI132" s="21"/>
      <c r="WFJ132" s="21"/>
      <c r="WFK132" s="21"/>
      <c r="WFL132" s="21"/>
      <c r="WFM132" s="20"/>
      <c r="WFN132" s="20"/>
      <c r="WFO132" s="20"/>
      <c r="WFP132" s="20"/>
      <c r="WFQ132" s="21"/>
      <c r="WFR132" s="21"/>
      <c r="WFS132" s="7"/>
      <c r="WFT132" s="7"/>
      <c r="WFU132" s="21"/>
      <c r="WFV132" s="20"/>
      <c r="WFW132" s="20"/>
      <c r="WFX132" s="20"/>
      <c r="WFY132" s="21"/>
      <c r="WFZ132" s="21"/>
      <c r="WGA132" s="21"/>
      <c r="WGB132" s="21"/>
      <c r="WGC132" s="21"/>
      <c r="WGD132" s="20"/>
      <c r="WGE132" s="20"/>
      <c r="WGF132" s="20"/>
      <c r="WGG132" s="20"/>
      <c r="WGH132" s="21"/>
      <c r="WGI132" s="21"/>
      <c r="WGJ132" s="7"/>
      <c r="WGK132" s="7"/>
      <c r="WGL132" s="21"/>
      <c r="WGM132" s="20"/>
      <c r="WGN132" s="20"/>
      <c r="WGO132" s="20"/>
      <c r="WGP132" s="21"/>
      <c r="WGQ132" s="21"/>
      <c r="WGR132" s="21"/>
      <c r="WGS132" s="21"/>
      <c r="WGT132" s="21"/>
      <c r="WGU132" s="20"/>
      <c r="WGV132" s="20"/>
      <c r="WGW132" s="20"/>
      <c r="WGX132" s="20"/>
      <c r="WGY132" s="21"/>
      <c r="WGZ132" s="21"/>
      <c r="WHA132" s="7"/>
      <c r="WHB132" s="7"/>
      <c r="WHC132" s="21"/>
      <c r="WHD132" s="20"/>
      <c r="WHE132" s="20"/>
      <c r="WHF132" s="20"/>
      <c r="WHG132" s="21"/>
      <c r="WHH132" s="21"/>
      <c r="WHI132" s="21"/>
      <c r="WHJ132" s="21"/>
      <c r="WHK132" s="21"/>
      <c r="WHL132" s="20"/>
      <c r="WHM132" s="20"/>
      <c r="WHN132" s="20"/>
      <c r="WHO132" s="20"/>
      <c r="WHP132" s="21"/>
      <c r="WHQ132" s="21"/>
      <c r="WHR132" s="7"/>
      <c r="WHS132" s="7"/>
      <c r="WHT132" s="21"/>
      <c r="WHU132" s="20"/>
      <c r="WHV132" s="20"/>
      <c r="WHW132" s="20"/>
      <c r="WHX132" s="21"/>
      <c r="WHY132" s="21"/>
      <c r="WHZ132" s="21"/>
      <c r="WIA132" s="21"/>
      <c r="WIB132" s="21"/>
      <c r="WIC132" s="20"/>
      <c r="WID132" s="20"/>
      <c r="WIE132" s="20"/>
      <c r="WIF132" s="20"/>
      <c r="WIG132" s="21"/>
      <c r="WIH132" s="21"/>
      <c r="WII132" s="7"/>
      <c r="WIJ132" s="7"/>
      <c r="WIK132" s="21"/>
      <c r="WIL132" s="20"/>
      <c r="WIM132" s="20"/>
      <c r="WIN132" s="20"/>
      <c r="WIO132" s="21"/>
      <c r="WIP132" s="21"/>
      <c r="WIQ132" s="21"/>
      <c r="WIR132" s="21"/>
      <c r="WIS132" s="21"/>
      <c r="WIT132" s="20"/>
      <c r="WIU132" s="20"/>
      <c r="WIV132" s="20"/>
      <c r="WIW132" s="20"/>
      <c r="WIX132" s="21"/>
      <c r="WIY132" s="21"/>
      <c r="WIZ132" s="7"/>
      <c r="WJA132" s="7"/>
      <c r="WJB132" s="21"/>
      <c r="WJC132" s="20"/>
      <c r="WJD132" s="20"/>
      <c r="WJE132" s="20"/>
      <c r="WJF132" s="21"/>
      <c r="WJG132" s="21"/>
      <c r="WJH132" s="21"/>
      <c r="WJI132" s="21"/>
      <c r="WJJ132" s="21"/>
      <c r="WJK132" s="20"/>
      <c r="WJL132" s="20"/>
      <c r="WJM132" s="20"/>
      <c r="WJN132" s="20"/>
      <c r="WJO132" s="21"/>
      <c r="WJP132" s="21"/>
      <c r="WJQ132" s="7"/>
      <c r="WJR132" s="7"/>
      <c r="WJS132" s="21"/>
      <c r="WJT132" s="20"/>
      <c r="WJU132" s="20"/>
      <c r="WJV132" s="20"/>
      <c r="WJW132" s="21"/>
      <c r="WJX132" s="21"/>
      <c r="WJY132" s="21"/>
      <c r="WJZ132" s="21"/>
      <c r="WKA132" s="21"/>
      <c r="WKB132" s="20"/>
      <c r="WKC132" s="20"/>
      <c r="WKD132" s="20"/>
      <c r="WKE132" s="20"/>
      <c r="WKF132" s="21"/>
      <c r="WKG132" s="21"/>
      <c r="WKH132" s="7"/>
      <c r="WKI132" s="7"/>
      <c r="WKJ132" s="21"/>
      <c r="WKK132" s="20"/>
      <c r="WKL132" s="20"/>
      <c r="WKM132" s="20"/>
      <c r="WKN132" s="21"/>
      <c r="WKO132" s="21"/>
      <c r="WKP132" s="21"/>
      <c r="WKQ132" s="21"/>
      <c r="WKR132" s="21"/>
      <c r="WKS132" s="20"/>
      <c r="WKT132" s="20"/>
      <c r="WKU132" s="20"/>
      <c r="WKV132" s="20"/>
      <c r="WKW132" s="21"/>
      <c r="WKX132" s="21"/>
      <c r="WKY132" s="7"/>
      <c r="WKZ132" s="7"/>
      <c r="WLA132" s="21"/>
      <c r="WLB132" s="20"/>
      <c r="WLC132" s="20"/>
      <c r="WLD132" s="20"/>
      <c r="WLE132" s="21"/>
      <c r="WLF132" s="21"/>
      <c r="WLG132" s="21"/>
      <c r="WLH132" s="21"/>
      <c r="WLI132" s="21"/>
      <c r="WLJ132" s="20"/>
      <c r="WLK132" s="20"/>
      <c r="WLL132" s="20"/>
      <c r="WLM132" s="20"/>
      <c r="WLN132" s="21"/>
      <c r="WLO132" s="21"/>
      <c r="WLP132" s="7"/>
      <c r="WLQ132" s="7"/>
      <c r="WLR132" s="21"/>
      <c r="WLS132" s="20"/>
      <c r="WLT132" s="20"/>
      <c r="WLU132" s="20"/>
      <c r="WLV132" s="21"/>
      <c r="WLW132" s="21"/>
      <c r="WLX132" s="21"/>
      <c r="WLY132" s="21"/>
      <c r="WLZ132" s="21"/>
      <c r="WMA132" s="20"/>
      <c r="WMB132" s="20"/>
      <c r="WMC132" s="20"/>
      <c r="WMD132" s="20"/>
      <c r="WME132" s="21"/>
      <c r="WMF132" s="21"/>
      <c r="WMG132" s="7"/>
      <c r="WMH132" s="7"/>
      <c r="WMI132" s="21"/>
      <c r="WMJ132" s="20"/>
      <c r="WMK132" s="20"/>
      <c r="WML132" s="20"/>
      <c r="WMM132" s="21"/>
      <c r="WMN132" s="21"/>
      <c r="WMO132" s="21"/>
      <c r="WMP132" s="21"/>
      <c r="WMQ132" s="21"/>
      <c r="WMR132" s="20"/>
      <c r="WMS132" s="20"/>
      <c r="WMT132" s="20"/>
      <c r="WMU132" s="20"/>
      <c r="WMV132" s="21"/>
      <c r="WMW132" s="21"/>
      <c r="WMX132" s="7"/>
      <c r="WMY132" s="7"/>
      <c r="WMZ132" s="21"/>
      <c r="WNA132" s="20"/>
      <c r="WNB132" s="20"/>
      <c r="WNC132" s="20"/>
      <c r="WND132" s="21"/>
      <c r="WNE132" s="21"/>
      <c r="WNF132" s="21"/>
      <c r="WNG132" s="21"/>
      <c r="WNH132" s="21"/>
      <c r="WNI132" s="20"/>
      <c r="WNJ132" s="20"/>
      <c r="WNK132" s="20"/>
      <c r="WNL132" s="20"/>
      <c r="WNM132" s="21"/>
      <c r="WNN132" s="21"/>
      <c r="WNO132" s="7"/>
      <c r="WNP132" s="7"/>
      <c r="WNQ132" s="21"/>
      <c r="WNR132" s="20"/>
      <c r="WNS132" s="20"/>
      <c r="WNT132" s="20"/>
      <c r="WNU132" s="21"/>
      <c r="WNV132" s="21"/>
      <c r="WNW132" s="21"/>
      <c r="WNX132" s="21"/>
      <c r="WNY132" s="21"/>
      <c r="WNZ132" s="20"/>
      <c r="WOA132" s="20"/>
      <c r="WOB132" s="20"/>
      <c r="WOC132" s="20"/>
      <c r="WOD132" s="21"/>
      <c r="WOE132" s="21"/>
      <c r="WOF132" s="7"/>
      <c r="WOG132" s="7"/>
      <c r="WOH132" s="21"/>
      <c r="WOI132" s="20"/>
      <c r="WOJ132" s="20"/>
      <c r="WOK132" s="20"/>
      <c r="WOL132" s="21"/>
      <c r="WOM132" s="21"/>
      <c r="WON132" s="21"/>
      <c r="WOO132" s="21"/>
      <c r="WOP132" s="21"/>
      <c r="WOQ132" s="20"/>
      <c r="WOR132" s="20"/>
      <c r="WOS132" s="20"/>
      <c r="WOT132" s="20"/>
      <c r="WOU132" s="21"/>
      <c r="WOV132" s="21"/>
      <c r="WOW132" s="7"/>
      <c r="WOX132" s="7"/>
      <c r="WOY132" s="21"/>
      <c r="WOZ132" s="20"/>
      <c r="WPA132" s="20"/>
      <c r="WPB132" s="20"/>
      <c r="WPC132" s="21"/>
      <c r="WPD132" s="21"/>
      <c r="WPE132" s="21"/>
      <c r="WPF132" s="21"/>
      <c r="WPG132" s="21"/>
      <c r="WPH132" s="20"/>
      <c r="WPI132" s="20"/>
      <c r="WPJ132" s="20"/>
      <c r="WPK132" s="20"/>
      <c r="WPL132" s="21"/>
      <c r="WPM132" s="21"/>
      <c r="WPN132" s="7"/>
      <c r="WPO132" s="7"/>
      <c r="WPP132" s="21"/>
      <c r="WPQ132" s="20"/>
      <c r="WPR132" s="20"/>
      <c r="WPS132" s="20"/>
      <c r="WPT132" s="21"/>
      <c r="WPU132" s="21"/>
      <c r="WPV132" s="21"/>
      <c r="WPW132" s="21"/>
      <c r="WPX132" s="21"/>
      <c r="WPY132" s="20"/>
      <c r="WPZ132" s="20"/>
      <c r="WQA132" s="20"/>
      <c r="WQB132" s="20"/>
      <c r="WQC132" s="21"/>
      <c r="WQD132" s="21"/>
      <c r="WQE132" s="7"/>
      <c r="WQF132" s="7"/>
      <c r="WQG132" s="21"/>
      <c r="WQH132" s="20"/>
      <c r="WQI132" s="20"/>
      <c r="WQJ132" s="20"/>
      <c r="WQK132" s="21"/>
      <c r="WQL132" s="21"/>
      <c r="WQM132" s="21"/>
      <c r="WQN132" s="21"/>
      <c r="WQO132" s="21"/>
      <c r="WQP132" s="20"/>
      <c r="WQQ132" s="20"/>
      <c r="WQR132" s="20"/>
      <c r="WQS132" s="20"/>
      <c r="WQT132" s="21"/>
      <c r="WQU132" s="21"/>
      <c r="WQV132" s="7"/>
      <c r="WQW132" s="7"/>
      <c r="WQX132" s="21"/>
      <c r="WQY132" s="20"/>
      <c r="WQZ132" s="20"/>
      <c r="WRA132" s="20"/>
      <c r="WRB132" s="21"/>
      <c r="WRC132" s="21"/>
      <c r="WRD132" s="21"/>
      <c r="WRE132" s="21"/>
      <c r="WRF132" s="21"/>
      <c r="WRG132" s="20"/>
      <c r="WRH132" s="20"/>
      <c r="WRI132" s="20"/>
      <c r="WRJ132" s="20"/>
      <c r="WRK132" s="21"/>
      <c r="WRL132" s="21"/>
      <c r="WRM132" s="7"/>
      <c r="WRN132" s="7"/>
      <c r="WRO132" s="21"/>
      <c r="WRP132" s="20"/>
      <c r="WRQ132" s="20"/>
      <c r="WRR132" s="20"/>
      <c r="WRS132" s="21"/>
      <c r="WRT132" s="21"/>
      <c r="WRU132" s="21"/>
      <c r="WRV132" s="21"/>
      <c r="WRW132" s="21"/>
      <c r="WRX132" s="20"/>
      <c r="WRY132" s="20"/>
      <c r="WRZ132" s="20"/>
      <c r="WSA132" s="20"/>
      <c r="WSB132" s="21"/>
      <c r="WSC132" s="21"/>
      <c r="WSD132" s="7"/>
      <c r="WSE132" s="7"/>
      <c r="WSF132" s="21"/>
      <c r="WSG132" s="20"/>
      <c r="WSH132" s="20"/>
      <c r="WSI132" s="20"/>
      <c r="WSJ132" s="21"/>
      <c r="WSK132" s="21"/>
      <c r="WSL132" s="21"/>
      <c r="WSM132" s="21"/>
      <c r="WSN132" s="21"/>
      <c r="WSO132" s="20"/>
      <c r="WSP132" s="20"/>
      <c r="WSQ132" s="20"/>
      <c r="WSR132" s="20"/>
      <c r="WSS132" s="21"/>
      <c r="WST132" s="21"/>
      <c r="WSU132" s="7"/>
      <c r="WSV132" s="7"/>
      <c r="WSW132" s="21"/>
      <c r="WSX132" s="20"/>
      <c r="WSY132" s="20"/>
      <c r="WSZ132" s="20"/>
      <c r="WTA132" s="21"/>
      <c r="WTB132" s="21"/>
      <c r="WTC132" s="21"/>
      <c r="WTD132" s="21"/>
      <c r="WTE132" s="21"/>
      <c r="WTF132" s="20"/>
      <c r="WTG132" s="20"/>
      <c r="WTH132" s="20"/>
      <c r="WTI132" s="20"/>
      <c r="WTJ132" s="21"/>
      <c r="WTK132" s="21"/>
      <c r="WTL132" s="7"/>
      <c r="WTM132" s="7"/>
      <c r="WTN132" s="21"/>
      <c r="WTO132" s="20"/>
      <c r="WTP132" s="20"/>
      <c r="WTQ132" s="20"/>
      <c r="WTR132" s="21"/>
      <c r="WTS132" s="21"/>
      <c r="WTT132" s="21"/>
      <c r="WTU132" s="21"/>
      <c r="WTV132" s="21"/>
      <c r="WTW132" s="20"/>
      <c r="WTX132" s="20"/>
      <c r="WTY132" s="20"/>
      <c r="WTZ132" s="20"/>
      <c r="WUA132" s="21"/>
      <c r="WUB132" s="21"/>
      <c r="WUC132" s="7"/>
      <c r="WUD132" s="7"/>
      <c r="WUE132" s="21"/>
      <c r="WUF132" s="20"/>
      <c r="WUG132" s="20"/>
      <c r="WUH132" s="20"/>
      <c r="WUI132" s="21"/>
      <c r="WUJ132" s="21"/>
      <c r="WUK132" s="21"/>
      <c r="WUL132" s="21"/>
      <c r="WUM132" s="21"/>
      <c r="WUN132" s="20"/>
      <c r="WUO132" s="20"/>
      <c r="WUP132" s="20"/>
      <c r="WUQ132" s="20"/>
      <c r="WUR132" s="21"/>
      <c r="WUS132" s="21"/>
      <c r="WUT132" s="7"/>
      <c r="WUU132" s="7"/>
      <c r="WUV132" s="21"/>
      <c r="WUW132" s="20"/>
      <c r="WUX132" s="20"/>
      <c r="WUY132" s="20"/>
      <c r="WUZ132" s="21"/>
      <c r="WVA132" s="21"/>
      <c r="WVB132" s="21"/>
      <c r="WVC132" s="21"/>
      <c r="WVD132" s="21"/>
      <c r="WVE132" s="20"/>
      <c r="WVF132" s="20"/>
      <c r="WVG132" s="20"/>
      <c r="WVH132" s="20"/>
      <c r="WVI132" s="21"/>
      <c r="WVJ132" s="21"/>
      <c r="WVK132" s="7"/>
      <c r="WVL132" s="7"/>
      <c r="WVM132" s="21"/>
      <c r="WVN132" s="20"/>
      <c r="WVO132" s="20"/>
      <c r="WVP132" s="20"/>
      <c r="WVQ132" s="21"/>
      <c r="WVR132" s="21"/>
      <c r="WVS132" s="21"/>
      <c r="WVT132" s="21"/>
      <c r="WVU132" s="21"/>
      <c r="WVV132" s="20"/>
      <c r="WVW132" s="20"/>
      <c r="WVX132" s="20"/>
      <c r="WVY132" s="20"/>
      <c r="WVZ132" s="21"/>
      <c r="WWA132" s="21"/>
      <c r="WWB132" s="7"/>
      <c r="WWC132" s="7"/>
      <c r="WWD132" s="21"/>
      <c r="WWE132" s="20"/>
      <c r="WWF132" s="20"/>
      <c r="WWG132" s="20"/>
      <c r="WWH132" s="21"/>
      <c r="WWI132" s="21"/>
      <c r="WWJ132" s="21"/>
      <c r="WWK132" s="21"/>
      <c r="WWL132" s="21"/>
      <c r="WWM132" s="20"/>
      <c r="WWN132" s="20"/>
      <c r="WWO132" s="20"/>
      <c r="WWP132" s="20"/>
      <c r="WWQ132" s="21"/>
      <c r="WWR132" s="21"/>
      <c r="WWS132" s="7"/>
      <c r="WWT132" s="7"/>
      <c r="WWU132" s="21"/>
      <c r="WWV132" s="20"/>
      <c r="WWW132" s="20"/>
      <c r="WWX132" s="20"/>
      <c r="WWY132" s="21"/>
      <c r="WWZ132" s="21"/>
      <c r="WXA132" s="21"/>
      <c r="WXB132" s="21"/>
      <c r="WXC132" s="21"/>
      <c r="WXD132" s="20"/>
      <c r="WXE132" s="20"/>
      <c r="WXF132" s="20"/>
      <c r="WXG132" s="20"/>
      <c r="WXH132" s="21"/>
      <c r="WXI132" s="21"/>
      <c r="WXJ132" s="7"/>
      <c r="WXK132" s="7"/>
      <c r="WXL132" s="21"/>
      <c r="WXM132" s="20"/>
      <c r="WXN132" s="20"/>
      <c r="WXO132" s="20"/>
      <c r="WXP132" s="21"/>
      <c r="WXQ132" s="21"/>
      <c r="WXR132" s="21"/>
      <c r="WXS132" s="21"/>
      <c r="WXT132" s="21"/>
      <c r="WXU132" s="20"/>
      <c r="WXV132" s="20"/>
      <c r="WXW132" s="20"/>
      <c r="WXX132" s="20"/>
      <c r="WXY132" s="21"/>
      <c r="WXZ132" s="21"/>
      <c r="WYA132" s="7"/>
      <c r="WYB132" s="7"/>
      <c r="WYC132" s="21"/>
      <c r="WYD132" s="20"/>
      <c r="WYE132" s="20"/>
      <c r="WYF132" s="20"/>
      <c r="WYG132" s="21"/>
      <c r="WYH132" s="21"/>
      <c r="WYI132" s="21"/>
      <c r="WYJ132" s="21"/>
      <c r="WYK132" s="21"/>
      <c r="WYL132" s="20"/>
      <c r="WYM132" s="20"/>
      <c r="WYN132" s="20"/>
      <c r="WYO132" s="20"/>
      <c r="WYP132" s="21"/>
      <c r="WYQ132" s="21"/>
      <c r="WYR132" s="7"/>
      <c r="WYS132" s="7"/>
      <c r="WYT132" s="21"/>
      <c r="WYU132" s="20"/>
      <c r="WYV132" s="20"/>
      <c r="WYW132" s="20"/>
      <c r="WYX132" s="21"/>
      <c r="WYY132" s="21"/>
      <c r="WYZ132" s="21"/>
      <c r="WZA132" s="21"/>
      <c r="WZB132" s="21"/>
      <c r="WZC132" s="20"/>
      <c r="WZD132" s="20"/>
      <c r="WZE132" s="20"/>
      <c r="WZF132" s="20"/>
      <c r="WZG132" s="21"/>
      <c r="WZH132" s="21"/>
      <c r="WZI132" s="7"/>
      <c r="WZJ132" s="7"/>
      <c r="WZK132" s="21"/>
      <c r="WZL132" s="20"/>
      <c r="WZM132" s="20"/>
      <c r="WZN132" s="20"/>
      <c r="WZO132" s="21"/>
      <c r="WZP132" s="21"/>
      <c r="WZQ132" s="21"/>
      <c r="WZR132" s="21"/>
      <c r="WZS132" s="21"/>
      <c r="WZT132" s="20"/>
      <c r="WZU132" s="20"/>
      <c r="WZV132" s="20"/>
      <c r="WZW132" s="20"/>
      <c r="WZX132" s="21"/>
      <c r="WZY132" s="21"/>
      <c r="WZZ132" s="7"/>
      <c r="XAA132" s="7"/>
      <c r="XAB132" s="21"/>
      <c r="XAC132" s="20"/>
      <c r="XAD132" s="20"/>
      <c r="XAE132" s="20"/>
      <c r="XAF132" s="21"/>
      <c r="XAG132" s="21"/>
      <c r="XAH132" s="21"/>
      <c r="XAI132" s="21"/>
      <c r="XAJ132" s="21"/>
      <c r="XAK132" s="20"/>
      <c r="XAL132" s="20"/>
      <c r="XAM132" s="20"/>
      <c r="XAN132" s="20"/>
      <c r="XAO132" s="21"/>
      <c r="XAP132" s="21"/>
      <c r="XAQ132" s="7"/>
      <c r="XAR132" s="7"/>
      <c r="XAS132" s="21"/>
      <c r="XAT132" s="20"/>
      <c r="XAU132" s="20"/>
      <c r="XAV132" s="20"/>
      <c r="XAW132" s="21"/>
      <c r="XAX132" s="21"/>
      <c r="XAY132" s="21"/>
      <c r="XAZ132" s="21"/>
      <c r="XBA132" s="21"/>
      <c r="XBB132" s="20"/>
      <c r="XBC132" s="20"/>
      <c r="XBD132" s="20"/>
      <c r="XBE132" s="20"/>
      <c r="XBF132" s="21"/>
      <c r="XBG132" s="21"/>
      <c r="XBH132" s="7"/>
      <c r="XBI132" s="7"/>
      <c r="XBJ132" s="21"/>
      <c r="XBK132" s="20"/>
      <c r="XBL132" s="20"/>
      <c r="XBM132" s="20"/>
      <c r="XBN132" s="21"/>
      <c r="XBO132" s="21"/>
      <c r="XBP132" s="21"/>
      <c r="XBQ132" s="21"/>
      <c r="XBR132" s="21"/>
      <c r="XBS132" s="20"/>
      <c r="XBT132" s="20"/>
      <c r="XBU132" s="20"/>
      <c r="XBV132" s="20"/>
      <c r="XBW132" s="21"/>
      <c r="XBX132" s="21"/>
      <c r="XBY132" s="7"/>
      <c r="XBZ132" s="7"/>
      <c r="XCA132" s="21"/>
      <c r="XCB132" s="20"/>
      <c r="XCC132" s="20"/>
      <c r="XCD132" s="20"/>
      <c r="XCE132" s="21"/>
      <c r="XCF132" s="21"/>
      <c r="XCG132" s="21"/>
      <c r="XCH132" s="21"/>
      <c r="XCI132" s="21"/>
      <c r="XCJ132" s="20"/>
      <c r="XCK132" s="20"/>
      <c r="XCL132" s="20"/>
      <c r="XCM132" s="20"/>
      <c r="XCN132" s="21"/>
      <c r="XCO132" s="21"/>
      <c r="XCP132" s="7"/>
      <c r="XCQ132" s="7"/>
      <c r="XCR132" s="21"/>
      <c r="XCS132" s="20"/>
      <c r="XCT132" s="20"/>
      <c r="XCU132" s="20"/>
      <c r="XCV132" s="21"/>
      <c r="XCW132" s="21"/>
      <c r="XCX132" s="21"/>
      <c r="XCY132" s="21"/>
      <c r="XCZ132" s="21"/>
      <c r="XDA132" s="20"/>
      <c r="XDB132" s="20"/>
      <c r="XDC132" s="20"/>
      <c r="XDD132" s="20"/>
      <c r="XDE132" s="21"/>
      <c r="XDF132" s="21"/>
      <c r="XDG132" s="7"/>
      <c r="XDH132" s="7"/>
      <c r="XDI132" s="21"/>
      <c r="XDJ132" s="20"/>
      <c r="XDK132" s="20"/>
      <c r="XDL132" s="20"/>
      <c r="XDM132" s="21"/>
      <c r="XDN132" s="21"/>
      <c r="XDO132" s="21"/>
      <c r="XDP132" s="21"/>
      <c r="XDQ132" s="21"/>
      <c r="XDR132" s="20"/>
      <c r="XDS132" s="20"/>
      <c r="XDT132" s="20"/>
      <c r="XDU132" s="20"/>
      <c r="XDV132" s="21"/>
      <c r="XDW132" s="21"/>
      <c r="XDX132" s="7"/>
      <c r="XDY132" s="7"/>
      <c r="XDZ132" s="21"/>
      <c r="XEA132" s="20"/>
      <c r="XEB132" s="20"/>
      <c r="XEC132" s="20"/>
      <c r="XED132" s="21"/>
      <c r="XEE132" s="21"/>
      <c r="XEF132" s="21"/>
      <c r="XEG132" s="21"/>
      <c r="XEH132" s="21"/>
      <c r="XEI132" s="20"/>
      <c r="XEJ132" s="20"/>
      <c r="XEK132" s="20"/>
      <c r="XEL132" s="20"/>
      <c r="XEM132" s="21"/>
      <c r="XEN132" s="21"/>
      <c r="XEO132" s="7"/>
      <c r="XEP132" s="7"/>
      <c r="XEQ132" s="21"/>
      <c r="XER132" s="20"/>
      <c r="XES132" s="20"/>
      <c r="XET132" s="20"/>
      <c r="XEU132" s="21"/>
      <c r="XEV132" s="21"/>
      <c r="XEW132" s="21"/>
      <c r="XEX132" s="21"/>
      <c r="XEY132" s="21"/>
      <c r="XEZ132" s="20"/>
      <c r="XFA132" s="20"/>
      <c r="XFB132" s="20"/>
      <c r="XFC132" s="20"/>
      <c r="XFD132" s="21"/>
    </row>
    <row r="133" spans="1:16384" s="3" customFormat="1" ht="14.25" customHeight="1" x14ac:dyDescent="0.25">
      <c r="A133" s="20">
        <v>0</v>
      </c>
      <c r="B133" s="20">
        <v>2</v>
      </c>
      <c r="C133" s="20">
        <v>1</v>
      </c>
      <c r="D133" s="21" t="s">
        <v>50</v>
      </c>
      <c r="E133" s="21" t="s">
        <v>44</v>
      </c>
      <c r="F133" s="21" t="s">
        <v>253</v>
      </c>
      <c r="G133" s="21" t="s">
        <v>102</v>
      </c>
      <c r="H133" s="21" t="s">
        <v>165</v>
      </c>
      <c r="I133" s="20" t="s">
        <v>170</v>
      </c>
      <c r="J133" s="20">
        <v>4</v>
      </c>
      <c r="K133" s="20" t="s">
        <v>377</v>
      </c>
      <c r="L133" s="20" t="s">
        <v>318</v>
      </c>
      <c r="M133" s="21" t="s">
        <v>269</v>
      </c>
      <c r="N133" s="21"/>
      <c r="O133" s="7"/>
      <c r="P133" s="7"/>
      <c r="Q133" s="21"/>
      <c r="R133" s="2"/>
      <c r="S133" s="2">
        <f t="shared" si="23"/>
        <v>0</v>
      </c>
      <c r="T133" s="2">
        <f t="shared" si="24"/>
        <v>0</v>
      </c>
      <c r="U133" s="2">
        <f t="shared" si="25"/>
        <v>0</v>
      </c>
      <c r="V133" s="2">
        <f t="shared" si="26"/>
        <v>1</v>
      </c>
      <c r="W133" s="2">
        <f t="shared" si="27"/>
        <v>0</v>
      </c>
      <c r="X133" s="2">
        <f t="shared" si="28"/>
        <v>0</v>
      </c>
      <c r="Y133" s="2">
        <f t="shared" si="29"/>
        <v>0</v>
      </c>
      <c r="Z133" s="2">
        <f t="shared" si="30"/>
        <v>0</v>
      </c>
      <c r="AA133" s="2">
        <f t="shared" si="31"/>
        <v>0</v>
      </c>
      <c r="AB133" s="2">
        <f t="shared" si="32"/>
        <v>0</v>
      </c>
      <c r="AC133" s="2"/>
      <c r="AD133" s="2">
        <f t="shared" si="33"/>
        <v>0</v>
      </c>
      <c r="AE133" s="2">
        <f t="shared" si="34"/>
        <v>0</v>
      </c>
      <c r="AF133" s="2">
        <f t="shared" si="35"/>
        <v>0</v>
      </c>
      <c r="AG133" s="2">
        <f t="shared" si="36"/>
        <v>0</v>
      </c>
      <c r="AH133" s="2">
        <f t="shared" si="37"/>
        <v>0</v>
      </c>
      <c r="AI133" s="2">
        <f t="shared" si="38"/>
        <v>1</v>
      </c>
    </row>
    <row r="134" spans="1:16384" s="3" customFormat="1" ht="14.25" customHeight="1" x14ac:dyDescent="0.25">
      <c r="A134" s="29">
        <v>0</v>
      </c>
      <c r="B134" s="29">
        <v>2</v>
      </c>
      <c r="C134" s="29">
        <v>1</v>
      </c>
      <c r="D134" s="30" t="s">
        <v>932</v>
      </c>
      <c r="E134" s="30" t="s">
        <v>933</v>
      </c>
      <c r="F134" s="30" t="s">
        <v>934</v>
      </c>
      <c r="G134" s="30"/>
      <c r="H134" s="30" t="s">
        <v>165</v>
      </c>
      <c r="I134" s="29" t="s">
        <v>33</v>
      </c>
      <c r="J134" s="29"/>
      <c r="K134" s="29" t="s">
        <v>377</v>
      </c>
      <c r="L134" s="29"/>
      <c r="M134" s="30"/>
      <c r="N134" s="30" t="s">
        <v>886</v>
      </c>
      <c r="O134" s="31">
        <v>1</v>
      </c>
      <c r="P134" s="31">
        <v>1</v>
      </c>
      <c r="Q134" s="30"/>
      <c r="R134" s="2"/>
      <c r="S134" s="2">
        <f t="shared" si="23"/>
        <v>0</v>
      </c>
      <c r="T134" s="2">
        <f t="shared" si="24"/>
        <v>0</v>
      </c>
      <c r="U134" s="2">
        <f t="shared" si="25"/>
        <v>0</v>
      </c>
      <c r="V134" s="2">
        <f t="shared" si="26"/>
        <v>0</v>
      </c>
      <c r="W134" s="2">
        <f t="shared" si="27"/>
        <v>0</v>
      </c>
      <c r="X134" s="2">
        <f t="shared" si="28"/>
        <v>0</v>
      </c>
      <c r="Y134" s="2">
        <f t="shared" si="29"/>
        <v>0</v>
      </c>
      <c r="Z134" s="2">
        <f t="shared" si="30"/>
        <v>0</v>
      </c>
      <c r="AA134" s="2">
        <f t="shared" si="31"/>
        <v>0</v>
      </c>
      <c r="AB134" s="2">
        <f t="shared" si="32"/>
        <v>0</v>
      </c>
      <c r="AC134" s="2"/>
      <c r="AD134" s="2">
        <f t="shared" si="33"/>
        <v>1</v>
      </c>
      <c r="AE134" s="2">
        <f t="shared" si="34"/>
        <v>0</v>
      </c>
      <c r="AF134" s="2">
        <f t="shared" si="35"/>
        <v>1</v>
      </c>
      <c r="AG134" s="2">
        <f t="shared" si="36"/>
        <v>0</v>
      </c>
      <c r="AH134" s="2">
        <f t="shared" si="37"/>
        <v>1</v>
      </c>
      <c r="AI134" s="2">
        <f t="shared" si="38"/>
        <v>0</v>
      </c>
    </row>
    <row r="135" spans="1:16384" s="3" customFormat="1" ht="14.25" customHeight="1" x14ac:dyDescent="0.25">
      <c r="A135" s="29">
        <v>0</v>
      </c>
      <c r="B135" s="29">
        <v>2</v>
      </c>
      <c r="C135" s="29">
        <v>1</v>
      </c>
      <c r="D135" s="30" t="s">
        <v>907</v>
      </c>
      <c r="E135" s="30" t="s">
        <v>35</v>
      </c>
      <c r="F135" s="30" t="s">
        <v>908</v>
      </c>
      <c r="G135" s="30"/>
      <c r="H135" s="30" t="s">
        <v>165</v>
      </c>
      <c r="I135" s="29" t="s">
        <v>909</v>
      </c>
      <c r="J135" s="29">
        <v>99</v>
      </c>
      <c r="K135" s="29" t="s">
        <v>377</v>
      </c>
      <c r="L135" s="29"/>
      <c r="M135" s="30"/>
      <c r="N135" s="30" t="s">
        <v>886</v>
      </c>
      <c r="O135" s="31">
        <v>1</v>
      </c>
      <c r="P135" s="31">
        <v>1</v>
      </c>
      <c r="Q135" s="30"/>
      <c r="R135" s="2"/>
      <c r="S135" s="2">
        <f t="shared" si="23"/>
        <v>0</v>
      </c>
      <c r="T135" s="2">
        <f t="shared" si="24"/>
        <v>0</v>
      </c>
      <c r="U135" s="2">
        <f t="shared" si="25"/>
        <v>0</v>
      </c>
      <c r="V135" s="2">
        <f t="shared" si="26"/>
        <v>0</v>
      </c>
      <c r="W135" s="2">
        <f t="shared" si="27"/>
        <v>0</v>
      </c>
      <c r="X135" s="2">
        <f t="shared" si="28"/>
        <v>0</v>
      </c>
      <c r="Y135" s="2">
        <f t="shared" si="29"/>
        <v>0</v>
      </c>
      <c r="Z135" s="2">
        <f t="shared" si="30"/>
        <v>0</v>
      </c>
      <c r="AA135" s="2">
        <f t="shared" si="31"/>
        <v>0</v>
      </c>
      <c r="AB135" s="2">
        <f t="shared" si="32"/>
        <v>0</v>
      </c>
      <c r="AC135" s="2"/>
      <c r="AD135" s="2">
        <f t="shared" si="33"/>
        <v>1</v>
      </c>
      <c r="AE135" s="2">
        <f t="shared" si="34"/>
        <v>0</v>
      </c>
      <c r="AF135" s="2">
        <f t="shared" si="35"/>
        <v>1</v>
      </c>
      <c r="AG135" s="2">
        <f t="shared" si="36"/>
        <v>0</v>
      </c>
      <c r="AH135" s="2">
        <f t="shared" si="37"/>
        <v>1</v>
      </c>
      <c r="AI135" s="2">
        <f t="shared" si="38"/>
        <v>0</v>
      </c>
    </row>
    <row r="136" spans="1:16384" s="3" customFormat="1" ht="14.25" customHeight="1" x14ac:dyDescent="0.25">
      <c r="A136" s="29">
        <v>0</v>
      </c>
      <c r="B136" s="29">
        <v>2</v>
      </c>
      <c r="C136" s="29">
        <v>1</v>
      </c>
      <c r="D136" s="30" t="s">
        <v>551</v>
      </c>
      <c r="E136" s="30" t="s">
        <v>211</v>
      </c>
      <c r="F136" s="30" t="s">
        <v>552</v>
      </c>
      <c r="G136" s="30" t="s">
        <v>553</v>
      </c>
      <c r="H136" s="30" t="s">
        <v>165</v>
      </c>
      <c r="I136" s="29" t="s">
        <v>33</v>
      </c>
      <c r="J136" s="29">
        <v>99</v>
      </c>
      <c r="K136" s="29" t="s">
        <v>321</v>
      </c>
      <c r="L136" s="29">
        <v>8</v>
      </c>
      <c r="M136" s="30" t="s">
        <v>859</v>
      </c>
      <c r="N136" s="30" t="s">
        <v>886</v>
      </c>
      <c r="O136" s="31">
        <v>1</v>
      </c>
      <c r="P136" s="31">
        <v>1</v>
      </c>
      <c r="Q136" s="30"/>
      <c r="R136" s="2"/>
      <c r="S136" s="2">
        <f t="shared" si="23"/>
        <v>0</v>
      </c>
      <c r="T136" s="2">
        <f t="shared" si="24"/>
        <v>0</v>
      </c>
      <c r="U136" s="2">
        <f t="shared" si="25"/>
        <v>0</v>
      </c>
      <c r="V136" s="2">
        <f t="shared" si="26"/>
        <v>0</v>
      </c>
      <c r="W136" s="2">
        <f t="shared" si="27"/>
        <v>0</v>
      </c>
      <c r="X136" s="2">
        <f t="shared" si="28"/>
        <v>0</v>
      </c>
      <c r="Y136" s="2">
        <f t="shared" si="29"/>
        <v>0</v>
      </c>
      <c r="Z136" s="2">
        <f t="shared" si="30"/>
        <v>0</v>
      </c>
      <c r="AA136" s="2">
        <f t="shared" si="31"/>
        <v>0</v>
      </c>
      <c r="AB136" s="2">
        <f t="shared" si="32"/>
        <v>0</v>
      </c>
      <c r="AC136" s="2"/>
      <c r="AD136" s="2">
        <f t="shared" si="33"/>
        <v>1</v>
      </c>
      <c r="AE136" s="2">
        <f t="shared" si="34"/>
        <v>0</v>
      </c>
      <c r="AF136" s="2">
        <f t="shared" si="35"/>
        <v>1</v>
      </c>
      <c r="AG136" s="2">
        <f t="shared" si="36"/>
        <v>0</v>
      </c>
      <c r="AH136" s="2">
        <f t="shared" si="37"/>
        <v>1</v>
      </c>
      <c r="AI136" s="2">
        <f t="shared" si="38"/>
        <v>0</v>
      </c>
    </row>
    <row r="137" spans="1:16384" s="3" customFormat="1" ht="14.25" customHeight="1" x14ac:dyDescent="0.25">
      <c r="A137" s="29">
        <v>0</v>
      </c>
      <c r="B137" s="29">
        <v>2</v>
      </c>
      <c r="C137" s="29">
        <v>1</v>
      </c>
      <c r="D137" s="30" t="s">
        <v>225</v>
      </c>
      <c r="E137" s="30" t="s">
        <v>44</v>
      </c>
      <c r="F137" s="30" t="s">
        <v>820</v>
      </c>
      <c r="G137" s="30" t="s">
        <v>130</v>
      </c>
      <c r="H137" s="30" t="s">
        <v>165</v>
      </c>
      <c r="I137" s="29" t="s">
        <v>226</v>
      </c>
      <c r="J137" s="29">
        <v>10</v>
      </c>
      <c r="K137" s="29" t="s">
        <v>321</v>
      </c>
      <c r="L137" s="29">
        <v>5</v>
      </c>
      <c r="M137" s="30" t="s">
        <v>269</v>
      </c>
      <c r="N137" s="30" t="s">
        <v>886</v>
      </c>
      <c r="O137" s="31">
        <v>1</v>
      </c>
      <c r="P137" s="31">
        <v>1</v>
      </c>
      <c r="Q137" s="30"/>
      <c r="R137" s="2"/>
      <c r="S137" s="2">
        <f t="shared" si="23"/>
        <v>0</v>
      </c>
      <c r="T137" s="2">
        <f t="shared" si="24"/>
        <v>0</v>
      </c>
      <c r="U137" s="2">
        <f t="shared" si="25"/>
        <v>0</v>
      </c>
      <c r="V137" s="2">
        <f t="shared" si="26"/>
        <v>0</v>
      </c>
      <c r="W137" s="2">
        <f t="shared" si="27"/>
        <v>0</v>
      </c>
      <c r="X137" s="2">
        <f t="shared" si="28"/>
        <v>0</v>
      </c>
      <c r="Y137" s="2">
        <f t="shared" si="29"/>
        <v>0</v>
      </c>
      <c r="Z137" s="2">
        <f t="shared" si="30"/>
        <v>0</v>
      </c>
      <c r="AA137" s="2">
        <f t="shared" si="31"/>
        <v>0</v>
      </c>
      <c r="AB137" s="2">
        <f t="shared" si="32"/>
        <v>1</v>
      </c>
      <c r="AC137" s="2"/>
      <c r="AD137" s="2">
        <f t="shared" si="33"/>
        <v>1</v>
      </c>
      <c r="AE137" s="2">
        <f t="shared" si="34"/>
        <v>0</v>
      </c>
      <c r="AF137" s="2">
        <f t="shared" si="35"/>
        <v>1</v>
      </c>
      <c r="AG137" s="2">
        <f t="shared" si="36"/>
        <v>0</v>
      </c>
      <c r="AH137" s="2">
        <f t="shared" si="37"/>
        <v>1</v>
      </c>
      <c r="AI137" s="2">
        <f t="shared" si="38"/>
        <v>0</v>
      </c>
    </row>
    <row r="138" spans="1:16384" s="3" customFormat="1" ht="14.25" customHeight="1" x14ac:dyDescent="0.25">
      <c r="A138" s="29">
        <v>0</v>
      </c>
      <c r="B138" s="29">
        <v>2</v>
      </c>
      <c r="C138" s="29">
        <v>1</v>
      </c>
      <c r="D138" s="30" t="s">
        <v>352</v>
      </c>
      <c r="E138" s="30" t="s">
        <v>469</v>
      </c>
      <c r="F138" s="30" t="s">
        <v>353</v>
      </c>
      <c r="G138" s="30" t="s">
        <v>243</v>
      </c>
      <c r="H138" s="30" t="s">
        <v>165</v>
      </c>
      <c r="I138" s="29" t="s">
        <v>487</v>
      </c>
      <c r="J138" s="29">
        <v>9</v>
      </c>
      <c r="K138" s="29" t="s">
        <v>320</v>
      </c>
      <c r="L138" s="29">
        <v>11</v>
      </c>
      <c r="M138" s="30" t="s">
        <v>860</v>
      </c>
      <c r="N138" s="30" t="s">
        <v>892</v>
      </c>
      <c r="O138" s="31">
        <v>1</v>
      </c>
      <c r="P138" s="31"/>
      <c r="Q138" s="30"/>
      <c r="R138" s="2"/>
      <c r="S138" s="2">
        <f t="shared" si="23"/>
        <v>0</v>
      </c>
      <c r="T138" s="2">
        <f t="shared" si="24"/>
        <v>0</v>
      </c>
      <c r="U138" s="2">
        <f t="shared" si="25"/>
        <v>0</v>
      </c>
      <c r="V138" s="2">
        <f t="shared" si="26"/>
        <v>0</v>
      </c>
      <c r="W138" s="2">
        <f t="shared" si="27"/>
        <v>0</v>
      </c>
      <c r="X138" s="2">
        <f t="shared" si="28"/>
        <v>0</v>
      </c>
      <c r="Y138" s="2">
        <f t="shared" si="29"/>
        <v>0</v>
      </c>
      <c r="Z138" s="2">
        <f t="shared" si="30"/>
        <v>0</v>
      </c>
      <c r="AA138" s="2">
        <f t="shared" si="31"/>
        <v>1</v>
      </c>
      <c r="AB138" s="2">
        <f t="shared" si="32"/>
        <v>0</v>
      </c>
      <c r="AC138" s="2"/>
      <c r="AD138" s="2">
        <f t="shared" si="33"/>
        <v>0</v>
      </c>
      <c r="AE138" s="2">
        <f t="shared" si="34"/>
        <v>1</v>
      </c>
      <c r="AF138" s="2">
        <f t="shared" si="35"/>
        <v>0</v>
      </c>
      <c r="AG138" s="2">
        <f t="shared" si="36"/>
        <v>1</v>
      </c>
      <c r="AH138" s="2">
        <f t="shared" si="37"/>
        <v>0</v>
      </c>
      <c r="AI138" s="2">
        <f t="shared" si="38"/>
        <v>1</v>
      </c>
    </row>
    <row r="139" spans="1:16384" s="3" customFormat="1" ht="14.25" customHeight="1" x14ac:dyDescent="0.25">
      <c r="A139" s="29">
        <v>1</v>
      </c>
      <c r="B139" s="29">
        <v>2</v>
      </c>
      <c r="C139" s="29">
        <v>1</v>
      </c>
      <c r="D139" s="30" t="s">
        <v>352</v>
      </c>
      <c r="E139" s="30" t="s">
        <v>469</v>
      </c>
      <c r="F139" s="30" t="s">
        <v>579</v>
      </c>
      <c r="G139" s="30" t="s">
        <v>554</v>
      </c>
      <c r="H139" s="30" t="s">
        <v>165</v>
      </c>
      <c r="I139" s="29" t="s">
        <v>555</v>
      </c>
      <c r="J139" s="29">
        <v>99</v>
      </c>
      <c r="K139" s="29" t="s">
        <v>320</v>
      </c>
      <c r="L139" s="29">
        <v>11</v>
      </c>
      <c r="M139" s="30" t="s">
        <v>861</v>
      </c>
      <c r="N139" s="30" t="s">
        <v>892</v>
      </c>
      <c r="O139" s="31">
        <v>1</v>
      </c>
      <c r="P139" s="31"/>
      <c r="Q139" s="30"/>
      <c r="R139" s="2"/>
      <c r="S139" s="2">
        <f t="shared" si="23"/>
        <v>0</v>
      </c>
      <c r="T139" s="2">
        <f t="shared" si="24"/>
        <v>0</v>
      </c>
      <c r="U139" s="2">
        <f t="shared" si="25"/>
        <v>0</v>
      </c>
      <c r="V139" s="2">
        <f t="shared" si="26"/>
        <v>0</v>
      </c>
      <c r="W139" s="2">
        <f t="shared" si="27"/>
        <v>0</v>
      </c>
      <c r="X139" s="2">
        <f t="shared" si="28"/>
        <v>0</v>
      </c>
      <c r="Y139" s="2">
        <f t="shared" si="29"/>
        <v>0</v>
      </c>
      <c r="Z139" s="2">
        <f t="shared" si="30"/>
        <v>0</v>
      </c>
      <c r="AA139" s="2">
        <f t="shared" si="31"/>
        <v>0</v>
      </c>
      <c r="AB139" s="2">
        <f t="shared" si="32"/>
        <v>0</v>
      </c>
      <c r="AC139" s="2"/>
      <c r="AD139" s="2">
        <f t="shared" si="33"/>
        <v>0</v>
      </c>
      <c r="AE139" s="2">
        <f t="shared" si="34"/>
        <v>1</v>
      </c>
      <c r="AF139" s="2">
        <f t="shared" si="35"/>
        <v>0</v>
      </c>
      <c r="AG139" s="2">
        <f t="shared" si="36"/>
        <v>0</v>
      </c>
      <c r="AH139" s="2">
        <f t="shared" si="37"/>
        <v>0</v>
      </c>
      <c r="AI139" s="2">
        <f t="shared" si="38"/>
        <v>0</v>
      </c>
    </row>
    <row r="140" spans="1:16384" s="3" customFormat="1" ht="14.25" customHeight="1" x14ac:dyDescent="0.25">
      <c r="A140" s="29">
        <v>1</v>
      </c>
      <c r="B140" s="29">
        <v>2</v>
      </c>
      <c r="C140" s="29">
        <v>1</v>
      </c>
      <c r="D140" s="30" t="s">
        <v>352</v>
      </c>
      <c r="E140" s="30" t="s">
        <v>469</v>
      </c>
      <c r="F140" s="30" t="s">
        <v>1003</v>
      </c>
      <c r="G140" s="30" t="s">
        <v>125</v>
      </c>
      <c r="H140" s="30" t="s">
        <v>165</v>
      </c>
      <c r="I140" s="29" t="s">
        <v>33</v>
      </c>
      <c r="J140" s="29">
        <v>99</v>
      </c>
      <c r="K140" s="29" t="s">
        <v>320</v>
      </c>
      <c r="L140" s="29">
        <v>11</v>
      </c>
      <c r="M140" s="30" t="s">
        <v>861</v>
      </c>
      <c r="N140" s="30" t="s">
        <v>892</v>
      </c>
      <c r="O140" s="31">
        <v>1</v>
      </c>
      <c r="P140" s="31"/>
      <c r="Q140" s="30"/>
      <c r="R140" s="2"/>
      <c r="S140" s="2">
        <f t="shared" ref="S140" si="55">IF(J140=$S$7,1,0)</f>
        <v>0</v>
      </c>
      <c r="T140" s="2">
        <f t="shared" ref="T140" si="56">IF(J140=$T$7,1,0)</f>
        <v>0</v>
      </c>
      <c r="U140" s="2">
        <f t="shared" ref="U140" si="57">IF(J140=$U$7,1,0)</f>
        <v>0</v>
      </c>
      <c r="V140" s="2">
        <f t="shared" ref="V140" si="58">IF(J140=$V$7,1,0)</f>
        <v>0</v>
      </c>
      <c r="W140" s="2">
        <f t="shared" ref="W140" si="59">IF(J140=$W$7,1,0)</f>
        <v>0</v>
      </c>
      <c r="X140" s="2">
        <f t="shared" ref="X140" si="60">IF(J140=$X$7,1,0)</f>
        <v>0</v>
      </c>
      <c r="Y140" s="2">
        <f t="shared" ref="Y140" si="61">IF(J140=$Y$7,1,0)</f>
        <v>0</v>
      </c>
      <c r="Z140" s="2">
        <f t="shared" ref="Z140" si="62">IF(J140=$Z$7,1,0)</f>
        <v>0</v>
      </c>
      <c r="AA140" s="2">
        <f t="shared" ref="AA140" si="63">IF(J140=$AA$7,1,0)</f>
        <v>0</v>
      </c>
      <c r="AB140" s="2">
        <f t="shared" ref="AB140" si="64">IF(J140=$AB$7,1,0)</f>
        <v>0</v>
      </c>
      <c r="AC140" s="2"/>
      <c r="AD140" s="2">
        <f t="shared" ref="AD140" si="65">+O140*P140</f>
        <v>0</v>
      </c>
      <c r="AE140" s="2">
        <f t="shared" ref="AE140" si="66">O140*(1-P140)</f>
        <v>1</v>
      </c>
      <c r="AF140" s="2">
        <f t="shared" ref="AF140" si="67">+O140*P140*(1-A140)</f>
        <v>0</v>
      </c>
      <c r="AG140" s="2">
        <f t="shared" ref="AG140" si="68">O140*(1-P140)*(1-A140)</f>
        <v>0</v>
      </c>
      <c r="AH140" s="2">
        <f t="shared" ref="AH140" si="69">+P140*(1-A140)</f>
        <v>0</v>
      </c>
      <c r="AI140" s="2">
        <f t="shared" ref="AI140" si="70">+(1-A140)*(1-P140)</f>
        <v>0</v>
      </c>
    </row>
    <row r="141" spans="1:16384" s="3" customFormat="1" ht="14.25" customHeight="1" x14ac:dyDescent="0.25">
      <c r="A141" s="29">
        <v>0</v>
      </c>
      <c r="B141" s="29">
        <v>2</v>
      </c>
      <c r="C141" s="29">
        <v>1</v>
      </c>
      <c r="D141" s="30" t="s">
        <v>247</v>
      </c>
      <c r="E141" s="30" t="s">
        <v>35</v>
      </c>
      <c r="F141" s="30" t="s">
        <v>209</v>
      </c>
      <c r="G141" s="30" t="s">
        <v>93</v>
      </c>
      <c r="H141" s="30" t="s">
        <v>165</v>
      </c>
      <c r="I141" s="29" t="s">
        <v>210</v>
      </c>
      <c r="J141" s="29">
        <v>8</v>
      </c>
      <c r="K141" s="29" t="s">
        <v>319</v>
      </c>
      <c r="L141" s="29" t="s">
        <v>318</v>
      </c>
      <c r="M141" s="30" t="s">
        <v>269</v>
      </c>
      <c r="N141" s="30" t="s">
        <v>886</v>
      </c>
      <c r="O141" s="31">
        <v>1</v>
      </c>
      <c r="P141" s="31">
        <v>1</v>
      </c>
      <c r="Q141" s="30"/>
      <c r="R141" s="2"/>
      <c r="S141" s="2">
        <f t="shared" ref="S141:S205" si="71">IF(J141=$S$7,1,0)</f>
        <v>0</v>
      </c>
      <c r="T141" s="2">
        <f t="shared" ref="T141:T205" si="72">IF(J141=$T$7,1,0)</f>
        <v>0</v>
      </c>
      <c r="U141" s="2">
        <f t="shared" ref="U141:U205" si="73">IF(J141=$U$7,1,0)</f>
        <v>0</v>
      </c>
      <c r="V141" s="2">
        <f t="shared" ref="V141:V205" si="74">IF(J141=$V$7,1,0)</f>
        <v>0</v>
      </c>
      <c r="W141" s="2">
        <f t="shared" ref="W141:W205" si="75">IF(J141=$W$7,1,0)</f>
        <v>0</v>
      </c>
      <c r="X141" s="2">
        <f t="shared" ref="X141:X205" si="76">IF(J141=$X$7,1,0)</f>
        <v>0</v>
      </c>
      <c r="Y141" s="2">
        <f t="shared" ref="Y141:Y205" si="77">IF(J141=$Y$7,1,0)</f>
        <v>0</v>
      </c>
      <c r="Z141" s="2">
        <f t="shared" ref="Z141:Z205" si="78">IF(J141=$Z$7,1,0)</f>
        <v>1</v>
      </c>
      <c r="AA141" s="2">
        <f t="shared" ref="AA141:AA205" si="79">IF(J141=$AA$7,1,0)</f>
        <v>0</v>
      </c>
      <c r="AB141" s="2">
        <f t="shared" ref="AB141:AB205" si="80">IF(J141=$AB$7,1,0)</f>
        <v>0</v>
      </c>
      <c r="AC141" s="2"/>
      <c r="AD141" s="2">
        <f t="shared" ref="AD141:AD205" si="81">+O141*P141</f>
        <v>1</v>
      </c>
      <c r="AE141" s="2">
        <f t="shared" ref="AE141:AE205" si="82">O141*(1-P141)</f>
        <v>0</v>
      </c>
      <c r="AF141" s="2">
        <f t="shared" ref="AF141:AF205" si="83">+O141*P141*(1-A141)</f>
        <v>1</v>
      </c>
      <c r="AG141" s="2">
        <f t="shared" ref="AG141:AG205" si="84">O141*(1-P141)*(1-A141)</f>
        <v>0</v>
      </c>
      <c r="AH141" s="2">
        <f t="shared" ref="AH141:AH205" si="85">+P141*(1-A141)</f>
        <v>1</v>
      </c>
      <c r="AI141" s="2">
        <f t="shared" ref="AI141:AI205" si="86">+(1-A141)*(1-P141)</f>
        <v>0</v>
      </c>
    </row>
    <row r="142" spans="1:16384" s="3" customFormat="1" ht="14.25" customHeight="1" x14ac:dyDescent="0.25">
      <c r="A142" s="29">
        <v>0</v>
      </c>
      <c r="B142" s="29">
        <v>2</v>
      </c>
      <c r="C142" s="29">
        <v>1</v>
      </c>
      <c r="D142" s="30" t="s">
        <v>360</v>
      </c>
      <c r="E142" s="30" t="s">
        <v>469</v>
      </c>
      <c r="F142" s="30" t="s">
        <v>581</v>
      </c>
      <c r="G142" s="30" t="s">
        <v>91</v>
      </c>
      <c r="H142" s="30" t="s">
        <v>165</v>
      </c>
      <c r="I142" s="29" t="s">
        <v>357</v>
      </c>
      <c r="J142" s="29">
        <v>1</v>
      </c>
      <c r="K142" s="29" t="s">
        <v>321</v>
      </c>
      <c r="L142" s="29" t="s">
        <v>325</v>
      </c>
      <c r="M142" s="30" t="s">
        <v>496</v>
      </c>
      <c r="N142" s="30" t="s">
        <v>886</v>
      </c>
      <c r="O142" s="31">
        <v>1</v>
      </c>
      <c r="P142" s="31">
        <v>1</v>
      </c>
      <c r="Q142" s="30"/>
      <c r="R142" s="2"/>
      <c r="S142" s="2">
        <f t="shared" si="71"/>
        <v>1</v>
      </c>
      <c r="T142" s="2">
        <f t="shared" si="72"/>
        <v>0</v>
      </c>
      <c r="U142" s="2">
        <f t="shared" si="73"/>
        <v>0</v>
      </c>
      <c r="V142" s="2">
        <f t="shared" si="74"/>
        <v>0</v>
      </c>
      <c r="W142" s="2">
        <f t="shared" si="75"/>
        <v>0</v>
      </c>
      <c r="X142" s="2">
        <f t="shared" si="76"/>
        <v>0</v>
      </c>
      <c r="Y142" s="2">
        <f t="shared" si="77"/>
        <v>0</v>
      </c>
      <c r="Z142" s="2">
        <f t="shared" si="78"/>
        <v>0</v>
      </c>
      <c r="AA142" s="2">
        <f t="shared" si="79"/>
        <v>0</v>
      </c>
      <c r="AB142" s="2">
        <f t="shared" si="80"/>
        <v>0</v>
      </c>
      <c r="AC142" s="2"/>
      <c r="AD142" s="2">
        <f t="shared" si="81"/>
        <v>1</v>
      </c>
      <c r="AE142" s="2">
        <f t="shared" si="82"/>
        <v>0</v>
      </c>
      <c r="AF142" s="2">
        <f t="shared" si="83"/>
        <v>1</v>
      </c>
      <c r="AG142" s="2">
        <f t="shared" si="84"/>
        <v>0</v>
      </c>
      <c r="AH142" s="2">
        <f t="shared" si="85"/>
        <v>1</v>
      </c>
      <c r="AI142" s="2">
        <f t="shared" si="86"/>
        <v>0</v>
      </c>
    </row>
    <row r="143" spans="1:16384" s="3" customFormat="1" ht="14.25" customHeight="1" x14ac:dyDescent="0.25">
      <c r="A143" s="29">
        <v>0</v>
      </c>
      <c r="B143" s="29">
        <v>2</v>
      </c>
      <c r="C143" s="29">
        <v>1</v>
      </c>
      <c r="D143" s="30" t="s">
        <v>55</v>
      </c>
      <c r="E143" s="30" t="s">
        <v>469</v>
      </c>
      <c r="F143" s="30" t="s">
        <v>110</v>
      </c>
      <c r="G143" s="30" t="s">
        <v>99</v>
      </c>
      <c r="H143" s="30" t="s">
        <v>165</v>
      </c>
      <c r="I143" s="29" t="s">
        <v>174</v>
      </c>
      <c r="J143" s="29">
        <v>3</v>
      </c>
      <c r="K143" s="29" t="s">
        <v>320</v>
      </c>
      <c r="L143" s="29" t="s">
        <v>325</v>
      </c>
      <c r="M143" s="30" t="s">
        <v>496</v>
      </c>
      <c r="N143" s="30" t="s">
        <v>886</v>
      </c>
      <c r="O143" s="31">
        <v>1</v>
      </c>
      <c r="P143" s="31">
        <v>1</v>
      </c>
      <c r="Q143" s="30"/>
      <c r="R143" s="2"/>
      <c r="S143" s="2">
        <f t="shared" si="71"/>
        <v>0</v>
      </c>
      <c r="T143" s="2">
        <f t="shared" si="72"/>
        <v>0</v>
      </c>
      <c r="U143" s="2">
        <f t="shared" si="73"/>
        <v>1</v>
      </c>
      <c r="V143" s="2">
        <f t="shared" si="74"/>
        <v>0</v>
      </c>
      <c r="W143" s="2">
        <f t="shared" si="75"/>
        <v>0</v>
      </c>
      <c r="X143" s="2">
        <f t="shared" si="76"/>
        <v>0</v>
      </c>
      <c r="Y143" s="2">
        <f t="shared" si="77"/>
        <v>0</v>
      </c>
      <c r="Z143" s="2">
        <f t="shared" si="78"/>
        <v>0</v>
      </c>
      <c r="AA143" s="2">
        <f t="shared" si="79"/>
        <v>0</v>
      </c>
      <c r="AB143" s="2">
        <f t="shared" si="80"/>
        <v>0</v>
      </c>
      <c r="AC143" s="2"/>
      <c r="AD143" s="2">
        <f t="shared" si="81"/>
        <v>1</v>
      </c>
      <c r="AE143" s="2">
        <f t="shared" si="82"/>
        <v>0</v>
      </c>
      <c r="AF143" s="2">
        <f t="shared" si="83"/>
        <v>1</v>
      </c>
      <c r="AG143" s="2">
        <f t="shared" si="84"/>
        <v>0</v>
      </c>
      <c r="AH143" s="2">
        <f t="shared" si="85"/>
        <v>1</v>
      </c>
      <c r="AI143" s="2">
        <f t="shared" si="86"/>
        <v>0</v>
      </c>
    </row>
    <row r="144" spans="1:16384" s="3" customFormat="1" ht="14.25" customHeight="1" x14ac:dyDescent="0.25">
      <c r="A144" s="29">
        <v>1</v>
      </c>
      <c r="B144" s="29">
        <v>2</v>
      </c>
      <c r="C144" s="29">
        <v>1</v>
      </c>
      <c r="D144" s="30" t="s">
        <v>55</v>
      </c>
      <c r="E144" s="30" t="s">
        <v>469</v>
      </c>
      <c r="F144" s="30" t="s">
        <v>1004</v>
      </c>
      <c r="G144" s="30" t="s">
        <v>1005</v>
      </c>
      <c r="H144" s="30" t="s">
        <v>165</v>
      </c>
      <c r="I144" s="29" t="s">
        <v>33</v>
      </c>
      <c r="J144" s="29"/>
      <c r="K144" s="29" t="s">
        <v>320</v>
      </c>
      <c r="L144" s="29" t="s">
        <v>325</v>
      </c>
      <c r="M144" s="30" t="s">
        <v>496</v>
      </c>
      <c r="N144" s="30" t="s">
        <v>886</v>
      </c>
      <c r="O144" s="31">
        <v>1</v>
      </c>
      <c r="P144" s="31">
        <v>1</v>
      </c>
      <c r="Q144" s="30"/>
      <c r="R144" s="2"/>
      <c r="S144" s="2">
        <f t="shared" ref="S144" si="87">IF(J144=$S$7,1,0)</f>
        <v>0</v>
      </c>
      <c r="T144" s="2">
        <f t="shared" ref="T144" si="88">IF(J144=$T$7,1,0)</f>
        <v>0</v>
      </c>
      <c r="U144" s="2">
        <f t="shared" ref="U144" si="89">IF(J144=$U$7,1,0)</f>
        <v>0</v>
      </c>
      <c r="V144" s="2">
        <f t="shared" ref="V144" si="90">IF(J144=$V$7,1,0)</f>
        <v>0</v>
      </c>
      <c r="W144" s="2">
        <f t="shared" ref="W144" si="91">IF(J144=$W$7,1,0)</f>
        <v>0</v>
      </c>
      <c r="X144" s="2">
        <f t="shared" ref="X144" si="92">IF(J144=$X$7,1,0)</f>
        <v>0</v>
      </c>
      <c r="Y144" s="2">
        <f t="shared" ref="Y144" si="93">IF(J144=$Y$7,1,0)</f>
        <v>0</v>
      </c>
      <c r="Z144" s="2">
        <f t="shared" ref="Z144" si="94">IF(J144=$Z$7,1,0)</f>
        <v>0</v>
      </c>
      <c r="AA144" s="2">
        <f t="shared" ref="AA144" si="95">IF(J144=$AA$7,1,0)</f>
        <v>0</v>
      </c>
      <c r="AB144" s="2">
        <f t="shared" ref="AB144" si="96">IF(J144=$AB$7,1,0)</f>
        <v>0</v>
      </c>
      <c r="AC144" s="2"/>
      <c r="AD144" s="2">
        <f t="shared" ref="AD144" si="97">+O144*P144</f>
        <v>1</v>
      </c>
      <c r="AE144" s="2">
        <f t="shared" ref="AE144" si="98">O144*(1-P144)</f>
        <v>0</v>
      </c>
      <c r="AF144" s="2">
        <f t="shared" ref="AF144" si="99">+O144*P144*(1-A144)</f>
        <v>0</v>
      </c>
      <c r="AG144" s="2">
        <f t="shared" ref="AG144" si="100">O144*(1-P144)*(1-A144)</f>
        <v>0</v>
      </c>
      <c r="AH144" s="2">
        <f t="shared" ref="AH144" si="101">+P144*(1-A144)</f>
        <v>0</v>
      </c>
      <c r="AI144" s="2">
        <f t="shared" ref="AI144" si="102">+(1-A144)*(1-P144)</f>
        <v>0</v>
      </c>
    </row>
    <row r="145" spans="1:35" ht="14.25" customHeight="1" x14ac:dyDescent="0.25">
      <c r="A145" s="29">
        <v>0</v>
      </c>
      <c r="B145" s="29">
        <v>2</v>
      </c>
      <c r="C145" s="29">
        <v>1</v>
      </c>
      <c r="D145" s="30" t="s">
        <v>47</v>
      </c>
      <c r="E145" s="30" t="s">
        <v>82</v>
      </c>
      <c r="F145" s="30" t="s">
        <v>824</v>
      </c>
      <c r="G145" s="30" t="s">
        <v>93</v>
      </c>
      <c r="H145" s="30" t="s">
        <v>165</v>
      </c>
      <c r="I145" s="29" t="s">
        <v>167</v>
      </c>
      <c r="J145" s="29">
        <v>8</v>
      </c>
      <c r="K145" s="29" t="s">
        <v>320</v>
      </c>
      <c r="L145" s="29" t="s">
        <v>318</v>
      </c>
      <c r="M145" s="30" t="s">
        <v>269</v>
      </c>
      <c r="N145" s="30" t="s">
        <v>906</v>
      </c>
      <c r="O145" s="31">
        <v>1</v>
      </c>
      <c r="P145" s="31"/>
      <c r="Q145" s="30"/>
      <c r="S145" s="2">
        <f t="shared" si="71"/>
        <v>0</v>
      </c>
      <c r="T145" s="2">
        <f t="shared" si="72"/>
        <v>0</v>
      </c>
      <c r="U145" s="2">
        <f t="shared" si="73"/>
        <v>0</v>
      </c>
      <c r="V145" s="2">
        <f t="shared" si="74"/>
        <v>0</v>
      </c>
      <c r="W145" s="2">
        <f t="shared" si="75"/>
        <v>0</v>
      </c>
      <c r="X145" s="2">
        <f t="shared" si="76"/>
        <v>0</v>
      </c>
      <c r="Y145" s="2">
        <f t="shared" si="77"/>
        <v>0</v>
      </c>
      <c r="Z145" s="2">
        <f t="shared" si="78"/>
        <v>1</v>
      </c>
      <c r="AA145" s="2">
        <f t="shared" si="79"/>
        <v>0</v>
      </c>
      <c r="AB145" s="2">
        <f t="shared" si="80"/>
        <v>0</v>
      </c>
      <c r="AD145" s="2">
        <f t="shared" si="81"/>
        <v>0</v>
      </c>
      <c r="AE145" s="2">
        <f t="shared" si="82"/>
        <v>1</v>
      </c>
      <c r="AF145" s="2">
        <f t="shared" si="83"/>
        <v>0</v>
      </c>
      <c r="AG145" s="2">
        <f t="shared" si="84"/>
        <v>1</v>
      </c>
      <c r="AH145" s="2">
        <f t="shared" si="85"/>
        <v>0</v>
      </c>
      <c r="AI145" s="2">
        <f t="shared" si="86"/>
        <v>1</v>
      </c>
    </row>
    <row r="146" spans="1:35" ht="14.25" customHeight="1" x14ac:dyDescent="0.25">
      <c r="A146" s="29">
        <v>1</v>
      </c>
      <c r="B146" s="29">
        <v>2</v>
      </c>
      <c r="C146" s="29">
        <v>1</v>
      </c>
      <c r="D146" s="30" t="s">
        <v>47</v>
      </c>
      <c r="E146" s="30" t="s">
        <v>82</v>
      </c>
      <c r="F146" s="30" t="s">
        <v>98</v>
      </c>
      <c r="G146" s="30" t="s">
        <v>99</v>
      </c>
      <c r="H146" s="30" t="s">
        <v>165</v>
      </c>
      <c r="I146" s="29" t="s">
        <v>491</v>
      </c>
      <c r="J146" s="29">
        <v>3</v>
      </c>
      <c r="K146" s="29" t="s">
        <v>320</v>
      </c>
      <c r="L146" s="29" t="s">
        <v>318</v>
      </c>
      <c r="M146" s="30" t="s">
        <v>269</v>
      </c>
      <c r="N146" s="30" t="s">
        <v>906</v>
      </c>
      <c r="O146" s="31">
        <v>1</v>
      </c>
      <c r="P146" s="31"/>
      <c r="Q146" s="30"/>
      <c r="S146" s="2">
        <f t="shared" si="71"/>
        <v>0</v>
      </c>
      <c r="T146" s="2">
        <f t="shared" si="72"/>
        <v>0</v>
      </c>
      <c r="U146" s="2">
        <f t="shared" si="73"/>
        <v>1</v>
      </c>
      <c r="V146" s="2">
        <f t="shared" si="74"/>
        <v>0</v>
      </c>
      <c r="W146" s="2">
        <f t="shared" si="75"/>
        <v>0</v>
      </c>
      <c r="X146" s="2">
        <f t="shared" si="76"/>
        <v>0</v>
      </c>
      <c r="Y146" s="2">
        <f t="shared" si="77"/>
        <v>0</v>
      </c>
      <c r="Z146" s="2">
        <f t="shared" si="78"/>
        <v>0</v>
      </c>
      <c r="AA146" s="2">
        <f t="shared" si="79"/>
        <v>0</v>
      </c>
      <c r="AB146" s="2">
        <f t="shared" si="80"/>
        <v>0</v>
      </c>
      <c r="AD146" s="2">
        <f t="shared" si="81"/>
        <v>0</v>
      </c>
      <c r="AE146" s="2">
        <f t="shared" si="82"/>
        <v>1</v>
      </c>
      <c r="AF146" s="2">
        <f t="shared" si="83"/>
        <v>0</v>
      </c>
      <c r="AG146" s="2">
        <f t="shared" si="84"/>
        <v>0</v>
      </c>
      <c r="AH146" s="2">
        <f t="shared" si="85"/>
        <v>0</v>
      </c>
      <c r="AI146" s="2">
        <f t="shared" si="86"/>
        <v>0</v>
      </c>
    </row>
    <row r="147" spans="1:35" ht="14.25" customHeight="1" x14ac:dyDescent="0.25">
      <c r="A147" s="29">
        <v>0</v>
      </c>
      <c r="B147" s="29">
        <v>2</v>
      </c>
      <c r="C147" s="29">
        <v>1</v>
      </c>
      <c r="D147" s="30" t="s">
        <v>914</v>
      </c>
      <c r="E147" s="30" t="s">
        <v>35</v>
      </c>
      <c r="F147" s="30" t="s">
        <v>915</v>
      </c>
      <c r="G147" s="30" t="s">
        <v>132</v>
      </c>
      <c r="H147" s="30" t="s">
        <v>165</v>
      </c>
      <c r="I147" s="29" t="s">
        <v>916</v>
      </c>
      <c r="J147" s="29">
        <v>99</v>
      </c>
      <c r="K147" s="29" t="s">
        <v>377</v>
      </c>
      <c r="L147" s="29"/>
      <c r="M147" s="30"/>
      <c r="N147" s="30" t="s">
        <v>886</v>
      </c>
      <c r="O147" s="31">
        <v>1</v>
      </c>
      <c r="P147" s="31">
        <v>1</v>
      </c>
      <c r="Q147" s="30"/>
      <c r="S147" s="2">
        <f t="shared" si="71"/>
        <v>0</v>
      </c>
      <c r="T147" s="2">
        <f t="shared" si="72"/>
        <v>0</v>
      </c>
      <c r="U147" s="2">
        <f t="shared" si="73"/>
        <v>0</v>
      </c>
      <c r="V147" s="2">
        <f t="shared" si="74"/>
        <v>0</v>
      </c>
      <c r="W147" s="2">
        <f t="shared" si="75"/>
        <v>0</v>
      </c>
      <c r="X147" s="2">
        <f t="shared" si="76"/>
        <v>0</v>
      </c>
      <c r="Y147" s="2">
        <f t="shared" si="77"/>
        <v>0</v>
      </c>
      <c r="Z147" s="2">
        <f t="shared" si="78"/>
        <v>0</v>
      </c>
      <c r="AA147" s="2">
        <f t="shared" si="79"/>
        <v>0</v>
      </c>
      <c r="AB147" s="2">
        <f t="shared" si="80"/>
        <v>0</v>
      </c>
      <c r="AD147" s="2">
        <f t="shared" si="81"/>
        <v>1</v>
      </c>
      <c r="AE147" s="2">
        <f t="shared" si="82"/>
        <v>0</v>
      </c>
      <c r="AF147" s="2">
        <f t="shared" si="83"/>
        <v>1</v>
      </c>
      <c r="AG147" s="2">
        <f t="shared" si="84"/>
        <v>0</v>
      </c>
      <c r="AH147" s="2">
        <f t="shared" si="85"/>
        <v>1</v>
      </c>
      <c r="AI147" s="2">
        <f t="shared" si="86"/>
        <v>0</v>
      </c>
    </row>
    <row r="148" spans="1:35" ht="14.25" customHeight="1" x14ac:dyDescent="0.25">
      <c r="A148" s="29">
        <v>0</v>
      </c>
      <c r="B148" s="29">
        <v>2</v>
      </c>
      <c r="C148" s="29">
        <v>1</v>
      </c>
      <c r="D148" s="30" t="s">
        <v>454</v>
      </c>
      <c r="E148" s="30" t="s">
        <v>455</v>
      </c>
      <c r="F148" s="30" t="s">
        <v>456</v>
      </c>
      <c r="G148" s="30" t="s">
        <v>457</v>
      </c>
      <c r="H148" s="30" t="s">
        <v>165</v>
      </c>
      <c r="I148" s="29" t="s">
        <v>458</v>
      </c>
      <c r="J148" s="29">
        <v>99</v>
      </c>
      <c r="K148" s="29" t="s">
        <v>318</v>
      </c>
      <c r="L148" s="29" t="s">
        <v>321</v>
      </c>
      <c r="M148" s="30" t="s">
        <v>269</v>
      </c>
      <c r="N148" s="30" t="s">
        <v>886</v>
      </c>
      <c r="O148" s="31">
        <v>1</v>
      </c>
      <c r="P148" s="31">
        <v>1</v>
      </c>
      <c r="Q148" s="30"/>
      <c r="S148" s="2">
        <f t="shared" si="71"/>
        <v>0</v>
      </c>
      <c r="T148" s="2">
        <f t="shared" si="72"/>
        <v>0</v>
      </c>
      <c r="U148" s="2">
        <f t="shared" si="73"/>
        <v>0</v>
      </c>
      <c r="V148" s="2">
        <f t="shared" si="74"/>
        <v>0</v>
      </c>
      <c r="W148" s="2">
        <f t="shared" si="75"/>
        <v>0</v>
      </c>
      <c r="X148" s="2">
        <f t="shared" si="76"/>
        <v>0</v>
      </c>
      <c r="Y148" s="2">
        <f t="shared" si="77"/>
        <v>0</v>
      </c>
      <c r="Z148" s="2">
        <f t="shared" si="78"/>
        <v>0</v>
      </c>
      <c r="AA148" s="2">
        <f t="shared" si="79"/>
        <v>0</v>
      </c>
      <c r="AB148" s="2">
        <f t="shared" si="80"/>
        <v>0</v>
      </c>
      <c r="AD148" s="2">
        <f t="shared" si="81"/>
        <v>1</v>
      </c>
      <c r="AE148" s="2">
        <f t="shared" si="82"/>
        <v>0</v>
      </c>
      <c r="AF148" s="2">
        <f t="shared" si="83"/>
        <v>1</v>
      </c>
      <c r="AG148" s="2">
        <f t="shared" si="84"/>
        <v>0</v>
      </c>
      <c r="AH148" s="2">
        <f t="shared" si="85"/>
        <v>1</v>
      </c>
      <c r="AI148" s="2">
        <f t="shared" si="86"/>
        <v>0</v>
      </c>
    </row>
    <row r="149" spans="1:35" ht="14.25" customHeight="1" x14ac:dyDescent="0.25">
      <c r="A149" s="29">
        <v>0</v>
      </c>
      <c r="B149" s="29">
        <v>2</v>
      </c>
      <c r="C149" s="29">
        <v>1</v>
      </c>
      <c r="D149" s="30" t="s">
        <v>559</v>
      </c>
      <c r="E149" s="30" t="s">
        <v>35</v>
      </c>
      <c r="F149" s="30" t="s">
        <v>827</v>
      </c>
      <c r="G149" s="30" t="s">
        <v>518</v>
      </c>
      <c r="H149" s="30" t="s">
        <v>165</v>
      </c>
      <c r="I149" s="29" t="s">
        <v>560</v>
      </c>
      <c r="J149" s="29">
        <v>99</v>
      </c>
      <c r="K149" s="29" t="s">
        <v>318</v>
      </c>
      <c r="L149" s="29">
        <v>5</v>
      </c>
      <c r="M149" s="30" t="s">
        <v>269</v>
      </c>
      <c r="N149" s="30" t="s">
        <v>892</v>
      </c>
      <c r="O149" s="31">
        <v>1</v>
      </c>
      <c r="P149" s="31"/>
      <c r="Q149" s="30" t="s">
        <v>950</v>
      </c>
      <c r="S149" s="2">
        <f t="shared" si="71"/>
        <v>0</v>
      </c>
      <c r="T149" s="2">
        <f t="shared" si="72"/>
        <v>0</v>
      </c>
      <c r="U149" s="2">
        <f t="shared" si="73"/>
        <v>0</v>
      </c>
      <c r="V149" s="2">
        <f t="shared" si="74"/>
        <v>0</v>
      </c>
      <c r="W149" s="2">
        <f t="shared" si="75"/>
        <v>0</v>
      </c>
      <c r="X149" s="2">
        <f t="shared" si="76"/>
        <v>0</v>
      </c>
      <c r="Y149" s="2">
        <f t="shared" si="77"/>
        <v>0</v>
      </c>
      <c r="Z149" s="2">
        <f t="shared" si="78"/>
        <v>0</v>
      </c>
      <c r="AA149" s="2">
        <f t="shared" si="79"/>
        <v>0</v>
      </c>
      <c r="AB149" s="2">
        <f t="shared" si="80"/>
        <v>0</v>
      </c>
      <c r="AD149" s="2">
        <f t="shared" si="81"/>
        <v>0</v>
      </c>
      <c r="AE149" s="2">
        <f t="shared" si="82"/>
        <v>1</v>
      </c>
      <c r="AF149" s="2">
        <f t="shared" si="83"/>
        <v>0</v>
      </c>
      <c r="AG149" s="2">
        <f t="shared" si="84"/>
        <v>1</v>
      </c>
      <c r="AH149" s="2">
        <f t="shared" si="85"/>
        <v>0</v>
      </c>
      <c r="AI149" s="2">
        <f t="shared" si="86"/>
        <v>1</v>
      </c>
    </row>
    <row r="150" spans="1:35" ht="14.25" customHeight="1" x14ac:dyDescent="0.25">
      <c r="A150" s="29">
        <v>0</v>
      </c>
      <c r="B150" s="29">
        <v>2</v>
      </c>
      <c r="C150" s="29">
        <v>1</v>
      </c>
      <c r="D150" s="30" t="s">
        <v>391</v>
      </c>
      <c r="E150" s="30" t="s">
        <v>37</v>
      </c>
      <c r="F150" s="30" t="s">
        <v>482</v>
      </c>
      <c r="G150" s="30" t="s">
        <v>130</v>
      </c>
      <c r="H150" s="30" t="s">
        <v>165</v>
      </c>
      <c r="I150" s="29" t="s">
        <v>392</v>
      </c>
      <c r="J150" s="29">
        <v>10</v>
      </c>
      <c r="K150" s="29" t="s">
        <v>319</v>
      </c>
      <c r="L150" s="29">
        <v>5</v>
      </c>
      <c r="M150" s="30" t="s">
        <v>269</v>
      </c>
      <c r="N150" s="30" t="s">
        <v>892</v>
      </c>
      <c r="O150" s="31">
        <v>1</v>
      </c>
      <c r="P150" s="31"/>
      <c r="Q150" s="30"/>
      <c r="S150" s="2">
        <f t="shared" si="71"/>
        <v>0</v>
      </c>
      <c r="T150" s="2">
        <f t="shared" si="72"/>
        <v>0</v>
      </c>
      <c r="U150" s="2">
        <f t="shared" si="73"/>
        <v>0</v>
      </c>
      <c r="V150" s="2">
        <f t="shared" si="74"/>
        <v>0</v>
      </c>
      <c r="W150" s="2">
        <f t="shared" si="75"/>
        <v>0</v>
      </c>
      <c r="X150" s="2">
        <f t="shared" si="76"/>
        <v>0</v>
      </c>
      <c r="Y150" s="2">
        <f t="shared" si="77"/>
        <v>0</v>
      </c>
      <c r="Z150" s="2">
        <f t="shared" si="78"/>
        <v>0</v>
      </c>
      <c r="AA150" s="2">
        <f t="shared" si="79"/>
        <v>0</v>
      </c>
      <c r="AB150" s="2">
        <f t="shared" si="80"/>
        <v>1</v>
      </c>
      <c r="AD150" s="2">
        <f t="shared" si="81"/>
        <v>0</v>
      </c>
      <c r="AE150" s="2">
        <f t="shared" si="82"/>
        <v>1</v>
      </c>
      <c r="AF150" s="2">
        <f t="shared" si="83"/>
        <v>0</v>
      </c>
      <c r="AG150" s="2">
        <f t="shared" si="84"/>
        <v>1</v>
      </c>
      <c r="AH150" s="2">
        <f t="shared" si="85"/>
        <v>0</v>
      </c>
      <c r="AI150" s="2">
        <f t="shared" si="86"/>
        <v>1</v>
      </c>
    </row>
    <row r="151" spans="1:35" ht="14.25" customHeight="1" x14ac:dyDescent="0.25">
      <c r="A151" s="29">
        <v>0</v>
      </c>
      <c r="B151" s="29">
        <v>2</v>
      </c>
      <c r="C151" s="29">
        <v>1</v>
      </c>
      <c r="D151" s="30" t="s">
        <v>248</v>
      </c>
      <c r="E151" s="30" t="s">
        <v>37</v>
      </c>
      <c r="F151" s="30" t="s">
        <v>232</v>
      </c>
      <c r="G151" s="30" t="s">
        <v>583</v>
      </c>
      <c r="H151" s="30" t="s">
        <v>165</v>
      </c>
      <c r="I151" s="29" t="s">
        <v>265</v>
      </c>
      <c r="J151" s="29">
        <v>99</v>
      </c>
      <c r="K151" s="29" t="s">
        <v>320</v>
      </c>
      <c r="L151" s="29">
        <v>5</v>
      </c>
      <c r="M151" s="30" t="s">
        <v>269</v>
      </c>
      <c r="N151" s="30" t="s">
        <v>892</v>
      </c>
      <c r="O151" s="31">
        <v>1</v>
      </c>
      <c r="P151" s="31"/>
      <c r="Q151" s="30"/>
      <c r="S151" s="2">
        <f t="shared" si="71"/>
        <v>0</v>
      </c>
      <c r="T151" s="2">
        <f t="shared" si="72"/>
        <v>0</v>
      </c>
      <c r="U151" s="2">
        <f t="shared" si="73"/>
        <v>0</v>
      </c>
      <c r="V151" s="2">
        <f t="shared" si="74"/>
        <v>0</v>
      </c>
      <c r="W151" s="2">
        <f t="shared" si="75"/>
        <v>0</v>
      </c>
      <c r="X151" s="2">
        <f t="shared" si="76"/>
        <v>0</v>
      </c>
      <c r="Y151" s="2">
        <f t="shared" si="77"/>
        <v>0</v>
      </c>
      <c r="Z151" s="2">
        <f t="shared" si="78"/>
        <v>0</v>
      </c>
      <c r="AA151" s="2">
        <f t="shared" si="79"/>
        <v>0</v>
      </c>
      <c r="AB151" s="2">
        <f t="shared" si="80"/>
        <v>0</v>
      </c>
      <c r="AD151" s="2">
        <f t="shared" si="81"/>
        <v>0</v>
      </c>
      <c r="AE151" s="2">
        <f t="shared" si="82"/>
        <v>1</v>
      </c>
      <c r="AF151" s="2">
        <f t="shared" si="83"/>
        <v>0</v>
      </c>
      <c r="AG151" s="2">
        <f t="shared" si="84"/>
        <v>1</v>
      </c>
      <c r="AH151" s="2">
        <f t="shared" si="85"/>
        <v>0</v>
      </c>
      <c r="AI151" s="2">
        <f t="shared" si="86"/>
        <v>1</v>
      </c>
    </row>
    <row r="152" spans="1:35" ht="14.25" customHeight="1" x14ac:dyDescent="0.25">
      <c r="A152" s="20">
        <v>0</v>
      </c>
      <c r="B152" s="20">
        <v>2</v>
      </c>
      <c r="C152" s="20">
        <v>2</v>
      </c>
      <c r="D152" s="21" t="s">
        <v>719</v>
      </c>
      <c r="E152" s="21" t="s">
        <v>813</v>
      </c>
      <c r="F152" s="21" t="s">
        <v>720</v>
      </c>
      <c r="G152" s="21" t="s">
        <v>96</v>
      </c>
      <c r="H152" s="21" t="s">
        <v>165</v>
      </c>
      <c r="I152" s="20" t="s">
        <v>721</v>
      </c>
      <c r="J152" s="20">
        <v>3</v>
      </c>
      <c r="K152" s="20" t="s">
        <v>319</v>
      </c>
      <c r="L152" s="20">
        <v>35</v>
      </c>
      <c r="M152" s="21" t="s">
        <v>876</v>
      </c>
      <c r="N152" s="21"/>
      <c r="O152" s="7"/>
      <c r="P152" s="7"/>
      <c r="Q152" s="21"/>
      <c r="S152" s="2">
        <f t="shared" si="71"/>
        <v>0</v>
      </c>
      <c r="T152" s="2">
        <f t="shared" si="72"/>
        <v>0</v>
      </c>
      <c r="U152" s="2">
        <f t="shared" si="73"/>
        <v>1</v>
      </c>
      <c r="V152" s="2">
        <f t="shared" si="74"/>
        <v>0</v>
      </c>
      <c r="W152" s="2">
        <f t="shared" si="75"/>
        <v>0</v>
      </c>
      <c r="X152" s="2">
        <f t="shared" si="76"/>
        <v>0</v>
      </c>
      <c r="Y152" s="2">
        <f t="shared" si="77"/>
        <v>0</v>
      </c>
      <c r="Z152" s="2">
        <f t="shared" si="78"/>
        <v>0</v>
      </c>
      <c r="AA152" s="2">
        <f t="shared" si="79"/>
        <v>0</v>
      </c>
      <c r="AB152" s="2">
        <f t="shared" si="80"/>
        <v>0</v>
      </c>
      <c r="AD152" s="2">
        <f t="shared" si="81"/>
        <v>0</v>
      </c>
      <c r="AE152" s="2">
        <f t="shared" si="82"/>
        <v>0</v>
      </c>
      <c r="AF152" s="2">
        <f t="shared" si="83"/>
        <v>0</v>
      </c>
      <c r="AG152" s="2">
        <f t="shared" si="84"/>
        <v>0</v>
      </c>
      <c r="AH152" s="2">
        <f t="shared" si="85"/>
        <v>0</v>
      </c>
      <c r="AI152" s="2">
        <f t="shared" si="86"/>
        <v>1</v>
      </c>
    </row>
    <row r="153" spans="1:35" ht="14.25" customHeight="1" x14ac:dyDescent="0.25">
      <c r="A153" s="29">
        <v>0</v>
      </c>
      <c r="B153" s="29">
        <v>2</v>
      </c>
      <c r="C153" s="29">
        <v>2</v>
      </c>
      <c r="D153" s="30" t="s">
        <v>502</v>
      </c>
      <c r="E153" s="30" t="s">
        <v>672</v>
      </c>
      <c r="F153" s="30" t="s">
        <v>503</v>
      </c>
      <c r="G153" s="30" t="s">
        <v>137</v>
      </c>
      <c r="H153" s="30" t="s">
        <v>165</v>
      </c>
      <c r="I153" s="29" t="s">
        <v>504</v>
      </c>
      <c r="J153" s="29">
        <v>1</v>
      </c>
      <c r="K153" s="29" t="s">
        <v>318</v>
      </c>
      <c r="L153" s="29">
        <v>45</v>
      </c>
      <c r="M153" s="30" t="s">
        <v>877</v>
      </c>
      <c r="N153" s="30" t="s">
        <v>892</v>
      </c>
      <c r="O153" s="31">
        <v>1</v>
      </c>
      <c r="P153" s="31"/>
      <c r="Q153" s="30"/>
      <c r="S153" s="2">
        <f t="shared" si="71"/>
        <v>1</v>
      </c>
      <c r="T153" s="2">
        <f t="shared" si="72"/>
        <v>0</v>
      </c>
      <c r="U153" s="2">
        <f t="shared" si="73"/>
        <v>0</v>
      </c>
      <c r="V153" s="2">
        <f t="shared" si="74"/>
        <v>0</v>
      </c>
      <c r="W153" s="2">
        <f t="shared" si="75"/>
        <v>0</v>
      </c>
      <c r="X153" s="2">
        <f t="shared" si="76"/>
        <v>0</v>
      </c>
      <c r="Y153" s="2">
        <f t="shared" si="77"/>
        <v>0</v>
      </c>
      <c r="Z153" s="2">
        <f t="shared" si="78"/>
        <v>0</v>
      </c>
      <c r="AA153" s="2">
        <f t="shared" si="79"/>
        <v>0</v>
      </c>
      <c r="AB153" s="2">
        <f t="shared" si="80"/>
        <v>0</v>
      </c>
      <c r="AD153" s="2">
        <f t="shared" si="81"/>
        <v>0</v>
      </c>
      <c r="AE153" s="2">
        <f t="shared" si="82"/>
        <v>1</v>
      </c>
      <c r="AF153" s="2">
        <f t="shared" si="83"/>
        <v>0</v>
      </c>
      <c r="AG153" s="2">
        <f t="shared" si="84"/>
        <v>1</v>
      </c>
      <c r="AH153" s="2">
        <f t="shared" si="85"/>
        <v>0</v>
      </c>
      <c r="AI153" s="2">
        <f t="shared" si="86"/>
        <v>1</v>
      </c>
    </row>
    <row r="154" spans="1:35" ht="14.25" customHeight="1" x14ac:dyDescent="0.25">
      <c r="A154" s="32">
        <v>0</v>
      </c>
      <c r="B154" s="32">
        <v>2</v>
      </c>
      <c r="C154" s="32">
        <v>2</v>
      </c>
      <c r="D154" s="33" t="s">
        <v>793</v>
      </c>
      <c r="E154" s="33"/>
      <c r="F154" s="33" t="s">
        <v>794</v>
      </c>
      <c r="G154" s="33" t="s">
        <v>309</v>
      </c>
      <c r="H154" s="33" t="s">
        <v>165</v>
      </c>
      <c r="I154" s="32" t="s">
        <v>33</v>
      </c>
      <c r="J154" s="32">
        <v>1</v>
      </c>
      <c r="K154" s="32" t="s">
        <v>377</v>
      </c>
      <c r="L154" s="32">
        <v>40</v>
      </c>
      <c r="M154" s="33" t="s">
        <v>795</v>
      </c>
      <c r="N154" s="33" t="s">
        <v>922</v>
      </c>
      <c r="O154" s="34"/>
      <c r="P154" s="34"/>
      <c r="Q154" s="33"/>
      <c r="S154" s="2">
        <f t="shared" si="71"/>
        <v>1</v>
      </c>
      <c r="T154" s="2">
        <f t="shared" si="72"/>
        <v>0</v>
      </c>
      <c r="U154" s="2">
        <f t="shared" si="73"/>
        <v>0</v>
      </c>
      <c r="V154" s="2">
        <f t="shared" si="74"/>
        <v>0</v>
      </c>
      <c r="W154" s="2">
        <f t="shared" si="75"/>
        <v>0</v>
      </c>
      <c r="X154" s="2">
        <f t="shared" si="76"/>
        <v>0</v>
      </c>
      <c r="Y154" s="2">
        <f t="shared" si="77"/>
        <v>0</v>
      </c>
      <c r="Z154" s="2">
        <f t="shared" si="78"/>
        <v>0</v>
      </c>
      <c r="AA154" s="2">
        <f t="shared" si="79"/>
        <v>0</v>
      </c>
      <c r="AB154" s="2">
        <f t="shared" si="80"/>
        <v>0</v>
      </c>
      <c r="AD154" s="2">
        <f t="shared" si="81"/>
        <v>0</v>
      </c>
      <c r="AE154" s="2">
        <f t="shared" si="82"/>
        <v>0</v>
      </c>
      <c r="AF154" s="2">
        <f t="shared" si="83"/>
        <v>0</v>
      </c>
      <c r="AG154" s="2">
        <f t="shared" si="84"/>
        <v>0</v>
      </c>
      <c r="AH154" s="2">
        <f t="shared" si="85"/>
        <v>0</v>
      </c>
      <c r="AI154" s="2">
        <f t="shared" si="86"/>
        <v>1</v>
      </c>
    </row>
    <row r="155" spans="1:35" ht="14.25" customHeight="1" x14ac:dyDescent="0.25">
      <c r="A155" s="29">
        <v>0</v>
      </c>
      <c r="B155" s="29">
        <v>2</v>
      </c>
      <c r="C155" s="29">
        <v>2</v>
      </c>
      <c r="D155" s="30" t="s">
        <v>723</v>
      </c>
      <c r="E155" s="30" t="s">
        <v>30</v>
      </c>
      <c r="F155" s="30" t="s">
        <v>784</v>
      </c>
      <c r="G155" s="30" t="s">
        <v>40</v>
      </c>
      <c r="H155" s="30" t="s">
        <v>165</v>
      </c>
      <c r="I155" s="29" t="s">
        <v>33</v>
      </c>
      <c r="J155" s="29">
        <v>99</v>
      </c>
      <c r="K155" s="29" t="s">
        <v>320</v>
      </c>
      <c r="L155" s="29" t="s">
        <v>345</v>
      </c>
      <c r="M155" s="30" t="s">
        <v>724</v>
      </c>
      <c r="N155" s="30" t="s">
        <v>892</v>
      </c>
      <c r="O155" s="31">
        <v>1</v>
      </c>
      <c r="P155" s="31"/>
      <c r="Q155" s="30"/>
      <c r="S155" s="2">
        <f t="shared" si="71"/>
        <v>0</v>
      </c>
      <c r="T155" s="2">
        <f t="shared" si="72"/>
        <v>0</v>
      </c>
      <c r="U155" s="2">
        <f t="shared" si="73"/>
        <v>0</v>
      </c>
      <c r="V155" s="2">
        <f t="shared" si="74"/>
        <v>0</v>
      </c>
      <c r="W155" s="2">
        <f t="shared" si="75"/>
        <v>0</v>
      </c>
      <c r="X155" s="2">
        <f t="shared" si="76"/>
        <v>0</v>
      </c>
      <c r="Y155" s="2">
        <f t="shared" si="77"/>
        <v>0</v>
      </c>
      <c r="Z155" s="2">
        <f t="shared" si="78"/>
        <v>0</v>
      </c>
      <c r="AA155" s="2">
        <f t="shared" si="79"/>
        <v>0</v>
      </c>
      <c r="AB155" s="2">
        <f t="shared" si="80"/>
        <v>0</v>
      </c>
      <c r="AD155" s="2">
        <f t="shared" si="81"/>
        <v>0</v>
      </c>
      <c r="AE155" s="2">
        <f t="shared" si="82"/>
        <v>1</v>
      </c>
      <c r="AF155" s="2">
        <f t="shared" si="83"/>
        <v>0</v>
      </c>
      <c r="AG155" s="2">
        <f t="shared" si="84"/>
        <v>1</v>
      </c>
      <c r="AH155" s="2">
        <f t="shared" si="85"/>
        <v>0</v>
      </c>
      <c r="AI155" s="2">
        <f t="shared" si="86"/>
        <v>1</v>
      </c>
    </row>
    <row r="156" spans="1:35" ht="14.25" customHeight="1" x14ac:dyDescent="0.25">
      <c r="A156" s="29">
        <v>0</v>
      </c>
      <c r="B156" s="29">
        <v>2</v>
      </c>
      <c r="C156" s="29">
        <v>2</v>
      </c>
      <c r="D156" s="30" t="s">
        <v>522</v>
      </c>
      <c r="E156" s="30" t="s">
        <v>523</v>
      </c>
      <c r="F156" s="30" t="s">
        <v>514</v>
      </c>
      <c r="G156" s="30" t="s">
        <v>515</v>
      </c>
      <c r="H156" s="30" t="s">
        <v>165</v>
      </c>
      <c r="I156" s="29" t="s">
        <v>33</v>
      </c>
      <c r="J156" s="29">
        <v>99</v>
      </c>
      <c r="K156" s="29" t="s">
        <v>320</v>
      </c>
      <c r="L156" s="29" t="s">
        <v>40</v>
      </c>
      <c r="M156" s="30" t="s">
        <v>40</v>
      </c>
      <c r="N156" s="30" t="s">
        <v>886</v>
      </c>
      <c r="O156" s="31">
        <v>1</v>
      </c>
      <c r="P156" s="31">
        <v>1</v>
      </c>
      <c r="Q156" s="30"/>
      <c r="S156" s="2">
        <f t="shared" si="71"/>
        <v>0</v>
      </c>
      <c r="T156" s="2">
        <f t="shared" si="72"/>
        <v>0</v>
      </c>
      <c r="U156" s="2">
        <f t="shared" si="73"/>
        <v>0</v>
      </c>
      <c r="V156" s="2">
        <f t="shared" si="74"/>
        <v>0</v>
      </c>
      <c r="W156" s="2">
        <f t="shared" si="75"/>
        <v>0</v>
      </c>
      <c r="X156" s="2">
        <f t="shared" si="76"/>
        <v>0</v>
      </c>
      <c r="Y156" s="2">
        <f t="shared" si="77"/>
        <v>0</v>
      </c>
      <c r="Z156" s="2">
        <f t="shared" si="78"/>
        <v>0</v>
      </c>
      <c r="AA156" s="2">
        <f t="shared" si="79"/>
        <v>0</v>
      </c>
      <c r="AB156" s="2">
        <f t="shared" si="80"/>
        <v>0</v>
      </c>
      <c r="AD156" s="2">
        <f t="shared" si="81"/>
        <v>1</v>
      </c>
      <c r="AE156" s="2">
        <f t="shared" si="82"/>
        <v>0</v>
      </c>
      <c r="AF156" s="2">
        <f t="shared" si="83"/>
        <v>1</v>
      </c>
      <c r="AG156" s="2">
        <f t="shared" si="84"/>
        <v>0</v>
      </c>
      <c r="AH156" s="2">
        <f t="shared" si="85"/>
        <v>1</v>
      </c>
      <c r="AI156" s="2">
        <f t="shared" si="86"/>
        <v>0</v>
      </c>
    </row>
    <row r="157" spans="1:35" ht="14.25" customHeight="1" x14ac:dyDescent="0.25">
      <c r="A157" s="29">
        <v>1</v>
      </c>
      <c r="B157" s="29">
        <v>2</v>
      </c>
      <c r="C157" s="29">
        <v>2</v>
      </c>
      <c r="D157" s="30" t="s">
        <v>522</v>
      </c>
      <c r="E157" s="30" t="s">
        <v>523</v>
      </c>
      <c r="F157" s="30" t="s">
        <v>777</v>
      </c>
      <c r="G157" s="30" t="s">
        <v>130</v>
      </c>
      <c r="H157" s="30" t="s">
        <v>165</v>
      </c>
      <c r="I157" s="29" t="s">
        <v>33</v>
      </c>
      <c r="J157" s="29"/>
      <c r="K157" s="29" t="s">
        <v>320</v>
      </c>
      <c r="L157" s="29" t="s">
        <v>40</v>
      </c>
      <c r="M157" s="30" t="s">
        <v>40</v>
      </c>
      <c r="N157" s="30" t="s">
        <v>886</v>
      </c>
      <c r="O157" s="31">
        <v>1</v>
      </c>
      <c r="P157" s="31">
        <v>1</v>
      </c>
      <c r="Q157" s="30"/>
      <c r="S157" s="2">
        <f t="shared" si="71"/>
        <v>0</v>
      </c>
      <c r="T157" s="2">
        <f t="shared" si="72"/>
        <v>0</v>
      </c>
      <c r="U157" s="2">
        <f t="shared" si="73"/>
        <v>0</v>
      </c>
      <c r="V157" s="2">
        <f t="shared" si="74"/>
        <v>0</v>
      </c>
      <c r="W157" s="2">
        <f t="shared" si="75"/>
        <v>0</v>
      </c>
      <c r="X157" s="2">
        <f t="shared" si="76"/>
        <v>0</v>
      </c>
      <c r="Y157" s="2">
        <f t="shared" si="77"/>
        <v>0</v>
      </c>
      <c r="Z157" s="2">
        <f t="shared" si="78"/>
        <v>0</v>
      </c>
      <c r="AA157" s="2">
        <f t="shared" si="79"/>
        <v>0</v>
      </c>
      <c r="AB157" s="2">
        <f t="shared" si="80"/>
        <v>0</v>
      </c>
      <c r="AD157" s="2">
        <f t="shared" si="81"/>
        <v>1</v>
      </c>
      <c r="AE157" s="2">
        <f t="shared" si="82"/>
        <v>0</v>
      </c>
      <c r="AF157" s="2">
        <f t="shared" si="83"/>
        <v>0</v>
      </c>
      <c r="AG157" s="2">
        <f t="shared" si="84"/>
        <v>0</v>
      </c>
      <c r="AH157" s="2">
        <f t="shared" si="85"/>
        <v>0</v>
      </c>
      <c r="AI157" s="2">
        <f t="shared" si="86"/>
        <v>0</v>
      </c>
    </row>
    <row r="158" spans="1:35" ht="14.25" customHeight="1" x14ac:dyDescent="0.25">
      <c r="A158" s="29">
        <v>0</v>
      </c>
      <c r="B158" s="29">
        <v>2</v>
      </c>
      <c r="C158" s="29">
        <v>2</v>
      </c>
      <c r="D158" s="30" t="s">
        <v>54</v>
      </c>
      <c r="E158" s="30" t="s">
        <v>84</v>
      </c>
      <c r="F158" s="30" t="s">
        <v>108</v>
      </c>
      <c r="G158" s="30" t="s">
        <v>40</v>
      </c>
      <c r="H158" s="30" t="s">
        <v>165</v>
      </c>
      <c r="I158" s="29" t="s">
        <v>173</v>
      </c>
      <c r="J158" s="29">
        <v>4</v>
      </c>
      <c r="K158" s="29" t="s">
        <v>320</v>
      </c>
      <c r="L158" s="29" t="s">
        <v>336</v>
      </c>
      <c r="M158" s="30" t="s">
        <v>337</v>
      </c>
      <c r="N158" s="30" t="s">
        <v>904</v>
      </c>
      <c r="O158" s="31">
        <v>1</v>
      </c>
      <c r="P158" s="31"/>
      <c r="Q158" s="30"/>
      <c r="S158" s="2">
        <f t="shared" si="71"/>
        <v>0</v>
      </c>
      <c r="T158" s="2">
        <f t="shared" si="72"/>
        <v>0</v>
      </c>
      <c r="U158" s="2">
        <f t="shared" si="73"/>
        <v>0</v>
      </c>
      <c r="V158" s="2">
        <f t="shared" si="74"/>
        <v>1</v>
      </c>
      <c r="W158" s="2">
        <f t="shared" si="75"/>
        <v>0</v>
      </c>
      <c r="X158" s="2">
        <f t="shared" si="76"/>
        <v>0</v>
      </c>
      <c r="Y158" s="2">
        <f t="shared" si="77"/>
        <v>0</v>
      </c>
      <c r="Z158" s="2">
        <f t="shared" si="78"/>
        <v>0</v>
      </c>
      <c r="AA158" s="2">
        <f t="shared" si="79"/>
        <v>0</v>
      </c>
      <c r="AB158" s="2">
        <f t="shared" si="80"/>
        <v>0</v>
      </c>
      <c r="AD158" s="2">
        <f t="shared" si="81"/>
        <v>0</v>
      </c>
      <c r="AE158" s="2">
        <f t="shared" si="82"/>
        <v>1</v>
      </c>
      <c r="AF158" s="2">
        <f t="shared" si="83"/>
        <v>0</v>
      </c>
      <c r="AG158" s="2">
        <f t="shared" si="84"/>
        <v>1</v>
      </c>
      <c r="AH158" s="2">
        <f t="shared" si="85"/>
        <v>0</v>
      </c>
      <c r="AI158" s="2">
        <f t="shared" si="86"/>
        <v>1</v>
      </c>
    </row>
    <row r="159" spans="1:35" ht="14.25" customHeight="1" x14ac:dyDescent="0.25">
      <c r="A159" s="29">
        <v>1</v>
      </c>
      <c r="B159" s="29">
        <v>2</v>
      </c>
      <c r="C159" s="29">
        <v>2</v>
      </c>
      <c r="D159" s="30" t="s">
        <v>54</v>
      </c>
      <c r="E159" s="30" t="s">
        <v>84</v>
      </c>
      <c r="F159" s="30" t="s">
        <v>722</v>
      </c>
      <c r="G159" s="30" t="s">
        <v>583</v>
      </c>
      <c r="H159" s="30" t="s">
        <v>165</v>
      </c>
      <c r="I159" s="29" t="s">
        <v>33</v>
      </c>
      <c r="J159" s="29">
        <v>99</v>
      </c>
      <c r="K159" s="29" t="s">
        <v>320</v>
      </c>
      <c r="L159" s="29" t="s">
        <v>336</v>
      </c>
      <c r="M159" s="30" t="s">
        <v>337</v>
      </c>
      <c r="N159" s="30" t="s">
        <v>904</v>
      </c>
      <c r="O159" s="31">
        <v>1</v>
      </c>
      <c r="P159" s="31"/>
      <c r="Q159" s="30"/>
      <c r="S159" s="2">
        <f t="shared" si="71"/>
        <v>0</v>
      </c>
      <c r="T159" s="2">
        <f t="shared" si="72"/>
        <v>0</v>
      </c>
      <c r="U159" s="2">
        <f t="shared" si="73"/>
        <v>0</v>
      </c>
      <c r="V159" s="2">
        <f t="shared" si="74"/>
        <v>0</v>
      </c>
      <c r="W159" s="2">
        <f t="shared" si="75"/>
        <v>0</v>
      </c>
      <c r="X159" s="2">
        <f t="shared" si="76"/>
        <v>0</v>
      </c>
      <c r="Y159" s="2">
        <f t="shared" si="77"/>
        <v>0</v>
      </c>
      <c r="Z159" s="2">
        <f t="shared" si="78"/>
        <v>0</v>
      </c>
      <c r="AA159" s="2">
        <f t="shared" si="79"/>
        <v>0</v>
      </c>
      <c r="AB159" s="2">
        <f t="shared" si="80"/>
        <v>0</v>
      </c>
      <c r="AD159" s="2">
        <f t="shared" si="81"/>
        <v>0</v>
      </c>
      <c r="AE159" s="2">
        <f t="shared" si="82"/>
        <v>1</v>
      </c>
      <c r="AF159" s="2">
        <f t="shared" si="83"/>
        <v>0</v>
      </c>
      <c r="AG159" s="2">
        <f t="shared" si="84"/>
        <v>0</v>
      </c>
      <c r="AH159" s="2">
        <f t="shared" si="85"/>
        <v>0</v>
      </c>
      <c r="AI159" s="2">
        <f t="shared" si="86"/>
        <v>0</v>
      </c>
    </row>
    <row r="160" spans="1:35" ht="14.25" customHeight="1" x14ac:dyDescent="0.25">
      <c r="A160" s="29">
        <v>0</v>
      </c>
      <c r="B160" s="29">
        <v>2</v>
      </c>
      <c r="C160" s="29">
        <v>2</v>
      </c>
      <c r="D160" s="30" t="s">
        <v>679</v>
      </c>
      <c r="E160" s="30" t="s">
        <v>674</v>
      </c>
      <c r="F160" s="30" t="s">
        <v>477</v>
      </c>
      <c r="G160" s="30" t="s">
        <v>122</v>
      </c>
      <c r="H160" s="30" t="s">
        <v>165</v>
      </c>
      <c r="I160" s="29" t="s">
        <v>418</v>
      </c>
      <c r="J160" s="29">
        <v>6</v>
      </c>
      <c r="K160" s="29" t="s">
        <v>319</v>
      </c>
      <c r="L160" s="29" t="s">
        <v>339</v>
      </c>
      <c r="M160" s="30" t="s">
        <v>741</v>
      </c>
      <c r="N160" s="30" t="s">
        <v>894</v>
      </c>
      <c r="O160" s="31">
        <v>1</v>
      </c>
      <c r="P160" s="31"/>
      <c r="Q160" s="30"/>
      <c r="S160" s="2">
        <f t="shared" si="71"/>
        <v>0</v>
      </c>
      <c r="T160" s="2">
        <f t="shared" si="72"/>
        <v>0</v>
      </c>
      <c r="U160" s="2">
        <f t="shared" si="73"/>
        <v>0</v>
      </c>
      <c r="V160" s="2">
        <f t="shared" si="74"/>
        <v>0</v>
      </c>
      <c r="W160" s="2">
        <f t="shared" si="75"/>
        <v>0</v>
      </c>
      <c r="X160" s="2">
        <f t="shared" si="76"/>
        <v>1</v>
      </c>
      <c r="Y160" s="2">
        <f t="shared" si="77"/>
        <v>0</v>
      </c>
      <c r="Z160" s="2">
        <f t="shared" si="78"/>
        <v>0</v>
      </c>
      <c r="AA160" s="2">
        <f t="shared" si="79"/>
        <v>0</v>
      </c>
      <c r="AB160" s="2">
        <f t="shared" si="80"/>
        <v>0</v>
      </c>
      <c r="AD160" s="2">
        <f t="shared" si="81"/>
        <v>0</v>
      </c>
      <c r="AE160" s="2">
        <f t="shared" si="82"/>
        <v>1</v>
      </c>
      <c r="AF160" s="2">
        <f t="shared" si="83"/>
        <v>0</v>
      </c>
      <c r="AG160" s="2">
        <f t="shared" si="84"/>
        <v>1</v>
      </c>
      <c r="AH160" s="2">
        <f t="shared" si="85"/>
        <v>0</v>
      </c>
      <c r="AI160" s="2">
        <f t="shared" si="86"/>
        <v>1</v>
      </c>
    </row>
    <row r="161" spans="1:16384" s="3" customFormat="1" ht="14.25" customHeight="1" x14ac:dyDescent="0.25">
      <c r="A161" s="29">
        <v>0</v>
      </c>
      <c r="B161" s="29">
        <v>2</v>
      </c>
      <c r="C161" s="29">
        <v>2</v>
      </c>
      <c r="D161" s="30" t="s">
        <v>436</v>
      </c>
      <c r="E161" s="30" t="s">
        <v>30</v>
      </c>
      <c r="F161" s="30" t="s">
        <v>946</v>
      </c>
      <c r="G161" s="30" t="s">
        <v>578</v>
      </c>
      <c r="H161" s="30" t="s">
        <v>165</v>
      </c>
      <c r="I161" s="29" t="s">
        <v>592</v>
      </c>
      <c r="J161" s="29">
        <v>99</v>
      </c>
      <c r="K161" s="29" t="s">
        <v>377</v>
      </c>
      <c r="L161" s="29">
        <v>35</v>
      </c>
      <c r="M161" s="30" t="s">
        <v>598</v>
      </c>
      <c r="N161" s="30" t="s">
        <v>928</v>
      </c>
      <c r="O161" s="31">
        <v>1</v>
      </c>
      <c r="P161" s="31"/>
      <c r="Q161" s="30"/>
      <c r="R161" s="2"/>
      <c r="S161" s="2">
        <f t="shared" si="71"/>
        <v>0</v>
      </c>
      <c r="T161" s="2">
        <f t="shared" si="72"/>
        <v>0</v>
      </c>
      <c r="U161" s="2">
        <f t="shared" si="73"/>
        <v>0</v>
      </c>
      <c r="V161" s="2">
        <f t="shared" si="74"/>
        <v>0</v>
      </c>
      <c r="W161" s="2">
        <f t="shared" si="75"/>
        <v>0</v>
      </c>
      <c r="X161" s="2">
        <f t="shared" si="76"/>
        <v>0</v>
      </c>
      <c r="Y161" s="2">
        <f t="shared" si="77"/>
        <v>0</v>
      </c>
      <c r="Z161" s="2">
        <f t="shared" si="78"/>
        <v>0</v>
      </c>
      <c r="AA161" s="2">
        <f t="shared" si="79"/>
        <v>0</v>
      </c>
      <c r="AB161" s="2">
        <f t="shared" si="80"/>
        <v>0</v>
      </c>
      <c r="AC161" s="2"/>
      <c r="AD161" s="2">
        <f t="shared" si="81"/>
        <v>0</v>
      </c>
      <c r="AE161" s="2">
        <f t="shared" si="82"/>
        <v>1</v>
      </c>
      <c r="AF161" s="2">
        <f t="shared" si="83"/>
        <v>0</v>
      </c>
      <c r="AG161" s="2">
        <f t="shared" si="84"/>
        <v>1</v>
      </c>
      <c r="AH161" s="2">
        <f t="shared" si="85"/>
        <v>0</v>
      </c>
      <c r="AI161" s="2">
        <f t="shared" si="86"/>
        <v>1</v>
      </c>
    </row>
    <row r="162" spans="1:16384" s="3" customFormat="1" ht="14.25" customHeight="1" x14ac:dyDescent="0.25">
      <c r="A162" s="29">
        <v>0</v>
      </c>
      <c r="B162" s="29">
        <v>2</v>
      </c>
      <c r="C162" s="29">
        <v>2</v>
      </c>
      <c r="D162" s="30" t="s">
        <v>561</v>
      </c>
      <c r="E162" s="30" t="s">
        <v>562</v>
      </c>
      <c r="F162" s="30" t="s">
        <v>563</v>
      </c>
      <c r="G162" s="30" t="s">
        <v>564</v>
      </c>
      <c r="H162" s="30" t="s">
        <v>165</v>
      </c>
      <c r="I162" s="29" t="s">
        <v>565</v>
      </c>
      <c r="J162" s="29">
        <v>99</v>
      </c>
      <c r="K162" s="29" t="s">
        <v>320</v>
      </c>
      <c r="L162" s="29" t="s">
        <v>40</v>
      </c>
      <c r="M162" s="30" t="s">
        <v>40</v>
      </c>
      <c r="N162" s="30" t="s">
        <v>886</v>
      </c>
      <c r="O162" s="31">
        <v>1</v>
      </c>
      <c r="P162" s="31">
        <v>1</v>
      </c>
      <c r="Q162" s="30"/>
      <c r="R162" s="2"/>
      <c r="S162" s="2">
        <f t="shared" si="71"/>
        <v>0</v>
      </c>
      <c r="T162" s="2">
        <f t="shared" si="72"/>
        <v>0</v>
      </c>
      <c r="U162" s="2">
        <f t="shared" si="73"/>
        <v>0</v>
      </c>
      <c r="V162" s="2">
        <f t="shared" si="74"/>
        <v>0</v>
      </c>
      <c r="W162" s="2">
        <f t="shared" si="75"/>
        <v>0</v>
      </c>
      <c r="X162" s="2">
        <f t="shared" si="76"/>
        <v>0</v>
      </c>
      <c r="Y162" s="2">
        <f t="shared" si="77"/>
        <v>0</v>
      </c>
      <c r="Z162" s="2">
        <f t="shared" si="78"/>
        <v>0</v>
      </c>
      <c r="AA162" s="2">
        <f t="shared" si="79"/>
        <v>0</v>
      </c>
      <c r="AB162" s="2">
        <f t="shared" si="80"/>
        <v>0</v>
      </c>
      <c r="AC162" s="2"/>
      <c r="AD162" s="2">
        <f t="shared" si="81"/>
        <v>1</v>
      </c>
      <c r="AE162" s="2">
        <f t="shared" si="82"/>
        <v>0</v>
      </c>
      <c r="AF162" s="2">
        <f t="shared" si="83"/>
        <v>1</v>
      </c>
      <c r="AG162" s="2">
        <f t="shared" si="84"/>
        <v>0</v>
      </c>
      <c r="AH162" s="2">
        <f t="shared" si="85"/>
        <v>1</v>
      </c>
      <c r="AI162" s="2">
        <f t="shared" si="86"/>
        <v>0</v>
      </c>
    </row>
    <row r="163" spans="1:16384" s="3" customFormat="1" ht="14.25" customHeight="1" x14ac:dyDescent="0.25">
      <c r="A163" s="26">
        <v>0</v>
      </c>
      <c r="B163" s="26">
        <v>2</v>
      </c>
      <c r="C163" s="26">
        <v>2</v>
      </c>
      <c r="D163" s="27" t="s">
        <v>961</v>
      </c>
      <c r="E163" s="27" t="s">
        <v>962</v>
      </c>
      <c r="F163" s="27" t="s">
        <v>963</v>
      </c>
      <c r="G163" s="27" t="s">
        <v>964</v>
      </c>
      <c r="H163" s="27" t="s">
        <v>165</v>
      </c>
      <c r="I163" s="26" t="s">
        <v>965</v>
      </c>
      <c r="J163" s="26"/>
      <c r="K163" s="26" t="s">
        <v>377</v>
      </c>
      <c r="L163" s="26"/>
      <c r="M163" s="27"/>
      <c r="N163" s="27"/>
      <c r="O163" s="28"/>
      <c r="P163" s="28">
        <v>1</v>
      </c>
      <c r="Q163" s="27"/>
      <c r="R163" s="20"/>
      <c r="S163" s="2">
        <f t="shared" si="71"/>
        <v>0</v>
      </c>
      <c r="T163" s="2">
        <f t="shared" si="72"/>
        <v>0</v>
      </c>
      <c r="U163" s="2">
        <f t="shared" si="73"/>
        <v>0</v>
      </c>
      <c r="V163" s="2">
        <f t="shared" si="74"/>
        <v>0</v>
      </c>
      <c r="W163" s="2">
        <f t="shared" si="75"/>
        <v>0</v>
      </c>
      <c r="X163" s="2">
        <f t="shared" si="76"/>
        <v>0</v>
      </c>
      <c r="Y163" s="2">
        <f t="shared" si="77"/>
        <v>0</v>
      </c>
      <c r="Z163" s="2">
        <f t="shared" si="78"/>
        <v>0</v>
      </c>
      <c r="AA163" s="2">
        <f t="shared" si="79"/>
        <v>0</v>
      </c>
      <c r="AB163" s="2">
        <f t="shared" si="80"/>
        <v>0</v>
      </c>
      <c r="AC163" s="2"/>
      <c r="AD163" s="2">
        <f t="shared" si="81"/>
        <v>0</v>
      </c>
      <c r="AE163" s="2">
        <f t="shared" si="82"/>
        <v>0</v>
      </c>
      <c r="AF163" s="2">
        <f t="shared" si="83"/>
        <v>0</v>
      </c>
      <c r="AG163" s="2">
        <f t="shared" si="84"/>
        <v>0</v>
      </c>
      <c r="AH163" s="2">
        <f t="shared" si="85"/>
        <v>1</v>
      </c>
      <c r="AI163" s="2">
        <f t="shared" si="86"/>
        <v>0</v>
      </c>
      <c r="AJ163" s="20"/>
      <c r="AK163" s="20"/>
      <c r="AL163" s="21"/>
      <c r="AM163" s="21"/>
      <c r="AN163" s="21"/>
      <c r="AO163" s="21"/>
      <c r="AP163" s="21"/>
      <c r="AQ163" s="20"/>
      <c r="AR163" s="20"/>
      <c r="AS163" s="20"/>
      <c r="AT163" s="20"/>
      <c r="AU163" s="21"/>
      <c r="AV163" s="21"/>
      <c r="AW163" s="7"/>
      <c r="AX163" s="7"/>
      <c r="AY163" s="21"/>
      <c r="AZ163" s="20"/>
      <c r="BA163" s="20"/>
      <c r="BB163" s="20"/>
      <c r="BC163" s="21"/>
      <c r="BD163" s="21"/>
      <c r="BE163" s="21"/>
      <c r="BF163" s="21"/>
      <c r="BG163" s="21"/>
      <c r="BH163" s="20"/>
      <c r="BI163" s="20"/>
      <c r="BJ163" s="20"/>
      <c r="BK163" s="20"/>
      <c r="BL163" s="21"/>
      <c r="BM163" s="21"/>
      <c r="BN163" s="7"/>
      <c r="BO163" s="7"/>
      <c r="BP163" s="21"/>
      <c r="BQ163" s="20"/>
      <c r="BR163" s="20"/>
      <c r="BS163" s="20"/>
      <c r="BT163" s="21"/>
      <c r="BU163" s="21"/>
      <c r="BV163" s="21"/>
      <c r="BW163" s="21"/>
      <c r="BX163" s="21"/>
      <c r="BY163" s="20"/>
      <c r="BZ163" s="20"/>
      <c r="CA163" s="20"/>
      <c r="CB163" s="20"/>
      <c r="CC163" s="21"/>
      <c r="CD163" s="21"/>
      <c r="CE163" s="7"/>
      <c r="CF163" s="7"/>
      <c r="CG163" s="21"/>
      <c r="CH163" s="20"/>
      <c r="CI163" s="20"/>
      <c r="CJ163" s="20"/>
      <c r="CK163" s="21"/>
      <c r="CL163" s="21"/>
      <c r="CM163" s="21"/>
      <c r="CN163" s="21"/>
      <c r="CO163" s="21"/>
      <c r="CP163" s="20"/>
      <c r="CQ163" s="20"/>
      <c r="CR163" s="20"/>
      <c r="CS163" s="20"/>
      <c r="CT163" s="21"/>
      <c r="CU163" s="21"/>
      <c r="CV163" s="7"/>
      <c r="CW163" s="7"/>
      <c r="CX163" s="21"/>
      <c r="CY163" s="20"/>
      <c r="CZ163" s="20"/>
      <c r="DA163" s="20"/>
      <c r="DB163" s="21"/>
      <c r="DC163" s="21"/>
      <c r="DD163" s="21"/>
      <c r="DE163" s="21"/>
      <c r="DF163" s="21"/>
      <c r="DG163" s="20"/>
      <c r="DH163" s="20"/>
      <c r="DI163" s="20"/>
      <c r="DJ163" s="20"/>
      <c r="DK163" s="21"/>
      <c r="DL163" s="21"/>
      <c r="DM163" s="7"/>
      <c r="DN163" s="7"/>
      <c r="DO163" s="21"/>
      <c r="DP163" s="20"/>
      <c r="DQ163" s="20"/>
      <c r="DR163" s="20"/>
      <c r="DS163" s="21"/>
      <c r="DT163" s="21"/>
      <c r="DU163" s="21"/>
      <c r="DV163" s="21"/>
      <c r="DW163" s="21"/>
      <c r="DX163" s="20"/>
      <c r="DY163" s="20"/>
      <c r="DZ163" s="20"/>
      <c r="EA163" s="20"/>
      <c r="EB163" s="21"/>
      <c r="EC163" s="21"/>
      <c r="ED163" s="7"/>
      <c r="EE163" s="7"/>
      <c r="EF163" s="21"/>
      <c r="EG163" s="20"/>
      <c r="EH163" s="20"/>
      <c r="EI163" s="20"/>
      <c r="EJ163" s="21"/>
      <c r="EK163" s="21"/>
      <c r="EL163" s="21"/>
      <c r="EM163" s="21"/>
      <c r="EN163" s="21"/>
      <c r="EO163" s="20"/>
      <c r="EP163" s="20"/>
      <c r="EQ163" s="20"/>
      <c r="ER163" s="20"/>
      <c r="ES163" s="21"/>
      <c r="ET163" s="21"/>
      <c r="EU163" s="7"/>
      <c r="EV163" s="7"/>
      <c r="EW163" s="21"/>
      <c r="EX163" s="20"/>
      <c r="EY163" s="20"/>
      <c r="EZ163" s="20"/>
      <c r="FA163" s="21"/>
      <c r="FB163" s="21"/>
      <c r="FC163" s="21"/>
      <c r="FD163" s="21"/>
      <c r="FE163" s="21"/>
      <c r="FF163" s="20"/>
      <c r="FG163" s="20"/>
      <c r="FH163" s="20"/>
      <c r="FI163" s="20"/>
      <c r="FJ163" s="21"/>
      <c r="FK163" s="21"/>
      <c r="FL163" s="7"/>
      <c r="FM163" s="7"/>
      <c r="FN163" s="21"/>
      <c r="FO163" s="20"/>
      <c r="FP163" s="20"/>
      <c r="FQ163" s="20"/>
      <c r="FR163" s="21"/>
      <c r="FS163" s="21"/>
      <c r="FT163" s="21"/>
      <c r="FU163" s="21"/>
      <c r="FV163" s="21"/>
      <c r="FW163" s="20"/>
      <c r="FX163" s="20"/>
      <c r="FY163" s="20"/>
      <c r="FZ163" s="20"/>
      <c r="GA163" s="21"/>
      <c r="GB163" s="21"/>
      <c r="GC163" s="7"/>
      <c r="GD163" s="7"/>
      <c r="GE163" s="21"/>
      <c r="GF163" s="20"/>
      <c r="GG163" s="20"/>
      <c r="GH163" s="20"/>
      <c r="GI163" s="21"/>
      <c r="GJ163" s="21"/>
      <c r="GK163" s="21"/>
      <c r="GL163" s="21"/>
      <c r="GM163" s="21"/>
      <c r="GN163" s="20"/>
      <c r="GO163" s="20"/>
      <c r="GP163" s="20"/>
      <c r="GQ163" s="20"/>
      <c r="GR163" s="21"/>
      <c r="GS163" s="21"/>
      <c r="GT163" s="7"/>
      <c r="GU163" s="7"/>
      <c r="GV163" s="21"/>
      <c r="GW163" s="20"/>
      <c r="GX163" s="20"/>
      <c r="GY163" s="20"/>
      <c r="GZ163" s="21"/>
      <c r="HA163" s="21"/>
      <c r="HB163" s="21"/>
      <c r="HC163" s="21"/>
      <c r="HD163" s="21"/>
      <c r="HE163" s="20"/>
      <c r="HF163" s="20"/>
      <c r="HG163" s="20"/>
      <c r="HH163" s="20"/>
      <c r="HI163" s="21"/>
      <c r="HJ163" s="21"/>
      <c r="HK163" s="7"/>
      <c r="HL163" s="7"/>
      <c r="HM163" s="21"/>
      <c r="HN163" s="20"/>
      <c r="HO163" s="20"/>
      <c r="HP163" s="20"/>
      <c r="HQ163" s="21"/>
      <c r="HR163" s="21"/>
      <c r="HS163" s="21"/>
      <c r="HT163" s="21"/>
      <c r="HU163" s="21"/>
      <c r="HV163" s="20"/>
      <c r="HW163" s="20"/>
      <c r="HX163" s="20"/>
      <c r="HY163" s="20"/>
      <c r="HZ163" s="21"/>
      <c r="IA163" s="21"/>
      <c r="IB163" s="7"/>
      <c r="IC163" s="7"/>
      <c r="ID163" s="21"/>
      <c r="IE163" s="20"/>
      <c r="IF163" s="20"/>
      <c r="IG163" s="20"/>
      <c r="IH163" s="21"/>
      <c r="II163" s="21"/>
      <c r="IJ163" s="21"/>
      <c r="IK163" s="21"/>
      <c r="IL163" s="21"/>
      <c r="IM163" s="20"/>
      <c r="IN163" s="20"/>
      <c r="IO163" s="20"/>
      <c r="IP163" s="20"/>
      <c r="IQ163" s="21"/>
      <c r="IR163" s="21"/>
      <c r="IS163" s="7"/>
      <c r="IT163" s="7"/>
      <c r="IU163" s="21"/>
      <c r="IV163" s="20"/>
      <c r="IW163" s="20"/>
      <c r="IX163" s="20"/>
      <c r="IY163" s="21"/>
      <c r="IZ163" s="21"/>
      <c r="JA163" s="21"/>
      <c r="JB163" s="21"/>
      <c r="JC163" s="21"/>
      <c r="JD163" s="20"/>
      <c r="JE163" s="20"/>
      <c r="JF163" s="20"/>
      <c r="JG163" s="20"/>
      <c r="JH163" s="21"/>
      <c r="JI163" s="21"/>
      <c r="JJ163" s="7"/>
      <c r="JK163" s="7"/>
      <c r="JL163" s="21"/>
      <c r="JM163" s="20"/>
      <c r="JN163" s="20"/>
      <c r="JO163" s="20"/>
      <c r="JP163" s="21"/>
      <c r="JQ163" s="21"/>
      <c r="JR163" s="21"/>
      <c r="JS163" s="21"/>
      <c r="JT163" s="21"/>
      <c r="JU163" s="20"/>
      <c r="JV163" s="20"/>
      <c r="JW163" s="20"/>
      <c r="JX163" s="20"/>
      <c r="JY163" s="21"/>
      <c r="JZ163" s="21"/>
      <c r="KA163" s="7"/>
      <c r="KB163" s="7"/>
      <c r="KC163" s="21"/>
      <c r="KD163" s="20"/>
      <c r="KE163" s="20"/>
      <c r="KF163" s="20"/>
      <c r="KG163" s="21"/>
      <c r="KH163" s="21"/>
      <c r="KI163" s="21"/>
      <c r="KJ163" s="21"/>
      <c r="KK163" s="21"/>
      <c r="KL163" s="20"/>
      <c r="KM163" s="20"/>
      <c r="KN163" s="20"/>
      <c r="KO163" s="20"/>
      <c r="KP163" s="21"/>
      <c r="KQ163" s="21"/>
      <c r="KR163" s="7"/>
      <c r="KS163" s="7"/>
      <c r="KT163" s="21"/>
      <c r="KU163" s="20"/>
      <c r="KV163" s="20"/>
      <c r="KW163" s="20"/>
      <c r="KX163" s="21"/>
      <c r="KY163" s="21"/>
      <c r="KZ163" s="21"/>
      <c r="LA163" s="21"/>
      <c r="LB163" s="21"/>
      <c r="LC163" s="20"/>
      <c r="LD163" s="20"/>
      <c r="LE163" s="20"/>
      <c r="LF163" s="20"/>
      <c r="LG163" s="21"/>
      <c r="LH163" s="21"/>
      <c r="LI163" s="7"/>
      <c r="LJ163" s="7"/>
      <c r="LK163" s="21"/>
      <c r="LL163" s="20"/>
      <c r="LM163" s="20"/>
      <c r="LN163" s="20"/>
      <c r="LO163" s="21"/>
      <c r="LP163" s="21"/>
      <c r="LQ163" s="21"/>
      <c r="LR163" s="21"/>
      <c r="LS163" s="21"/>
      <c r="LT163" s="20"/>
      <c r="LU163" s="20"/>
      <c r="LV163" s="20"/>
      <c r="LW163" s="20"/>
      <c r="LX163" s="21"/>
      <c r="LY163" s="21"/>
      <c r="LZ163" s="7"/>
      <c r="MA163" s="7"/>
      <c r="MB163" s="21"/>
      <c r="MC163" s="20"/>
      <c r="MD163" s="20"/>
      <c r="ME163" s="20"/>
      <c r="MF163" s="21"/>
      <c r="MG163" s="21"/>
      <c r="MH163" s="21"/>
      <c r="MI163" s="21"/>
      <c r="MJ163" s="21"/>
      <c r="MK163" s="20"/>
      <c r="ML163" s="20"/>
      <c r="MM163" s="20"/>
      <c r="MN163" s="20"/>
      <c r="MO163" s="21"/>
      <c r="MP163" s="21"/>
      <c r="MQ163" s="7"/>
      <c r="MR163" s="7"/>
      <c r="MS163" s="21"/>
      <c r="MT163" s="20"/>
      <c r="MU163" s="20"/>
      <c r="MV163" s="20"/>
      <c r="MW163" s="21"/>
      <c r="MX163" s="21"/>
      <c r="MY163" s="21"/>
      <c r="MZ163" s="21"/>
      <c r="NA163" s="21"/>
      <c r="NB163" s="20"/>
      <c r="NC163" s="20"/>
      <c r="ND163" s="20"/>
      <c r="NE163" s="20"/>
      <c r="NF163" s="21"/>
      <c r="NG163" s="21"/>
      <c r="NH163" s="7"/>
      <c r="NI163" s="7"/>
      <c r="NJ163" s="21"/>
      <c r="NK163" s="20"/>
      <c r="NL163" s="20"/>
      <c r="NM163" s="20"/>
      <c r="NN163" s="21"/>
      <c r="NO163" s="21"/>
      <c r="NP163" s="21"/>
      <c r="NQ163" s="21"/>
      <c r="NR163" s="21"/>
      <c r="NS163" s="20"/>
      <c r="NT163" s="20"/>
      <c r="NU163" s="20"/>
      <c r="NV163" s="20"/>
      <c r="NW163" s="21"/>
      <c r="NX163" s="21"/>
      <c r="NY163" s="7"/>
      <c r="NZ163" s="7"/>
      <c r="OA163" s="21"/>
      <c r="OB163" s="20"/>
      <c r="OC163" s="20"/>
      <c r="OD163" s="20"/>
      <c r="OE163" s="21"/>
      <c r="OF163" s="21"/>
      <c r="OG163" s="21"/>
      <c r="OH163" s="21"/>
      <c r="OI163" s="21"/>
      <c r="OJ163" s="20"/>
      <c r="OK163" s="20"/>
      <c r="OL163" s="20"/>
      <c r="OM163" s="20"/>
      <c r="ON163" s="21"/>
      <c r="OO163" s="21"/>
      <c r="OP163" s="7"/>
      <c r="OQ163" s="7"/>
      <c r="OR163" s="21"/>
      <c r="OS163" s="20"/>
      <c r="OT163" s="20"/>
      <c r="OU163" s="20"/>
      <c r="OV163" s="21"/>
      <c r="OW163" s="21"/>
      <c r="OX163" s="21"/>
      <c r="OY163" s="21"/>
      <c r="OZ163" s="21"/>
      <c r="PA163" s="20"/>
      <c r="PB163" s="20"/>
      <c r="PC163" s="20"/>
      <c r="PD163" s="20"/>
      <c r="PE163" s="21"/>
      <c r="PF163" s="21"/>
      <c r="PG163" s="7"/>
      <c r="PH163" s="7"/>
      <c r="PI163" s="21"/>
      <c r="PJ163" s="20"/>
      <c r="PK163" s="20"/>
      <c r="PL163" s="20"/>
      <c r="PM163" s="21"/>
      <c r="PN163" s="21"/>
      <c r="PO163" s="21"/>
      <c r="PP163" s="21"/>
      <c r="PQ163" s="21"/>
      <c r="PR163" s="20"/>
      <c r="PS163" s="20"/>
      <c r="PT163" s="20"/>
      <c r="PU163" s="20"/>
      <c r="PV163" s="21"/>
      <c r="PW163" s="21"/>
      <c r="PX163" s="7"/>
      <c r="PY163" s="7"/>
      <c r="PZ163" s="21"/>
      <c r="QA163" s="20"/>
      <c r="QB163" s="20"/>
      <c r="QC163" s="20"/>
      <c r="QD163" s="21"/>
      <c r="QE163" s="21"/>
      <c r="QF163" s="21"/>
      <c r="QG163" s="21"/>
      <c r="QH163" s="21"/>
      <c r="QI163" s="20"/>
      <c r="QJ163" s="20"/>
      <c r="QK163" s="20"/>
      <c r="QL163" s="20"/>
      <c r="QM163" s="21"/>
      <c r="QN163" s="21"/>
      <c r="QO163" s="7"/>
      <c r="QP163" s="7"/>
      <c r="QQ163" s="21"/>
      <c r="QR163" s="20"/>
      <c r="QS163" s="20"/>
      <c r="QT163" s="20"/>
      <c r="QU163" s="21"/>
      <c r="QV163" s="21"/>
      <c r="QW163" s="21"/>
      <c r="QX163" s="21"/>
      <c r="QY163" s="21"/>
      <c r="QZ163" s="20"/>
      <c r="RA163" s="20"/>
      <c r="RB163" s="20"/>
      <c r="RC163" s="20"/>
      <c r="RD163" s="21"/>
      <c r="RE163" s="21"/>
      <c r="RF163" s="7"/>
      <c r="RG163" s="7"/>
      <c r="RH163" s="21"/>
      <c r="RI163" s="20"/>
      <c r="RJ163" s="20"/>
      <c r="RK163" s="20"/>
      <c r="RL163" s="21"/>
      <c r="RM163" s="21"/>
      <c r="RN163" s="21"/>
      <c r="RO163" s="21"/>
      <c r="RP163" s="21"/>
      <c r="RQ163" s="20"/>
      <c r="RR163" s="20"/>
      <c r="RS163" s="20"/>
      <c r="RT163" s="20"/>
      <c r="RU163" s="21"/>
      <c r="RV163" s="21"/>
      <c r="RW163" s="7"/>
      <c r="RX163" s="7"/>
      <c r="RY163" s="21"/>
      <c r="RZ163" s="20"/>
      <c r="SA163" s="20"/>
      <c r="SB163" s="20"/>
      <c r="SC163" s="21"/>
      <c r="SD163" s="21"/>
      <c r="SE163" s="21"/>
      <c r="SF163" s="21"/>
      <c r="SG163" s="21"/>
      <c r="SH163" s="20"/>
      <c r="SI163" s="20"/>
      <c r="SJ163" s="20"/>
      <c r="SK163" s="20"/>
      <c r="SL163" s="21"/>
      <c r="SM163" s="21"/>
      <c r="SN163" s="7"/>
      <c r="SO163" s="7"/>
      <c r="SP163" s="21"/>
      <c r="SQ163" s="20"/>
      <c r="SR163" s="20"/>
      <c r="SS163" s="20"/>
      <c r="ST163" s="21"/>
      <c r="SU163" s="21"/>
      <c r="SV163" s="21"/>
      <c r="SW163" s="21"/>
      <c r="SX163" s="21"/>
      <c r="SY163" s="20"/>
      <c r="SZ163" s="20"/>
      <c r="TA163" s="20"/>
      <c r="TB163" s="20"/>
      <c r="TC163" s="21"/>
      <c r="TD163" s="21"/>
      <c r="TE163" s="7"/>
      <c r="TF163" s="7"/>
      <c r="TG163" s="21"/>
      <c r="TH163" s="20"/>
      <c r="TI163" s="20"/>
      <c r="TJ163" s="20"/>
      <c r="TK163" s="21"/>
      <c r="TL163" s="21"/>
      <c r="TM163" s="21"/>
      <c r="TN163" s="21"/>
      <c r="TO163" s="21"/>
      <c r="TP163" s="20"/>
      <c r="TQ163" s="20"/>
      <c r="TR163" s="20"/>
      <c r="TS163" s="20"/>
      <c r="TT163" s="21"/>
      <c r="TU163" s="21"/>
      <c r="TV163" s="7"/>
      <c r="TW163" s="7"/>
      <c r="TX163" s="21"/>
      <c r="TY163" s="20"/>
      <c r="TZ163" s="20"/>
      <c r="UA163" s="20"/>
      <c r="UB163" s="21"/>
      <c r="UC163" s="21"/>
      <c r="UD163" s="21"/>
      <c r="UE163" s="21"/>
      <c r="UF163" s="21"/>
      <c r="UG163" s="20"/>
      <c r="UH163" s="20"/>
      <c r="UI163" s="20"/>
      <c r="UJ163" s="20"/>
      <c r="UK163" s="21"/>
      <c r="UL163" s="21"/>
      <c r="UM163" s="7"/>
      <c r="UN163" s="7"/>
      <c r="UO163" s="21"/>
      <c r="UP163" s="20"/>
      <c r="UQ163" s="20"/>
      <c r="UR163" s="20"/>
      <c r="US163" s="21"/>
      <c r="UT163" s="21"/>
      <c r="UU163" s="21"/>
      <c r="UV163" s="21"/>
      <c r="UW163" s="21"/>
      <c r="UX163" s="20"/>
      <c r="UY163" s="20"/>
      <c r="UZ163" s="20"/>
      <c r="VA163" s="20"/>
      <c r="VB163" s="21"/>
      <c r="VC163" s="21"/>
      <c r="VD163" s="7"/>
      <c r="VE163" s="7"/>
      <c r="VF163" s="21"/>
      <c r="VG163" s="20"/>
      <c r="VH163" s="20"/>
      <c r="VI163" s="20"/>
      <c r="VJ163" s="21"/>
      <c r="VK163" s="21"/>
      <c r="VL163" s="21"/>
      <c r="VM163" s="21"/>
      <c r="VN163" s="21"/>
      <c r="VO163" s="20"/>
      <c r="VP163" s="20"/>
      <c r="VQ163" s="20"/>
      <c r="VR163" s="20"/>
      <c r="VS163" s="21"/>
      <c r="VT163" s="21"/>
      <c r="VU163" s="7"/>
      <c r="VV163" s="7"/>
      <c r="VW163" s="21"/>
      <c r="VX163" s="20"/>
      <c r="VY163" s="20"/>
      <c r="VZ163" s="20"/>
      <c r="WA163" s="21"/>
      <c r="WB163" s="21"/>
      <c r="WC163" s="21"/>
      <c r="WD163" s="21"/>
      <c r="WE163" s="21"/>
      <c r="WF163" s="20"/>
      <c r="WG163" s="20"/>
      <c r="WH163" s="20"/>
      <c r="WI163" s="20"/>
      <c r="WJ163" s="21"/>
      <c r="WK163" s="21"/>
      <c r="WL163" s="7"/>
      <c r="WM163" s="7"/>
      <c r="WN163" s="21"/>
      <c r="WO163" s="20"/>
      <c r="WP163" s="20"/>
      <c r="WQ163" s="20"/>
      <c r="WR163" s="21"/>
      <c r="WS163" s="21"/>
      <c r="WT163" s="21"/>
      <c r="WU163" s="21"/>
      <c r="WV163" s="21"/>
      <c r="WW163" s="20"/>
      <c r="WX163" s="20"/>
      <c r="WY163" s="20"/>
      <c r="WZ163" s="20"/>
      <c r="XA163" s="21"/>
      <c r="XB163" s="21"/>
      <c r="XC163" s="7"/>
      <c r="XD163" s="7"/>
      <c r="XE163" s="21"/>
      <c r="XF163" s="20"/>
      <c r="XG163" s="20"/>
      <c r="XH163" s="20"/>
      <c r="XI163" s="21"/>
      <c r="XJ163" s="21"/>
      <c r="XK163" s="21"/>
      <c r="XL163" s="21"/>
      <c r="XM163" s="21"/>
      <c r="XN163" s="20"/>
      <c r="XO163" s="20"/>
      <c r="XP163" s="20"/>
      <c r="XQ163" s="20"/>
      <c r="XR163" s="21"/>
      <c r="XS163" s="21"/>
      <c r="XT163" s="7"/>
      <c r="XU163" s="7"/>
      <c r="XV163" s="21"/>
      <c r="XW163" s="20"/>
      <c r="XX163" s="20"/>
      <c r="XY163" s="20"/>
      <c r="XZ163" s="21"/>
      <c r="YA163" s="21"/>
      <c r="YB163" s="21"/>
      <c r="YC163" s="21"/>
      <c r="YD163" s="21"/>
      <c r="YE163" s="20"/>
      <c r="YF163" s="20"/>
      <c r="YG163" s="20"/>
      <c r="YH163" s="20"/>
      <c r="YI163" s="21"/>
      <c r="YJ163" s="21"/>
      <c r="YK163" s="7"/>
      <c r="YL163" s="7"/>
      <c r="YM163" s="21"/>
      <c r="YN163" s="20"/>
      <c r="YO163" s="20"/>
      <c r="YP163" s="20"/>
      <c r="YQ163" s="21"/>
      <c r="YR163" s="21"/>
      <c r="YS163" s="21"/>
      <c r="YT163" s="21"/>
      <c r="YU163" s="21"/>
      <c r="YV163" s="20"/>
      <c r="YW163" s="20"/>
      <c r="YX163" s="20"/>
      <c r="YY163" s="20"/>
      <c r="YZ163" s="21"/>
      <c r="ZA163" s="21"/>
      <c r="ZB163" s="7"/>
      <c r="ZC163" s="7"/>
      <c r="ZD163" s="21"/>
      <c r="ZE163" s="20"/>
      <c r="ZF163" s="20"/>
      <c r="ZG163" s="20"/>
      <c r="ZH163" s="21"/>
      <c r="ZI163" s="21"/>
      <c r="ZJ163" s="21"/>
      <c r="ZK163" s="21"/>
      <c r="ZL163" s="21"/>
      <c r="ZM163" s="20"/>
      <c r="ZN163" s="20"/>
      <c r="ZO163" s="20"/>
      <c r="ZP163" s="20"/>
      <c r="ZQ163" s="21"/>
      <c r="ZR163" s="21"/>
      <c r="ZS163" s="7"/>
      <c r="ZT163" s="7"/>
      <c r="ZU163" s="21"/>
      <c r="ZV163" s="20"/>
      <c r="ZW163" s="20"/>
      <c r="ZX163" s="20"/>
      <c r="ZY163" s="21"/>
      <c r="ZZ163" s="21"/>
      <c r="AAA163" s="21"/>
      <c r="AAB163" s="21"/>
      <c r="AAC163" s="21"/>
      <c r="AAD163" s="20"/>
      <c r="AAE163" s="20"/>
      <c r="AAF163" s="20"/>
      <c r="AAG163" s="20"/>
      <c r="AAH163" s="21"/>
      <c r="AAI163" s="21"/>
      <c r="AAJ163" s="7"/>
      <c r="AAK163" s="7"/>
      <c r="AAL163" s="21"/>
      <c r="AAM163" s="20"/>
      <c r="AAN163" s="20"/>
      <c r="AAO163" s="20"/>
      <c r="AAP163" s="21"/>
      <c r="AAQ163" s="21"/>
      <c r="AAR163" s="21"/>
      <c r="AAS163" s="21"/>
      <c r="AAT163" s="21"/>
      <c r="AAU163" s="20"/>
      <c r="AAV163" s="20"/>
      <c r="AAW163" s="20"/>
      <c r="AAX163" s="20"/>
      <c r="AAY163" s="21"/>
      <c r="AAZ163" s="21"/>
      <c r="ABA163" s="7"/>
      <c r="ABB163" s="7"/>
      <c r="ABC163" s="21"/>
      <c r="ABD163" s="20"/>
      <c r="ABE163" s="20"/>
      <c r="ABF163" s="20"/>
      <c r="ABG163" s="21"/>
      <c r="ABH163" s="21"/>
      <c r="ABI163" s="21"/>
      <c r="ABJ163" s="21"/>
      <c r="ABK163" s="21"/>
      <c r="ABL163" s="20"/>
      <c r="ABM163" s="20"/>
      <c r="ABN163" s="20"/>
      <c r="ABO163" s="20"/>
      <c r="ABP163" s="21"/>
      <c r="ABQ163" s="21"/>
      <c r="ABR163" s="7"/>
      <c r="ABS163" s="7"/>
      <c r="ABT163" s="21"/>
      <c r="ABU163" s="20"/>
      <c r="ABV163" s="20"/>
      <c r="ABW163" s="20"/>
      <c r="ABX163" s="21"/>
      <c r="ABY163" s="21"/>
      <c r="ABZ163" s="21"/>
      <c r="ACA163" s="21"/>
      <c r="ACB163" s="21"/>
      <c r="ACC163" s="20"/>
      <c r="ACD163" s="20"/>
      <c r="ACE163" s="20"/>
      <c r="ACF163" s="20"/>
      <c r="ACG163" s="21"/>
      <c r="ACH163" s="21"/>
      <c r="ACI163" s="7"/>
      <c r="ACJ163" s="7"/>
      <c r="ACK163" s="21"/>
      <c r="ACL163" s="20"/>
      <c r="ACM163" s="20"/>
      <c r="ACN163" s="20"/>
      <c r="ACO163" s="21"/>
      <c r="ACP163" s="21"/>
      <c r="ACQ163" s="21"/>
      <c r="ACR163" s="21"/>
      <c r="ACS163" s="21"/>
      <c r="ACT163" s="20"/>
      <c r="ACU163" s="20"/>
      <c r="ACV163" s="20"/>
      <c r="ACW163" s="20"/>
      <c r="ACX163" s="21"/>
      <c r="ACY163" s="21"/>
      <c r="ACZ163" s="7"/>
      <c r="ADA163" s="7"/>
      <c r="ADB163" s="21"/>
      <c r="ADC163" s="20"/>
      <c r="ADD163" s="20"/>
      <c r="ADE163" s="20"/>
      <c r="ADF163" s="21"/>
      <c r="ADG163" s="21"/>
      <c r="ADH163" s="21"/>
      <c r="ADI163" s="21"/>
      <c r="ADJ163" s="21"/>
      <c r="ADK163" s="20"/>
      <c r="ADL163" s="20"/>
      <c r="ADM163" s="20"/>
      <c r="ADN163" s="20"/>
      <c r="ADO163" s="21"/>
      <c r="ADP163" s="21"/>
      <c r="ADQ163" s="7"/>
      <c r="ADR163" s="7"/>
      <c r="ADS163" s="21"/>
      <c r="ADT163" s="20"/>
      <c r="ADU163" s="20"/>
      <c r="ADV163" s="20"/>
      <c r="ADW163" s="21"/>
      <c r="ADX163" s="21"/>
      <c r="ADY163" s="21"/>
      <c r="ADZ163" s="21"/>
      <c r="AEA163" s="21"/>
      <c r="AEB163" s="20"/>
      <c r="AEC163" s="20"/>
      <c r="AED163" s="20"/>
      <c r="AEE163" s="20"/>
      <c r="AEF163" s="21"/>
      <c r="AEG163" s="21"/>
      <c r="AEH163" s="7"/>
      <c r="AEI163" s="7"/>
      <c r="AEJ163" s="21"/>
      <c r="AEK163" s="20"/>
      <c r="AEL163" s="20"/>
      <c r="AEM163" s="20"/>
      <c r="AEN163" s="21"/>
      <c r="AEO163" s="21"/>
      <c r="AEP163" s="21"/>
      <c r="AEQ163" s="21"/>
      <c r="AER163" s="21"/>
      <c r="AES163" s="20"/>
      <c r="AET163" s="20"/>
      <c r="AEU163" s="20"/>
      <c r="AEV163" s="20"/>
      <c r="AEW163" s="21"/>
      <c r="AEX163" s="21"/>
      <c r="AEY163" s="7"/>
      <c r="AEZ163" s="7"/>
      <c r="AFA163" s="21"/>
      <c r="AFB163" s="20"/>
      <c r="AFC163" s="20"/>
      <c r="AFD163" s="20"/>
      <c r="AFE163" s="21"/>
      <c r="AFF163" s="21"/>
      <c r="AFG163" s="21"/>
      <c r="AFH163" s="21"/>
      <c r="AFI163" s="21"/>
      <c r="AFJ163" s="20"/>
      <c r="AFK163" s="20"/>
      <c r="AFL163" s="20"/>
      <c r="AFM163" s="20"/>
      <c r="AFN163" s="21"/>
      <c r="AFO163" s="21"/>
      <c r="AFP163" s="7"/>
      <c r="AFQ163" s="7"/>
      <c r="AFR163" s="21"/>
      <c r="AFS163" s="20"/>
      <c r="AFT163" s="20"/>
      <c r="AFU163" s="20"/>
      <c r="AFV163" s="21"/>
      <c r="AFW163" s="21"/>
      <c r="AFX163" s="21"/>
      <c r="AFY163" s="21"/>
      <c r="AFZ163" s="21"/>
      <c r="AGA163" s="20"/>
      <c r="AGB163" s="20"/>
      <c r="AGC163" s="20"/>
      <c r="AGD163" s="20"/>
      <c r="AGE163" s="21"/>
      <c r="AGF163" s="21"/>
      <c r="AGG163" s="7"/>
      <c r="AGH163" s="7"/>
      <c r="AGI163" s="21"/>
      <c r="AGJ163" s="20"/>
      <c r="AGK163" s="20"/>
      <c r="AGL163" s="20"/>
      <c r="AGM163" s="21"/>
      <c r="AGN163" s="21"/>
      <c r="AGO163" s="21"/>
      <c r="AGP163" s="21"/>
      <c r="AGQ163" s="21"/>
      <c r="AGR163" s="20"/>
      <c r="AGS163" s="20"/>
      <c r="AGT163" s="20"/>
      <c r="AGU163" s="20"/>
      <c r="AGV163" s="21"/>
      <c r="AGW163" s="21"/>
      <c r="AGX163" s="7"/>
      <c r="AGY163" s="7"/>
      <c r="AGZ163" s="21"/>
      <c r="AHA163" s="20"/>
      <c r="AHB163" s="20"/>
      <c r="AHC163" s="20"/>
      <c r="AHD163" s="21"/>
      <c r="AHE163" s="21"/>
      <c r="AHF163" s="21"/>
      <c r="AHG163" s="21"/>
      <c r="AHH163" s="21"/>
      <c r="AHI163" s="20"/>
      <c r="AHJ163" s="20"/>
      <c r="AHK163" s="20"/>
      <c r="AHL163" s="20"/>
      <c r="AHM163" s="21"/>
      <c r="AHN163" s="21"/>
      <c r="AHO163" s="7"/>
      <c r="AHP163" s="7"/>
      <c r="AHQ163" s="21"/>
      <c r="AHR163" s="20"/>
      <c r="AHS163" s="20"/>
      <c r="AHT163" s="20"/>
      <c r="AHU163" s="21"/>
      <c r="AHV163" s="21"/>
      <c r="AHW163" s="21"/>
      <c r="AHX163" s="21"/>
      <c r="AHY163" s="21"/>
      <c r="AHZ163" s="20"/>
      <c r="AIA163" s="20"/>
      <c r="AIB163" s="20"/>
      <c r="AIC163" s="20"/>
      <c r="AID163" s="21"/>
      <c r="AIE163" s="21"/>
      <c r="AIF163" s="7"/>
      <c r="AIG163" s="7"/>
      <c r="AIH163" s="21"/>
      <c r="AII163" s="20"/>
      <c r="AIJ163" s="20"/>
      <c r="AIK163" s="20"/>
      <c r="AIL163" s="21"/>
      <c r="AIM163" s="21"/>
      <c r="AIN163" s="21"/>
      <c r="AIO163" s="21"/>
      <c r="AIP163" s="21"/>
      <c r="AIQ163" s="20"/>
      <c r="AIR163" s="20"/>
      <c r="AIS163" s="20"/>
      <c r="AIT163" s="20"/>
      <c r="AIU163" s="21"/>
      <c r="AIV163" s="21"/>
      <c r="AIW163" s="7"/>
      <c r="AIX163" s="7"/>
      <c r="AIY163" s="21"/>
      <c r="AIZ163" s="20"/>
      <c r="AJA163" s="20"/>
      <c r="AJB163" s="20"/>
      <c r="AJC163" s="21"/>
      <c r="AJD163" s="21"/>
      <c r="AJE163" s="21"/>
      <c r="AJF163" s="21"/>
      <c r="AJG163" s="21"/>
      <c r="AJH163" s="20"/>
      <c r="AJI163" s="20"/>
      <c r="AJJ163" s="20"/>
      <c r="AJK163" s="20"/>
      <c r="AJL163" s="21"/>
      <c r="AJM163" s="21"/>
      <c r="AJN163" s="7"/>
      <c r="AJO163" s="7"/>
      <c r="AJP163" s="21"/>
      <c r="AJQ163" s="20"/>
      <c r="AJR163" s="20"/>
      <c r="AJS163" s="20"/>
      <c r="AJT163" s="21"/>
      <c r="AJU163" s="21"/>
      <c r="AJV163" s="21"/>
      <c r="AJW163" s="21"/>
      <c r="AJX163" s="21"/>
      <c r="AJY163" s="20"/>
      <c r="AJZ163" s="20"/>
      <c r="AKA163" s="20"/>
      <c r="AKB163" s="20"/>
      <c r="AKC163" s="21"/>
      <c r="AKD163" s="21"/>
      <c r="AKE163" s="7"/>
      <c r="AKF163" s="7"/>
      <c r="AKG163" s="21"/>
      <c r="AKH163" s="20"/>
      <c r="AKI163" s="20"/>
      <c r="AKJ163" s="20"/>
      <c r="AKK163" s="21"/>
      <c r="AKL163" s="21"/>
      <c r="AKM163" s="21"/>
      <c r="AKN163" s="21"/>
      <c r="AKO163" s="21"/>
      <c r="AKP163" s="20"/>
      <c r="AKQ163" s="20"/>
      <c r="AKR163" s="20"/>
      <c r="AKS163" s="20"/>
      <c r="AKT163" s="21"/>
      <c r="AKU163" s="21"/>
      <c r="AKV163" s="7"/>
      <c r="AKW163" s="7"/>
      <c r="AKX163" s="21"/>
      <c r="AKY163" s="20"/>
      <c r="AKZ163" s="20"/>
      <c r="ALA163" s="20"/>
      <c r="ALB163" s="21"/>
      <c r="ALC163" s="21"/>
      <c r="ALD163" s="21"/>
      <c r="ALE163" s="21"/>
      <c r="ALF163" s="21"/>
      <c r="ALG163" s="20"/>
      <c r="ALH163" s="20"/>
      <c r="ALI163" s="20"/>
      <c r="ALJ163" s="20"/>
      <c r="ALK163" s="21"/>
      <c r="ALL163" s="21"/>
      <c r="ALM163" s="7"/>
      <c r="ALN163" s="7"/>
      <c r="ALO163" s="21"/>
      <c r="ALP163" s="20"/>
      <c r="ALQ163" s="20"/>
      <c r="ALR163" s="20"/>
      <c r="ALS163" s="21"/>
      <c r="ALT163" s="21"/>
      <c r="ALU163" s="21"/>
      <c r="ALV163" s="21"/>
      <c r="ALW163" s="21"/>
      <c r="ALX163" s="20"/>
      <c r="ALY163" s="20"/>
      <c r="ALZ163" s="20"/>
      <c r="AMA163" s="20"/>
      <c r="AMB163" s="21"/>
      <c r="AMC163" s="21"/>
      <c r="AMD163" s="7"/>
      <c r="AME163" s="7"/>
      <c r="AMF163" s="21"/>
      <c r="AMG163" s="20"/>
      <c r="AMH163" s="20"/>
      <c r="AMI163" s="20"/>
      <c r="AMJ163" s="21"/>
      <c r="AMK163" s="21"/>
      <c r="AML163" s="21"/>
      <c r="AMM163" s="21"/>
      <c r="AMN163" s="21"/>
      <c r="AMO163" s="20"/>
      <c r="AMP163" s="20"/>
      <c r="AMQ163" s="20"/>
      <c r="AMR163" s="20"/>
      <c r="AMS163" s="21"/>
      <c r="AMT163" s="21"/>
      <c r="AMU163" s="7"/>
      <c r="AMV163" s="7"/>
      <c r="AMW163" s="21"/>
      <c r="AMX163" s="20"/>
      <c r="AMY163" s="20"/>
      <c r="AMZ163" s="20"/>
      <c r="ANA163" s="21"/>
      <c r="ANB163" s="21"/>
      <c r="ANC163" s="21"/>
      <c r="AND163" s="21"/>
      <c r="ANE163" s="21"/>
      <c r="ANF163" s="20"/>
      <c r="ANG163" s="20"/>
      <c r="ANH163" s="20"/>
      <c r="ANI163" s="20"/>
      <c r="ANJ163" s="21"/>
      <c r="ANK163" s="21"/>
      <c r="ANL163" s="7"/>
      <c r="ANM163" s="7"/>
      <c r="ANN163" s="21"/>
      <c r="ANO163" s="20"/>
      <c r="ANP163" s="20"/>
      <c r="ANQ163" s="20"/>
      <c r="ANR163" s="21"/>
      <c r="ANS163" s="21"/>
      <c r="ANT163" s="21"/>
      <c r="ANU163" s="21"/>
      <c r="ANV163" s="21"/>
      <c r="ANW163" s="20"/>
      <c r="ANX163" s="20"/>
      <c r="ANY163" s="20"/>
      <c r="ANZ163" s="20"/>
      <c r="AOA163" s="21"/>
      <c r="AOB163" s="21"/>
      <c r="AOC163" s="7"/>
      <c r="AOD163" s="7"/>
      <c r="AOE163" s="21"/>
      <c r="AOF163" s="20"/>
      <c r="AOG163" s="20"/>
      <c r="AOH163" s="20"/>
      <c r="AOI163" s="21"/>
      <c r="AOJ163" s="21"/>
      <c r="AOK163" s="21"/>
      <c r="AOL163" s="21"/>
      <c r="AOM163" s="21"/>
      <c r="AON163" s="20"/>
      <c r="AOO163" s="20"/>
      <c r="AOP163" s="20"/>
      <c r="AOQ163" s="20"/>
      <c r="AOR163" s="21"/>
      <c r="AOS163" s="21"/>
      <c r="AOT163" s="7"/>
      <c r="AOU163" s="7"/>
      <c r="AOV163" s="21"/>
      <c r="AOW163" s="20"/>
      <c r="AOX163" s="20"/>
      <c r="AOY163" s="20"/>
      <c r="AOZ163" s="21"/>
      <c r="APA163" s="21"/>
      <c r="APB163" s="21"/>
      <c r="APC163" s="21"/>
      <c r="APD163" s="21"/>
      <c r="APE163" s="20"/>
      <c r="APF163" s="20"/>
      <c r="APG163" s="20"/>
      <c r="APH163" s="20"/>
      <c r="API163" s="21"/>
      <c r="APJ163" s="21"/>
      <c r="APK163" s="7"/>
      <c r="APL163" s="7"/>
      <c r="APM163" s="21"/>
      <c r="APN163" s="20"/>
      <c r="APO163" s="20"/>
      <c r="APP163" s="20"/>
      <c r="APQ163" s="21"/>
      <c r="APR163" s="21"/>
      <c r="APS163" s="21"/>
      <c r="APT163" s="21"/>
      <c r="APU163" s="21"/>
      <c r="APV163" s="20"/>
      <c r="APW163" s="20"/>
      <c r="APX163" s="20"/>
      <c r="APY163" s="20"/>
      <c r="APZ163" s="21"/>
      <c r="AQA163" s="21"/>
      <c r="AQB163" s="7"/>
      <c r="AQC163" s="7"/>
      <c r="AQD163" s="21"/>
      <c r="AQE163" s="20"/>
      <c r="AQF163" s="20"/>
      <c r="AQG163" s="20"/>
      <c r="AQH163" s="21"/>
      <c r="AQI163" s="21"/>
      <c r="AQJ163" s="21"/>
      <c r="AQK163" s="21"/>
      <c r="AQL163" s="21"/>
      <c r="AQM163" s="20"/>
      <c r="AQN163" s="20"/>
      <c r="AQO163" s="20"/>
      <c r="AQP163" s="20"/>
      <c r="AQQ163" s="21"/>
      <c r="AQR163" s="21"/>
      <c r="AQS163" s="7"/>
      <c r="AQT163" s="7"/>
      <c r="AQU163" s="21"/>
      <c r="AQV163" s="20"/>
      <c r="AQW163" s="20"/>
      <c r="AQX163" s="20"/>
      <c r="AQY163" s="21"/>
      <c r="AQZ163" s="21"/>
      <c r="ARA163" s="21"/>
      <c r="ARB163" s="21"/>
      <c r="ARC163" s="21"/>
      <c r="ARD163" s="20"/>
      <c r="ARE163" s="20"/>
      <c r="ARF163" s="20"/>
      <c r="ARG163" s="20"/>
      <c r="ARH163" s="21"/>
      <c r="ARI163" s="21"/>
      <c r="ARJ163" s="7"/>
      <c r="ARK163" s="7"/>
      <c r="ARL163" s="21"/>
      <c r="ARM163" s="20"/>
      <c r="ARN163" s="20"/>
      <c r="ARO163" s="20"/>
      <c r="ARP163" s="21"/>
      <c r="ARQ163" s="21"/>
      <c r="ARR163" s="21"/>
      <c r="ARS163" s="21"/>
      <c r="ART163" s="21"/>
      <c r="ARU163" s="20"/>
      <c r="ARV163" s="20"/>
      <c r="ARW163" s="20"/>
      <c r="ARX163" s="20"/>
      <c r="ARY163" s="21"/>
      <c r="ARZ163" s="21"/>
      <c r="ASA163" s="7"/>
      <c r="ASB163" s="7"/>
      <c r="ASC163" s="21"/>
      <c r="ASD163" s="20"/>
      <c r="ASE163" s="20"/>
      <c r="ASF163" s="20"/>
      <c r="ASG163" s="21"/>
      <c r="ASH163" s="21"/>
      <c r="ASI163" s="21"/>
      <c r="ASJ163" s="21"/>
      <c r="ASK163" s="21"/>
      <c r="ASL163" s="20"/>
      <c r="ASM163" s="20"/>
      <c r="ASN163" s="20"/>
      <c r="ASO163" s="20"/>
      <c r="ASP163" s="21"/>
      <c r="ASQ163" s="21"/>
      <c r="ASR163" s="7"/>
      <c r="ASS163" s="7"/>
      <c r="AST163" s="21"/>
      <c r="ASU163" s="20"/>
      <c r="ASV163" s="20"/>
      <c r="ASW163" s="20"/>
      <c r="ASX163" s="21"/>
      <c r="ASY163" s="21"/>
      <c r="ASZ163" s="21"/>
      <c r="ATA163" s="21"/>
      <c r="ATB163" s="21"/>
      <c r="ATC163" s="20"/>
      <c r="ATD163" s="20"/>
      <c r="ATE163" s="20"/>
      <c r="ATF163" s="20"/>
      <c r="ATG163" s="21"/>
      <c r="ATH163" s="21"/>
      <c r="ATI163" s="7"/>
      <c r="ATJ163" s="7"/>
      <c r="ATK163" s="21"/>
      <c r="ATL163" s="20"/>
      <c r="ATM163" s="20"/>
      <c r="ATN163" s="20"/>
      <c r="ATO163" s="21"/>
      <c r="ATP163" s="21"/>
      <c r="ATQ163" s="21"/>
      <c r="ATR163" s="21"/>
      <c r="ATS163" s="21"/>
      <c r="ATT163" s="20"/>
      <c r="ATU163" s="20"/>
      <c r="ATV163" s="20"/>
      <c r="ATW163" s="20"/>
      <c r="ATX163" s="21"/>
      <c r="ATY163" s="21"/>
      <c r="ATZ163" s="7"/>
      <c r="AUA163" s="7"/>
      <c r="AUB163" s="21"/>
      <c r="AUC163" s="20"/>
      <c r="AUD163" s="20"/>
      <c r="AUE163" s="20"/>
      <c r="AUF163" s="21"/>
      <c r="AUG163" s="21"/>
      <c r="AUH163" s="21"/>
      <c r="AUI163" s="21"/>
      <c r="AUJ163" s="21"/>
      <c r="AUK163" s="20"/>
      <c r="AUL163" s="20"/>
      <c r="AUM163" s="20"/>
      <c r="AUN163" s="20"/>
      <c r="AUO163" s="21"/>
      <c r="AUP163" s="21"/>
      <c r="AUQ163" s="7"/>
      <c r="AUR163" s="7"/>
      <c r="AUS163" s="21"/>
      <c r="AUT163" s="20"/>
      <c r="AUU163" s="20"/>
      <c r="AUV163" s="20"/>
      <c r="AUW163" s="21"/>
      <c r="AUX163" s="21"/>
      <c r="AUY163" s="21"/>
      <c r="AUZ163" s="21"/>
      <c r="AVA163" s="21"/>
      <c r="AVB163" s="20"/>
      <c r="AVC163" s="20"/>
      <c r="AVD163" s="20"/>
      <c r="AVE163" s="20"/>
      <c r="AVF163" s="21"/>
      <c r="AVG163" s="21"/>
      <c r="AVH163" s="7"/>
      <c r="AVI163" s="7"/>
      <c r="AVJ163" s="21"/>
      <c r="AVK163" s="20"/>
      <c r="AVL163" s="20"/>
      <c r="AVM163" s="20"/>
      <c r="AVN163" s="21"/>
      <c r="AVO163" s="21"/>
      <c r="AVP163" s="21"/>
      <c r="AVQ163" s="21"/>
      <c r="AVR163" s="21"/>
      <c r="AVS163" s="20"/>
      <c r="AVT163" s="20"/>
      <c r="AVU163" s="20"/>
      <c r="AVV163" s="20"/>
      <c r="AVW163" s="21"/>
      <c r="AVX163" s="21"/>
      <c r="AVY163" s="7"/>
      <c r="AVZ163" s="7"/>
      <c r="AWA163" s="21"/>
      <c r="AWB163" s="20"/>
      <c r="AWC163" s="20"/>
      <c r="AWD163" s="20"/>
      <c r="AWE163" s="21"/>
      <c r="AWF163" s="21"/>
      <c r="AWG163" s="21"/>
      <c r="AWH163" s="21"/>
      <c r="AWI163" s="21"/>
      <c r="AWJ163" s="20"/>
      <c r="AWK163" s="20"/>
      <c r="AWL163" s="20"/>
      <c r="AWM163" s="20"/>
      <c r="AWN163" s="21"/>
      <c r="AWO163" s="21"/>
      <c r="AWP163" s="7"/>
      <c r="AWQ163" s="7"/>
      <c r="AWR163" s="21"/>
      <c r="AWS163" s="20"/>
      <c r="AWT163" s="20"/>
      <c r="AWU163" s="20"/>
      <c r="AWV163" s="21"/>
      <c r="AWW163" s="21"/>
      <c r="AWX163" s="21"/>
      <c r="AWY163" s="21"/>
      <c r="AWZ163" s="21"/>
      <c r="AXA163" s="20"/>
      <c r="AXB163" s="20"/>
      <c r="AXC163" s="20"/>
      <c r="AXD163" s="20"/>
      <c r="AXE163" s="21"/>
      <c r="AXF163" s="21"/>
      <c r="AXG163" s="7"/>
      <c r="AXH163" s="7"/>
      <c r="AXI163" s="21"/>
      <c r="AXJ163" s="20"/>
      <c r="AXK163" s="20"/>
      <c r="AXL163" s="20"/>
      <c r="AXM163" s="21"/>
      <c r="AXN163" s="21"/>
      <c r="AXO163" s="21"/>
      <c r="AXP163" s="21"/>
      <c r="AXQ163" s="21"/>
      <c r="AXR163" s="20"/>
      <c r="AXS163" s="20"/>
      <c r="AXT163" s="20"/>
      <c r="AXU163" s="20"/>
      <c r="AXV163" s="21"/>
      <c r="AXW163" s="21"/>
      <c r="AXX163" s="7"/>
      <c r="AXY163" s="7"/>
      <c r="AXZ163" s="21"/>
      <c r="AYA163" s="20"/>
      <c r="AYB163" s="20"/>
      <c r="AYC163" s="20"/>
      <c r="AYD163" s="21"/>
      <c r="AYE163" s="21"/>
      <c r="AYF163" s="21"/>
      <c r="AYG163" s="21"/>
      <c r="AYH163" s="21"/>
      <c r="AYI163" s="20"/>
      <c r="AYJ163" s="20"/>
      <c r="AYK163" s="20"/>
      <c r="AYL163" s="20"/>
      <c r="AYM163" s="21"/>
      <c r="AYN163" s="21"/>
      <c r="AYO163" s="7"/>
      <c r="AYP163" s="7"/>
      <c r="AYQ163" s="21"/>
      <c r="AYR163" s="20"/>
      <c r="AYS163" s="20"/>
      <c r="AYT163" s="20"/>
      <c r="AYU163" s="21"/>
      <c r="AYV163" s="21"/>
      <c r="AYW163" s="21"/>
      <c r="AYX163" s="21"/>
      <c r="AYY163" s="21"/>
      <c r="AYZ163" s="20"/>
      <c r="AZA163" s="20"/>
      <c r="AZB163" s="20"/>
      <c r="AZC163" s="20"/>
      <c r="AZD163" s="21"/>
      <c r="AZE163" s="21"/>
      <c r="AZF163" s="7"/>
      <c r="AZG163" s="7"/>
      <c r="AZH163" s="21"/>
      <c r="AZI163" s="20"/>
      <c r="AZJ163" s="20"/>
      <c r="AZK163" s="20"/>
      <c r="AZL163" s="21"/>
      <c r="AZM163" s="21"/>
      <c r="AZN163" s="21"/>
      <c r="AZO163" s="21"/>
      <c r="AZP163" s="21"/>
      <c r="AZQ163" s="20"/>
      <c r="AZR163" s="20"/>
      <c r="AZS163" s="20"/>
      <c r="AZT163" s="20"/>
      <c r="AZU163" s="21"/>
      <c r="AZV163" s="21"/>
      <c r="AZW163" s="7"/>
      <c r="AZX163" s="7"/>
      <c r="AZY163" s="21"/>
      <c r="AZZ163" s="20"/>
      <c r="BAA163" s="20"/>
      <c r="BAB163" s="20"/>
      <c r="BAC163" s="21"/>
      <c r="BAD163" s="21"/>
      <c r="BAE163" s="21"/>
      <c r="BAF163" s="21"/>
      <c r="BAG163" s="21"/>
      <c r="BAH163" s="20"/>
      <c r="BAI163" s="20"/>
      <c r="BAJ163" s="20"/>
      <c r="BAK163" s="20"/>
      <c r="BAL163" s="21"/>
      <c r="BAM163" s="21"/>
      <c r="BAN163" s="7"/>
      <c r="BAO163" s="7"/>
      <c r="BAP163" s="21"/>
      <c r="BAQ163" s="20"/>
      <c r="BAR163" s="20"/>
      <c r="BAS163" s="20"/>
      <c r="BAT163" s="21"/>
      <c r="BAU163" s="21"/>
      <c r="BAV163" s="21"/>
      <c r="BAW163" s="21"/>
      <c r="BAX163" s="21"/>
      <c r="BAY163" s="20"/>
      <c r="BAZ163" s="20"/>
      <c r="BBA163" s="20"/>
      <c r="BBB163" s="20"/>
      <c r="BBC163" s="21"/>
      <c r="BBD163" s="21"/>
      <c r="BBE163" s="7"/>
      <c r="BBF163" s="7"/>
      <c r="BBG163" s="21"/>
      <c r="BBH163" s="20"/>
      <c r="BBI163" s="20"/>
      <c r="BBJ163" s="20"/>
      <c r="BBK163" s="21"/>
      <c r="BBL163" s="21"/>
      <c r="BBM163" s="21"/>
      <c r="BBN163" s="21"/>
      <c r="BBO163" s="21"/>
      <c r="BBP163" s="20"/>
      <c r="BBQ163" s="20"/>
      <c r="BBR163" s="20"/>
      <c r="BBS163" s="20"/>
      <c r="BBT163" s="21"/>
      <c r="BBU163" s="21"/>
      <c r="BBV163" s="7"/>
      <c r="BBW163" s="7"/>
      <c r="BBX163" s="21"/>
      <c r="BBY163" s="20"/>
      <c r="BBZ163" s="20"/>
      <c r="BCA163" s="20"/>
      <c r="BCB163" s="21"/>
      <c r="BCC163" s="21"/>
      <c r="BCD163" s="21"/>
      <c r="BCE163" s="21"/>
      <c r="BCF163" s="21"/>
      <c r="BCG163" s="20"/>
      <c r="BCH163" s="20"/>
      <c r="BCI163" s="20"/>
      <c r="BCJ163" s="20"/>
      <c r="BCK163" s="21"/>
      <c r="BCL163" s="21"/>
      <c r="BCM163" s="7"/>
      <c r="BCN163" s="7"/>
      <c r="BCO163" s="21"/>
      <c r="BCP163" s="20"/>
      <c r="BCQ163" s="20"/>
      <c r="BCR163" s="20"/>
      <c r="BCS163" s="21"/>
      <c r="BCT163" s="21"/>
      <c r="BCU163" s="21"/>
      <c r="BCV163" s="21"/>
      <c r="BCW163" s="21"/>
      <c r="BCX163" s="20"/>
      <c r="BCY163" s="20"/>
      <c r="BCZ163" s="20"/>
      <c r="BDA163" s="20"/>
      <c r="BDB163" s="21"/>
      <c r="BDC163" s="21"/>
      <c r="BDD163" s="7"/>
      <c r="BDE163" s="7"/>
      <c r="BDF163" s="21"/>
      <c r="BDG163" s="20"/>
      <c r="BDH163" s="20"/>
      <c r="BDI163" s="20"/>
      <c r="BDJ163" s="21"/>
      <c r="BDK163" s="21"/>
      <c r="BDL163" s="21"/>
      <c r="BDM163" s="21"/>
      <c r="BDN163" s="21"/>
      <c r="BDO163" s="20"/>
      <c r="BDP163" s="20"/>
      <c r="BDQ163" s="20"/>
      <c r="BDR163" s="20"/>
      <c r="BDS163" s="21"/>
      <c r="BDT163" s="21"/>
      <c r="BDU163" s="7"/>
      <c r="BDV163" s="7"/>
      <c r="BDW163" s="21"/>
      <c r="BDX163" s="20"/>
      <c r="BDY163" s="20"/>
      <c r="BDZ163" s="20"/>
      <c r="BEA163" s="21"/>
      <c r="BEB163" s="21"/>
      <c r="BEC163" s="21"/>
      <c r="BED163" s="21"/>
      <c r="BEE163" s="21"/>
      <c r="BEF163" s="20"/>
      <c r="BEG163" s="20"/>
      <c r="BEH163" s="20"/>
      <c r="BEI163" s="20"/>
      <c r="BEJ163" s="21"/>
      <c r="BEK163" s="21"/>
      <c r="BEL163" s="7"/>
      <c r="BEM163" s="7"/>
      <c r="BEN163" s="21"/>
      <c r="BEO163" s="20"/>
      <c r="BEP163" s="20"/>
      <c r="BEQ163" s="20"/>
      <c r="BER163" s="21"/>
      <c r="BES163" s="21"/>
      <c r="BET163" s="21"/>
      <c r="BEU163" s="21"/>
      <c r="BEV163" s="21"/>
      <c r="BEW163" s="20"/>
      <c r="BEX163" s="20"/>
      <c r="BEY163" s="20"/>
      <c r="BEZ163" s="20"/>
      <c r="BFA163" s="21"/>
      <c r="BFB163" s="21"/>
      <c r="BFC163" s="7"/>
      <c r="BFD163" s="7"/>
      <c r="BFE163" s="21"/>
      <c r="BFF163" s="20"/>
      <c r="BFG163" s="20"/>
      <c r="BFH163" s="20"/>
      <c r="BFI163" s="21"/>
      <c r="BFJ163" s="21"/>
      <c r="BFK163" s="21"/>
      <c r="BFL163" s="21"/>
      <c r="BFM163" s="21"/>
      <c r="BFN163" s="20"/>
      <c r="BFO163" s="20"/>
      <c r="BFP163" s="20"/>
      <c r="BFQ163" s="20"/>
      <c r="BFR163" s="21"/>
      <c r="BFS163" s="21"/>
      <c r="BFT163" s="7"/>
      <c r="BFU163" s="7"/>
      <c r="BFV163" s="21"/>
      <c r="BFW163" s="20"/>
      <c r="BFX163" s="20"/>
      <c r="BFY163" s="20"/>
      <c r="BFZ163" s="21"/>
      <c r="BGA163" s="21"/>
      <c r="BGB163" s="21"/>
      <c r="BGC163" s="21"/>
      <c r="BGD163" s="21"/>
      <c r="BGE163" s="20"/>
      <c r="BGF163" s="20"/>
      <c r="BGG163" s="20"/>
      <c r="BGH163" s="20"/>
      <c r="BGI163" s="21"/>
      <c r="BGJ163" s="21"/>
      <c r="BGK163" s="7"/>
      <c r="BGL163" s="7"/>
      <c r="BGM163" s="21"/>
      <c r="BGN163" s="20"/>
      <c r="BGO163" s="20"/>
      <c r="BGP163" s="20"/>
      <c r="BGQ163" s="21"/>
      <c r="BGR163" s="21"/>
      <c r="BGS163" s="21"/>
      <c r="BGT163" s="21"/>
      <c r="BGU163" s="21"/>
      <c r="BGV163" s="20"/>
      <c r="BGW163" s="20"/>
      <c r="BGX163" s="20"/>
      <c r="BGY163" s="20"/>
      <c r="BGZ163" s="21"/>
      <c r="BHA163" s="21"/>
      <c r="BHB163" s="7"/>
      <c r="BHC163" s="7"/>
      <c r="BHD163" s="21"/>
      <c r="BHE163" s="20"/>
      <c r="BHF163" s="20"/>
      <c r="BHG163" s="20"/>
      <c r="BHH163" s="21"/>
      <c r="BHI163" s="21"/>
      <c r="BHJ163" s="21"/>
      <c r="BHK163" s="21"/>
      <c r="BHL163" s="21"/>
      <c r="BHM163" s="20"/>
      <c r="BHN163" s="20"/>
      <c r="BHO163" s="20"/>
      <c r="BHP163" s="20"/>
      <c r="BHQ163" s="21"/>
      <c r="BHR163" s="21"/>
      <c r="BHS163" s="7"/>
      <c r="BHT163" s="7"/>
      <c r="BHU163" s="21"/>
      <c r="BHV163" s="20"/>
      <c r="BHW163" s="20"/>
      <c r="BHX163" s="20"/>
      <c r="BHY163" s="21"/>
      <c r="BHZ163" s="21"/>
      <c r="BIA163" s="21"/>
      <c r="BIB163" s="21"/>
      <c r="BIC163" s="21"/>
      <c r="BID163" s="20"/>
      <c r="BIE163" s="20"/>
      <c r="BIF163" s="20"/>
      <c r="BIG163" s="20"/>
      <c r="BIH163" s="21"/>
      <c r="BII163" s="21"/>
      <c r="BIJ163" s="7"/>
      <c r="BIK163" s="7"/>
      <c r="BIL163" s="21"/>
      <c r="BIM163" s="20"/>
      <c r="BIN163" s="20"/>
      <c r="BIO163" s="20"/>
      <c r="BIP163" s="21"/>
      <c r="BIQ163" s="21"/>
      <c r="BIR163" s="21"/>
      <c r="BIS163" s="21"/>
      <c r="BIT163" s="21"/>
      <c r="BIU163" s="20"/>
      <c r="BIV163" s="20"/>
      <c r="BIW163" s="20"/>
      <c r="BIX163" s="20"/>
      <c r="BIY163" s="21"/>
      <c r="BIZ163" s="21"/>
      <c r="BJA163" s="7"/>
      <c r="BJB163" s="7"/>
      <c r="BJC163" s="21"/>
      <c r="BJD163" s="20"/>
      <c r="BJE163" s="20"/>
      <c r="BJF163" s="20"/>
      <c r="BJG163" s="21"/>
      <c r="BJH163" s="21"/>
      <c r="BJI163" s="21"/>
      <c r="BJJ163" s="21"/>
      <c r="BJK163" s="21"/>
      <c r="BJL163" s="20"/>
      <c r="BJM163" s="20"/>
      <c r="BJN163" s="20"/>
      <c r="BJO163" s="20"/>
      <c r="BJP163" s="21"/>
      <c r="BJQ163" s="21"/>
      <c r="BJR163" s="7"/>
      <c r="BJS163" s="7"/>
      <c r="BJT163" s="21"/>
      <c r="BJU163" s="20"/>
      <c r="BJV163" s="20"/>
      <c r="BJW163" s="20"/>
      <c r="BJX163" s="21"/>
      <c r="BJY163" s="21"/>
      <c r="BJZ163" s="21"/>
      <c r="BKA163" s="21"/>
      <c r="BKB163" s="21"/>
      <c r="BKC163" s="20"/>
      <c r="BKD163" s="20"/>
      <c r="BKE163" s="20"/>
      <c r="BKF163" s="20"/>
      <c r="BKG163" s="21"/>
      <c r="BKH163" s="21"/>
      <c r="BKI163" s="7"/>
      <c r="BKJ163" s="7"/>
      <c r="BKK163" s="21"/>
      <c r="BKL163" s="20"/>
      <c r="BKM163" s="20"/>
      <c r="BKN163" s="20"/>
      <c r="BKO163" s="21"/>
      <c r="BKP163" s="21"/>
      <c r="BKQ163" s="21"/>
      <c r="BKR163" s="21"/>
      <c r="BKS163" s="21"/>
      <c r="BKT163" s="20"/>
      <c r="BKU163" s="20"/>
      <c r="BKV163" s="20"/>
      <c r="BKW163" s="20"/>
      <c r="BKX163" s="21"/>
      <c r="BKY163" s="21"/>
      <c r="BKZ163" s="7"/>
      <c r="BLA163" s="7"/>
      <c r="BLB163" s="21"/>
      <c r="BLC163" s="20"/>
      <c r="BLD163" s="20"/>
      <c r="BLE163" s="20"/>
      <c r="BLF163" s="21"/>
      <c r="BLG163" s="21"/>
      <c r="BLH163" s="21"/>
      <c r="BLI163" s="21"/>
      <c r="BLJ163" s="21"/>
      <c r="BLK163" s="20"/>
      <c r="BLL163" s="20"/>
      <c r="BLM163" s="20"/>
      <c r="BLN163" s="20"/>
      <c r="BLO163" s="21"/>
      <c r="BLP163" s="21"/>
      <c r="BLQ163" s="7"/>
      <c r="BLR163" s="7"/>
      <c r="BLS163" s="21"/>
      <c r="BLT163" s="20"/>
      <c r="BLU163" s="20"/>
      <c r="BLV163" s="20"/>
      <c r="BLW163" s="21"/>
      <c r="BLX163" s="21"/>
      <c r="BLY163" s="21"/>
      <c r="BLZ163" s="21"/>
      <c r="BMA163" s="21"/>
      <c r="BMB163" s="20"/>
      <c r="BMC163" s="20"/>
      <c r="BMD163" s="20"/>
      <c r="BME163" s="20"/>
      <c r="BMF163" s="21"/>
      <c r="BMG163" s="21"/>
      <c r="BMH163" s="7"/>
      <c r="BMI163" s="7"/>
      <c r="BMJ163" s="21"/>
      <c r="BMK163" s="20"/>
      <c r="BML163" s="20"/>
      <c r="BMM163" s="20"/>
      <c r="BMN163" s="21"/>
      <c r="BMO163" s="21"/>
      <c r="BMP163" s="21"/>
      <c r="BMQ163" s="21"/>
      <c r="BMR163" s="21"/>
      <c r="BMS163" s="20"/>
      <c r="BMT163" s="20"/>
      <c r="BMU163" s="20"/>
      <c r="BMV163" s="20"/>
      <c r="BMW163" s="21"/>
      <c r="BMX163" s="21"/>
      <c r="BMY163" s="7"/>
      <c r="BMZ163" s="7"/>
      <c r="BNA163" s="21"/>
      <c r="BNB163" s="20"/>
      <c r="BNC163" s="20"/>
      <c r="BND163" s="20"/>
      <c r="BNE163" s="21"/>
      <c r="BNF163" s="21"/>
      <c r="BNG163" s="21"/>
      <c r="BNH163" s="21"/>
      <c r="BNI163" s="21"/>
      <c r="BNJ163" s="20"/>
      <c r="BNK163" s="20"/>
      <c r="BNL163" s="20"/>
      <c r="BNM163" s="20"/>
      <c r="BNN163" s="21"/>
      <c r="BNO163" s="21"/>
      <c r="BNP163" s="7"/>
      <c r="BNQ163" s="7"/>
      <c r="BNR163" s="21"/>
      <c r="BNS163" s="20"/>
      <c r="BNT163" s="20"/>
      <c r="BNU163" s="20"/>
      <c r="BNV163" s="21"/>
      <c r="BNW163" s="21"/>
      <c r="BNX163" s="21"/>
      <c r="BNY163" s="21"/>
      <c r="BNZ163" s="21"/>
      <c r="BOA163" s="20"/>
      <c r="BOB163" s="20"/>
      <c r="BOC163" s="20"/>
      <c r="BOD163" s="20"/>
      <c r="BOE163" s="21"/>
      <c r="BOF163" s="21"/>
      <c r="BOG163" s="7"/>
      <c r="BOH163" s="7"/>
      <c r="BOI163" s="21"/>
      <c r="BOJ163" s="20"/>
      <c r="BOK163" s="20"/>
      <c r="BOL163" s="20"/>
      <c r="BOM163" s="21"/>
      <c r="BON163" s="21"/>
      <c r="BOO163" s="21"/>
      <c r="BOP163" s="21"/>
      <c r="BOQ163" s="21"/>
      <c r="BOR163" s="20"/>
      <c r="BOS163" s="20"/>
      <c r="BOT163" s="20"/>
      <c r="BOU163" s="20"/>
      <c r="BOV163" s="21"/>
      <c r="BOW163" s="21"/>
      <c r="BOX163" s="7"/>
      <c r="BOY163" s="7"/>
      <c r="BOZ163" s="21"/>
      <c r="BPA163" s="20"/>
      <c r="BPB163" s="20"/>
      <c r="BPC163" s="20"/>
      <c r="BPD163" s="21"/>
      <c r="BPE163" s="21"/>
      <c r="BPF163" s="21"/>
      <c r="BPG163" s="21"/>
      <c r="BPH163" s="21"/>
      <c r="BPI163" s="20"/>
      <c r="BPJ163" s="20"/>
      <c r="BPK163" s="20"/>
      <c r="BPL163" s="20"/>
      <c r="BPM163" s="21"/>
      <c r="BPN163" s="21"/>
      <c r="BPO163" s="7"/>
      <c r="BPP163" s="7"/>
      <c r="BPQ163" s="21"/>
      <c r="BPR163" s="20"/>
      <c r="BPS163" s="20"/>
      <c r="BPT163" s="20"/>
      <c r="BPU163" s="21"/>
      <c r="BPV163" s="21"/>
      <c r="BPW163" s="21"/>
      <c r="BPX163" s="21"/>
      <c r="BPY163" s="21"/>
      <c r="BPZ163" s="20"/>
      <c r="BQA163" s="20"/>
      <c r="BQB163" s="20"/>
      <c r="BQC163" s="20"/>
      <c r="BQD163" s="21"/>
      <c r="BQE163" s="21"/>
      <c r="BQF163" s="7"/>
      <c r="BQG163" s="7"/>
      <c r="BQH163" s="21"/>
      <c r="BQI163" s="20"/>
      <c r="BQJ163" s="20"/>
      <c r="BQK163" s="20"/>
      <c r="BQL163" s="21"/>
      <c r="BQM163" s="21"/>
      <c r="BQN163" s="21"/>
      <c r="BQO163" s="21"/>
      <c r="BQP163" s="21"/>
      <c r="BQQ163" s="20"/>
      <c r="BQR163" s="20"/>
      <c r="BQS163" s="20"/>
      <c r="BQT163" s="20"/>
      <c r="BQU163" s="21"/>
      <c r="BQV163" s="21"/>
      <c r="BQW163" s="7"/>
      <c r="BQX163" s="7"/>
      <c r="BQY163" s="21"/>
      <c r="BQZ163" s="20"/>
      <c r="BRA163" s="20"/>
      <c r="BRB163" s="20"/>
      <c r="BRC163" s="21"/>
      <c r="BRD163" s="21"/>
      <c r="BRE163" s="21"/>
      <c r="BRF163" s="21"/>
      <c r="BRG163" s="21"/>
      <c r="BRH163" s="20"/>
      <c r="BRI163" s="20"/>
      <c r="BRJ163" s="20"/>
      <c r="BRK163" s="20"/>
      <c r="BRL163" s="21"/>
      <c r="BRM163" s="21"/>
      <c r="BRN163" s="7"/>
      <c r="BRO163" s="7"/>
      <c r="BRP163" s="21"/>
      <c r="BRQ163" s="20"/>
      <c r="BRR163" s="20"/>
      <c r="BRS163" s="20"/>
      <c r="BRT163" s="21"/>
      <c r="BRU163" s="21"/>
      <c r="BRV163" s="21"/>
      <c r="BRW163" s="21"/>
      <c r="BRX163" s="21"/>
      <c r="BRY163" s="20"/>
      <c r="BRZ163" s="20"/>
      <c r="BSA163" s="20"/>
      <c r="BSB163" s="20"/>
      <c r="BSC163" s="21"/>
      <c r="BSD163" s="21"/>
      <c r="BSE163" s="7"/>
      <c r="BSF163" s="7"/>
      <c r="BSG163" s="21"/>
      <c r="BSH163" s="20"/>
      <c r="BSI163" s="20"/>
      <c r="BSJ163" s="20"/>
      <c r="BSK163" s="21"/>
      <c r="BSL163" s="21"/>
      <c r="BSM163" s="21"/>
      <c r="BSN163" s="21"/>
      <c r="BSO163" s="21"/>
      <c r="BSP163" s="20"/>
      <c r="BSQ163" s="20"/>
      <c r="BSR163" s="20"/>
      <c r="BSS163" s="20"/>
      <c r="BST163" s="21"/>
      <c r="BSU163" s="21"/>
      <c r="BSV163" s="7"/>
      <c r="BSW163" s="7"/>
      <c r="BSX163" s="21"/>
      <c r="BSY163" s="20"/>
      <c r="BSZ163" s="20"/>
      <c r="BTA163" s="20"/>
      <c r="BTB163" s="21"/>
      <c r="BTC163" s="21"/>
      <c r="BTD163" s="21"/>
      <c r="BTE163" s="21"/>
      <c r="BTF163" s="21"/>
      <c r="BTG163" s="20"/>
      <c r="BTH163" s="20"/>
      <c r="BTI163" s="20"/>
      <c r="BTJ163" s="20"/>
      <c r="BTK163" s="21"/>
      <c r="BTL163" s="21"/>
      <c r="BTM163" s="7"/>
      <c r="BTN163" s="7"/>
      <c r="BTO163" s="21"/>
      <c r="BTP163" s="20"/>
      <c r="BTQ163" s="20"/>
      <c r="BTR163" s="20"/>
      <c r="BTS163" s="21"/>
      <c r="BTT163" s="21"/>
      <c r="BTU163" s="21"/>
      <c r="BTV163" s="21"/>
      <c r="BTW163" s="21"/>
      <c r="BTX163" s="20"/>
      <c r="BTY163" s="20"/>
      <c r="BTZ163" s="20"/>
      <c r="BUA163" s="20"/>
      <c r="BUB163" s="21"/>
      <c r="BUC163" s="21"/>
      <c r="BUD163" s="7"/>
      <c r="BUE163" s="7"/>
      <c r="BUF163" s="21"/>
      <c r="BUG163" s="20"/>
      <c r="BUH163" s="20"/>
      <c r="BUI163" s="20"/>
      <c r="BUJ163" s="21"/>
      <c r="BUK163" s="21"/>
      <c r="BUL163" s="21"/>
      <c r="BUM163" s="21"/>
      <c r="BUN163" s="21"/>
      <c r="BUO163" s="20"/>
      <c r="BUP163" s="20"/>
      <c r="BUQ163" s="20"/>
      <c r="BUR163" s="20"/>
      <c r="BUS163" s="21"/>
      <c r="BUT163" s="21"/>
      <c r="BUU163" s="7"/>
      <c r="BUV163" s="7"/>
      <c r="BUW163" s="21"/>
      <c r="BUX163" s="20"/>
      <c r="BUY163" s="20"/>
      <c r="BUZ163" s="20"/>
      <c r="BVA163" s="21"/>
      <c r="BVB163" s="21"/>
      <c r="BVC163" s="21"/>
      <c r="BVD163" s="21"/>
      <c r="BVE163" s="21"/>
      <c r="BVF163" s="20"/>
      <c r="BVG163" s="20"/>
      <c r="BVH163" s="20"/>
      <c r="BVI163" s="20"/>
      <c r="BVJ163" s="21"/>
      <c r="BVK163" s="21"/>
      <c r="BVL163" s="7"/>
      <c r="BVM163" s="7"/>
      <c r="BVN163" s="21"/>
      <c r="BVO163" s="20"/>
      <c r="BVP163" s="20"/>
      <c r="BVQ163" s="20"/>
      <c r="BVR163" s="21"/>
      <c r="BVS163" s="21"/>
      <c r="BVT163" s="21"/>
      <c r="BVU163" s="21"/>
      <c r="BVV163" s="21"/>
      <c r="BVW163" s="20"/>
      <c r="BVX163" s="20"/>
      <c r="BVY163" s="20"/>
      <c r="BVZ163" s="20"/>
      <c r="BWA163" s="21"/>
      <c r="BWB163" s="21"/>
      <c r="BWC163" s="7"/>
      <c r="BWD163" s="7"/>
      <c r="BWE163" s="21"/>
      <c r="BWF163" s="20"/>
      <c r="BWG163" s="20"/>
      <c r="BWH163" s="20"/>
      <c r="BWI163" s="21"/>
      <c r="BWJ163" s="21"/>
      <c r="BWK163" s="21"/>
      <c r="BWL163" s="21"/>
      <c r="BWM163" s="21"/>
      <c r="BWN163" s="20"/>
      <c r="BWO163" s="20"/>
      <c r="BWP163" s="20"/>
      <c r="BWQ163" s="20"/>
      <c r="BWR163" s="21"/>
      <c r="BWS163" s="21"/>
      <c r="BWT163" s="7"/>
      <c r="BWU163" s="7"/>
      <c r="BWV163" s="21"/>
      <c r="BWW163" s="20"/>
      <c r="BWX163" s="20"/>
      <c r="BWY163" s="20"/>
      <c r="BWZ163" s="21"/>
      <c r="BXA163" s="21"/>
      <c r="BXB163" s="21"/>
      <c r="BXC163" s="21"/>
      <c r="BXD163" s="21"/>
      <c r="BXE163" s="20"/>
      <c r="BXF163" s="20"/>
      <c r="BXG163" s="20"/>
      <c r="BXH163" s="20"/>
      <c r="BXI163" s="21"/>
      <c r="BXJ163" s="21"/>
      <c r="BXK163" s="7"/>
      <c r="BXL163" s="7"/>
      <c r="BXM163" s="21"/>
      <c r="BXN163" s="20"/>
      <c r="BXO163" s="20"/>
      <c r="BXP163" s="20"/>
      <c r="BXQ163" s="21"/>
      <c r="BXR163" s="21"/>
      <c r="BXS163" s="21"/>
      <c r="BXT163" s="21"/>
      <c r="BXU163" s="21"/>
      <c r="BXV163" s="20"/>
      <c r="BXW163" s="20"/>
      <c r="BXX163" s="20"/>
      <c r="BXY163" s="20"/>
      <c r="BXZ163" s="21"/>
      <c r="BYA163" s="21"/>
      <c r="BYB163" s="7"/>
      <c r="BYC163" s="7"/>
      <c r="BYD163" s="21"/>
      <c r="BYE163" s="20"/>
      <c r="BYF163" s="20"/>
      <c r="BYG163" s="20"/>
      <c r="BYH163" s="21"/>
      <c r="BYI163" s="21"/>
      <c r="BYJ163" s="21"/>
      <c r="BYK163" s="21"/>
      <c r="BYL163" s="21"/>
      <c r="BYM163" s="20"/>
      <c r="BYN163" s="20"/>
      <c r="BYO163" s="20"/>
      <c r="BYP163" s="20"/>
      <c r="BYQ163" s="21"/>
      <c r="BYR163" s="21"/>
      <c r="BYS163" s="7"/>
      <c r="BYT163" s="7"/>
      <c r="BYU163" s="21"/>
      <c r="BYV163" s="20"/>
      <c r="BYW163" s="20"/>
      <c r="BYX163" s="20"/>
      <c r="BYY163" s="21"/>
      <c r="BYZ163" s="21"/>
      <c r="BZA163" s="21"/>
      <c r="BZB163" s="21"/>
      <c r="BZC163" s="21"/>
      <c r="BZD163" s="20"/>
      <c r="BZE163" s="20"/>
      <c r="BZF163" s="20"/>
      <c r="BZG163" s="20"/>
      <c r="BZH163" s="21"/>
      <c r="BZI163" s="21"/>
      <c r="BZJ163" s="7"/>
      <c r="BZK163" s="7"/>
      <c r="BZL163" s="21"/>
      <c r="BZM163" s="20"/>
      <c r="BZN163" s="20"/>
      <c r="BZO163" s="20"/>
      <c r="BZP163" s="21"/>
      <c r="BZQ163" s="21"/>
      <c r="BZR163" s="21"/>
      <c r="BZS163" s="21"/>
      <c r="BZT163" s="21"/>
      <c r="BZU163" s="20"/>
      <c r="BZV163" s="20"/>
      <c r="BZW163" s="20"/>
      <c r="BZX163" s="20"/>
      <c r="BZY163" s="21"/>
      <c r="BZZ163" s="21"/>
      <c r="CAA163" s="7"/>
      <c r="CAB163" s="7"/>
      <c r="CAC163" s="21"/>
      <c r="CAD163" s="20"/>
      <c r="CAE163" s="20"/>
      <c r="CAF163" s="20"/>
      <c r="CAG163" s="21"/>
      <c r="CAH163" s="21"/>
      <c r="CAI163" s="21"/>
      <c r="CAJ163" s="21"/>
      <c r="CAK163" s="21"/>
      <c r="CAL163" s="20"/>
      <c r="CAM163" s="20"/>
      <c r="CAN163" s="20"/>
      <c r="CAO163" s="20"/>
      <c r="CAP163" s="21"/>
      <c r="CAQ163" s="21"/>
      <c r="CAR163" s="7"/>
      <c r="CAS163" s="7"/>
      <c r="CAT163" s="21"/>
      <c r="CAU163" s="20"/>
      <c r="CAV163" s="20"/>
      <c r="CAW163" s="20"/>
      <c r="CAX163" s="21"/>
      <c r="CAY163" s="21"/>
      <c r="CAZ163" s="21"/>
      <c r="CBA163" s="21"/>
      <c r="CBB163" s="21"/>
      <c r="CBC163" s="20"/>
      <c r="CBD163" s="20"/>
      <c r="CBE163" s="20"/>
      <c r="CBF163" s="20"/>
      <c r="CBG163" s="21"/>
      <c r="CBH163" s="21"/>
      <c r="CBI163" s="7"/>
      <c r="CBJ163" s="7"/>
      <c r="CBK163" s="21"/>
      <c r="CBL163" s="20"/>
      <c r="CBM163" s="20"/>
      <c r="CBN163" s="20"/>
      <c r="CBO163" s="21"/>
      <c r="CBP163" s="21"/>
      <c r="CBQ163" s="21"/>
      <c r="CBR163" s="21"/>
      <c r="CBS163" s="21"/>
      <c r="CBT163" s="20"/>
      <c r="CBU163" s="20"/>
      <c r="CBV163" s="20"/>
      <c r="CBW163" s="20"/>
      <c r="CBX163" s="21"/>
      <c r="CBY163" s="21"/>
      <c r="CBZ163" s="7"/>
      <c r="CCA163" s="7"/>
      <c r="CCB163" s="21"/>
      <c r="CCC163" s="20"/>
      <c r="CCD163" s="20"/>
      <c r="CCE163" s="20"/>
      <c r="CCF163" s="21"/>
      <c r="CCG163" s="21"/>
      <c r="CCH163" s="21"/>
      <c r="CCI163" s="21"/>
      <c r="CCJ163" s="21"/>
      <c r="CCK163" s="20"/>
      <c r="CCL163" s="20"/>
      <c r="CCM163" s="20"/>
      <c r="CCN163" s="20"/>
      <c r="CCO163" s="21"/>
      <c r="CCP163" s="21"/>
      <c r="CCQ163" s="7"/>
      <c r="CCR163" s="7"/>
      <c r="CCS163" s="21"/>
      <c r="CCT163" s="20"/>
      <c r="CCU163" s="20"/>
      <c r="CCV163" s="20"/>
      <c r="CCW163" s="21"/>
      <c r="CCX163" s="21"/>
      <c r="CCY163" s="21"/>
      <c r="CCZ163" s="21"/>
      <c r="CDA163" s="21"/>
      <c r="CDB163" s="20"/>
      <c r="CDC163" s="20"/>
      <c r="CDD163" s="20"/>
      <c r="CDE163" s="20"/>
      <c r="CDF163" s="21"/>
      <c r="CDG163" s="21"/>
      <c r="CDH163" s="7"/>
      <c r="CDI163" s="7"/>
      <c r="CDJ163" s="21"/>
      <c r="CDK163" s="20"/>
      <c r="CDL163" s="20"/>
      <c r="CDM163" s="20"/>
      <c r="CDN163" s="21"/>
      <c r="CDO163" s="21"/>
      <c r="CDP163" s="21"/>
      <c r="CDQ163" s="21"/>
      <c r="CDR163" s="21"/>
      <c r="CDS163" s="20"/>
      <c r="CDT163" s="20"/>
      <c r="CDU163" s="20"/>
      <c r="CDV163" s="20"/>
      <c r="CDW163" s="21"/>
      <c r="CDX163" s="21"/>
      <c r="CDY163" s="7"/>
      <c r="CDZ163" s="7"/>
      <c r="CEA163" s="21"/>
      <c r="CEB163" s="20"/>
      <c r="CEC163" s="20"/>
      <c r="CED163" s="20"/>
      <c r="CEE163" s="21"/>
      <c r="CEF163" s="21"/>
      <c r="CEG163" s="21"/>
      <c r="CEH163" s="21"/>
      <c r="CEI163" s="21"/>
      <c r="CEJ163" s="20"/>
      <c r="CEK163" s="20"/>
      <c r="CEL163" s="20"/>
      <c r="CEM163" s="20"/>
      <c r="CEN163" s="21"/>
      <c r="CEO163" s="21"/>
      <c r="CEP163" s="7"/>
      <c r="CEQ163" s="7"/>
      <c r="CER163" s="21"/>
      <c r="CES163" s="20"/>
      <c r="CET163" s="20"/>
      <c r="CEU163" s="20"/>
      <c r="CEV163" s="21"/>
      <c r="CEW163" s="21"/>
      <c r="CEX163" s="21"/>
      <c r="CEY163" s="21"/>
      <c r="CEZ163" s="21"/>
      <c r="CFA163" s="20"/>
      <c r="CFB163" s="20"/>
      <c r="CFC163" s="20"/>
      <c r="CFD163" s="20"/>
      <c r="CFE163" s="21"/>
      <c r="CFF163" s="21"/>
      <c r="CFG163" s="7"/>
      <c r="CFH163" s="7"/>
      <c r="CFI163" s="21"/>
      <c r="CFJ163" s="20"/>
      <c r="CFK163" s="20"/>
      <c r="CFL163" s="20"/>
      <c r="CFM163" s="21"/>
      <c r="CFN163" s="21"/>
      <c r="CFO163" s="21"/>
      <c r="CFP163" s="21"/>
      <c r="CFQ163" s="21"/>
      <c r="CFR163" s="20"/>
      <c r="CFS163" s="20"/>
      <c r="CFT163" s="20"/>
      <c r="CFU163" s="20"/>
      <c r="CFV163" s="21"/>
      <c r="CFW163" s="21"/>
      <c r="CFX163" s="7"/>
      <c r="CFY163" s="7"/>
      <c r="CFZ163" s="21"/>
      <c r="CGA163" s="20"/>
      <c r="CGB163" s="20"/>
      <c r="CGC163" s="20"/>
      <c r="CGD163" s="21"/>
      <c r="CGE163" s="21"/>
      <c r="CGF163" s="21"/>
      <c r="CGG163" s="21"/>
      <c r="CGH163" s="21"/>
      <c r="CGI163" s="20"/>
      <c r="CGJ163" s="20"/>
      <c r="CGK163" s="20"/>
      <c r="CGL163" s="20"/>
      <c r="CGM163" s="21"/>
      <c r="CGN163" s="21"/>
      <c r="CGO163" s="7"/>
      <c r="CGP163" s="7"/>
      <c r="CGQ163" s="21"/>
      <c r="CGR163" s="20"/>
      <c r="CGS163" s="20"/>
      <c r="CGT163" s="20"/>
      <c r="CGU163" s="21"/>
      <c r="CGV163" s="21"/>
      <c r="CGW163" s="21"/>
      <c r="CGX163" s="21"/>
      <c r="CGY163" s="21"/>
      <c r="CGZ163" s="20"/>
      <c r="CHA163" s="20"/>
      <c r="CHB163" s="20"/>
      <c r="CHC163" s="20"/>
      <c r="CHD163" s="21"/>
      <c r="CHE163" s="21"/>
      <c r="CHF163" s="7"/>
      <c r="CHG163" s="7"/>
      <c r="CHH163" s="21"/>
      <c r="CHI163" s="20"/>
      <c r="CHJ163" s="20"/>
      <c r="CHK163" s="20"/>
      <c r="CHL163" s="21"/>
      <c r="CHM163" s="21"/>
      <c r="CHN163" s="21"/>
      <c r="CHO163" s="21"/>
      <c r="CHP163" s="21"/>
      <c r="CHQ163" s="20"/>
      <c r="CHR163" s="20"/>
      <c r="CHS163" s="20"/>
      <c r="CHT163" s="20"/>
      <c r="CHU163" s="21"/>
      <c r="CHV163" s="21"/>
      <c r="CHW163" s="7"/>
      <c r="CHX163" s="7"/>
      <c r="CHY163" s="21"/>
      <c r="CHZ163" s="20"/>
      <c r="CIA163" s="20"/>
      <c r="CIB163" s="20"/>
      <c r="CIC163" s="21"/>
      <c r="CID163" s="21"/>
      <c r="CIE163" s="21"/>
      <c r="CIF163" s="21"/>
      <c r="CIG163" s="21"/>
      <c r="CIH163" s="20"/>
      <c r="CII163" s="20"/>
      <c r="CIJ163" s="20"/>
      <c r="CIK163" s="20"/>
      <c r="CIL163" s="21"/>
      <c r="CIM163" s="21"/>
      <c r="CIN163" s="7"/>
      <c r="CIO163" s="7"/>
      <c r="CIP163" s="21"/>
      <c r="CIQ163" s="20"/>
      <c r="CIR163" s="20"/>
      <c r="CIS163" s="20"/>
      <c r="CIT163" s="21"/>
      <c r="CIU163" s="21"/>
      <c r="CIV163" s="21"/>
      <c r="CIW163" s="21"/>
      <c r="CIX163" s="21"/>
      <c r="CIY163" s="20"/>
      <c r="CIZ163" s="20"/>
      <c r="CJA163" s="20"/>
      <c r="CJB163" s="20"/>
      <c r="CJC163" s="21"/>
      <c r="CJD163" s="21"/>
      <c r="CJE163" s="7"/>
      <c r="CJF163" s="7"/>
      <c r="CJG163" s="21"/>
      <c r="CJH163" s="20"/>
      <c r="CJI163" s="20"/>
      <c r="CJJ163" s="20"/>
      <c r="CJK163" s="21"/>
      <c r="CJL163" s="21"/>
      <c r="CJM163" s="21"/>
      <c r="CJN163" s="21"/>
      <c r="CJO163" s="21"/>
      <c r="CJP163" s="20"/>
      <c r="CJQ163" s="20"/>
      <c r="CJR163" s="20"/>
      <c r="CJS163" s="20"/>
      <c r="CJT163" s="21"/>
      <c r="CJU163" s="21"/>
      <c r="CJV163" s="7"/>
      <c r="CJW163" s="7"/>
      <c r="CJX163" s="21"/>
      <c r="CJY163" s="20"/>
      <c r="CJZ163" s="20"/>
      <c r="CKA163" s="20"/>
      <c r="CKB163" s="21"/>
      <c r="CKC163" s="21"/>
      <c r="CKD163" s="21"/>
      <c r="CKE163" s="21"/>
      <c r="CKF163" s="21"/>
      <c r="CKG163" s="20"/>
      <c r="CKH163" s="20"/>
      <c r="CKI163" s="20"/>
      <c r="CKJ163" s="20"/>
      <c r="CKK163" s="21"/>
      <c r="CKL163" s="21"/>
      <c r="CKM163" s="7"/>
      <c r="CKN163" s="7"/>
      <c r="CKO163" s="21"/>
      <c r="CKP163" s="20"/>
      <c r="CKQ163" s="20"/>
      <c r="CKR163" s="20"/>
      <c r="CKS163" s="21"/>
      <c r="CKT163" s="21"/>
      <c r="CKU163" s="21"/>
      <c r="CKV163" s="21"/>
      <c r="CKW163" s="21"/>
      <c r="CKX163" s="20"/>
      <c r="CKY163" s="20"/>
      <c r="CKZ163" s="20"/>
      <c r="CLA163" s="20"/>
      <c r="CLB163" s="21"/>
      <c r="CLC163" s="21"/>
      <c r="CLD163" s="7"/>
      <c r="CLE163" s="7"/>
      <c r="CLF163" s="21"/>
      <c r="CLG163" s="20"/>
      <c r="CLH163" s="20"/>
      <c r="CLI163" s="20"/>
      <c r="CLJ163" s="21"/>
      <c r="CLK163" s="21"/>
      <c r="CLL163" s="21"/>
      <c r="CLM163" s="21"/>
      <c r="CLN163" s="21"/>
      <c r="CLO163" s="20"/>
      <c r="CLP163" s="20"/>
      <c r="CLQ163" s="20"/>
      <c r="CLR163" s="20"/>
      <c r="CLS163" s="21"/>
      <c r="CLT163" s="21"/>
      <c r="CLU163" s="7"/>
      <c r="CLV163" s="7"/>
      <c r="CLW163" s="21"/>
      <c r="CLX163" s="20"/>
      <c r="CLY163" s="20"/>
      <c r="CLZ163" s="20"/>
      <c r="CMA163" s="21"/>
      <c r="CMB163" s="21"/>
      <c r="CMC163" s="21"/>
      <c r="CMD163" s="21"/>
      <c r="CME163" s="21"/>
      <c r="CMF163" s="20"/>
      <c r="CMG163" s="20"/>
      <c r="CMH163" s="20"/>
      <c r="CMI163" s="20"/>
      <c r="CMJ163" s="21"/>
      <c r="CMK163" s="21"/>
      <c r="CML163" s="7"/>
      <c r="CMM163" s="7"/>
      <c r="CMN163" s="21"/>
      <c r="CMO163" s="20"/>
      <c r="CMP163" s="20"/>
      <c r="CMQ163" s="20"/>
      <c r="CMR163" s="21"/>
      <c r="CMS163" s="21"/>
      <c r="CMT163" s="21"/>
      <c r="CMU163" s="21"/>
      <c r="CMV163" s="21"/>
      <c r="CMW163" s="20"/>
      <c r="CMX163" s="20"/>
      <c r="CMY163" s="20"/>
      <c r="CMZ163" s="20"/>
      <c r="CNA163" s="21"/>
      <c r="CNB163" s="21"/>
      <c r="CNC163" s="7"/>
      <c r="CND163" s="7"/>
      <c r="CNE163" s="21"/>
      <c r="CNF163" s="20"/>
      <c r="CNG163" s="20"/>
      <c r="CNH163" s="20"/>
      <c r="CNI163" s="21"/>
      <c r="CNJ163" s="21"/>
      <c r="CNK163" s="21"/>
      <c r="CNL163" s="21"/>
      <c r="CNM163" s="21"/>
      <c r="CNN163" s="20"/>
      <c r="CNO163" s="20"/>
      <c r="CNP163" s="20"/>
      <c r="CNQ163" s="20"/>
      <c r="CNR163" s="21"/>
      <c r="CNS163" s="21"/>
      <c r="CNT163" s="7"/>
      <c r="CNU163" s="7"/>
      <c r="CNV163" s="21"/>
      <c r="CNW163" s="20"/>
      <c r="CNX163" s="20"/>
      <c r="CNY163" s="20"/>
      <c r="CNZ163" s="21"/>
      <c r="COA163" s="21"/>
      <c r="COB163" s="21"/>
      <c r="COC163" s="21"/>
      <c r="COD163" s="21"/>
      <c r="COE163" s="20"/>
      <c r="COF163" s="20"/>
      <c r="COG163" s="20"/>
      <c r="COH163" s="20"/>
      <c r="COI163" s="21"/>
      <c r="COJ163" s="21"/>
      <c r="COK163" s="7"/>
      <c r="COL163" s="7"/>
      <c r="COM163" s="21"/>
      <c r="CON163" s="20"/>
      <c r="COO163" s="20"/>
      <c r="COP163" s="20"/>
      <c r="COQ163" s="21"/>
      <c r="COR163" s="21"/>
      <c r="COS163" s="21"/>
      <c r="COT163" s="21"/>
      <c r="COU163" s="21"/>
      <c r="COV163" s="20"/>
      <c r="COW163" s="20"/>
      <c r="COX163" s="20"/>
      <c r="COY163" s="20"/>
      <c r="COZ163" s="21"/>
      <c r="CPA163" s="21"/>
      <c r="CPB163" s="7"/>
      <c r="CPC163" s="7"/>
      <c r="CPD163" s="21"/>
      <c r="CPE163" s="20"/>
      <c r="CPF163" s="20"/>
      <c r="CPG163" s="20"/>
      <c r="CPH163" s="21"/>
      <c r="CPI163" s="21"/>
      <c r="CPJ163" s="21"/>
      <c r="CPK163" s="21"/>
      <c r="CPL163" s="21"/>
      <c r="CPM163" s="20"/>
      <c r="CPN163" s="20"/>
      <c r="CPO163" s="20"/>
      <c r="CPP163" s="20"/>
      <c r="CPQ163" s="21"/>
      <c r="CPR163" s="21"/>
      <c r="CPS163" s="7"/>
      <c r="CPT163" s="7"/>
      <c r="CPU163" s="21"/>
      <c r="CPV163" s="20"/>
      <c r="CPW163" s="20"/>
      <c r="CPX163" s="20"/>
      <c r="CPY163" s="21"/>
      <c r="CPZ163" s="21"/>
      <c r="CQA163" s="21"/>
      <c r="CQB163" s="21"/>
      <c r="CQC163" s="21"/>
      <c r="CQD163" s="20"/>
      <c r="CQE163" s="20"/>
      <c r="CQF163" s="20"/>
      <c r="CQG163" s="20"/>
      <c r="CQH163" s="21"/>
      <c r="CQI163" s="21"/>
      <c r="CQJ163" s="7"/>
      <c r="CQK163" s="7"/>
      <c r="CQL163" s="21"/>
      <c r="CQM163" s="20"/>
      <c r="CQN163" s="20"/>
      <c r="CQO163" s="20"/>
      <c r="CQP163" s="21"/>
      <c r="CQQ163" s="21"/>
      <c r="CQR163" s="21"/>
      <c r="CQS163" s="21"/>
      <c r="CQT163" s="21"/>
      <c r="CQU163" s="20"/>
      <c r="CQV163" s="20"/>
      <c r="CQW163" s="20"/>
      <c r="CQX163" s="20"/>
      <c r="CQY163" s="21"/>
      <c r="CQZ163" s="21"/>
      <c r="CRA163" s="7"/>
      <c r="CRB163" s="7"/>
      <c r="CRC163" s="21"/>
      <c r="CRD163" s="20"/>
      <c r="CRE163" s="20"/>
      <c r="CRF163" s="20"/>
      <c r="CRG163" s="21"/>
      <c r="CRH163" s="21"/>
      <c r="CRI163" s="21"/>
      <c r="CRJ163" s="21"/>
      <c r="CRK163" s="21"/>
      <c r="CRL163" s="20"/>
      <c r="CRM163" s="20"/>
      <c r="CRN163" s="20"/>
      <c r="CRO163" s="20"/>
      <c r="CRP163" s="21"/>
      <c r="CRQ163" s="21"/>
      <c r="CRR163" s="7"/>
      <c r="CRS163" s="7"/>
      <c r="CRT163" s="21"/>
      <c r="CRU163" s="20"/>
      <c r="CRV163" s="20"/>
      <c r="CRW163" s="20"/>
      <c r="CRX163" s="21"/>
      <c r="CRY163" s="21"/>
      <c r="CRZ163" s="21"/>
      <c r="CSA163" s="21"/>
      <c r="CSB163" s="21"/>
      <c r="CSC163" s="20"/>
      <c r="CSD163" s="20"/>
      <c r="CSE163" s="20"/>
      <c r="CSF163" s="20"/>
      <c r="CSG163" s="21"/>
      <c r="CSH163" s="21"/>
      <c r="CSI163" s="7"/>
      <c r="CSJ163" s="7"/>
      <c r="CSK163" s="21"/>
      <c r="CSL163" s="20"/>
      <c r="CSM163" s="20"/>
      <c r="CSN163" s="20"/>
      <c r="CSO163" s="21"/>
      <c r="CSP163" s="21"/>
      <c r="CSQ163" s="21"/>
      <c r="CSR163" s="21"/>
      <c r="CSS163" s="21"/>
      <c r="CST163" s="20"/>
      <c r="CSU163" s="20"/>
      <c r="CSV163" s="20"/>
      <c r="CSW163" s="20"/>
      <c r="CSX163" s="21"/>
      <c r="CSY163" s="21"/>
      <c r="CSZ163" s="7"/>
      <c r="CTA163" s="7"/>
      <c r="CTB163" s="21"/>
      <c r="CTC163" s="20"/>
      <c r="CTD163" s="20"/>
      <c r="CTE163" s="20"/>
      <c r="CTF163" s="21"/>
      <c r="CTG163" s="21"/>
      <c r="CTH163" s="21"/>
      <c r="CTI163" s="21"/>
      <c r="CTJ163" s="21"/>
      <c r="CTK163" s="20"/>
      <c r="CTL163" s="20"/>
      <c r="CTM163" s="20"/>
      <c r="CTN163" s="20"/>
      <c r="CTO163" s="21"/>
      <c r="CTP163" s="21"/>
      <c r="CTQ163" s="7"/>
      <c r="CTR163" s="7"/>
      <c r="CTS163" s="21"/>
      <c r="CTT163" s="20"/>
      <c r="CTU163" s="20"/>
      <c r="CTV163" s="20"/>
      <c r="CTW163" s="21"/>
      <c r="CTX163" s="21"/>
      <c r="CTY163" s="21"/>
      <c r="CTZ163" s="21"/>
      <c r="CUA163" s="21"/>
      <c r="CUB163" s="20"/>
      <c r="CUC163" s="20"/>
      <c r="CUD163" s="20"/>
      <c r="CUE163" s="20"/>
      <c r="CUF163" s="21"/>
      <c r="CUG163" s="21"/>
      <c r="CUH163" s="7"/>
      <c r="CUI163" s="7"/>
      <c r="CUJ163" s="21"/>
      <c r="CUK163" s="20"/>
      <c r="CUL163" s="20"/>
      <c r="CUM163" s="20"/>
      <c r="CUN163" s="21"/>
      <c r="CUO163" s="21"/>
      <c r="CUP163" s="21"/>
      <c r="CUQ163" s="21"/>
      <c r="CUR163" s="21"/>
      <c r="CUS163" s="20"/>
      <c r="CUT163" s="20"/>
      <c r="CUU163" s="20"/>
      <c r="CUV163" s="20"/>
      <c r="CUW163" s="21"/>
      <c r="CUX163" s="21"/>
      <c r="CUY163" s="7"/>
      <c r="CUZ163" s="7"/>
      <c r="CVA163" s="21"/>
      <c r="CVB163" s="20"/>
      <c r="CVC163" s="20"/>
      <c r="CVD163" s="20"/>
      <c r="CVE163" s="21"/>
      <c r="CVF163" s="21"/>
      <c r="CVG163" s="21"/>
      <c r="CVH163" s="21"/>
      <c r="CVI163" s="21"/>
      <c r="CVJ163" s="20"/>
      <c r="CVK163" s="20"/>
      <c r="CVL163" s="20"/>
      <c r="CVM163" s="20"/>
      <c r="CVN163" s="21"/>
      <c r="CVO163" s="21"/>
      <c r="CVP163" s="7"/>
      <c r="CVQ163" s="7"/>
      <c r="CVR163" s="21"/>
      <c r="CVS163" s="20"/>
      <c r="CVT163" s="20"/>
      <c r="CVU163" s="20"/>
      <c r="CVV163" s="21"/>
      <c r="CVW163" s="21"/>
      <c r="CVX163" s="21"/>
      <c r="CVY163" s="21"/>
      <c r="CVZ163" s="21"/>
      <c r="CWA163" s="20"/>
      <c r="CWB163" s="20"/>
      <c r="CWC163" s="20"/>
      <c r="CWD163" s="20"/>
      <c r="CWE163" s="21"/>
      <c r="CWF163" s="21"/>
      <c r="CWG163" s="7"/>
      <c r="CWH163" s="7"/>
      <c r="CWI163" s="21"/>
      <c r="CWJ163" s="20"/>
      <c r="CWK163" s="20"/>
      <c r="CWL163" s="20"/>
      <c r="CWM163" s="21"/>
      <c r="CWN163" s="21"/>
      <c r="CWO163" s="21"/>
      <c r="CWP163" s="21"/>
      <c r="CWQ163" s="21"/>
      <c r="CWR163" s="20"/>
      <c r="CWS163" s="20"/>
      <c r="CWT163" s="20"/>
      <c r="CWU163" s="20"/>
      <c r="CWV163" s="21"/>
      <c r="CWW163" s="21"/>
      <c r="CWX163" s="7"/>
      <c r="CWY163" s="7"/>
      <c r="CWZ163" s="21"/>
      <c r="CXA163" s="20"/>
      <c r="CXB163" s="20"/>
      <c r="CXC163" s="20"/>
      <c r="CXD163" s="21"/>
      <c r="CXE163" s="21"/>
      <c r="CXF163" s="21"/>
      <c r="CXG163" s="21"/>
      <c r="CXH163" s="21"/>
      <c r="CXI163" s="20"/>
      <c r="CXJ163" s="20"/>
      <c r="CXK163" s="20"/>
      <c r="CXL163" s="20"/>
      <c r="CXM163" s="21"/>
      <c r="CXN163" s="21"/>
      <c r="CXO163" s="7"/>
      <c r="CXP163" s="7"/>
      <c r="CXQ163" s="21"/>
      <c r="CXR163" s="20"/>
      <c r="CXS163" s="20"/>
      <c r="CXT163" s="20"/>
      <c r="CXU163" s="21"/>
      <c r="CXV163" s="21"/>
      <c r="CXW163" s="21"/>
      <c r="CXX163" s="21"/>
      <c r="CXY163" s="21"/>
      <c r="CXZ163" s="20"/>
      <c r="CYA163" s="20"/>
      <c r="CYB163" s="20"/>
      <c r="CYC163" s="20"/>
      <c r="CYD163" s="21"/>
      <c r="CYE163" s="21"/>
      <c r="CYF163" s="7"/>
      <c r="CYG163" s="7"/>
      <c r="CYH163" s="21"/>
      <c r="CYI163" s="20"/>
      <c r="CYJ163" s="20"/>
      <c r="CYK163" s="20"/>
      <c r="CYL163" s="21"/>
      <c r="CYM163" s="21"/>
      <c r="CYN163" s="21"/>
      <c r="CYO163" s="21"/>
      <c r="CYP163" s="21"/>
      <c r="CYQ163" s="20"/>
      <c r="CYR163" s="20"/>
      <c r="CYS163" s="20"/>
      <c r="CYT163" s="20"/>
      <c r="CYU163" s="21"/>
      <c r="CYV163" s="21"/>
      <c r="CYW163" s="7"/>
      <c r="CYX163" s="7"/>
      <c r="CYY163" s="21"/>
      <c r="CYZ163" s="20"/>
      <c r="CZA163" s="20"/>
      <c r="CZB163" s="20"/>
      <c r="CZC163" s="21"/>
      <c r="CZD163" s="21"/>
      <c r="CZE163" s="21"/>
      <c r="CZF163" s="21"/>
      <c r="CZG163" s="21"/>
      <c r="CZH163" s="20"/>
      <c r="CZI163" s="20"/>
      <c r="CZJ163" s="20"/>
      <c r="CZK163" s="20"/>
      <c r="CZL163" s="21"/>
      <c r="CZM163" s="21"/>
      <c r="CZN163" s="7"/>
      <c r="CZO163" s="7"/>
      <c r="CZP163" s="21"/>
      <c r="CZQ163" s="20"/>
      <c r="CZR163" s="20"/>
      <c r="CZS163" s="20"/>
      <c r="CZT163" s="21"/>
      <c r="CZU163" s="21"/>
      <c r="CZV163" s="21"/>
      <c r="CZW163" s="21"/>
      <c r="CZX163" s="21"/>
      <c r="CZY163" s="20"/>
      <c r="CZZ163" s="20"/>
      <c r="DAA163" s="20"/>
      <c r="DAB163" s="20"/>
      <c r="DAC163" s="21"/>
      <c r="DAD163" s="21"/>
      <c r="DAE163" s="7"/>
      <c r="DAF163" s="7"/>
      <c r="DAG163" s="21"/>
      <c r="DAH163" s="20"/>
      <c r="DAI163" s="20"/>
      <c r="DAJ163" s="20"/>
      <c r="DAK163" s="21"/>
      <c r="DAL163" s="21"/>
      <c r="DAM163" s="21"/>
      <c r="DAN163" s="21"/>
      <c r="DAO163" s="21"/>
      <c r="DAP163" s="20"/>
      <c r="DAQ163" s="20"/>
      <c r="DAR163" s="20"/>
      <c r="DAS163" s="20"/>
      <c r="DAT163" s="21"/>
      <c r="DAU163" s="21"/>
      <c r="DAV163" s="7"/>
      <c r="DAW163" s="7"/>
      <c r="DAX163" s="21"/>
      <c r="DAY163" s="20"/>
      <c r="DAZ163" s="20"/>
      <c r="DBA163" s="20"/>
      <c r="DBB163" s="21"/>
      <c r="DBC163" s="21"/>
      <c r="DBD163" s="21"/>
      <c r="DBE163" s="21"/>
      <c r="DBF163" s="21"/>
      <c r="DBG163" s="20"/>
      <c r="DBH163" s="20"/>
      <c r="DBI163" s="20"/>
      <c r="DBJ163" s="20"/>
      <c r="DBK163" s="21"/>
      <c r="DBL163" s="21"/>
      <c r="DBM163" s="7"/>
      <c r="DBN163" s="7"/>
      <c r="DBO163" s="21"/>
      <c r="DBP163" s="20"/>
      <c r="DBQ163" s="20"/>
      <c r="DBR163" s="20"/>
      <c r="DBS163" s="21"/>
      <c r="DBT163" s="21"/>
      <c r="DBU163" s="21"/>
      <c r="DBV163" s="21"/>
      <c r="DBW163" s="21"/>
      <c r="DBX163" s="20"/>
      <c r="DBY163" s="20"/>
      <c r="DBZ163" s="20"/>
      <c r="DCA163" s="20"/>
      <c r="DCB163" s="21"/>
      <c r="DCC163" s="21"/>
      <c r="DCD163" s="7"/>
      <c r="DCE163" s="7"/>
      <c r="DCF163" s="21"/>
      <c r="DCG163" s="20"/>
      <c r="DCH163" s="20"/>
      <c r="DCI163" s="20"/>
      <c r="DCJ163" s="21"/>
      <c r="DCK163" s="21"/>
      <c r="DCL163" s="21"/>
      <c r="DCM163" s="21"/>
      <c r="DCN163" s="21"/>
      <c r="DCO163" s="20"/>
      <c r="DCP163" s="20"/>
      <c r="DCQ163" s="20"/>
      <c r="DCR163" s="20"/>
      <c r="DCS163" s="21"/>
      <c r="DCT163" s="21"/>
      <c r="DCU163" s="7"/>
      <c r="DCV163" s="7"/>
      <c r="DCW163" s="21"/>
      <c r="DCX163" s="20"/>
      <c r="DCY163" s="20"/>
      <c r="DCZ163" s="20"/>
      <c r="DDA163" s="21"/>
      <c r="DDB163" s="21"/>
      <c r="DDC163" s="21"/>
      <c r="DDD163" s="21"/>
      <c r="DDE163" s="21"/>
      <c r="DDF163" s="20"/>
      <c r="DDG163" s="20"/>
      <c r="DDH163" s="20"/>
      <c r="DDI163" s="20"/>
      <c r="DDJ163" s="21"/>
      <c r="DDK163" s="21"/>
      <c r="DDL163" s="7"/>
      <c r="DDM163" s="7"/>
      <c r="DDN163" s="21"/>
      <c r="DDO163" s="20"/>
      <c r="DDP163" s="20"/>
      <c r="DDQ163" s="20"/>
      <c r="DDR163" s="21"/>
      <c r="DDS163" s="21"/>
      <c r="DDT163" s="21"/>
      <c r="DDU163" s="21"/>
      <c r="DDV163" s="21"/>
      <c r="DDW163" s="20"/>
      <c r="DDX163" s="20"/>
      <c r="DDY163" s="20"/>
      <c r="DDZ163" s="20"/>
      <c r="DEA163" s="21"/>
      <c r="DEB163" s="21"/>
      <c r="DEC163" s="7"/>
      <c r="DED163" s="7"/>
      <c r="DEE163" s="21"/>
      <c r="DEF163" s="20"/>
      <c r="DEG163" s="20"/>
      <c r="DEH163" s="20"/>
      <c r="DEI163" s="21"/>
      <c r="DEJ163" s="21"/>
      <c r="DEK163" s="21"/>
      <c r="DEL163" s="21"/>
      <c r="DEM163" s="21"/>
      <c r="DEN163" s="20"/>
      <c r="DEO163" s="20"/>
      <c r="DEP163" s="20"/>
      <c r="DEQ163" s="20"/>
      <c r="DER163" s="21"/>
      <c r="DES163" s="21"/>
      <c r="DET163" s="7"/>
      <c r="DEU163" s="7"/>
      <c r="DEV163" s="21"/>
      <c r="DEW163" s="20"/>
      <c r="DEX163" s="20"/>
      <c r="DEY163" s="20"/>
      <c r="DEZ163" s="21"/>
      <c r="DFA163" s="21"/>
      <c r="DFB163" s="21"/>
      <c r="DFC163" s="21"/>
      <c r="DFD163" s="21"/>
      <c r="DFE163" s="20"/>
      <c r="DFF163" s="20"/>
      <c r="DFG163" s="20"/>
      <c r="DFH163" s="20"/>
      <c r="DFI163" s="21"/>
      <c r="DFJ163" s="21"/>
      <c r="DFK163" s="7"/>
      <c r="DFL163" s="7"/>
      <c r="DFM163" s="21"/>
      <c r="DFN163" s="20"/>
      <c r="DFO163" s="20"/>
      <c r="DFP163" s="20"/>
      <c r="DFQ163" s="21"/>
      <c r="DFR163" s="21"/>
      <c r="DFS163" s="21"/>
      <c r="DFT163" s="21"/>
      <c r="DFU163" s="21"/>
      <c r="DFV163" s="20"/>
      <c r="DFW163" s="20"/>
      <c r="DFX163" s="20"/>
      <c r="DFY163" s="20"/>
      <c r="DFZ163" s="21"/>
      <c r="DGA163" s="21"/>
      <c r="DGB163" s="7"/>
      <c r="DGC163" s="7"/>
      <c r="DGD163" s="21"/>
      <c r="DGE163" s="20"/>
      <c r="DGF163" s="20"/>
      <c r="DGG163" s="20"/>
      <c r="DGH163" s="21"/>
      <c r="DGI163" s="21"/>
      <c r="DGJ163" s="21"/>
      <c r="DGK163" s="21"/>
      <c r="DGL163" s="21"/>
      <c r="DGM163" s="20"/>
      <c r="DGN163" s="20"/>
      <c r="DGO163" s="20"/>
      <c r="DGP163" s="20"/>
      <c r="DGQ163" s="21"/>
      <c r="DGR163" s="21"/>
      <c r="DGS163" s="7"/>
      <c r="DGT163" s="7"/>
      <c r="DGU163" s="21"/>
      <c r="DGV163" s="20"/>
      <c r="DGW163" s="20"/>
      <c r="DGX163" s="20"/>
      <c r="DGY163" s="21"/>
      <c r="DGZ163" s="21"/>
      <c r="DHA163" s="21"/>
      <c r="DHB163" s="21"/>
      <c r="DHC163" s="21"/>
      <c r="DHD163" s="20"/>
      <c r="DHE163" s="20"/>
      <c r="DHF163" s="20"/>
      <c r="DHG163" s="20"/>
      <c r="DHH163" s="21"/>
      <c r="DHI163" s="21"/>
      <c r="DHJ163" s="7"/>
      <c r="DHK163" s="7"/>
      <c r="DHL163" s="21"/>
      <c r="DHM163" s="20"/>
      <c r="DHN163" s="20"/>
      <c r="DHO163" s="20"/>
      <c r="DHP163" s="21"/>
      <c r="DHQ163" s="21"/>
      <c r="DHR163" s="21"/>
      <c r="DHS163" s="21"/>
      <c r="DHT163" s="21"/>
      <c r="DHU163" s="20"/>
      <c r="DHV163" s="20"/>
      <c r="DHW163" s="20"/>
      <c r="DHX163" s="20"/>
      <c r="DHY163" s="21"/>
      <c r="DHZ163" s="21"/>
      <c r="DIA163" s="7"/>
      <c r="DIB163" s="7"/>
      <c r="DIC163" s="21"/>
      <c r="DID163" s="20"/>
      <c r="DIE163" s="20"/>
      <c r="DIF163" s="20"/>
      <c r="DIG163" s="21"/>
      <c r="DIH163" s="21"/>
      <c r="DII163" s="21"/>
      <c r="DIJ163" s="21"/>
      <c r="DIK163" s="21"/>
      <c r="DIL163" s="20"/>
      <c r="DIM163" s="20"/>
      <c r="DIN163" s="20"/>
      <c r="DIO163" s="20"/>
      <c r="DIP163" s="21"/>
      <c r="DIQ163" s="21"/>
      <c r="DIR163" s="7"/>
      <c r="DIS163" s="7"/>
      <c r="DIT163" s="21"/>
      <c r="DIU163" s="20"/>
      <c r="DIV163" s="20"/>
      <c r="DIW163" s="20"/>
      <c r="DIX163" s="21"/>
      <c r="DIY163" s="21"/>
      <c r="DIZ163" s="21"/>
      <c r="DJA163" s="21"/>
      <c r="DJB163" s="21"/>
      <c r="DJC163" s="20"/>
      <c r="DJD163" s="20"/>
      <c r="DJE163" s="20"/>
      <c r="DJF163" s="20"/>
      <c r="DJG163" s="21"/>
      <c r="DJH163" s="21"/>
      <c r="DJI163" s="7"/>
      <c r="DJJ163" s="7"/>
      <c r="DJK163" s="21"/>
      <c r="DJL163" s="20"/>
      <c r="DJM163" s="20"/>
      <c r="DJN163" s="20"/>
      <c r="DJO163" s="21"/>
      <c r="DJP163" s="21"/>
      <c r="DJQ163" s="21"/>
      <c r="DJR163" s="21"/>
      <c r="DJS163" s="21"/>
      <c r="DJT163" s="20"/>
      <c r="DJU163" s="20"/>
      <c r="DJV163" s="20"/>
      <c r="DJW163" s="20"/>
      <c r="DJX163" s="21"/>
      <c r="DJY163" s="21"/>
      <c r="DJZ163" s="7"/>
      <c r="DKA163" s="7"/>
      <c r="DKB163" s="21"/>
      <c r="DKC163" s="20"/>
      <c r="DKD163" s="20"/>
      <c r="DKE163" s="20"/>
      <c r="DKF163" s="21"/>
      <c r="DKG163" s="21"/>
      <c r="DKH163" s="21"/>
      <c r="DKI163" s="21"/>
      <c r="DKJ163" s="21"/>
      <c r="DKK163" s="20"/>
      <c r="DKL163" s="20"/>
      <c r="DKM163" s="20"/>
      <c r="DKN163" s="20"/>
      <c r="DKO163" s="21"/>
      <c r="DKP163" s="21"/>
      <c r="DKQ163" s="7"/>
      <c r="DKR163" s="7"/>
      <c r="DKS163" s="21"/>
      <c r="DKT163" s="20"/>
      <c r="DKU163" s="20"/>
      <c r="DKV163" s="20"/>
      <c r="DKW163" s="21"/>
      <c r="DKX163" s="21"/>
      <c r="DKY163" s="21"/>
      <c r="DKZ163" s="21"/>
      <c r="DLA163" s="21"/>
      <c r="DLB163" s="20"/>
      <c r="DLC163" s="20"/>
      <c r="DLD163" s="20"/>
      <c r="DLE163" s="20"/>
      <c r="DLF163" s="21"/>
      <c r="DLG163" s="21"/>
      <c r="DLH163" s="7"/>
      <c r="DLI163" s="7"/>
      <c r="DLJ163" s="21"/>
      <c r="DLK163" s="20"/>
      <c r="DLL163" s="20"/>
      <c r="DLM163" s="20"/>
      <c r="DLN163" s="21"/>
      <c r="DLO163" s="21"/>
      <c r="DLP163" s="21"/>
      <c r="DLQ163" s="21"/>
      <c r="DLR163" s="21"/>
      <c r="DLS163" s="20"/>
      <c r="DLT163" s="20"/>
      <c r="DLU163" s="20"/>
      <c r="DLV163" s="20"/>
      <c r="DLW163" s="21"/>
      <c r="DLX163" s="21"/>
      <c r="DLY163" s="7"/>
      <c r="DLZ163" s="7"/>
      <c r="DMA163" s="21"/>
      <c r="DMB163" s="20"/>
      <c r="DMC163" s="20"/>
      <c r="DMD163" s="20"/>
      <c r="DME163" s="21"/>
      <c r="DMF163" s="21"/>
      <c r="DMG163" s="21"/>
      <c r="DMH163" s="21"/>
      <c r="DMI163" s="21"/>
      <c r="DMJ163" s="20"/>
      <c r="DMK163" s="20"/>
      <c r="DML163" s="20"/>
      <c r="DMM163" s="20"/>
      <c r="DMN163" s="21"/>
      <c r="DMO163" s="21"/>
      <c r="DMP163" s="7"/>
      <c r="DMQ163" s="7"/>
      <c r="DMR163" s="21"/>
      <c r="DMS163" s="20"/>
      <c r="DMT163" s="20"/>
      <c r="DMU163" s="20"/>
      <c r="DMV163" s="21"/>
      <c r="DMW163" s="21"/>
      <c r="DMX163" s="21"/>
      <c r="DMY163" s="21"/>
      <c r="DMZ163" s="21"/>
      <c r="DNA163" s="20"/>
      <c r="DNB163" s="20"/>
      <c r="DNC163" s="20"/>
      <c r="DND163" s="20"/>
      <c r="DNE163" s="21"/>
      <c r="DNF163" s="21"/>
      <c r="DNG163" s="7"/>
      <c r="DNH163" s="7"/>
      <c r="DNI163" s="21"/>
      <c r="DNJ163" s="20"/>
      <c r="DNK163" s="20"/>
      <c r="DNL163" s="20"/>
      <c r="DNM163" s="21"/>
      <c r="DNN163" s="21"/>
      <c r="DNO163" s="21"/>
      <c r="DNP163" s="21"/>
      <c r="DNQ163" s="21"/>
      <c r="DNR163" s="20"/>
      <c r="DNS163" s="20"/>
      <c r="DNT163" s="20"/>
      <c r="DNU163" s="20"/>
      <c r="DNV163" s="21"/>
      <c r="DNW163" s="21"/>
      <c r="DNX163" s="7"/>
      <c r="DNY163" s="7"/>
      <c r="DNZ163" s="21"/>
      <c r="DOA163" s="20"/>
      <c r="DOB163" s="20"/>
      <c r="DOC163" s="20"/>
      <c r="DOD163" s="21"/>
      <c r="DOE163" s="21"/>
      <c r="DOF163" s="21"/>
      <c r="DOG163" s="21"/>
      <c r="DOH163" s="21"/>
      <c r="DOI163" s="20"/>
      <c r="DOJ163" s="20"/>
      <c r="DOK163" s="20"/>
      <c r="DOL163" s="20"/>
      <c r="DOM163" s="21"/>
      <c r="DON163" s="21"/>
      <c r="DOO163" s="7"/>
      <c r="DOP163" s="7"/>
      <c r="DOQ163" s="21"/>
      <c r="DOR163" s="20"/>
      <c r="DOS163" s="20"/>
      <c r="DOT163" s="20"/>
      <c r="DOU163" s="21"/>
      <c r="DOV163" s="21"/>
      <c r="DOW163" s="21"/>
      <c r="DOX163" s="21"/>
      <c r="DOY163" s="21"/>
      <c r="DOZ163" s="20"/>
      <c r="DPA163" s="20"/>
      <c r="DPB163" s="20"/>
      <c r="DPC163" s="20"/>
      <c r="DPD163" s="21"/>
      <c r="DPE163" s="21"/>
      <c r="DPF163" s="7"/>
      <c r="DPG163" s="7"/>
      <c r="DPH163" s="21"/>
      <c r="DPI163" s="20"/>
      <c r="DPJ163" s="20"/>
      <c r="DPK163" s="20"/>
      <c r="DPL163" s="21"/>
      <c r="DPM163" s="21"/>
      <c r="DPN163" s="21"/>
      <c r="DPO163" s="21"/>
      <c r="DPP163" s="21"/>
      <c r="DPQ163" s="20"/>
      <c r="DPR163" s="20"/>
      <c r="DPS163" s="20"/>
      <c r="DPT163" s="20"/>
      <c r="DPU163" s="21"/>
      <c r="DPV163" s="21"/>
      <c r="DPW163" s="7"/>
      <c r="DPX163" s="7"/>
      <c r="DPY163" s="21"/>
      <c r="DPZ163" s="20"/>
      <c r="DQA163" s="20"/>
      <c r="DQB163" s="20"/>
      <c r="DQC163" s="21"/>
      <c r="DQD163" s="21"/>
      <c r="DQE163" s="21"/>
      <c r="DQF163" s="21"/>
      <c r="DQG163" s="21"/>
      <c r="DQH163" s="20"/>
      <c r="DQI163" s="20"/>
      <c r="DQJ163" s="20"/>
      <c r="DQK163" s="20"/>
      <c r="DQL163" s="21"/>
      <c r="DQM163" s="21"/>
      <c r="DQN163" s="7"/>
      <c r="DQO163" s="7"/>
      <c r="DQP163" s="21"/>
      <c r="DQQ163" s="20"/>
      <c r="DQR163" s="20"/>
      <c r="DQS163" s="20"/>
      <c r="DQT163" s="21"/>
      <c r="DQU163" s="21"/>
      <c r="DQV163" s="21"/>
      <c r="DQW163" s="21"/>
      <c r="DQX163" s="21"/>
      <c r="DQY163" s="20"/>
      <c r="DQZ163" s="20"/>
      <c r="DRA163" s="20"/>
      <c r="DRB163" s="20"/>
      <c r="DRC163" s="21"/>
      <c r="DRD163" s="21"/>
      <c r="DRE163" s="7"/>
      <c r="DRF163" s="7"/>
      <c r="DRG163" s="21"/>
      <c r="DRH163" s="20"/>
      <c r="DRI163" s="20"/>
      <c r="DRJ163" s="20"/>
      <c r="DRK163" s="21"/>
      <c r="DRL163" s="21"/>
      <c r="DRM163" s="21"/>
      <c r="DRN163" s="21"/>
      <c r="DRO163" s="21"/>
      <c r="DRP163" s="20"/>
      <c r="DRQ163" s="20"/>
      <c r="DRR163" s="20"/>
      <c r="DRS163" s="20"/>
      <c r="DRT163" s="21"/>
      <c r="DRU163" s="21"/>
      <c r="DRV163" s="7"/>
      <c r="DRW163" s="7"/>
      <c r="DRX163" s="21"/>
      <c r="DRY163" s="20"/>
      <c r="DRZ163" s="20"/>
      <c r="DSA163" s="20"/>
      <c r="DSB163" s="21"/>
      <c r="DSC163" s="21"/>
      <c r="DSD163" s="21"/>
      <c r="DSE163" s="21"/>
      <c r="DSF163" s="21"/>
      <c r="DSG163" s="20"/>
      <c r="DSH163" s="20"/>
      <c r="DSI163" s="20"/>
      <c r="DSJ163" s="20"/>
      <c r="DSK163" s="21"/>
      <c r="DSL163" s="21"/>
      <c r="DSM163" s="7"/>
      <c r="DSN163" s="7"/>
      <c r="DSO163" s="21"/>
      <c r="DSP163" s="20"/>
      <c r="DSQ163" s="20"/>
      <c r="DSR163" s="20"/>
      <c r="DSS163" s="21"/>
      <c r="DST163" s="21"/>
      <c r="DSU163" s="21"/>
      <c r="DSV163" s="21"/>
      <c r="DSW163" s="21"/>
      <c r="DSX163" s="20"/>
      <c r="DSY163" s="20"/>
      <c r="DSZ163" s="20"/>
      <c r="DTA163" s="20"/>
      <c r="DTB163" s="21"/>
      <c r="DTC163" s="21"/>
      <c r="DTD163" s="7"/>
      <c r="DTE163" s="7"/>
      <c r="DTF163" s="21"/>
      <c r="DTG163" s="20"/>
      <c r="DTH163" s="20"/>
      <c r="DTI163" s="20"/>
      <c r="DTJ163" s="21"/>
      <c r="DTK163" s="21"/>
      <c r="DTL163" s="21"/>
      <c r="DTM163" s="21"/>
      <c r="DTN163" s="21"/>
      <c r="DTO163" s="20"/>
      <c r="DTP163" s="20"/>
      <c r="DTQ163" s="20"/>
      <c r="DTR163" s="20"/>
      <c r="DTS163" s="21"/>
      <c r="DTT163" s="21"/>
      <c r="DTU163" s="7"/>
      <c r="DTV163" s="7"/>
      <c r="DTW163" s="21"/>
      <c r="DTX163" s="20"/>
      <c r="DTY163" s="20"/>
      <c r="DTZ163" s="20"/>
      <c r="DUA163" s="21"/>
      <c r="DUB163" s="21"/>
      <c r="DUC163" s="21"/>
      <c r="DUD163" s="21"/>
      <c r="DUE163" s="21"/>
      <c r="DUF163" s="20"/>
      <c r="DUG163" s="20"/>
      <c r="DUH163" s="20"/>
      <c r="DUI163" s="20"/>
      <c r="DUJ163" s="21"/>
      <c r="DUK163" s="21"/>
      <c r="DUL163" s="7"/>
      <c r="DUM163" s="7"/>
      <c r="DUN163" s="21"/>
      <c r="DUO163" s="20"/>
      <c r="DUP163" s="20"/>
      <c r="DUQ163" s="20"/>
      <c r="DUR163" s="21"/>
      <c r="DUS163" s="21"/>
      <c r="DUT163" s="21"/>
      <c r="DUU163" s="21"/>
      <c r="DUV163" s="21"/>
      <c r="DUW163" s="20"/>
      <c r="DUX163" s="20"/>
      <c r="DUY163" s="20"/>
      <c r="DUZ163" s="20"/>
      <c r="DVA163" s="21"/>
      <c r="DVB163" s="21"/>
      <c r="DVC163" s="7"/>
      <c r="DVD163" s="7"/>
      <c r="DVE163" s="21"/>
      <c r="DVF163" s="20"/>
      <c r="DVG163" s="20"/>
      <c r="DVH163" s="20"/>
      <c r="DVI163" s="21"/>
      <c r="DVJ163" s="21"/>
      <c r="DVK163" s="21"/>
      <c r="DVL163" s="21"/>
      <c r="DVM163" s="21"/>
      <c r="DVN163" s="20"/>
      <c r="DVO163" s="20"/>
      <c r="DVP163" s="20"/>
      <c r="DVQ163" s="20"/>
      <c r="DVR163" s="21"/>
      <c r="DVS163" s="21"/>
      <c r="DVT163" s="7"/>
      <c r="DVU163" s="7"/>
      <c r="DVV163" s="21"/>
      <c r="DVW163" s="20"/>
      <c r="DVX163" s="20"/>
      <c r="DVY163" s="20"/>
      <c r="DVZ163" s="21"/>
      <c r="DWA163" s="21"/>
      <c r="DWB163" s="21"/>
      <c r="DWC163" s="21"/>
      <c r="DWD163" s="21"/>
      <c r="DWE163" s="20"/>
      <c r="DWF163" s="20"/>
      <c r="DWG163" s="20"/>
      <c r="DWH163" s="20"/>
      <c r="DWI163" s="21"/>
      <c r="DWJ163" s="21"/>
      <c r="DWK163" s="7"/>
      <c r="DWL163" s="7"/>
      <c r="DWM163" s="21"/>
      <c r="DWN163" s="20"/>
      <c r="DWO163" s="20"/>
      <c r="DWP163" s="20"/>
      <c r="DWQ163" s="21"/>
      <c r="DWR163" s="21"/>
      <c r="DWS163" s="21"/>
      <c r="DWT163" s="21"/>
      <c r="DWU163" s="21"/>
      <c r="DWV163" s="20"/>
      <c r="DWW163" s="20"/>
      <c r="DWX163" s="20"/>
      <c r="DWY163" s="20"/>
      <c r="DWZ163" s="21"/>
      <c r="DXA163" s="21"/>
      <c r="DXB163" s="7"/>
      <c r="DXC163" s="7"/>
      <c r="DXD163" s="21"/>
      <c r="DXE163" s="20"/>
      <c r="DXF163" s="20"/>
      <c r="DXG163" s="20"/>
      <c r="DXH163" s="21"/>
      <c r="DXI163" s="21"/>
      <c r="DXJ163" s="21"/>
      <c r="DXK163" s="21"/>
      <c r="DXL163" s="21"/>
      <c r="DXM163" s="20"/>
      <c r="DXN163" s="20"/>
      <c r="DXO163" s="20"/>
      <c r="DXP163" s="20"/>
      <c r="DXQ163" s="21"/>
      <c r="DXR163" s="21"/>
      <c r="DXS163" s="7"/>
      <c r="DXT163" s="7"/>
      <c r="DXU163" s="21"/>
      <c r="DXV163" s="20"/>
      <c r="DXW163" s="20"/>
      <c r="DXX163" s="20"/>
      <c r="DXY163" s="21"/>
      <c r="DXZ163" s="21"/>
      <c r="DYA163" s="21"/>
      <c r="DYB163" s="21"/>
      <c r="DYC163" s="21"/>
      <c r="DYD163" s="20"/>
      <c r="DYE163" s="20"/>
      <c r="DYF163" s="20"/>
      <c r="DYG163" s="20"/>
      <c r="DYH163" s="21"/>
      <c r="DYI163" s="21"/>
      <c r="DYJ163" s="7"/>
      <c r="DYK163" s="7"/>
      <c r="DYL163" s="21"/>
      <c r="DYM163" s="20"/>
      <c r="DYN163" s="20"/>
      <c r="DYO163" s="20"/>
      <c r="DYP163" s="21"/>
      <c r="DYQ163" s="21"/>
      <c r="DYR163" s="21"/>
      <c r="DYS163" s="21"/>
      <c r="DYT163" s="21"/>
      <c r="DYU163" s="20"/>
      <c r="DYV163" s="20"/>
      <c r="DYW163" s="20"/>
      <c r="DYX163" s="20"/>
      <c r="DYY163" s="21"/>
      <c r="DYZ163" s="21"/>
      <c r="DZA163" s="7"/>
      <c r="DZB163" s="7"/>
      <c r="DZC163" s="21"/>
      <c r="DZD163" s="20"/>
      <c r="DZE163" s="20"/>
      <c r="DZF163" s="20"/>
      <c r="DZG163" s="21"/>
      <c r="DZH163" s="21"/>
      <c r="DZI163" s="21"/>
      <c r="DZJ163" s="21"/>
      <c r="DZK163" s="21"/>
      <c r="DZL163" s="20"/>
      <c r="DZM163" s="20"/>
      <c r="DZN163" s="20"/>
      <c r="DZO163" s="20"/>
      <c r="DZP163" s="21"/>
      <c r="DZQ163" s="21"/>
      <c r="DZR163" s="7"/>
      <c r="DZS163" s="7"/>
      <c r="DZT163" s="21"/>
      <c r="DZU163" s="20"/>
      <c r="DZV163" s="20"/>
      <c r="DZW163" s="20"/>
      <c r="DZX163" s="21"/>
      <c r="DZY163" s="21"/>
      <c r="DZZ163" s="21"/>
      <c r="EAA163" s="21"/>
      <c r="EAB163" s="21"/>
      <c r="EAC163" s="20"/>
      <c r="EAD163" s="20"/>
      <c r="EAE163" s="20"/>
      <c r="EAF163" s="20"/>
      <c r="EAG163" s="21"/>
      <c r="EAH163" s="21"/>
      <c r="EAI163" s="7"/>
      <c r="EAJ163" s="7"/>
      <c r="EAK163" s="21"/>
      <c r="EAL163" s="20"/>
      <c r="EAM163" s="20"/>
      <c r="EAN163" s="20"/>
      <c r="EAO163" s="21"/>
      <c r="EAP163" s="21"/>
      <c r="EAQ163" s="21"/>
      <c r="EAR163" s="21"/>
      <c r="EAS163" s="21"/>
      <c r="EAT163" s="20"/>
      <c r="EAU163" s="20"/>
      <c r="EAV163" s="20"/>
      <c r="EAW163" s="20"/>
      <c r="EAX163" s="21"/>
      <c r="EAY163" s="21"/>
      <c r="EAZ163" s="7"/>
      <c r="EBA163" s="7"/>
      <c r="EBB163" s="21"/>
      <c r="EBC163" s="20"/>
      <c r="EBD163" s="20"/>
      <c r="EBE163" s="20"/>
      <c r="EBF163" s="21"/>
      <c r="EBG163" s="21"/>
      <c r="EBH163" s="21"/>
      <c r="EBI163" s="21"/>
      <c r="EBJ163" s="21"/>
      <c r="EBK163" s="20"/>
      <c r="EBL163" s="20"/>
      <c r="EBM163" s="20"/>
      <c r="EBN163" s="20"/>
      <c r="EBO163" s="21"/>
      <c r="EBP163" s="21"/>
      <c r="EBQ163" s="7"/>
      <c r="EBR163" s="7"/>
      <c r="EBS163" s="21"/>
      <c r="EBT163" s="20"/>
      <c r="EBU163" s="20"/>
      <c r="EBV163" s="20"/>
      <c r="EBW163" s="21"/>
      <c r="EBX163" s="21"/>
      <c r="EBY163" s="21"/>
      <c r="EBZ163" s="21"/>
      <c r="ECA163" s="21"/>
      <c r="ECB163" s="20"/>
      <c r="ECC163" s="20"/>
      <c r="ECD163" s="20"/>
      <c r="ECE163" s="20"/>
      <c r="ECF163" s="21"/>
      <c r="ECG163" s="21"/>
      <c r="ECH163" s="7"/>
      <c r="ECI163" s="7"/>
      <c r="ECJ163" s="21"/>
      <c r="ECK163" s="20"/>
      <c r="ECL163" s="20"/>
      <c r="ECM163" s="20"/>
      <c r="ECN163" s="21"/>
      <c r="ECO163" s="21"/>
      <c r="ECP163" s="21"/>
      <c r="ECQ163" s="21"/>
      <c r="ECR163" s="21"/>
      <c r="ECS163" s="20"/>
      <c r="ECT163" s="20"/>
      <c r="ECU163" s="20"/>
      <c r="ECV163" s="20"/>
      <c r="ECW163" s="21"/>
      <c r="ECX163" s="21"/>
      <c r="ECY163" s="7"/>
      <c r="ECZ163" s="7"/>
      <c r="EDA163" s="21"/>
      <c r="EDB163" s="20"/>
      <c r="EDC163" s="20"/>
      <c r="EDD163" s="20"/>
      <c r="EDE163" s="21"/>
      <c r="EDF163" s="21"/>
      <c r="EDG163" s="21"/>
      <c r="EDH163" s="21"/>
      <c r="EDI163" s="21"/>
      <c r="EDJ163" s="20"/>
      <c r="EDK163" s="20"/>
      <c r="EDL163" s="20"/>
      <c r="EDM163" s="20"/>
      <c r="EDN163" s="21"/>
      <c r="EDO163" s="21"/>
      <c r="EDP163" s="7"/>
      <c r="EDQ163" s="7"/>
      <c r="EDR163" s="21"/>
      <c r="EDS163" s="20"/>
      <c r="EDT163" s="20"/>
      <c r="EDU163" s="20"/>
      <c r="EDV163" s="21"/>
      <c r="EDW163" s="21"/>
      <c r="EDX163" s="21"/>
      <c r="EDY163" s="21"/>
      <c r="EDZ163" s="21"/>
      <c r="EEA163" s="20"/>
      <c r="EEB163" s="20"/>
      <c r="EEC163" s="20"/>
      <c r="EED163" s="20"/>
      <c r="EEE163" s="21"/>
      <c r="EEF163" s="21"/>
      <c r="EEG163" s="7"/>
      <c r="EEH163" s="7"/>
      <c r="EEI163" s="21"/>
      <c r="EEJ163" s="20"/>
      <c r="EEK163" s="20"/>
      <c r="EEL163" s="20"/>
      <c r="EEM163" s="21"/>
      <c r="EEN163" s="21"/>
      <c r="EEO163" s="21"/>
      <c r="EEP163" s="21"/>
      <c r="EEQ163" s="21"/>
      <c r="EER163" s="20"/>
      <c r="EES163" s="20"/>
      <c r="EET163" s="20"/>
      <c r="EEU163" s="20"/>
      <c r="EEV163" s="21"/>
      <c r="EEW163" s="21"/>
      <c r="EEX163" s="7"/>
      <c r="EEY163" s="7"/>
      <c r="EEZ163" s="21"/>
      <c r="EFA163" s="20"/>
      <c r="EFB163" s="20"/>
      <c r="EFC163" s="20"/>
      <c r="EFD163" s="21"/>
      <c r="EFE163" s="21"/>
      <c r="EFF163" s="21"/>
      <c r="EFG163" s="21"/>
      <c r="EFH163" s="21"/>
      <c r="EFI163" s="20"/>
      <c r="EFJ163" s="20"/>
      <c r="EFK163" s="20"/>
      <c r="EFL163" s="20"/>
      <c r="EFM163" s="21"/>
      <c r="EFN163" s="21"/>
      <c r="EFO163" s="7"/>
      <c r="EFP163" s="7"/>
      <c r="EFQ163" s="21"/>
      <c r="EFR163" s="20"/>
      <c r="EFS163" s="20"/>
      <c r="EFT163" s="20"/>
      <c r="EFU163" s="21"/>
      <c r="EFV163" s="21"/>
      <c r="EFW163" s="21"/>
      <c r="EFX163" s="21"/>
      <c r="EFY163" s="21"/>
      <c r="EFZ163" s="20"/>
      <c r="EGA163" s="20"/>
      <c r="EGB163" s="20"/>
      <c r="EGC163" s="20"/>
      <c r="EGD163" s="21"/>
      <c r="EGE163" s="21"/>
      <c r="EGF163" s="7"/>
      <c r="EGG163" s="7"/>
      <c r="EGH163" s="21"/>
      <c r="EGI163" s="20"/>
      <c r="EGJ163" s="20"/>
      <c r="EGK163" s="20"/>
      <c r="EGL163" s="21"/>
      <c r="EGM163" s="21"/>
      <c r="EGN163" s="21"/>
      <c r="EGO163" s="21"/>
      <c r="EGP163" s="21"/>
      <c r="EGQ163" s="20"/>
      <c r="EGR163" s="20"/>
      <c r="EGS163" s="20"/>
      <c r="EGT163" s="20"/>
      <c r="EGU163" s="21"/>
      <c r="EGV163" s="21"/>
      <c r="EGW163" s="7"/>
      <c r="EGX163" s="7"/>
      <c r="EGY163" s="21"/>
      <c r="EGZ163" s="20"/>
      <c r="EHA163" s="20"/>
      <c r="EHB163" s="20"/>
      <c r="EHC163" s="21"/>
      <c r="EHD163" s="21"/>
      <c r="EHE163" s="21"/>
      <c r="EHF163" s="21"/>
      <c r="EHG163" s="21"/>
      <c r="EHH163" s="20"/>
      <c r="EHI163" s="20"/>
      <c r="EHJ163" s="20"/>
      <c r="EHK163" s="20"/>
      <c r="EHL163" s="21"/>
      <c r="EHM163" s="21"/>
      <c r="EHN163" s="7"/>
      <c r="EHO163" s="7"/>
      <c r="EHP163" s="21"/>
      <c r="EHQ163" s="20"/>
      <c r="EHR163" s="20"/>
      <c r="EHS163" s="20"/>
      <c r="EHT163" s="21"/>
      <c r="EHU163" s="21"/>
      <c r="EHV163" s="21"/>
      <c r="EHW163" s="21"/>
      <c r="EHX163" s="21"/>
      <c r="EHY163" s="20"/>
      <c r="EHZ163" s="20"/>
      <c r="EIA163" s="20"/>
      <c r="EIB163" s="20"/>
      <c r="EIC163" s="21"/>
      <c r="EID163" s="21"/>
      <c r="EIE163" s="7"/>
      <c r="EIF163" s="7"/>
      <c r="EIG163" s="21"/>
      <c r="EIH163" s="20"/>
      <c r="EII163" s="20"/>
      <c r="EIJ163" s="20"/>
      <c r="EIK163" s="21"/>
      <c r="EIL163" s="21"/>
      <c r="EIM163" s="21"/>
      <c r="EIN163" s="21"/>
      <c r="EIO163" s="21"/>
      <c r="EIP163" s="20"/>
      <c r="EIQ163" s="20"/>
      <c r="EIR163" s="20"/>
      <c r="EIS163" s="20"/>
      <c r="EIT163" s="21"/>
      <c r="EIU163" s="21"/>
      <c r="EIV163" s="7"/>
      <c r="EIW163" s="7"/>
      <c r="EIX163" s="21"/>
      <c r="EIY163" s="20"/>
      <c r="EIZ163" s="20"/>
      <c r="EJA163" s="20"/>
      <c r="EJB163" s="21"/>
      <c r="EJC163" s="21"/>
      <c r="EJD163" s="21"/>
      <c r="EJE163" s="21"/>
      <c r="EJF163" s="21"/>
      <c r="EJG163" s="20"/>
      <c r="EJH163" s="20"/>
      <c r="EJI163" s="20"/>
      <c r="EJJ163" s="20"/>
      <c r="EJK163" s="21"/>
      <c r="EJL163" s="21"/>
      <c r="EJM163" s="7"/>
      <c r="EJN163" s="7"/>
      <c r="EJO163" s="21"/>
      <c r="EJP163" s="20"/>
      <c r="EJQ163" s="20"/>
      <c r="EJR163" s="20"/>
      <c r="EJS163" s="21"/>
      <c r="EJT163" s="21"/>
      <c r="EJU163" s="21"/>
      <c r="EJV163" s="21"/>
      <c r="EJW163" s="21"/>
      <c r="EJX163" s="20"/>
      <c r="EJY163" s="20"/>
      <c r="EJZ163" s="20"/>
      <c r="EKA163" s="20"/>
      <c r="EKB163" s="21"/>
      <c r="EKC163" s="21"/>
      <c r="EKD163" s="7"/>
      <c r="EKE163" s="7"/>
      <c r="EKF163" s="21"/>
      <c r="EKG163" s="20"/>
      <c r="EKH163" s="20"/>
      <c r="EKI163" s="20"/>
      <c r="EKJ163" s="21"/>
      <c r="EKK163" s="21"/>
      <c r="EKL163" s="21"/>
      <c r="EKM163" s="21"/>
      <c r="EKN163" s="21"/>
      <c r="EKO163" s="20"/>
      <c r="EKP163" s="20"/>
      <c r="EKQ163" s="20"/>
      <c r="EKR163" s="20"/>
      <c r="EKS163" s="21"/>
      <c r="EKT163" s="21"/>
      <c r="EKU163" s="7"/>
      <c r="EKV163" s="7"/>
      <c r="EKW163" s="21"/>
      <c r="EKX163" s="20"/>
      <c r="EKY163" s="20"/>
      <c r="EKZ163" s="20"/>
      <c r="ELA163" s="21"/>
      <c r="ELB163" s="21"/>
      <c r="ELC163" s="21"/>
      <c r="ELD163" s="21"/>
      <c r="ELE163" s="21"/>
      <c r="ELF163" s="20"/>
      <c r="ELG163" s="20"/>
      <c r="ELH163" s="20"/>
      <c r="ELI163" s="20"/>
      <c r="ELJ163" s="21"/>
      <c r="ELK163" s="21"/>
      <c r="ELL163" s="7"/>
      <c r="ELM163" s="7"/>
      <c r="ELN163" s="21"/>
      <c r="ELO163" s="20"/>
      <c r="ELP163" s="20"/>
      <c r="ELQ163" s="20"/>
      <c r="ELR163" s="21"/>
      <c r="ELS163" s="21"/>
      <c r="ELT163" s="21"/>
      <c r="ELU163" s="21"/>
      <c r="ELV163" s="21"/>
      <c r="ELW163" s="20"/>
      <c r="ELX163" s="20"/>
      <c r="ELY163" s="20"/>
      <c r="ELZ163" s="20"/>
      <c r="EMA163" s="21"/>
      <c r="EMB163" s="21"/>
      <c r="EMC163" s="7"/>
      <c r="EMD163" s="7"/>
      <c r="EME163" s="21"/>
      <c r="EMF163" s="20"/>
      <c r="EMG163" s="20"/>
      <c r="EMH163" s="20"/>
      <c r="EMI163" s="21"/>
      <c r="EMJ163" s="21"/>
      <c r="EMK163" s="21"/>
      <c r="EML163" s="21"/>
      <c r="EMM163" s="21"/>
      <c r="EMN163" s="20"/>
      <c r="EMO163" s="20"/>
      <c r="EMP163" s="20"/>
      <c r="EMQ163" s="20"/>
      <c r="EMR163" s="21"/>
      <c r="EMS163" s="21"/>
      <c r="EMT163" s="7"/>
      <c r="EMU163" s="7"/>
      <c r="EMV163" s="21"/>
      <c r="EMW163" s="20"/>
      <c r="EMX163" s="20"/>
      <c r="EMY163" s="20"/>
      <c r="EMZ163" s="21"/>
      <c r="ENA163" s="21"/>
      <c r="ENB163" s="21"/>
      <c r="ENC163" s="21"/>
      <c r="END163" s="21"/>
      <c r="ENE163" s="20"/>
      <c r="ENF163" s="20"/>
      <c r="ENG163" s="20"/>
      <c r="ENH163" s="20"/>
      <c r="ENI163" s="21"/>
      <c r="ENJ163" s="21"/>
      <c r="ENK163" s="7"/>
      <c r="ENL163" s="7"/>
      <c r="ENM163" s="21"/>
      <c r="ENN163" s="20"/>
      <c r="ENO163" s="20"/>
      <c r="ENP163" s="20"/>
      <c r="ENQ163" s="21"/>
      <c r="ENR163" s="21"/>
      <c r="ENS163" s="21"/>
      <c r="ENT163" s="21"/>
      <c r="ENU163" s="21"/>
      <c r="ENV163" s="20"/>
      <c r="ENW163" s="20"/>
      <c r="ENX163" s="20"/>
      <c r="ENY163" s="20"/>
      <c r="ENZ163" s="21"/>
      <c r="EOA163" s="21"/>
      <c r="EOB163" s="7"/>
      <c r="EOC163" s="7"/>
      <c r="EOD163" s="21"/>
      <c r="EOE163" s="20"/>
      <c r="EOF163" s="20"/>
      <c r="EOG163" s="20"/>
      <c r="EOH163" s="21"/>
      <c r="EOI163" s="21"/>
      <c r="EOJ163" s="21"/>
      <c r="EOK163" s="21"/>
      <c r="EOL163" s="21"/>
      <c r="EOM163" s="20"/>
      <c r="EON163" s="20"/>
      <c r="EOO163" s="20"/>
      <c r="EOP163" s="20"/>
      <c r="EOQ163" s="21"/>
      <c r="EOR163" s="21"/>
      <c r="EOS163" s="7"/>
      <c r="EOT163" s="7"/>
      <c r="EOU163" s="21"/>
      <c r="EOV163" s="20"/>
      <c r="EOW163" s="20"/>
      <c r="EOX163" s="20"/>
      <c r="EOY163" s="21"/>
      <c r="EOZ163" s="21"/>
      <c r="EPA163" s="21"/>
      <c r="EPB163" s="21"/>
      <c r="EPC163" s="21"/>
      <c r="EPD163" s="20"/>
      <c r="EPE163" s="20"/>
      <c r="EPF163" s="20"/>
      <c r="EPG163" s="20"/>
      <c r="EPH163" s="21"/>
      <c r="EPI163" s="21"/>
      <c r="EPJ163" s="7"/>
      <c r="EPK163" s="7"/>
      <c r="EPL163" s="21"/>
      <c r="EPM163" s="20"/>
      <c r="EPN163" s="20"/>
      <c r="EPO163" s="20"/>
      <c r="EPP163" s="21"/>
      <c r="EPQ163" s="21"/>
      <c r="EPR163" s="21"/>
      <c r="EPS163" s="21"/>
      <c r="EPT163" s="21"/>
      <c r="EPU163" s="20"/>
      <c r="EPV163" s="20"/>
      <c r="EPW163" s="20"/>
      <c r="EPX163" s="20"/>
      <c r="EPY163" s="21"/>
      <c r="EPZ163" s="21"/>
      <c r="EQA163" s="7"/>
      <c r="EQB163" s="7"/>
      <c r="EQC163" s="21"/>
      <c r="EQD163" s="20"/>
      <c r="EQE163" s="20"/>
      <c r="EQF163" s="20"/>
      <c r="EQG163" s="21"/>
      <c r="EQH163" s="21"/>
      <c r="EQI163" s="21"/>
      <c r="EQJ163" s="21"/>
      <c r="EQK163" s="21"/>
      <c r="EQL163" s="20"/>
      <c r="EQM163" s="20"/>
      <c r="EQN163" s="20"/>
      <c r="EQO163" s="20"/>
      <c r="EQP163" s="21"/>
      <c r="EQQ163" s="21"/>
      <c r="EQR163" s="7"/>
      <c r="EQS163" s="7"/>
      <c r="EQT163" s="21"/>
      <c r="EQU163" s="20"/>
      <c r="EQV163" s="20"/>
      <c r="EQW163" s="20"/>
      <c r="EQX163" s="21"/>
      <c r="EQY163" s="21"/>
      <c r="EQZ163" s="21"/>
      <c r="ERA163" s="21"/>
      <c r="ERB163" s="21"/>
      <c r="ERC163" s="20"/>
      <c r="ERD163" s="20"/>
      <c r="ERE163" s="20"/>
      <c r="ERF163" s="20"/>
      <c r="ERG163" s="21"/>
      <c r="ERH163" s="21"/>
      <c r="ERI163" s="7"/>
      <c r="ERJ163" s="7"/>
      <c r="ERK163" s="21"/>
      <c r="ERL163" s="20"/>
      <c r="ERM163" s="20"/>
      <c r="ERN163" s="20"/>
      <c r="ERO163" s="21"/>
      <c r="ERP163" s="21"/>
      <c r="ERQ163" s="21"/>
      <c r="ERR163" s="21"/>
      <c r="ERS163" s="21"/>
      <c r="ERT163" s="20"/>
      <c r="ERU163" s="20"/>
      <c r="ERV163" s="20"/>
      <c r="ERW163" s="20"/>
      <c r="ERX163" s="21"/>
      <c r="ERY163" s="21"/>
      <c r="ERZ163" s="7"/>
      <c r="ESA163" s="7"/>
      <c r="ESB163" s="21"/>
      <c r="ESC163" s="20"/>
      <c r="ESD163" s="20"/>
      <c r="ESE163" s="20"/>
      <c r="ESF163" s="21"/>
      <c r="ESG163" s="21"/>
      <c r="ESH163" s="21"/>
      <c r="ESI163" s="21"/>
      <c r="ESJ163" s="21"/>
      <c r="ESK163" s="20"/>
      <c r="ESL163" s="20"/>
      <c r="ESM163" s="20"/>
      <c r="ESN163" s="20"/>
      <c r="ESO163" s="21"/>
      <c r="ESP163" s="21"/>
      <c r="ESQ163" s="7"/>
      <c r="ESR163" s="7"/>
      <c r="ESS163" s="21"/>
      <c r="EST163" s="20"/>
      <c r="ESU163" s="20"/>
      <c r="ESV163" s="20"/>
      <c r="ESW163" s="21"/>
      <c r="ESX163" s="21"/>
      <c r="ESY163" s="21"/>
      <c r="ESZ163" s="21"/>
      <c r="ETA163" s="21"/>
      <c r="ETB163" s="20"/>
      <c r="ETC163" s="20"/>
      <c r="ETD163" s="20"/>
      <c r="ETE163" s="20"/>
      <c r="ETF163" s="21"/>
      <c r="ETG163" s="21"/>
      <c r="ETH163" s="7"/>
      <c r="ETI163" s="7"/>
      <c r="ETJ163" s="21"/>
      <c r="ETK163" s="20"/>
      <c r="ETL163" s="20"/>
      <c r="ETM163" s="20"/>
      <c r="ETN163" s="21"/>
      <c r="ETO163" s="21"/>
      <c r="ETP163" s="21"/>
      <c r="ETQ163" s="21"/>
      <c r="ETR163" s="21"/>
      <c r="ETS163" s="20"/>
      <c r="ETT163" s="20"/>
      <c r="ETU163" s="20"/>
      <c r="ETV163" s="20"/>
      <c r="ETW163" s="21"/>
      <c r="ETX163" s="21"/>
      <c r="ETY163" s="7"/>
      <c r="ETZ163" s="7"/>
      <c r="EUA163" s="21"/>
      <c r="EUB163" s="20"/>
      <c r="EUC163" s="20"/>
      <c r="EUD163" s="20"/>
      <c r="EUE163" s="21"/>
      <c r="EUF163" s="21"/>
      <c r="EUG163" s="21"/>
      <c r="EUH163" s="21"/>
      <c r="EUI163" s="21"/>
      <c r="EUJ163" s="20"/>
      <c r="EUK163" s="20"/>
      <c r="EUL163" s="20"/>
      <c r="EUM163" s="20"/>
      <c r="EUN163" s="21"/>
      <c r="EUO163" s="21"/>
      <c r="EUP163" s="7"/>
      <c r="EUQ163" s="7"/>
      <c r="EUR163" s="21"/>
      <c r="EUS163" s="20"/>
      <c r="EUT163" s="20"/>
      <c r="EUU163" s="20"/>
      <c r="EUV163" s="21"/>
      <c r="EUW163" s="21"/>
      <c r="EUX163" s="21"/>
      <c r="EUY163" s="21"/>
      <c r="EUZ163" s="21"/>
      <c r="EVA163" s="20"/>
      <c r="EVB163" s="20"/>
      <c r="EVC163" s="20"/>
      <c r="EVD163" s="20"/>
      <c r="EVE163" s="21"/>
      <c r="EVF163" s="21"/>
      <c r="EVG163" s="7"/>
      <c r="EVH163" s="7"/>
      <c r="EVI163" s="21"/>
      <c r="EVJ163" s="20"/>
      <c r="EVK163" s="20"/>
      <c r="EVL163" s="20"/>
      <c r="EVM163" s="21"/>
      <c r="EVN163" s="21"/>
      <c r="EVO163" s="21"/>
      <c r="EVP163" s="21"/>
      <c r="EVQ163" s="21"/>
      <c r="EVR163" s="20"/>
      <c r="EVS163" s="20"/>
      <c r="EVT163" s="20"/>
      <c r="EVU163" s="20"/>
      <c r="EVV163" s="21"/>
      <c r="EVW163" s="21"/>
      <c r="EVX163" s="7"/>
      <c r="EVY163" s="7"/>
      <c r="EVZ163" s="21"/>
      <c r="EWA163" s="20"/>
      <c r="EWB163" s="20"/>
      <c r="EWC163" s="20"/>
      <c r="EWD163" s="21"/>
      <c r="EWE163" s="21"/>
      <c r="EWF163" s="21"/>
      <c r="EWG163" s="21"/>
      <c r="EWH163" s="21"/>
      <c r="EWI163" s="20"/>
      <c r="EWJ163" s="20"/>
      <c r="EWK163" s="20"/>
      <c r="EWL163" s="20"/>
      <c r="EWM163" s="21"/>
      <c r="EWN163" s="21"/>
      <c r="EWO163" s="7"/>
      <c r="EWP163" s="7"/>
      <c r="EWQ163" s="21"/>
      <c r="EWR163" s="20"/>
      <c r="EWS163" s="20"/>
      <c r="EWT163" s="20"/>
      <c r="EWU163" s="21"/>
      <c r="EWV163" s="21"/>
      <c r="EWW163" s="21"/>
      <c r="EWX163" s="21"/>
      <c r="EWY163" s="21"/>
      <c r="EWZ163" s="20"/>
      <c r="EXA163" s="20"/>
      <c r="EXB163" s="20"/>
      <c r="EXC163" s="20"/>
      <c r="EXD163" s="21"/>
      <c r="EXE163" s="21"/>
      <c r="EXF163" s="7"/>
      <c r="EXG163" s="7"/>
      <c r="EXH163" s="21"/>
      <c r="EXI163" s="20"/>
      <c r="EXJ163" s="20"/>
      <c r="EXK163" s="20"/>
      <c r="EXL163" s="21"/>
      <c r="EXM163" s="21"/>
      <c r="EXN163" s="21"/>
      <c r="EXO163" s="21"/>
      <c r="EXP163" s="21"/>
      <c r="EXQ163" s="20"/>
      <c r="EXR163" s="20"/>
      <c r="EXS163" s="20"/>
      <c r="EXT163" s="20"/>
      <c r="EXU163" s="21"/>
      <c r="EXV163" s="21"/>
      <c r="EXW163" s="7"/>
      <c r="EXX163" s="7"/>
      <c r="EXY163" s="21"/>
      <c r="EXZ163" s="20"/>
      <c r="EYA163" s="20"/>
      <c r="EYB163" s="20"/>
      <c r="EYC163" s="21"/>
      <c r="EYD163" s="21"/>
      <c r="EYE163" s="21"/>
      <c r="EYF163" s="21"/>
      <c r="EYG163" s="21"/>
      <c r="EYH163" s="20"/>
      <c r="EYI163" s="20"/>
      <c r="EYJ163" s="20"/>
      <c r="EYK163" s="20"/>
      <c r="EYL163" s="21"/>
      <c r="EYM163" s="21"/>
      <c r="EYN163" s="7"/>
      <c r="EYO163" s="7"/>
      <c r="EYP163" s="21"/>
      <c r="EYQ163" s="20"/>
      <c r="EYR163" s="20"/>
      <c r="EYS163" s="20"/>
      <c r="EYT163" s="21"/>
      <c r="EYU163" s="21"/>
      <c r="EYV163" s="21"/>
      <c r="EYW163" s="21"/>
      <c r="EYX163" s="21"/>
      <c r="EYY163" s="20"/>
      <c r="EYZ163" s="20"/>
      <c r="EZA163" s="20"/>
      <c r="EZB163" s="20"/>
      <c r="EZC163" s="21"/>
      <c r="EZD163" s="21"/>
      <c r="EZE163" s="7"/>
      <c r="EZF163" s="7"/>
      <c r="EZG163" s="21"/>
      <c r="EZH163" s="20"/>
      <c r="EZI163" s="20"/>
      <c r="EZJ163" s="20"/>
      <c r="EZK163" s="21"/>
      <c r="EZL163" s="21"/>
      <c r="EZM163" s="21"/>
      <c r="EZN163" s="21"/>
      <c r="EZO163" s="21"/>
      <c r="EZP163" s="20"/>
      <c r="EZQ163" s="20"/>
      <c r="EZR163" s="20"/>
      <c r="EZS163" s="20"/>
      <c r="EZT163" s="21"/>
      <c r="EZU163" s="21"/>
      <c r="EZV163" s="7"/>
      <c r="EZW163" s="7"/>
      <c r="EZX163" s="21"/>
      <c r="EZY163" s="20"/>
      <c r="EZZ163" s="20"/>
      <c r="FAA163" s="20"/>
      <c r="FAB163" s="21"/>
      <c r="FAC163" s="21"/>
      <c r="FAD163" s="21"/>
      <c r="FAE163" s="21"/>
      <c r="FAF163" s="21"/>
      <c r="FAG163" s="20"/>
      <c r="FAH163" s="20"/>
      <c r="FAI163" s="20"/>
      <c r="FAJ163" s="20"/>
      <c r="FAK163" s="21"/>
      <c r="FAL163" s="21"/>
      <c r="FAM163" s="7"/>
      <c r="FAN163" s="7"/>
      <c r="FAO163" s="21"/>
      <c r="FAP163" s="20"/>
      <c r="FAQ163" s="20"/>
      <c r="FAR163" s="20"/>
      <c r="FAS163" s="21"/>
      <c r="FAT163" s="21"/>
      <c r="FAU163" s="21"/>
      <c r="FAV163" s="21"/>
      <c r="FAW163" s="21"/>
      <c r="FAX163" s="20"/>
      <c r="FAY163" s="20"/>
      <c r="FAZ163" s="20"/>
      <c r="FBA163" s="20"/>
      <c r="FBB163" s="21"/>
      <c r="FBC163" s="21"/>
      <c r="FBD163" s="7"/>
      <c r="FBE163" s="7"/>
      <c r="FBF163" s="21"/>
      <c r="FBG163" s="20"/>
      <c r="FBH163" s="20"/>
      <c r="FBI163" s="20"/>
      <c r="FBJ163" s="21"/>
      <c r="FBK163" s="21"/>
      <c r="FBL163" s="21"/>
      <c r="FBM163" s="21"/>
      <c r="FBN163" s="21"/>
      <c r="FBO163" s="20"/>
      <c r="FBP163" s="20"/>
      <c r="FBQ163" s="20"/>
      <c r="FBR163" s="20"/>
      <c r="FBS163" s="21"/>
      <c r="FBT163" s="21"/>
      <c r="FBU163" s="7"/>
      <c r="FBV163" s="7"/>
      <c r="FBW163" s="21"/>
      <c r="FBX163" s="20"/>
      <c r="FBY163" s="20"/>
      <c r="FBZ163" s="20"/>
      <c r="FCA163" s="21"/>
      <c r="FCB163" s="21"/>
      <c r="FCC163" s="21"/>
      <c r="FCD163" s="21"/>
      <c r="FCE163" s="21"/>
      <c r="FCF163" s="20"/>
      <c r="FCG163" s="20"/>
      <c r="FCH163" s="20"/>
      <c r="FCI163" s="20"/>
      <c r="FCJ163" s="21"/>
      <c r="FCK163" s="21"/>
      <c r="FCL163" s="7"/>
      <c r="FCM163" s="7"/>
      <c r="FCN163" s="21"/>
      <c r="FCO163" s="20"/>
      <c r="FCP163" s="20"/>
      <c r="FCQ163" s="20"/>
      <c r="FCR163" s="21"/>
      <c r="FCS163" s="21"/>
      <c r="FCT163" s="21"/>
      <c r="FCU163" s="21"/>
      <c r="FCV163" s="21"/>
      <c r="FCW163" s="20"/>
      <c r="FCX163" s="20"/>
      <c r="FCY163" s="20"/>
      <c r="FCZ163" s="20"/>
      <c r="FDA163" s="21"/>
      <c r="FDB163" s="21"/>
      <c r="FDC163" s="7"/>
      <c r="FDD163" s="7"/>
      <c r="FDE163" s="21"/>
      <c r="FDF163" s="20"/>
      <c r="FDG163" s="20"/>
      <c r="FDH163" s="20"/>
      <c r="FDI163" s="21"/>
      <c r="FDJ163" s="21"/>
      <c r="FDK163" s="21"/>
      <c r="FDL163" s="21"/>
      <c r="FDM163" s="21"/>
      <c r="FDN163" s="20"/>
      <c r="FDO163" s="20"/>
      <c r="FDP163" s="20"/>
      <c r="FDQ163" s="20"/>
      <c r="FDR163" s="21"/>
      <c r="FDS163" s="21"/>
      <c r="FDT163" s="7"/>
      <c r="FDU163" s="7"/>
      <c r="FDV163" s="21"/>
      <c r="FDW163" s="20"/>
      <c r="FDX163" s="20"/>
      <c r="FDY163" s="20"/>
      <c r="FDZ163" s="21"/>
      <c r="FEA163" s="21"/>
      <c r="FEB163" s="21"/>
      <c r="FEC163" s="21"/>
      <c r="FED163" s="21"/>
      <c r="FEE163" s="20"/>
      <c r="FEF163" s="20"/>
      <c r="FEG163" s="20"/>
      <c r="FEH163" s="20"/>
      <c r="FEI163" s="21"/>
      <c r="FEJ163" s="21"/>
      <c r="FEK163" s="7"/>
      <c r="FEL163" s="7"/>
      <c r="FEM163" s="21"/>
      <c r="FEN163" s="20"/>
      <c r="FEO163" s="20"/>
      <c r="FEP163" s="20"/>
      <c r="FEQ163" s="21"/>
      <c r="FER163" s="21"/>
      <c r="FES163" s="21"/>
      <c r="FET163" s="21"/>
      <c r="FEU163" s="21"/>
      <c r="FEV163" s="20"/>
      <c r="FEW163" s="20"/>
      <c r="FEX163" s="20"/>
      <c r="FEY163" s="20"/>
      <c r="FEZ163" s="21"/>
      <c r="FFA163" s="21"/>
      <c r="FFB163" s="7"/>
      <c r="FFC163" s="7"/>
      <c r="FFD163" s="21"/>
      <c r="FFE163" s="20"/>
      <c r="FFF163" s="20"/>
      <c r="FFG163" s="20"/>
      <c r="FFH163" s="21"/>
      <c r="FFI163" s="21"/>
      <c r="FFJ163" s="21"/>
      <c r="FFK163" s="21"/>
      <c r="FFL163" s="21"/>
      <c r="FFM163" s="20"/>
      <c r="FFN163" s="20"/>
      <c r="FFO163" s="20"/>
      <c r="FFP163" s="20"/>
      <c r="FFQ163" s="21"/>
      <c r="FFR163" s="21"/>
      <c r="FFS163" s="7"/>
      <c r="FFT163" s="7"/>
      <c r="FFU163" s="21"/>
      <c r="FFV163" s="20"/>
      <c r="FFW163" s="20"/>
      <c r="FFX163" s="20"/>
      <c r="FFY163" s="21"/>
      <c r="FFZ163" s="21"/>
      <c r="FGA163" s="21"/>
      <c r="FGB163" s="21"/>
      <c r="FGC163" s="21"/>
      <c r="FGD163" s="20"/>
      <c r="FGE163" s="20"/>
      <c r="FGF163" s="20"/>
      <c r="FGG163" s="20"/>
      <c r="FGH163" s="21"/>
      <c r="FGI163" s="21"/>
      <c r="FGJ163" s="7"/>
      <c r="FGK163" s="7"/>
      <c r="FGL163" s="21"/>
      <c r="FGM163" s="20"/>
      <c r="FGN163" s="20"/>
      <c r="FGO163" s="20"/>
      <c r="FGP163" s="21"/>
      <c r="FGQ163" s="21"/>
      <c r="FGR163" s="21"/>
      <c r="FGS163" s="21"/>
      <c r="FGT163" s="21"/>
      <c r="FGU163" s="20"/>
      <c r="FGV163" s="20"/>
      <c r="FGW163" s="20"/>
      <c r="FGX163" s="20"/>
      <c r="FGY163" s="21"/>
      <c r="FGZ163" s="21"/>
      <c r="FHA163" s="7"/>
      <c r="FHB163" s="7"/>
      <c r="FHC163" s="21"/>
      <c r="FHD163" s="20"/>
      <c r="FHE163" s="20"/>
      <c r="FHF163" s="20"/>
      <c r="FHG163" s="21"/>
      <c r="FHH163" s="21"/>
      <c r="FHI163" s="21"/>
      <c r="FHJ163" s="21"/>
      <c r="FHK163" s="21"/>
      <c r="FHL163" s="20"/>
      <c r="FHM163" s="20"/>
      <c r="FHN163" s="20"/>
      <c r="FHO163" s="20"/>
      <c r="FHP163" s="21"/>
      <c r="FHQ163" s="21"/>
      <c r="FHR163" s="7"/>
      <c r="FHS163" s="7"/>
      <c r="FHT163" s="21"/>
      <c r="FHU163" s="20"/>
      <c r="FHV163" s="20"/>
      <c r="FHW163" s="20"/>
      <c r="FHX163" s="21"/>
      <c r="FHY163" s="21"/>
      <c r="FHZ163" s="21"/>
      <c r="FIA163" s="21"/>
      <c r="FIB163" s="21"/>
      <c r="FIC163" s="20"/>
      <c r="FID163" s="20"/>
      <c r="FIE163" s="20"/>
      <c r="FIF163" s="20"/>
      <c r="FIG163" s="21"/>
      <c r="FIH163" s="21"/>
      <c r="FII163" s="7"/>
      <c r="FIJ163" s="7"/>
      <c r="FIK163" s="21"/>
      <c r="FIL163" s="20"/>
      <c r="FIM163" s="20"/>
      <c r="FIN163" s="20"/>
      <c r="FIO163" s="21"/>
      <c r="FIP163" s="21"/>
      <c r="FIQ163" s="21"/>
      <c r="FIR163" s="21"/>
      <c r="FIS163" s="21"/>
      <c r="FIT163" s="20"/>
      <c r="FIU163" s="20"/>
      <c r="FIV163" s="20"/>
      <c r="FIW163" s="20"/>
      <c r="FIX163" s="21"/>
      <c r="FIY163" s="21"/>
      <c r="FIZ163" s="7"/>
      <c r="FJA163" s="7"/>
      <c r="FJB163" s="21"/>
      <c r="FJC163" s="20"/>
      <c r="FJD163" s="20"/>
      <c r="FJE163" s="20"/>
      <c r="FJF163" s="21"/>
      <c r="FJG163" s="21"/>
      <c r="FJH163" s="21"/>
      <c r="FJI163" s="21"/>
      <c r="FJJ163" s="21"/>
      <c r="FJK163" s="20"/>
      <c r="FJL163" s="20"/>
      <c r="FJM163" s="20"/>
      <c r="FJN163" s="20"/>
      <c r="FJO163" s="21"/>
      <c r="FJP163" s="21"/>
      <c r="FJQ163" s="7"/>
      <c r="FJR163" s="7"/>
      <c r="FJS163" s="21"/>
      <c r="FJT163" s="20"/>
      <c r="FJU163" s="20"/>
      <c r="FJV163" s="20"/>
      <c r="FJW163" s="21"/>
      <c r="FJX163" s="21"/>
      <c r="FJY163" s="21"/>
      <c r="FJZ163" s="21"/>
      <c r="FKA163" s="21"/>
      <c r="FKB163" s="20"/>
      <c r="FKC163" s="20"/>
      <c r="FKD163" s="20"/>
      <c r="FKE163" s="20"/>
      <c r="FKF163" s="21"/>
      <c r="FKG163" s="21"/>
      <c r="FKH163" s="7"/>
      <c r="FKI163" s="7"/>
      <c r="FKJ163" s="21"/>
      <c r="FKK163" s="20"/>
      <c r="FKL163" s="20"/>
      <c r="FKM163" s="20"/>
      <c r="FKN163" s="21"/>
      <c r="FKO163" s="21"/>
      <c r="FKP163" s="21"/>
      <c r="FKQ163" s="21"/>
      <c r="FKR163" s="21"/>
      <c r="FKS163" s="20"/>
      <c r="FKT163" s="20"/>
      <c r="FKU163" s="20"/>
      <c r="FKV163" s="20"/>
      <c r="FKW163" s="21"/>
      <c r="FKX163" s="21"/>
      <c r="FKY163" s="7"/>
      <c r="FKZ163" s="7"/>
      <c r="FLA163" s="21"/>
      <c r="FLB163" s="20"/>
      <c r="FLC163" s="20"/>
      <c r="FLD163" s="20"/>
      <c r="FLE163" s="21"/>
      <c r="FLF163" s="21"/>
      <c r="FLG163" s="21"/>
      <c r="FLH163" s="21"/>
      <c r="FLI163" s="21"/>
      <c r="FLJ163" s="20"/>
      <c r="FLK163" s="20"/>
      <c r="FLL163" s="20"/>
      <c r="FLM163" s="20"/>
      <c r="FLN163" s="21"/>
      <c r="FLO163" s="21"/>
      <c r="FLP163" s="7"/>
      <c r="FLQ163" s="7"/>
      <c r="FLR163" s="21"/>
      <c r="FLS163" s="20"/>
      <c r="FLT163" s="20"/>
      <c r="FLU163" s="20"/>
      <c r="FLV163" s="21"/>
      <c r="FLW163" s="21"/>
      <c r="FLX163" s="21"/>
      <c r="FLY163" s="21"/>
      <c r="FLZ163" s="21"/>
      <c r="FMA163" s="20"/>
      <c r="FMB163" s="20"/>
      <c r="FMC163" s="20"/>
      <c r="FMD163" s="20"/>
      <c r="FME163" s="21"/>
      <c r="FMF163" s="21"/>
      <c r="FMG163" s="7"/>
      <c r="FMH163" s="7"/>
      <c r="FMI163" s="21"/>
      <c r="FMJ163" s="20"/>
      <c r="FMK163" s="20"/>
      <c r="FML163" s="20"/>
      <c r="FMM163" s="21"/>
      <c r="FMN163" s="21"/>
      <c r="FMO163" s="21"/>
      <c r="FMP163" s="21"/>
      <c r="FMQ163" s="21"/>
      <c r="FMR163" s="20"/>
      <c r="FMS163" s="20"/>
      <c r="FMT163" s="20"/>
      <c r="FMU163" s="20"/>
      <c r="FMV163" s="21"/>
      <c r="FMW163" s="21"/>
      <c r="FMX163" s="7"/>
      <c r="FMY163" s="7"/>
      <c r="FMZ163" s="21"/>
      <c r="FNA163" s="20"/>
      <c r="FNB163" s="20"/>
      <c r="FNC163" s="20"/>
      <c r="FND163" s="21"/>
      <c r="FNE163" s="21"/>
      <c r="FNF163" s="21"/>
      <c r="FNG163" s="21"/>
      <c r="FNH163" s="21"/>
      <c r="FNI163" s="20"/>
      <c r="FNJ163" s="20"/>
      <c r="FNK163" s="20"/>
      <c r="FNL163" s="20"/>
      <c r="FNM163" s="21"/>
      <c r="FNN163" s="21"/>
      <c r="FNO163" s="7"/>
      <c r="FNP163" s="7"/>
      <c r="FNQ163" s="21"/>
      <c r="FNR163" s="20"/>
      <c r="FNS163" s="20"/>
      <c r="FNT163" s="20"/>
      <c r="FNU163" s="21"/>
      <c r="FNV163" s="21"/>
      <c r="FNW163" s="21"/>
      <c r="FNX163" s="21"/>
      <c r="FNY163" s="21"/>
      <c r="FNZ163" s="20"/>
      <c r="FOA163" s="20"/>
      <c r="FOB163" s="20"/>
      <c r="FOC163" s="20"/>
      <c r="FOD163" s="21"/>
      <c r="FOE163" s="21"/>
      <c r="FOF163" s="7"/>
      <c r="FOG163" s="7"/>
      <c r="FOH163" s="21"/>
      <c r="FOI163" s="20"/>
      <c r="FOJ163" s="20"/>
      <c r="FOK163" s="20"/>
      <c r="FOL163" s="21"/>
      <c r="FOM163" s="21"/>
      <c r="FON163" s="21"/>
      <c r="FOO163" s="21"/>
      <c r="FOP163" s="21"/>
      <c r="FOQ163" s="20"/>
      <c r="FOR163" s="20"/>
      <c r="FOS163" s="20"/>
      <c r="FOT163" s="20"/>
      <c r="FOU163" s="21"/>
      <c r="FOV163" s="21"/>
      <c r="FOW163" s="7"/>
      <c r="FOX163" s="7"/>
      <c r="FOY163" s="21"/>
      <c r="FOZ163" s="20"/>
      <c r="FPA163" s="20"/>
      <c r="FPB163" s="20"/>
      <c r="FPC163" s="21"/>
      <c r="FPD163" s="21"/>
      <c r="FPE163" s="21"/>
      <c r="FPF163" s="21"/>
      <c r="FPG163" s="21"/>
      <c r="FPH163" s="20"/>
      <c r="FPI163" s="20"/>
      <c r="FPJ163" s="20"/>
      <c r="FPK163" s="20"/>
      <c r="FPL163" s="21"/>
      <c r="FPM163" s="21"/>
      <c r="FPN163" s="7"/>
      <c r="FPO163" s="7"/>
      <c r="FPP163" s="21"/>
      <c r="FPQ163" s="20"/>
      <c r="FPR163" s="20"/>
      <c r="FPS163" s="20"/>
      <c r="FPT163" s="21"/>
      <c r="FPU163" s="21"/>
      <c r="FPV163" s="21"/>
      <c r="FPW163" s="21"/>
      <c r="FPX163" s="21"/>
      <c r="FPY163" s="20"/>
      <c r="FPZ163" s="20"/>
      <c r="FQA163" s="20"/>
      <c r="FQB163" s="20"/>
      <c r="FQC163" s="21"/>
      <c r="FQD163" s="21"/>
      <c r="FQE163" s="7"/>
      <c r="FQF163" s="7"/>
      <c r="FQG163" s="21"/>
      <c r="FQH163" s="20"/>
      <c r="FQI163" s="20"/>
      <c r="FQJ163" s="20"/>
      <c r="FQK163" s="21"/>
      <c r="FQL163" s="21"/>
      <c r="FQM163" s="21"/>
      <c r="FQN163" s="21"/>
      <c r="FQO163" s="21"/>
      <c r="FQP163" s="20"/>
      <c r="FQQ163" s="20"/>
      <c r="FQR163" s="20"/>
      <c r="FQS163" s="20"/>
      <c r="FQT163" s="21"/>
      <c r="FQU163" s="21"/>
      <c r="FQV163" s="7"/>
      <c r="FQW163" s="7"/>
      <c r="FQX163" s="21"/>
      <c r="FQY163" s="20"/>
      <c r="FQZ163" s="20"/>
      <c r="FRA163" s="20"/>
      <c r="FRB163" s="21"/>
      <c r="FRC163" s="21"/>
      <c r="FRD163" s="21"/>
      <c r="FRE163" s="21"/>
      <c r="FRF163" s="21"/>
      <c r="FRG163" s="20"/>
      <c r="FRH163" s="20"/>
      <c r="FRI163" s="20"/>
      <c r="FRJ163" s="20"/>
      <c r="FRK163" s="21"/>
      <c r="FRL163" s="21"/>
      <c r="FRM163" s="7"/>
      <c r="FRN163" s="7"/>
      <c r="FRO163" s="21"/>
      <c r="FRP163" s="20"/>
      <c r="FRQ163" s="20"/>
      <c r="FRR163" s="20"/>
      <c r="FRS163" s="21"/>
      <c r="FRT163" s="21"/>
      <c r="FRU163" s="21"/>
      <c r="FRV163" s="21"/>
      <c r="FRW163" s="21"/>
      <c r="FRX163" s="20"/>
      <c r="FRY163" s="20"/>
      <c r="FRZ163" s="20"/>
      <c r="FSA163" s="20"/>
      <c r="FSB163" s="21"/>
      <c r="FSC163" s="21"/>
      <c r="FSD163" s="7"/>
      <c r="FSE163" s="7"/>
      <c r="FSF163" s="21"/>
      <c r="FSG163" s="20"/>
      <c r="FSH163" s="20"/>
      <c r="FSI163" s="20"/>
      <c r="FSJ163" s="21"/>
      <c r="FSK163" s="21"/>
      <c r="FSL163" s="21"/>
      <c r="FSM163" s="21"/>
      <c r="FSN163" s="21"/>
      <c r="FSO163" s="20"/>
      <c r="FSP163" s="20"/>
      <c r="FSQ163" s="20"/>
      <c r="FSR163" s="20"/>
      <c r="FSS163" s="21"/>
      <c r="FST163" s="21"/>
      <c r="FSU163" s="7"/>
      <c r="FSV163" s="7"/>
      <c r="FSW163" s="21"/>
      <c r="FSX163" s="20"/>
      <c r="FSY163" s="20"/>
      <c r="FSZ163" s="20"/>
      <c r="FTA163" s="21"/>
      <c r="FTB163" s="21"/>
      <c r="FTC163" s="21"/>
      <c r="FTD163" s="21"/>
      <c r="FTE163" s="21"/>
      <c r="FTF163" s="20"/>
      <c r="FTG163" s="20"/>
      <c r="FTH163" s="20"/>
      <c r="FTI163" s="20"/>
      <c r="FTJ163" s="21"/>
      <c r="FTK163" s="21"/>
      <c r="FTL163" s="7"/>
      <c r="FTM163" s="7"/>
      <c r="FTN163" s="21"/>
      <c r="FTO163" s="20"/>
      <c r="FTP163" s="20"/>
      <c r="FTQ163" s="20"/>
      <c r="FTR163" s="21"/>
      <c r="FTS163" s="21"/>
      <c r="FTT163" s="21"/>
      <c r="FTU163" s="21"/>
      <c r="FTV163" s="21"/>
      <c r="FTW163" s="20"/>
      <c r="FTX163" s="20"/>
      <c r="FTY163" s="20"/>
      <c r="FTZ163" s="20"/>
      <c r="FUA163" s="21"/>
      <c r="FUB163" s="21"/>
      <c r="FUC163" s="7"/>
      <c r="FUD163" s="7"/>
      <c r="FUE163" s="21"/>
      <c r="FUF163" s="20"/>
      <c r="FUG163" s="20"/>
      <c r="FUH163" s="20"/>
      <c r="FUI163" s="21"/>
      <c r="FUJ163" s="21"/>
      <c r="FUK163" s="21"/>
      <c r="FUL163" s="21"/>
      <c r="FUM163" s="21"/>
      <c r="FUN163" s="20"/>
      <c r="FUO163" s="20"/>
      <c r="FUP163" s="20"/>
      <c r="FUQ163" s="20"/>
      <c r="FUR163" s="21"/>
      <c r="FUS163" s="21"/>
      <c r="FUT163" s="7"/>
      <c r="FUU163" s="7"/>
      <c r="FUV163" s="21"/>
      <c r="FUW163" s="20"/>
      <c r="FUX163" s="20"/>
      <c r="FUY163" s="20"/>
      <c r="FUZ163" s="21"/>
      <c r="FVA163" s="21"/>
      <c r="FVB163" s="21"/>
      <c r="FVC163" s="21"/>
      <c r="FVD163" s="21"/>
      <c r="FVE163" s="20"/>
      <c r="FVF163" s="20"/>
      <c r="FVG163" s="20"/>
      <c r="FVH163" s="20"/>
      <c r="FVI163" s="21"/>
      <c r="FVJ163" s="21"/>
      <c r="FVK163" s="7"/>
      <c r="FVL163" s="7"/>
      <c r="FVM163" s="21"/>
      <c r="FVN163" s="20"/>
      <c r="FVO163" s="20"/>
      <c r="FVP163" s="20"/>
      <c r="FVQ163" s="21"/>
      <c r="FVR163" s="21"/>
      <c r="FVS163" s="21"/>
      <c r="FVT163" s="21"/>
      <c r="FVU163" s="21"/>
      <c r="FVV163" s="20"/>
      <c r="FVW163" s="20"/>
      <c r="FVX163" s="20"/>
      <c r="FVY163" s="20"/>
      <c r="FVZ163" s="21"/>
      <c r="FWA163" s="21"/>
      <c r="FWB163" s="7"/>
      <c r="FWC163" s="7"/>
      <c r="FWD163" s="21"/>
      <c r="FWE163" s="20"/>
      <c r="FWF163" s="20"/>
      <c r="FWG163" s="20"/>
      <c r="FWH163" s="21"/>
      <c r="FWI163" s="21"/>
      <c r="FWJ163" s="21"/>
      <c r="FWK163" s="21"/>
      <c r="FWL163" s="21"/>
      <c r="FWM163" s="20"/>
      <c r="FWN163" s="20"/>
      <c r="FWO163" s="20"/>
      <c r="FWP163" s="20"/>
      <c r="FWQ163" s="21"/>
      <c r="FWR163" s="21"/>
      <c r="FWS163" s="7"/>
      <c r="FWT163" s="7"/>
      <c r="FWU163" s="21"/>
      <c r="FWV163" s="20"/>
      <c r="FWW163" s="20"/>
      <c r="FWX163" s="20"/>
      <c r="FWY163" s="21"/>
      <c r="FWZ163" s="21"/>
      <c r="FXA163" s="21"/>
      <c r="FXB163" s="21"/>
      <c r="FXC163" s="21"/>
      <c r="FXD163" s="20"/>
      <c r="FXE163" s="20"/>
      <c r="FXF163" s="20"/>
      <c r="FXG163" s="20"/>
      <c r="FXH163" s="21"/>
      <c r="FXI163" s="21"/>
      <c r="FXJ163" s="7"/>
      <c r="FXK163" s="7"/>
      <c r="FXL163" s="21"/>
      <c r="FXM163" s="20"/>
      <c r="FXN163" s="20"/>
      <c r="FXO163" s="20"/>
      <c r="FXP163" s="21"/>
      <c r="FXQ163" s="21"/>
      <c r="FXR163" s="21"/>
      <c r="FXS163" s="21"/>
      <c r="FXT163" s="21"/>
      <c r="FXU163" s="20"/>
      <c r="FXV163" s="20"/>
      <c r="FXW163" s="20"/>
      <c r="FXX163" s="20"/>
      <c r="FXY163" s="21"/>
      <c r="FXZ163" s="21"/>
      <c r="FYA163" s="7"/>
      <c r="FYB163" s="7"/>
      <c r="FYC163" s="21"/>
      <c r="FYD163" s="20"/>
      <c r="FYE163" s="20"/>
      <c r="FYF163" s="20"/>
      <c r="FYG163" s="21"/>
      <c r="FYH163" s="21"/>
      <c r="FYI163" s="21"/>
      <c r="FYJ163" s="21"/>
      <c r="FYK163" s="21"/>
      <c r="FYL163" s="20"/>
      <c r="FYM163" s="20"/>
      <c r="FYN163" s="20"/>
      <c r="FYO163" s="20"/>
      <c r="FYP163" s="21"/>
      <c r="FYQ163" s="21"/>
      <c r="FYR163" s="7"/>
      <c r="FYS163" s="7"/>
      <c r="FYT163" s="21"/>
      <c r="FYU163" s="20"/>
      <c r="FYV163" s="20"/>
      <c r="FYW163" s="20"/>
      <c r="FYX163" s="21"/>
      <c r="FYY163" s="21"/>
      <c r="FYZ163" s="21"/>
      <c r="FZA163" s="21"/>
      <c r="FZB163" s="21"/>
      <c r="FZC163" s="20"/>
      <c r="FZD163" s="20"/>
      <c r="FZE163" s="20"/>
      <c r="FZF163" s="20"/>
      <c r="FZG163" s="21"/>
      <c r="FZH163" s="21"/>
      <c r="FZI163" s="7"/>
      <c r="FZJ163" s="7"/>
      <c r="FZK163" s="21"/>
      <c r="FZL163" s="20"/>
      <c r="FZM163" s="20"/>
      <c r="FZN163" s="20"/>
      <c r="FZO163" s="21"/>
      <c r="FZP163" s="21"/>
      <c r="FZQ163" s="21"/>
      <c r="FZR163" s="21"/>
      <c r="FZS163" s="21"/>
      <c r="FZT163" s="20"/>
      <c r="FZU163" s="20"/>
      <c r="FZV163" s="20"/>
      <c r="FZW163" s="20"/>
      <c r="FZX163" s="21"/>
      <c r="FZY163" s="21"/>
      <c r="FZZ163" s="7"/>
      <c r="GAA163" s="7"/>
      <c r="GAB163" s="21"/>
      <c r="GAC163" s="20"/>
      <c r="GAD163" s="20"/>
      <c r="GAE163" s="20"/>
      <c r="GAF163" s="21"/>
      <c r="GAG163" s="21"/>
      <c r="GAH163" s="21"/>
      <c r="GAI163" s="21"/>
      <c r="GAJ163" s="21"/>
      <c r="GAK163" s="20"/>
      <c r="GAL163" s="20"/>
      <c r="GAM163" s="20"/>
      <c r="GAN163" s="20"/>
      <c r="GAO163" s="21"/>
      <c r="GAP163" s="21"/>
      <c r="GAQ163" s="7"/>
      <c r="GAR163" s="7"/>
      <c r="GAS163" s="21"/>
      <c r="GAT163" s="20"/>
      <c r="GAU163" s="20"/>
      <c r="GAV163" s="20"/>
      <c r="GAW163" s="21"/>
      <c r="GAX163" s="21"/>
      <c r="GAY163" s="21"/>
      <c r="GAZ163" s="21"/>
      <c r="GBA163" s="21"/>
      <c r="GBB163" s="20"/>
      <c r="GBC163" s="20"/>
      <c r="GBD163" s="20"/>
      <c r="GBE163" s="20"/>
      <c r="GBF163" s="21"/>
      <c r="GBG163" s="21"/>
      <c r="GBH163" s="7"/>
      <c r="GBI163" s="7"/>
      <c r="GBJ163" s="21"/>
      <c r="GBK163" s="20"/>
      <c r="GBL163" s="20"/>
      <c r="GBM163" s="20"/>
      <c r="GBN163" s="21"/>
      <c r="GBO163" s="21"/>
      <c r="GBP163" s="21"/>
      <c r="GBQ163" s="21"/>
      <c r="GBR163" s="21"/>
      <c r="GBS163" s="20"/>
      <c r="GBT163" s="20"/>
      <c r="GBU163" s="20"/>
      <c r="GBV163" s="20"/>
      <c r="GBW163" s="21"/>
      <c r="GBX163" s="21"/>
      <c r="GBY163" s="7"/>
      <c r="GBZ163" s="7"/>
      <c r="GCA163" s="21"/>
      <c r="GCB163" s="20"/>
      <c r="GCC163" s="20"/>
      <c r="GCD163" s="20"/>
      <c r="GCE163" s="21"/>
      <c r="GCF163" s="21"/>
      <c r="GCG163" s="21"/>
      <c r="GCH163" s="21"/>
      <c r="GCI163" s="21"/>
      <c r="GCJ163" s="20"/>
      <c r="GCK163" s="20"/>
      <c r="GCL163" s="20"/>
      <c r="GCM163" s="20"/>
      <c r="GCN163" s="21"/>
      <c r="GCO163" s="21"/>
      <c r="GCP163" s="7"/>
      <c r="GCQ163" s="7"/>
      <c r="GCR163" s="21"/>
      <c r="GCS163" s="20"/>
      <c r="GCT163" s="20"/>
      <c r="GCU163" s="20"/>
      <c r="GCV163" s="21"/>
      <c r="GCW163" s="21"/>
      <c r="GCX163" s="21"/>
      <c r="GCY163" s="21"/>
      <c r="GCZ163" s="21"/>
      <c r="GDA163" s="20"/>
      <c r="GDB163" s="20"/>
      <c r="GDC163" s="20"/>
      <c r="GDD163" s="20"/>
      <c r="GDE163" s="21"/>
      <c r="GDF163" s="21"/>
      <c r="GDG163" s="7"/>
      <c r="GDH163" s="7"/>
      <c r="GDI163" s="21"/>
      <c r="GDJ163" s="20"/>
      <c r="GDK163" s="20"/>
      <c r="GDL163" s="20"/>
      <c r="GDM163" s="21"/>
      <c r="GDN163" s="21"/>
      <c r="GDO163" s="21"/>
      <c r="GDP163" s="21"/>
      <c r="GDQ163" s="21"/>
      <c r="GDR163" s="20"/>
      <c r="GDS163" s="20"/>
      <c r="GDT163" s="20"/>
      <c r="GDU163" s="20"/>
      <c r="GDV163" s="21"/>
      <c r="GDW163" s="21"/>
      <c r="GDX163" s="7"/>
      <c r="GDY163" s="7"/>
      <c r="GDZ163" s="21"/>
      <c r="GEA163" s="20"/>
      <c r="GEB163" s="20"/>
      <c r="GEC163" s="20"/>
      <c r="GED163" s="21"/>
      <c r="GEE163" s="21"/>
      <c r="GEF163" s="21"/>
      <c r="GEG163" s="21"/>
      <c r="GEH163" s="21"/>
      <c r="GEI163" s="20"/>
      <c r="GEJ163" s="20"/>
      <c r="GEK163" s="20"/>
      <c r="GEL163" s="20"/>
      <c r="GEM163" s="21"/>
      <c r="GEN163" s="21"/>
      <c r="GEO163" s="7"/>
      <c r="GEP163" s="7"/>
      <c r="GEQ163" s="21"/>
      <c r="GER163" s="20"/>
      <c r="GES163" s="20"/>
      <c r="GET163" s="20"/>
      <c r="GEU163" s="21"/>
      <c r="GEV163" s="21"/>
      <c r="GEW163" s="21"/>
      <c r="GEX163" s="21"/>
      <c r="GEY163" s="21"/>
      <c r="GEZ163" s="20"/>
      <c r="GFA163" s="20"/>
      <c r="GFB163" s="20"/>
      <c r="GFC163" s="20"/>
      <c r="GFD163" s="21"/>
      <c r="GFE163" s="21"/>
      <c r="GFF163" s="7"/>
      <c r="GFG163" s="7"/>
      <c r="GFH163" s="21"/>
      <c r="GFI163" s="20"/>
      <c r="GFJ163" s="20"/>
      <c r="GFK163" s="20"/>
      <c r="GFL163" s="21"/>
      <c r="GFM163" s="21"/>
      <c r="GFN163" s="21"/>
      <c r="GFO163" s="21"/>
      <c r="GFP163" s="21"/>
      <c r="GFQ163" s="20"/>
      <c r="GFR163" s="20"/>
      <c r="GFS163" s="20"/>
      <c r="GFT163" s="20"/>
      <c r="GFU163" s="21"/>
      <c r="GFV163" s="21"/>
      <c r="GFW163" s="7"/>
      <c r="GFX163" s="7"/>
      <c r="GFY163" s="21"/>
      <c r="GFZ163" s="20"/>
      <c r="GGA163" s="20"/>
      <c r="GGB163" s="20"/>
      <c r="GGC163" s="21"/>
      <c r="GGD163" s="21"/>
      <c r="GGE163" s="21"/>
      <c r="GGF163" s="21"/>
      <c r="GGG163" s="21"/>
      <c r="GGH163" s="20"/>
      <c r="GGI163" s="20"/>
      <c r="GGJ163" s="20"/>
      <c r="GGK163" s="20"/>
      <c r="GGL163" s="21"/>
      <c r="GGM163" s="21"/>
      <c r="GGN163" s="7"/>
      <c r="GGO163" s="7"/>
      <c r="GGP163" s="21"/>
      <c r="GGQ163" s="20"/>
      <c r="GGR163" s="20"/>
      <c r="GGS163" s="20"/>
      <c r="GGT163" s="21"/>
      <c r="GGU163" s="21"/>
      <c r="GGV163" s="21"/>
      <c r="GGW163" s="21"/>
      <c r="GGX163" s="21"/>
      <c r="GGY163" s="20"/>
      <c r="GGZ163" s="20"/>
      <c r="GHA163" s="20"/>
      <c r="GHB163" s="20"/>
      <c r="GHC163" s="21"/>
      <c r="GHD163" s="21"/>
      <c r="GHE163" s="7"/>
      <c r="GHF163" s="7"/>
      <c r="GHG163" s="21"/>
      <c r="GHH163" s="20"/>
      <c r="GHI163" s="20"/>
      <c r="GHJ163" s="20"/>
      <c r="GHK163" s="21"/>
      <c r="GHL163" s="21"/>
      <c r="GHM163" s="21"/>
      <c r="GHN163" s="21"/>
      <c r="GHO163" s="21"/>
      <c r="GHP163" s="20"/>
      <c r="GHQ163" s="20"/>
      <c r="GHR163" s="20"/>
      <c r="GHS163" s="20"/>
      <c r="GHT163" s="21"/>
      <c r="GHU163" s="21"/>
      <c r="GHV163" s="7"/>
      <c r="GHW163" s="7"/>
      <c r="GHX163" s="21"/>
      <c r="GHY163" s="20"/>
      <c r="GHZ163" s="20"/>
      <c r="GIA163" s="20"/>
      <c r="GIB163" s="21"/>
      <c r="GIC163" s="21"/>
      <c r="GID163" s="21"/>
      <c r="GIE163" s="21"/>
      <c r="GIF163" s="21"/>
      <c r="GIG163" s="20"/>
      <c r="GIH163" s="20"/>
      <c r="GII163" s="20"/>
      <c r="GIJ163" s="20"/>
      <c r="GIK163" s="21"/>
      <c r="GIL163" s="21"/>
      <c r="GIM163" s="7"/>
      <c r="GIN163" s="7"/>
      <c r="GIO163" s="21"/>
      <c r="GIP163" s="20"/>
      <c r="GIQ163" s="20"/>
      <c r="GIR163" s="20"/>
      <c r="GIS163" s="21"/>
      <c r="GIT163" s="21"/>
      <c r="GIU163" s="21"/>
      <c r="GIV163" s="21"/>
      <c r="GIW163" s="21"/>
      <c r="GIX163" s="20"/>
      <c r="GIY163" s="20"/>
      <c r="GIZ163" s="20"/>
      <c r="GJA163" s="20"/>
      <c r="GJB163" s="21"/>
      <c r="GJC163" s="21"/>
      <c r="GJD163" s="7"/>
      <c r="GJE163" s="7"/>
      <c r="GJF163" s="21"/>
      <c r="GJG163" s="20"/>
      <c r="GJH163" s="20"/>
      <c r="GJI163" s="20"/>
      <c r="GJJ163" s="21"/>
      <c r="GJK163" s="21"/>
      <c r="GJL163" s="21"/>
      <c r="GJM163" s="21"/>
      <c r="GJN163" s="21"/>
      <c r="GJO163" s="20"/>
      <c r="GJP163" s="20"/>
      <c r="GJQ163" s="20"/>
      <c r="GJR163" s="20"/>
      <c r="GJS163" s="21"/>
      <c r="GJT163" s="21"/>
      <c r="GJU163" s="7"/>
      <c r="GJV163" s="7"/>
      <c r="GJW163" s="21"/>
      <c r="GJX163" s="20"/>
      <c r="GJY163" s="20"/>
      <c r="GJZ163" s="20"/>
      <c r="GKA163" s="21"/>
      <c r="GKB163" s="21"/>
      <c r="GKC163" s="21"/>
      <c r="GKD163" s="21"/>
      <c r="GKE163" s="21"/>
      <c r="GKF163" s="20"/>
      <c r="GKG163" s="20"/>
      <c r="GKH163" s="20"/>
      <c r="GKI163" s="20"/>
      <c r="GKJ163" s="21"/>
      <c r="GKK163" s="21"/>
      <c r="GKL163" s="7"/>
      <c r="GKM163" s="7"/>
      <c r="GKN163" s="21"/>
      <c r="GKO163" s="20"/>
      <c r="GKP163" s="20"/>
      <c r="GKQ163" s="20"/>
      <c r="GKR163" s="21"/>
      <c r="GKS163" s="21"/>
      <c r="GKT163" s="21"/>
      <c r="GKU163" s="21"/>
      <c r="GKV163" s="21"/>
      <c r="GKW163" s="20"/>
      <c r="GKX163" s="20"/>
      <c r="GKY163" s="20"/>
      <c r="GKZ163" s="20"/>
      <c r="GLA163" s="21"/>
      <c r="GLB163" s="21"/>
      <c r="GLC163" s="7"/>
      <c r="GLD163" s="7"/>
      <c r="GLE163" s="21"/>
      <c r="GLF163" s="20"/>
      <c r="GLG163" s="20"/>
      <c r="GLH163" s="20"/>
      <c r="GLI163" s="21"/>
      <c r="GLJ163" s="21"/>
      <c r="GLK163" s="21"/>
      <c r="GLL163" s="21"/>
      <c r="GLM163" s="21"/>
      <c r="GLN163" s="20"/>
      <c r="GLO163" s="20"/>
      <c r="GLP163" s="20"/>
      <c r="GLQ163" s="20"/>
      <c r="GLR163" s="21"/>
      <c r="GLS163" s="21"/>
      <c r="GLT163" s="7"/>
      <c r="GLU163" s="7"/>
      <c r="GLV163" s="21"/>
      <c r="GLW163" s="20"/>
      <c r="GLX163" s="20"/>
      <c r="GLY163" s="20"/>
      <c r="GLZ163" s="21"/>
      <c r="GMA163" s="21"/>
      <c r="GMB163" s="21"/>
      <c r="GMC163" s="21"/>
      <c r="GMD163" s="21"/>
      <c r="GME163" s="20"/>
      <c r="GMF163" s="20"/>
      <c r="GMG163" s="20"/>
      <c r="GMH163" s="20"/>
      <c r="GMI163" s="21"/>
      <c r="GMJ163" s="21"/>
      <c r="GMK163" s="7"/>
      <c r="GML163" s="7"/>
      <c r="GMM163" s="21"/>
      <c r="GMN163" s="20"/>
      <c r="GMO163" s="20"/>
      <c r="GMP163" s="20"/>
      <c r="GMQ163" s="21"/>
      <c r="GMR163" s="21"/>
      <c r="GMS163" s="21"/>
      <c r="GMT163" s="21"/>
      <c r="GMU163" s="21"/>
      <c r="GMV163" s="20"/>
      <c r="GMW163" s="20"/>
      <c r="GMX163" s="20"/>
      <c r="GMY163" s="20"/>
      <c r="GMZ163" s="21"/>
      <c r="GNA163" s="21"/>
      <c r="GNB163" s="7"/>
      <c r="GNC163" s="7"/>
      <c r="GND163" s="21"/>
      <c r="GNE163" s="20"/>
      <c r="GNF163" s="20"/>
      <c r="GNG163" s="20"/>
      <c r="GNH163" s="21"/>
      <c r="GNI163" s="21"/>
      <c r="GNJ163" s="21"/>
      <c r="GNK163" s="21"/>
      <c r="GNL163" s="21"/>
      <c r="GNM163" s="20"/>
      <c r="GNN163" s="20"/>
      <c r="GNO163" s="20"/>
      <c r="GNP163" s="20"/>
      <c r="GNQ163" s="21"/>
      <c r="GNR163" s="21"/>
      <c r="GNS163" s="7"/>
      <c r="GNT163" s="7"/>
      <c r="GNU163" s="21"/>
      <c r="GNV163" s="20"/>
      <c r="GNW163" s="20"/>
      <c r="GNX163" s="20"/>
      <c r="GNY163" s="21"/>
      <c r="GNZ163" s="21"/>
      <c r="GOA163" s="21"/>
      <c r="GOB163" s="21"/>
      <c r="GOC163" s="21"/>
      <c r="GOD163" s="20"/>
      <c r="GOE163" s="20"/>
      <c r="GOF163" s="20"/>
      <c r="GOG163" s="20"/>
      <c r="GOH163" s="21"/>
      <c r="GOI163" s="21"/>
      <c r="GOJ163" s="7"/>
      <c r="GOK163" s="7"/>
      <c r="GOL163" s="21"/>
      <c r="GOM163" s="20"/>
      <c r="GON163" s="20"/>
      <c r="GOO163" s="20"/>
      <c r="GOP163" s="21"/>
      <c r="GOQ163" s="21"/>
      <c r="GOR163" s="21"/>
      <c r="GOS163" s="21"/>
      <c r="GOT163" s="21"/>
      <c r="GOU163" s="20"/>
      <c r="GOV163" s="20"/>
      <c r="GOW163" s="20"/>
      <c r="GOX163" s="20"/>
      <c r="GOY163" s="21"/>
      <c r="GOZ163" s="21"/>
      <c r="GPA163" s="7"/>
      <c r="GPB163" s="7"/>
      <c r="GPC163" s="21"/>
      <c r="GPD163" s="20"/>
      <c r="GPE163" s="20"/>
      <c r="GPF163" s="20"/>
      <c r="GPG163" s="21"/>
      <c r="GPH163" s="21"/>
      <c r="GPI163" s="21"/>
      <c r="GPJ163" s="21"/>
      <c r="GPK163" s="21"/>
      <c r="GPL163" s="20"/>
      <c r="GPM163" s="20"/>
      <c r="GPN163" s="20"/>
      <c r="GPO163" s="20"/>
      <c r="GPP163" s="21"/>
      <c r="GPQ163" s="21"/>
      <c r="GPR163" s="7"/>
      <c r="GPS163" s="7"/>
      <c r="GPT163" s="21"/>
      <c r="GPU163" s="20"/>
      <c r="GPV163" s="20"/>
      <c r="GPW163" s="20"/>
      <c r="GPX163" s="21"/>
      <c r="GPY163" s="21"/>
      <c r="GPZ163" s="21"/>
      <c r="GQA163" s="21"/>
      <c r="GQB163" s="21"/>
      <c r="GQC163" s="20"/>
      <c r="GQD163" s="20"/>
      <c r="GQE163" s="20"/>
      <c r="GQF163" s="20"/>
      <c r="GQG163" s="21"/>
      <c r="GQH163" s="21"/>
      <c r="GQI163" s="7"/>
      <c r="GQJ163" s="7"/>
      <c r="GQK163" s="21"/>
      <c r="GQL163" s="20"/>
      <c r="GQM163" s="20"/>
      <c r="GQN163" s="20"/>
      <c r="GQO163" s="21"/>
      <c r="GQP163" s="21"/>
      <c r="GQQ163" s="21"/>
      <c r="GQR163" s="21"/>
      <c r="GQS163" s="21"/>
      <c r="GQT163" s="20"/>
      <c r="GQU163" s="20"/>
      <c r="GQV163" s="20"/>
      <c r="GQW163" s="20"/>
      <c r="GQX163" s="21"/>
      <c r="GQY163" s="21"/>
      <c r="GQZ163" s="7"/>
      <c r="GRA163" s="7"/>
      <c r="GRB163" s="21"/>
      <c r="GRC163" s="20"/>
      <c r="GRD163" s="20"/>
      <c r="GRE163" s="20"/>
      <c r="GRF163" s="21"/>
      <c r="GRG163" s="21"/>
      <c r="GRH163" s="21"/>
      <c r="GRI163" s="21"/>
      <c r="GRJ163" s="21"/>
      <c r="GRK163" s="20"/>
      <c r="GRL163" s="20"/>
      <c r="GRM163" s="20"/>
      <c r="GRN163" s="20"/>
      <c r="GRO163" s="21"/>
      <c r="GRP163" s="21"/>
      <c r="GRQ163" s="7"/>
      <c r="GRR163" s="7"/>
      <c r="GRS163" s="21"/>
      <c r="GRT163" s="20"/>
      <c r="GRU163" s="20"/>
      <c r="GRV163" s="20"/>
      <c r="GRW163" s="21"/>
      <c r="GRX163" s="21"/>
      <c r="GRY163" s="21"/>
      <c r="GRZ163" s="21"/>
      <c r="GSA163" s="21"/>
      <c r="GSB163" s="20"/>
      <c r="GSC163" s="20"/>
      <c r="GSD163" s="20"/>
      <c r="GSE163" s="20"/>
      <c r="GSF163" s="21"/>
      <c r="GSG163" s="21"/>
      <c r="GSH163" s="7"/>
      <c r="GSI163" s="7"/>
      <c r="GSJ163" s="21"/>
      <c r="GSK163" s="20"/>
      <c r="GSL163" s="20"/>
      <c r="GSM163" s="20"/>
      <c r="GSN163" s="21"/>
      <c r="GSO163" s="21"/>
      <c r="GSP163" s="21"/>
      <c r="GSQ163" s="21"/>
      <c r="GSR163" s="21"/>
      <c r="GSS163" s="20"/>
      <c r="GST163" s="20"/>
      <c r="GSU163" s="20"/>
      <c r="GSV163" s="20"/>
      <c r="GSW163" s="21"/>
      <c r="GSX163" s="21"/>
      <c r="GSY163" s="7"/>
      <c r="GSZ163" s="7"/>
      <c r="GTA163" s="21"/>
      <c r="GTB163" s="20"/>
      <c r="GTC163" s="20"/>
      <c r="GTD163" s="20"/>
      <c r="GTE163" s="21"/>
      <c r="GTF163" s="21"/>
      <c r="GTG163" s="21"/>
      <c r="GTH163" s="21"/>
      <c r="GTI163" s="21"/>
      <c r="GTJ163" s="20"/>
      <c r="GTK163" s="20"/>
      <c r="GTL163" s="20"/>
      <c r="GTM163" s="20"/>
      <c r="GTN163" s="21"/>
      <c r="GTO163" s="21"/>
      <c r="GTP163" s="7"/>
      <c r="GTQ163" s="7"/>
      <c r="GTR163" s="21"/>
      <c r="GTS163" s="20"/>
      <c r="GTT163" s="20"/>
      <c r="GTU163" s="20"/>
      <c r="GTV163" s="21"/>
      <c r="GTW163" s="21"/>
      <c r="GTX163" s="21"/>
      <c r="GTY163" s="21"/>
      <c r="GTZ163" s="21"/>
      <c r="GUA163" s="20"/>
      <c r="GUB163" s="20"/>
      <c r="GUC163" s="20"/>
      <c r="GUD163" s="20"/>
      <c r="GUE163" s="21"/>
      <c r="GUF163" s="21"/>
      <c r="GUG163" s="7"/>
      <c r="GUH163" s="7"/>
      <c r="GUI163" s="21"/>
      <c r="GUJ163" s="20"/>
      <c r="GUK163" s="20"/>
      <c r="GUL163" s="20"/>
      <c r="GUM163" s="21"/>
      <c r="GUN163" s="21"/>
      <c r="GUO163" s="21"/>
      <c r="GUP163" s="21"/>
      <c r="GUQ163" s="21"/>
      <c r="GUR163" s="20"/>
      <c r="GUS163" s="20"/>
      <c r="GUT163" s="20"/>
      <c r="GUU163" s="20"/>
      <c r="GUV163" s="21"/>
      <c r="GUW163" s="21"/>
      <c r="GUX163" s="7"/>
      <c r="GUY163" s="7"/>
      <c r="GUZ163" s="21"/>
      <c r="GVA163" s="20"/>
      <c r="GVB163" s="20"/>
      <c r="GVC163" s="20"/>
      <c r="GVD163" s="21"/>
      <c r="GVE163" s="21"/>
      <c r="GVF163" s="21"/>
      <c r="GVG163" s="21"/>
      <c r="GVH163" s="21"/>
      <c r="GVI163" s="20"/>
      <c r="GVJ163" s="20"/>
      <c r="GVK163" s="20"/>
      <c r="GVL163" s="20"/>
      <c r="GVM163" s="21"/>
      <c r="GVN163" s="21"/>
      <c r="GVO163" s="7"/>
      <c r="GVP163" s="7"/>
      <c r="GVQ163" s="21"/>
      <c r="GVR163" s="20"/>
      <c r="GVS163" s="20"/>
      <c r="GVT163" s="20"/>
      <c r="GVU163" s="21"/>
      <c r="GVV163" s="21"/>
      <c r="GVW163" s="21"/>
      <c r="GVX163" s="21"/>
      <c r="GVY163" s="21"/>
      <c r="GVZ163" s="20"/>
      <c r="GWA163" s="20"/>
      <c r="GWB163" s="20"/>
      <c r="GWC163" s="20"/>
      <c r="GWD163" s="21"/>
      <c r="GWE163" s="21"/>
      <c r="GWF163" s="7"/>
      <c r="GWG163" s="7"/>
      <c r="GWH163" s="21"/>
      <c r="GWI163" s="20"/>
      <c r="GWJ163" s="20"/>
      <c r="GWK163" s="20"/>
      <c r="GWL163" s="21"/>
      <c r="GWM163" s="21"/>
      <c r="GWN163" s="21"/>
      <c r="GWO163" s="21"/>
      <c r="GWP163" s="21"/>
      <c r="GWQ163" s="20"/>
      <c r="GWR163" s="20"/>
      <c r="GWS163" s="20"/>
      <c r="GWT163" s="20"/>
      <c r="GWU163" s="21"/>
      <c r="GWV163" s="21"/>
      <c r="GWW163" s="7"/>
      <c r="GWX163" s="7"/>
      <c r="GWY163" s="21"/>
      <c r="GWZ163" s="20"/>
      <c r="GXA163" s="20"/>
      <c r="GXB163" s="20"/>
      <c r="GXC163" s="21"/>
      <c r="GXD163" s="21"/>
      <c r="GXE163" s="21"/>
      <c r="GXF163" s="21"/>
      <c r="GXG163" s="21"/>
      <c r="GXH163" s="20"/>
      <c r="GXI163" s="20"/>
      <c r="GXJ163" s="20"/>
      <c r="GXK163" s="20"/>
      <c r="GXL163" s="21"/>
      <c r="GXM163" s="21"/>
      <c r="GXN163" s="7"/>
      <c r="GXO163" s="7"/>
      <c r="GXP163" s="21"/>
      <c r="GXQ163" s="20"/>
      <c r="GXR163" s="20"/>
      <c r="GXS163" s="20"/>
      <c r="GXT163" s="21"/>
      <c r="GXU163" s="21"/>
      <c r="GXV163" s="21"/>
      <c r="GXW163" s="21"/>
      <c r="GXX163" s="21"/>
      <c r="GXY163" s="20"/>
      <c r="GXZ163" s="20"/>
      <c r="GYA163" s="20"/>
      <c r="GYB163" s="20"/>
      <c r="GYC163" s="21"/>
      <c r="GYD163" s="21"/>
      <c r="GYE163" s="7"/>
      <c r="GYF163" s="7"/>
      <c r="GYG163" s="21"/>
      <c r="GYH163" s="20"/>
      <c r="GYI163" s="20"/>
      <c r="GYJ163" s="20"/>
      <c r="GYK163" s="21"/>
      <c r="GYL163" s="21"/>
      <c r="GYM163" s="21"/>
      <c r="GYN163" s="21"/>
      <c r="GYO163" s="21"/>
      <c r="GYP163" s="20"/>
      <c r="GYQ163" s="20"/>
      <c r="GYR163" s="20"/>
      <c r="GYS163" s="20"/>
      <c r="GYT163" s="21"/>
      <c r="GYU163" s="21"/>
      <c r="GYV163" s="7"/>
      <c r="GYW163" s="7"/>
      <c r="GYX163" s="21"/>
      <c r="GYY163" s="20"/>
      <c r="GYZ163" s="20"/>
      <c r="GZA163" s="20"/>
      <c r="GZB163" s="21"/>
      <c r="GZC163" s="21"/>
      <c r="GZD163" s="21"/>
      <c r="GZE163" s="21"/>
      <c r="GZF163" s="21"/>
      <c r="GZG163" s="20"/>
      <c r="GZH163" s="20"/>
      <c r="GZI163" s="20"/>
      <c r="GZJ163" s="20"/>
      <c r="GZK163" s="21"/>
      <c r="GZL163" s="21"/>
      <c r="GZM163" s="7"/>
      <c r="GZN163" s="7"/>
      <c r="GZO163" s="21"/>
      <c r="GZP163" s="20"/>
      <c r="GZQ163" s="20"/>
      <c r="GZR163" s="20"/>
      <c r="GZS163" s="21"/>
      <c r="GZT163" s="21"/>
      <c r="GZU163" s="21"/>
      <c r="GZV163" s="21"/>
      <c r="GZW163" s="21"/>
      <c r="GZX163" s="20"/>
      <c r="GZY163" s="20"/>
      <c r="GZZ163" s="20"/>
      <c r="HAA163" s="20"/>
      <c r="HAB163" s="21"/>
      <c r="HAC163" s="21"/>
      <c r="HAD163" s="7"/>
      <c r="HAE163" s="7"/>
      <c r="HAF163" s="21"/>
      <c r="HAG163" s="20"/>
      <c r="HAH163" s="20"/>
      <c r="HAI163" s="20"/>
      <c r="HAJ163" s="21"/>
      <c r="HAK163" s="21"/>
      <c r="HAL163" s="21"/>
      <c r="HAM163" s="21"/>
      <c r="HAN163" s="21"/>
      <c r="HAO163" s="20"/>
      <c r="HAP163" s="20"/>
      <c r="HAQ163" s="20"/>
      <c r="HAR163" s="20"/>
      <c r="HAS163" s="21"/>
      <c r="HAT163" s="21"/>
      <c r="HAU163" s="7"/>
      <c r="HAV163" s="7"/>
      <c r="HAW163" s="21"/>
      <c r="HAX163" s="20"/>
      <c r="HAY163" s="20"/>
      <c r="HAZ163" s="20"/>
      <c r="HBA163" s="21"/>
      <c r="HBB163" s="21"/>
      <c r="HBC163" s="21"/>
      <c r="HBD163" s="21"/>
      <c r="HBE163" s="21"/>
      <c r="HBF163" s="20"/>
      <c r="HBG163" s="20"/>
      <c r="HBH163" s="20"/>
      <c r="HBI163" s="20"/>
      <c r="HBJ163" s="21"/>
      <c r="HBK163" s="21"/>
      <c r="HBL163" s="7"/>
      <c r="HBM163" s="7"/>
      <c r="HBN163" s="21"/>
      <c r="HBO163" s="20"/>
      <c r="HBP163" s="20"/>
      <c r="HBQ163" s="20"/>
      <c r="HBR163" s="21"/>
      <c r="HBS163" s="21"/>
      <c r="HBT163" s="21"/>
      <c r="HBU163" s="21"/>
      <c r="HBV163" s="21"/>
      <c r="HBW163" s="20"/>
      <c r="HBX163" s="20"/>
      <c r="HBY163" s="20"/>
      <c r="HBZ163" s="20"/>
      <c r="HCA163" s="21"/>
      <c r="HCB163" s="21"/>
      <c r="HCC163" s="7"/>
      <c r="HCD163" s="7"/>
      <c r="HCE163" s="21"/>
      <c r="HCF163" s="20"/>
      <c r="HCG163" s="20"/>
      <c r="HCH163" s="20"/>
      <c r="HCI163" s="21"/>
      <c r="HCJ163" s="21"/>
      <c r="HCK163" s="21"/>
      <c r="HCL163" s="21"/>
      <c r="HCM163" s="21"/>
      <c r="HCN163" s="20"/>
      <c r="HCO163" s="20"/>
      <c r="HCP163" s="20"/>
      <c r="HCQ163" s="20"/>
      <c r="HCR163" s="21"/>
      <c r="HCS163" s="21"/>
      <c r="HCT163" s="7"/>
      <c r="HCU163" s="7"/>
      <c r="HCV163" s="21"/>
      <c r="HCW163" s="20"/>
      <c r="HCX163" s="20"/>
      <c r="HCY163" s="20"/>
      <c r="HCZ163" s="21"/>
      <c r="HDA163" s="21"/>
      <c r="HDB163" s="21"/>
      <c r="HDC163" s="21"/>
      <c r="HDD163" s="21"/>
      <c r="HDE163" s="20"/>
      <c r="HDF163" s="20"/>
      <c r="HDG163" s="20"/>
      <c r="HDH163" s="20"/>
      <c r="HDI163" s="21"/>
      <c r="HDJ163" s="21"/>
      <c r="HDK163" s="7"/>
      <c r="HDL163" s="7"/>
      <c r="HDM163" s="21"/>
      <c r="HDN163" s="20"/>
      <c r="HDO163" s="20"/>
      <c r="HDP163" s="20"/>
      <c r="HDQ163" s="21"/>
      <c r="HDR163" s="21"/>
      <c r="HDS163" s="21"/>
      <c r="HDT163" s="21"/>
      <c r="HDU163" s="21"/>
      <c r="HDV163" s="20"/>
      <c r="HDW163" s="20"/>
      <c r="HDX163" s="20"/>
      <c r="HDY163" s="20"/>
      <c r="HDZ163" s="21"/>
      <c r="HEA163" s="21"/>
      <c r="HEB163" s="7"/>
      <c r="HEC163" s="7"/>
      <c r="HED163" s="21"/>
      <c r="HEE163" s="20"/>
      <c r="HEF163" s="20"/>
      <c r="HEG163" s="20"/>
      <c r="HEH163" s="21"/>
      <c r="HEI163" s="21"/>
      <c r="HEJ163" s="21"/>
      <c r="HEK163" s="21"/>
      <c r="HEL163" s="21"/>
      <c r="HEM163" s="20"/>
      <c r="HEN163" s="20"/>
      <c r="HEO163" s="20"/>
      <c r="HEP163" s="20"/>
      <c r="HEQ163" s="21"/>
      <c r="HER163" s="21"/>
      <c r="HES163" s="7"/>
      <c r="HET163" s="7"/>
      <c r="HEU163" s="21"/>
      <c r="HEV163" s="20"/>
      <c r="HEW163" s="20"/>
      <c r="HEX163" s="20"/>
      <c r="HEY163" s="21"/>
      <c r="HEZ163" s="21"/>
      <c r="HFA163" s="21"/>
      <c r="HFB163" s="21"/>
      <c r="HFC163" s="21"/>
      <c r="HFD163" s="20"/>
      <c r="HFE163" s="20"/>
      <c r="HFF163" s="20"/>
      <c r="HFG163" s="20"/>
      <c r="HFH163" s="21"/>
      <c r="HFI163" s="21"/>
      <c r="HFJ163" s="7"/>
      <c r="HFK163" s="7"/>
      <c r="HFL163" s="21"/>
      <c r="HFM163" s="20"/>
      <c r="HFN163" s="20"/>
      <c r="HFO163" s="20"/>
      <c r="HFP163" s="21"/>
      <c r="HFQ163" s="21"/>
      <c r="HFR163" s="21"/>
      <c r="HFS163" s="21"/>
      <c r="HFT163" s="21"/>
      <c r="HFU163" s="20"/>
      <c r="HFV163" s="20"/>
      <c r="HFW163" s="20"/>
      <c r="HFX163" s="20"/>
      <c r="HFY163" s="21"/>
      <c r="HFZ163" s="21"/>
      <c r="HGA163" s="7"/>
      <c r="HGB163" s="7"/>
      <c r="HGC163" s="21"/>
      <c r="HGD163" s="20"/>
      <c r="HGE163" s="20"/>
      <c r="HGF163" s="20"/>
      <c r="HGG163" s="21"/>
      <c r="HGH163" s="21"/>
      <c r="HGI163" s="21"/>
      <c r="HGJ163" s="21"/>
      <c r="HGK163" s="21"/>
      <c r="HGL163" s="20"/>
      <c r="HGM163" s="20"/>
      <c r="HGN163" s="20"/>
      <c r="HGO163" s="20"/>
      <c r="HGP163" s="21"/>
      <c r="HGQ163" s="21"/>
      <c r="HGR163" s="7"/>
      <c r="HGS163" s="7"/>
      <c r="HGT163" s="21"/>
      <c r="HGU163" s="20"/>
      <c r="HGV163" s="20"/>
      <c r="HGW163" s="20"/>
      <c r="HGX163" s="21"/>
      <c r="HGY163" s="21"/>
      <c r="HGZ163" s="21"/>
      <c r="HHA163" s="21"/>
      <c r="HHB163" s="21"/>
      <c r="HHC163" s="20"/>
      <c r="HHD163" s="20"/>
      <c r="HHE163" s="20"/>
      <c r="HHF163" s="20"/>
      <c r="HHG163" s="21"/>
      <c r="HHH163" s="21"/>
      <c r="HHI163" s="7"/>
      <c r="HHJ163" s="7"/>
      <c r="HHK163" s="21"/>
      <c r="HHL163" s="20"/>
      <c r="HHM163" s="20"/>
      <c r="HHN163" s="20"/>
      <c r="HHO163" s="21"/>
      <c r="HHP163" s="21"/>
      <c r="HHQ163" s="21"/>
      <c r="HHR163" s="21"/>
      <c r="HHS163" s="21"/>
      <c r="HHT163" s="20"/>
      <c r="HHU163" s="20"/>
      <c r="HHV163" s="20"/>
      <c r="HHW163" s="20"/>
      <c r="HHX163" s="21"/>
      <c r="HHY163" s="21"/>
      <c r="HHZ163" s="7"/>
      <c r="HIA163" s="7"/>
      <c r="HIB163" s="21"/>
      <c r="HIC163" s="20"/>
      <c r="HID163" s="20"/>
      <c r="HIE163" s="20"/>
      <c r="HIF163" s="21"/>
      <c r="HIG163" s="21"/>
      <c r="HIH163" s="21"/>
      <c r="HII163" s="21"/>
      <c r="HIJ163" s="21"/>
      <c r="HIK163" s="20"/>
      <c r="HIL163" s="20"/>
      <c r="HIM163" s="20"/>
      <c r="HIN163" s="20"/>
      <c r="HIO163" s="21"/>
      <c r="HIP163" s="21"/>
      <c r="HIQ163" s="7"/>
      <c r="HIR163" s="7"/>
      <c r="HIS163" s="21"/>
      <c r="HIT163" s="20"/>
      <c r="HIU163" s="20"/>
      <c r="HIV163" s="20"/>
      <c r="HIW163" s="21"/>
      <c r="HIX163" s="21"/>
      <c r="HIY163" s="21"/>
      <c r="HIZ163" s="21"/>
      <c r="HJA163" s="21"/>
      <c r="HJB163" s="20"/>
      <c r="HJC163" s="20"/>
      <c r="HJD163" s="20"/>
      <c r="HJE163" s="20"/>
      <c r="HJF163" s="21"/>
      <c r="HJG163" s="21"/>
      <c r="HJH163" s="7"/>
      <c r="HJI163" s="7"/>
      <c r="HJJ163" s="21"/>
      <c r="HJK163" s="20"/>
      <c r="HJL163" s="20"/>
      <c r="HJM163" s="20"/>
      <c r="HJN163" s="21"/>
      <c r="HJO163" s="21"/>
      <c r="HJP163" s="21"/>
      <c r="HJQ163" s="21"/>
      <c r="HJR163" s="21"/>
      <c r="HJS163" s="20"/>
      <c r="HJT163" s="20"/>
      <c r="HJU163" s="20"/>
      <c r="HJV163" s="20"/>
      <c r="HJW163" s="21"/>
      <c r="HJX163" s="21"/>
      <c r="HJY163" s="7"/>
      <c r="HJZ163" s="7"/>
      <c r="HKA163" s="21"/>
      <c r="HKB163" s="20"/>
      <c r="HKC163" s="20"/>
      <c r="HKD163" s="20"/>
      <c r="HKE163" s="21"/>
      <c r="HKF163" s="21"/>
      <c r="HKG163" s="21"/>
      <c r="HKH163" s="21"/>
      <c r="HKI163" s="21"/>
      <c r="HKJ163" s="20"/>
      <c r="HKK163" s="20"/>
      <c r="HKL163" s="20"/>
      <c r="HKM163" s="20"/>
      <c r="HKN163" s="21"/>
      <c r="HKO163" s="21"/>
      <c r="HKP163" s="7"/>
      <c r="HKQ163" s="7"/>
      <c r="HKR163" s="21"/>
      <c r="HKS163" s="20"/>
      <c r="HKT163" s="20"/>
      <c r="HKU163" s="20"/>
      <c r="HKV163" s="21"/>
      <c r="HKW163" s="21"/>
      <c r="HKX163" s="21"/>
      <c r="HKY163" s="21"/>
      <c r="HKZ163" s="21"/>
      <c r="HLA163" s="20"/>
      <c r="HLB163" s="20"/>
      <c r="HLC163" s="20"/>
      <c r="HLD163" s="20"/>
      <c r="HLE163" s="21"/>
      <c r="HLF163" s="21"/>
      <c r="HLG163" s="7"/>
      <c r="HLH163" s="7"/>
      <c r="HLI163" s="21"/>
      <c r="HLJ163" s="20"/>
      <c r="HLK163" s="20"/>
      <c r="HLL163" s="20"/>
      <c r="HLM163" s="21"/>
      <c r="HLN163" s="21"/>
      <c r="HLO163" s="21"/>
      <c r="HLP163" s="21"/>
      <c r="HLQ163" s="21"/>
      <c r="HLR163" s="20"/>
      <c r="HLS163" s="20"/>
      <c r="HLT163" s="20"/>
      <c r="HLU163" s="20"/>
      <c r="HLV163" s="21"/>
      <c r="HLW163" s="21"/>
      <c r="HLX163" s="7"/>
      <c r="HLY163" s="7"/>
      <c r="HLZ163" s="21"/>
      <c r="HMA163" s="20"/>
      <c r="HMB163" s="20"/>
      <c r="HMC163" s="20"/>
      <c r="HMD163" s="21"/>
      <c r="HME163" s="21"/>
      <c r="HMF163" s="21"/>
      <c r="HMG163" s="21"/>
      <c r="HMH163" s="21"/>
      <c r="HMI163" s="20"/>
      <c r="HMJ163" s="20"/>
      <c r="HMK163" s="20"/>
      <c r="HML163" s="20"/>
      <c r="HMM163" s="21"/>
      <c r="HMN163" s="21"/>
      <c r="HMO163" s="7"/>
      <c r="HMP163" s="7"/>
      <c r="HMQ163" s="21"/>
      <c r="HMR163" s="20"/>
      <c r="HMS163" s="20"/>
      <c r="HMT163" s="20"/>
      <c r="HMU163" s="21"/>
      <c r="HMV163" s="21"/>
      <c r="HMW163" s="21"/>
      <c r="HMX163" s="21"/>
      <c r="HMY163" s="21"/>
      <c r="HMZ163" s="20"/>
      <c r="HNA163" s="20"/>
      <c r="HNB163" s="20"/>
      <c r="HNC163" s="20"/>
      <c r="HND163" s="21"/>
      <c r="HNE163" s="21"/>
      <c r="HNF163" s="7"/>
      <c r="HNG163" s="7"/>
      <c r="HNH163" s="21"/>
      <c r="HNI163" s="20"/>
      <c r="HNJ163" s="20"/>
      <c r="HNK163" s="20"/>
      <c r="HNL163" s="21"/>
      <c r="HNM163" s="21"/>
      <c r="HNN163" s="21"/>
      <c r="HNO163" s="21"/>
      <c r="HNP163" s="21"/>
      <c r="HNQ163" s="20"/>
      <c r="HNR163" s="20"/>
      <c r="HNS163" s="20"/>
      <c r="HNT163" s="20"/>
      <c r="HNU163" s="21"/>
      <c r="HNV163" s="21"/>
      <c r="HNW163" s="7"/>
      <c r="HNX163" s="7"/>
      <c r="HNY163" s="21"/>
      <c r="HNZ163" s="20"/>
      <c r="HOA163" s="20"/>
      <c r="HOB163" s="20"/>
      <c r="HOC163" s="21"/>
      <c r="HOD163" s="21"/>
      <c r="HOE163" s="21"/>
      <c r="HOF163" s="21"/>
      <c r="HOG163" s="21"/>
      <c r="HOH163" s="20"/>
      <c r="HOI163" s="20"/>
      <c r="HOJ163" s="20"/>
      <c r="HOK163" s="20"/>
      <c r="HOL163" s="21"/>
      <c r="HOM163" s="21"/>
      <c r="HON163" s="7"/>
      <c r="HOO163" s="7"/>
      <c r="HOP163" s="21"/>
      <c r="HOQ163" s="20"/>
      <c r="HOR163" s="20"/>
      <c r="HOS163" s="20"/>
      <c r="HOT163" s="21"/>
      <c r="HOU163" s="21"/>
      <c r="HOV163" s="21"/>
      <c r="HOW163" s="21"/>
      <c r="HOX163" s="21"/>
      <c r="HOY163" s="20"/>
      <c r="HOZ163" s="20"/>
      <c r="HPA163" s="20"/>
      <c r="HPB163" s="20"/>
      <c r="HPC163" s="21"/>
      <c r="HPD163" s="21"/>
      <c r="HPE163" s="7"/>
      <c r="HPF163" s="7"/>
      <c r="HPG163" s="21"/>
      <c r="HPH163" s="20"/>
      <c r="HPI163" s="20"/>
      <c r="HPJ163" s="20"/>
      <c r="HPK163" s="21"/>
      <c r="HPL163" s="21"/>
      <c r="HPM163" s="21"/>
      <c r="HPN163" s="21"/>
      <c r="HPO163" s="21"/>
      <c r="HPP163" s="20"/>
      <c r="HPQ163" s="20"/>
      <c r="HPR163" s="20"/>
      <c r="HPS163" s="20"/>
      <c r="HPT163" s="21"/>
      <c r="HPU163" s="21"/>
      <c r="HPV163" s="7"/>
      <c r="HPW163" s="7"/>
      <c r="HPX163" s="21"/>
      <c r="HPY163" s="20"/>
      <c r="HPZ163" s="20"/>
      <c r="HQA163" s="20"/>
      <c r="HQB163" s="21"/>
      <c r="HQC163" s="21"/>
      <c r="HQD163" s="21"/>
      <c r="HQE163" s="21"/>
      <c r="HQF163" s="21"/>
      <c r="HQG163" s="20"/>
      <c r="HQH163" s="20"/>
      <c r="HQI163" s="20"/>
      <c r="HQJ163" s="20"/>
      <c r="HQK163" s="21"/>
      <c r="HQL163" s="21"/>
      <c r="HQM163" s="7"/>
      <c r="HQN163" s="7"/>
      <c r="HQO163" s="21"/>
      <c r="HQP163" s="20"/>
      <c r="HQQ163" s="20"/>
      <c r="HQR163" s="20"/>
      <c r="HQS163" s="21"/>
      <c r="HQT163" s="21"/>
      <c r="HQU163" s="21"/>
      <c r="HQV163" s="21"/>
      <c r="HQW163" s="21"/>
      <c r="HQX163" s="20"/>
      <c r="HQY163" s="20"/>
      <c r="HQZ163" s="20"/>
      <c r="HRA163" s="20"/>
      <c r="HRB163" s="21"/>
      <c r="HRC163" s="21"/>
      <c r="HRD163" s="7"/>
      <c r="HRE163" s="7"/>
      <c r="HRF163" s="21"/>
      <c r="HRG163" s="20"/>
      <c r="HRH163" s="20"/>
      <c r="HRI163" s="20"/>
      <c r="HRJ163" s="21"/>
      <c r="HRK163" s="21"/>
      <c r="HRL163" s="21"/>
      <c r="HRM163" s="21"/>
      <c r="HRN163" s="21"/>
      <c r="HRO163" s="20"/>
      <c r="HRP163" s="20"/>
      <c r="HRQ163" s="20"/>
      <c r="HRR163" s="20"/>
      <c r="HRS163" s="21"/>
      <c r="HRT163" s="21"/>
      <c r="HRU163" s="7"/>
      <c r="HRV163" s="7"/>
      <c r="HRW163" s="21"/>
      <c r="HRX163" s="20"/>
      <c r="HRY163" s="20"/>
      <c r="HRZ163" s="20"/>
      <c r="HSA163" s="21"/>
      <c r="HSB163" s="21"/>
      <c r="HSC163" s="21"/>
      <c r="HSD163" s="21"/>
      <c r="HSE163" s="21"/>
      <c r="HSF163" s="20"/>
      <c r="HSG163" s="20"/>
      <c r="HSH163" s="20"/>
      <c r="HSI163" s="20"/>
      <c r="HSJ163" s="21"/>
      <c r="HSK163" s="21"/>
      <c r="HSL163" s="7"/>
      <c r="HSM163" s="7"/>
      <c r="HSN163" s="21"/>
      <c r="HSO163" s="20"/>
      <c r="HSP163" s="20"/>
      <c r="HSQ163" s="20"/>
      <c r="HSR163" s="21"/>
      <c r="HSS163" s="21"/>
      <c r="HST163" s="21"/>
      <c r="HSU163" s="21"/>
      <c r="HSV163" s="21"/>
      <c r="HSW163" s="20"/>
      <c r="HSX163" s="20"/>
      <c r="HSY163" s="20"/>
      <c r="HSZ163" s="20"/>
      <c r="HTA163" s="21"/>
      <c r="HTB163" s="21"/>
      <c r="HTC163" s="7"/>
      <c r="HTD163" s="7"/>
      <c r="HTE163" s="21"/>
      <c r="HTF163" s="20"/>
      <c r="HTG163" s="20"/>
      <c r="HTH163" s="20"/>
      <c r="HTI163" s="21"/>
      <c r="HTJ163" s="21"/>
      <c r="HTK163" s="21"/>
      <c r="HTL163" s="21"/>
      <c r="HTM163" s="21"/>
      <c r="HTN163" s="20"/>
      <c r="HTO163" s="20"/>
      <c r="HTP163" s="20"/>
      <c r="HTQ163" s="20"/>
      <c r="HTR163" s="21"/>
      <c r="HTS163" s="21"/>
      <c r="HTT163" s="7"/>
      <c r="HTU163" s="7"/>
      <c r="HTV163" s="21"/>
      <c r="HTW163" s="20"/>
      <c r="HTX163" s="20"/>
      <c r="HTY163" s="20"/>
      <c r="HTZ163" s="21"/>
      <c r="HUA163" s="21"/>
      <c r="HUB163" s="21"/>
      <c r="HUC163" s="21"/>
      <c r="HUD163" s="21"/>
      <c r="HUE163" s="20"/>
      <c r="HUF163" s="20"/>
      <c r="HUG163" s="20"/>
      <c r="HUH163" s="20"/>
      <c r="HUI163" s="21"/>
      <c r="HUJ163" s="21"/>
      <c r="HUK163" s="7"/>
      <c r="HUL163" s="7"/>
      <c r="HUM163" s="21"/>
      <c r="HUN163" s="20"/>
      <c r="HUO163" s="20"/>
      <c r="HUP163" s="20"/>
      <c r="HUQ163" s="21"/>
      <c r="HUR163" s="21"/>
      <c r="HUS163" s="21"/>
      <c r="HUT163" s="21"/>
      <c r="HUU163" s="21"/>
      <c r="HUV163" s="20"/>
      <c r="HUW163" s="20"/>
      <c r="HUX163" s="20"/>
      <c r="HUY163" s="20"/>
      <c r="HUZ163" s="21"/>
      <c r="HVA163" s="21"/>
      <c r="HVB163" s="7"/>
      <c r="HVC163" s="7"/>
      <c r="HVD163" s="21"/>
      <c r="HVE163" s="20"/>
      <c r="HVF163" s="20"/>
      <c r="HVG163" s="20"/>
      <c r="HVH163" s="21"/>
      <c r="HVI163" s="21"/>
      <c r="HVJ163" s="21"/>
      <c r="HVK163" s="21"/>
      <c r="HVL163" s="21"/>
      <c r="HVM163" s="20"/>
      <c r="HVN163" s="20"/>
      <c r="HVO163" s="20"/>
      <c r="HVP163" s="20"/>
      <c r="HVQ163" s="21"/>
      <c r="HVR163" s="21"/>
      <c r="HVS163" s="7"/>
      <c r="HVT163" s="7"/>
      <c r="HVU163" s="21"/>
      <c r="HVV163" s="20"/>
      <c r="HVW163" s="20"/>
      <c r="HVX163" s="20"/>
      <c r="HVY163" s="21"/>
      <c r="HVZ163" s="21"/>
      <c r="HWA163" s="21"/>
      <c r="HWB163" s="21"/>
      <c r="HWC163" s="21"/>
      <c r="HWD163" s="20"/>
      <c r="HWE163" s="20"/>
      <c r="HWF163" s="20"/>
      <c r="HWG163" s="20"/>
      <c r="HWH163" s="21"/>
      <c r="HWI163" s="21"/>
      <c r="HWJ163" s="7"/>
      <c r="HWK163" s="7"/>
      <c r="HWL163" s="21"/>
      <c r="HWM163" s="20"/>
      <c r="HWN163" s="20"/>
      <c r="HWO163" s="20"/>
      <c r="HWP163" s="21"/>
      <c r="HWQ163" s="21"/>
      <c r="HWR163" s="21"/>
      <c r="HWS163" s="21"/>
      <c r="HWT163" s="21"/>
      <c r="HWU163" s="20"/>
      <c r="HWV163" s="20"/>
      <c r="HWW163" s="20"/>
      <c r="HWX163" s="20"/>
      <c r="HWY163" s="21"/>
      <c r="HWZ163" s="21"/>
      <c r="HXA163" s="7"/>
      <c r="HXB163" s="7"/>
      <c r="HXC163" s="21"/>
      <c r="HXD163" s="20"/>
      <c r="HXE163" s="20"/>
      <c r="HXF163" s="20"/>
      <c r="HXG163" s="21"/>
      <c r="HXH163" s="21"/>
      <c r="HXI163" s="21"/>
      <c r="HXJ163" s="21"/>
      <c r="HXK163" s="21"/>
      <c r="HXL163" s="20"/>
      <c r="HXM163" s="20"/>
      <c r="HXN163" s="20"/>
      <c r="HXO163" s="20"/>
      <c r="HXP163" s="21"/>
      <c r="HXQ163" s="21"/>
      <c r="HXR163" s="7"/>
      <c r="HXS163" s="7"/>
      <c r="HXT163" s="21"/>
      <c r="HXU163" s="20"/>
      <c r="HXV163" s="20"/>
      <c r="HXW163" s="20"/>
      <c r="HXX163" s="21"/>
      <c r="HXY163" s="21"/>
      <c r="HXZ163" s="21"/>
      <c r="HYA163" s="21"/>
      <c r="HYB163" s="21"/>
      <c r="HYC163" s="20"/>
      <c r="HYD163" s="20"/>
      <c r="HYE163" s="20"/>
      <c r="HYF163" s="20"/>
      <c r="HYG163" s="21"/>
      <c r="HYH163" s="21"/>
      <c r="HYI163" s="7"/>
      <c r="HYJ163" s="7"/>
      <c r="HYK163" s="21"/>
      <c r="HYL163" s="20"/>
      <c r="HYM163" s="20"/>
      <c r="HYN163" s="20"/>
      <c r="HYO163" s="21"/>
      <c r="HYP163" s="21"/>
      <c r="HYQ163" s="21"/>
      <c r="HYR163" s="21"/>
      <c r="HYS163" s="21"/>
      <c r="HYT163" s="20"/>
      <c r="HYU163" s="20"/>
      <c r="HYV163" s="20"/>
      <c r="HYW163" s="20"/>
      <c r="HYX163" s="21"/>
      <c r="HYY163" s="21"/>
      <c r="HYZ163" s="7"/>
      <c r="HZA163" s="7"/>
      <c r="HZB163" s="21"/>
      <c r="HZC163" s="20"/>
      <c r="HZD163" s="20"/>
      <c r="HZE163" s="20"/>
      <c r="HZF163" s="21"/>
      <c r="HZG163" s="21"/>
      <c r="HZH163" s="21"/>
      <c r="HZI163" s="21"/>
      <c r="HZJ163" s="21"/>
      <c r="HZK163" s="20"/>
      <c r="HZL163" s="20"/>
      <c r="HZM163" s="20"/>
      <c r="HZN163" s="20"/>
      <c r="HZO163" s="21"/>
      <c r="HZP163" s="21"/>
      <c r="HZQ163" s="7"/>
      <c r="HZR163" s="7"/>
      <c r="HZS163" s="21"/>
      <c r="HZT163" s="20"/>
      <c r="HZU163" s="20"/>
      <c r="HZV163" s="20"/>
      <c r="HZW163" s="21"/>
      <c r="HZX163" s="21"/>
      <c r="HZY163" s="21"/>
      <c r="HZZ163" s="21"/>
      <c r="IAA163" s="21"/>
      <c r="IAB163" s="20"/>
      <c r="IAC163" s="20"/>
      <c r="IAD163" s="20"/>
      <c r="IAE163" s="20"/>
      <c r="IAF163" s="21"/>
      <c r="IAG163" s="21"/>
      <c r="IAH163" s="7"/>
      <c r="IAI163" s="7"/>
      <c r="IAJ163" s="21"/>
      <c r="IAK163" s="20"/>
      <c r="IAL163" s="20"/>
      <c r="IAM163" s="20"/>
      <c r="IAN163" s="21"/>
      <c r="IAO163" s="21"/>
      <c r="IAP163" s="21"/>
      <c r="IAQ163" s="21"/>
      <c r="IAR163" s="21"/>
      <c r="IAS163" s="20"/>
      <c r="IAT163" s="20"/>
      <c r="IAU163" s="20"/>
      <c r="IAV163" s="20"/>
      <c r="IAW163" s="21"/>
      <c r="IAX163" s="21"/>
      <c r="IAY163" s="7"/>
      <c r="IAZ163" s="7"/>
      <c r="IBA163" s="21"/>
      <c r="IBB163" s="20"/>
      <c r="IBC163" s="20"/>
      <c r="IBD163" s="20"/>
      <c r="IBE163" s="21"/>
      <c r="IBF163" s="21"/>
      <c r="IBG163" s="21"/>
      <c r="IBH163" s="21"/>
      <c r="IBI163" s="21"/>
      <c r="IBJ163" s="20"/>
      <c r="IBK163" s="20"/>
      <c r="IBL163" s="20"/>
      <c r="IBM163" s="20"/>
      <c r="IBN163" s="21"/>
      <c r="IBO163" s="21"/>
      <c r="IBP163" s="7"/>
      <c r="IBQ163" s="7"/>
      <c r="IBR163" s="21"/>
      <c r="IBS163" s="20"/>
      <c r="IBT163" s="20"/>
      <c r="IBU163" s="20"/>
      <c r="IBV163" s="21"/>
      <c r="IBW163" s="21"/>
      <c r="IBX163" s="21"/>
      <c r="IBY163" s="21"/>
      <c r="IBZ163" s="21"/>
      <c r="ICA163" s="20"/>
      <c r="ICB163" s="20"/>
      <c r="ICC163" s="20"/>
      <c r="ICD163" s="20"/>
      <c r="ICE163" s="21"/>
      <c r="ICF163" s="21"/>
      <c r="ICG163" s="7"/>
      <c r="ICH163" s="7"/>
      <c r="ICI163" s="21"/>
      <c r="ICJ163" s="20"/>
      <c r="ICK163" s="20"/>
      <c r="ICL163" s="20"/>
      <c r="ICM163" s="21"/>
      <c r="ICN163" s="21"/>
      <c r="ICO163" s="21"/>
      <c r="ICP163" s="21"/>
      <c r="ICQ163" s="21"/>
      <c r="ICR163" s="20"/>
      <c r="ICS163" s="20"/>
      <c r="ICT163" s="20"/>
      <c r="ICU163" s="20"/>
      <c r="ICV163" s="21"/>
      <c r="ICW163" s="21"/>
      <c r="ICX163" s="7"/>
      <c r="ICY163" s="7"/>
      <c r="ICZ163" s="21"/>
      <c r="IDA163" s="20"/>
      <c r="IDB163" s="20"/>
      <c r="IDC163" s="20"/>
      <c r="IDD163" s="21"/>
      <c r="IDE163" s="21"/>
      <c r="IDF163" s="21"/>
      <c r="IDG163" s="21"/>
      <c r="IDH163" s="21"/>
      <c r="IDI163" s="20"/>
      <c r="IDJ163" s="20"/>
      <c r="IDK163" s="20"/>
      <c r="IDL163" s="20"/>
      <c r="IDM163" s="21"/>
      <c r="IDN163" s="21"/>
      <c r="IDO163" s="7"/>
      <c r="IDP163" s="7"/>
      <c r="IDQ163" s="21"/>
      <c r="IDR163" s="20"/>
      <c r="IDS163" s="20"/>
      <c r="IDT163" s="20"/>
      <c r="IDU163" s="21"/>
      <c r="IDV163" s="21"/>
      <c r="IDW163" s="21"/>
      <c r="IDX163" s="21"/>
      <c r="IDY163" s="21"/>
      <c r="IDZ163" s="20"/>
      <c r="IEA163" s="20"/>
      <c r="IEB163" s="20"/>
      <c r="IEC163" s="20"/>
      <c r="IED163" s="21"/>
      <c r="IEE163" s="21"/>
      <c r="IEF163" s="7"/>
      <c r="IEG163" s="7"/>
      <c r="IEH163" s="21"/>
      <c r="IEI163" s="20"/>
      <c r="IEJ163" s="20"/>
      <c r="IEK163" s="20"/>
      <c r="IEL163" s="21"/>
      <c r="IEM163" s="21"/>
      <c r="IEN163" s="21"/>
      <c r="IEO163" s="21"/>
      <c r="IEP163" s="21"/>
      <c r="IEQ163" s="20"/>
      <c r="IER163" s="20"/>
      <c r="IES163" s="20"/>
      <c r="IET163" s="20"/>
      <c r="IEU163" s="21"/>
      <c r="IEV163" s="21"/>
      <c r="IEW163" s="7"/>
      <c r="IEX163" s="7"/>
      <c r="IEY163" s="21"/>
      <c r="IEZ163" s="20"/>
      <c r="IFA163" s="20"/>
      <c r="IFB163" s="20"/>
      <c r="IFC163" s="21"/>
      <c r="IFD163" s="21"/>
      <c r="IFE163" s="21"/>
      <c r="IFF163" s="21"/>
      <c r="IFG163" s="21"/>
      <c r="IFH163" s="20"/>
      <c r="IFI163" s="20"/>
      <c r="IFJ163" s="20"/>
      <c r="IFK163" s="20"/>
      <c r="IFL163" s="21"/>
      <c r="IFM163" s="21"/>
      <c r="IFN163" s="7"/>
      <c r="IFO163" s="7"/>
      <c r="IFP163" s="21"/>
      <c r="IFQ163" s="20"/>
      <c r="IFR163" s="20"/>
      <c r="IFS163" s="20"/>
      <c r="IFT163" s="21"/>
      <c r="IFU163" s="21"/>
      <c r="IFV163" s="21"/>
      <c r="IFW163" s="21"/>
      <c r="IFX163" s="21"/>
      <c r="IFY163" s="20"/>
      <c r="IFZ163" s="20"/>
      <c r="IGA163" s="20"/>
      <c r="IGB163" s="20"/>
      <c r="IGC163" s="21"/>
      <c r="IGD163" s="21"/>
      <c r="IGE163" s="7"/>
      <c r="IGF163" s="7"/>
      <c r="IGG163" s="21"/>
      <c r="IGH163" s="20"/>
      <c r="IGI163" s="20"/>
      <c r="IGJ163" s="20"/>
      <c r="IGK163" s="21"/>
      <c r="IGL163" s="21"/>
      <c r="IGM163" s="21"/>
      <c r="IGN163" s="21"/>
      <c r="IGO163" s="21"/>
      <c r="IGP163" s="20"/>
      <c r="IGQ163" s="20"/>
      <c r="IGR163" s="20"/>
      <c r="IGS163" s="20"/>
      <c r="IGT163" s="21"/>
      <c r="IGU163" s="21"/>
      <c r="IGV163" s="7"/>
      <c r="IGW163" s="7"/>
      <c r="IGX163" s="21"/>
      <c r="IGY163" s="20"/>
      <c r="IGZ163" s="20"/>
      <c r="IHA163" s="20"/>
      <c r="IHB163" s="21"/>
      <c r="IHC163" s="21"/>
      <c r="IHD163" s="21"/>
      <c r="IHE163" s="21"/>
      <c r="IHF163" s="21"/>
      <c r="IHG163" s="20"/>
      <c r="IHH163" s="20"/>
      <c r="IHI163" s="20"/>
      <c r="IHJ163" s="20"/>
      <c r="IHK163" s="21"/>
      <c r="IHL163" s="21"/>
      <c r="IHM163" s="7"/>
      <c r="IHN163" s="7"/>
      <c r="IHO163" s="21"/>
      <c r="IHP163" s="20"/>
      <c r="IHQ163" s="20"/>
      <c r="IHR163" s="20"/>
      <c r="IHS163" s="21"/>
      <c r="IHT163" s="21"/>
      <c r="IHU163" s="21"/>
      <c r="IHV163" s="21"/>
      <c r="IHW163" s="21"/>
      <c r="IHX163" s="20"/>
      <c r="IHY163" s="20"/>
      <c r="IHZ163" s="20"/>
      <c r="IIA163" s="20"/>
      <c r="IIB163" s="21"/>
      <c r="IIC163" s="21"/>
      <c r="IID163" s="7"/>
      <c r="IIE163" s="7"/>
      <c r="IIF163" s="21"/>
      <c r="IIG163" s="20"/>
      <c r="IIH163" s="20"/>
      <c r="III163" s="20"/>
      <c r="IIJ163" s="21"/>
      <c r="IIK163" s="21"/>
      <c r="IIL163" s="21"/>
      <c r="IIM163" s="21"/>
      <c r="IIN163" s="21"/>
      <c r="IIO163" s="20"/>
      <c r="IIP163" s="20"/>
      <c r="IIQ163" s="20"/>
      <c r="IIR163" s="20"/>
      <c r="IIS163" s="21"/>
      <c r="IIT163" s="21"/>
      <c r="IIU163" s="7"/>
      <c r="IIV163" s="7"/>
      <c r="IIW163" s="21"/>
      <c r="IIX163" s="20"/>
      <c r="IIY163" s="20"/>
      <c r="IIZ163" s="20"/>
      <c r="IJA163" s="21"/>
      <c r="IJB163" s="21"/>
      <c r="IJC163" s="21"/>
      <c r="IJD163" s="21"/>
      <c r="IJE163" s="21"/>
      <c r="IJF163" s="20"/>
      <c r="IJG163" s="20"/>
      <c r="IJH163" s="20"/>
      <c r="IJI163" s="20"/>
      <c r="IJJ163" s="21"/>
      <c r="IJK163" s="21"/>
      <c r="IJL163" s="7"/>
      <c r="IJM163" s="7"/>
      <c r="IJN163" s="21"/>
      <c r="IJO163" s="20"/>
      <c r="IJP163" s="20"/>
      <c r="IJQ163" s="20"/>
      <c r="IJR163" s="21"/>
      <c r="IJS163" s="21"/>
      <c r="IJT163" s="21"/>
      <c r="IJU163" s="21"/>
      <c r="IJV163" s="21"/>
      <c r="IJW163" s="20"/>
      <c r="IJX163" s="20"/>
      <c r="IJY163" s="20"/>
      <c r="IJZ163" s="20"/>
      <c r="IKA163" s="21"/>
      <c r="IKB163" s="21"/>
      <c r="IKC163" s="7"/>
      <c r="IKD163" s="7"/>
      <c r="IKE163" s="21"/>
      <c r="IKF163" s="20"/>
      <c r="IKG163" s="20"/>
      <c r="IKH163" s="20"/>
      <c r="IKI163" s="21"/>
      <c r="IKJ163" s="21"/>
      <c r="IKK163" s="21"/>
      <c r="IKL163" s="21"/>
      <c r="IKM163" s="21"/>
      <c r="IKN163" s="20"/>
      <c r="IKO163" s="20"/>
      <c r="IKP163" s="20"/>
      <c r="IKQ163" s="20"/>
      <c r="IKR163" s="21"/>
      <c r="IKS163" s="21"/>
      <c r="IKT163" s="7"/>
      <c r="IKU163" s="7"/>
      <c r="IKV163" s="21"/>
      <c r="IKW163" s="20"/>
      <c r="IKX163" s="20"/>
      <c r="IKY163" s="20"/>
      <c r="IKZ163" s="21"/>
      <c r="ILA163" s="21"/>
      <c r="ILB163" s="21"/>
      <c r="ILC163" s="21"/>
      <c r="ILD163" s="21"/>
      <c r="ILE163" s="20"/>
      <c r="ILF163" s="20"/>
      <c r="ILG163" s="20"/>
      <c r="ILH163" s="20"/>
      <c r="ILI163" s="21"/>
      <c r="ILJ163" s="21"/>
      <c r="ILK163" s="7"/>
      <c r="ILL163" s="7"/>
      <c r="ILM163" s="21"/>
      <c r="ILN163" s="20"/>
      <c r="ILO163" s="20"/>
      <c r="ILP163" s="20"/>
      <c r="ILQ163" s="21"/>
      <c r="ILR163" s="21"/>
      <c r="ILS163" s="21"/>
      <c r="ILT163" s="21"/>
      <c r="ILU163" s="21"/>
      <c r="ILV163" s="20"/>
      <c r="ILW163" s="20"/>
      <c r="ILX163" s="20"/>
      <c r="ILY163" s="20"/>
      <c r="ILZ163" s="21"/>
      <c r="IMA163" s="21"/>
      <c r="IMB163" s="7"/>
      <c r="IMC163" s="7"/>
      <c r="IMD163" s="21"/>
      <c r="IME163" s="20"/>
      <c r="IMF163" s="20"/>
      <c r="IMG163" s="20"/>
      <c r="IMH163" s="21"/>
      <c r="IMI163" s="21"/>
      <c r="IMJ163" s="21"/>
      <c r="IMK163" s="21"/>
      <c r="IML163" s="21"/>
      <c r="IMM163" s="20"/>
      <c r="IMN163" s="20"/>
      <c r="IMO163" s="20"/>
      <c r="IMP163" s="20"/>
      <c r="IMQ163" s="21"/>
      <c r="IMR163" s="21"/>
      <c r="IMS163" s="7"/>
      <c r="IMT163" s="7"/>
      <c r="IMU163" s="21"/>
      <c r="IMV163" s="20"/>
      <c r="IMW163" s="20"/>
      <c r="IMX163" s="20"/>
      <c r="IMY163" s="21"/>
      <c r="IMZ163" s="21"/>
      <c r="INA163" s="21"/>
      <c r="INB163" s="21"/>
      <c r="INC163" s="21"/>
      <c r="IND163" s="20"/>
      <c r="INE163" s="20"/>
      <c r="INF163" s="20"/>
      <c r="ING163" s="20"/>
      <c r="INH163" s="21"/>
      <c r="INI163" s="21"/>
      <c r="INJ163" s="7"/>
      <c r="INK163" s="7"/>
      <c r="INL163" s="21"/>
      <c r="INM163" s="20"/>
      <c r="INN163" s="20"/>
      <c r="INO163" s="20"/>
      <c r="INP163" s="21"/>
      <c r="INQ163" s="21"/>
      <c r="INR163" s="21"/>
      <c r="INS163" s="21"/>
      <c r="INT163" s="21"/>
      <c r="INU163" s="20"/>
      <c r="INV163" s="20"/>
      <c r="INW163" s="20"/>
      <c r="INX163" s="20"/>
      <c r="INY163" s="21"/>
      <c r="INZ163" s="21"/>
      <c r="IOA163" s="7"/>
      <c r="IOB163" s="7"/>
      <c r="IOC163" s="21"/>
      <c r="IOD163" s="20"/>
      <c r="IOE163" s="20"/>
      <c r="IOF163" s="20"/>
      <c r="IOG163" s="21"/>
      <c r="IOH163" s="21"/>
      <c r="IOI163" s="21"/>
      <c r="IOJ163" s="21"/>
      <c r="IOK163" s="21"/>
      <c r="IOL163" s="20"/>
      <c r="IOM163" s="20"/>
      <c r="ION163" s="20"/>
      <c r="IOO163" s="20"/>
      <c r="IOP163" s="21"/>
      <c r="IOQ163" s="21"/>
      <c r="IOR163" s="7"/>
      <c r="IOS163" s="7"/>
      <c r="IOT163" s="21"/>
      <c r="IOU163" s="20"/>
      <c r="IOV163" s="20"/>
      <c r="IOW163" s="20"/>
      <c r="IOX163" s="21"/>
      <c r="IOY163" s="21"/>
      <c r="IOZ163" s="21"/>
      <c r="IPA163" s="21"/>
      <c r="IPB163" s="21"/>
      <c r="IPC163" s="20"/>
      <c r="IPD163" s="20"/>
      <c r="IPE163" s="20"/>
      <c r="IPF163" s="20"/>
      <c r="IPG163" s="21"/>
      <c r="IPH163" s="21"/>
      <c r="IPI163" s="7"/>
      <c r="IPJ163" s="7"/>
      <c r="IPK163" s="21"/>
      <c r="IPL163" s="20"/>
      <c r="IPM163" s="20"/>
      <c r="IPN163" s="20"/>
      <c r="IPO163" s="21"/>
      <c r="IPP163" s="21"/>
      <c r="IPQ163" s="21"/>
      <c r="IPR163" s="21"/>
      <c r="IPS163" s="21"/>
      <c r="IPT163" s="20"/>
      <c r="IPU163" s="20"/>
      <c r="IPV163" s="20"/>
      <c r="IPW163" s="20"/>
      <c r="IPX163" s="21"/>
      <c r="IPY163" s="21"/>
      <c r="IPZ163" s="7"/>
      <c r="IQA163" s="7"/>
      <c r="IQB163" s="21"/>
      <c r="IQC163" s="20"/>
      <c r="IQD163" s="20"/>
      <c r="IQE163" s="20"/>
      <c r="IQF163" s="21"/>
      <c r="IQG163" s="21"/>
      <c r="IQH163" s="21"/>
      <c r="IQI163" s="21"/>
      <c r="IQJ163" s="21"/>
      <c r="IQK163" s="20"/>
      <c r="IQL163" s="20"/>
      <c r="IQM163" s="20"/>
      <c r="IQN163" s="20"/>
      <c r="IQO163" s="21"/>
      <c r="IQP163" s="21"/>
      <c r="IQQ163" s="7"/>
      <c r="IQR163" s="7"/>
      <c r="IQS163" s="21"/>
      <c r="IQT163" s="20"/>
      <c r="IQU163" s="20"/>
      <c r="IQV163" s="20"/>
      <c r="IQW163" s="21"/>
      <c r="IQX163" s="21"/>
      <c r="IQY163" s="21"/>
      <c r="IQZ163" s="21"/>
      <c r="IRA163" s="21"/>
      <c r="IRB163" s="20"/>
      <c r="IRC163" s="20"/>
      <c r="IRD163" s="20"/>
      <c r="IRE163" s="20"/>
      <c r="IRF163" s="21"/>
      <c r="IRG163" s="21"/>
      <c r="IRH163" s="7"/>
      <c r="IRI163" s="7"/>
      <c r="IRJ163" s="21"/>
      <c r="IRK163" s="20"/>
      <c r="IRL163" s="20"/>
      <c r="IRM163" s="20"/>
      <c r="IRN163" s="21"/>
      <c r="IRO163" s="21"/>
      <c r="IRP163" s="21"/>
      <c r="IRQ163" s="21"/>
      <c r="IRR163" s="21"/>
      <c r="IRS163" s="20"/>
      <c r="IRT163" s="20"/>
      <c r="IRU163" s="20"/>
      <c r="IRV163" s="20"/>
      <c r="IRW163" s="21"/>
      <c r="IRX163" s="21"/>
      <c r="IRY163" s="7"/>
      <c r="IRZ163" s="7"/>
      <c r="ISA163" s="21"/>
      <c r="ISB163" s="20"/>
      <c r="ISC163" s="20"/>
      <c r="ISD163" s="20"/>
      <c r="ISE163" s="21"/>
      <c r="ISF163" s="21"/>
      <c r="ISG163" s="21"/>
      <c r="ISH163" s="21"/>
      <c r="ISI163" s="21"/>
      <c r="ISJ163" s="20"/>
      <c r="ISK163" s="20"/>
      <c r="ISL163" s="20"/>
      <c r="ISM163" s="20"/>
      <c r="ISN163" s="21"/>
      <c r="ISO163" s="21"/>
      <c r="ISP163" s="7"/>
      <c r="ISQ163" s="7"/>
      <c r="ISR163" s="21"/>
      <c r="ISS163" s="20"/>
      <c r="IST163" s="20"/>
      <c r="ISU163" s="20"/>
      <c r="ISV163" s="21"/>
      <c r="ISW163" s="21"/>
      <c r="ISX163" s="21"/>
      <c r="ISY163" s="21"/>
      <c r="ISZ163" s="21"/>
      <c r="ITA163" s="20"/>
      <c r="ITB163" s="20"/>
      <c r="ITC163" s="20"/>
      <c r="ITD163" s="20"/>
      <c r="ITE163" s="21"/>
      <c r="ITF163" s="21"/>
      <c r="ITG163" s="7"/>
      <c r="ITH163" s="7"/>
      <c r="ITI163" s="21"/>
      <c r="ITJ163" s="20"/>
      <c r="ITK163" s="20"/>
      <c r="ITL163" s="20"/>
      <c r="ITM163" s="21"/>
      <c r="ITN163" s="21"/>
      <c r="ITO163" s="21"/>
      <c r="ITP163" s="21"/>
      <c r="ITQ163" s="21"/>
      <c r="ITR163" s="20"/>
      <c r="ITS163" s="20"/>
      <c r="ITT163" s="20"/>
      <c r="ITU163" s="20"/>
      <c r="ITV163" s="21"/>
      <c r="ITW163" s="21"/>
      <c r="ITX163" s="7"/>
      <c r="ITY163" s="7"/>
      <c r="ITZ163" s="21"/>
      <c r="IUA163" s="20"/>
      <c r="IUB163" s="20"/>
      <c r="IUC163" s="20"/>
      <c r="IUD163" s="21"/>
      <c r="IUE163" s="21"/>
      <c r="IUF163" s="21"/>
      <c r="IUG163" s="21"/>
      <c r="IUH163" s="21"/>
      <c r="IUI163" s="20"/>
      <c r="IUJ163" s="20"/>
      <c r="IUK163" s="20"/>
      <c r="IUL163" s="20"/>
      <c r="IUM163" s="21"/>
      <c r="IUN163" s="21"/>
      <c r="IUO163" s="7"/>
      <c r="IUP163" s="7"/>
      <c r="IUQ163" s="21"/>
      <c r="IUR163" s="20"/>
      <c r="IUS163" s="20"/>
      <c r="IUT163" s="20"/>
      <c r="IUU163" s="21"/>
      <c r="IUV163" s="21"/>
      <c r="IUW163" s="21"/>
      <c r="IUX163" s="21"/>
      <c r="IUY163" s="21"/>
      <c r="IUZ163" s="20"/>
      <c r="IVA163" s="20"/>
      <c r="IVB163" s="20"/>
      <c r="IVC163" s="20"/>
      <c r="IVD163" s="21"/>
      <c r="IVE163" s="21"/>
      <c r="IVF163" s="7"/>
      <c r="IVG163" s="7"/>
      <c r="IVH163" s="21"/>
      <c r="IVI163" s="20"/>
      <c r="IVJ163" s="20"/>
      <c r="IVK163" s="20"/>
      <c r="IVL163" s="21"/>
      <c r="IVM163" s="21"/>
      <c r="IVN163" s="21"/>
      <c r="IVO163" s="21"/>
      <c r="IVP163" s="21"/>
      <c r="IVQ163" s="20"/>
      <c r="IVR163" s="20"/>
      <c r="IVS163" s="20"/>
      <c r="IVT163" s="20"/>
      <c r="IVU163" s="21"/>
      <c r="IVV163" s="21"/>
      <c r="IVW163" s="7"/>
      <c r="IVX163" s="7"/>
      <c r="IVY163" s="21"/>
      <c r="IVZ163" s="20"/>
      <c r="IWA163" s="20"/>
      <c r="IWB163" s="20"/>
      <c r="IWC163" s="21"/>
      <c r="IWD163" s="21"/>
      <c r="IWE163" s="21"/>
      <c r="IWF163" s="21"/>
      <c r="IWG163" s="21"/>
      <c r="IWH163" s="20"/>
      <c r="IWI163" s="20"/>
      <c r="IWJ163" s="20"/>
      <c r="IWK163" s="20"/>
      <c r="IWL163" s="21"/>
      <c r="IWM163" s="21"/>
      <c r="IWN163" s="7"/>
      <c r="IWO163" s="7"/>
      <c r="IWP163" s="21"/>
      <c r="IWQ163" s="20"/>
      <c r="IWR163" s="20"/>
      <c r="IWS163" s="20"/>
      <c r="IWT163" s="21"/>
      <c r="IWU163" s="21"/>
      <c r="IWV163" s="21"/>
      <c r="IWW163" s="21"/>
      <c r="IWX163" s="21"/>
      <c r="IWY163" s="20"/>
      <c r="IWZ163" s="20"/>
      <c r="IXA163" s="20"/>
      <c r="IXB163" s="20"/>
      <c r="IXC163" s="21"/>
      <c r="IXD163" s="21"/>
      <c r="IXE163" s="7"/>
      <c r="IXF163" s="7"/>
      <c r="IXG163" s="21"/>
      <c r="IXH163" s="20"/>
      <c r="IXI163" s="20"/>
      <c r="IXJ163" s="20"/>
      <c r="IXK163" s="21"/>
      <c r="IXL163" s="21"/>
      <c r="IXM163" s="21"/>
      <c r="IXN163" s="21"/>
      <c r="IXO163" s="21"/>
      <c r="IXP163" s="20"/>
      <c r="IXQ163" s="20"/>
      <c r="IXR163" s="20"/>
      <c r="IXS163" s="20"/>
      <c r="IXT163" s="21"/>
      <c r="IXU163" s="21"/>
      <c r="IXV163" s="7"/>
      <c r="IXW163" s="7"/>
      <c r="IXX163" s="21"/>
      <c r="IXY163" s="20"/>
      <c r="IXZ163" s="20"/>
      <c r="IYA163" s="20"/>
      <c r="IYB163" s="21"/>
      <c r="IYC163" s="21"/>
      <c r="IYD163" s="21"/>
      <c r="IYE163" s="21"/>
      <c r="IYF163" s="21"/>
      <c r="IYG163" s="20"/>
      <c r="IYH163" s="20"/>
      <c r="IYI163" s="20"/>
      <c r="IYJ163" s="20"/>
      <c r="IYK163" s="21"/>
      <c r="IYL163" s="21"/>
      <c r="IYM163" s="7"/>
      <c r="IYN163" s="7"/>
      <c r="IYO163" s="21"/>
      <c r="IYP163" s="20"/>
      <c r="IYQ163" s="20"/>
      <c r="IYR163" s="20"/>
      <c r="IYS163" s="21"/>
      <c r="IYT163" s="21"/>
      <c r="IYU163" s="21"/>
      <c r="IYV163" s="21"/>
      <c r="IYW163" s="21"/>
      <c r="IYX163" s="20"/>
      <c r="IYY163" s="20"/>
      <c r="IYZ163" s="20"/>
      <c r="IZA163" s="20"/>
      <c r="IZB163" s="21"/>
      <c r="IZC163" s="21"/>
      <c r="IZD163" s="7"/>
      <c r="IZE163" s="7"/>
      <c r="IZF163" s="21"/>
      <c r="IZG163" s="20"/>
      <c r="IZH163" s="20"/>
      <c r="IZI163" s="20"/>
      <c r="IZJ163" s="21"/>
      <c r="IZK163" s="21"/>
      <c r="IZL163" s="21"/>
      <c r="IZM163" s="21"/>
      <c r="IZN163" s="21"/>
      <c r="IZO163" s="20"/>
      <c r="IZP163" s="20"/>
      <c r="IZQ163" s="20"/>
      <c r="IZR163" s="20"/>
      <c r="IZS163" s="21"/>
      <c r="IZT163" s="21"/>
      <c r="IZU163" s="7"/>
      <c r="IZV163" s="7"/>
      <c r="IZW163" s="21"/>
      <c r="IZX163" s="20"/>
      <c r="IZY163" s="20"/>
      <c r="IZZ163" s="20"/>
      <c r="JAA163" s="21"/>
      <c r="JAB163" s="21"/>
      <c r="JAC163" s="21"/>
      <c r="JAD163" s="21"/>
      <c r="JAE163" s="21"/>
      <c r="JAF163" s="20"/>
      <c r="JAG163" s="20"/>
      <c r="JAH163" s="20"/>
      <c r="JAI163" s="20"/>
      <c r="JAJ163" s="21"/>
      <c r="JAK163" s="21"/>
      <c r="JAL163" s="7"/>
      <c r="JAM163" s="7"/>
      <c r="JAN163" s="21"/>
      <c r="JAO163" s="20"/>
      <c r="JAP163" s="20"/>
      <c r="JAQ163" s="20"/>
      <c r="JAR163" s="21"/>
      <c r="JAS163" s="21"/>
      <c r="JAT163" s="21"/>
      <c r="JAU163" s="21"/>
      <c r="JAV163" s="21"/>
      <c r="JAW163" s="20"/>
      <c r="JAX163" s="20"/>
      <c r="JAY163" s="20"/>
      <c r="JAZ163" s="20"/>
      <c r="JBA163" s="21"/>
      <c r="JBB163" s="21"/>
      <c r="JBC163" s="7"/>
      <c r="JBD163" s="7"/>
      <c r="JBE163" s="21"/>
      <c r="JBF163" s="20"/>
      <c r="JBG163" s="20"/>
      <c r="JBH163" s="20"/>
      <c r="JBI163" s="21"/>
      <c r="JBJ163" s="21"/>
      <c r="JBK163" s="21"/>
      <c r="JBL163" s="21"/>
      <c r="JBM163" s="21"/>
      <c r="JBN163" s="20"/>
      <c r="JBO163" s="20"/>
      <c r="JBP163" s="20"/>
      <c r="JBQ163" s="20"/>
      <c r="JBR163" s="21"/>
      <c r="JBS163" s="21"/>
      <c r="JBT163" s="7"/>
      <c r="JBU163" s="7"/>
      <c r="JBV163" s="21"/>
      <c r="JBW163" s="20"/>
      <c r="JBX163" s="20"/>
      <c r="JBY163" s="20"/>
      <c r="JBZ163" s="21"/>
      <c r="JCA163" s="21"/>
      <c r="JCB163" s="21"/>
      <c r="JCC163" s="21"/>
      <c r="JCD163" s="21"/>
      <c r="JCE163" s="20"/>
      <c r="JCF163" s="20"/>
      <c r="JCG163" s="20"/>
      <c r="JCH163" s="20"/>
      <c r="JCI163" s="21"/>
      <c r="JCJ163" s="21"/>
      <c r="JCK163" s="7"/>
      <c r="JCL163" s="7"/>
      <c r="JCM163" s="21"/>
      <c r="JCN163" s="20"/>
      <c r="JCO163" s="20"/>
      <c r="JCP163" s="20"/>
      <c r="JCQ163" s="21"/>
      <c r="JCR163" s="21"/>
      <c r="JCS163" s="21"/>
      <c r="JCT163" s="21"/>
      <c r="JCU163" s="21"/>
      <c r="JCV163" s="20"/>
      <c r="JCW163" s="20"/>
      <c r="JCX163" s="20"/>
      <c r="JCY163" s="20"/>
      <c r="JCZ163" s="21"/>
      <c r="JDA163" s="21"/>
      <c r="JDB163" s="7"/>
      <c r="JDC163" s="7"/>
      <c r="JDD163" s="21"/>
      <c r="JDE163" s="20"/>
      <c r="JDF163" s="20"/>
      <c r="JDG163" s="20"/>
      <c r="JDH163" s="21"/>
      <c r="JDI163" s="21"/>
      <c r="JDJ163" s="21"/>
      <c r="JDK163" s="21"/>
      <c r="JDL163" s="21"/>
      <c r="JDM163" s="20"/>
      <c r="JDN163" s="20"/>
      <c r="JDO163" s="20"/>
      <c r="JDP163" s="20"/>
      <c r="JDQ163" s="21"/>
      <c r="JDR163" s="21"/>
      <c r="JDS163" s="7"/>
      <c r="JDT163" s="7"/>
      <c r="JDU163" s="21"/>
      <c r="JDV163" s="20"/>
      <c r="JDW163" s="20"/>
      <c r="JDX163" s="20"/>
      <c r="JDY163" s="21"/>
      <c r="JDZ163" s="21"/>
      <c r="JEA163" s="21"/>
      <c r="JEB163" s="21"/>
      <c r="JEC163" s="21"/>
      <c r="JED163" s="20"/>
      <c r="JEE163" s="20"/>
      <c r="JEF163" s="20"/>
      <c r="JEG163" s="20"/>
      <c r="JEH163" s="21"/>
      <c r="JEI163" s="21"/>
      <c r="JEJ163" s="7"/>
      <c r="JEK163" s="7"/>
      <c r="JEL163" s="21"/>
      <c r="JEM163" s="20"/>
      <c r="JEN163" s="20"/>
      <c r="JEO163" s="20"/>
      <c r="JEP163" s="21"/>
      <c r="JEQ163" s="21"/>
      <c r="JER163" s="21"/>
      <c r="JES163" s="21"/>
      <c r="JET163" s="21"/>
      <c r="JEU163" s="20"/>
      <c r="JEV163" s="20"/>
      <c r="JEW163" s="20"/>
      <c r="JEX163" s="20"/>
      <c r="JEY163" s="21"/>
      <c r="JEZ163" s="21"/>
      <c r="JFA163" s="7"/>
      <c r="JFB163" s="7"/>
      <c r="JFC163" s="21"/>
      <c r="JFD163" s="20"/>
      <c r="JFE163" s="20"/>
      <c r="JFF163" s="20"/>
      <c r="JFG163" s="21"/>
      <c r="JFH163" s="21"/>
      <c r="JFI163" s="21"/>
      <c r="JFJ163" s="21"/>
      <c r="JFK163" s="21"/>
      <c r="JFL163" s="20"/>
      <c r="JFM163" s="20"/>
      <c r="JFN163" s="20"/>
      <c r="JFO163" s="20"/>
      <c r="JFP163" s="21"/>
      <c r="JFQ163" s="21"/>
      <c r="JFR163" s="7"/>
      <c r="JFS163" s="7"/>
      <c r="JFT163" s="21"/>
      <c r="JFU163" s="20"/>
      <c r="JFV163" s="20"/>
      <c r="JFW163" s="20"/>
      <c r="JFX163" s="21"/>
      <c r="JFY163" s="21"/>
      <c r="JFZ163" s="21"/>
      <c r="JGA163" s="21"/>
      <c r="JGB163" s="21"/>
      <c r="JGC163" s="20"/>
      <c r="JGD163" s="20"/>
      <c r="JGE163" s="20"/>
      <c r="JGF163" s="20"/>
      <c r="JGG163" s="21"/>
      <c r="JGH163" s="21"/>
      <c r="JGI163" s="7"/>
      <c r="JGJ163" s="7"/>
      <c r="JGK163" s="21"/>
      <c r="JGL163" s="20"/>
      <c r="JGM163" s="20"/>
      <c r="JGN163" s="20"/>
      <c r="JGO163" s="21"/>
      <c r="JGP163" s="21"/>
      <c r="JGQ163" s="21"/>
      <c r="JGR163" s="21"/>
      <c r="JGS163" s="21"/>
      <c r="JGT163" s="20"/>
      <c r="JGU163" s="20"/>
      <c r="JGV163" s="20"/>
      <c r="JGW163" s="20"/>
      <c r="JGX163" s="21"/>
      <c r="JGY163" s="21"/>
      <c r="JGZ163" s="7"/>
      <c r="JHA163" s="7"/>
      <c r="JHB163" s="21"/>
      <c r="JHC163" s="20"/>
      <c r="JHD163" s="20"/>
      <c r="JHE163" s="20"/>
      <c r="JHF163" s="21"/>
      <c r="JHG163" s="21"/>
      <c r="JHH163" s="21"/>
      <c r="JHI163" s="21"/>
      <c r="JHJ163" s="21"/>
      <c r="JHK163" s="20"/>
      <c r="JHL163" s="20"/>
      <c r="JHM163" s="20"/>
      <c r="JHN163" s="20"/>
      <c r="JHO163" s="21"/>
      <c r="JHP163" s="21"/>
      <c r="JHQ163" s="7"/>
      <c r="JHR163" s="7"/>
      <c r="JHS163" s="21"/>
      <c r="JHT163" s="20"/>
      <c r="JHU163" s="20"/>
      <c r="JHV163" s="20"/>
      <c r="JHW163" s="21"/>
      <c r="JHX163" s="21"/>
      <c r="JHY163" s="21"/>
      <c r="JHZ163" s="21"/>
      <c r="JIA163" s="21"/>
      <c r="JIB163" s="20"/>
      <c r="JIC163" s="20"/>
      <c r="JID163" s="20"/>
      <c r="JIE163" s="20"/>
      <c r="JIF163" s="21"/>
      <c r="JIG163" s="21"/>
      <c r="JIH163" s="7"/>
      <c r="JII163" s="7"/>
      <c r="JIJ163" s="21"/>
      <c r="JIK163" s="20"/>
      <c r="JIL163" s="20"/>
      <c r="JIM163" s="20"/>
      <c r="JIN163" s="21"/>
      <c r="JIO163" s="21"/>
      <c r="JIP163" s="21"/>
      <c r="JIQ163" s="21"/>
      <c r="JIR163" s="21"/>
      <c r="JIS163" s="20"/>
      <c r="JIT163" s="20"/>
      <c r="JIU163" s="20"/>
      <c r="JIV163" s="20"/>
      <c r="JIW163" s="21"/>
      <c r="JIX163" s="21"/>
      <c r="JIY163" s="7"/>
      <c r="JIZ163" s="7"/>
      <c r="JJA163" s="21"/>
      <c r="JJB163" s="20"/>
      <c r="JJC163" s="20"/>
      <c r="JJD163" s="20"/>
      <c r="JJE163" s="21"/>
      <c r="JJF163" s="21"/>
      <c r="JJG163" s="21"/>
      <c r="JJH163" s="21"/>
      <c r="JJI163" s="21"/>
      <c r="JJJ163" s="20"/>
      <c r="JJK163" s="20"/>
      <c r="JJL163" s="20"/>
      <c r="JJM163" s="20"/>
      <c r="JJN163" s="21"/>
      <c r="JJO163" s="21"/>
      <c r="JJP163" s="7"/>
      <c r="JJQ163" s="7"/>
      <c r="JJR163" s="21"/>
      <c r="JJS163" s="20"/>
      <c r="JJT163" s="20"/>
      <c r="JJU163" s="20"/>
      <c r="JJV163" s="21"/>
      <c r="JJW163" s="21"/>
      <c r="JJX163" s="21"/>
      <c r="JJY163" s="21"/>
      <c r="JJZ163" s="21"/>
      <c r="JKA163" s="20"/>
      <c r="JKB163" s="20"/>
      <c r="JKC163" s="20"/>
      <c r="JKD163" s="20"/>
      <c r="JKE163" s="21"/>
      <c r="JKF163" s="21"/>
      <c r="JKG163" s="7"/>
      <c r="JKH163" s="7"/>
      <c r="JKI163" s="21"/>
      <c r="JKJ163" s="20"/>
      <c r="JKK163" s="20"/>
      <c r="JKL163" s="20"/>
      <c r="JKM163" s="21"/>
      <c r="JKN163" s="21"/>
      <c r="JKO163" s="21"/>
      <c r="JKP163" s="21"/>
      <c r="JKQ163" s="21"/>
      <c r="JKR163" s="20"/>
      <c r="JKS163" s="20"/>
      <c r="JKT163" s="20"/>
      <c r="JKU163" s="20"/>
      <c r="JKV163" s="21"/>
      <c r="JKW163" s="21"/>
      <c r="JKX163" s="7"/>
      <c r="JKY163" s="7"/>
      <c r="JKZ163" s="21"/>
      <c r="JLA163" s="20"/>
      <c r="JLB163" s="20"/>
      <c r="JLC163" s="20"/>
      <c r="JLD163" s="21"/>
      <c r="JLE163" s="21"/>
      <c r="JLF163" s="21"/>
      <c r="JLG163" s="21"/>
      <c r="JLH163" s="21"/>
      <c r="JLI163" s="20"/>
      <c r="JLJ163" s="20"/>
      <c r="JLK163" s="20"/>
      <c r="JLL163" s="20"/>
      <c r="JLM163" s="21"/>
      <c r="JLN163" s="21"/>
      <c r="JLO163" s="7"/>
      <c r="JLP163" s="7"/>
      <c r="JLQ163" s="21"/>
      <c r="JLR163" s="20"/>
      <c r="JLS163" s="20"/>
      <c r="JLT163" s="20"/>
      <c r="JLU163" s="21"/>
      <c r="JLV163" s="21"/>
      <c r="JLW163" s="21"/>
      <c r="JLX163" s="21"/>
      <c r="JLY163" s="21"/>
      <c r="JLZ163" s="20"/>
      <c r="JMA163" s="20"/>
      <c r="JMB163" s="20"/>
      <c r="JMC163" s="20"/>
      <c r="JMD163" s="21"/>
      <c r="JME163" s="21"/>
      <c r="JMF163" s="7"/>
      <c r="JMG163" s="7"/>
      <c r="JMH163" s="21"/>
      <c r="JMI163" s="20"/>
      <c r="JMJ163" s="20"/>
      <c r="JMK163" s="20"/>
      <c r="JML163" s="21"/>
      <c r="JMM163" s="21"/>
      <c r="JMN163" s="21"/>
      <c r="JMO163" s="21"/>
      <c r="JMP163" s="21"/>
      <c r="JMQ163" s="20"/>
      <c r="JMR163" s="20"/>
      <c r="JMS163" s="20"/>
      <c r="JMT163" s="20"/>
      <c r="JMU163" s="21"/>
      <c r="JMV163" s="21"/>
      <c r="JMW163" s="7"/>
      <c r="JMX163" s="7"/>
      <c r="JMY163" s="21"/>
      <c r="JMZ163" s="20"/>
      <c r="JNA163" s="20"/>
      <c r="JNB163" s="20"/>
      <c r="JNC163" s="21"/>
      <c r="JND163" s="21"/>
      <c r="JNE163" s="21"/>
      <c r="JNF163" s="21"/>
      <c r="JNG163" s="21"/>
      <c r="JNH163" s="20"/>
      <c r="JNI163" s="20"/>
      <c r="JNJ163" s="20"/>
      <c r="JNK163" s="20"/>
      <c r="JNL163" s="21"/>
      <c r="JNM163" s="21"/>
      <c r="JNN163" s="7"/>
      <c r="JNO163" s="7"/>
      <c r="JNP163" s="21"/>
      <c r="JNQ163" s="20"/>
      <c r="JNR163" s="20"/>
      <c r="JNS163" s="20"/>
      <c r="JNT163" s="21"/>
      <c r="JNU163" s="21"/>
      <c r="JNV163" s="21"/>
      <c r="JNW163" s="21"/>
      <c r="JNX163" s="21"/>
      <c r="JNY163" s="20"/>
      <c r="JNZ163" s="20"/>
      <c r="JOA163" s="20"/>
      <c r="JOB163" s="20"/>
      <c r="JOC163" s="21"/>
      <c r="JOD163" s="21"/>
      <c r="JOE163" s="7"/>
      <c r="JOF163" s="7"/>
      <c r="JOG163" s="21"/>
      <c r="JOH163" s="20"/>
      <c r="JOI163" s="20"/>
      <c r="JOJ163" s="20"/>
      <c r="JOK163" s="21"/>
      <c r="JOL163" s="21"/>
      <c r="JOM163" s="21"/>
      <c r="JON163" s="21"/>
      <c r="JOO163" s="21"/>
      <c r="JOP163" s="20"/>
      <c r="JOQ163" s="20"/>
      <c r="JOR163" s="20"/>
      <c r="JOS163" s="20"/>
      <c r="JOT163" s="21"/>
      <c r="JOU163" s="21"/>
      <c r="JOV163" s="7"/>
      <c r="JOW163" s="7"/>
      <c r="JOX163" s="21"/>
      <c r="JOY163" s="20"/>
      <c r="JOZ163" s="20"/>
      <c r="JPA163" s="20"/>
      <c r="JPB163" s="21"/>
      <c r="JPC163" s="21"/>
      <c r="JPD163" s="21"/>
      <c r="JPE163" s="21"/>
      <c r="JPF163" s="21"/>
      <c r="JPG163" s="20"/>
      <c r="JPH163" s="20"/>
      <c r="JPI163" s="20"/>
      <c r="JPJ163" s="20"/>
      <c r="JPK163" s="21"/>
      <c r="JPL163" s="21"/>
      <c r="JPM163" s="7"/>
      <c r="JPN163" s="7"/>
      <c r="JPO163" s="21"/>
      <c r="JPP163" s="20"/>
      <c r="JPQ163" s="20"/>
      <c r="JPR163" s="20"/>
      <c r="JPS163" s="21"/>
      <c r="JPT163" s="21"/>
      <c r="JPU163" s="21"/>
      <c r="JPV163" s="21"/>
      <c r="JPW163" s="21"/>
      <c r="JPX163" s="20"/>
      <c r="JPY163" s="20"/>
      <c r="JPZ163" s="20"/>
      <c r="JQA163" s="20"/>
      <c r="JQB163" s="21"/>
      <c r="JQC163" s="21"/>
      <c r="JQD163" s="7"/>
      <c r="JQE163" s="7"/>
      <c r="JQF163" s="21"/>
      <c r="JQG163" s="20"/>
      <c r="JQH163" s="20"/>
      <c r="JQI163" s="20"/>
      <c r="JQJ163" s="21"/>
      <c r="JQK163" s="21"/>
      <c r="JQL163" s="21"/>
      <c r="JQM163" s="21"/>
      <c r="JQN163" s="21"/>
      <c r="JQO163" s="20"/>
      <c r="JQP163" s="20"/>
      <c r="JQQ163" s="20"/>
      <c r="JQR163" s="20"/>
      <c r="JQS163" s="21"/>
      <c r="JQT163" s="21"/>
      <c r="JQU163" s="7"/>
      <c r="JQV163" s="7"/>
      <c r="JQW163" s="21"/>
      <c r="JQX163" s="20"/>
      <c r="JQY163" s="20"/>
      <c r="JQZ163" s="20"/>
      <c r="JRA163" s="21"/>
      <c r="JRB163" s="21"/>
      <c r="JRC163" s="21"/>
      <c r="JRD163" s="21"/>
      <c r="JRE163" s="21"/>
      <c r="JRF163" s="20"/>
      <c r="JRG163" s="20"/>
      <c r="JRH163" s="20"/>
      <c r="JRI163" s="20"/>
      <c r="JRJ163" s="21"/>
      <c r="JRK163" s="21"/>
      <c r="JRL163" s="7"/>
      <c r="JRM163" s="7"/>
      <c r="JRN163" s="21"/>
      <c r="JRO163" s="20"/>
      <c r="JRP163" s="20"/>
      <c r="JRQ163" s="20"/>
      <c r="JRR163" s="21"/>
      <c r="JRS163" s="21"/>
      <c r="JRT163" s="21"/>
      <c r="JRU163" s="21"/>
      <c r="JRV163" s="21"/>
      <c r="JRW163" s="20"/>
      <c r="JRX163" s="20"/>
      <c r="JRY163" s="20"/>
      <c r="JRZ163" s="20"/>
      <c r="JSA163" s="21"/>
      <c r="JSB163" s="21"/>
      <c r="JSC163" s="7"/>
      <c r="JSD163" s="7"/>
      <c r="JSE163" s="21"/>
      <c r="JSF163" s="20"/>
      <c r="JSG163" s="20"/>
      <c r="JSH163" s="20"/>
      <c r="JSI163" s="21"/>
      <c r="JSJ163" s="21"/>
      <c r="JSK163" s="21"/>
      <c r="JSL163" s="21"/>
      <c r="JSM163" s="21"/>
      <c r="JSN163" s="20"/>
      <c r="JSO163" s="20"/>
      <c r="JSP163" s="20"/>
      <c r="JSQ163" s="20"/>
      <c r="JSR163" s="21"/>
      <c r="JSS163" s="21"/>
      <c r="JST163" s="7"/>
      <c r="JSU163" s="7"/>
      <c r="JSV163" s="21"/>
      <c r="JSW163" s="20"/>
      <c r="JSX163" s="20"/>
      <c r="JSY163" s="20"/>
      <c r="JSZ163" s="21"/>
      <c r="JTA163" s="21"/>
      <c r="JTB163" s="21"/>
      <c r="JTC163" s="21"/>
      <c r="JTD163" s="21"/>
      <c r="JTE163" s="20"/>
      <c r="JTF163" s="20"/>
      <c r="JTG163" s="20"/>
      <c r="JTH163" s="20"/>
      <c r="JTI163" s="21"/>
      <c r="JTJ163" s="21"/>
      <c r="JTK163" s="7"/>
      <c r="JTL163" s="7"/>
      <c r="JTM163" s="21"/>
      <c r="JTN163" s="20"/>
      <c r="JTO163" s="20"/>
      <c r="JTP163" s="20"/>
      <c r="JTQ163" s="21"/>
      <c r="JTR163" s="21"/>
      <c r="JTS163" s="21"/>
      <c r="JTT163" s="21"/>
      <c r="JTU163" s="21"/>
      <c r="JTV163" s="20"/>
      <c r="JTW163" s="20"/>
      <c r="JTX163" s="20"/>
      <c r="JTY163" s="20"/>
      <c r="JTZ163" s="21"/>
      <c r="JUA163" s="21"/>
      <c r="JUB163" s="7"/>
      <c r="JUC163" s="7"/>
      <c r="JUD163" s="21"/>
      <c r="JUE163" s="20"/>
      <c r="JUF163" s="20"/>
      <c r="JUG163" s="20"/>
      <c r="JUH163" s="21"/>
      <c r="JUI163" s="21"/>
      <c r="JUJ163" s="21"/>
      <c r="JUK163" s="21"/>
      <c r="JUL163" s="21"/>
      <c r="JUM163" s="20"/>
      <c r="JUN163" s="20"/>
      <c r="JUO163" s="20"/>
      <c r="JUP163" s="20"/>
      <c r="JUQ163" s="21"/>
      <c r="JUR163" s="21"/>
      <c r="JUS163" s="7"/>
      <c r="JUT163" s="7"/>
      <c r="JUU163" s="21"/>
      <c r="JUV163" s="20"/>
      <c r="JUW163" s="20"/>
      <c r="JUX163" s="20"/>
      <c r="JUY163" s="21"/>
      <c r="JUZ163" s="21"/>
      <c r="JVA163" s="21"/>
      <c r="JVB163" s="21"/>
      <c r="JVC163" s="21"/>
      <c r="JVD163" s="20"/>
      <c r="JVE163" s="20"/>
      <c r="JVF163" s="20"/>
      <c r="JVG163" s="20"/>
      <c r="JVH163" s="21"/>
      <c r="JVI163" s="21"/>
      <c r="JVJ163" s="7"/>
      <c r="JVK163" s="7"/>
      <c r="JVL163" s="21"/>
      <c r="JVM163" s="20"/>
      <c r="JVN163" s="20"/>
      <c r="JVO163" s="20"/>
      <c r="JVP163" s="21"/>
      <c r="JVQ163" s="21"/>
      <c r="JVR163" s="21"/>
      <c r="JVS163" s="21"/>
      <c r="JVT163" s="21"/>
      <c r="JVU163" s="20"/>
      <c r="JVV163" s="20"/>
      <c r="JVW163" s="20"/>
      <c r="JVX163" s="20"/>
      <c r="JVY163" s="21"/>
      <c r="JVZ163" s="21"/>
      <c r="JWA163" s="7"/>
      <c r="JWB163" s="7"/>
      <c r="JWC163" s="21"/>
      <c r="JWD163" s="20"/>
      <c r="JWE163" s="20"/>
      <c r="JWF163" s="20"/>
      <c r="JWG163" s="21"/>
      <c r="JWH163" s="21"/>
      <c r="JWI163" s="21"/>
      <c r="JWJ163" s="21"/>
      <c r="JWK163" s="21"/>
      <c r="JWL163" s="20"/>
      <c r="JWM163" s="20"/>
      <c r="JWN163" s="20"/>
      <c r="JWO163" s="20"/>
      <c r="JWP163" s="21"/>
      <c r="JWQ163" s="21"/>
      <c r="JWR163" s="7"/>
      <c r="JWS163" s="7"/>
      <c r="JWT163" s="21"/>
      <c r="JWU163" s="20"/>
      <c r="JWV163" s="20"/>
      <c r="JWW163" s="20"/>
      <c r="JWX163" s="21"/>
      <c r="JWY163" s="21"/>
      <c r="JWZ163" s="21"/>
      <c r="JXA163" s="21"/>
      <c r="JXB163" s="21"/>
      <c r="JXC163" s="20"/>
      <c r="JXD163" s="20"/>
      <c r="JXE163" s="20"/>
      <c r="JXF163" s="20"/>
      <c r="JXG163" s="21"/>
      <c r="JXH163" s="21"/>
      <c r="JXI163" s="7"/>
      <c r="JXJ163" s="7"/>
      <c r="JXK163" s="21"/>
      <c r="JXL163" s="20"/>
      <c r="JXM163" s="20"/>
      <c r="JXN163" s="20"/>
      <c r="JXO163" s="21"/>
      <c r="JXP163" s="21"/>
      <c r="JXQ163" s="21"/>
      <c r="JXR163" s="21"/>
      <c r="JXS163" s="21"/>
      <c r="JXT163" s="20"/>
      <c r="JXU163" s="20"/>
      <c r="JXV163" s="20"/>
      <c r="JXW163" s="20"/>
      <c r="JXX163" s="21"/>
      <c r="JXY163" s="21"/>
      <c r="JXZ163" s="7"/>
      <c r="JYA163" s="7"/>
      <c r="JYB163" s="21"/>
      <c r="JYC163" s="20"/>
      <c r="JYD163" s="20"/>
      <c r="JYE163" s="20"/>
      <c r="JYF163" s="21"/>
      <c r="JYG163" s="21"/>
      <c r="JYH163" s="21"/>
      <c r="JYI163" s="21"/>
      <c r="JYJ163" s="21"/>
      <c r="JYK163" s="20"/>
      <c r="JYL163" s="20"/>
      <c r="JYM163" s="20"/>
      <c r="JYN163" s="20"/>
      <c r="JYO163" s="21"/>
      <c r="JYP163" s="21"/>
      <c r="JYQ163" s="7"/>
      <c r="JYR163" s="7"/>
      <c r="JYS163" s="21"/>
      <c r="JYT163" s="20"/>
      <c r="JYU163" s="20"/>
      <c r="JYV163" s="20"/>
      <c r="JYW163" s="21"/>
      <c r="JYX163" s="21"/>
      <c r="JYY163" s="21"/>
      <c r="JYZ163" s="21"/>
      <c r="JZA163" s="21"/>
      <c r="JZB163" s="20"/>
      <c r="JZC163" s="20"/>
      <c r="JZD163" s="20"/>
      <c r="JZE163" s="20"/>
      <c r="JZF163" s="21"/>
      <c r="JZG163" s="21"/>
      <c r="JZH163" s="7"/>
      <c r="JZI163" s="7"/>
      <c r="JZJ163" s="21"/>
      <c r="JZK163" s="20"/>
      <c r="JZL163" s="20"/>
      <c r="JZM163" s="20"/>
      <c r="JZN163" s="21"/>
      <c r="JZO163" s="21"/>
      <c r="JZP163" s="21"/>
      <c r="JZQ163" s="21"/>
      <c r="JZR163" s="21"/>
      <c r="JZS163" s="20"/>
      <c r="JZT163" s="20"/>
      <c r="JZU163" s="20"/>
      <c r="JZV163" s="20"/>
      <c r="JZW163" s="21"/>
      <c r="JZX163" s="21"/>
      <c r="JZY163" s="7"/>
      <c r="JZZ163" s="7"/>
      <c r="KAA163" s="21"/>
      <c r="KAB163" s="20"/>
      <c r="KAC163" s="20"/>
      <c r="KAD163" s="20"/>
      <c r="KAE163" s="21"/>
      <c r="KAF163" s="21"/>
      <c r="KAG163" s="21"/>
      <c r="KAH163" s="21"/>
      <c r="KAI163" s="21"/>
      <c r="KAJ163" s="20"/>
      <c r="KAK163" s="20"/>
      <c r="KAL163" s="20"/>
      <c r="KAM163" s="20"/>
      <c r="KAN163" s="21"/>
      <c r="KAO163" s="21"/>
      <c r="KAP163" s="7"/>
      <c r="KAQ163" s="7"/>
      <c r="KAR163" s="21"/>
      <c r="KAS163" s="20"/>
      <c r="KAT163" s="20"/>
      <c r="KAU163" s="20"/>
      <c r="KAV163" s="21"/>
      <c r="KAW163" s="21"/>
      <c r="KAX163" s="21"/>
      <c r="KAY163" s="21"/>
      <c r="KAZ163" s="21"/>
      <c r="KBA163" s="20"/>
      <c r="KBB163" s="20"/>
      <c r="KBC163" s="20"/>
      <c r="KBD163" s="20"/>
      <c r="KBE163" s="21"/>
      <c r="KBF163" s="21"/>
      <c r="KBG163" s="7"/>
      <c r="KBH163" s="7"/>
      <c r="KBI163" s="21"/>
      <c r="KBJ163" s="20"/>
      <c r="KBK163" s="20"/>
      <c r="KBL163" s="20"/>
      <c r="KBM163" s="21"/>
      <c r="KBN163" s="21"/>
      <c r="KBO163" s="21"/>
      <c r="KBP163" s="21"/>
      <c r="KBQ163" s="21"/>
      <c r="KBR163" s="20"/>
      <c r="KBS163" s="20"/>
      <c r="KBT163" s="20"/>
      <c r="KBU163" s="20"/>
      <c r="KBV163" s="21"/>
      <c r="KBW163" s="21"/>
      <c r="KBX163" s="7"/>
      <c r="KBY163" s="7"/>
      <c r="KBZ163" s="21"/>
      <c r="KCA163" s="20"/>
      <c r="KCB163" s="20"/>
      <c r="KCC163" s="20"/>
      <c r="KCD163" s="21"/>
      <c r="KCE163" s="21"/>
      <c r="KCF163" s="21"/>
      <c r="KCG163" s="21"/>
      <c r="KCH163" s="21"/>
      <c r="KCI163" s="20"/>
      <c r="KCJ163" s="20"/>
      <c r="KCK163" s="20"/>
      <c r="KCL163" s="20"/>
      <c r="KCM163" s="21"/>
      <c r="KCN163" s="21"/>
      <c r="KCO163" s="7"/>
      <c r="KCP163" s="7"/>
      <c r="KCQ163" s="21"/>
      <c r="KCR163" s="20"/>
      <c r="KCS163" s="20"/>
      <c r="KCT163" s="20"/>
      <c r="KCU163" s="21"/>
      <c r="KCV163" s="21"/>
      <c r="KCW163" s="21"/>
      <c r="KCX163" s="21"/>
      <c r="KCY163" s="21"/>
      <c r="KCZ163" s="20"/>
      <c r="KDA163" s="20"/>
      <c r="KDB163" s="20"/>
      <c r="KDC163" s="20"/>
      <c r="KDD163" s="21"/>
      <c r="KDE163" s="21"/>
      <c r="KDF163" s="7"/>
      <c r="KDG163" s="7"/>
      <c r="KDH163" s="21"/>
      <c r="KDI163" s="20"/>
      <c r="KDJ163" s="20"/>
      <c r="KDK163" s="20"/>
      <c r="KDL163" s="21"/>
      <c r="KDM163" s="21"/>
      <c r="KDN163" s="21"/>
      <c r="KDO163" s="21"/>
      <c r="KDP163" s="21"/>
      <c r="KDQ163" s="20"/>
      <c r="KDR163" s="20"/>
      <c r="KDS163" s="20"/>
      <c r="KDT163" s="20"/>
      <c r="KDU163" s="21"/>
      <c r="KDV163" s="21"/>
      <c r="KDW163" s="7"/>
      <c r="KDX163" s="7"/>
      <c r="KDY163" s="21"/>
      <c r="KDZ163" s="20"/>
      <c r="KEA163" s="20"/>
      <c r="KEB163" s="20"/>
      <c r="KEC163" s="21"/>
      <c r="KED163" s="21"/>
      <c r="KEE163" s="21"/>
      <c r="KEF163" s="21"/>
      <c r="KEG163" s="21"/>
      <c r="KEH163" s="20"/>
      <c r="KEI163" s="20"/>
      <c r="KEJ163" s="20"/>
      <c r="KEK163" s="20"/>
      <c r="KEL163" s="21"/>
      <c r="KEM163" s="21"/>
      <c r="KEN163" s="7"/>
      <c r="KEO163" s="7"/>
      <c r="KEP163" s="21"/>
      <c r="KEQ163" s="20"/>
      <c r="KER163" s="20"/>
      <c r="KES163" s="20"/>
      <c r="KET163" s="21"/>
      <c r="KEU163" s="21"/>
      <c r="KEV163" s="21"/>
      <c r="KEW163" s="21"/>
      <c r="KEX163" s="21"/>
      <c r="KEY163" s="20"/>
      <c r="KEZ163" s="20"/>
      <c r="KFA163" s="20"/>
      <c r="KFB163" s="20"/>
      <c r="KFC163" s="21"/>
      <c r="KFD163" s="21"/>
      <c r="KFE163" s="7"/>
      <c r="KFF163" s="7"/>
      <c r="KFG163" s="21"/>
      <c r="KFH163" s="20"/>
      <c r="KFI163" s="20"/>
      <c r="KFJ163" s="20"/>
      <c r="KFK163" s="21"/>
      <c r="KFL163" s="21"/>
      <c r="KFM163" s="21"/>
      <c r="KFN163" s="21"/>
      <c r="KFO163" s="21"/>
      <c r="KFP163" s="20"/>
      <c r="KFQ163" s="20"/>
      <c r="KFR163" s="20"/>
      <c r="KFS163" s="20"/>
      <c r="KFT163" s="21"/>
      <c r="KFU163" s="21"/>
      <c r="KFV163" s="7"/>
      <c r="KFW163" s="7"/>
      <c r="KFX163" s="21"/>
      <c r="KFY163" s="20"/>
      <c r="KFZ163" s="20"/>
      <c r="KGA163" s="20"/>
      <c r="KGB163" s="21"/>
      <c r="KGC163" s="21"/>
      <c r="KGD163" s="21"/>
      <c r="KGE163" s="21"/>
      <c r="KGF163" s="21"/>
      <c r="KGG163" s="20"/>
      <c r="KGH163" s="20"/>
      <c r="KGI163" s="20"/>
      <c r="KGJ163" s="20"/>
      <c r="KGK163" s="21"/>
      <c r="KGL163" s="21"/>
      <c r="KGM163" s="7"/>
      <c r="KGN163" s="7"/>
      <c r="KGO163" s="21"/>
      <c r="KGP163" s="20"/>
      <c r="KGQ163" s="20"/>
      <c r="KGR163" s="20"/>
      <c r="KGS163" s="21"/>
      <c r="KGT163" s="21"/>
      <c r="KGU163" s="21"/>
      <c r="KGV163" s="21"/>
      <c r="KGW163" s="21"/>
      <c r="KGX163" s="20"/>
      <c r="KGY163" s="20"/>
      <c r="KGZ163" s="20"/>
      <c r="KHA163" s="20"/>
      <c r="KHB163" s="21"/>
      <c r="KHC163" s="21"/>
      <c r="KHD163" s="7"/>
      <c r="KHE163" s="7"/>
      <c r="KHF163" s="21"/>
      <c r="KHG163" s="20"/>
      <c r="KHH163" s="20"/>
      <c r="KHI163" s="20"/>
      <c r="KHJ163" s="21"/>
      <c r="KHK163" s="21"/>
      <c r="KHL163" s="21"/>
      <c r="KHM163" s="21"/>
      <c r="KHN163" s="21"/>
      <c r="KHO163" s="20"/>
      <c r="KHP163" s="20"/>
      <c r="KHQ163" s="20"/>
      <c r="KHR163" s="20"/>
      <c r="KHS163" s="21"/>
      <c r="KHT163" s="21"/>
      <c r="KHU163" s="7"/>
      <c r="KHV163" s="7"/>
      <c r="KHW163" s="21"/>
      <c r="KHX163" s="20"/>
      <c r="KHY163" s="20"/>
      <c r="KHZ163" s="20"/>
      <c r="KIA163" s="21"/>
      <c r="KIB163" s="21"/>
      <c r="KIC163" s="21"/>
      <c r="KID163" s="21"/>
      <c r="KIE163" s="21"/>
      <c r="KIF163" s="20"/>
      <c r="KIG163" s="20"/>
      <c r="KIH163" s="20"/>
      <c r="KII163" s="20"/>
      <c r="KIJ163" s="21"/>
      <c r="KIK163" s="21"/>
      <c r="KIL163" s="7"/>
      <c r="KIM163" s="7"/>
      <c r="KIN163" s="21"/>
      <c r="KIO163" s="20"/>
      <c r="KIP163" s="20"/>
      <c r="KIQ163" s="20"/>
      <c r="KIR163" s="21"/>
      <c r="KIS163" s="21"/>
      <c r="KIT163" s="21"/>
      <c r="KIU163" s="21"/>
      <c r="KIV163" s="21"/>
      <c r="KIW163" s="20"/>
      <c r="KIX163" s="20"/>
      <c r="KIY163" s="20"/>
      <c r="KIZ163" s="20"/>
      <c r="KJA163" s="21"/>
      <c r="KJB163" s="21"/>
      <c r="KJC163" s="7"/>
      <c r="KJD163" s="7"/>
      <c r="KJE163" s="21"/>
      <c r="KJF163" s="20"/>
      <c r="KJG163" s="20"/>
      <c r="KJH163" s="20"/>
      <c r="KJI163" s="21"/>
      <c r="KJJ163" s="21"/>
      <c r="KJK163" s="21"/>
      <c r="KJL163" s="21"/>
      <c r="KJM163" s="21"/>
      <c r="KJN163" s="20"/>
      <c r="KJO163" s="20"/>
      <c r="KJP163" s="20"/>
      <c r="KJQ163" s="20"/>
      <c r="KJR163" s="21"/>
      <c r="KJS163" s="21"/>
      <c r="KJT163" s="7"/>
      <c r="KJU163" s="7"/>
      <c r="KJV163" s="21"/>
      <c r="KJW163" s="20"/>
      <c r="KJX163" s="20"/>
      <c r="KJY163" s="20"/>
      <c r="KJZ163" s="21"/>
      <c r="KKA163" s="21"/>
      <c r="KKB163" s="21"/>
      <c r="KKC163" s="21"/>
      <c r="KKD163" s="21"/>
      <c r="KKE163" s="20"/>
      <c r="KKF163" s="20"/>
      <c r="KKG163" s="20"/>
      <c r="KKH163" s="20"/>
      <c r="KKI163" s="21"/>
      <c r="KKJ163" s="21"/>
      <c r="KKK163" s="7"/>
      <c r="KKL163" s="7"/>
      <c r="KKM163" s="21"/>
      <c r="KKN163" s="20"/>
      <c r="KKO163" s="20"/>
      <c r="KKP163" s="20"/>
      <c r="KKQ163" s="21"/>
      <c r="KKR163" s="21"/>
      <c r="KKS163" s="21"/>
      <c r="KKT163" s="21"/>
      <c r="KKU163" s="21"/>
      <c r="KKV163" s="20"/>
      <c r="KKW163" s="20"/>
      <c r="KKX163" s="20"/>
      <c r="KKY163" s="20"/>
      <c r="KKZ163" s="21"/>
      <c r="KLA163" s="21"/>
      <c r="KLB163" s="7"/>
      <c r="KLC163" s="7"/>
      <c r="KLD163" s="21"/>
      <c r="KLE163" s="20"/>
      <c r="KLF163" s="20"/>
      <c r="KLG163" s="20"/>
      <c r="KLH163" s="21"/>
      <c r="KLI163" s="21"/>
      <c r="KLJ163" s="21"/>
      <c r="KLK163" s="21"/>
      <c r="KLL163" s="21"/>
      <c r="KLM163" s="20"/>
      <c r="KLN163" s="20"/>
      <c r="KLO163" s="20"/>
      <c r="KLP163" s="20"/>
      <c r="KLQ163" s="21"/>
      <c r="KLR163" s="21"/>
      <c r="KLS163" s="7"/>
      <c r="KLT163" s="7"/>
      <c r="KLU163" s="21"/>
      <c r="KLV163" s="20"/>
      <c r="KLW163" s="20"/>
      <c r="KLX163" s="20"/>
      <c r="KLY163" s="21"/>
      <c r="KLZ163" s="21"/>
      <c r="KMA163" s="21"/>
      <c r="KMB163" s="21"/>
      <c r="KMC163" s="21"/>
      <c r="KMD163" s="20"/>
      <c r="KME163" s="20"/>
      <c r="KMF163" s="20"/>
      <c r="KMG163" s="20"/>
      <c r="KMH163" s="21"/>
      <c r="KMI163" s="21"/>
      <c r="KMJ163" s="7"/>
      <c r="KMK163" s="7"/>
      <c r="KML163" s="21"/>
      <c r="KMM163" s="20"/>
      <c r="KMN163" s="20"/>
      <c r="KMO163" s="20"/>
      <c r="KMP163" s="21"/>
      <c r="KMQ163" s="21"/>
      <c r="KMR163" s="21"/>
      <c r="KMS163" s="21"/>
      <c r="KMT163" s="21"/>
      <c r="KMU163" s="20"/>
      <c r="KMV163" s="20"/>
      <c r="KMW163" s="20"/>
      <c r="KMX163" s="20"/>
      <c r="KMY163" s="21"/>
      <c r="KMZ163" s="21"/>
      <c r="KNA163" s="7"/>
      <c r="KNB163" s="7"/>
      <c r="KNC163" s="21"/>
      <c r="KND163" s="20"/>
      <c r="KNE163" s="20"/>
      <c r="KNF163" s="20"/>
      <c r="KNG163" s="21"/>
      <c r="KNH163" s="21"/>
      <c r="KNI163" s="21"/>
      <c r="KNJ163" s="21"/>
      <c r="KNK163" s="21"/>
      <c r="KNL163" s="20"/>
      <c r="KNM163" s="20"/>
      <c r="KNN163" s="20"/>
      <c r="KNO163" s="20"/>
      <c r="KNP163" s="21"/>
      <c r="KNQ163" s="21"/>
      <c r="KNR163" s="7"/>
      <c r="KNS163" s="7"/>
      <c r="KNT163" s="21"/>
      <c r="KNU163" s="20"/>
      <c r="KNV163" s="20"/>
      <c r="KNW163" s="20"/>
      <c r="KNX163" s="21"/>
      <c r="KNY163" s="21"/>
      <c r="KNZ163" s="21"/>
      <c r="KOA163" s="21"/>
      <c r="KOB163" s="21"/>
      <c r="KOC163" s="20"/>
      <c r="KOD163" s="20"/>
      <c r="KOE163" s="20"/>
      <c r="KOF163" s="20"/>
      <c r="KOG163" s="21"/>
      <c r="KOH163" s="21"/>
      <c r="KOI163" s="7"/>
      <c r="KOJ163" s="7"/>
      <c r="KOK163" s="21"/>
      <c r="KOL163" s="20"/>
      <c r="KOM163" s="20"/>
      <c r="KON163" s="20"/>
      <c r="KOO163" s="21"/>
      <c r="KOP163" s="21"/>
      <c r="KOQ163" s="21"/>
      <c r="KOR163" s="21"/>
      <c r="KOS163" s="21"/>
      <c r="KOT163" s="20"/>
      <c r="KOU163" s="20"/>
      <c r="KOV163" s="20"/>
      <c r="KOW163" s="20"/>
      <c r="KOX163" s="21"/>
      <c r="KOY163" s="21"/>
      <c r="KOZ163" s="7"/>
      <c r="KPA163" s="7"/>
      <c r="KPB163" s="21"/>
      <c r="KPC163" s="20"/>
      <c r="KPD163" s="20"/>
      <c r="KPE163" s="20"/>
      <c r="KPF163" s="21"/>
      <c r="KPG163" s="21"/>
      <c r="KPH163" s="21"/>
      <c r="KPI163" s="21"/>
      <c r="KPJ163" s="21"/>
      <c r="KPK163" s="20"/>
      <c r="KPL163" s="20"/>
      <c r="KPM163" s="20"/>
      <c r="KPN163" s="20"/>
      <c r="KPO163" s="21"/>
      <c r="KPP163" s="21"/>
      <c r="KPQ163" s="7"/>
      <c r="KPR163" s="7"/>
      <c r="KPS163" s="21"/>
      <c r="KPT163" s="20"/>
      <c r="KPU163" s="20"/>
      <c r="KPV163" s="20"/>
      <c r="KPW163" s="21"/>
      <c r="KPX163" s="21"/>
      <c r="KPY163" s="21"/>
      <c r="KPZ163" s="21"/>
      <c r="KQA163" s="21"/>
      <c r="KQB163" s="20"/>
      <c r="KQC163" s="20"/>
      <c r="KQD163" s="20"/>
      <c r="KQE163" s="20"/>
      <c r="KQF163" s="21"/>
      <c r="KQG163" s="21"/>
      <c r="KQH163" s="7"/>
      <c r="KQI163" s="7"/>
      <c r="KQJ163" s="21"/>
      <c r="KQK163" s="20"/>
      <c r="KQL163" s="20"/>
      <c r="KQM163" s="20"/>
      <c r="KQN163" s="21"/>
      <c r="KQO163" s="21"/>
      <c r="KQP163" s="21"/>
      <c r="KQQ163" s="21"/>
      <c r="KQR163" s="21"/>
      <c r="KQS163" s="20"/>
      <c r="KQT163" s="20"/>
      <c r="KQU163" s="20"/>
      <c r="KQV163" s="20"/>
      <c r="KQW163" s="21"/>
      <c r="KQX163" s="21"/>
      <c r="KQY163" s="7"/>
      <c r="KQZ163" s="7"/>
      <c r="KRA163" s="21"/>
      <c r="KRB163" s="20"/>
      <c r="KRC163" s="20"/>
      <c r="KRD163" s="20"/>
      <c r="KRE163" s="21"/>
      <c r="KRF163" s="21"/>
      <c r="KRG163" s="21"/>
      <c r="KRH163" s="21"/>
      <c r="KRI163" s="21"/>
      <c r="KRJ163" s="20"/>
      <c r="KRK163" s="20"/>
      <c r="KRL163" s="20"/>
      <c r="KRM163" s="20"/>
      <c r="KRN163" s="21"/>
      <c r="KRO163" s="21"/>
      <c r="KRP163" s="7"/>
      <c r="KRQ163" s="7"/>
      <c r="KRR163" s="21"/>
      <c r="KRS163" s="20"/>
      <c r="KRT163" s="20"/>
      <c r="KRU163" s="20"/>
      <c r="KRV163" s="21"/>
      <c r="KRW163" s="21"/>
      <c r="KRX163" s="21"/>
      <c r="KRY163" s="21"/>
      <c r="KRZ163" s="21"/>
      <c r="KSA163" s="20"/>
      <c r="KSB163" s="20"/>
      <c r="KSC163" s="20"/>
      <c r="KSD163" s="20"/>
      <c r="KSE163" s="21"/>
      <c r="KSF163" s="21"/>
      <c r="KSG163" s="7"/>
      <c r="KSH163" s="7"/>
      <c r="KSI163" s="21"/>
      <c r="KSJ163" s="20"/>
      <c r="KSK163" s="20"/>
      <c r="KSL163" s="20"/>
      <c r="KSM163" s="21"/>
      <c r="KSN163" s="21"/>
      <c r="KSO163" s="21"/>
      <c r="KSP163" s="21"/>
      <c r="KSQ163" s="21"/>
      <c r="KSR163" s="20"/>
      <c r="KSS163" s="20"/>
      <c r="KST163" s="20"/>
      <c r="KSU163" s="20"/>
      <c r="KSV163" s="21"/>
      <c r="KSW163" s="21"/>
      <c r="KSX163" s="7"/>
      <c r="KSY163" s="7"/>
      <c r="KSZ163" s="21"/>
      <c r="KTA163" s="20"/>
      <c r="KTB163" s="20"/>
      <c r="KTC163" s="20"/>
      <c r="KTD163" s="21"/>
      <c r="KTE163" s="21"/>
      <c r="KTF163" s="21"/>
      <c r="KTG163" s="21"/>
      <c r="KTH163" s="21"/>
      <c r="KTI163" s="20"/>
      <c r="KTJ163" s="20"/>
      <c r="KTK163" s="20"/>
      <c r="KTL163" s="20"/>
      <c r="KTM163" s="21"/>
      <c r="KTN163" s="21"/>
      <c r="KTO163" s="7"/>
      <c r="KTP163" s="7"/>
      <c r="KTQ163" s="21"/>
      <c r="KTR163" s="20"/>
      <c r="KTS163" s="20"/>
      <c r="KTT163" s="20"/>
      <c r="KTU163" s="21"/>
      <c r="KTV163" s="21"/>
      <c r="KTW163" s="21"/>
      <c r="KTX163" s="21"/>
      <c r="KTY163" s="21"/>
      <c r="KTZ163" s="20"/>
      <c r="KUA163" s="20"/>
      <c r="KUB163" s="20"/>
      <c r="KUC163" s="20"/>
      <c r="KUD163" s="21"/>
      <c r="KUE163" s="21"/>
      <c r="KUF163" s="7"/>
      <c r="KUG163" s="7"/>
      <c r="KUH163" s="21"/>
      <c r="KUI163" s="20"/>
      <c r="KUJ163" s="20"/>
      <c r="KUK163" s="20"/>
      <c r="KUL163" s="21"/>
      <c r="KUM163" s="21"/>
      <c r="KUN163" s="21"/>
      <c r="KUO163" s="21"/>
      <c r="KUP163" s="21"/>
      <c r="KUQ163" s="20"/>
      <c r="KUR163" s="20"/>
      <c r="KUS163" s="20"/>
      <c r="KUT163" s="20"/>
      <c r="KUU163" s="21"/>
      <c r="KUV163" s="21"/>
      <c r="KUW163" s="7"/>
      <c r="KUX163" s="7"/>
      <c r="KUY163" s="21"/>
      <c r="KUZ163" s="20"/>
      <c r="KVA163" s="20"/>
      <c r="KVB163" s="20"/>
      <c r="KVC163" s="21"/>
      <c r="KVD163" s="21"/>
      <c r="KVE163" s="21"/>
      <c r="KVF163" s="21"/>
      <c r="KVG163" s="21"/>
      <c r="KVH163" s="20"/>
      <c r="KVI163" s="20"/>
      <c r="KVJ163" s="20"/>
      <c r="KVK163" s="20"/>
      <c r="KVL163" s="21"/>
      <c r="KVM163" s="21"/>
      <c r="KVN163" s="7"/>
      <c r="KVO163" s="7"/>
      <c r="KVP163" s="21"/>
      <c r="KVQ163" s="20"/>
      <c r="KVR163" s="20"/>
      <c r="KVS163" s="20"/>
      <c r="KVT163" s="21"/>
      <c r="KVU163" s="21"/>
      <c r="KVV163" s="21"/>
      <c r="KVW163" s="21"/>
      <c r="KVX163" s="21"/>
      <c r="KVY163" s="20"/>
      <c r="KVZ163" s="20"/>
      <c r="KWA163" s="20"/>
      <c r="KWB163" s="20"/>
      <c r="KWC163" s="21"/>
      <c r="KWD163" s="21"/>
      <c r="KWE163" s="7"/>
      <c r="KWF163" s="7"/>
      <c r="KWG163" s="21"/>
      <c r="KWH163" s="20"/>
      <c r="KWI163" s="20"/>
      <c r="KWJ163" s="20"/>
      <c r="KWK163" s="21"/>
      <c r="KWL163" s="21"/>
      <c r="KWM163" s="21"/>
      <c r="KWN163" s="21"/>
      <c r="KWO163" s="21"/>
      <c r="KWP163" s="20"/>
      <c r="KWQ163" s="20"/>
      <c r="KWR163" s="20"/>
      <c r="KWS163" s="20"/>
      <c r="KWT163" s="21"/>
      <c r="KWU163" s="21"/>
      <c r="KWV163" s="7"/>
      <c r="KWW163" s="7"/>
      <c r="KWX163" s="21"/>
      <c r="KWY163" s="20"/>
      <c r="KWZ163" s="20"/>
      <c r="KXA163" s="20"/>
      <c r="KXB163" s="21"/>
      <c r="KXC163" s="21"/>
      <c r="KXD163" s="21"/>
      <c r="KXE163" s="21"/>
      <c r="KXF163" s="21"/>
      <c r="KXG163" s="20"/>
      <c r="KXH163" s="20"/>
      <c r="KXI163" s="20"/>
      <c r="KXJ163" s="20"/>
      <c r="KXK163" s="21"/>
      <c r="KXL163" s="21"/>
      <c r="KXM163" s="7"/>
      <c r="KXN163" s="7"/>
      <c r="KXO163" s="21"/>
      <c r="KXP163" s="20"/>
      <c r="KXQ163" s="20"/>
      <c r="KXR163" s="20"/>
      <c r="KXS163" s="21"/>
      <c r="KXT163" s="21"/>
      <c r="KXU163" s="21"/>
      <c r="KXV163" s="21"/>
      <c r="KXW163" s="21"/>
      <c r="KXX163" s="20"/>
      <c r="KXY163" s="20"/>
      <c r="KXZ163" s="20"/>
      <c r="KYA163" s="20"/>
      <c r="KYB163" s="21"/>
      <c r="KYC163" s="21"/>
      <c r="KYD163" s="7"/>
      <c r="KYE163" s="7"/>
      <c r="KYF163" s="21"/>
      <c r="KYG163" s="20"/>
      <c r="KYH163" s="20"/>
      <c r="KYI163" s="20"/>
      <c r="KYJ163" s="21"/>
      <c r="KYK163" s="21"/>
      <c r="KYL163" s="21"/>
      <c r="KYM163" s="21"/>
      <c r="KYN163" s="21"/>
      <c r="KYO163" s="20"/>
      <c r="KYP163" s="20"/>
      <c r="KYQ163" s="20"/>
      <c r="KYR163" s="20"/>
      <c r="KYS163" s="21"/>
      <c r="KYT163" s="21"/>
      <c r="KYU163" s="7"/>
      <c r="KYV163" s="7"/>
      <c r="KYW163" s="21"/>
      <c r="KYX163" s="20"/>
      <c r="KYY163" s="20"/>
      <c r="KYZ163" s="20"/>
      <c r="KZA163" s="21"/>
      <c r="KZB163" s="21"/>
      <c r="KZC163" s="21"/>
      <c r="KZD163" s="21"/>
      <c r="KZE163" s="21"/>
      <c r="KZF163" s="20"/>
      <c r="KZG163" s="20"/>
      <c r="KZH163" s="20"/>
      <c r="KZI163" s="20"/>
      <c r="KZJ163" s="21"/>
      <c r="KZK163" s="21"/>
      <c r="KZL163" s="7"/>
      <c r="KZM163" s="7"/>
      <c r="KZN163" s="21"/>
      <c r="KZO163" s="20"/>
      <c r="KZP163" s="20"/>
      <c r="KZQ163" s="20"/>
      <c r="KZR163" s="21"/>
      <c r="KZS163" s="21"/>
      <c r="KZT163" s="21"/>
      <c r="KZU163" s="21"/>
      <c r="KZV163" s="21"/>
      <c r="KZW163" s="20"/>
      <c r="KZX163" s="20"/>
      <c r="KZY163" s="20"/>
      <c r="KZZ163" s="20"/>
      <c r="LAA163" s="21"/>
      <c r="LAB163" s="21"/>
      <c r="LAC163" s="7"/>
      <c r="LAD163" s="7"/>
      <c r="LAE163" s="21"/>
      <c r="LAF163" s="20"/>
      <c r="LAG163" s="20"/>
      <c r="LAH163" s="20"/>
      <c r="LAI163" s="21"/>
      <c r="LAJ163" s="21"/>
      <c r="LAK163" s="21"/>
      <c r="LAL163" s="21"/>
      <c r="LAM163" s="21"/>
      <c r="LAN163" s="20"/>
      <c r="LAO163" s="20"/>
      <c r="LAP163" s="20"/>
      <c r="LAQ163" s="20"/>
      <c r="LAR163" s="21"/>
      <c r="LAS163" s="21"/>
      <c r="LAT163" s="7"/>
      <c r="LAU163" s="7"/>
      <c r="LAV163" s="21"/>
      <c r="LAW163" s="20"/>
      <c r="LAX163" s="20"/>
      <c r="LAY163" s="20"/>
      <c r="LAZ163" s="21"/>
      <c r="LBA163" s="21"/>
      <c r="LBB163" s="21"/>
      <c r="LBC163" s="21"/>
      <c r="LBD163" s="21"/>
      <c r="LBE163" s="20"/>
      <c r="LBF163" s="20"/>
      <c r="LBG163" s="20"/>
      <c r="LBH163" s="20"/>
      <c r="LBI163" s="21"/>
      <c r="LBJ163" s="21"/>
      <c r="LBK163" s="7"/>
      <c r="LBL163" s="7"/>
      <c r="LBM163" s="21"/>
      <c r="LBN163" s="20"/>
      <c r="LBO163" s="20"/>
      <c r="LBP163" s="20"/>
      <c r="LBQ163" s="21"/>
      <c r="LBR163" s="21"/>
      <c r="LBS163" s="21"/>
      <c r="LBT163" s="21"/>
      <c r="LBU163" s="21"/>
      <c r="LBV163" s="20"/>
      <c r="LBW163" s="20"/>
      <c r="LBX163" s="20"/>
      <c r="LBY163" s="20"/>
      <c r="LBZ163" s="21"/>
      <c r="LCA163" s="21"/>
      <c r="LCB163" s="7"/>
      <c r="LCC163" s="7"/>
      <c r="LCD163" s="21"/>
      <c r="LCE163" s="20"/>
      <c r="LCF163" s="20"/>
      <c r="LCG163" s="20"/>
      <c r="LCH163" s="21"/>
      <c r="LCI163" s="21"/>
      <c r="LCJ163" s="21"/>
      <c r="LCK163" s="21"/>
      <c r="LCL163" s="21"/>
      <c r="LCM163" s="20"/>
      <c r="LCN163" s="20"/>
      <c r="LCO163" s="20"/>
      <c r="LCP163" s="20"/>
      <c r="LCQ163" s="21"/>
      <c r="LCR163" s="21"/>
      <c r="LCS163" s="7"/>
      <c r="LCT163" s="7"/>
      <c r="LCU163" s="21"/>
      <c r="LCV163" s="20"/>
      <c r="LCW163" s="20"/>
      <c r="LCX163" s="20"/>
      <c r="LCY163" s="21"/>
      <c r="LCZ163" s="21"/>
      <c r="LDA163" s="21"/>
      <c r="LDB163" s="21"/>
      <c r="LDC163" s="21"/>
      <c r="LDD163" s="20"/>
      <c r="LDE163" s="20"/>
      <c r="LDF163" s="20"/>
      <c r="LDG163" s="20"/>
      <c r="LDH163" s="21"/>
      <c r="LDI163" s="21"/>
      <c r="LDJ163" s="7"/>
      <c r="LDK163" s="7"/>
      <c r="LDL163" s="21"/>
      <c r="LDM163" s="20"/>
      <c r="LDN163" s="20"/>
      <c r="LDO163" s="20"/>
      <c r="LDP163" s="21"/>
      <c r="LDQ163" s="21"/>
      <c r="LDR163" s="21"/>
      <c r="LDS163" s="21"/>
      <c r="LDT163" s="21"/>
      <c r="LDU163" s="20"/>
      <c r="LDV163" s="20"/>
      <c r="LDW163" s="20"/>
      <c r="LDX163" s="20"/>
      <c r="LDY163" s="21"/>
      <c r="LDZ163" s="21"/>
      <c r="LEA163" s="7"/>
      <c r="LEB163" s="7"/>
      <c r="LEC163" s="21"/>
      <c r="LED163" s="20"/>
      <c r="LEE163" s="20"/>
      <c r="LEF163" s="20"/>
      <c r="LEG163" s="21"/>
      <c r="LEH163" s="21"/>
      <c r="LEI163" s="21"/>
      <c r="LEJ163" s="21"/>
      <c r="LEK163" s="21"/>
      <c r="LEL163" s="20"/>
      <c r="LEM163" s="20"/>
      <c r="LEN163" s="20"/>
      <c r="LEO163" s="20"/>
      <c r="LEP163" s="21"/>
      <c r="LEQ163" s="21"/>
      <c r="LER163" s="7"/>
      <c r="LES163" s="7"/>
      <c r="LET163" s="21"/>
      <c r="LEU163" s="20"/>
      <c r="LEV163" s="20"/>
      <c r="LEW163" s="20"/>
      <c r="LEX163" s="21"/>
      <c r="LEY163" s="21"/>
      <c r="LEZ163" s="21"/>
      <c r="LFA163" s="21"/>
      <c r="LFB163" s="21"/>
      <c r="LFC163" s="20"/>
      <c r="LFD163" s="20"/>
      <c r="LFE163" s="20"/>
      <c r="LFF163" s="20"/>
      <c r="LFG163" s="21"/>
      <c r="LFH163" s="21"/>
      <c r="LFI163" s="7"/>
      <c r="LFJ163" s="7"/>
      <c r="LFK163" s="21"/>
      <c r="LFL163" s="20"/>
      <c r="LFM163" s="20"/>
      <c r="LFN163" s="20"/>
      <c r="LFO163" s="21"/>
      <c r="LFP163" s="21"/>
      <c r="LFQ163" s="21"/>
      <c r="LFR163" s="21"/>
      <c r="LFS163" s="21"/>
      <c r="LFT163" s="20"/>
      <c r="LFU163" s="20"/>
      <c r="LFV163" s="20"/>
      <c r="LFW163" s="20"/>
      <c r="LFX163" s="21"/>
      <c r="LFY163" s="21"/>
      <c r="LFZ163" s="7"/>
      <c r="LGA163" s="7"/>
      <c r="LGB163" s="21"/>
      <c r="LGC163" s="20"/>
      <c r="LGD163" s="20"/>
      <c r="LGE163" s="20"/>
      <c r="LGF163" s="21"/>
      <c r="LGG163" s="21"/>
      <c r="LGH163" s="21"/>
      <c r="LGI163" s="21"/>
      <c r="LGJ163" s="21"/>
      <c r="LGK163" s="20"/>
      <c r="LGL163" s="20"/>
      <c r="LGM163" s="20"/>
      <c r="LGN163" s="20"/>
      <c r="LGO163" s="21"/>
      <c r="LGP163" s="21"/>
      <c r="LGQ163" s="7"/>
      <c r="LGR163" s="7"/>
      <c r="LGS163" s="21"/>
      <c r="LGT163" s="20"/>
      <c r="LGU163" s="20"/>
      <c r="LGV163" s="20"/>
      <c r="LGW163" s="21"/>
      <c r="LGX163" s="21"/>
      <c r="LGY163" s="21"/>
      <c r="LGZ163" s="21"/>
      <c r="LHA163" s="21"/>
      <c r="LHB163" s="20"/>
      <c r="LHC163" s="20"/>
      <c r="LHD163" s="20"/>
      <c r="LHE163" s="20"/>
      <c r="LHF163" s="21"/>
      <c r="LHG163" s="21"/>
      <c r="LHH163" s="7"/>
      <c r="LHI163" s="7"/>
      <c r="LHJ163" s="21"/>
      <c r="LHK163" s="20"/>
      <c r="LHL163" s="20"/>
      <c r="LHM163" s="20"/>
      <c r="LHN163" s="21"/>
      <c r="LHO163" s="21"/>
      <c r="LHP163" s="21"/>
      <c r="LHQ163" s="21"/>
      <c r="LHR163" s="21"/>
      <c r="LHS163" s="20"/>
      <c r="LHT163" s="20"/>
      <c r="LHU163" s="20"/>
      <c r="LHV163" s="20"/>
      <c r="LHW163" s="21"/>
      <c r="LHX163" s="21"/>
      <c r="LHY163" s="7"/>
      <c r="LHZ163" s="7"/>
      <c r="LIA163" s="21"/>
      <c r="LIB163" s="20"/>
      <c r="LIC163" s="20"/>
      <c r="LID163" s="20"/>
      <c r="LIE163" s="21"/>
      <c r="LIF163" s="21"/>
      <c r="LIG163" s="21"/>
      <c r="LIH163" s="21"/>
      <c r="LII163" s="21"/>
      <c r="LIJ163" s="20"/>
      <c r="LIK163" s="20"/>
      <c r="LIL163" s="20"/>
      <c r="LIM163" s="20"/>
      <c r="LIN163" s="21"/>
      <c r="LIO163" s="21"/>
      <c r="LIP163" s="7"/>
      <c r="LIQ163" s="7"/>
      <c r="LIR163" s="21"/>
      <c r="LIS163" s="20"/>
      <c r="LIT163" s="20"/>
      <c r="LIU163" s="20"/>
      <c r="LIV163" s="21"/>
      <c r="LIW163" s="21"/>
      <c r="LIX163" s="21"/>
      <c r="LIY163" s="21"/>
      <c r="LIZ163" s="21"/>
      <c r="LJA163" s="20"/>
      <c r="LJB163" s="20"/>
      <c r="LJC163" s="20"/>
      <c r="LJD163" s="20"/>
      <c r="LJE163" s="21"/>
      <c r="LJF163" s="21"/>
      <c r="LJG163" s="7"/>
      <c r="LJH163" s="7"/>
      <c r="LJI163" s="21"/>
      <c r="LJJ163" s="20"/>
      <c r="LJK163" s="20"/>
      <c r="LJL163" s="20"/>
      <c r="LJM163" s="21"/>
      <c r="LJN163" s="21"/>
      <c r="LJO163" s="21"/>
      <c r="LJP163" s="21"/>
      <c r="LJQ163" s="21"/>
      <c r="LJR163" s="20"/>
      <c r="LJS163" s="20"/>
      <c r="LJT163" s="20"/>
      <c r="LJU163" s="20"/>
      <c r="LJV163" s="21"/>
      <c r="LJW163" s="21"/>
      <c r="LJX163" s="7"/>
      <c r="LJY163" s="7"/>
      <c r="LJZ163" s="21"/>
      <c r="LKA163" s="20"/>
      <c r="LKB163" s="20"/>
      <c r="LKC163" s="20"/>
      <c r="LKD163" s="21"/>
      <c r="LKE163" s="21"/>
      <c r="LKF163" s="21"/>
      <c r="LKG163" s="21"/>
      <c r="LKH163" s="21"/>
      <c r="LKI163" s="20"/>
      <c r="LKJ163" s="20"/>
      <c r="LKK163" s="20"/>
      <c r="LKL163" s="20"/>
      <c r="LKM163" s="21"/>
      <c r="LKN163" s="21"/>
      <c r="LKO163" s="7"/>
      <c r="LKP163" s="7"/>
      <c r="LKQ163" s="21"/>
      <c r="LKR163" s="20"/>
      <c r="LKS163" s="20"/>
      <c r="LKT163" s="20"/>
      <c r="LKU163" s="21"/>
      <c r="LKV163" s="21"/>
      <c r="LKW163" s="21"/>
      <c r="LKX163" s="21"/>
      <c r="LKY163" s="21"/>
      <c r="LKZ163" s="20"/>
      <c r="LLA163" s="20"/>
      <c r="LLB163" s="20"/>
      <c r="LLC163" s="20"/>
      <c r="LLD163" s="21"/>
      <c r="LLE163" s="21"/>
      <c r="LLF163" s="7"/>
      <c r="LLG163" s="7"/>
      <c r="LLH163" s="21"/>
      <c r="LLI163" s="20"/>
      <c r="LLJ163" s="20"/>
      <c r="LLK163" s="20"/>
      <c r="LLL163" s="21"/>
      <c r="LLM163" s="21"/>
      <c r="LLN163" s="21"/>
      <c r="LLO163" s="21"/>
      <c r="LLP163" s="21"/>
      <c r="LLQ163" s="20"/>
      <c r="LLR163" s="20"/>
      <c r="LLS163" s="20"/>
      <c r="LLT163" s="20"/>
      <c r="LLU163" s="21"/>
      <c r="LLV163" s="21"/>
      <c r="LLW163" s="7"/>
      <c r="LLX163" s="7"/>
      <c r="LLY163" s="21"/>
      <c r="LLZ163" s="20"/>
      <c r="LMA163" s="20"/>
      <c r="LMB163" s="20"/>
      <c r="LMC163" s="21"/>
      <c r="LMD163" s="21"/>
      <c r="LME163" s="21"/>
      <c r="LMF163" s="21"/>
      <c r="LMG163" s="21"/>
      <c r="LMH163" s="20"/>
      <c r="LMI163" s="20"/>
      <c r="LMJ163" s="20"/>
      <c r="LMK163" s="20"/>
      <c r="LML163" s="21"/>
      <c r="LMM163" s="21"/>
      <c r="LMN163" s="7"/>
      <c r="LMO163" s="7"/>
      <c r="LMP163" s="21"/>
      <c r="LMQ163" s="20"/>
      <c r="LMR163" s="20"/>
      <c r="LMS163" s="20"/>
      <c r="LMT163" s="21"/>
      <c r="LMU163" s="21"/>
      <c r="LMV163" s="21"/>
      <c r="LMW163" s="21"/>
      <c r="LMX163" s="21"/>
      <c r="LMY163" s="20"/>
      <c r="LMZ163" s="20"/>
      <c r="LNA163" s="20"/>
      <c r="LNB163" s="20"/>
      <c r="LNC163" s="21"/>
      <c r="LND163" s="21"/>
      <c r="LNE163" s="7"/>
      <c r="LNF163" s="7"/>
      <c r="LNG163" s="21"/>
      <c r="LNH163" s="20"/>
      <c r="LNI163" s="20"/>
      <c r="LNJ163" s="20"/>
      <c r="LNK163" s="21"/>
      <c r="LNL163" s="21"/>
      <c r="LNM163" s="21"/>
      <c r="LNN163" s="21"/>
      <c r="LNO163" s="21"/>
      <c r="LNP163" s="20"/>
      <c r="LNQ163" s="20"/>
      <c r="LNR163" s="20"/>
      <c r="LNS163" s="20"/>
      <c r="LNT163" s="21"/>
      <c r="LNU163" s="21"/>
      <c r="LNV163" s="7"/>
      <c r="LNW163" s="7"/>
      <c r="LNX163" s="21"/>
      <c r="LNY163" s="20"/>
      <c r="LNZ163" s="20"/>
      <c r="LOA163" s="20"/>
      <c r="LOB163" s="21"/>
      <c r="LOC163" s="21"/>
      <c r="LOD163" s="21"/>
      <c r="LOE163" s="21"/>
      <c r="LOF163" s="21"/>
      <c r="LOG163" s="20"/>
      <c r="LOH163" s="20"/>
      <c r="LOI163" s="20"/>
      <c r="LOJ163" s="20"/>
      <c r="LOK163" s="21"/>
      <c r="LOL163" s="21"/>
      <c r="LOM163" s="7"/>
      <c r="LON163" s="7"/>
      <c r="LOO163" s="21"/>
      <c r="LOP163" s="20"/>
      <c r="LOQ163" s="20"/>
      <c r="LOR163" s="20"/>
      <c r="LOS163" s="21"/>
      <c r="LOT163" s="21"/>
      <c r="LOU163" s="21"/>
      <c r="LOV163" s="21"/>
      <c r="LOW163" s="21"/>
      <c r="LOX163" s="20"/>
      <c r="LOY163" s="20"/>
      <c r="LOZ163" s="20"/>
      <c r="LPA163" s="20"/>
      <c r="LPB163" s="21"/>
      <c r="LPC163" s="21"/>
      <c r="LPD163" s="7"/>
      <c r="LPE163" s="7"/>
      <c r="LPF163" s="21"/>
      <c r="LPG163" s="20"/>
      <c r="LPH163" s="20"/>
      <c r="LPI163" s="20"/>
      <c r="LPJ163" s="21"/>
      <c r="LPK163" s="21"/>
      <c r="LPL163" s="21"/>
      <c r="LPM163" s="21"/>
      <c r="LPN163" s="21"/>
      <c r="LPO163" s="20"/>
      <c r="LPP163" s="20"/>
      <c r="LPQ163" s="20"/>
      <c r="LPR163" s="20"/>
      <c r="LPS163" s="21"/>
      <c r="LPT163" s="21"/>
      <c r="LPU163" s="7"/>
      <c r="LPV163" s="7"/>
      <c r="LPW163" s="21"/>
      <c r="LPX163" s="20"/>
      <c r="LPY163" s="20"/>
      <c r="LPZ163" s="20"/>
      <c r="LQA163" s="21"/>
      <c r="LQB163" s="21"/>
      <c r="LQC163" s="21"/>
      <c r="LQD163" s="21"/>
      <c r="LQE163" s="21"/>
      <c r="LQF163" s="20"/>
      <c r="LQG163" s="20"/>
      <c r="LQH163" s="20"/>
      <c r="LQI163" s="20"/>
      <c r="LQJ163" s="21"/>
      <c r="LQK163" s="21"/>
      <c r="LQL163" s="7"/>
      <c r="LQM163" s="7"/>
      <c r="LQN163" s="21"/>
      <c r="LQO163" s="20"/>
      <c r="LQP163" s="20"/>
      <c r="LQQ163" s="20"/>
      <c r="LQR163" s="21"/>
      <c r="LQS163" s="21"/>
      <c r="LQT163" s="21"/>
      <c r="LQU163" s="21"/>
      <c r="LQV163" s="21"/>
      <c r="LQW163" s="20"/>
      <c r="LQX163" s="20"/>
      <c r="LQY163" s="20"/>
      <c r="LQZ163" s="20"/>
      <c r="LRA163" s="21"/>
      <c r="LRB163" s="21"/>
      <c r="LRC163" s="7"/>
      <c r="LRD163" s="7"/>
      <c r="LRE163" s="21"/>
      <c r="LRF163" s="20"/>
      <c r="LRG163" s="20"/>
      <c r="LRH163" s="20"/>
      <c r="LRI163" s="21"/>
      <c r="LRJ163" s="21"/>
      <c r="LRK163" s="21"/>
      <c r="LRL163" s="21"/>
      <c r="LRM163" s="21"/>
      <c r="LRN163" s="20"/>
      <c r="LRO163" s="20"/>
      <c r="LRP163" s="20"/>
      <c r="LRQ163" s="20"/>
      <c r="LRR163" s="21"/>
      <c r="LRS163" s="21"/>
      <c r="LRT163" s="7"/>
      <c r="LRU163" s="7"/>
      <c r="LRV163" s="21"/>
      <c r="LRW163" s="20"/>
      <c r="LRX163" s="20"/>
      <c r="LRY163" s="20"/>
      <c r="LRZ163" s="21"/>
      <c r="LSA163" s="21"/>
      <c r="LSB163" s="21"/>
      <c r="LSC163" s="21"/>
      <c r="LSD163" s="21"/>
      <c r="LSE163" s="20"/>
      <c r="LSF163" s="20"/>
      <c r="LSG163" s="20"/>
      <c r="LSH163" s="20"/>
      <c r="LSI163" s="21"/>
      <c r="LSJ163" s="21"/>
      <c r="LSK163" s="7"/>
      <c r="LSL163" s="7"/>
      <c r="LSM163" s="21"/>
      <c r="LSN163" s="20"/>
      <c r="LSO163" s="20"/>
      <c r="LSP163" s="20"/>
      <c r="LSQ163" s="21"/>
      <c r="LSR163" s="21"/>
      <c r="LSS163" s="21"/>
      <c r="LST163" s="21"/>
      <c r="LSU163" s="21"/>
      <c r="LSV163" s="20"/>
      <c r="LSW163" s="20"/>
      <c r="LSX163" s="20"/>
      <c r="LSY163" s="20"/>
      <c r="LSZ163" s="21"/>
      <c r="LTA163" s="21"/>
      <c r="LTB163" s="7"/>
      <c r="LTC163" s="7"/>
      <c r="LTD163" s="21"/>
      <c r="LTE163" s="20"/>
      <c r="LTF163" s="20"/>
      <c r="LTG163" s="20"/>
      <c r="LTH163" s="21"/>
      <c r="LTI163" s="21"/>
      <c r="LTJ163" s="21"/>
      <c r="LTK163" s="21"/>
      <c r="LTL163" s="21"/>
      <c r="LTM163" s="20"/>
      <c r="LTN163" s="20"/>
      <c r="LTO163" s="20"/>
      <c r="LTP163" s="20"/>
      <c r="LTQ163" s="21"/>
      <c r="LTR163" s="21"/>
      <c r="LTS163" s="7"/>
      <c r="LTT163" s="7"/>
      <c r="LTU163" s="21"/>
      <c r="LTV163" s="20"/>
      <c r="LTW163" s="20"/>
      <c r="LTX163" s="20"/>
      <c r="LTY163" s="21"/>
      <c r="LTZ163" s="21"/>
      <c r="LUA163" s="21"/>
      <c r="LUB163" s="21"/>
      <c r="LUC163" s="21"/>
      <c r="LUD163" s="20"/>
      <c r="LUE163" s="20"/>
      <c r="LUF163" s="20"/>
      <c r="LUG163" s="20"/>
      <c r="LUH163" s="21"/>
      <c r="LUI163" s="21"/>
      <c r="LUJ163" s="7"/>
      <c r="LUK163" s="7"/>
      <c r="LUL163" s="21"/>
      <c r="LUM163" s="20"/>
      <c r="LUN163" s="20"/>
      <c r="LUO163" s="20"/>
      <c r="LUP163" s="21"/>
      <c r="LUQ163" s="21"/>
      <c r="LUR163" s="21"/>
      <c r="LUS163" s="21"/>
      <c r="LUT163" s="21"/>
      <c r="LUU163" s="20"/>
      <c r="LUV163" s="20"/>
      <c r="LUW163" s="20"/>
      <c r="LUX163" s="20"/>
      <c r="LUY163" s="21"/>
      <c r="LUZ163" s="21"/>
      <c r="LVA163" s="7"/>
      <c r="LVB163" s="7"/>
      <c r="LVC163" s="21"/>
      <c r="LVD163" s="20"/>
      <c r="LVE163" s="20"/>
      <c r="LVF163" s="20"/>
      <c r="LVG163" s="21"/>
      <c r="LVH163" s="21"/>
      <c r="LVI163" s="21"/>
      <c r="LVJ163" s="21"/>
      <c r="LVK163" s="21"/>
      <c r="LVL163" s="20"/>
      <c r="LVM163" s="20"/>
      <c r="LVN163" s="20"/>
      <c r="LVO163" s="20"/>
      <c r="LVP163" s="21"/>
      <c r="LVQ163" s="21"/>
      <c r="LVR163" s="7"/>
      <c r="LVS163" s="7"/>
      <c r="LVT163" s="21"/>
      <c r="LVU163" s="20"/>
      <c r="LVV163" s="20"/>
      <c r="LVW163" s="20"/>
      <c r="LVX163" s="21"/>
      <c r="LVY163" s="21"/>
      <c r="LVZ163" s="21"/>
      <c r="LWA163" s="21"/>
      <c r="LWB163" s="21"/>
      <c r="LWC163" s="20"/>
      <c r="LWD163" s="20"/>
      <c r="LWE163" s="20"/>
      <c r="LWF163" s="20"/>
      <c r="LWG163" s="21"/>
      <c r="LWH163" s="21"/>
      <c r="LWI163" s="7"/>
      <c r="LWJ163" s="7"/>
      <c r="LWK163" s="21"/>
      <c r="LWL163" s="20"/>
      <c r="LWM163" s="20"/>
      <c r="LWN163" s="20"/>
      <c r="LWO163" s="21"/>
      <c r="LWP163" s="21"/>
      <c r="LWQ163" s="21"/>
      <c r="LWR163" s="21"/>
      <c r="LWS163" s="21"/>
      <c r="LWT163" s="20"/>
      <c r="LWU163" s="20"/>
      <c r="LWV163" s="20"/>
      <c r="LWW163" s="20"/>
      <c r="LWX163" s="21"/>
      <c r="LWY163" s="21"/>
      <c r="LWZ163" s="7"/>
      <c r="LXA163" s="7"/>
      <c r="LXB163" s="21"/>
      <c r="LXC163" s="20"/>
      <c r="LXD163" s="20"/>
      <c r="LXE163" s="20"/>
      <c r="LXF163" s="21"/>
      <c r="LXG163" s="21"/>
      <c r="LXH163" s="21"/>
      <c r="LXI163" s="21"/>
      <c r="LXJ163" s="21"/>
      <c r="LXK163" s="20"/>
      <c r="LXL163" s="20"/>
      <c r="LXM163" s="20"/>
      <c r="LXN163" s="20"/>
      <c r="LXO163" s="21"/>
      <c r="LXP163" s="21"/>
      <c r="LXQ163" s="7"/>
      <c r="LXR163" s="7"/>
      <c r="LXS163" s="21"/>
      <c r="LXT163" s="20"/>
      <c r="LXU163" s="20"/>
      <c r="LXV163" s="20"/>
      <c r="LXW163" s="21"/>
      <c r="LXX163" s="21"/>
      <c r="LXY163" s="21"/>
      <c r="LXZ163" s="21"/>
      <c r="LYA163" s="21"/>
      <c r="LYB163" s="20"/>
      <c r="LYC163" s="20"/>
      <c r="LYD163" s="20"/>
      <c r="LYE163" s="20"/>
      <c r="LYF163" s="21"/>
      <c r="LYG163" s="21"/>
      <c r="LYH163" s="7"/>
      <c r="LYI163" s="7"/>
      <c r="LYJ163" s="21"/>
      <c r="LYK163" s="20"/>
      <c r="LYL163" s="20"/>
      <c r="LYM163" s="20"/>
      <c r="LYN163" s="21"/>
      <c r="LYO163" s="21"/>
      <c r="LYP163" s="21"/>
      <c r="LYQ163" s="21"/>
      <c r="LYR163" s="21"/>
      <c r="LYS163" s="20"/>
      <c r="LYT163" s="20"/>
      <c r="LYU163" s="20"/>
      <c r="LYV163" s="20"/>
      <c r="LYW163" s="21"/>
      <c r="LYX163" s="21"/>
      <c r="LYY163" s="7"/>
      <c r="LYZ163" s="7"/>
      <c r="LZA163" s="21"/>
      <c r="LZB163" s="20"/>
      <c r="LZC163" s="20"/>
      <c r="LZD163" s="20"/>
      <c r="LZE163" s="21"/>
      <c r="LZF163" s="21"/>
      <c r="LZG163" s="21"/>
      <c r="LZH163" s="21"/>
      <c r="LZI163" s="21"/>
      <c r="LZJ163" s="20"/>
      <c r="LZK163" s="20"/>
      <c r="LZL163" s="20"/>
      <c r="LZM163" s="20"/>
      <c r="LZN163" s="21"/>
      <c r="LZO163" s="21"/>
      <c r="LZP163" s="7"/>
      <c r="LZQ163" s="7"/>
      <c r="LZR163" s="21"/>
      <c r="LZS163" s="20"/>
      <c r="LZT163" s="20"/>
      <c r="LZU163" s="20"/>
      <c r="LZV163" s="21"/>
      <c r="LZW163" s="21"/>
      <c r="LZX163" s="21"/>
      <c r="LZY163" s="21"/>
      <c r="LZZ163" s="21"/>
      <c r="MAA163" s="20"/>
      <c r="MAB163" s="20"/>
      <c r="MAC163" s="20"/>
      <c r="MAD163" s="20"/>
      <c r="MAE163" s="21"/>
      <c r="MAF163" s="21"/>
      <c r="MAG163" s="7"/>
      <c r="MAH163" s="7"/>
      <c r="MAI163" s="21"/>
      <c r="MAJ163" s="20"/>
      <c r="MAK163" s="20"/>
      <c r="MAL163" s="20"/>
      <c r="MAM163" s="21"/>
      <c r="MAN163" s="21"/>
      <c r="MAO163" s="21"/>
      <c r="MAP163" s="21"/>
      <c r="MAQ163" s="21"/>
      <c r="MAR163" s="20"/>
      <c r="MAS163" s="20"/>
      <c r="MAT163" s="20"/>
      <c r="MAU163" s="20"/>
      <c r="MAV163" s="21"/>
      <c r="MAW163" s="21"/>
      <c r="MAX163" s="7"/>
      <c r="MAY163" s="7"/>
      <c r="MAZ163" s="21"/>
      <c r="MBA163" s="20"/>
      <c r="MBB163" s="20"/>
      <c r="MBC163" s="20"/>
      <c r="MBD163" s="21"/>
      <c r="MBE163" s="21"/>
      <c r="MBF163" s="21"/>
      <c r="MBG163" s="21"/>
      <c r="MBH163" s="21"/>
      <c r="MBI163" s="20"/>
      <c r="MBJ163" s="20"/>
      <c r="MBK163" s="20"/>
      <c r="MBL163" s="20"/>
      <c r="MBM163" s="21"/>
      <c r="MBN163" s="21"/>
      <c r="MBO163" s="7"/>
      <c r="MBP163" s="7"/>
      <c r="MBQ163" s="21"/>
      <c r="MBR163" s="20"/>
      <c r="MBS163" s="20"/>
      <c r="MBT163" s="20"/>
      <c r="MBU163" s="21"/>
      <c r="MBV163" s="21"/>
      <c r="MBW163" s="21"/>
      <c r="MBX163" s="21"/>
      <c r="MBY163" s="21"/>
      <c r="MBZ163" s="20"/>
      <c r="MCA163" s="20"/>
      <c r="MCB163" s="20"/>
      <c r="MCC163" s="20"/>
      <c r="MCD163" s="21"/>
      <c r="MCE163" s="21"/>
      <c r="MCF163" s="7"/>
      <c r="MCG163" s="7"/>
      <c r="MCH163" s="21"/>
      <c r="MCI163" s="20"/>
      <c r="MCJ163" s="20"/>
      <c r="MCK163" s="20"/>
      <c r="MCL163" s="21"/>
      <c r="MCM163" s="21"/>
      <c r="MCN163" s="21"/>
      <c r="MCO163" s="21"/>
      <c r="MCP163" s="21"/>
      <c r="MCQ163" s="20"/>
      <c r="MCR163" s="20"/>
      <c r="MCS163" s="20"/>
      <c r="MCT163" s="20"/>
      <c r="MCU163" s="21"/>
      <c r="MCV163" s="21"/>
      <c r="MCW163" s="7"/>
      <c r="MCX163" s="7"/>
      <c r="MCY163" s="21"/>
      <c r="MCZ163" s="20"/>
      <c r="MDA163" s="20"/>
      <c r="MDB163" s="20"/>
      <c r="MDC163" s="21"/>
      <c r="MDD163" s="21"/>
      <c r="MDE163" s="21"/>
      <c r="MDF163" s="21"/>
      <c r="MDG163" s="21"/>
      <c r="MDH163" s="20"/>
      <c r="MDI163" s="20"/>
      <c r="MDJ163" s="20"/>
      <c r="MDK163" s="20"/>
      <c r="MDL163" s="21"/>
      <c r="MDM163" s="21"/>
      <c r="MDN163" s="7"/>
      <c r="MDO163" s="7"/>
      <c r="MDP163" s="21"/>
      <c r="MDQ163" s="20"/>
      <c r="MDR163" s="20"/>
      <c r="MDS163" s="20"/>
      <c r="MDT163" s="21"/>
      <c r="MDU163" s="21"/>
      <c r="MDV163" s="21"/>
      <c r="MDW163" s="21"/>
      <c r="MDX163" s="21"/>
      <c r="MDY163" s="20"/>
      <c r="MDZ163" s="20"/>
      <c r="MEA163" s="20"/>
      <c r="MEB163" s="20"/>
      <c r="MEC163" s="21"/>
      <c r="MED163" s="21"/>
      <c r="MEE163" s="7"/>
      <c r="MEF163" s="7"/>
      <c r="MEG163" s="21"/>
      <c r="MEH163" s="20"/>
      <c r="MEI163" s="20"/>
      <c r="MEJ163" s="20"/>
      <c r="MEK163" s="21"/>
      <c r="MEL163" s="21"/>
      <c r="MEM163" s="21"/>
      <c r="MEN163" s="21"/>
      <c r="MEO163" s="21"/>
      <c r="MEP163" s="20"/>
      <c r="MEQ163" s="20"/>
      <c r="MER163" s="20"/>
      <c r="MES163" s="20"/>
      <c r="MET163" s="21"/>
      <c r="MEU163" s="21"/>
      <c r="MEV163" s="7"/>
      <c r="MEW163" s="7"/>
      <c r="MEX163" s="21"/>
      <c r="MEY163" s="20"/>
      <c r="MEZ163" s="20"/>
      <c r="MFA163" s="20"/>
      <c r="MFB163" s="21"/>
      <c r="MFC163" s="21"/>
      <c r="MFD163" s="21"/>
      <c r="MFE163" s="21"/>
      <c r="MFF163" s="21"/>
      <c r="MFG163" s="20"/>
      <c r="MFH163" s="20"/>
      <c r="MFI163" s="20"/>
      <c r="MFJ163" s="20"/>
      <c r="MFK163" s="21"/>
      <c r="MFL163" s="21"/>
      <c r="MFM163" s="7"/>
      <c r="MFN163" s="7"/>
      <c r="MFO163" s="21"/>
      <c r="MFP163" s="20"/>
      <c r="MFQ163" s="20"/>
      <c r="MFR163" s="20"/>
      <c r="MFS163" s="21"/>
      <c r="MFT163" s="21"/>
      <c r="MFU163" s="21"/>
      <c r="MFV163" s="21"/>
      <c r="MFW163" s="21"/>
      <c r="MFX163" s="20"/>
      <c r="MFY163" s="20"/>
      <c r="MFZ163" s="20"/>
      <c r="MGA163" s="20"/>
      <c r="MGB163" s="21"/>
      <c r="MGC163" s="21"/>
      <c r="MGD163" s="7"/>
      <c r="MGE163" s="7"/>
      <c r="MGF163" s="21"/>
      <c r="MGG163" s="20"/>
      <c r="MGH163" s="20"/>
      <c r="MGI163" s="20"/>
      <c r="MGJ163" s="21"/>
      <c r="MGK163" s="21"/>
      <c r="MGL163" s="21"/>
      <c r="MGM163" s="21"/>
      <c r="MGN163" s="21"/>
      <c r="MGO163" s="20"/>
      <c r="MGP163" s="20"/>
      <c r="MGQ163" s="20"/>
      <c r="MGR163" s="20"/>
      <c r="MGS163" s="21"/>
      <c r="MGT163" s="21"/>
      <c r="MGU163" s="7"/>
      <c r="MGV163" s="7"/>
      <c r="MGW163" s="21"/>
      <c r="MGX163" s="20"/>
      <c r="MGY163" s="20"/>
      <c r="MGZ163" s="20"/>
      <c r="MHA163" s="21"/>
      <c r="MHB163" s="21"/>
      <c r="MHC163" s="21"/>
      <c r="MHD163" s="21"/>
      <c r="MHE163" s="21"/>
      <c r="MHF163" s="20"/>
      <c r="MHG163" s="20"/>
      <c r="MHH163" s="20"/>
      <c r="MHI163" s="20"/>
      <c r="MHJ163" s="21"/>
      <c r="MHK163" s="21"/>
      <c r="MHL163" s="7"/>
      <c r="MHM163" s="7"/>
      <c r="MHN163" s="21"/>
      <c r="MHO163" s="20"/>
      <c r="MHP163" s="20"/>
      <c r="MHQ163" s="20"/>
      <c r="MHR163" s="21"/>
      <c r="MHS163" s="21"/>
      <c r="MHT163" s="21"/>
      <c r="MHU163" s="21"/>
      <c r="MHV163" s="21"/>
      <c r="MHW163" s="20"/>
      <c r="MHX163" s="20"/>
      <c r="MHY163" s="20"/>
      <c r="MHZ163" s="20"/>
      <c r="MIA163" s="21"/>
      <c r="MIB163" s="21"/>
      <c r="MIC163" s="7"/>
      <c r="MID163" s="7"/>
      <c r="MIE163" s="21"/>
      <c r="MIF163" s="20"/>
      <c r="MIG163" s="20"/>
      <c r="MIH163" s="20"/>
      <c r="MII163" s="21"/>
      <c r="MIJ163" s="21"/>
      <c r="MIK163" s="21"/>
      <c r="MIL163" s="21"/>
      <c r="MIM163" s="21"/>
      <c r="MIN163" s="20"/>
      <c r="MIO163" s="20"/>
      <c r="MIP163" s="20"/>
      <c r="MIQ163" s="20"/>
      <c r="MIR163" s="21"/>
      <c r="MIS163" s="21"/>
      <c r="MIT163" s="7"/>
      <c r="MIU163" s="7"/>
      <c r="MIV163" s="21"/>
      <c r="MIW163" s="20"/>
      <c r="MIX163" s="20"/>
      <c r="MIY163" s="20"/>
      <c r="MIZ163" s="21"/>
      <c r="MJA163" s="21"/>
      <c r="MJB163" s="21"/>
      <c r="MJC163" s="21"/>
      <c r="MJD163" s="21"/>
      <c r="MJE163" s="20"/>
      <c r="MJF163" s="20"/>
      <c r="MJG163" s="20"/>
      <c r="MJH163" s="20"/>
      <c r="MJI163" s="21"/>
      <c r="MJJ163" s="21"/>
      <c r="MJK163" s="7"/>
      <c r="MJL163" s="7"/>
      <c r="MJM163" s="21"/>
      <c r="MJN163" s="20"/>
      <c r="MJO163" s="20"/>
      <c r="MJP163" s="20"/>
      <c r="MJQ163" s="21"/>
      <c r="MJR163" s="21"/>
      <c r="MJS163" s="21"/>
      <c r="MJT163" s="21"/>
      <c r="MJU163" s="21"/>
      <c r="MJV163" s="20"/>
      <c r="MJW163" s="20"/>
      <c r="MJX163" s="20"/>
      <c r="MJY163" s="20"/>
      <c r="MJZ163" s="21"/>
      <c r="MKA163" s="21"/>
      <c r="MKB163" s="7"/>
      <c r="MKC163" s="7"/>
      <c r="MKD163" s="21"/>
      <c r="MKE163" s="20"/>
      <c r="MKF163" s="20"/>
      <c r="MKG163" s="20"/>
      <c r="MKH163" s="21"/>
      <c r="MKI163" s="21"/>
      <c r="MKJ163" s="21"/>
      <c r="MKK163" s="21"/>
      <c r="MKL163" s="21"/>
      <c r="MKM163" s="20"/>
      <c r="MKN163" s="20"/>
      <c r="MKO163" s="20"/>
      <c r="MKP163" s="20"/>
      <c r="MKQ163" s="21"/>
      <c r="MKR163" s="21"/>
      <c r="MKS163" s="7"/>
      <c r="MKT163" s="7"/>
      <c r="MKU163" s="21"/>
      <c r="MKV163" s="20"/>
      <c r="MKW163" s="20"/>
      <c r="MKX163" s="20"/>
      <c r="MKY163" s="21"/>
      <c r="MKZ163" s="21"/>
      <c r="MLA163" s="21"/>
      <c r="MLB163" s="21"/>
      <c r="MLC163" s="21"/>
      <c r="MLD163" s="20"/>
      <c r="MLE163" s="20"/>
      <c r="MLF163" s="20"/>
      <c r="MLG163" s="20"/>
      <c r="MLH163" s="21"/>
      <c r="MLI163" s="21"/>
      <c r="MLJ163" s="7"/>
      <c r="MLK163" s="7"/>
      <c r="MLL163" s="21"/>
      <c r="MLM163" s="20"/>
      <c r="MLN163" s="20"/>
      <c r="MLO163" s="20"/>
      <c r="MLP163" s="21"/>
      <c r="MLQ163" s="21"/>
      <c r="MLR163" s="21"/>
      <c r="MLS163" s="21"/>
      <c r="MLT163" s="21"/>
      <c r="MLU163" s="20"/>
      <c r="MLV163" s="20"/>
      <c r="MLW163" s="20"/>
      <c r="MLX163" s="20"/>
      <c r="MLY163" s="21"/>
      <c r="MLZ163" s="21"/>
      <c r="MMA163" s="7"/>
      <c r="MMB163" s="7"/>
      <c r="MMC163" s="21"/>
      <c r="MMD163" s="20"/>
      <c r="MME163" s="20"/>
      <c r="MMF163" s="20"/>
      <c r="MMG163" s="21"/>
      <c r="MMH163" s="21"/>
      <c r="MMI163" s="21"/>
      <c r="MMJ163" s="21"/>
      <c r="MMK163" s="21"/>
      <c r="MML163" s="20"/>
      <c r="MMM163" s="20"/>
      <c r="MMN163" s="20"/>
      <c r="MMO163" s="20"/>
      <c r="MMP163" s="21"/>
      <c r="MMQ163" s="21"/>
      <c r="MMR163" s="7"/>
      <c r="MMS163" s="7"/>
      <c r="MMT163" s="21"/>
      <c r="MMU163" s="20"/>
      <c r="MMV163" s="20"/>
      <c r="MMW163" s="20"/>
      <c r="MMX163" s="21"/>
      <c r="MMY163" s="21"/>
      <c r="MMZ163" s="21"/>
      <c r="MNA163" s="21"/>
      <c r="MNB163" s="21"/>
      <c r="MNC163" s="20"/>
      <c r="MND163" s="20"/>
      <c r="MNE163" s="20"/>
      <c r="MNF163" s="20"/>
      <c r="MNG163" s="21"/>
      <c r="MNH163" s="21"/>
      <c r="MNI163" s="7"/>
      <c r="MNJ163" s="7"/>
      <c r="MNK163" s="21"/>
      <c r="MNL163" s="20"/>
      <c r="MNM163" s="20"/>
      <c r="MNN163" s="20"/>
      <c r="MNO163" s="21"/>
      <c r="MNP163" s="21"/>
      <c r="MNQ163" s="21"/>
      <c r="MNR163" s="21"/>
      <c r="MNS163" s="21"/>
      <c r="MNT163" s="20"/>
      <c r="MNU163" s="20"/>
      <c r="MNV163" s="20"/>
      <c r="MNW163" s="20"/>
      <c r="MNX163" s="21"/>
      <c r="MNY163" s="21"/>
      <c r="MNZ163" s="7"/>
      <c r="MOA163" s="7"/>
      <c r="MOB163" s="21"/>
      <c r="MOC163" s="20"/>
      <c r="MOD163" s="20"/>
      <c r="MOE163" s="20"/>
      <c r="MOF163" s="21"/>
      <c r="MOG163" s="21"/>
      <c r="MOH163" s="21"/>
      <c r="MOI163" s="21"/>
      <c r="MOJ163" s="21"/>
      <c r="MOK163" s="20"/>
      <c r="MOL163" s="20"/>
      <c r="MOM163" s="20"/>
      <c r="MON163" s="20"/>
      <c r="MOO163" s="21"/>
      <c r="MOP163" s="21"/>
      <c r="MOQ163" s="7"/>
      <c r="MOR163" s="7"/>
      <c r="MOS163" s="21"/>
      <c r="MOT163" s="20"/>
      <c r="MOU163" s="20"/>
      <c r="MOV163" s="20"/>
      <c r="MOW163" s="21"/>
      <c r="MOX163" s="21"/>
      <c r="MOY163" s="21"/>
      <c r="MOZ163" s="21"/>
      <c r="MPA163" s="21"/>
      <c r="MPB163" s="20"/>
      <c r="MPC163" s="20"/>
      <c r="MPD163" s="20"/>
      <c r="MPE163" s="20"/>
      <c r="MPF163" s="21"/>
      <c r="MPG163" s="21"/>
      <c r="MPH163" s="7"/>
      <c r="MPI163" s="7"/>
      <c r="MPJ163" s="21"/>
      <c r="MPK163" s="20"/>
      <c r="MPL163" s="20"/>
      <c r="MPM163" s="20"/>
      <c r="MPN163" s="21"/>
      <c r="MPO163" s="21"/>
      <c r="MPP163" s="21"/>
      <c r="MPQ163" s="21"/>
      <c r="MPR163" s="21"/>
      <c r="MPS163" s="20"/>
      <c r="MPT163" s="20"/>
      <c r="MPU163" s="20"/>
      <c r="MPV163" s="20"/>
      <c r="MPW163" s="21"/>
      <c r="MPX163" s="21"/>
      <c r="MPY163" s="7"/>
      <c r="MPZ163" s="7"/>
      <c r="MQA163" s="21"/>
      <c r="MQB163" s="20"/>
      <c r="MQC163" s="20"/>
      <c r="MQD163" s="20"/>
      <c r="MQE163" s="21"/>
      <c r="MQF163" s="21"/>
      <c r="MQG163" s="21"/>
      <c r="MQH163" s="21"/>
      <c r="MQI163" s="21"/>
      <c r="MQJ163" s="20"/>
      <c r="MQK163" s="20"/>
      <c r="MQL163" s="20"/>
      <c r="MQM163" s="20"/>
      <c r="MQN163" s="21"/>
      <c r="MQO163" s="21"/>
      <c r="MQP163" s="7"/>
      <c r="MQQ163" s="7"/>
      <c r="MQR163" s="21"/>
      <c r="MQS163" s="20"/>
      <c r="MQT163" s="20"/>
      <c r="MQU163" s="20"/>
      <c r="MQV163" s="21"/>
      <c r="MQW163" s="21"/>
      <c r="MQX163" s="21"/>
      <c r="MQY163" s="21"/>
      <c r="MQZ163" s="21"/>
      <c r="MRA163" s="20"/>
      <c r="MRB163" s="20"/>
      <c r="MRC163" s="20"/>
      <c r="MRD163" s="20"/>
      <c r="MRE163" s="21"/>
      <c r="MRF163" s="21"/>
      <c r="MRG163" s="7"/>
      <c r="MRH163" s="7"/>
      <c r="MRI163" s="21"/>
      <c r="MRJ163" s="20"/>
      <c r="MRK163" s="20"/>
      <c r="MRL163" s="20"/>
      <c r="MRM163" s="21"/>
      <c r="MRN163" s="21"/>
      <c r="MRO163" s="21"/>
      <c r="MRP163" s="21"/>
      <c r="MRQ163" s="21"/>
      <c r="MRR163" s="20"/>
      <c r="MRS163" s="20"/>
      <c r="MRT163" s="20"/>
      <c r="MRU163" s="20"/>
      <c r="MRV163" s="21"/>
      <c r="MRW163" s="21"/>
      <c r="MRX163" s="7"/>
      <c r="MRY163" s="7"/>
      <c r="MRZ163" s="21"/>
      <c r="MSA163" s="20"/>
      <c r="MSB163" s="20"/>
      <c r="MSC163" s="20"/>
      <c r="MSD163" s="21"/>
      <c r="MSE163" s="21"/>
      <c r="MSF163" s="21"/>
      <c r="MSG163" s="21"/>
      <c r="MSH163" s="21"/>
      <c r="MSI163" s="20"/>
      <c r="MSJ163" s="20"/>
      <c r="MSK163" s="20"/>
      <c r="MSL163" s="20"/>
      <c r="MSM163" s="21"/>
      <c r="MSN163" s="21"/>
      <c r="MSO163" s="7"/>
      <c r="MSP163" s="7"/>
      <c r="MSQ163" s="21"/>
      <c r="MSR163" s="20"/>
      <c r="MSS163" s="20"/>
      <c r="MST163" s="20"/>
      <c r="MSU163" s="21"/>
      <c r="MSV163" s="21"/>
      <c r="MSW163" s="21"/>
      <c r="MSX163" s="21"/>
      <c r="MSY163" s="21"/>
      <c r="MSZ163" s="20"/>
      <c r="MTA163" s="20"/>
      <c r="MTB163" s="20"/>
      <c r="MTC163" s="20"/>
      <c r="MTD163" s="21"/>
      <c r="MTE163" s="21"/>
      <c r="MTF163" s="7"/>
      <c r="MTG163" s="7"/>
      <c r="MTH163" s="21"/>
      <c r="MTI163" s="20"/>
      <c r="MTJ163" s="20"/>
      <c r="MTK163" s="20"/>
      <c r="MTL163" s="21"/>
      <c r="MTM163" s="21"/>
      <c r="MTN163" s="21"/>
      <c r="MTO163" s="21"/>
      <c r="MTP163" s="21"/>
      <c r="MTQ163" s="20"/>
      <c r="MTR163" s="20"/>
      <c r="MTS163" s="20"/>
      <c r="MTT163" s="20"/>
      <c r="MTU163" s="21"/>
      <c r="MTV163" s="21"/>
      <c r="MTW163" s="7"/>
      <c r="MTX163" s="7"/>
      <c r="MTY163" s="21"/>
      <c r="MTZ163" s="20"/>
      <c r="MUA163" s="20"/>
      <c r="MUB163" s="20"/>
      <c r="MUC163" s="21"/>
      <c r="MUD163" s="21"/>
      <c r="MUE163" s="21"/>
      <c r="MUF163" s="21"/>
      <c r="MUG163" s="21"/>
      <c r="MUH163" s="20"/>
      <c r="MUI163" s="20"/>
      <c r="MUJ163" s="20"/>
      <c r="MUK163" s="20"/>
      <c r="MUL163" s="21"/>
      <c r="MUM163" s="21"/>
      <c r="MUN163" s="7"/>
      <c r="MUO163" s="7"/>
      <c r="MUP163" s="21"/>
      <c r="MUQ163" s="20"/>
      <c r="MUR163" s="20"/>
      <c r="MUS163" s="20"/>
      <c r="MUT163" s="21"/>
      <c r="MUU163" s="21"/>
      <c r="MUV163" s="21"/>
      <c r="MUW163" s="21"/>
      <c r="MUX163" s="21"/>
      <c r="MUY163" s="20"/>
      <c r="MUZ163" s="20"/>
      <c r="MVA163" s="20"/>
      <c r="MVB163" s="20"/>
      <c r="MVC163" s="21"/>
      <c r="MVD163" s="21"/>
      <c r="MVE163" s="7"/>
      <c r="MVF163" s="7"/>
      <c r="MVG163" s="21"/>
      <c r="MVH163" s="20"/>
      <c r="MVI163" s="20"/>
      <c r="MVJ163" s="20"/>
      <c r="MVK163" s="21"/>
      <c r="MVL163" s="21"/>
      <c r="MVM163" s="21"/>
      <c r="MVN163" s="21"/>
      <c r="MVO163" s="21"/>
      <c r="MVP163" s="20"/>
      <c r="MVQ163" s="20"/>
      <c r="MVR163" s="20"/>
      <c r="MVS163" s="20"/>
      <c r="MVT163" s="21"/>
      <c r="MVU163" s="21"/>
      <c r="MVV163" s="7"/>
      <c r="MVW163" s="7"/>
      <c r="MVX163" s="21"/>
      <c r="MVY163" s="20"/>
      <c r="MVZ163" s="20"/>
      <c r="MWA163" s="20"/>
      <c r="MWB163" s="21"/>
      <c r="MWC163" s="21"/>
      <c r="MWD163" s="21"/>
      <c r="MWE163" s="21"/>
      <c r="MWF163" s="21"/>
      <c r="MWG163" s="20"/>
      <c r="MWH163" s="20"/>
      <c r="MWI163" s="20"/>
      <c r="MWJ163" s="20"/>
      <c r="MWK163" s="21"/>
      <c r="MWL163" s="21"/>
      <c r="MWM163" s="7"/>
      <c r="MWN163" s="7"/>
      <c r="MWO163" s="21"/>
      <c r="MWP163" s="20"/>
      <c r="MWQ163" s="20"/>
      <c r="MWR163" s="20"/>
      <c r="MWS163" s="21"/>
      <c r="MWT163" s="21"/>
      <c r="MWU163" s="21"/>
      <c r="MWV163" s="21"/>
      <c r="MWW163" s="21"/>
      <c r="MWX163" s="20"/>
      <c r="MWY163" s="20"/>
      <c r="MWZ163" s="20"/>
      <c r="MXA163" s="20"/>
      <c r="MXB163" s="21"/>
      <c r="MXC163" s="21"/>
      <c r="MXD163" s="7"/>
      <c r="MXE163" s="7"/>
      <c r="MXF163" s="21"/>
      <c r="MXG163" s="20"/>
      <c r="MXH163" s="20"/>
      <c r="MXI163" s="20"/>
      <c r="MXJ163" s="21"/>
      <c r="MXK163" s="21"/>
      <c r="MXL163" s="21"/>
      <c r="MXM163" s="21"/>
      <c r="MXN163" s="21"/>
      <c r="MXO163" s="20"/>
      <c r="MXP163" s="20"/>
      <c r="MXQ163" s="20"/>
      <c r="MXR163" s="20"/>
      <c r="MXS163" s="21"/>
      <c r="MXT163" s="21"/>
      <c r="MXU163" s="7"/>
      <c r="MXV163" s="7"/>
      <c r="MXW163" s="21"/>
      <c r="MXX163" s="20"/>
      <c r="MXY163" s="20"/>
      <c r="MXZ163" s="20"/>
      <c r="MYA163" s="21"/>
      <c r="MYB163" s="21"/>
      <c r="MYC163" s="21"/>
      <c r="MYD163" s="21"/>
      <c r="MYE163" s="21"/>
      <c r="MYF163" s="20"/>
      <c r="MYG163" s="20"/>
      <c r="MYH163" s="20"/>
      <c r="MYI163" s="20"/>
      <c r="MYJ163" s="21"/>
      <c r="MYK163" s="21"/>
      <c r="MYL163" s="7"/>
      <c r="MYM163" s="7"/>
      <c r="MYN163" s="21"/>
      <c r="MYO163" s="20"/>
      <c r="MYP163" s="20"/>
      <c r="MYQ163" s="20"/>
      <c r="MYR163" s="21"/>
      <c r="MYS163" s="21"/>
      <c r="MYT163" s="21"/>
      <c r="MYU163" s="21"/>
      <c r="MYV163" s="21"/>
      <c r="MYW163" s="20"/>
      <c r="MYX163" s="20"/>
      <c r="MYY163" s="20"/>
      <c r="MYZ163" s="20"/>
      <c r="MZA163" s="21"/>
      <c r="MZB163" s="21"/>
      <c r="MZC163" s="7"/>
      <c r="MZD163" s="7"/>
      <c r="MZE163" s="21"/>
      <c r="MZF163" s="20"/>
      <c r="MZG163" s="20"/>
      <c r="MZH163" s="20"/>
      <c r="MZI163" s="21"/>
      <c r="MZJ163" s="21"/>
      <c r="MZK163" s="21"/>
      <c r="MZL163" s="21"/>
      <c r="MZM163" s="21"/>
      <c r="MZN163" s="20"/>
      <c r="MZO163" s="20"/>
      <c r="MZP163" s="20"/>
      <c r="MZQ163" s="20"/>
      <c r="MZR163" s="21"/>
      <c r="MZS163" s="21"/>
      <c r="MZT163" s="7"/>
      <c r="MZU163" s="7"/>
      <c r="MZV163" s="21"/>
      <c r="MZW163" s="20"/>
      <c r="MZX163" s="20"/>
      <c r="MZY163" s="20"/>
      <c r="MZZ163" s="21"/>
      <c r="NAA163" s="21"/>
      <c r="NAB163" s="21"/>
      <c r="NAC163" s="21"/>
      <c r="NAD163" s="21"/>
      <c r="NAE163" s="20"/>
      <c r="NAF163" s="20"/>
      <c r="NAG163" s="20"/>
      <c r="NAH163" s="20"/>
      <c r="NAI163" s="21"/>
      <c r="NAJ163" s="21"/>
      <c r="NAK163" s="7"/>
      <c r="NAL163" s="7"/>
      <c r="NAM163" s="21"/>
      <c r="NAN163" s="20"/>
      <c r="NAO163" s="20"/>
      <c r="NAP163" s="20"/>
      <c r="NAQ163" s="21"/>
      <c r="NAR163" s="21"/>
      <c r="NAS163" s="21"/>
      <c r="NAT163" s="21"/>
      <c r="NAU163" s="21"/>
      <c r="NAV163" s="20"/>
      <c r="NAW163" s="20"/>
      <c r="NAX163" s="20"/>
      <c r="NAY163" s="20"/>
      <c r="NAZ163" s="21"/>
      <c r="NBA163" s="21"/>
      <c r="NBB163" s="7"/>
      <c r="NBC163" s="7"/>
      <c r="NBD163" s="21"/>
      <c r="NBE163" s="20"/>
      <c r="NBF163" s="20"/>
      <c r="NBG163" s="20"/>
      <c r="NBH163" s="21"/>
      <c r="NBI163" s="21"/>
      <c r="NBJ163" s="21"/>
      <c r="NBK163" s="21"/>
      <c r="NBL163" s="21"/>
      <c r="NBM163" s="20"/>
      <c r="NBN163" s="20"/>
      <c r="NBO163" s="20"/>
      <c r="NBP163" s="20"/>
      <c r="NBQ163" s="21"/>
      <c r="NBR163" s="21"/>
      <c r="NBS163" s="7"/>
      <c r="NBT163" s="7"/>
      <c r="NBU163" s="21"/>
      <c r="NBV163" s="20"/>
      <c r="NBW163" s="20"/>
      <c r="NBX163" s="20"/>
      <c r="NBY163" s="21"/>
      <c r="NBZ163" s="21"/>
      <c r="NCA163" s="21"/>
      <c r="NCB163" s="21"/>
      <c r="NCC163" s="21"/>
      <c r="NCD163" s="20"/>
      <c r="NCE163" s="20"/>
      <c r="NCF163" s="20"/>
      <c r="NCG163" s="20"/>
      <c r="NCH163" s="21"/>
      <c r="NCI163" s="21"/>
      <c r="NCJ163" s="7"/>
      <c r="NCK163" s="7"/>
      <c r="NCL163" s="21"/>
      <c r="NCM163" s="20"/>
      <c r="NCN163" s="20"/>
      <c r="NCO163" s="20"/>
      <c r="NCP163" s="21"/>
      <c r="NCQ163" s="21"/>
      <c r="NCR163" s="21"/>
      <c r="NCS163" s="21"/>
      <c r="NCT163" s="21"/>
      <c r="NCU163" s="20"/>
      <c r="NCV163" s="20"/>
      <c r="NCW163" s="20"/>
      <c r="NCX163" s="20"/>
      <c r="NCY163" s="21"/>
      <c r="NCZ163" s="21"/>
      <c r="NDA163" s="7"/>
      <c r="NDB163" s="7"/>
      <c r="NDC163" s="21"/>
      <c r="NDD163" s="20"/>
      <c r="NDE163" s="20"/>
      <c r="NDF163" s="20"/>
      <c r="NDG163" s="21"/>
      <c r="NDH163" s="21"/>
      <c r="NDI163" s="21"/>
      <c r="NDJ163" s="21"/>
      <c r="NDK163" s="21"/>
      <c r="NDL163" s="20"/>
      <c r="NDM163" s="20"/>
      <c r="NDN163" s="20"/>
      <c r="NDO163" s="20"/>
      <c r="NDP163" s="21"/>
      <c r="NDQ163" s="21"/>
      <c r="NDR163" s="7"/>
      <c r="NDS163" s="7"/>
      <c r="NDT163" s="21"/>
      <c r="NDU163" s="20"/>
      <c r="NDV163" s="20"/>
      <c r="NDW163" s="20"/>
      <c r="NDX163" s="21"/>
      <c r="NDY163" s="21"/>
      <c r="NDZ163" s="21"/>
      <c r="NEA163" s="21"/>
      <c r="NEB163" s="21"/>
      <c r="NEC163" s="20"/>
      <c r="NED163" s="20"/>
      <c r="NEE163" s="20"/>
      <c r="NEF163" s="20"/>
      <c r="NEG163" s="21"/>
      <c r="NEH163" s="21"/>
      <c r="NEI163" s="7"/>
      <c r="NEJ163" s="7"/>
      <c r="NEK163" s="21"/>
      <c r="NEL163" s="20"/>
      <c r="NEM163" s="20"/>
      <c r="NEN163" s="20"/>
      <c r="NEO163" s="21"/>
      <c r="NEP163" s="21"/>
      <c r="NEQ163" s="21"/>
      <c r="NER163" s="21"/>
      <c r="NES163" s="21"/>
      <c r="NET163" s="20"/>
      <c r="NEU163" s="20"/>
      <c r="NEV163" s="20"/>
      <c r="NEW163" s="20"/>
      <c r="NEX163" s="21"/>
      <c r="NEY163" s="21"/>
      <c r="NEZ163" s="7"/>
      <c r="NFA163" s="7"/>
      <c r="NFB163" s="21"/>
      <c r="NFC163" s="20"/>
      <c r="NFD163" s="20"/>
      <c r="NFE163" s="20"/>
      <c r="NFF163" s="21"/>
      <c r="NFG163" s="21"/>
      <c r="NFH163" s="21"/>
      <c r="NFI163" s="21"/>
      <c r="NFJ163" s="21"/>
      <c r="NFK163" s="20"/>
      <c r="NFL163" s="20"/>
      <c r="NFM163" s="20"/>
      <c r="NFN163" s="20"/>
      <c r="NFO163" s="21"/>
      <c r="NFP163" s="21"/>
      <c r="NFQ163" s="7"/>
      <c r="NFR163" s="7"/>
      <c r="NFS163" s="21"/>
      <c r="NFT163" s="20"/>
      <c r="NFU163" s="20"/>
      <c r="NFV163" s="20"/>
      <c r="NFW163" s="21"/>
      <c r="NFX163" s="21"/>
      <c r="NFY163" s="21"/>
      <c r="NFZ163" s="21"/>
      <c r="NGA163" s="21"/>
      <c r="NGB163" s="20"/>
      <c r="NGC163" s="20"/>
      <c r="NGD163" s="20"/>
      <c r="NGE163" s="20"/>
      <c r="NGF163" s="21"/>
      <c r="NGG163" s="21"/>
      <c r="NGH163" s="7"/>
      <c r="NGI163" s="7"/>
      <c r="NGJ163" s="21"/>
      <c r="NGK163" s="20"/>
      <c r="NGL163" s="20"/>
      <c r="NGM163" s="20"/>
      <c r="NGN163" s="21"/>
      <c r="NGO163" s="21"/>
      <c r="NGP163" s="21"/>
      <c r="NGQ163" s="21"/>
      <c r="NGR163" s="21"/>
      <c r="NGS163" s="20"/>
      <c r="NGT163" s="20"/>
      <c r="NGU163" s="20"/>
      <c r="NGV163" s="20"/>
      <c r="NGW163" s="21"/>
      <c r="NGX163" s="21"/>
      <c r="NGY163" s="7"/>
      <c r="NGZ163" s="7"/>
      <c r="NHA163" s="21"/>
      <c r="NHB163" s="20"/>
      <c r="NHC163" s="20"/>
      <c r="NHD163" s="20"/>
      <c r="NHE163" s="21"/>
      <c r="NHF163" s="21"/>
      <c r="NHG163" s="21"/>
      <c r="NHH163" s="21"/>
      <c r="NHI163" s="21"/>
      <c r="NHJ163" s="20"/>
      <c r="NHK163" s="20"/>
      <c r="NHL163" s="20"/>
      <c r="NHM163" s="20"/>
      <c r="NHN163" s="21"/>
      <c r="NHO163" s="21"/>
      <c r="NHP163" s="7"/>
      <c r="NHQ163" s="7"/>
      <c r="NHR163" s="21"/>
      <c r="NHS163" s="20"/>
      <c r="NHT163" s="20"/>
      <c r="NHU163" s="20"/>
      <c r="NHV163" s="21"/>
      <c r="NHW163" s="21"/>
      <c r="NHX163" s="21"/>
      <c r="NHY163" s="21"/>
      <c r="NHZ163" s="21"/>
      <c r="NIA163" s="20"/>
      <c r="NIB163" s="20"/>
      <c r="NIC163" s="20"/>
      <c r="NID163" s="20"/>
      <c r="NIE163" s="21"/>
      <c r="NIF163" s="21"/>
      <c r="NIG163" s="7"/>
      <c r="NIH163" s="7"/>
      <c r="NII163" s="21"/>
      <c r="NIJ163" s="20"/>
      <c r="NIK163" s="20"/>
      <c r="NIL163" s="20"/>
      <c r="NIM163" s="21"/>
      <c r="NIN163" s="21"/>
      <c r="NIO163" s="21"/>
      <c r="NIP163" s="21"/>
      <c r="NIQ163" s="21"/>
      <c r="NIR163" s="20"/>
      <c r="NIS163" s="20"/>
      <c r="NIT163" s="20"/>
      <c r="NIU163" s="20"/>
      <c r="NIV163" s="21"/>
      <c r="NIW163" s="21"/>
      <c r="NIX163" s="7"/>
      <c r="NIY163" s="7"/>
      <c r="NIZ163" s="21"/>
      <c r="NJA163" s="20"/>
      <c r="NJB163" s="20"/>
      <c r="NJC163" s="20"/>
      <c r="NJD163" s="21"/>
      <c r="NJE163" s="21"/>
      <c r="NJF163" s="21"/>
      <c r="NJG163" s="21"/>
      <c r="NJH163" s="21"/>
      <c r="NJI163" s="20"/>
      <c r="NJJ163" s="20"/>
      <c r="NJK163" s="20"/>
      <c r="NJL163" s="20"/>
      <c r="NJM163" s="21"/>
      <c r="NJN163" s="21"/>
      <c r="NJO163" s="7"/>
      <c r="NJP163" s="7"/>
      <c r="NJQ163" s="21"/>
      <c r="NJR163" s="20"/>
      <c r="NJS163" s="20"/>
      <c r="NJT163" s="20"/>
      <c r="NJU163" s="21"/>
      <c r="NJV163" s="21"/>
      <c r="NJW163" s="21"/>
      <c r="NJX163" s="21"/>
      <c r="NJY163" s="21"/>
      <c r="NJZ163" s="20"/>
      <c r="NKA163" s="20"/>
      <c r="NKB163" s="20"/>
      <c r="NKC163" s="20"/>
      <c r="NKD163" s="21"/>
      <c r="NKE163" s="21"/>
      <c r="NKF163" s="7"/>
      <c r="NKG163" s="7"/>
      <c r="NKH163" s="21"/>
      <c r="NKI163" s="20"/>
      <c r="NKJ163" s="20"/>
      <c r="NKK163" s="20"/>
      <c r="NKL163" s="21"/>
      <c r="NKM163" s="21"/>
      <c r="NKN163" s="21"/>
      <c r="NKO163" s="21"/>
      <c r="NKP163" s="21"/>
      <c r="NKQ163" s="20"/>
      <c r="NKR163" s="20"/>
      <c r="NKS163" s="20"/>
      <c r="NKT163" s="20"/>
      <c r="NKU163" s="21"/>
      <c r="NKV163" s="21"/>
      <c r="NKW163" s="7"/>
      <c r="NKX163" s="7"/>
      <c r="NKY163" s="21"/>
      <c r="NKZ163" s="20"/>
      <c r="NLA163" s="20"/>
      <c r="NLB163" s="20"/>
      <c r="NLC163" s="21"/>
      <c r="NLD163" s="21"/>
      <c r="NLE163" s="21"/>
      <c r="NLF163" s="21"/>
      <c r="NLG163" s="21"/>
      <c r="NLH163" s="20"/>
      <c r="NLI163" s="20"/>
      <c r="NLJ163" s="20"/>
      <c r="NLK163" s="20"/>
      <c r="NLL163" s="21"/>
      <c r="NLM163" s="21"/>
      <c r="NLN163" s="7"/>
      <c r="NLO163" s="7"/>
      <c r="NLP163" s="21"/>
      <c r="NLQ163" s="20"/>
      <c r="NLR163" s="20"/>
      <c r="NLS163" s="20"/>
      <c r="NLT163" s="21"/>
      <c r="NLU163" s="21"/>
      <c r="NLV163" s="21"/>
      <c r="NLW163" s="21"/>
      <c r="NLX163" s="21"/>
      <c r="NLY163" s="20"/>
      <c r="NLZ163" s="20"/>
      <c r="NMA163" s="20"/>
      <c r="NMB163" s="20"/>
      <c r="NMC163" s="21"/>
      <c r="NMD163" s="21"/>
      <c r="NME163" s="7"/>
      <c r="NMF163" s="7"/>
      <c r="NMG163" s="21"/>
      <c r="NMH163" s="20"/>
      <c r="NMI163" s="20"/>
      <c r="NMJ163" s="20"/>
      <c r="NMK163" s="21"/>
      <c r="NML163" s="21"/>
      <c r="NMM163" s="21"/>
      <c r="NMN163" s="21"/>
      <c r="NMO163" s="21"/>
      <c r="NMP163" s="20"/>
      <c r="NMQ163" s="20"/>
      <c r="NMR163" s="20"/>
      <c r="NMS163" s="20"/>
      <c r="NMT163" s="21"/>
      <c r="NMU163" s="21"/>
      <c r="NMV163" s="7"/>
      <c r="NMW163" s="7"/>
      <c r="NMX163" s="21"/>
      <c r="NMY163" s="20"/>
      <c r="NMZ163" s="20"/>
      <c r="NNA163" s="20"/>
      <c r="NNB163" s="21"/>
      <c r="NNC163" s="21"/>
      <c r="NND163" s="21"/>
      <c r="NNE163" s="21"/>
      <c r="NNF163" s="21"/>
      <c r="NNG163" s="20"/>
      <c r="NNH163" s="20"/>
      <c r="NNI163" s="20"/>
      <c r="NNJ163" s="20"/>
      <c r="NNK163" s="21"/>
      <c r="NNL163" s="21"/>
      <c r="NNM163" s="7"/>
      <c r="NNN163" s="7"/>
      <c r="NNO163" s="21"/>
      <c r="NNP163" s="20"/>
      <c r="NNQ163" s="20"/>
      <c r="NNR163" s="20"/>
      <c r="NNS163" s="21"/>
      <c r="NNT163" s="21"/>
      <c r="NNU163" s="21"/>
      <c r="NNV163" s="21"/>
      <c r="NNW163" s="21"/>
      <c r="NNX163" s="20"/>
      <c r="NNY163" s="20"/>
      <c r="NNZ163" s="20"/>
      <c r="NOA163" s="20"/>
      <c r="NOB163" s="21"/>
      <c r="NOC163" s="21"/>
      <c r="NOD163" s="7"/>
      <c r="NOE163" s="7"/>
      <c r="NOF163" s="21"/>
      <c r="NOG163" s="20"/>
      <c r="NOH163" s="20"/>
      <c r="NOI163" s="20"/>
      <c r="NOJ163" s="21"/>
      <c r="NOK163" s="21"/>
      <c r="NOL163" s="21"/>
      <c r="NOM163" s="21"/>
      <c r="NON163" s="21"/>
      <c r="NOO163" s="20"/>
      <c r="NOP163" s="20"/>
      <c r="NOQ163" s="20"/>
      <c r="NOR163" s="20"/>
      <c r="NOS163" s="21"/>
      <c r="NOT163" s="21"/>
      <c r="NOU163" s="7"/>
      <c r="NOV163" s="7"/>
      <c r="NOW163" s="21"/>
      <c r="NOX163" s="20"/>
      <c r="NOY163" s="20"/>
      <c r="NOZ163" s="20"/>
      <c r="NPA163" s="21"/>
      <c r="NPB163" s="21"/>
      <c r="NPC163" s="21"/>
      <c r="NPD163" s="21"/>
      <c r="NPE163" s="21"/>
      <c r="NPF163" s="20"/>
      <c r="NPG163" s="20"/>
      <c r="NPH163" s="20"/>
      <c r="NPI163" s="20"/>
      <c r="NPJ163" s="21"/>
      <c r="NPK163" s="21"/>
      <c r="NPL163" s="7"/>
      <c r="NPM163" s="7"/>
      <c r="NPN163" s="21"/>
      <c r="NPO163" s="20"/>
      <c r="NPP163" s="20"/>
      <c r="NPQ163" s="20"/>
      <c r="NPR163" s="21"/>
      <c r="NPS163" s="21"/>
      <c r="NPT163" s="21"/>
      <c r="NPU163" s="21"/>
      <c r="NPV163" s="21"/>
      <c r="NPW163" s="20"/>
      <c r="NPX163" s="20"/>
      <c r="NPY163" s="20"/>
      <c r="NPZ163" s="20"/>
      <c r="NQA163" s="21"/>
      <c r="NQB163" s="21"/>
      <c r="NQC163" s="7"/>
      <c r="NQD163" s="7"/>
      <c r="NQE163" s="21"/>
      <c r="NQF163" s="20"/>
      <c r="NQG163" s="20"/>
      <c r="NQH163" s="20"/>
      <c r="NQI163" s="21"/>
      <c r="NQJ163" s="21"/>
      <c r="NQK163" s="21"/>
      <c r="NQL163" s="21"/>
      <c r="NQM163" s="21"/>
      <c r="NQN163" s="20"/>
      <c r="NQO163" s="20"/>
      <c r="NQP163" s="20"/>
      <c r="NQQ163" s="20"/>
      <c r="NQR163" s="21"/>
      <c r="NQS163" s="21"/>
      <c r="NQT163" s="7"/>
      <c r="NQU163" s="7"/>
      <c r="NQV163" s="21"/>
      <c r="NQW163" s="20"/>
      <c r="NQX163" s="20"/>
      <c r="NQY163" s="20"/>
      <c r="NQZ163" s="21"/>
      <c r="NRA163" s="21"/>
      <c r="NRB163" s="21"/>
      <c r="NRC163" s="21"/>
      <c r="NRD163" s="21"/>
      <c r="NRE163" s="20"/>
      <c r="NRF163" s="20"/>
      <c r="NRG163" s="20"/>
      <c r="NRH163" s="20"/>
      <c r="NRI163" s="21"/>
      <c r="NRJ163" s="21"/>
      <c r="NRK163" s="7"/>
      <c r="NRL163" s="7"/>
      <c r="NRM163" s="21"/>
      <c r="NRN163" s="20"/>
      <c r="NRO163" s="20"/>
      <c r="NRP163" s="20"/>
      <c r="NRQ163" s="21"/>
      <c r="NRR163" s="21"/>
      <c r="NRS163" s="21"/>
      <c r="NRT163" s="21"/>
      <c r="NRU163" s="21"/>
      <c r="NRV163" s="20"/>
      <c r="NRW163" s="20"/>
      <c r="NRX163" s="20"/>
      <c r="NRY163" s="20"/>
      <c r="NRZ163" s="21"/>
      <c r="NSA163" s="21"/>
      <c r="NSB163" s="7"/>
      <c r="NSC163" s="7"/>
      <c r="NSD163" s="21"/>
      <c r="NSE163" s="20"/>
      <c r="NSF163" s="20"/>
      <c r="NSG163" s="20"/>
      <c r="NSH163" s="21"/>
      <c r="NSI163" s="21"/>
      <c r="NSJ163" s="21"/>
      <c r="NSK163" s="21"/>
      <c r="NSL163" s="21"/>
      <c r="NSM163" s="20"/>
      <c r="NSN163" s="20"/>
      <c r="NSO163" s="20"/>
      <c r="NSP163" s="20"/>
      <c r="NSQ163" s="21"/>
      <c r="NSR163" s="21"/>
      <c r="NSS163" s="7"/>
      <c r="NST163" s="7"/>
      <c r="NSU163" s="21"/>
      <c r="NSV163" s="20"/>
      <c r="NSW163" s="20"/>
      <c r="NSX163" s="20"/>
      <c r="NSY163" s="21"/>
      <c r="NSZ163" s="21"/>
      <c r="NTA163" s="21"/>
      <c r="NTB163" s="21"/>
      <c r="NTC163" s="21"/>
      <c r="NTD163" s="20"/>
      <c r="NTE163" s="20"/>
      <c r="NTF163" s="20"/>
      <c r="NTG163" s="20"/>
      <c r="NTH163" s="21"/>
      <c r="NTI163" s="21"/>
      <c r="NTJ163" s="7"/>
      <c r="NTK163" s="7"/>
      <c r="NTL163" s="21"/>
      <c r="NTM163" s="20"/>
      <c r="NTN163" s="20"/>
      <c r="NTO163" s="20"/>
      <c r="NTP163" s="21"/>
      <c r="NTQ163" s="21"/>
      <c r="NTR163" s="21"/>
      <c r="NTS163" s="21"/>
      <c r="NTT163" s="21"/>
      <c r="NTU163" s="20"/>
      <c r="NTV163" s="20"/>
      <c r="NTW163" s="20"/>
      <c r="NTX163" s="20"/>
      <c r="NTY163" s="21"/>
      <c r="NTZ163" s="21"/>
      <c r="NUA163" s="7"/>
      <c r="NUB163" s="7"/>
      <c r="NUC163" s="21"/>
      <c r="NUD163" s="20"/>
      <c r="NUE163" s="20"/>
      <c r="NUF163" s="20"/>
      <c r="NUG163" s="21"/>
      <c r="NUH163" s="21"/>
      <c r="NUI163" s="21"/>
      <c r="NUJ163" s="21"/>
      <c r="NUK163" s="21"/>
      <c r="NUL163" s="20"/>
      <c r="NUM163" s="20"/>
      <c r="NUN163" s="20"/>
      <c r="NUO163" s="20"/>
      <c r="NUP163" s="21"/>
      <c r="NUQ163" s="21"/>
      <c r="NUR163" s="7"/>
      <c r="NUS163" s="7"/>
      <c r="NUT163" s="21"/>
      <c r="NUU163" s="20"/>
      <c r="NUV163" s="20"/>
      <c r="NUW163" s="20"/>
      <c r="NUX163" s="21"/>
      <c r="NUY163" s="21"/>
      <c r="NUZ163" s="21"/>
      <c r="NVA163" s="21"/>
      <c r="NVB163" s="21"/>
      <c r="NVC163" s="20"/>
      <c r="NVD163" s="20"/>
      <c r="NVE163" s="20"/>
      <c r="NVF163" s="20"/>
      <c r="NVG163" s="21"/>
      <c r="NVH163" s="21"/>
      <c r="NVI163" s="7"/>
      <c r="NVJ163" s="7"/>
      <c r="NVK163" s="21"/>
      <c r="NVL163" s="20"/>
      <c r="NVM163" s="20"/>
      <c r="NVN163" s="20"/>
      <c r="NVO163" s="21"/>
      <c r="NVP163" s="21"/>
      <c r="NVQ163" s="21"/>
      <c r="NVR163" s="21"/>
      <c r="NVS163" s="21"/>
      <c r="NVT163" s="20"/>
      <c r="NVU163" s="20"/>
      <c r="NVV163" s="20"/>
      <c r="NVW163" s="20"/>
      <c r="NVX163" s="21"/>
      <c r="NVY163" s="21"/>
      <c r="NVZ163" s="7"/>
      <c r="NWA163" s="7"/>
      <c r="NWB163" s="21"/>
      <c r="NWC163" s="20"/>
      <c r="NWD163" s="20"/>
      <c r="NWE163" s="20"/>
      <c r="NWF163" s="21"/>
      <c r="NWG163" s="21"/>
      <c r="NWH163" s="21"/>
      <c r="NWI163" s="21"/>
      <c r="NWJ163" s="21"/>
      <c r="NWK163" s="20"/>
      <c r="NWL163" s="20"/>
      <c r="NWM163" s="20"/>
      <c r="NWN163" s="20"/>
      <c r="NWO163" s="21"/>
      <c r="NWP163" s="21"/>
      <c r="NWQ163" s="7"/>
      <c r="NWR163" s="7"/>
      <c r="NWS163" s="21"/>
      <c r="NWT163" s="20"/>
      <c r="NWU163" s="20"/>
      <c r="NWV163" s="20"/>
      <c r="NWW163" s="21"/>
      <c r="NWX163" s="21"/>
      <c r="NWY163" s="21"/>
      <c r="NWZ163" s="21"/>
      <c r="NXA163" s="21"/>
      <c r="NXB163" s="20"/>
      <c r="NXC163" s="20"/>
      <c r="NXD163" s="20"/>
      <c r="NXE163" s="20"/>
      <c r="NXF163" s="21"/>
      <c r="NXG163" s="21"/>
      <c r="NXH163" s="7"/>
      <c r="NXI163" s="7"/>
      <c r="NXJ163" s="21"/>
      <c r="NXK163" s="20"/>
      <c r="NXL163" s="20"/>
      <c r="NXM163" s="20"/>
      <c r="NXN163" s="21"/>
      <c r="NXO163" s="21"/>
      <c r="NXP163" s="21"/>
      <c r="NXQ163" s="21"/>
      <c r="NXR163" s="21"/>
      <c r="NXS163" s="20"/>
      <c r="NXT163" s="20"/>
      <c r="NXU163" s="20"/>
      <c r="NXV163" s="20"/>
      <c r="NXW163" s="21"/>
      <c r="NXX163" s="21"/>
      <c r="NXY163" s="7"/>
      <c r="NXZ163" s="7"/>
      <c r="NYA163" s="21"/>
      <c r="NYB163" s="20"/>
      <c r="NYC163" s="20"/>
      <c r="NYD163" s="20"/>
      <c r="NYE163" s="21"/>
      <c r="NYF163" s="21"/>
      <c r="NYG163" s="21"/>
      <c r="NYH163" s="21"/>
      <c r="NYI163" s="21"/>
      <c r="NYJ163" s="20"/>
      <c r="NYK163" s="20"/>
      <c r="NYL163" s="20"/>
      <c r="NYM163" s="20"/>
      <c r="NYN163" s="21"/>
      <c r="NYO163" s="21"/>
      <c r="NYP163" s="7"/>
      <c r="NYQ163" s="7"/>
      <c r="NYR163" s="21"/>
      <c r="NYS163" s="20"/>
      <c r="NYT163" s="20"/>
      <c r="NYU163" s="20"/>
      <c r="NYV163" s="21"/>
      <c r="NYW163" s="21"/>
      <c r="NYX163" s="21"/>
      <c r="NYY163" s="21"/>
      <c r="NYZ163" s="21"/>
      <c r="NZA163" s="20"/>
      <c r="NZB163" s="20"/>
      <c r="NZC163" s="20"/>
      <c r="NZD163" s="20"/>
      <c r="NZE163" s="21"/>
      <c r="NZF163" s="21"/>
      <c r="NZG163" s="7"/>
      <c r="NZH163" s="7"/>
      <c r="NZI163" s="21"/>
      <c r="NZJ163" s="20"/>
      <c r="NZK163" s="20"/>
      <c r="NZL163" s="20"/>
      <c r="NZM163" s="21"/>
      <c r="NZN163" s="21"/>
      <c r="NZO163" s="21"/>
      <c r="NZP163" s="21"/>
      <c r="NZQ163" s="21"/>
      <c r="NZR163" s="20"/>
      <c r="NZS163" s="20"/>
      <c r="NZT163" s="20"/>
      <c r="NZU163" s="20"/>
      <c r="NZV163" s="21"/>
      <c r="NZW163" s="21"/>
      <c r="NZX163" s="7"/>
      <c r="NZY163" s="7"/>
      <c r="NZZ163" s="21"/>
      <c r="OAA163" s="20"/>
      <c r="OAB163" s="20"/>
      <c r="OAC163" s="20"/>
      <c r="OAD163" s="21"/>
      <c r="OAE163" s="21"/>
      <c r="OAF163" s="21"/>
      <c r="OAG163" s="21"/>
      <c r="OAH163" s="21"/>
      <c r="OAI163" s="20"/>
      <c r="OAJ163" s="20"/>
      <c r="OAK163" s="20"/>
      <c r="OAL163" s="20"/>
      <c r="OAM163" s="21"/>
      <c r="OAN163" s="21"/>
      <c r="OAO163" s="7"/>
      <c r="OAP163" s="7"/>
      <c r="OAQ163" s="21"/>
      <c r="OAR163" s="20"/>
      <c r="OAS163" s="20"/>
      <c r="OAT163" s="20"/>
      <c r="OAU163" s="21"/>
      <c r="OAV163" s="21"/>
      <c r="OAW163" s="21"/>
      <c r="OAX163" s="21"/>
      <c r="OAY163" s="21"/>
      <c r="OAZ163" s="20"/>
      <c r="OBA163" s="20"/>
      <c r="OBB163" s="20"/>
      <c r="OBC163" s="20"/>
      <c r="OBD163" s="21"/>
      <c r="OBE163" s="21"/>
      <c r="OBF163" s="7"/>
      <c r="OBG163" s="7"/>
      <c r="OBH163" s="21"/>
      <c r="OBI163" s="20"/>
      <c r="OBJ163" s="20"/>
      <c r="OBK163" s="20"/>
      <c r="OBL163" s="21"/>
      <c r="OBM163" s="21"/>
      <c r="OBN163" s="21"/>
      <c r="OBO163" s="21"/>
      <c r="OBP163" s="21"/>
      <c r="OBQ163" s="20"/>
      <c r="OBR163" s="20"/>
      <c r="OBS163" s="20"/>
      <c r="OBT163" s="20"/>
      <c r="OBU163" s="21"/>
      <c r="OBV163" s="21"/>
      <c r="OBW163" s="7"/>
      <c r="OBX163" s="7"/>
      <c r="OBY163" s="21"/>
      <c r="OBZ163" s="20"/>
      <c r="OCA163" s="20"/>
      <c r="OCB163" s="20"/>
      <c r="OCC163" s="21"/>
      <c r="OCD163" s="21"/>
      <c r="OCE163" s="21"/>
      <c r="OCF163" s="21"/>
      <c r="OCG163" s="21"/>
      <c r="OCH163" s="20"/>
      <c r="OCI163" s="20"/>
      <c r="OCJ163" s="20"/>
      <c r="OCK163" s="20"/>
      <c r="OCL163" s="21"/>
      <c r="OCM163" s="21"/>
      <c r="OCN163" s="7"/>
      <c r="OCO163" s="7"/>
      <c r="OCP163" s="21"/>
      <c r="OCQ163" s="20"/>
      <c r="OCR163" s="20"/>
      <c r="OCS163" s="20"/>
      <c r="OCT163" s="21"/>
      <c r="OCU163" s="21"/>
      <c r="OCV163" s="21"/>
      <c r="OCW163" s="21"/>
      <c r="OCX163" s="21"/>
      <c r="OCY163" s="20"/>
      <c r="OCZ163" s="20"/>
      <c r="ODA163" s="20"/>
      <c r="ODB163" s="20"/>
      <c r="ODC163" s="21"/>
      <c r="ODD163" s="21"/>
      <c r="ODE163" s="7"/>
      <c r="ODF163" s="7"/>
      <c r="ODG163" s="21"/>
      <c r="ODH163" s="20"/>
      <c r="ODI163" s="20"/>
      <c r="ODJ163" s="20"/>
      <c r="ODK163" s="21"/>
      <c r="ODL163" s="21"/>
      <c r="ODM163" s="21"/>
      <c r="ODN163" s="21"/>
      <c r="ODO163" s="21"/>
      <c r="ODP163" s="20"/>
      <c r="ODQ163" s="20"/>
      <c r="ODR163" s="20"/>
      <c r="ODS163" s="20"/>
      <c r="ODT163" s="21"/>
      <c r="ODU163" s="21"/>
      <c r="ODV163" s="7"/>
      <c r="ODW163" s="7"/>
      <c r="ODX163" s="21"/>
      <c r="ODY163" s="20"/>
      <c r="ODZ163" s="20"/>
      <c r="OEA163" s="20"/>
      <c r="OEB163" s="21"/>
      <c r="OEC163" s="21"/>
      <c r="OED163" s="21"/>
      <c r="OEE163" s="21"/>
      <c r="OEF163" s="21"/>
      <c r="OEG163" s="20"/>
      <c r="OEH163" s="20"/>
      <c r="OEI163" s="20"/>
      <c r="OEJ163" s="20"/>
      <c r="OEK163" s="21"/>
      <c r="OEL163" s="21"/>
      <c r="OEM163" s="7"/>
      <c r="OEN163" s="7"/>
      <c r="OEO163" s="21"/>
      <c r="OEP163" s="20"/>
      <c r="OEQ163" s="20"/>
      <c r="OER163" s="20"/>
      <c r="OES163" s="21"/>
      <c r="OET163" s="21"/>
      <c r="OEU163" s="21"/>
      <c r="OEV163" s="21"/>
      <c r="OEW163" s="21"/>
      <c r="OEX163" s="20"/>
      <c r="OEY163" s="20"/>
      <c r="OEZ163" s="20"/>
      <c r="OFA163" s="20"/>
      <c r="OFB163" s="21"/>
      <c r="OFC163" s="21"/>
      <c r="OFD163" s="7"/>
      <c r="OFE163" s="7"/>
      <c r="OFF163" s="21"/>
      <c r="OFG163" s="20"/>
      <c r="OFH163" s="20"/>
      <c r="OFI163" s="20"/>
      <c r="OFJ163" s="21"/>
      <c r="OFK163" s="21"/>
      <c r="OFL163" s="21"/>
      <c r="OFM163" s="21"/>
      <c r="OFN163" s="21"/>
      <c r="OFO163" s="20"/>
      <c r="OFP163" s="20"/>
      <c r="OFQ163" s="20"/>
      <c r="OFR163" s="20"/>
      <c r="OFS163" s="21"/>
      <c r="OFT163" s="21"/>
      <c r="OFU163" s="7"/>
      <c r="OFV163" s="7"/>
      <c r="OFW163" s="21"/>
      <c r="OFX163" s="20"/>
      <c r="OFY163" s="20"/>
      <c r="OFZ163" s="20"/>
      <c r="OGA163" s="21"/>
      <c r="OGB163" s="21"/>
      <c r="OGC163" s="21"/>
      <c r="OGD163" s="21"/>
      <c r="OGE163" s="21"/>
      <c r="OGF163" s="20"/>
      <c r="OGG163" s="20"/>
      <c r="OGH163" s="20"/>
      <c r="OGI163" s="20"/>
      <c r="OGJ163" s="21"/>
      <c r="OGK163" s="21"/>
      <c r="OGL163" s="7"/>
      <c r="OGM163" s="7"/>
      <c r="OGN163" s="21"/>
      <c r="OGO163" s="20"/>
      <c r="OGP163" s="20"/>
      <c r="OGQ163" s="20"/>
      <c r="OGR163" s="21"/>
      <c r="OGS163" s="21"/>
      <c r="OGT163" s="21"/>
      <c r="OGU163" s="21"/>
      <c r="OGV163" s="21"/>
      <c r="OGW163" s="20"/>
      <c r="OGX163" s="20"/>
      <c r="OGY163" s="20"/>
      <c r="OGZ163" s="20"/>
      <c r="OHA163" s="21"/>
      <c r="OHB163" s="21"/>
      <c r="OHC163" s="7"/>
      <c r="OHD163" s="7"/>
      <c r="OHE163" s="21"/>
      <c r="OHF163" s="20"/>
      <c r="OHG163" s="20"/>
      <c r="OHH163" s="20"/>
      <c r="OHI163" s="21"/>
      <c r="OHJ163" s="21"/>
      <c r="OHK163" s="21"/>
      <c r="OHL163" s="21"/>
      <c r="OHM163" s="21"/>
      <c r="OHN163" s="20"/>
      <c r="OHO163" s="20"/>
      <c r="OHP163" s="20"/>
      <c r="OHQ163" s="20"/>
      <c r="OHR163" s="21"/>
      <c r="OHS163" s="21"/>
      <c r="OHT163" s="7"/>
      <c r="OHU163" s="7"/>
      <c r="OHV163" s="21"/>
      <c r="OHW163" s="20"/>
      <c r="OHX163" s="20"/>
      <c r="OHY163" s="20"/>
      <c r="OHZ163" s="21"/>
      <c r="OIA163" s="21"/>
      <c r="OIB163" s="21"/>
      <c r="OIC163" s="21"/>
      <c r="OID163" s="21"/>
      <c r="OIE163" s="20"/>
      <c r="OIF163" s="20"/>
      <c r="OIG163" s="20"/>
      <c r="OIH163" s="20"/>
      <c r="OII163" s="21"/>
      <c r="OIJ163" s="21"/>
      <c r="OIK163" s="7"/>
      <c r="OIL163" s="7"/>
      <c r="OIM163" s="21"/>
      <c r="OIN163" s="20"/>
      <c r="OIO163" s="20"/>
      <c r="OIP163" s="20"/>
      <c r="OIQ163" s="21"/>
      <c r="OIR163" s="21"/>
      <c r="OIS163" s="21"/>
      <c r="OIT163" s="21"/>
      <c r="OIU163" s="21"/>
      <c r="OIV163" s="20"/>
      <c r="OIW163" s="20"/>
      <c r="OIX163" s="20"/>
      <c r="OIY163" s="20"/>
      <c r="OIZ163" s="21"/>
      <c r="OJA163" s="21"/>
      <c r="OJB163" s="7"/>
      <c r="OJC163" s="7"/>
      <c r="OJD163" s="21"/>
      <c r="OJE163" s="20"/>
      <c r="OJF163" s="20"/>
      <c r="OJG163" s="20"/>
      <c r="OJH163" s="21"/>
      <c r="OJI163" s="21"/>
      <c r="OJJ163" s="21"/>
      <c r="OJK163" s="21"/>
      <c r="OJL163" s="21"/>
      <c r="OJM163" s="20"/>
      <c r="OJN163" s="20"/>
      <c r="OJO163" s="20"/>
      <c r="OJP163" s="20"/>
      <c r="OJQ163" s="21"/>
      <c r="OJR163" s="21"/>
      <c r="OJS163" s="7"/>
      <c r="OJT163" s="7"/>
      <c r="OJU163" s="21"/>
      <c r="OJV163" s="20"/>
      <c r="OJW163" s="20"/>
      <c r="OJX163" s="20"/>
      <c r="OJY163" s="21"/>
      <c r="OJZ163" s="21"/>
      <c r="OKA163" s="21"/>
      <c r="OKB163" s="21"/>
      <c r="OKC163" s="21"/>
      <c r="OKD163" s="20"/>
      <c r="OKE163" s="20"/>
      <c r="OKF163" s="20"/>
      <c r="OKG163" s="20"/>
      <c r="OKH163" s="21"/>
      <c r="OKI163" s="21"/>
      <c r="OKJ163" s="7"/>
      <c r="OKK163" s="7"/>
      <c r="OKL163" s="21"/>
      <c r="OKM163" s="20"/>
      <c r="OKN163" s="20"/>
      <c r="OKO163" s="20"/>
      <c r="OKP163" s="21"/>
      <c r="OKQ163" s="21"/>
      <c r="OKR163" s="21"/>
      <c r="OKS163" s="21"/>
      <c r="OKT163" s="21"/>
      <c r="OKU163" s="20"/>
      <c r="OKV163" s="20"/>
      <c r="OKW163" s="20"/>
      <c r="OKX163" s="20"/>
      <c r="OKY163" s="21"/>
      <c r="OKZ163" s="21"/>
      <c r="OLA163" s="7"/>
      <c r="OLB163" s="7"/>
      <c r="OLC163" s="21"/>
      <c r="OLD163" s="20"/>
      <c r="OLE163" s="20"/>
      <c r="OLF163" s="20"/>
      <c r="OLG163" s="21"/>
      <c r="OLH163" s="21"/>
      <c r="OLI163" s="21"/>
      <c r="OLJ163" s="21"/>
      <c r="OLK163" s="21"/>
      <c r="OLL163" s="20"/>
      <c r="OLM163" s="20"/>
      <c r="OLN163" s="20"/>
      <c r="OLO163" s="20"/>
      <c r="OLP163" s="21"/>
      <c r="OLQ163" s="21"/>
      <c r="OLR163" s="7"/>
      <c r="OLS163" s="7"/>
      <c r="OLT163" s="21"/>
      <c r="OLU163" s="20"/>
      <c r="OLV163" s="20"/>
      <c r="OLW163" s="20"/>
      <c r="OLX163" s="21"/>
      <c r="OLY163" s="21"/>
      <c r="OLZ163" s="21"/>
      <c r="OMA163" s="21"/>
      <c r="OMB163" s="21"/>
      <c r="OMC163" s="20"/>
      <c r="OMD163" s="20"/>
      <c r="OME163" s="20"/>
      <c r="OMF163" s="20"/>
      <c r="OMG163" s="21"/>
      <c r="OMH163" s="21"/>
      <c r="OMI163" s="7"/>
      <c r="OMJ163" s="7"/>
      <c r="OMK163" s="21"/>
      <c r="OML163" s="20"/>
      <c r="OMM163" s="20"/>
      <c r="OMN163" s="20"/>
      <c r="OMO163" s="21"/>
      <c r="OMP163" s="21"/>
      <c r="OMQ163" s="21"/>
      <c r="OMR163" s="21"/>
      <c r="OMS163" s="21"/>
      <c r="OMT163" s="20"/>
      <c r="OMU163" s="20"/>
      <c r="OMV163" s="20"/>
      <c r="OMW163" s="20"/>
      <c r="OMX163" s="21"/>
      <c r="OMY163" s="21"/>
      <c r="OMZ163" s="7"/>
      <c r="ONA163" s="7"/>
      <c r="ONB163" s="21"/>
      <c r="ONC163" s="20"/>
      <c r="OND163" s="20"/>
      <c r="ONE163" s="20"/>
      <c r="ONF163" s="21"/>
      <c r="ONG163" s="21"/>
      <c r="ONH163" s="21"/>
      <c r="ONI163" s="21"/>
      <c r="ONJ163" s="21"/>
      <c r="ONK163" s="20"/>
      <c r="ONL163" s="20"/>
      <c r="ONM163" s="20"/>
      <c r="ONN163" s="20"/>
      <c r="ONO163" s="21"/>
      <c r="ONP163" s="21"/>
      <c r="ONQ163" s="7"/>
      <c r="ONR163" s="7"/>
      <c r="ONS163" s="21"/>
      <c r="ONT163" s="20"/>
      <c r="ONU163" s="20"/>
      <c r="ONV163" s="20"/>
      <c r="ONW163" s="21"/>
      <c r="ONX163" s="21"/>
      <c r="ONY163" s="21"/>
      <c r="ONZ163" s="21"/>
      <c r="OOA163" s="21"/>
      <c r="OOB163" s="20"/>
      <c r="OOC163" s="20"/>
      <c r="OOD163" s="20"/>
      <c r="OOE163" s="20"/>
      <c r="OOF163" s="21"/>
      <c r="OOG163" s="21"/>
      <c r="OOH163" s="7"/>
      <c r="OOI163" s="7"/>
      <c r="OOJ163" s="21"/>
      <c r="OOK163" s="20"/>
      <c r="OOL163" s="20"/>
      <c r="OOM163" s="20"/>
      <c r="OON163" s="21"/>
      <c r="OOO163" s="21"/>
      <c r="OOP163" s="21"/>
      <c r="OOQ163" s="21"/>
      <c r="OOR163" s="21"/>
      <c r="OOS163" s="20"/>
      <c r="OOT163" s="20"/>
      <c r="OOU163" s="20"/>
      <c r="OOV163" s="20"/>
      <c r="OOW163" s="21"/>
      <c r="OOX163" s="21"/>
      <c r="OOY163" s="7"/>
      <c r="OOZ163" s="7"/>
      <c r="OPA163" s="21"/>
      <c r="OPB163" s="20"/>
      <c r="OPC163" s="20"/>
      <c r="OPD163" s="20"/>
      <c r="OPE163" s="21"/>
      <c r="OPF163" s="21"/>
      <c r="OPG163" s="21"/>
      <c r="OPH163" s="21"/>
      <c r="OPI163" s="21"/>
      <c r="OPJ163" s="20"/>
      <c r="OPK163" s="20"/>
      <c r="OPL163" s="20"/>
      <c r="OPM163" s="20"/>
      <c r="OPN163" s="21"/>
      <c r="OPO163" s="21"/>
      <c r="OPP163" s="7"/>
      <c r="OPQ163" s="7"/>
      <c r="OPR163" s="21"/>
      <c r="OPS163" s="20"/>
      <c r="OPT163" s="20"/>
      <c r="OPU163" s="20"/>
      <c r="OPV163" s="21"/>
      <c r="OPW163" s="21"/>
      <c r="OPX163" s="21"/>
      <c r="OPY163" s="21"/>
      <c r="OPZ163" s="21"/>
      <c r="OQA163" s="20"/>
      <c r="OQB163" s="20"/>
      <c r="OQC163" s="20"/>
      <c r="OQD163" s="20"/>
      <c r="OQE163" s="21"/>
      <c r="OQF163" s="21"/>
      <c r="OQG163" s="7"/>
      <c r="OQH163" s="7"/>
      <c r="OQI163" s="21"/>
      <c r="OQJ163" s="20"/>
      <c r="OQK163" s="20"/>
      <c r="OQL163" s="20"/>
      <c r="OQM163" s="21"/>
      <c r="OQN163" s="21"/>
      <c r="OQO163" s="21"/>
      <c r="OQP163" s="21"/>
      <c r="OQQ163" s="21"/>
      <c r="OQR163" s="20"/>
      <c r="OQS163" s="20"/>
      <c r="OQT163" s="20"/>
      <c r="OQU163" s="20"/>
      <c r="OQV163" s="21"/>
      <c r="OQW163" s="21"/>
      <c r="OQX163" s="7"/>
      <c r="OQY163" s="7"/>
      <c r="OQZ163" s="21"/>
      <c r="ORA163" s="20"/>
      <c r="ORB163" s="20"/>
      <c r="ORC163" s="20"/>
      <c r="ORD163" s="21"/>
      <c r="ORE163" s="21"/>
      <c r="ORF163" s="21"/>
      <c r="ORG163" s="21"/>
      <c r="ORH163" s="21"/>
      <c r="ORI163" s="20"/>
      <c r="ORJ163" s="20"/>
      <c r="ORK163" s="20"/>
      <c r="ORL163" s="20"/>
      <c r="ORM163" s="21"/>
      <c r="ORN163" s="21"/>
      <c r="ORO163" s="7"/>
      <c r="ORP163" s="7"/>
      <c r="ORQ163" s="21"/>
      <c r="ORR163" s="20"/>
      <c r="ORS163" s="20"/>
      <c r="ORT163" s="20"/>
      <c r="ORU163" s="21"/>
      <c r="ORV163" s="21"/>
      <c r="ORW163" s="21"/>
      <c r="ORX163" s="21"/>
      <c r="ORY163" s="21"/>
      <c r="ORZ163" s="20"/>
      <c r="OSA163" s="20"/>
      <c r="OSB163" s="20"/>
      <c r="OSC163" s="20"/>
      <c r="OSD163" s="21"/>
      <c r="OSE163" s="21"/>
      <c r="OSF163" s="7"/>
      <c r="OSG163" s="7"/>
      <c r="OSH163" s="21"/>
      <c r="OSI163" s="20"/>
      <c r="OSJ163" s="20"/>
      <c r="OSK163" s="20"/>
      <c r="OSL163" s="21"/>
      <c r="OSM163" s="21"/>
      <c r="OSN163" s="21"/>
      <c r="OSO163" s="21"/>
      <c r="OSP163" s="21"/>
      <c r="OSQ163" s="20"/>
      <c r="OSR163" s="20"/>
      <c r="OSS163" s="20"/>
      <c r="OST163" s="20"/>
      <c r="OSU163" s="21"/>
      <c r="OSV163" s="21"/>
      <c r="OSW163" s="7"/>
      <c r="OSX163" s="7"/>
      <c r="OSY163" s="21"/>
      <c r="OSZ163" s="20"/>
      <c r="OTA163" s="20"/>
      <c r="OTB163" s="20"/>
      <c r="OTC163" s="21"/>
      <c r="OTD163" s="21"/>
      <c r="OTE163" s="21"/>
      <c r="OTF163" s="21"/>
      <c r="OTG163" s="21"/>
      <c r="OTH163" s="20"/>
      <c r="OTI163" s="20"/>
      <c r="OTJ163" s="20"/>
      <c r="OTK163" s="20"/>
      <c r="OTL163" s="21"/>
      <c r="OTM163" s="21"/>
      <c r="OTN163" s="7"/>
      <c r="OTO163" s="7"/>
      <c r="OTP163" s="21"/>
      <c r="OTQ163" s="20"/>
      <c r="OTR163" s="20"/>
      <c r="OTS163" s="20"/>
      <c r="OTT163" s="21"/>
      <c r="OTU163" s="21"/>
      <c r="OTV163" s="21"/>
      <c r="OTW163" s="21"/>
      <c r="OTX163" s="21"/>
      <c r="OTY163" s="20"/>
      <c r="OTZ163" s="20"/>
      <c r="OUA163" s="20"/>
      <c r="OUB163" s="20"/>
      <c r="OUC163" s="21"/>
      <c r="OUD163" s="21"/>
      <c r="OUE163" s="7"/>
      <c r="OUF163" s="7"/>
      <c r="OUG163" s="21"/>
      <c r="OUH163" s="20"/>
      <c r="OUI163" s="20"/>
      <c r="OUJ163" s="20"/>
      <c r="OUK163" s="21"/>
      <c r="OUL163" s="21"/>
      <c r="OUM163" s="21"/>
      <c r="OUN163" s="21"/>
      <c r="OUO163" s="21"/>
      <c r="OUP163" s="20"/>
      <c r="OUQ163" s="20"/>
      <c r="OUR163" s="20"/>
      <c r="OUS163" s="20"/>
      <c r="OUT163" s="21"/>
      <c r="OUU163" s="21"/>
      <c r="OUV163" s="7"/>
      <c r="OUW163" s="7"/>
      <c r="OUX163" s="21"/>
      <c r="OUY163" s="20"/>
      <c r="OUZ163" s="20"/>
      <c r="OVA163" s="20"/>
      <c r="OVB163" s="21"/>
      <c r="OVC163" s="21"/>
      <c r="OVD163" s="21"/>
      <c r="OVE163" s="21"/>
      <c r="OVF163" s="21"/>
      <c r="OVG163" s="20"/>
      <c r="OVH163" s="20"/>
      <c r="OVI163" s="20"/>
      <c r="OVJ163" s="20"/>
      <c r="OVK163" s="21"/>
      <c r="OVL163" s="21"/>
      <c r="OVM163" s="7"/>
      <c r="OVN163" s="7"/>
      <c r="OVO163" s="21"/>
      <c r="OVP163" s="20"/>
      <c r="OVQ163" s="20"/>
      <c r="OVR163" s="20"/>
      <c r="OVS163" s="21"/>
      <c r="OVT163" s="21"/>
      <c r="OVU163" s="21"/>
      <c r="OVV163" s="21"/>
      <c r="OVW163" s="21"/>
      <c r="OVX163" s="20"/>
      <c r="OVY163" s="20"/>
      <c r="OVZ163" s="20"/>
      <c r="OWA163" s="20"/>
      <c r="OWB163" s="21"/>
      <c r="OWC163" s="21"/>
      <c r="OWD163" s="7"/>
      <c r="OWE163" s="7"/>
      <c r="OWF163" s="21"/>
      <c r="OWG163" s="20"/>
      <c r="OWH163" s="20"/>
      <c r="OWI163" s="20"/>
      <c r="OWJ163" s="21"/>
      <c r="OWK163" s="21"/>
      <c r="OWL163" s="21"/>
      <c r="OWM163" s="21"/>
      <c r="OWN163" s="21"/>
      <c r="OWO163" s="20"/>
      <c r="OWP163" s="20"/>
      <c r="OWQ163" s="20"/>
      <c r="OWR163" s="20"/>
      <c r="OWS163" s="21"/>
      <c r="OWT163" s="21"/>
      <c r="OWU163" s="7"/>
      <c r="OWV163" s="7"/>
      <c r="OWW163" s="21"/>
      <c r="OWX163" s="20"/>
      <c r="OWY163" s="20"/>
      <c r="OWZ163" s="20"/>
      <c r="OXA163" s="21"/>
      <c r="OXB163" s="21"/>
      <c r="OXC163" s="21"/>
      <c r="OXD163" s="21"/>
      <c r="OXE163" s="21"/>
      <c r="OXF163" s="20"/>
      <c r="OXG163" s="20"/>
      <c r="OXH163" s="20"/>
      <c r="OXI163" s="20"/>
      <c r="OXJ163" s="21"/>
      <c r="OXK163" s="21"/>
      <c r="OXL163" s="7"/>
      <c r="OXM163" s="7"/>
      <c r="OXN163" s="21"/>
      <c r="OXO163" s="20"/>
      <c r="OXP163" s="20"/>
      <c r="OXQ163" s="20"/>
      <c r="OXR163" s="21"/>
      <c r="OXS163" s="21"/>
      <c r="OXT163" s="21"/>
      <c r="OXU163" s="21"/>
      <c r="OXV163" s="21"/>
      <c r="OXW163" s="20"/>
      <c r="OXX163" s="20"/>
      <c r="OXY163" s="20"/>
      <c r="OXZ163" s="20"/>
      <c r="OYA163" s="21"/>
      <c r="OYB163" s="21"/>
      <c r="OYC163" s="7"/>
      <c r="OYD163" s="7"/>
      <c r="OYE163" s="21"/>
      <c r="OYF163" s="20"/>
      <c r="OYG163" s="20"/>
      <c r="OYH163" s="20"/>
      <c r="OYI163" s="21"/>
      <c r="OYJ163" s="21"/>
      <c r="OYK163" s="21"/>
      <c r="OYL163" s="21"/>
      <c r="OYM163" s="21"/>
      <c r="OYN163" s="20"/>
      <c r="OYO163" s="20"/>
      <c r="OYP163" s="20"/>
      <c r="OYQ163" s="20"/>
      <c r="OYR163" s="21"/>
      <c r="OYS163" s="21"/>
      <c r="OYT163" s="7"/>
      <c r="OYU163" s="7"/>
      <c r="OYV163" s="21"/>
      <c r="OYW163" s="20"/>
      <c r="OYX163" s="20"/>
      <c r="OYY163" s="20"/>
      <c r="OYZ163" s="21"/>
      <c r="OZA163" s="21"/>
      <c r="OZB163" s="21"/>
      <c r="OZC163" s="21"/>
      <c r="OZD163" s="21"/>
      <c r="OZE163" s="20"/>
      <c r="OZF163" s="20"/>
      <c r="OZG163" s="20"/>
      <c r="OZH163" s="20"/>
      <c r="OZI163" s="21"/>
      <c r="OZJ163" s="21"/>
      <c r="OZK163" s="7"/>
      <c r="OZL163" s="7"/>
      <c r="OZM163" s="21"/>
      <c r="OZN163" s="20"/>
      <c r="OZO163" s="20"/>
      <c r="OZP163" s="20"/>
      <c r="OZQ163" s="21"/>
      <c r="OZR163" s="21"/>
      <c r="OZS163" s="21"/>
      <c r="OZT163" s="21"/>
      <c r="OZU163" s="21"/>
      <c r="OZV163" s="20"/>
      <c r="OZW163" s="20"/>
      <c r="OZX163" s="20"/>
      <c r="OZY163" s="20"/>
      <c r="OZZ163" s="21"/>
      <c r="PAA163" s="21"/>
      <c r="PAB163" s="7"/>
      <c r="PAC163" s="7"/>
      <c r="PAD163" s="21"/>
      <c r="PAE163" s="20"/>
      <c r="PAF163" s="20"/>
      <c r="PAG163" s="20"/>
      <c r="PAH163" s="21"/>
      <c r="PAI163" s="21"/>
      <c r="PAJ163" s="21"/>
      <c r="PAK163" s="21"/>
      <c r="PAL163" s="21"/>
      <c r="PAM163" s="20"/>
      <c r="PAN163" s="20"/>
      <c r="PAO163" s="20"/>
      <c r="PAP163" s="20"/>
      <c r="PAQ163" s="21"/>
      <c r="PAR163" s="21"/>
      <c r="PAS163" s="7"/>
      <c r="PAT163" s="7"/>
      <c r="PAU163" s="21"/>
      <c r="PAV163" s="20"/>
      <c r="PAW163" s="20"/>
      <c r="PAX163" s="20"/>
      <c r="PAY163" s="21"/>
      <c r="PAZ163" s="21"/>
      <c r="PBA163" s="21"/>
      <c r="PBB163" s="21"/>
      <c r="PBC163" s="21"/>
      <c r="PBD163" s="20"/>
      <c r="PBE163" s="20"/>
      <c r="PBF163" s="20"/>
      <c r="PBG163" s="20"/>
      <c r="PBH163" s="21"/>
      <c r="PBI163" s="21"/>
      <c r="PBJ163" s="7"/>
      <c r="PBK163" s="7"/>
      <c r="PBL163" s="21"/>
      <c r="PBM163" s="20"/>
      <c r="PBN163" s="20"/>
      <c r="PBO163" s="20"/>
      <c r="PBP163" s="21"/>
      <c r="PBQ163" s="21"/>
      <c r="PBR163" s="21"/>
      <c r="PBS163" s="21"/>
      <c r="PBT163" s="21"/>
      <c r="PBU163" s="20"/>
      <c r="PBV163" s="20"/>
      <c r="PBW163" s="20"/>
      <c r="PBX163" s="20"/>
      <c r="PBY163" s="21"/>
      <c r="PBZ163" s="21"/>
      <c r="PCA163" s="7"/>
      <c r="PCB163" s="7"/>
      <c r="PCC163" s="21"/>
      <c r="PCD163" s="20"/>
      <c r="PCE163" s="20"/>
      <c r="PCF163" s="20"/>
      <c r="PCG163" s="21"/>
      <c r="PCH163" s="21"/>
      <c r="PCI163" s="21"/>
      <c r="PCJ163" s="21"/>
      <c r="PCK163" s="21"/>
      <c r="PCL163" s="20"/>
      <c r="PCM163" s="20"/>
      <c r="PCN163" s="20"/>
      <c r="PCO163" s="20"/>
      <c r="PCP163" s="21"/>
      <c r="PCQ163" s="21"/>
      <c r="PCR163" s="7"/>
      <c r="PCS163" s="7"/>
      <c r="PCT163" s="21"/>
      <c r="PCU163" s="20"/>
      <c r="PCV163" s="20"/>
      <c r="PCW163" s="20"/>
      <c r="PCX163" s="21"/>
      <c r="PCY163" s="21"/>
      <c r="PCZ163" s="21"/>
      <c r="PDA163" s="21"/>
      <c r="PDB163" s="21"/>
      <c r="PDC163" s="20"/>
      <c r="PDD163" s="20"/>
      <c r="PDE163" s="20"/>
      <c r="PDF163" s="20"/>
      <c r="PDG163" s="21"/>
      <c r="PDH163" s="21"/>
      <c r="PDI163" s="7"/>
      <c r="PDJ163" s="7"/>
      <c r="PDK163" s="21"/>
      <c r="PDL163" s="20"/>
      <c r="PDM163" s="20"/>
      <c r="PDN163" s="20"/>
      <c r="PDO163" s="21"/>
      <c r="PDP163" s="21"/>
      <c r="PDQ163" s="21"/>
      <c r="PDR163" s="21"/>
      <c r="PDS163" s="21"/>
      <c r="PDT163" s="20"/>
      <c r="PDU163" s="20"/>
      <c r="PDV163" s="20"/>
      <c r="PDW163" s="20"/>
      <c r="PDX163" s="21"/>
      <c r="PDY163" s="21"/>
      <c r="PDZ163" s="7"/>
      <c r="PEA163" s="7"/>
      <c r="PEB163" s="21"/>
      <c r="PEC163" s="20"/>
      <c r="PED163" s="20"/>
      <c r="PEE163" s="20"/>
      <c r="PEF163" s="21"/>
      <c r="PEG163" s="21"/>
      <c r="PEH163" s="21"/>
      <c r="PEI163" s="21"/>
      <c r="PEJ163" s="21"/>
      <c r="PEK163" s="20"/>
      <c r="PEL163" s="20"/>
      <c r="PEM163" s="20"/>
      <c r="PEN163" s="20"/>
      <c r="PEO163" s="21"/>
      <c r="PEP163" s="21"/>
      <c r="PEQ163" s="7"/>
      <c r="PER163" s="7"/>
      <c r="PES163" s="21"/>
      <c r="PET163" s="20"/>
      <c r="PEU163" s="20"/>
      <c r="PEV163" s="20"/>
      <c r="PEW163" s="21"/>
      <c r="PEX163" s="21"/>
      <c r="PEY163" s="21"/>
      <c r="PEZ163" s="21"/>
      <c r="PFA163" s="21"/>
      <c r="PFB163" s="20"/>
      <c r="PFC163" s="20"/>
      <c r="PFD163" s="20"/>
      <c r="PFE163" s="20"/>
      <c r="PFF163" s="21"/>
      <c r="PFG163" s="21"/>
      <c r="PFH163" s="7"/>
      <c r="PFI163" s="7"/>
      <c r="PFJ163" s="21"/>
      <c r="PFK163" s="20"/>
      <c r="PFL163" s="20"/>
      <c r="PFM163" s="20"/>
      <c r="PFN163" s="21"/>
      <c r="PFO163" s="21"/>
      <c r="PFP163" s="21"/>
      <c r="PFQ163" s="21"/>
      <c r="PFR163" s="21"/>
      <c r="PFS163" s="20"/>
      <c r="PFT163" s="20"/>
      <c r="PFU163" s="20"/>
      <c r="PFV163" s="20"/>
      <c r="PFW163" s="21"/>
      <c r="PFX163" s="21"/>
      <c r="PFY163" s="7"/>
      <c r="PFZ163" s="7"/>
      <c r="PGA163" s="21"/>
      <c r="PGB163" s="20"/>
      <c r="PGC163" s="20"/>
      <c r="PGD163" s="20"/>
      <c r="PGE163" s="21"/>
      <c r="PGF163" s="21"/>
      <c r="PGG163" s="21"/>
      <c r="PGH163" s="21"/>
      <c r="PGI163" s="21"/>
      <c r="PGJ163" s="20"/>
      <c r="PGK163" s="20"/>
      <c r="PGL163" s="20"/>
      <c r="PGM163" s="20"/>
      <c r="PGN163" s="21"/>
      <c r="PGO163" s="21"/>
      <c r="PGP163" s="7"/>
      <c r="PGQ163" s="7"/>
      <c r="PGR163" s="21"/>
      <c r="PGS163" s="20"/>
      <c r="PGT163" s="20"/>
      <c r="PGU163" s="20"/>
      <c r="PGV163" s="21"/>
      <c r="PGW163" s="21"/>
      <c r="PGX163" s="21"/>
      <c r="PGY163" s="21"/>
      <c r="PGZ163" s="21"/>
      <c r="PHA163" s="20"/>
      <c r="PHB163" s="20"/>
      <c r="PHC163" s="20"/>
      <c r="PHD163" s="20"/>
      <c r="PHE163" s="21"/>
      <c r="PHF163" s="21"/>
      <c r="PHG163" s="7"/>
      <c r="PHH163" s="7"/>
      <c r="PHI163" s="21"/>
      <c r="PHJ163" s="20"/>
      <c r="PHK163" s="20"/>
      <c r="PHL163" s="20"/>
      <c r="PHM163" s="21"/>
      <c r="PHN163" s="21"/>
      <c r="PHO163" s="21"/>
      <c r="PHP163" s="21"/>
      <c r="PHQ163" s="21"/>
      <c r="PHR163" s="20"/>
      <c r="PHS163" s="20"/>
      <c r="PHT163" s="20"/>
      <c r="PHU163" s="20"/>
      <c r="PHV163" s="21"/>
      <c r="PHW163" s="21"/>
      <c r="PHX163" s="7"/>
      <c r="PHY163" s="7"/>
      <c r="PHZ163" s="21"/>
      <c r="PIA163" s="20"/>
      <c r="PIB163" s="20"/>
      <c r="PIC163" s="20"/>
      <c r="PID163" s="21"/>
      <c r="PIE163" s="21"/>
      <c r="PIF163" s="21"/>
      <c r="PIG163" s="21"/>
      <c r="PIH163" s="21"/>
      <c r="PII163" s="20"/>
      <c r="PIJ163" s="20"/>
      <c r="PIK163" s="20"/>
      <c r="PIL163" s="20"/>
      <c r="PIM163" s="21"/>
      <c r="PIN163" s="21"/>
      <c r="PIO163" s="7"/>
      <c r="PIP163" s="7"/>
      <c r="PIQ163" s="21"/>
      <c r="PIR163" s="20"/>
      <c r="PIS163" s="20"/>
      <c r="PIT163" s="20"/>
      <c r="PIU163" s="21"/>
      <c r="PIV163" s="21"/>
      <c r="PIW163" s="21"/>
      <c r="PIX163" s="21"/>
      <c r="PIY163" s="21"/>
      <c r="PIZ163" s="20"/>
      <c r="PJA163" s="20"/>
      <c r="PJB163" s="20"/>
      <c r="PJC163" s="20"/>
      <c r="PJD163" s="21"/>
      <c r="PJE163" s="21"/>
      <c r="PJF163" s="7"/>
      <c r="PJG163" s="7"/>
      <c r="PJH163" s="21"/>
      <c r="PJI163" s="20"/>
      <c r="PJJ163" s="20"/>
      <c r="PJK163" s="20"/>
      <c r="PJL163" s="21"/>
      <c r="PJM163" s="21"/>
      <c r="PJN163" s="21"/>
      <c r="PJO163" s="21"/>
      <c r="PJP163" s="21"/>
      <c r="PJQ163" s="20"/>
      <c r="PJR163" s="20"/>
      <c r="PJS163" s="20"/>
      <c r="PJT163" s="20"/>
      <c r="PJU163" s="21"/>
      <c r="PJV163" s="21"/>
      <c r="PJW163" s="7"/>
      <c r="PJX163" s="7"/>
      <c r="PJY163" s="21"/>
      <c r="PJZ163" s="20"/>
      <c r="PKA163" s="20"/>
      <c r="PKB163" s="20"/>
      <c r="PKC163" s="21"/>
      <c r="PKD163" s="21"/>
      <c r="PKE163" s="21"/>
      <c r="PKF163" s="21"/>
      <c r="PKG163" s="21"/>
      <c r="PKH163" s="20"/>
      <c r="PKI163" s="20"/>
      <c r="PKJ163" s="20"/>
      <c r="PKK163" s="20"/>
      <c r="PKL163" s="21"/>
      <c r="PKM163" s="21"/>
      <c r="PKN163" s="7"/>
      <c r="PKO163" s="7"/>
      <c r="PKP163" s="21"/>
      <c r="PKQ163" s="20"/>
      <c r="PKR163" s="20"/>
      <c r="PKS163" s="20"/>
      <c r="PKT163" s="21"/>
      <c r="PKU163" s="21"/>
      <c r="PKV163" s="21"/>
      <c r="PKW163" s="21"/>
      <c r="PKX163" s="21"/>
      <c r="PKY163" s="20"/>
      <c r="PKZ163" s="20"/>
      <c r="PLA163" s="20"/>
      <c r="PLB163" s="20"/>
      <c r="PLC163" s="21"/>
      <c r="PLD163" s="21"/>
      <c r="PLE163" s="7"/>
      <c r="PLF163" s="7"/>
      <c r="PLG163" s="21"/>
      <c r="PLH163" s="20"/>
      <c r="PLI163" s="20"/>
      <c r="PLJ163" s="20"/>
      <c r="PLK163" s="21"/>
      <c r="PLL163" s="21"/>
      <c r="PLM163" s="21"/>
      <c r="PLN163" s="21"/>
      <c r="PLO163" s="21"/>
      <c r="PLP163" s="20"/>
      <c r="PLQ163" s="20"/>
      <c r="PLR163" s="20"/>
      <c r="PLS163" s="20"/>
      <c r="PLT163" s="21"/>
      <c r="PLU163" s="21"/>
      <c r="PLV163" s="7"/>
      <c r="PLW163" s="7"/>
      <c r="PLX163" s="21"/>
      <c r="PLY163" s="20"/>
      <c r="PLZ163" s="20"/>
      <c r="PMA163" s="20"/>
      <c r="PMB163" s="21"/>
      <c r="PMC163" s="21"/>
      <c r="PMD163" s="21"/>
      <c r="PME163" s="21"/>
      <c r="PMF163" s="21"/>
      <c r="PMG163" s="20"/>
      <c r="PMH163" s="20"/>
      <c r="PMI163" s="20"/>
      <c r="PMJ163" s="20"/>
      <c r="PMK163" s="21"/>
      <c r="PML163" s="21"/>
      <c r="PMM163" s="7"/>
      <c r="PMN163" s="7"/>
      <c r="PMO163" s="21"/>
      <c r="PMP163" s="20"/>
      <c r="PMQ163" s="20"/>
      <c r="PMR163" s="20"/>
      <c r="PMS163" s="21"/>
      <c r="PMT163" s="21"/>
      <c r="PMU163" s="21"/>
      <c r="PMV163" s="21"/>
      <c r="PMW163" s="21"/>
      <c r="PMX163" s="20"/>
      <c r="PMY163" s="20"/>
      <c r="PMZ163" s="20"/>
      <c r="PNA163" s="20"/>
      <c r="PNB163" s="21"/>
      <c r="PNC163" s="21"/>
      <c r="PND163" s="7"/>
      <c r="PNE163" s="7"/>
      <c r="PNF163" s="21"/>
      <c r="PNG163" s="20"/>
      <c r="PNH163" s="20"/>
      <c r="PNI163" s="20"/>
      <c r="PNJ163" s="21"/>
      <c r="PNK163" s="21"/>
      <c r="PNL163" s="21"/>
      <c r="PNM163" s="21"/>
      <c r="PNN163" s="21"/>
      <c r="PNO163" s="20"/>
      <c r="PNP163" s="20"/>
      <c r="PNQ163" s="20"/>
      <c r="PNR163" s="20"/>
      <c r="PNS163" s="21"/>
      <c r="PNT163" s="21"/>
      <c r="PNU163" s="7"/>
      <c r="PNV163" s="7"/>
      <c r="PNW163" s="21"/>
      <c r="PNX163" s="20"/>
      <c r="PNY163" s="20"/>
      <c r="PNZ163" s="20"/>
      <c r="POA163" s="21"/>
      <c r="POB163" s="21"/>
      <c r="POC163" s="21"/>
      <c r="POD163" s="21"/>
      <c r="POE163" s="21"/>
      <c r="POF163" s="20"/>
      <c r="POG163" s="20"/>
      <c r="POH163" s="20"/>
      <c r="POI163" s="20"/>
      <c r="POJ163" s="21"/>
      <c r="POK163" s="21"/>
      <c r="POL163" s="7"/>
      <c r="POM163" s="7"/>
      <c r="PON163" s="21"/>
      <c r="POO163" s="20"/>
      <c r="POP163" s="20"/>
      <c r="POQ163" s="20"/>
      <c r="POR163" s="21"/>
      <c r="POS163" s="21"/>
      <c r="POT163" s="21"/>
      <c r="POU163" s="21"/>
      <c r="POV163" s="21"/>
      <c r="POW163" s="20"/>
      <c r="POX163" s="20"/>
      <c r="POY163" s="20"/>
      <c r="POZ163" s="20"/>
      <c r="PPA163" s="21"/>
      <c r="PPB163" s="21"/>
      <c r="PPC163" s="7"/>
      <c r="PPD163" s="7"/>
      <c r="PPE163" s="21"/>
      <c r="PPF163" s="20"/>
      <c r="PPG163" s="20"/>
      <c r="PPH163" s="20"/>
      <c r="PPI163" s="21"/>
      <c r="PPJ163" s="21"/>
      <c r="PPK163" s="21"/>
      <c r="PPL163" s="21"/>
      <c r="PPM163" s="21"/>
      <c r="PPN163" s="20"/>
      <c r="PPO163" s="20"/>
      <c r="PPP163" s="20"/>
      <c r="PPQ163" s="20"/>
      <c r="PPR163" s="21"/>
      <c r="PPS163" s="21"/>
      <c r="PPT163" s="7"/>
      <c r="PPU163" s="7"/>
      <c r="PPV163" s="21"/>
      <c r="PPW163" s="20"/>
      <c r="PPX163" s="20"/>
      <c r="PPY163" s="20"/>
      <c r="PPZ163" s="21"/>
      <c r="PQA163" s="21"/>
      <c r="PQB163" s="21"/>
      <c r="PQC163" s="21"/>
      <c r="PQD163" s="21"/>
      <c r="PQE163" s="20"/>
      <c r="PQF163" s="20"/>
      <c r="PQG163" s="20"/>
      <c r="PQH163" s="20"/>
      <c r="PQI163" s="21"/>
      <c r="PQJ163" s="21"/>
      <c r="PQK163" s="7"/>
      <c r="PQL163" s="7"/>
      <c r="PQM163" s="21"/>
      <c r="PQN163" s="20"/>
      <c r="PQO163" s="20"/>
      <c r="PQP163" s="20"/>
      <c r="PQQ163" s="21"/>
      <c r="PQR163" s="21"/>
      <c r="PQS163" s="21"/>
      <c r="PQT163" s="21"/>
      <c r="PQU163" s="21"/>
      <c r="PQV163" s="20"/>
      <c r="PQW163" s="20"/>
      <c r="PQX163" s="20"/>
      <c r="PQY163" s="20"/>
      <c r="PQZ163" s="21"/>
      <c r="PRA163" s="21"/>
      <c r="PRB163" s="7"/>
      <c r="PRC163" s="7"/>
      <c r="PRD163" s="21"/>
      <c r="PRE163" s="20"/>
      <c r="PRF163" s="20"/>
      <c r="PRG163" s="20"/>
      <c r="PRH163" s="21"/>
      <c r="PRI163" s="21"/>
      <c r="PRJ163" s="21"/>
      <c r="PRK163" s="21"/>
      <c r="PRL163" s="21"/>
      <c r="PRM163" s="20"/>
      <c r="PRN163" s="20"/>
      <c r="PRO163" s="20"/>
      <c r="PRP163" s="20"/>
      <c r="PRQ163" s="21"/>
      <c r="PRR163" s="21"/>
      <c r="PRS163" s="7"/>
      <c r="PRT163" s="7"/>
      <c r="PRU163" s="21"/>
      <c r="PRV163" s="20"/>
      <c r="PRW163" s="20"/>
      <c r="PRX163" s="20"/>
      <c r="PRY163" s="21"/>
      <c r="PRZ163" s="21"/>
      <c r="PSA163" s="21"/>
      <c r="PSB163" s="21"/>
      <c r="PSC163" s="21"/>
      <c r="PSD163" s="20"/>
      <c r="PSE163" s="20"/>
      <c r="PSF163" s="20"/>
      <c r="PSG163" s="20"/>
      <c r="PSH163" s="21"/>
      <c r="PSI163" s="21"/>
      <c r="PSJ163" s="7"/>
      <c r="PSK163" s="7"/>
      <c r="PSL163" s="21"/>
      <c r="PSM163" s="20"/>
      <c r="PSN163" s="20"/>
      <c r="PSO163" s="20"/>
      <c r="PSP163" s="21"/>
      <c r="PSQ163" s="21"/>
      <c r="PSR163" s="21"/>
      <c r="PSS163" s="21"/>
      <c r="PST163" s="21"/>
      <c r="PSU163" s="20"/>
      <c r="PSV163" s="20"/>
      <c r="PSW163" s="20"/>
      <c r="PSX163" s="20"/>
      <c r="PSY163" s="21"/>
      <c r="PSZ163" s="21"/>
      <c r="PTA163" s="7"/>
      <c r="PTB163" s="7"/>
      <c r="PTC163" s="21"/>
      <c r="PTD163" s="20"/>
      <c r="PTE163" s="20"/>
      <c r="PTF163" s="20"/>
      <c r="PTG163" s="21"/>
      <c r="PTH163" s="21"/>
      <c r="PTI163" s="21"/>
      <c r="PTJ163" s="21"/>
      <c r="PTK163" s="21"/>
      <c r="PTL163" s="20"/>
      <c r="PTM163" s="20"/>
      <c r="PTN163" s="20"/>
      <c r="PTO163" s="20"/>
      <c r="PTP163" s="21"/>
      <c r="PTQ163" s="21"/>
      <c r="PTR163" s="7"/>
      <c r="PTS163" s="7"/>
      <c r="PTT163" s="21"/>
      <c r="PTU163" s="20"/>
      <c r="PTV163" s="20"/>
      <c r="PTW163" s="20"/>
      <c r="PTX163" s="21"/>
      <c r="PTY163" s="21"/>
      <c r="PTZ163" s="21"/>
      <c r="PUA163" s="21"/>
      <c r="PUB163" s="21"/>
      <c r="PUC163" s="20"/>
      <c r="PUD163" s="20"/>
      <c r="PUE163" s="20"/>
      <c r="PUF163" s="20"/>
      <c r="PUG163" s="21"/>
      <c r="PUH163" s="21"/>
      <c r="PUI163" s="7"/>
      <c r="PUJ163" s="7"/>
      <c r="PUK163" s="21"/>
      <c r="PUL163" s="20"/>
      <c r="PUM163" s="20"/>
      <c r="PUN163" s="20"/>
      <c r="PUO163" s="21"/>
      <c r="PUP163" s="21"/>
      <c r="PUQ163" s="21"/>
      <c r="PUR163" s="21"/>
      <c r="PUS163" s="21"/>
      <c r="PUT163" s="20"/>
      <c r="PUU163" s="20"/>
      <c r="PUV163" s="20"/>
      <c r="PUW163" s="20"/>
      <c r="PUX163" s="21"/>
      <c r="PUY163" s="21"/>
      <c r="PUZ163" s="7"/>
      <c r="PVA163" s="7"/>
      <c r="PVB163" s="21"/>
      <c r="PVC163" s="20"/>
      <c r="PVD163" s="20"/>
      <c r="PVE163" s="20"/>
      <c r="PVF163" s="21"/>
      <c r="PVG163" s="21"/>
      <c r="PVH163" s="21"/>
      <c r="PVI163" s="21"/>
      <c r="PVJ163" s="21"/>
      <c r="PVK163" s="20"/>
      <c r="PVL163" s="20"/>
      <c r="PVM163" s="20"/>
      <c r="PVN163" s="20"/>
      <c r="PVO163" s="21"/>
      <c r="PVP163" s="21"/>
      <c r="PVQ163" s="7"/>
      <c r="PVR163" s="7"/>
      <c r="PVS163" s="21"/>
      <c r="PVT163" s="20"/>
      <c r="PVU163" s="20"/>
      <c r="PVV163" s="20"/>
      <c r="PVW163" s="21"/>
      <c r="PVX163" s="21"/>
      <c r="PVY163" s="21"/>
      <c r="PVZ163" s="21"/>
      <c r="PWA163" s="21"/>
      <c r="PWB163" s="20"/>
      <c r="PWC163" s="20"/>
      <c r="PWD163" s="20"/>
      <c r="PWE163" s="20"/>
      <c r="PWF163" s="21"/>
      <c r="PWG163" s="21"/>
      <c r="PWH163" s="7"/>
      <c r="PWI163" s="7"/>
      <c r="PWJ163" s="21"/>
      <c r="PWK163" s="20"/>
      <c r="PWL163" s="20"/>
      <c r="PWM163" s="20"/>
      <c r="PWN163" s="21"/>
      <c r="PWO163" s="21"/>
      <c r="PWP163" s="21"/>
      <c r="PWQ163" s="21"/>
      <c r="PWR163" s="21"/>
      <c r="PWS163" s="20"/>
      <c r="PWT163" s="20"/>
      <c r="PWU163" s="20"/>
      <c r="PWV163" s="20"/>
      <c r="PWW163" s="21"/>
      <c r="PWX163" s="21"/>
      <c r="PWY163" s="7"/>
      <c r="PWZ163" s="7"/>
      <c r="PXA163" s="21"/>
      <c r="PXB163" s="20"/>
      <c r="PXC163" s="20"/>
      <c r="PXD163" s="20"/>
      <c r="PXE163" s="21"/>
      <c r="PXF163" s="21"/>
      <c r="PXG163" s="21"/>
      <c r="PXH163" s="21"/>
      <c r="PXI163" s="21"/>
      <c r="PXJ163" s="20"/>
      <c r="PXK163" s="20"/>
      <c r="PXL163" s="20"/>
      <c r="PXM163" s="20"/>
      <c r="PXN163" s="21"/>
      <c r="PXO163" s="21"/>
      <c r="PXP163" s="7"/>
      <c r="PXQ163" s="7"/>
      <c r="PXR163" s="21"/>
      <c r="PXS163" s="20"/>
      <c r="PXT163" s="20"/>
      <c r="PXU163" s="20"/>
      <c r="PXV163" s="21"/>
      <c r="PXW163" s="21"/>
      <c r="PXX163" s="21"/>
      <c r="PXY163" s="21"/>
      <c r="PXZ163" s="21"/>
      <c r="PYA163" s="20"/>
      <c r="PYB163" s="20"/>
      <c r="PYC163" s="20"/>
      <c r="PYD163" s="20"/>
      <c r="PYE163" s="21"/>
      <c r="PYF163" s="21"/>
      <c r="PYG163" s="7"/>
      <c r="PYH163" s="7"/>
      <c r="PYI163" s="21"/>
      <c r="PYJ163" s="20"/>
      <c r="PYK163" s="20"/>
      <c r="PYL163" s="20"/>
      <c r="PYM163" s="21"/>
      <c r="PYN163" s="21"/>
      <c r="PYO163" s="21"/>
      <c r="PYP163" s="21"/>
      <c r="PYQ163" s="21"/>
      <c r="PYR163" s="20"/>
      <c r="PYS163" s="20"/>
      <c r="PYT163" s="20"/>
      <c r="PYU163" s="20"/>
      <c r="PYV163" s="21"/>
      <c r="PYW163" s="21"/>
      <c r="PYX163" s="7"/>
      <c r="PYY163" s="7"/>
      <c r="PYZ163" s="21"/>
      <c r="PZA163" s="20"/>
      <c r="PZB163" s="20"/>
      <c r="PZC163" s="20"/>
      <c r="PZD163" s="21"/>
      <c r="PZE163" s="21"/>
      <c r="PZF163" s="21"/>
      <c r="PZG163" s="21"/>
      <c r="PZH163" s="21"/>
      <c r="PZI163" s="20"/>
      <c r="PZJ163" s="20"/>
      <c r="PZK163" s="20"/>
      <c r="PZL163" s="20"/>
      <c r="PZM163" s="21"/>
      <c r="PZN163" s="21"/>
      <c r="PZO163" s="7"/>
      <c r="PZP163" s="7"/>
      <c r="PZQ163" s="21"/>
      <c r="PZR163" s="20"/>
      <c r="PZS163" s="20"/>
      <c r="PZT163" s="20"/>
      <c r="PZU163" s="21"/>
      <c r="PZV163" s="21"/>
      <c r="PZW163" s="21"/>
      <c r="PZX163" s="21"/>
      <c r="PZY163" s="21"/>
      <c r="PZZ163" s="20"/>
      <c r="QAA163" s="20"/>
      <c r="QAB163" s="20"/>
      <c r="QAC163" s="20"/>
      <c r="QAD163" s="21"/>
      <c r="QAE163" s="21"/>
      <c r="QAF163" s="7"/>
      <c r="QAG163" s="7"/>
      <c r="QAH163" s="21"/>
      <c r="QAI163" s="20"/>
      <c r="QAJ163" s="20"/>
      <c r="QAK163" s="20"/>
      <c r="QAL163" s="21"/>
      <c r="QAM163" s="21"/>
      <c r="QAN163" s="21"/>
      <c r="QAO163" s="21"/>
      <c r="QAP163" s="21"/>
      <c r="QAQ163" s="20"/>
      <c r="QAR163" s="20"/>
      <c r="QAS163" s="20"/>
      <c r="QAT163" s="20"/>
      <c r="QAU163" s="21"/>
      <c r="QAV163" s="21"/>
      <c r="QAW163" s="7"/>
      <c r="QAX163" s="7"/>
      <c r="QAY163" s="21"/>
      <c r="QAZ163" s="20"/>
      <c r="QBA163" s="20"/>
      <c r="QBB163" s="20"/>
      <c r="QBC163" s="21"/>
      <c r="QBD163" s="21"/>
      <c r="QBE163" s="21"/>
      <c r="QBF163" s="21"/>
      <c r="QBG163" s="21"/>
      <c r="QBH163" s="20"/>
      <c r="QBI163" s="20"/>
      <c r="QBJ163" s="20"/>
      <c r="QBK163" s="20"/>
      <c r="QBL163" s="21"/>
      <c r="QBM163" s="21"/>
      <c r="QBN163" s="7"/>
      <c r="QBO163" s="7"/>
      <c r="QBP163" s="21"/>
      <c r="QBQ163" s="20"/>
      <c r="QBR163" s="20"/>
      <c r="QBS163" s="20"/>
      <c r="QBT163" s="21"/>
      <c r="QBU163" s="21"/>
      <c r="QBV163" s="21"/>
      <c r="QBW163" s="21"/>
      <c r="QBX163" s="21"/>
      <c r="QBY163" s="20"/>
      <c r="QBZ163" s="20"/>
      <c r="QCA163" s="20"/>
      <c r="QCB163" s="20"/>
      <c r="QCC163" s="21"/>
      <c r="QCD163" s="21"/>
      <c r="QCE163" s="7"/>
      <c r="QCF163" s="7"/>
      <c r="QCG163" s="21"/>
      <c r="QCH163" s="20"/>
      <c r="QCI163" s="20"/>
      <c r="QCJ163" s="20"/>
      <c r="QCK163" s="21"/>
      <c r="QCL163" s="21"/>
      <c r="QCM163" s="21"/>
      <c r="QCN163" s="21"/>
      <c r="QCO163" s="21"/>
      <c r="QCP163" s="20"/>
      <c r="QCQ163" s="20"/>
      <c r="QCR163" s="20"/>
      <c r="QCS163" s="20"/>
      <c r="QCT163" s="21"/>
      <c r="QCU163" s="21"/>
      <c r="QCV163" s="7"/>
      <c r="QCW163" s="7"/>
      <c r="QCX163" s="21"/>
      <c r="QCY163" s="20"/>
      <c r="QCZ163" s="20"/>
      <c r="QDA163" s="20"/>
      <c r="QDB163" s="21"/>
      <c r="QDC163" s="21"/>
      <c r="QDD163" s="21"/>
      <c r="QDE163" s="21"/>
      <c r="QDF163" s="21"/>
      <c r="QDG163" s="20"/>
      <c r="QDH163" s="20"/>
      <c r="QDI163" s="20"/>
      <c r="QDJ163" s="20"/>
      <c r="QDK163" s="21"/>
      <c r="QDL163" s="21"/>
      <c r="QDM163" s="7"/>
      <c r="QDN163" s="7"/>
      <c r="QDO163" s="21"/>
      <c r="QDP163" s="20"/>
      <c r="QDQ163" s="20"/>
      <c r="QDR163" s="20"/>
      <c r="QDS163" s="21"/>
      <c r="QDT163" s="21"/>
      <c r="QDU163" s="21"/>
      <c r="QDV163" s="21"/>
      <c r="QDW163" s="21"/>
      <c r="QDX163" s="20"/>
      <c r="QDY163" s="20"/>
      <c r="QDZ163" s="20"/>
      <c r="QEA163" s="20"/>
      <c r="QEB163" s="21"/>
      <c r="QEC163" s="21"/>
      <c r="QED163" s="7"/>
      <c r="QEE163" s="7"/>
      <c r="QEF163" s="21"/>
      <c r="QEG163" s="20"/>
      <c r="QEH163" s="20"/>
      <c r="QEI163" s="20"/>
      <c r="QEJ163" s="21"/>
      <c r="QEK163" s="21"/>
      <c r="QEL163" s="21"/>
      <c r="QEM163" s="21"/>
      <c r="QEN163" s="21"/>
      <c r="QEO163" s="20"/>
      <c r="QEP163" s="20"/>
      <c r="QEQ163" s="20"/>
      <c r="QER163" s="20"/>
      <c r="QES163" s="21"/>
      <c r="QET163" s="21"/>
      <c r="QEU163" s="7"/>
      <c r="QEV163" s="7"/>
      <c r="QEW163" s="21"/>
      <c r="QEX163" s="20"/>
      <c r="QEY163" s="20"/>
      <c r="QEZ163" s="20"/>
      <c r="QFA163" s="21"/>
      <c r="QFB163" s="21"/>
      <c r="QFC163" s="21"/>
      <c r="QFD163" s="21"/>
      <c r="QFE163" s="21"/>
      <c r="QFF163" s="20"/>
      <c r="QFG163" s="20"/>
      <c r="QFH163" s="20"/>
      <c r="QFI163" s="20"/>
      <c r="QFJ163" s="21"/>
      <c r="QFK163" s="21"/>
      <c r="QFL163" s="7"/>
      <c r="QFM163" s="7"/>
      <c r="QFN163" s="21"/>
      <c r="QFO163" s="20"/>
      <c r="QFP163" s="20"/>
      <c r="QFQ163" s="20"/>
      <c r="QFR163" s="21"/>
      <c r="QFS163" s="21"/>
      <c r="QFT163" s="21"/>
      <c r="QFU163" s="21"/>
      <c r="QFV163" s="21"/>
      <c r="QFW163" s="20"/>
      <c r="QFX163" s="20"/>
      <c r="QFY163" s="20"/>
      <c r="QFZ163" s="20"/>
      <c r="QGA163" s="21"/>
      <c r="QGB163" s="21"/>
      <c r="QGC163" s="7"/>
      <c r="QGD163" s="7"/>
      <c r="QGE163" s="21"/>
      <c r="QGF163" s="20"/>
      <c r="QGG163" s="20"/>
      <c r="QGH163" s="20"/>
      <c r="QGI163" s="21"/>
      <c r="QGJ163" s="21"/>
      <c r="QGK163" s="21"/>
      <c r="QGL163" s="21"/>
      <c r="QGM163" s="21"/>
      <c r="QGN163" s="20"/>
      <c r="QGO163" s="20"/>
      <c r="QGP163" s="20"/>
      <c r="QGQ163" s="20"/>
      <c r="QGR163" s="21"/>
      <c r="QGS163" s="21"/>
      <c r="QGT163" s="7"/>
      <c r="QGU163" s="7"/>
      <c r="QGV163" s="21"/>
      <c r="QGW163" s="20"/>
      <c r="QGX163" s="20"/>
      <c r="QGY163" s="20"/>
      <c r="QGZ163" s="21"/>
      <c r="QHA163" s="21"/>
      <c r="QHB163" s="21"/>
      <c r="QHC163" s="21"/>
      <c r="QHD163" s="21"/>
      <c r="QHE163" s="20"/>
      <c r="QHF163" s="20"/>
      <c r="QHG163" s="20"/>
      <c r="QHH163" s="20"/>
      <c r="QHI163" s="21"/>
      <c r="QHJ163" s="21"/>
      <c r="QHK163" s="7"/>
      <c r="QHL163" s="7"/>
      <c r="QHM163" s="21"/>
      <c r="QHN163" s="20"/>
      <c r="QHO163" s="20"/>
      <c r="QHP163" s="20"/>
      <c r="QHQ163" s="21"/>
      <c r="QHR163" s="21"/>
      <c r="QHS163" s="21"/>
      <c r="QHT163" s="21"/>
      <c r="QHU163" s="21"/>
      <c r="QHV163" s="20"/>
      <c r="QHW163" s="20"/>
      <c r="QHX163" s="20"/>
      <c r="QHY163" s="20"/>
      <c r="QHZ163" s="21"/>
      <c r="QIA163" s="21"/>
      <c r="QIB163" s="7"/>
      <c r="QIC163" s="7"/>
      <c r="QID163" s="21"/>
      <c r="QIE163" s="20"/>
      <c r="QIF163" s="20"/>
      <c r="QIG163" s="20"/>
      <c r="QIH163" s="21"/>
      <c r="QII163" s="21"/>
      <c r="QIJ163" s="21"/>
      <c r="QIK163" s="21"/>
      <c r="QIL163" s="21"/>
      <c r="QIM163" s="20"/>
      <c r="QIN163" s="20"/>
      <c r="QIO163" s="20"/>
      <c r="QIP163" s="20"/>
      <c r="QIQ163" s="21"/>
      <c r="QIR163" s="21"/>
      <c r="QIS163" s="7"/>
      <c r="QIT163" s="7"/>
      <c r="QIU163" s="21"/>
      <c r="QIV163" s="20"/>
      <c r="QIW163" s="20"/>
      <c r="QIX163" s="20"/>
      <c r="QIY163" s="21"/>
      <c r="QIZ163" s="21"/>
      <c r="QJA163" s="21"/>
      <c r="QJB163" s="21"/>
      <c r="QJC163" s="21"/>
      <c r="QJD163" s="20"/>
      <c r="QJE163" s="20"/>
      <c r="QJF163" s="20"/>
      <c r="QJG163" s="20"/>
      <c r="QJH163" s="21"/>
      <c r="QJI163" s="21"/>
      <c r="QJJ163" s="7"/>
      <c r="QJK163" s="7"/>
      <c r="QJL163" s="21"/>
      <c r="QJM163" s="20"/>
      <c r="QJN163" s="20"/>
      <c r="QJO163" s="20"/>
      <c r="QJP163" s="21"/>
      <c r="QJQ163" s="21"/>
      <c r="QJR163" s="21"/>
      <c r="QJS163" s="21"/>
      <c r="QJT163" s="21"/>
      <c r="QJU163" s="20"/>
      <c r="QJV163" s="20"/>
      <c r="QJW163" s="20"/>
      <c r="QJX163" s="20"/>
      <c r="QJY163" s="21"/>
      <c r="QJZ163" s="21"/>
      <c r="QKA163" s="7"/>
      <c r="QKB163" s="7"/>
      <c r="QKC163" s="21"/>
      <c r="QKD163" s="20"/>
      <c r="QKE163" s="20"/>
      <c r="QKF163" s="20"/>
      <c r="QKG163" s="21"/>
      <c r="QKH163" s="21"/>
      <c r="QKI163" s="21"/>
      <c r="QKJ163" s="21"/>
      <c r="QKK163" s="21"/>
      <c r="QKL163" s="20"/>
      <c r="QKM163" s="20"/>
      <c r="QKN163" s="20"/>
      <c r="QKO163" s="20"/>
      <c r="QKP163" s="21"/>
      <c r="QKQ163" s="21"/>
      <c r="QKR163" s="7"/>
      <c r="QKS163" s="7"/>
      <c r="QKT163" s="21"/>
      <c r="QKU163" s="20"/>
      <c r="QKV163" s="20"/>
      <c r="QKW163" s="20"/>
      <c r="QKX163" s="21"/>
      <c r="QKY163" s="21"/>
      <c r="QKZ163" s="21"/>
      <c r="QLA163" s="21"/>
      <c r="QLB163" s="21"/>
      <c r="QLC163" s="20"/>
      <c r="QLD163" s="20"/>
      <c r="QLE163" s="20"/>
      <c r="QLF163" s="20"/>
      <c r="QLG163" s="21"/>
      <c r="QLH163" s="21"/>
      <c r="QLI163" s="7"/>
      <c r="QLJ163" s="7"/>
      <c r="QLK163" s="21"/>
      <c r="QLL163" s="20"/>
      <c r="QLM163" s="20"/>
      <c r="QLN163" s="20"/>
      <c r="QLO163" s="21"/>
      <c r="QLP163" s="21"/>
      <c r="QLQ163" s="21"/>
      <c r="QLR163" s="21"/>
      <c r="QLS163" s="21"/>
      <c r="QLT163" s="20"/>
      <c r="QLU163" s="20"/>
      <c r="QLV163" s="20"/>
      <c r="QLW163" s="20"/>
      <c r="QLX163" s="21"/>
      <c r="QLY163" s="21"/>
      <c r="QLZ163" s="7"/>
      <c r="QMA163" s="7"/>
      <c r="QMB163" s="21"/>
      <c r="QMC163" s="20"/>
      <c r="QMD163" s="20"/>
      <c r="QME163" s="20"/>
      <c r="QMF163" s="21"/>
      <c r="QMG163" s="21"/>
      <c r="QMH163" s="21"/>
      <c r="QMI163" s="21"/>
      <c r="QMJ163" s="21"/>
      <c r="QMK163" s="20"/>
      <c r="QML163" s="20"/>
      <c r="QMM163" s="20"/>
      <c r="QMN163" s="20"/>
      <c r="QMO163" s="21"/>
      <c r="QMP163" s="21"/>
      <c r="QMQ163" s="7"/>
      <c r="QMR163" s="7"/>
      <c r="QMS163" s="21"/>
      <c r="QMT163" s="20"/>
      <c r="QMU163" s="20"/>
      <c r="QMV163" s="20"/>
      <c r="QMW163" s="21"/>
      <c r="QMX163" s="21"/>
      <c r="QMY163" s="21"/>
      <c r="QMZ163" s="21"/>
      <c r="QNA163" s="21"/>
      <c r="QNB163" s="20"/>
      <c r="QNC163" s="20"/>
      <c r="QND163" s="20"/>
      <c r="QNE163" s="20"/>
      <c r="QNF163" s="21"/>
      <c r="QNG163" s="21"/>
      <c r="QNH163" s="7"/>
      <c r="QNI163" s="7"/>
      <c r="QNJ163" s="21"/>
      <c r="QNK163" s="20"/>
      <c r="QNL163" s="20"/>
      <c r="QNM163" s="20"/>
      <c r="QNN163" s="21"/>
      <c r="QNO163" s="21"/>
      <c r="QNP163" s="21"/>
      <c r="QNQ163" s="21"/>
      <c r="QNR163" s="21"/>
      <c r="QNS163" s="20"/>
      <c r="QNT163" s="20"/>
      <c r="QNU163" s="20"/>
      <c r="QNV163" s="20"/>
      <c r="QNW163" s="21"/>
      <c r="QNX163" s="21"/>
      <c r="QNY163" s="7"/>
      <c r="QNZ163" s="7"/>
      <c r="QOA163" s="21"/>
      <c r="QOB163" s="20"/>
      <c r="QOC163" s="20"/>
      <c r="QOD163" s="20"/>
      <c r="QOE163" s="21"/>
      <c r="QOF163" s="21"/>
      <c r="QOG163" s="21"/>
      <c r="QOH163" s="21"/>
      <c r="QOI163" s="21"/>
      <c r="QOJ163" s="20"/>
      <c r="QOK163" s="20"/>
      <c r="QOL163" s="20"/>
      <c r="QOM163" s="20"/>
      <c r="QON163" s="21"/>
      <c r="QOO163" s="21"/>
      <c r="QOP163" s="7"/>
      <c r="QOQ163" s="7"/>
      <c r="QOR163" s="21"/>
      <c r="QOS163" s="20"/>
      <c r="QOT163" s="20"/>
      <c r="QOU163" s="20"/>
      <c r="QOV163" s="21"/>
      <c r="QOW163" s="21"/>
      <c r="QOX163" s="21"/>
      <c r="QOY163" s="21"/>
      <c r="QOZ163" s="21"/>
      <c r="QPA163" s="20"/>
      <c r="QPB163" s="20"/>
      <c r="QPC163" s="20"/>
      <c r="QPD163" s="20"/>
      <c r="QPE163" s="21"/>
      <c r="QPF163" s="21"/>
      <c r="QPG163" s="7"/>
      <c r="QPH163" s="7"/>
      <c r="QPI163" s="21"/>
      <c r="QPJ163" s="20"/>
      <c r="QPK163" s="20"/>
      <c r="QPL163" s="20"/>
      <c r="QPM163" s="21"/>
      <c r="QPN163" s="21"/>
      <c r="QPO163" s="21"/>
      <c r="QPP163" s="21"/>
      <c r="QPQ163" s="21"/>
      <c r="QPR163" s="20"/>
      <c r="QPS163" s="20"/>
      <c r="QPT163" s="20"/>
      <c r="QPU163" s="20"/>
      <c r="QPV163" s="21"/>
      <c r="QPW163" s="21"/>
      <c r="QPX163" s="7"/>
      <c r="QPY163" s="7"/>
      <c r="QPZ163" s="21"/>
      <c r="QQA163" s="20"/>
      <c r="QQB163" s="20"/>
      <c r="QQC163" s="20"/>
      <c r="QQD163" s="21"/>
      <c r="QQE163" s="21"/>
      <c r="QQF163" s="21"/>
      <c r="QQG163" s="21"/>
      <c r="QQH163" s="21"/>
      <c r="QQI163" s="20"/>
      <c r="QQJ163" s="20"/>
      <c r="QQK163" s="20"/>
      <c r="QQL163" s="20"/>
      <c r="QQM163" s="21"/>
      <c r="QQN163" s="21"/>
      <c r="QQO163" s="7"/>
      <c r="QQP163" s="7"/>
      <c r="QQQ163" s="21"/>
      <c r="QQR163" s="20"/>
      <c r="QQS163" s="20"/>
      <c r="QQT163" s="20"/>
      <c r="QQU163" s="21"/>
      <c r="QQV163" s="21"/>
      <c r="QQW163" s="21"/>
      <c r="QQX163" s="21"/>
      <c r="QQY163" s="21"/>
      <c r="QQZ163" s="20"/>
      <c r="QRA163" s="20"/>
      <c r="QRB163" s="20"/>
      <c r="QRC163" s="20"/>
      <c r="QRD163" s="21"/>
      <c r="QRE163" s="21"/>
      <c r="QRF163" s="7"/>
      <c r="QRG163" s="7"/>
      <c r="QRH163" s="21"/>
      <c r="QRI163" s="20"/>
      <c r="QRJ163" s="20"/>
      <c r="QRK163" s="20"/>
      <c r="QRL163" s="21"/>
      <c r="QRM163" s="21"/>
      <c r="QRN163" s="21"/>
      <c r="QRO163" s="21"/>
      <c r="QRP163" s="21"/>
      <c r="QRQ163" s="20"/>
      <c r="QRR163" s="20"/>
      <c r="QRS163" s="20"/>
      <c r="QRT163" s="20"/>
      <c r="QRU163" s="21"/>
      <c r="QRV163" s="21"/>
      <c r="QRW163" s="7"/>
      <c r="QRX163" s="7"/>
      <c r="QRY163" s="21"/>
      <c r="QRZ163" s="20"/>
      <c r="QSA163" s="20"/>
      <c r="QSB163" s="20"/>
      <c r="QSC163" s="21"/>
      <c r="QSD163" s="21"/>
      <c r="QSE163" s="21"/>
      <c r="QSF163" s="21"/>
      <c r="QSG163" s="21"/>
      <c r="QSH163" s="20"/>
      <c r="QSI163" s="20"/>
      <c r="QSJ163" s="20"/>
      <c r="QSK163" s="20"/>
      <c r="QSL163" s="21"/>
      <c r="QSM163" s="21"/>
      <c r="QSN163" s="7"/>
      <c r="QSO163" s="7"/>
      <c r="QSP163" s="21"/>
      <c r="QSQ163" s="20"/>
      <c r="QSR163" s="20"/>
      <c r="QSS163" s="20"/>
      <c r="QST163" s="21"/>
      <c r="QSU163" s="21"/>
      <c r="QSV163" s="21"/>
      <c r="QSW163" s="21"/>
      <c r="QSX163" s="21"/>
      <c r="QSY163" s="20"/>
      <c r="QSZ163" s="20"/>
      <c r="QTA163" s="20"/>
      <c r="QTB163" s="20"/>
      <c r="QTC163" s="21"/>
      <c r="QTD163" s="21"/>
      <c r="QTE163" s="7"/>
      <c r="QTF163" s="7"/>
      <c r="QTG163" s="21"/>
      <c r="QTH163" s="20"/>
      <c r="QTI163" s="20"/>
      <c r="QTJ163" s="20"/>
      <c r="QTK163" s="21"/>
      <c r="QTL163" s="21"/>
      <c r="QTM163" s="21"/>
      <c r="QTN163" s="21"/>
      <c r="QTO163" s="21"/>
      <c r="QTP163" s="20"/>
      <c r="QTQ163" s="20"/>
      <c r="QTR163" s="20"/>
      <c r="QTS163" s="20"/>
      <c r="QTT163" s="21"/>
      <c r="QTU163" s="21"/>
      <c r="QTV163" s="7"/>
      <c r="QTW163" s="7"/>
      <c r="QTX163" s="21"/>
      <c r="QTY163" s="20"/>
      <c r="QTZ163" s="20"/>
      <c r="QUA163" s="20"/>
      <c r="QUB163" s="21"/>
      <c r="QUC163" s="21"/>
      <c r="QUD163" s="21"/>
      <c r="QUE163" s="21"/>
      <c r="QUF163" s="21"/>
      <c r="QUG163" s="20"/>
      <c r="QUH163" s="20"/>
      <c r="QUI163" s="20"/>
      <c r="QUJ163" s="20"/>
      <c r="QUK163" s="21"/>
      <c r="QUL163" s="21"/>
      <c r="QUM163" s="7"/>
      <c r="QUN163" s="7"/>
      <c r="QUO163" s="21"/>
      <c r="QUP163" s="20"/>
      <c r="QUQ163" s="20"/>
      <c r="QUR163" s="20"/>
      <c r="QUS163" s="21"/>
      <c r="QUT163" s="21"/>
      <c r="QUU163" s="21"/>
      <c r="QUV163" s="21"/>
      <c r="QUW163" s="21"/>
      <c r="QUX163" s="20"/>
      <c r="QUY163" s="20"/>
      <c r="QUZ163" s="20"/>
      <c r="QVA163" s="20"/>
      <c r="QVB163" s="21"/>
      <c r="QVC163" s="21"/>
      <c r="QVD163" s="7"/>
      <c r="QVE163" s="7"/>
      <c r="QVF163" s="21"/>
      <c r="QVG163" s="20"/>
      <c r="QVH163" s="20"/>
      <c r="QVI163" s="20"/>
      <c r="QVJ163" s="21"/>
      <c r="QVK163" s="21"/>
      <c r="QVL163" s="21"/>
      <c r="QVM163" s="21"/>
      <c r="QVN163" s="21"/>
      <c r="QVO163" s="20"/>
      <c r="QVP163" s="20"/>
      <c r="QVQ163" s="20"/>
      <c r="QVR163" s="20"/>
      <c r="QVS163" s="21"/>
      <c r="QVT163" s="21"/>
      <c r="QVU163" s="7"/>
      <c r="QVV163" s="7"/>
      <c r="QVW163" s="21"/>
      <c r="QVX163" s="20"/>
      <c r="QVY163" s="20"/>
      <c r="QVZ163" s="20"/>
      <c r="QWA163" s="21"/>
      <c r="QWB163" s="21"/>
      <c r="QWC163" s="21"/>
      <c r="QWD163" s="21"/>
      <c r="QWE163" s="21"/>
      <c r="QWF163" s="20"/>
      <c r="QWG163" s="20"/>
      <c r="QWH163" s="20"/>
      <c r="QWI163" s="20"/>
      <c r="QWJ163" s="21"/>
      <c r="QWK163" s="21"/>
      <c r="QWL163" s="7"/>
      <c r="QWM163" s="7"/>
      <c r="QWN163" s="21"/>
      <c r="QWO163" s="20"/>
      <c r="QWP163" s="20"/>
      <c r="QWQ163" s="20"/>
      <c r="QWR163" s="21"/>
      <c r="QWS163" s="21"/>
      <c r="QWT163" s="21"/>
      <c r="QWU163" s="21"/>
      <c r="QWV163" s="21"/>
      <c r="QWW163" s="20"/>
      <c r="QWX163" s="20"/>
      <c r="QWY163" s="20"/>
      <c r="QWZ163" s="20"/>
      <c r="QXA163" s="21"/>
      <c r="QXB163" s="21"/>
      <c r="QXC163" s="7"/>
      <c r="QXD163" s="7"/>
      <c r="QXE163" s="21"/>
      <c r="QXF163" s="20"/>
      <c r="QXG163" s="20"/>
      <c r="QXH163" s="20"/>
      <c r="QXI163" s="21"/>
      <c r="QXJ163" s="21"/>
      <c r="QXK163" s="21"/>
      <c r="QXL163" s="21"/>
      <c r="QXM163" s="21"/>
      <c r="QXN163" s="20"/>
      <c r="QXO163" s="20"/>
      <c r="QXP163" s="20"/>
      <c r="QXQ163" s="20"/>
      <c r="QXR163" s="21"/>
      <c r="QXS163" s="21"/>
      <c r="QXT163" s="7"/>
      <c r="QXU163" s="7"/>
      <c r="QXV163" s="21"/>
      <c r="QXW163" s="20"/>
      <c r="QXX163" s="20"/>
      <c r="QXY163" s="20"/>
      <c r="QXZ163" s="21"/>
      <c r="QYA163" s="21"/>
      <c r="QYB163" s="21"/>
      <c r="QYC163" s="21"/>
      <c r="QYD163" s="21"/>
      <c r="QYE163" s="20"/>
      <c r="QYF163" s="20"/>
      <c r="QYG163" s="20"/>
      <c r="QYH163" s="20"/>
      <c r="QYI163" s="21"/>
      <c r="QYJ163" s="21"/>
      <c r="QYK163" s="7"/>
      <c r="QYL163" s="7"/>
      <c r="QYM163" s="21"/>
      <c r="QYN163" s="20"/>
      <c r="QYO163" s="20"/>
      <c r="QYP163" s="20"/>
      <c r="QYQ163" s="21"/>
      <c r="QYR163" s="21"/>
      <c r="QYS163" s="21"/>
      <c r="QYT163" s="21"/>
      <c r="QYU163" s="21"/>
      <c r="QYV163" s="20"/>
      <c r="QYW163" s="20"/>
      <c r="QYX163" s="20"/>
      <c r="QYY163" s="20"/>
      <c r="QYZ163" s="21"/>
      <c r="QZA163" s="21"/>
      <c r="QZB163" s="7"/>
      <c r="QZC163" s="7"/>
      <c r="QZD163" s="21"/>
      <c r="QZE163" s="20"/>
      <c r="QZF163" s="20"/>
      <c r="QZG163" s="20"/>
      <c r="QZH163" s="21"/>
      <c r="QZI163" s="21"/>
      <c r="QZJ163" s="21"/>
      <c r="QZK163" s="21"/>
      <c r="QZL163" s="21"/>
      <c r="QZM163" s="20"/>
      <c r="QZN163" s="20"/>
      <c r="QZO163" s="20"/>
      <c r="QZP163" s="20"/>
      <c r="QZQ163" s="21"/>
      <c r="QZR163" s="21"/>
      <c r="QZS163" s="7"/>
      <c r="QZT163" s="7"/>
      <c r="QZU163" s="21"/>
      <c r="QZV163" s="20"/>
      <c r="QZW163" s="20"/>
      <c r="QZX163" s="20"/>
      <c r="QZY163" s="21"/>
      <c r="QZZ163" s="21"/>
      <c r="RAA163" s="21"/>
      <c r="RAB163" s="21"/>
      <c r="RAC163" s="21"/>
      <c r="RAD163" s="20"/>
      <c r="RAE163" s="20"/>
      <c r="RAF163" s="20"/>
      <c r="RAG163" s="20"/>
      <c r="RAH163" s="21"/>
      <c r="RAI163" s="21"/>
      <c r="RAJ163" s="7"/>
      <c r="RAK163" s="7"/>
      <c r="RAL163" s="21"/>
      <c r="RAM163" s="20"/>
      <c r="RAN163" s="20"/>
      <c r="RAO163" s="20"/>
      <c r="RAP163" s="21"/>
      <c r="RAQ163" s="21"/>
      <c r="RAR163" s="21"/>
      <c r="RAS163" s="21"/>
      <c r="RAT163" s="21"/>
      <c r="RAU163" s="20"/>
      <c r="RAV163" s="20"/>
      <c r="RAW163" s="20"/>
      <c r="RAX163" s="20"/>
      <c r="RAY163" s="21"/>
      <c r="RAZ163" s="21"/>
      <c r="RBA163" s="7"/>
      <c r="RBB163" s="7"/>
      <c r="RBC163" s="21"/>
      <c r="RBD163" s="20"/>
      <c r="RBE163" s="20"/>
      <c r="RBF163" s="20"/>
      <c r="RBG163" s="21"/>
      <c r="RBH163" s="21"/>
      <c r="RBI163" s="21"/>
      <c r="RBJ163" s="21"/>
      <c r="RBK163" s="21"/>
      <c r="RBL163" s="20"/>
      <c r="RBM163" s="20"/>
      <c r="RBN163" s="20"/>
      <c r="RBO163" s="20"/>
      <c r="RBP163" s="21"/>
      <c r="RBQ163" s="21"/>
      <c r="RBR163" s="7"/>
      <c r="RBS163" s="7"/>
      <c r="RBT163" s="21"/>
      <c r="RBU163" s="20"/>
      <c r="RBV163" s="20"/>
      <c r="RBW163" s="20"/>
      <c r="RBX163" s="21"/>
      <c r="RBY163" s="21"/>
      <c r="RBZ163" s="21"/>
      <c r="RCA163" s="21"/>
      <c r="RCB163" s="21"/>
      <c r="RCC163" s="20"/>
      <c r="RCD163" s="20"/>
      <c r="RCE163" s="20"/>
      <c r="RCF163" s="20"/>
      <c r="RCG163" s="21"/>
      <c r="RCH163" s="21"/>
      <c r="RCI163" s="7"/>
      <c r="RCJ163" s="7"/>
      <c r="RCK163" s="21"/>
      <c r="RCL163" s="20"/>
      <c r="RCM163" s="20"/>
      <c r="RCN163" s="20"/>
      <c r="RCO163" s="21"/>
      <c r="RCP163" s="21"/>
      <c r="RCQ163" s="21"/>
      <c r="RCR163" s="21"/>
      <c r="RCS163" s="21"/>
      <c r="RCT163" s="20"/>
      <c r="RCU163" s="20"/>
      <c r="RCV163" s="20"/>
      <c r="RCW163" s="20"/>
      <c r="RCX163" s="21"/>
      <c r="RCY163" s="21"/>
      <c r="RCZ163" s="7"/>
      <c r="RDA163" s="7"/>
      <c r="RDB163" s="21"/>
      <c r="RDC163" s="20"/>
      <c r="RDD163" s="20"/>
      <c r="RDE163" s="20"/>
      <c r="RDF163" s="21"/>
      <c r="RDG163" s="21"/>
      <c r="RDH163" s="21"/>
      <c r="RDI163" s="21"/>
      <c r="RDJ163" s="21"/>
      <c r="RDK163" s="20"/>
      <c r="RDL163" s="20"/>
      <c r="RDM163" s="20"/>
      <c r="RDN163" s="20"/>
      <c r="RDO163" s="21"/>
      <c r="RDP163" s="21"/>
      <c r="RDQ163" s="7"/>
      <c r="RDR163" s="7"/>
      <c r="RDS163" s="21"/>
      <c r="RDT163" s="20"/>
      <c r="RDU163" s="20"/>
      <c r="RDV163" s="20"/>
      <c r="RDW163" s="21"/>
      <c r="RDX163" s="21"/>
      <c r="RDY163" s="21"/>
      <c r="RDZ163" s="21"/>
      <c r="REA163" s="21"/>
      <c r="REB163" s="20"/>
      <c r="REC163" s="20"/>
      <c r="RED163" s="20"/>
      <c r="REE163" s="20"/>
      <c r="REF163" s="21"/>
      <c r="REG163" s="21"/>
      <c r="REH163" s="7"/>
      <c r="REI163" s="7"/>
      <c r="REJ163" s="21"/>
      <c r="REK163" s="20"/>
      <c r="REL163" s="20"/>
      <c r="REM163" s="20"/>
      <c r="REN163" s="21"/>
      <c r="REO163" s="21"/>
      <c r="REP163" s="21"/>
      <c r="REQ163" s="21"/>
      <c r="RER163" s="21"/>
      <c r="RES163" s="20"/>
      <c r="RET163" s="20"/>
      <c r="REU163" s="20"/>
      <c r="REV163" s="20"/>
      <c r="REW163" s="21"/>
      <c r="REX163" s="21"/>
      <c r="REY163" s="7"/>
      <c r="REZ163" s="7"/>
      <c r="RFA163" s="21"/>
      <c r="RFB163" s="20"/>
      <c r="RFC163" s="20"/>
      <c r="RFD163" s="20"/>
      <c r="RFE163" s="21"/>
      <c r="RFF163" s="21"/>
      <c r="RFG163" s="21"/>
      <c r="RFH163" s="21"/>
      <c r="RFI163" s="21"/>
      <c r="RFJ163" s="20"/>
      <c r="RFK163" s="20"/>
      <c r="RFL163" s="20"/>
      <c r="RFM163" s="20"/>
      <c r="RFN163" s="21"/>
      <c r="RFO163" s="21"/>
      <c r="RFP163" s="7"/>
      <c r="RFQ163" s="7"/>
      <c r="RFR163" s="21"/>
      <c r="RFS163" s="20"/>
      <c r="RFT163" s="20"/>
      <c r="RFU163" s="20"/>
      <c r="RFV163" s="21"/>
      <c r="RFW163" s="21"/>
      <c r="RFX163" s="21"/>
      <c r="RFY163" s="21"/>
      <c r="RFZ163" s="21"/>
      <c r="RGA163" s="20"/>
      <c r="RGB163" s="20"/>
      <c r="RGC163" s="20"/>
      <c r="RGD163" s="20"/>
      <c r="RGE163" s="21"/>
      <c r="RGF163" s="21"/>
      <c r="RGG163" s="7"/>
      <c r="RGH163" s="7"/>
      <c r="RGI163" s="21"/>
      <c r="RGJ163" s="20"/>
      <c r="RGK163" s="20"/>
      <c r="RGL163" s="20"/>
      <c r="RGM163" s="21"/>
      <c r="RGN163" s="21"/>
      <c r="RGO163" s="21"/>
      <c r="RGP163" s="21"/>
      <c r="RGQ163" s="21"/>
      <c r="RGR163" s="20"/>
      <c r="RGS163" s="20"/>
      <c r="RGT163" s="20"/>
      <c r="RGU163" s="20"/>
      <c r="RGV163" s="21"/>
      <c r="RGW163" s="21"/>
      <c r="RGX163" s="7"/>
      <c r="RGY163" s="7"/>
      <c r="RGZ163" s="21"/>
      <c r="RHA163" s="20"/>
      <c r="RHB163" s="20"/>
      <c r="RHC163" s="20"/>
      <c r="RHD163" s="21"/>
      <c r="RHE163" s="21"/>
      <c r="RHF163" s="21"/>
      <c r="RHG163" s="21"/>
      <c r="RHH163" s="21"/>
      <c r="RHI163" s="20"/>
      <c r="RHJ163" s="20"/>
      <c r="RHK163" s="20"/>
      <c r="RHL163" s="20"/>
      <c r="RHM163" s="21"/>
      <c r="RHN163" s="21"/>
      <c r="RHO163" s="7"/>
      <c r="RHP163" s="7"/>
      <c r="RHQ163" s="21"/>
      <c r="RHR163" s="20"/>
      <c r="RHS163" s="20"/>
      <c r="RHT163" s="20"/>
      <c r="RHU163" s="21"/>
      <c r="RHV163" s="21"/>
      <c r="RHW163" s="21"/>
      <c r="RHX163" s="21"/>
      <c r="RHY163" s="21"/>
      <c r="RHZ163" s="20"/>
      <c r="RIA163" s="20"/>
      <c r="RIB163" s="20"/>
      <c r="RIC163" s="20"/>
      <c r="RID163" s="21"/>
      <c r="RIE163" s="21"/>
      <c r="RIF163" s="7"/>
      <c r="RIG163" s="7"/>
      <c r="RIH163" s="21"/>
      <c r="RII163" s="20"/>
      <c r="RIJ163" s="20"/>
      <c r="RIK163" s="20"/>
      <c r="RIL163" s="21"/>
      <c r="RIM163" s="21"/>
      <c r="RIN163" s="21"/>
      <c r="RIO163" s="21"/>
      <c r="RIP163" s="21"/>
      <c r="RIQ163" s="20"/>
      <c r="RIR163" s="20"/>
      <c r="RIS163" s="20"/>
      <c r="RIT163" s="20"/>
      <c r="RIU163" s="21"/>
      <c r="RIV163" s="21"/>
      <c r="RIW163" s="7"/>
      <c r="RIX163" s="7"/>
      <c r="RIY163" s="21"/>
      <c r="RIZ163" s="20"/>
      <c r="RJA163" s="20"/>
      <c r="RJB163" s="20"/>
      <c r="RJC163" s="21"/>
      <c r="RJD163" s="21"/>
      <c r="RJE163" s="21"/>
      <c r="RJF163" s="21"/>
      <c r="RJG163" s="21"/>
      <c r="RJH163" s="20"/>
      <c r="RJI163" s="20"/>
      <c r="RJJ163" s="20"/>
      <c r="RJK163" s="20"/>
      <c r="RJL163" s="21"/>
      <c r="RJM163" s="21"/>
      <c r="RJN163" s="7"/>
      <c r="RJO163" s="7"/>
      <c r="RJP163" s="21"/>
      <c r="RJQ163" s="20"/>
      <c r="RJR163" s="20"/>
      <c r="RJS163" s="20"/>
      <c r="RJT163" s="21"/>
      <c r="RJU163" s="21"/>
      <c r="RJV163" s="21"/>
      <c r="RJW163" s="21"/>
      <c r="RJX163" s="21"/>
      <c r="RJY163" s="20"/>
      <c r="RJZ163" s="20"/>
      <c r="RKA163" s="20"/>
      <c r="RKB163" s="20"/>
      <c r="RKC163" s="21"/>
      <c r="RKD163" s="21"/>
      <c r="RKE163" s="7"/>
      <c r="RKF163" s="7"/>
      <c r="RKG163" s="21"/>
      <c r="RKH163" s="20"/>
      <c r="RKI163" s="20"/>
      <c r="RKJ163" s="20"/>
      <c r="RKK163" s="21"/>
      <c r="RKL163" s="21"/>
      <c r="RKM163" s="21"/>
      <c r="RKN163" s="21"/>
      <c r="RKO163" s="21"/>
      <c r="RKP163" s="20"/>
      <c r="RKQ163" s="20"/>
      <c r="RKR163" s="20"/>
      <c r="RKS163" s="20"/>
      <c r="RKT163" s="21"/>
      <c r="RKU163" s="21"/>
      <c r="RKV163" s="7"/>
      <c r="RKW163" s="7"/>
      <c r="RKX163" s="21"/>
      <c r="RKY163" s="20"/>
      <c r="RKZ163" s="20"/>
      <c r="RLA163" s="20"/>
      <c r="RLB163" s="21"/>
      <c r="RLC163" s="21"/>
      <c r="RLD163" s="21"/>
      <c r="RLE163" s="21"/>
      <c r="RLF163" s="21"/>
      <c r="RLG163" s="20"/>
      <c r="RLH163" s="20"/>
      <c r="RLI163" s="20"/>
      <c r="RLJ163" s="20"/>
      <c r="RLK163" s="21"/>
      <c r="RLL163" s="21"/>
      <c r="RLM163" s="7"/>
      <c r="RLN163" s="7"/>
      <c r="RLO163" s="21"/>
      <c r="RLP163" s="20"/>
      <c r="RLQ163" s="20"/>
      <c r="RLR163" s="20"/>
      <c r="RLS163" s="21"/>
      <c r="RLT163" s="21"/>
      <c r="RLU163" s="21"/>
      <c r="RLV163" s="21"/>
      <c r="RLW163" s="21"/>
      <c r="RLX163" s="20"/>
      <c r="RLY163" s="20"/>
      <c r="RLZ163" s="20"/>
      <c r="RMA163" s="20"/>
      <c r="RMB163" s="21"/>
      <c r="RMC163" s="21"/>
      <c r="RMD163" s="7"/>
      <c r="RME163" s="7"/>
      <c r="RMF163" s="21"/>
      <c r="RMG163" s="20"/>
      <c r="RMH163" s="20"/>
      <c r="RMI163" s="20"/>
      <c r="RMJ163" s="21"/>
      <c r="RMK163" s="21"/>
      <c r="RML163" s="21"/>
      <c r="RMM163" s="21"/>
      <c r="RMN163" s="21"/>
      <c r="RMO163" s="20"/>
      <c r="RMP163" s="20"/>
      <c r="RMQ163" s="20"/>
      <c r="RMR163" s="20"/>
      <c r="RMS163" s="21"/>
      <c r="RMT163" s="21"/>
      <c r="RMU163" s="7"/>
      <c r="RMV163" s="7"/>
      <c r="RMW163" s="21"/>
      <c r="RMX163" s="20"/>
      <c r="RMY163" s="20"/>
      <c r="RMZ163" s="20"/>
      <c r="RNA163" s="21"/>
      <c r="RNB163" s="21"/>
      <c r="RNC163" s="21"/>
      <c r="RND163" s="21"/>
      <c r="RNE163" s="21"/>
      <c r="RNF163" s="20"/>
      <c r="RNG163" s="20"/>
      <c r="RNH163" s="20"/>
      <c r="RNI163" s="20"/>
      <c r="RNJ163" s="21"/>
      <c r="RNK163" s="21"/>
      <c r="RNL163" s="7"/>
      <c r="RNM163" s="7"/>
      <c r="RNN163" s="21"/>
      <c r="RNO163" s="20"/>
      <c r="RNP163" s="20"/>
      <c r="RNQ163" s="20"/>
      <c r="RNR163" s="21"/>
      <c r="RNS163" s="21"/>
      <c r="RNT163" s="21"/>
      <c r="RNU163" s="21"/>
      <c r="RNV163" s="21"/>
      <c r="RNW163" s="20"/>
      <c r="RNX163" s="20"/>
      <c r="RNY163" s="20"/>
      <c r="RNZ163" s="20"/>
      <c r="ROA163" s="21"/>
      <c r="ROB163" s="21"/>
      <c r="ROC163" s="7"/>
      <c r="ROD163" s="7"/>
      <c r="ROE163" s="21"/>
      <c r="ROF163" s="20"/>
      <c r="ROG163" s="20"/>
      <c r="ROH163" s="20"/>
      <c r="ROI163" s="21"/>
      <c r="ROJ163" s="21"/>
      <c r="ROK163" s="21"/>
      <c r="ROL163" s="21"/>
      <c r="ROM163" s="21"/>
      <c r="RON163" s="20"/>
      <c r="ROO163" s="20"/>
      <c r="ROP163" s="20"/>
      <c r="ROQ163" s="20"/>
      <c r="ROR163" s="21"/>
      <c r="ROS163" s="21"/>
      <c r="ROT163" s="7"/>
      <c r="ROU163" s="7"/>
      <c r="ROV163" s="21"/>
      <c r="ROW163" s="20"/>
      <c r="ROX163" s="20"/>
      <c r="ROY163" s="20"/>
      <c r="ROZ163" s="21"/>
      <c r="RPA163" s="21"/>
      <c r="RPB163" s="21"/>
      <c r="RPC163" s="21"/>
      <c r="RPD163" s="21"/>
      <c r="RPE163" s="20"/>
      <c r="RPF163" s="20"/>
      <c r="RPG163" s="20"/>
      <c r="RPH163" s="20"/>
      <c r="RPI163" s="21"/>
      <c r="RPJ163" s="21"/>
      <c r="RPK163" s="7"/>
      <c r="RPL163" s="7"/>
      <c r="RPM163" s="21"/>
      <c r="RPN163" s="20"/>
      <c r="RPO163" s="20"/>
      <c r="RPP163" s="20"/>
      <c r="RPQ163" s="21"/>
      <c r="RPR163" s="21"/>
      <c r="RPS163" s="21"/>
      <c r="RPT163" s="21"/>
      <c r="RPU163" s="21"/>
      <c r="RPV163" s="20"/>
      <c r="RPW163" s="20"/>
      <c r="RPX163" s="20"/>
      <c r="RPY163" s="20"/>
      <c r="RPZ163" s="21"/>
      <c r="RQA163" s="21"/>
      <c r="RQB163" s="7"/>
      <c r="RQC163" s="7"/>
      <c r="RQD163" s="21"/>
      <c r="RQE163" s="20"/>
      <c r="RQF163" s="20"/>
      <c r="RQG163" s="20"/>
      <c r="RQH163" s="21"/>
      <c r="RQI163" s="21"/>
      <c r="RQJ163" s="21"/>
      <c r="RQK163" s="21"/>
      <c r="RQL163" s="21"/>
      <c r="RQM163" s="20"/>
      <c r="RQN163" s="20"/>
      <c r="RQO163" s="20"/>
      <c r="RQP163" s="20"/>
      <c r="RQQ163" s="21"/>
      <c r="RQR163" s="21"/>
      <c r="RQS163" s="7"/>
      <c r="RQT163" s="7"/>
      <c r="RQU163" s="21"/>
      <c r="RQV163" s="20"/>
      <c r="RQW163" s="20"/>
      <c r="RQX163" s="20"/>
      <c r="RQY163" s="21"/>
      <c r="RQZ163" s="21"/>
      <c r="RRA163" s="21"/>
      <c r="RRB163" s="21"/>
      <c r="RRC163" s="21"/>
      <c r="RRD163" s="20"/>
      <c r="RRE163" s="20"/>
      <c r="RRF163" s="20"/>
      <c r="RRG163" s="20"/>
      <c r="RRH163" s="21"/>
      <c r="RRI163" s="21"/>
      <c r="RRJ163" s="7"/>
      <c r="RRK163" s="7"/>
      <c r="RRL163" s="21"/>
      <c r="RRM163" s="20"/>
      <c r="RRN163" s="20"/>
      <c r="RRO163" s="20"/>
      <c r="RRP163" s="21"/>
      <c r="RRQ163" s="21"/>
      <c r="RRR163" s="21"/>
      <c r="RRS163" s="21"/>
      <c r="RRT163" s="21"/>
      <c r="RRU163" s="20"/>
      <c r="RRV163" s="20"/>
      <c r="RRW163" s="20"/>
      <c r="RRX163" s="20"/>
      <c r="RRY163" s="21"/>
      <c r="RRZ163" s="21"/>
      <c r="RSA163" s="7"/>
      <c r="RSB163" s="7"/>
      <c r="RSC163" s="21"/>
      <c r="RSD163" s="20"/>
      <c r="RSE163" s="20"/>
      <c r="RSF163" s="20"/>
      <c r="RSG163" s="21"/>
      <c r="RSH163" s="21"/>
      <c r="RSI163" s="21"/>
      <c r="RSJ163" s="21"/>
      <c r="RSK163" s="21"/>
      <c r="RSL163" s="20"/>
      <c r="RSM163" s="20"/>
      <c r="RSN163" s="20"/>
      <c r="RSO163" s="20"/>
      <c r="RSP163" s="21"/>
      <c r="RSQ163" s="21"/>
      <c r="RSR163" s="7"/>
      <c r="RSS163" s="7"/>
      <c r="RST163" s="21"/>
      <c r="RSU163" s="20"/>
      <c r="RSV163" s="20"/>
      <c r="RSW163" s="20"/>
      <c r="RSX163" s="21"/>
      <c r="RSY163" s="21"/>
      <c r="RSZ163" s="21"/>
      <c r="RTA163" s="21"/>
      <c r="RTB163" s="21"/>
      <c r="RTC163" s="20"/>
      <c r="RTD163" s="20"/>
      <c r="RTE163" s="20"/>
      <c r="RTF163" s="20"/>
      <c r="RTG163" s="21"/>
      <c r="RTH163" s="21"/>
      <c r="RTI163" s="7"/>
      <c r="RTJ163" s="7"/>
      <c r="RTK163" s="21"/>
      <c r="RTL163" s="20"/>
      <c r="RTM163" s="20"/>
      <c r="RTN163" s="20"/>
      <c r="RTO163" s="21"/>
      <c r="RTP163" s="21"/>
      <c r="RTQ163" s="21"/>
      <c r="RTR163" s="21"/>
      <c r="RTS163" s="21"/>
      <c r="RTT163" s="20"/>
      <c r="RTU163" s="20"/>
      <c r="RTV163" s="20"/>
      <c r="RTW163" s="20"/>
      <c r="RTX163" s="21"/>
      <c r="RTY163" s="21"/>
      <c r="RTZ163" s="7"/>
      <c r="RUA163" s="7"/>
      <c r="RUB163" s="21"/>
      <c r="RUC163" s="20"/>
      <c r="RUD163" s="20"/>
      <c r="RUE163" s="20"/>
      <c r="RUF163" s="21"/>
      <c r="RUG163" s="21"/>
      <c r="RUH163" s="21"/>
      <c r="RUI163" s="21"/>
      <c r="RUJ163" s="21"/>
      <c r="RUK163" s="20"/>
      <c r="RUL163" s="20"/>
      <c r="RUM163" s="20"/>
      <c r="RUN163" s="20"/>
      <c r="RUO163" s="21"/>
      <c r="RUP163" s="21"/>
      <c r="RUQ163" s="7"/>
      <c r="RUR163" s="7"/>
      <c r="RUS163" s="21"/>
      <c r="RUT163" s="20"/>
      <c r="RUU163" s="20"/>
      <c r="RUV163" s="20"/>
      <c r="RUW163" s="21"/>
      <c r="RUX163" s="21"/>
      <c r="RUY163" s="21"/>
      <c r="RUZ163" s="21"/>
      <c r="RVA163" s="21"/>
      <c r="RVB163" s="20"/>
      <c r="RVC163" s="20"/>
      <c r="RVD163" s="20"/>
      <c r="RVE163" s="20"/>
      <c r="RVF163" s="21"/>
      <c r="RVG163" s="21"/>
      <c r="RVH163" s="7"/>
      <c r="RVI163" s="7"/>
      <c r="RVJ163" s="21"/>
      <c r="RVK163" s="20"/>
      <c r="RVL163" s="20"/>
      <c r="RVM163" s="20"/>
      <c r="RVN163" s="21"/>
      <c r="RVO163" s="21"/>
      <c r="RVP163" s="21"/>
      <c r="RVQ163" s="21"/>
      <c r="RVR163" s="21"/>
      <c r="RVS163" s="20"/>
      <c r="RVT163" s="20"/>
      <c r="RVU163" s="20"/>
      <c r="RVV163" s="20"/>
      <c r="RVW163" s="21"/>
      <c r="RVX163" s="21"/>
      <c r="RVY163" s="7"/>
      <c r="RVZ163" s="7"/>
      <c r="RWA163" s="21"/>
      <c r="RWB163" s="20"/>
      <c r="RWC163" s="20"/>
      <c r="RWD163" s="20"/>
      <c r="RWE163" s="21"/>
      <c r="RWF163" s="21"/>
      <c r="RWG163" s="21"/>
      <c r="RWH163" s="21"/>
      <c r="RWI163" s="21"/>
      <c r="RWJ163" s="20"/>
      <c r="RWK163" s="20"/>
      <c r="RWL163" s="20"/>
      <c r="RWM163" s="20"/>
      <c r="RWN163" s="21"/>
      <c r="RWO163" s="21"/>
      <c r="RWP163" s="7"/>
      <c r="RWQ163" s="7"/>
      <c r="RWR163" s="21"/>
      <c r="RWS163" s="20"/>
      <c r="RWT163" s="20"/>
      <c r="RWU163" s="20"/>
      <c r="RWV163" s="21"/>
      <c r="RWW163" s="21"/>
      <c r="RWX163" s="21"/>
      <c r="RWY163" s="21"/>
      <c r="RWZ163" s="21"/>
      <c r="RXA163" s="20"/>
      <c r="RXB163" s="20"/>
      <c r="RXC163" s="20"/>
      <c r="RXD163" s="20"/>
      <c r="RXE163" s="21"/>
      <c r="RXF163" s="21"/>
      <c r="RXG163" s="7"/>
      <c r="RXH163" s="7"/>
      <c r="RXI163" s="21"/>
      <c r="RXJ163" s="20"/>
      <c r="RXK163" s="20"/>
      <c r="RXL163" s="20"/>
      <c r="RXM163" s="21"/>
      <c r="RXN163" s="21"/>
      <c r="RXO163" s="21"/>
      <c r="RXP163" s="21"/>
      <c r="RXQ163" s="21"/>
      <c r="RXR163" s="20"/>
      <c r="RXS163" s="20"/>
      <c r="RXT163" s="20"/>
      <c r="RXU163" s="20"/>
      <c r="RXV163" s="21"/>
      <c r="RXW163" s="21"/>
      <c r="RXX163" s="7"/>
      <c r="RXY163" s="7"/>
      <c r="RXZ163" s="21"/>
      <c r="RYA163" s="20"/>
      <c r="RYB163" s="20"/>
      <c r="RYC163" s="20"/>
      <c r="RYD163" s="21"/>
      <c r="RYE163" s="21"/>
      <c r="RYF163" s="21"/>
      <c r="RYG163" s="21"/>
      <c r="RYH163" s="21"/>
      <c r="RYI163" s="20"/>
      <c r="RYJ163" s="20"/>
      <c r="RYK163" s="20"/>
      <c r="RYL163" s="20"/>
      <c r="RYM163" s="21"/>
      <c r="RYN163" s="21"/>
      <c r="RYO163" s="7"/>
      <c r="RYP163" s="7"/>
      <c r="RYQ163" s="21"/>
      <c r="RYR163" s="20"/>
      <c r="RYS163" s="20"/>
      <c r="RYT163" s="20"/>
      <c r="RYU163" s="21"/>
      <c r="RYV163" s="21"/>
      <c r="RYW163" s="21"/>
      <c r="RYX163" s="21"/>
      <c r="RYY163" s="21"/>
      <c r="RYZ163" s="20"/>
      <c r="RZA163" s="20"/>
      <c r="RZB163" s="20"/>
      <c r="RZC163" s="20"/>
      <c r="RZD163" s="21"/>
      <c r="RZE163" s="21"/>
      <c r="RZF163" s="7"/>
      <c r="RZG163" s="7"/>
      <c r="RZH163" s="21"/>
      <c r="RZI163" s="20"/>
      <c r="RZJ163" s="20"/>
      <c r="RZK163" s="20"/>
      <c r="RZL163" s="21"/>
      <c r="RZM163" s="21"/>
      <c r="RZN163" s="21"/>
      <c r="RZO163" s="21"/>
      <c r="RZP163" s="21"/>
      <c r="RZQ163" s="20"/>
      <c r="RZR163" s="20"/>
      <c r="RZS163" s="20"/>
      <c r="RZT163" s="20"/>
      <c r="RZU163" s="21"/>
      <c r="RZV163" s="21"/>
      <c r="RZW163" s="7"/>
      <c r="RZX163" s="7"/>
      <c r="RZY163" s="21"/>
      <c r="RZZ163" s="20"/>
      <c r="SAA163" s="20"/>
      <c r="SAB163" s="20"/>
      <c r="SAC163" s="21"/>
      <c r="SAD163" s="21"/>
      <c r="SAE163" s="21"/>
      <c r="SAF163" s="21"/>
      <c r="SAG163" s="21"/>
      <c r="SAH163" s="20"/>
      <c r="SAI163" s="20"/>
      <c r="SAJ163" s="20"/>
      <c r="SAK163" s="20"/>
      <c r="SAL163" s="21"/>
      <c r="SAM163" s="21"/>
      <c r="SAN163" s="7"/>
      <c r="SAO163" s="7"/>
      <c r="SAP163" s="21"/>
      <c r="SAQ163" s="20"/>
      <c r="SAR163" s="20"/>
      <c r="SAS163" s="20"/>
      <c r="SAT163" s="21"/>
      <c r="SAU163" s="21"/>
      <c r="SAV163" s="21"/>
      <c r="SAW163" s="21"/>
      <c r="SAX163" s="21"/>
      <c r="SAY163" s="20"/>
      <c r="SAZ163" s="20"/>
      <c r="SBA163" s="20"/>
      <c r="SBB163" s="20"/>
      <c r="SBC163" s="21"/>
      <c r="SBD163" s="21"/>
      <c r="SBE163" s="7"/>
      <c r="SBF163" s="7"/>
      <c r="SBG163" s="21"/>
      <c r="SBH163" s="20"/>
      <c r="SBI163" s="20"/>
      <c r="SBJ163" s="20"/>
      <c r="SBK163" s="21"/>
      <c r="SBL163" s="21"/>
      <c r="SBM163" s="21"/>
      <c r="SBN163" s="21"/>
      <c r="SBO163" s="21"/>
      <c r="SBP163" s="20"/>
      <c r="SBQ163" s="20"/>
      <c r="SBR163" s="20"/>
      <c r="SBS163" s="20"/>
      <c r="SBT163" s="21"/>
      <c r="SBU163" s="21"/>
      <c r="SBV163" s="7"/>
      <c r="SBW163" s="7"/>
      <c r="SBX163" s="21"/>
      <c r="SBY163" s="20"/>
      <c r="SBZ163" s="20"/>
      <c r="SCA163" s="20"/>
      <c r="SCB163" s="21"/>
      <c r="SCC163" s="21"/>
      <c r="SCD163" s="21"/>
      <c r="SCE163" s="21"/>
      <c r="SCF163" s="21"/>
      <c r="SCG163" s="20"/>
      <c r="SCH163" s="20"/>
      <c r="SCI163" s="20"/>
      <c r="SCJ163" s="20"/>
      <c r="SCK163" s="21"/>
      <c r="SCL163" s="21"/>
      <c r="SCM163" s="7"/>
      <c r="SCN163" s="7"/>
      <c r="SCO163" s="21"/>
      <c r="SCP163" s="20"/>
      <c r="SCQ163" s="20"/>
      <c r="SCR163" s="20"/>
      <c r="SCS163" s="21"/>
      <c r="SCT163" s="21"/>
      <c r="SCU163" s="21"/>
      <c r="SCV163" s="21"/>
      <c r="SCW163" s="21"/>
      <c r="SCX163" s="20"/>
      <c r="SCY163" s="20"/>
      <c r="SCZ163" s="20"/>
      <c r="SDA163" s="20"/>
      <c r="SDB163" s="21"/>
      <c r="SDC163" s="21"/>
      <c r="SDD163" s="7"/>
      <c r="SDE163" s="7"/>
      <c r="SDF163" s="21"/>
      <c r="SDG163" s="20"/>
      <c r="SDH163" s="20"/>
      <c r="SDI163" s="20"/>
      <c r="SDJ163" s="21"/>
      <c r="SDK163" s="21"/>
      <c r="SDL163" s="21"/>
      <c r="SDM163" s="21"/>
      <c r="SDN163" s="21"/>
      <c r="SDO163" s="20"/>
      <c r="SDP163" s="20"/>
      <c r="SDQ163" s="20"/>
      <c r="SDR163" s="20"/>
      <c r="SDS163" s="21"/>
      <c r="SDT163" s="21"/>
      <c r="SDU163" s="7"/>
      <c r="SDV163" s="7"/>
      <c r="SDW163" s="21"/>
      <c r="SDX163" s="20"/>
      <c r="SDY163" s="20"/>
      <c r="SDZ163" s="20"/>
      <c r="SEA163" s="21"/>
      <c r="SEB163" s="21"/>
      <c r="SEC163" s="21"/>
      <c r="SED163" s="21"/>
      <c r="SEE163" s="21"/>
      <c r="SEF163" s="20"/>
      <c r="SEG163" s="20"/>
      <c r="SEH163" s="20"/>
      <c r="SEI163" s="20"/>
      <c r="SEJ163" s="21"/>
      <c r="SEK163" s="21"/>
      <c r="SEL163" s="7"/>
      <c r="SEM163" s="7"/>
      <c r="SEN163" s="21"/>
      <c r="SEO163" s="20"/>
      <c r="SEP163" s="20"/>
      <c r="SEQ163" s="20"/>
      <c r="SER163" s="21"/>
      <c r="SES163" s="21"/>
      <c r="SET163" s="21"/>
      <c r="SEU163" s="21"/>
      <c r="SEV163" s="21"/>
      <c r="SEW163" s="20"/>
      <c r="SEX163" s="20"/>
      <c r="SEY163" s="20"/>
      <c r="SEZ163" s="20"/>
      <c r="SFA163" s="21"/>
      <c r="SFB163" s="21"/>
      <c r="SFC163" s="7"/>
      <c r="SFD163" s="7"/>
      <c r="SFE163" s="21"/>
      <c r="SFF163" s="20"/>
      <c r="SFG163" s="20"/>
      <c r="SFH163" s="20"/>
      <c r="SFI163" s="21"/>
      <c r="SFJ163" s="21"/>
      <c r="SFK163" s="21"/>
      <c r="SFL163" s="21"/>
      <c r="SFM163" s="21"/>
      <c r="SFN163" s="20"/>
      <c r="SFO163" s="20"/>
      <c r="SFP163" s="20"/>
      <c r="SFQ163" s="20"/>
      <c r="SFR163" s="21"/>
      <c r="SFS163" s="21"/>
      <c r="SFT163" s="7"/>
      <c r="SFU163" s="7"/>
      <c r="SFV163" s="21"/>
      <c r="SFW163" s="20"/>
      <c r="SFX163" s="20"/>
      <c r="SFY163" s="20"/>
      <c r="SFZ163" s="21"/>
      <c r="SGA163" s="21"/>
      <c r="SGB163" s="21"/>
      <c r="SGC163" s="21"/>
      <c r="SGD163" s="21"/>
      <c r="SGE163" s="20"/>
      <c r="SGF163" s="20"/>
      <c r="SGG163" s="20"/>
      <c r="SGH163" s="20"/>
      <c r="SGI163" s="21"/>
      <c r="SGJ163" s="21"/>
      <c r="SGK163" s="7"/>
      <c r="SGL163" s="7"/>
      <c r="SGM163" s="21"/>
      <c r="SGN163" s="20"/>
      <c r="SGO163" s="20"/>
      <c r="SGP163" s="20"/>
      <c r="SGQ163" s="21"/>
      <c r="SGR163" s="21"/>
      <c r="SGS163" s="21"/>
      <c r="SGT163" s="21"/>
      <c r="SGU163" s="21"/>
      <c r="SGV163" s="20"/>
      <c r="SGW163" s="20"/>
      <c r="SGX163" s="20"/>
      <c r="SGY163" s="20"/>
      <c r="SGZ163" s="21"/>
      <c r="SHA163" s="21"/>
      <c r="SHB163" s="7"/>
      <c r="SHC163" s="7"/>
      <c r="SHD163" s="21"/>
      <c r="SHE163" s="20"/>
      <c r="SHF163" s="20"/>
      <c r="SHG163" s="20"/>
      <c r="SHH163" s="21"/>
      <c r="SHI163" s="21"/>
      <c r="SHJ163" s="21"/>
      <c r="SHK163" s="21"/>
      <c r="SHL163" s="21"/>
      <c r="SHM163" s="20"/>
      <c r="SHN163" s="20"/>
      <c r="SHO163" s="20"/>
      <c r="SHP163" s="20"/>
      <c r="SHQ163" s="21"/>
      <c r="SHR163" s="21"/>
      <c r="SHS163" s="7"/>
      <c r="SHT163" s="7"/>
      <c r="SHU163" s="21"/>
      <c r="SHV163" s="20"/>
      <c r="SHW163" s="20"/>
      <c r="SHX163" s="20"/>
      <c r="SHY163" s="21"/>
      <c r="SHZ163" s="21"/>
      <c r="SIA163" s="21"/>
      <c r="SIB163" s="21"/>
      <c r="SIC163" s="21"/>
      <c r="SID163" s="20"/>
      <c r="SIE163" s="20"/>
      <c r="SIF163" s="20"/>
      <c r="SIG163" s="20"/>
      <c r="SIH163" s="21"/>
      <c r="SII163" s="21"/>
      <c r="SIJ163" s="7"/>
      <c r="SIK163" s="7"/>
      <c r="SIL163" s="21"/>
      <c r="SIM163" s="20"/>
      <c r="SIN163" s="20"/>
      <c r="SIO163" s="20"/>
      <c r="SIP163" s="21"/>
      <c r="SIQ163" s="21"/>
      <c r="SIR163" s="21"/>
      <c r="SIS163" s="21"/>
      <c r="SIT163" s="21"/>
      <c r="SIU163" s="20"/>
      <c r="SIV163" s="20"/>
      <c r="SIW163" s="20"/>
      <c r="SIX163" s="20"/>
      <c r="SIY163" s="21"/>
      <c r="SIZ163" s="21"/>
      <c r="SJA163" s="7"/>
      <c r="SJB163" s="7"/>
      <c r="SJC163" s="21"/>
      <c r="SJD163" s="20"/>
      <c r="SJE163" s="20"/>
      <c r="SJF163" s="20"/>
      <c r="SJG163" s="21"/>
      <c r="SJH163" s="21"/>
      <c r="SJI163" s="21"/>
      <c r="SJJ163" s="21"/>
      <c r="SJK163" s="21"/>
      <c r="SJL163" s="20"/>
      <c r="SJM163" s="20"/>
      <c r="SJN163" s="20"/>
      <c r="SJO163" s="20"/>
      <c r="SJP163" s="21"/>
      <c r="SJQ163" s="21"/>
      <c r="SJR163" s="7"/>
      <c r="SJS163" s="7"/>
      <c r="SJT163" s="21"/>
      <c r="SJU163" s="20"/>
      <c r="SJV163" s="20"/>
      <c r="SJW163" s="20"/>
      <c r="SJX163" s="21"/>
      <c r="SJY163" s="21"/>
      <c r="SJZ163" s="21"/>
      <c r="SKA163" s="21"/>
      <c r="SKB163" s="21"/>
      <c r="SKC163" s="20"/>
      <c r="SKD163" s="20"/>
      <c r="SKE163" s="20"/>
      <c r="SKF163" s="20"/>
      <c r="SKG163" s="21"/>
      <c r="SKH163" s="21"/>
      <c r="SKI163" s="7"/>
      <c r="SKJ163" s="7"/>
      <c r="SKK163" s="21"/>
      <c r="SKL163" s="20"/>
      <c r="SKM163" s="20"/>
      <c r="SKN163" s="20"/>
      <c r="SKO163" s="21"/>
      <c r="SKP163" s="21"/>
      <c r="SKQ163" s="21"/>
      <c r="SKR163" s="21"/>
      <c r="SKS163" s="21"/>
      <c r="SKT163" s="20"/>
      <c r="SKU163" s="20"/>
      <c r="SKV163" s="20"/>
      <c r="SKW163" s="20"/>
      <c r="SKX163" s="21"/>
      <c r="SKY163" s="21"/>
      <c r="SKZ163" s="7"/>
      <c r="SLA163" s="7"/>
      <c r="SLB163" s="21"/>
      <c r="SLC163" s="20"/>
      <c r="SLD163" s="20"/>
      <c r="SLE163" s="20"/>
      <c r="SLF163" s="21"/>
      <c r="SLG163" s="21"/>
      <c r="SLH163" s="21"/>
      <c r="SLI163" s="21"/>
      <c r="SLJ163" s="21"/>
      <c r="SLK163" s="20"/>
      <c r="SLL163" s="20"/>
      <c r="SLM163" s="20"/>
      <c r="SLN163" s="20"/>
      <c r="SLO163" s="21"/>
      <c r="SLP163" s="21"/>
      <c r="SLQ163" s="7"/>
      <c r="SLR163" s="7"/>
      <c r="SLS163" s="21"/>
      <c r="SLT163" s="20"/>
      <c r="SLU163" s="20"/>
      <c r="SLV163" s="20"/>
      <c r="SLW163" s="21"/>
      <c r="SLX163" s="21"/>
      <c r="SLY163" s="21"/>
      <c r="SLZ163" s="21"/>
      <c r="SMA163" s="21"/>
      <c r="SMB163" s="20"/>
      <c r="SMC163" s="20"/>
      <c r="SMD163" s="20"/>
      <c r="SME163" s="20"/>
      <c r="SMF163" s="21"/>
      <c r="SMG163" s="21"/>
      <c r="SMH163" s="7"/>
      <c r="SMI163" s="7"/>
      <c r="SMJ163" s="21"/>
      <c r="SMK163" s="20"/>
      <c r="SML163" s="20"/>
      <c r="SMM163" s="20"/>
      <c r="SMN163" s="21"/>
      <c r="SMO163" s="21"/>
      <c r="SMP163" s="21"/>
      <c r="SMQ163" s="21"/>
      <c r="SMR163" s="21"/>
      <c r="SMS163" s="20"/>
      <c r="SMT163" s="20"/>
      <c r="SMU163" s="20"/>
      <c r="SMV163" s="20"/>
      <c r="SMW163" s="21"/>
      <c r="SMX163" s="21"/>
      <c r="SMY163" s="7"/>
      <c r="SMZ163" s="7"/>
      <c r="SNA163" s="21"/>
      <c r="SNB163" s="20"/>
      <c r="SNC163" s="20"/>
      <c r="SND163" s="20"/>
      <c r="SNE163" s="21"/>
      <c r="SNF163" s="21"/>
      <c r="SNG163" s="21"/>
      <c r="SNH163" s="21"/>
      <c r="SNI163" s="21"/>
      <c r="SNJ163" s="20"/>
      <c r="SNK163" s="20"/>
      <c r="SNL163" s="20"/>
      <c r="SNM163" s="20"/>
      <c r="SNN163" s="21"/>
      <c r="SNO163" s="21"/>
      <c r="SNP163" s="7"/>
      <c r="SNQ163" s="7"/>
      <c r="SNR163" s="21"/>
      <c r="SNS163" s="20"/>
      <c r="SNT163" s="20"/>
      <c r="SNU163" s="20"/>
      <c r="SNV163" s="21"/>
      <c r="SNW163" s="21"/>
      <c r="SNX163" s="21"/>
      <c r="SNY163" s="21"/>
      <c r="SNZ163" s="21"/>
      <c r="SOA163" s="20"/>
      <c r="SOB163" s="20"/>
      <c r="SOC163" s="20"/>
      <c r="SOD163" s="20"/>
      <c r="SOE163" s="21"/>
      <c r="SOF163" s="21"/>
      <c r="SOG163" s="7"/>
      <c r="SOH163" s="7"/>
      <c r="SOI163" s="21"/>
      <c r="SOJ163" s="20"/>
      <c r="SOK163" s="20"/>
      <c r="SOL163" s="20"/>
      <c r="SOM163" s="21"/>
      <c r="SON163" s="21"/>
      <c r="SOO163" s="21"/>
      <c r="SOP163" s="21"/>
      <c r="SOQ163" s="21"/>
      <c r="SOR163" s="20"/>
      <c r="SOS163" s="20"/>
      <c r="SOT163" s="20"/>
      <c r="SOU163" s="20"/>
      <c r="SOV163" s="21"/>
      <c r="SOW163" s="21"/>
      <c r="SOX163" s="7"/>
      <c r="SOY163" s="7"/>
      <c r="SOZ163" s="21"/>
      <c r="SPA163" s="20"/>
      <c r="SPB163" s="20"/>
      <c r="SPC163" s="20"/>
      <c r="SPD163" s="21"/>
      <c r="SPE163" s="21"/>
      <c r="SPF163" s="21"/>
      <c r="SPG163" s="21"/>
      <c r="SPH163" s="21"/>
      <c r="SPI163" s="20"/>
      <c r="SPJ163" s="20"/>
      <c r="SPK163" s="20"/>
      <c r="SPL163" s="20"/>
      <c r="SPM163" s="21"/>
      <c r="SPN163" s="21"/>
      <c r="SPO163" s="7"/>
      <c r="SPP163" s="7"/>
      <c r="SPQ163" s="21"/>
      <c r="SPR163" s="20"/>
      <c r="SPS163" s="20"/>
      <c r="SPT163" s="20"/>
      <c r="SPU163" s="21"/>
      <c r="SPV163" s="21"/>
      <c r="SPW163" s="21"/>
      <c r="SPX163" s="21"/>
      <c r="SPY163" s="21"/>
      <c r="SPZ163" s="20"/>
      <c r="SQA163" s="20"/>
      <c r="SQB163" s="20"/>
      <c r="SQC163" s="20"/>
      <c r="SQD163" s="21"/>
      <c r="SQE163" s="21"/>
      <c r="SQF163" s="7"/>
      <c r="SQG163" s="7"/>
      <c r="SQH163" s="21"/>
      <c r="SQI163" s="20"/>
      <c r="SQJ163" s="20"/>
      <c r="SQK163" s="20"/>
      <c r="SQL163" s="21"/>
      <c r="SQM163" s="21"/>
      <c r="SQN163" s="21"/>
      <c r="SQO163" s="21"/>
      <c r="SQP163" s="21"/>
      <c r="SQQ163" s="20"/>
      <c r="SQR163" s="20"/>
      <c r="SQS163" s="20"/>
      <c r="SQT163" s="20"/>
      <c r="SQU163" s="21"/>
      <c r="SQV163" s="21"/>
      <c r="SQW163" s="7"/>
      <c r="SQX163" s="7"/>
      <c r="SQY163" s="21"/>
      <c r="SQZ163" s="20"/>
      <c r="SRA163" s="20"/>
      <c r="SRB163" s="20"/>
      <c r="SRC163" s="21"/>
      <c r="SRD163" s="21"/>
      <c r="SRE163" s="21"/>
      <c r="SRF163" s="21"/>
      <c r="SRG163" s="21"/>
      <c r="SRH163" s="20"/>
      <c r="SRI163" s="20"/>
      <c r="SRJ163" s="20"/>
      <c r="SRK163" s="20"/>
      <c r="SRL163" s="21"/>
      <c r="SRM163" s="21"/>
      <c r="SRN163" s="7"/>
      <c r="SRO163" s="7"/>
      <c r="SRP163" s="21"/>
      <c r="SRQ163" s="20"/>
      <c r="SRR163" s="20"/>
      <c r="SRS163" s="20"/>
      <c r="SRT163" s="21"/>
      <c r="SRU163" s="21"/>
      <c r="SRV163" s="21"/>
      <c r="SRW163" s="21"/>
      <c r="SRX163" s="21"/>
      <c r="SRY163" s="20"/>
      <c r="SRZ163" s="20"/>
      <c r="SSA163" s="20"/>
      <c r="SSB163" s="20"/>
      <c r="SSC163" s="21"/>
      <c r="SSD163" s="21"/>
      <c r="SSE163" s="7"/>
      <c r="SSF163" s="7"/>
      <c r="SSG163" s="21"/>
      <c r="SSH163" s="20"/>
      <c r="SSI163" s="20"/>
      <c r="SSJ163" s="20"/>
      <c r="SSK163" s="21"/>
      <c r="SSL163" s="21"/>
      <c r="SSM163" s="21"/>
      <c r="SSN163" s="21"/>
      <c r="SSO163" s="21"/>
      <c r="SSP163" s="20"/>
      <c r="SSQ163" s="20"/>
      <c r="SSR163" s="20"/>
      <c r="SSS163" s="20"/>
      <c r="SST163" s="21"/>
      <c r="SSU163" s="21"/>
      <c r="SSV163" s="7"/>
      <c r="SSW163" s="7"/>
      <c r="SSX163" s="21"/>
      <c r="SSY163" s="20"/>
      <c r="SSZ163" s="20"/>
      <c r="STA163" s="20"/>
      <c r="STB163" s="21"/>
      <c r="STC163" s="21"/>
      <c r="STD163" s="21"/>
      <c r="STE163" s="21"/>
      <c r="STF163" s="21"/>
      <c r="STG163" s="20"/>
      <c r="STH163" s="20"/>
      <c r="STI163" s="20"/>
      <c r="STJ163" s="20"/>
      <c r="STK163" s="21"/>
      <c r="STL163" s="21"/>
      <c r="STM163" s="7"/>
      <c r="STN163" s="7"/>
      <c r="STO163" s="21"/>
      <c r="STP163" s="20"/>
      <c r="STQ163" s="20"/>
      <c r="STR163" s="20"/>
      <c r="STS163" s="21"/>
      <c r="STT163" s="21"/>
      <c r="STU163" s="21"/>
      <c r="STV163" s="21"/>
      <c r="STW163" s="21"/>
      <c r="STX163" s="20"/>
      <c r="STY163" s="20"/>
      <c r="STZ163" s="20"/>
      <c r="SUA163" s="20"/>
      <c r="SUB163" s="21"/>
      <c r="SUC163" s="21"/>
      <c r="SUD163" s="7"/>
      <c r="SUE163" s="7"/>
      <c r="SUF163" s="21"/>
      <c r="SUG163" s="20"/>
      <c r="SUH163" s="20"/>
      <c r="SUI163" s="20"/>
      <c r="SUJ163" s="21"/>
      <c r="SUK163" s="21"/>
      <c r="SUL163" s="21"/>
      <c r="SUM163" s="21"/>
      <c r="SUN163" s="21"/>
      <c r="SUO163" s="20"/>
      <c r="SUP163" s="20"/>
      <c r="SUQ163" s="20"/>
      <c r="SUR163" s="20"/>
      <c r="SUS163" s="21"/>
      <c r="SUT163" s="21"/>
      <c r="SUU163" s="7"/>
      <c r="SUV163" s="7"/>
      <c r="SUW163" s="21"/>
      <c r="SUX163" s="20"/>
      <c r="SUY163" s="20"/>
      <c r="SUZ163" s="20"/>
      <c r="SVA163" s="21"/>
      <c r="SVB163" s="21"/>
      <c r="SVC163" s="21"/>
      <c r="SVD163" s="21"/>
      <c r="SVE163" s="21"/>
      <c r="SVF163" s="20"/>
      <c r="SVG163" s="20"/>
      <c r="SVH163" s="20"/>
      <c r="SVI163" s="20"/>
      <c r="SVJ163" s="21"/>
      <c r="SVK163" s="21"/>
      <c r="SVL163" s="7"/>
      <c r="SVM163" s="7"/>
      <c r="SVN163" s="21"/>
      <c r="SVO163" s="20"/>
      <c r="SVP163" s="20"/>
      <c r="SVQ163" s="20"/>
      <c r="SVR163" s="21"/>
      <c r="SVS163" s="21"/>
      <c r="SVT163" s="21"/>
      <c r="SVU163" s="21"/>
      <c r="SVV163" s="21"/>
      <c r="SVW163" s="20"/>
      <c r="SVX163" s="20"/>
      <c r="SVY163" s="20"/>
      <c r="SVZ163" s="20"/>
      <c r="SWA163" s="21"/>
      <c r="SWB163" s="21"/>
      <c r="SWC163" s="7"/>
      <c r="SWD163" s="7"/>
      <c r="SWE163" s="21"/>
      <c r="SWF163" s="20"/>
      <c r="SWG163" s="20"/>
      <c r="SWH163" s="20"/>
      <c r="SWI163" s="21"/>
      <c r="SWJ163" s="21"/>
      <c r="SWK163" s="21"/>
      <c r="SWL163" s="21"/>
      <c r="SWM163" s="21"/>
      <c r="SWN163" s="20"/>
      <c r="SWO163" s="20"/>
      <c r="SWP163" s="20"/>
      <c r="SWQ163" s="20"/>
      <c r="SWR163" s="21"/>
      <c r="SWS163" s="21"/>
      <c r="SWT163" s="7"/>
      <c r="SWU163" s="7"/>
      <c r="SWV163" s="21"/>
      <c r="SWW163" s="20"/>
      <c r="SWX163" s="20"/>
      <c r="SWY163" s="20"/>
      <c r="SWZ163" s="21"/>
      <c r="SXA163" s="21"/>
      <c r="SXB163" s="21"/>
      <c r="SXC163" s="21"/>
      <c r="SXD163" s="21"/>
      <c r="SXE163" s="20"/>
      <c r="SXF163" s="20"/>
      <c r="SXG163" s="20"/>
      <c r="SXH163" s="20"/>
      <c r="SXI163" s="21"/>
      <c r="SXJ163" s="21"/>
      <c r="SXK163" s="7"/>
      <c r="SXL163" s="7"/>
      <c r="SXM163" s="21"/>
      <c r="SXN163" s="20"/>
      <c r="SXO163" s="20"/>
      <c r="SXP163" s="20"/>
      <c r="SXQ163" s="21"/>
      <c r="SXR163" s="21"/>
      <c r="SXS163" s="21"/>
      <c r="SXT163" s="21"/>
      <c r="SXU163" s="21"/>
      <c r="SXV163" s="20"/>
      <c r="SXW163" s="20"/>
      <c r="SXX163" s="20"/>
      <c r="SXY163" s="20"/>
      <c r="SXZ163" s="21"/>
      <c r="SYA163" s="21"/>
      <c r="SYB163" s="7"/>
      <c r="SYC163" s="7"/>
      <c r="SYD163" s="21"/>
      <c r="SYE163" s="20"/>
      <c r="SYF163" s="20"/>
      <c r="SYG163" s="20"/>
      <c r="SYH163" s="21"/>
      <c r="SYI163" s="21"/>
      <c r="SYJ163" s="21"/>
      <c r="SYK163" s="21"/>
      <c r="SYL163" s="21"/>
      <c r="SYM163" s="20"/>
      <c r="SYN163" s="20"/>
      <c r="SYO163" s="20"/>
      <c r="SYP163" s="20"/>
      <c r="SYQ163" s="21"/>
      <c r="SYR163" s="21"/>
      <c r="SYS163" s="7"/>
      <c r="SYT163" s="7"/>
      <c r="SYU163" s="21"/>
      <c r="SYV163" s="20"/>
      <c r="SYW163" s="20"/>
      <c r="SYX163" s="20"/>
      <c r="SYY163" s="21"/>
      <c r="SYZ163" s="21"/>
      <c r="SZA163" s="21"/>
      <c r="SZB163" s="21"/>
      <c r="SZC163" s="21"/>
      <c r="SZD163" s="20"/>
      <c r="SZE163" s="20"/>
      <c r="SZF163" s="20"/>
      <c r="SZG163" s="20"/>
      <c r="SZH163" s="21"/>
      <c r="SZI163" s="21"/>
      <c r="SZJ163" s="7"/>
      <c r="SZK163" s="7"/>
      <c r="SZL163" s="21"/>
      <c r="SZM163" s="20"/>
      <c r="SZN163" s="20"/>
      <c r="SZO163" s="20"/>
      <c r="SZP163" s="21"/>
      <c r="SZQ163" s="21"/>
      <c r="SZR163" s="21"/>
      <c r="SZS163" s="21"/>
      <c r="SZT163" s="21"/>
      <c r="SZU163" s="20"/>
      <c r="SZV163" s="20"/>
      <c r="SZW163" s="20"/>
      <c r="SZX163" s="20"/>
      <c r="SZY163" s="21"/>
      <c r="SZZ163" s="21"/>
      <c r="TAA163" s="7"/>
      <c r="TAB163" s="7"/>
      <c r="TAC163" s="21"/>
      <c r="TAD163" s="20"/>
      <c r="TAE163" s="20"/>
      <c r="TAF163" s="20"/>
      <c r="TAG163" s="21"/>
      <c r="TAH163" s="21"/>
      <c r="TAI163" s="21"/>
      <c r="TAJ163" s="21"/>
      <c r="TAK163" s="21"/>
      <c r="TAL163" s="20"/>
      <c r="TAM163" s="20"/>
      <c r="TAN163" s="20"/>
      <c r="TAO163" s="20"/>
      <c r="TAP163" s="21"/>
      <c r="TAQ163" s="21"/>
      <c r="TAR163" s="7"/>
      <c r="TAS163" s="7"/>
      <c r="TAT163" s="21"/>
      <c r="TAU163" s="20"/>
      <c r="TAV163" s="20"/>
      <c r="TAW163" s="20"/>
      <c r="TAX163" s="21"/>
      <c r="TAY163" s="21"/>
      <c r="TAZ163" s="21"/>
      <c r="TBA163" s="21"/>
      <c r="TBB163" s="21"/>
      <c r="TBC163" s="20"/>
      <c r="TBD163" s="20"/>
      <c r="TBE163" s="20"/>
      <c r="TBF163" s="20"/>
      <c r="TBG163" s="21"/>
      <c r="TBH163" s="21"/>
      <c r="TBI163" s="7"/>
      <c r="TBJ163" s="7"/>
      <c r="TBK163" s="21"/>
      <c r="TBL163" s="20"/>
      <c r="TBM163" s="20"/>
      <c r="TBN163" s="20"/>
      <c r="TBO163" s="21"/>
      <c r="TBP163" s="21"/>
      <c r="TBQ163" s="21"/>
      <c r="TBR163" s="21"/>
      <c r="TBS163" s="21"/>
      <c r="TBT163" s="20"/>
      <c r="TBU163" s="20"/>
      <c r="TBV163" s="20"/>
      <c r="TBW163" s="20"/>
      <c r="TBX163" s="21"/>
      <c r="TBY163" s="21"/>
      <c r="TBZ163" s="7"/>
      <c r="TCA163" s="7"/>
      <c r="TCB163" s="21"/>
      <c r="TCC163" s="20"/>
      <c r="TCD163" s="20"/>
      <c r="TCE163" s="20"/>
      <c r="TCF163" s="21"/>
      <c r="TCG163" s="21"/>
      <c r="TCH163" s="21"/>
      <c r="TCI163" s="21"/>
      <c r="TCJ163" s="21"/>
      <c r="TCK163" s="20"/>
      <c r="TCL163" s="20"/>
      <c r="TCM163" s="20"/>
      <c r="TCN163" s="20"/>
      <c r="TCO163" s="21"/>
      <c r="TCP163" s="21"/>
      <c r="TCQ163" s="7"/>
      <c r="TCR163" s="7"/>
      <c r="TCS163" s="21"/>
      <c r="TCT163" s="20"/>
      <c r="TCU163" s="20"/>
      <c r="TCV163" s="20"/>
      <c r="TCW163" s="21"/>
      <c r="TCX163" s="21"/>
      <c r="TCY163" s="21"/>
      <c r="TCZ163" s="21"/>
      <c r="TDA163" s="21"/>
      <c r="TDB163" s="20"/>
      <c r="TDC163" s="20"/>
      <c r="TDD163" s="20"/>
      <c r="TDE163" s="20"/>
      <c r="TDF163" s="21"/>
      <c r="TDG163" s="21"/>
      <c r="TDH163" s="7"/>
      <c r="TDI163" s="7"/>
      <c r="TDJ163" s="21"/>
      <c r="TDK163" s="20"/>
      <c r="TDL163" s="20"/>
      <c r="TDM163" s="20"/>
      <c r="TDN163" s="21"/>
      <c r="TDO163" s="21"/>
      <c r="TDP163" s="21"/>
      <c r="TDQ163" s="21"/>
      <c r="TDR163" s="21"/>
      <c r="TDS163" s="20"/>
      <c r="TDT163" s="20"/>
      <c r="TDU163" s="20"/>
      <c r="TDV163" s="20"/>
      <c r="TDW163" s="21"/>
      <c r="TDX163" s="21"/>
      <c r="TDY163" s="7"/>
      <c r="TDZ163" s="7"/>
      <c r="TEA163" s="21"/>
      <c r="TEB163" s="20"/>
      <c r="TEC163" s="20"/>
      <c r="TED163" s="20"/>
      <c r="TEE163" s="21"/>
      <c r="TEF163" s="21"/>
      <c r="TEG163" s="21"/>
      <c r="TEH163" s="21"/>
      <c r="TEI163" s="21"/>
      <c r="TEJ163" s="20"/>
      <c r="TEK163" s="20"/>
      <c r="TEL163" s="20"/>
      <c r="TEM163" s="20"/>
      <c r="TEN163" s="21"/>
      <c r="TEO163" s="21"/>
      <c r="TEP163" s="7"/>
      <c r="TEQ163" s="7"/>
      <c r="TER163" s="21"/>
      <c r="TES163" s="20"/>
      <c r="TET163" s="20"/>
      <c r="TEU163" s="20"/>
      <c r="TEV163" s="21"/>
      <c r="TEW163" s="21"/>
      <c r="TEX163" s="21"/>
      <c r="TEY163" s="21"/>
      <c r="TEZ163" s="21"/>
      <c r="TFA163" s="20"/>
      <c r="TFB163" s="20"/>
      <c r="TFC163" s="20"/>
      <c r="TFD163" s="20"/>
      <c r="TFE163" s="21"/>
      <c r="TFF163" s="21"/>
      <c r="TFG163" s="7"/>
      <c r="TFH163" s="7"/>
      <c r="TFI163" s="21"/>
      <c r="TFJ163" s="20"/>
      <c r="TFK163" s="20"/>
      <c r="TFL163" s="20"/>
      <c r="TFM163" s="21"/>
      <c r="TFN163" s="21"/>
      <c r="TFO163" s="21"/>
      <c r="TFP163" s="21"/>
      <c r="TFQ163" s="21"/>
      <c r="TFR163" s="20"/>
      <c r="TFS163" s="20"/>
      <c r="TFT163" s="20"/>
      <c r="TFU163" s="20"/>
      <c r="TFV163" s="21"/>
      <c r="TFW163" s="21"/>
      <c r="TFX163" s="7"/>
      <c r="TFY163" s="7"/>
      <c r="TFZ163" s="21"/>
      <c r="TGA163" s="20"/>
      <c r="TGB163" s="20"/>
      <c r="TGC163" s="20"/>
      <c r="TGD163" s="21"/>
      <c r="TGE163" s="21"/>
      <c r="TGF163" s="21"/>
      <c r="TGG163" s="21"/>
      <c r="TGH163" s="21"/>
      <c r="TGI163" s="20"/>
      <c r="TGJ163" s="20"/>
      <c r="TGK163" s="20"/>
      <c r="TGL163" s="20"/>
      <c r="TGM163" s="21"/>
      <c r="TGN163" s="21"/>
      <c r="TGO163" s="7"/>
      <c r="TGP163" s="7"/>
      <c r="TGQ163" s="21"/>
      <c r="TGR163" s="20"/>
      <c r="TGS163" s="20"/>
      <c r="TGT163" s="20"/>
      <c r="TGU163" s="21"/>
      <c r="TGV163" s="21"/>
      <c r="TGW163" s="21"/>
      <c r="TGX163" s="21"/>
      <c r="TGY163" s="21"/>
      <c r="TGZ163" s="20"/>
      <c r="THA163" s="20"/>
      <c r="THB163" s="20"/>
      <c r="THC163" s="20"/>
      <c r="THD163" s="21"/>
      <c r="THE163" s="21"/>
      <c r="THF163" s="7"/>
      <c r="THG163" s="7"/>
      <c r="THH163" s="21"/>
      <c r="THI163" s="20"/>
      <c r="THJ163" s="20"/>
      <c r="THK163" s="20"/>
      <c r="THL163" s="21"/>
      <c r="THM163" s="21"/>
      <c r="THN163" s="21"/>
      <c r="THO163" s="21"/>
      <c r="THP163" s="21"/>
      <c r="THQ163" s="20"/>
      <c r="THR163" s="20"/>
      <c r="THS163" s="20"/>
      <c r="THT163" s="20"/>
      <c r="THU163" s="21"/>
      <c r="THV163" s="21"/>
      <c r="THW163" s="7"/>
      <c r="THX163" s="7"/>
      <c r="THY163" s="21"/>
      <c r="THZ163" s="20"/>
      <c r="TIA163" s="20"/>
      <c r="TIB163" s="20"/>
      <c r="TIC163" s="21"/>
      <c r="TID163" s="21"/>
      <c r="TIE163" s="21"/>
      <c r="TIF163" s="21"/>
      <c r="TIG163" s="21"/>
      <c r="TIH163" s="20"/>
      <c r="TII163" s="20"/>
      <c r="TIJ163" s="20"/>
      <c r="TIK163" s="20"/>
      <c r="TIL163" s="21"/>
      <c r="TIM163" s="21"/>
      <c r="TIN163" s="7"/>
      <c r="TIO163" s="7"/>
      <c r="TIP163" s="21"/>
      <c r="TIQ163" s="20"/>
      <c r="TIR163" s="20"/>
      <c r="TIS163" s="20"/>
      <c r="TIT163" s="21"/>
      <c r="TIU163" s="21"/>
      <c r="TIV163" s="21"/>
      <c r="TIW163" s="21"/>
      <c r="TIX163" s="21"/>
      <c r="TIY163" s="20"/>
      <c r="TIZ163" s="20"/>
      <c r="TJA163" s="20"/>
      <c r="TJB163" s="20"/>
      <c r="TJC163" s="21"/>
      <c r="TJD163" s="21"/>
      <c r="TJE163" s="7"/>
      <c r="TJF163" s="7"/>
      <c r="TJG163" s="21"/>
      <c r="TJH163" s="20"/>
      <c r="TJI163" s="20"/>
      <c r="TJJ163" s="20"/>
      <c r="TJK163" s="21"/>
      <c r="TJL163" s="21"/>
      <c r="TJM163" s="21"/>
      <c r="TJN163" s="21"/>
      <c r="TJO163" s="21"/>
      <c r="TJP163" s="20"/>
      <c r="TJQ163" s="20"/>
      <c r="TJR163" s="20"/>
      <c r="TJS163" s="20"/>
      <c r="TJT163" s="21"/>
      <c r="TJU163" s="21"/>
      <c r="TJV163" s="7"/>
      <c r="TJW163" s="7"/>
      <c r="TJX163" s="21"/>
      <c r="TJY163" s="20"/>
      <c r="TJZ163" s="20"/>
      <c r="TKA163" s="20"/>
      <c r="TKB163" s="21"/>
      <c r="TKC163" s="21"/>
      <c r="TKD163" s="21"/>
      <c r="TKE163" s="21"/>
      <c r="TKF163" s="21"/>
      <c r="TKG163" s="20"/>
      <c r="TKH163" s="20"/>
      <c r="TKI163" s="20"/>
      <c r="TKJ163" s="20"/>
      <c r="TKK163" s="21"/>
      <c r="TKL163" s="21"/>
      <c r="TKM163" s="7"/>
      <c r="TKN163" s="7"/>
      <c r="TKO163" s="21"/>
      <c r="TKP163" s="20"/>
      <c r="TKQ163" s="20"/>
      <c r="TKR163" s="20"/>
      <c r="TKS163" s="21"/>
      <c r="TKT163" s="21"/>
      <c r="TKU163" s="21"/>
      <c r="TKV163" s="21"/>
      <c r="TKW163" s="21"/>
      <c r="TKX163" s="20"/>
      <c r="TKY163" s="20"/>
      <c r="TKZ163" s="20"/>
      <c r="TLA163" s="20"/>
      <c r="TLB163" s="21"/>
      <c r="TLC163" s="21"/>
      <c r="TLD163" s="7"/>
      <c r="TLE163" s="7"/>
      <c r="TLF163" s="21"/>
      <c r="TLG163" s="20"/>
      <c r="TLH163" s="20"/>
      <c r="TLI163" s="20"/>
      <c r="TLJ163" s="21"/>
      <c r="TLK163" s="21"/>
      <c r="TLL163" s="21"/>
      <c r="TLM163" s="21"/>
      <c r="TLN163" s="21"/>
      <c r="TLO163" s="20"/>
      <c r="TLP163" s="20"/>
      <c r="TLQ163" s="20"/>
      <c r="TLR163" s="20"/>
      <c r="TLS163" s="21"/>
      <c r="TLT163" s="21"/>
      <c r="TLU163" s="7"/>
      <c r="TLV163" s="7"/>
      <c r="TLW163" s="21"/>
      <c r="TLX163" s="20"/>
      <c r="TLY163" s="20"/>
      <c r="TLZ163" s="20"/>
      <c r="TMA163" s="21"/>
      <c r="TMB163" s="21"/>
      <c r="TMC163" s="21"/>
      <c r="TMD163" s="21"/>
      <c r="TME163" s="21"/>
      <c r="TMF163" s="20"/>
      <c r="TMG163" s="20"/>
      <c r="TMH163" s="20"/>
      <c r="TMI163" s="20"/>
      <c r="TMJ163" s="21"/>
      <c r="TMK163" s="21"/>
      <c r="TML163" s="7"/>
      <c r="TMM163" s="7"/>
      <c r="TMN163" s="21"/>
      <c r="TMO163" s="20"/>
      <c r="TMP163" s="20"/>
      <c r="TMQ163" s="20"/>
      <c r="TMR163" s="21"/>
      <c r="TMS163" s="21"/>
      <c r="TMT163" s="21"/>
      <c r="TMU163" s="21"/>
      <c r="TMV163" s="21"/>
      <c r="TMW163" s="20"/>
      <c r="TMX163" s="20"/>
      <c r="TMY163" s="20"/>
      <c r="TMZ163" s="20"/>
      <c r="TNA163" s="21"/>
      <c r="TNB163" s="21"/>
      <c r="TNC163" s="7"/>
      <c r="TND163" s="7"/>
      <c r="TNE163" s="21"/>
      <c r="TNF163" s="20"/>
      <c r="TNG163" s="20"/>
      <c r="TNH163" s="20"/>
      <c r="TNI163" s="21"/>
      <c r="TNJ163" s="21"/>
      <c r="TNK163" s="21"/>
      <c r="TNL163" s="21"/>
      <c r="TNM163" s="21"/>
      <c r="TNN163" s="20"/>
      <c r="TNO163" s="20"/>
      <c r="TNP163" s="20"/>
      <c r="TNQ163" s="20"/>
      <c r="TNR163" s="21"/>
      <c r="TNS163" s="21"/>
      <c r="TNT163" s="7"/>
      <c r="TNU163" s="7"/>
      <c r="TNV163" s="21"/>
      <c r="TNW163" s="20"/>
      <c r="TNX163" s="20"/>
      <c r="TNY163" s="20"/>
      <c r="TNZ163" s="21"/>
      <c r="TOA163" s="21"/>
      <c r="TOB163" s="21"/>
      <c r="TOC163" s="21"/>
      <c r="TOD163" s="21"/>
      <c r="TOE163" s="20"/>
      <c r="TOF163" s="20"/>
      <c r="TOG163" s="20"/>
      <c r="TOH163" s="20"/>
      <c r="TOI163" s="21"/>
      <c r="TOJ163" s="21"/>
      <c r="TOK163" s="7"/>
      <c r="TOL163" s="7"/>
      <c r="TOM163" s="21"/>
      <c r="TON163" s="20"/>
      <c r="TOO163" s="20"/>
      <c r="TOP163" s="20"/>
      <c r="TOQ163" s="21"/>
      <c r="TOR163" s="21"/>
      <c r="TOS163" s="21"/>
      <c r="TOT163" s="21"/>
      <c r="TOU163" s="21"/>
      <c r="TOV163" s="20"/>
      <c r="TOW163" s="20"/>
      <c r="TOX163" s="20"/>
      <c r="TOY163" s="20"/>
      <c r="TOZ163" s="21"/>
      <c r="TPA163" s="21"/>
      <c r="TPB163" s="7"/>
      <c r="TPC163" s="7"/>
      <c r="TPD163" s="21"/>
      <c r="TPE163" s="20"/>
      <c r="TPF163" s="20"/>
      <c r="TPG163" s="20"/>
      <c r="TPH163" s="21"/>
      <c r="TPI163" s="21"/>
      <c r="TPJ163" s="21"/>
      <c r="TPK163" s="21"/>
      <c r="TPL163" s="21"/>
      <c r="TPM163" s="20"/>
      <c r="TPN163" s="20"/>
      <c r="TPO163" s="20"/>
      <c r="TPP163" s="20"/>
      <c r="TPQ163" s="21"/>
      <c r="TPR163" s="21"/>
      <c r="TPS163" s="7"/>
      <c r="TPT163" s="7"/>
      <c r="TPU163" s="21"/>
      <c r="TPV163" s="20"/>
      <c r="TPW163" s="20"/>
      <c r="TPX163" s="20"/>
      <c r="TPY163" s="21"/>
      <c r="TPZ163" s="21"/>
      <c r="TQA163" s="21"/>
      <c r="TQB163" s="21"/>
      <c r="TQC163" s="21"/>
      <c r="TQD163" s="20"/>
      <c r="TQE163" s="20"/>
      <c r="TQF163" s="20"/>
      <c r="TQG163" s="20"/>
      <c r="TQH163" s="21"/>
      <c r="TQI163" s="21"/>
      <c r="TQJ163" s="7"/>
      <c r="TQK163" s="7"/>
      <c r="TQL163" s="21"/>
      <c r="TQM163" s="20"/>
      <c r="TQN163" s="20"/>
      <c r="TQO163" s="20"/>
      <c r="TQP163" s="21"/>
      <c r="TQQ163" s="21"/>
      <c r="TQR163" s="21"/>
      <c r="TQS163" s="21"/>
      <c r="TQT163" s="21"/>
      <c r="TQU163" s="20"/>
      <c r="TQV163" s="20"/>
      <c r="TQW163" s="20"/>
      <c r="TQX163" s="20"/>
      <c r="TQY163" s="21"/>
      <c r="TQZ163" s="21"/>
      <c r="TRA163" s="7"/>
      <c r="TRB163" s="7"/>
      <c r="TRC163" s="21"/>
      <c r="TRD163" s="20"/>
      <c r="TRE163" s="20"/>
      <c r="TRF163" s="20"/>
      <c r="TRG163" s="21"/>
      <c r="TRH163" s="21"/>
      <c r="TRI163" s="21"/>
      <c r="TRJ163" s="21"/>
      <c r="TRK163" s="21"/>
      <c r="TRL163" s="20"/>
      <c r="TRM163" s="20"/>
      <c r="TRN163" s="20"/>
      <c r="TRO163" s="20"/>
      <c r="TRP163" s="21"/>
      <c r="TRQ163" s="21"/>
      <c r="TRR163" s="7"/>
      <c r="TRS163" s="7"/>
      <c r="TRT163" s="21"/>
      <c r="TRU163" s="20"/>
      <c r="TRV163" s="20"/>
      <c r="TRW163" s="20"/>
      <c r="TRX163" s="21"/>
      <c r="TRY163" s="21"/>
      <c r="TRZ163" s="21"/>
      <c r="TSA163" s="21"/>
      <c r="TSB163" s="21"/>
      <c r="TSC163" s="20"/>
      <c r="TSD163" s="20"/>
      <c r="TSE163" s="20"/>
      <c r="TSF163" s="20"/>
      <c r="TSG163" s="21"/>
      <c r="TSH163" s="21"/>
      <c r="TSI163" s="7"/>
      <c r="TSJ163" s="7"/>
      <c r="TSK163" s="21"/>
      <c r="TSL163" s="20"/>
      <c r="TSM163" s="20"/>
      <c r="TSN163" s="20"/>
      <c r="TSO163" s="21"/>
      <c r="TSP163" s="21"/>
      <c r="TSQ163" s="21"/>
      <c r="TSR163" s="21"/>
      <c r="TSS163" s="21"/>
      <c r="TST163" s="20"/>
      <c r="TSU163" s="20"/>
      <c r="TSV163" s="20"/>
      <c r="TSW163" s="20"/>
      <c r="TSX163" s="21"/>
      <c r="TSY163" s="21"/>
      <c r="TSZ163" s="7"/>
      <c r="TTA163" s="7"/>
      <c r="TTB163" s="21"/>
      <c r="TTC163" s="20"/>
      <c r="TTD163" s="20"/>
      <c r="TTE163" s="20"/>
      <c r="TTF163" s="21"/>
      <c r="TTG163" s="21"/>
      <c r="TTH163" s="21"/>
      <c r="TTI163" s="21"/>
      <c r="TTJ163" s="21"/>
      <c r="TTK163" s="20"/>
      <c r="TTL163" s="20"/>
      <c r="TTM163" s="20"/>
      <c r="TTN163" s="20"/>
      <c r="TTO163" s="21"/>
      <c r="TTP163" s="21"/>
      <c r="TTQ163" s="7"/>
      <c r="TTR163" s="7"/>
      <c r="TTS163" s="21"/>
      <c r="TTT163" s="20"/>
      <c r="TTU163" s="20"/>
      <c r="TTV163" s="20"/>
      <c r="TTW163" s="21"/>
      <c r="TTX163" s="21"/>
      <c r="TTY163" s="21"/>
      <c r="TTZ163" s="21"/>
      <c r="TUA163" s="21"/>
      <c r="TUB163" s="20"/>
      <c r="TUC163" s="20"/>
      <c r="TUD163" s="20"/>
      <c r="TUE163" s="20"/>
      <c r="TUF163" s="21"/>
      <c r="TUG163" s="21"/>
      <c r="TUH163" s="7"/>
      <c r="TUI163" s="7"/>
      <c r="TUJ163" s="21"/>
      <c r="TUK163" s="20"/>
      <c r="TUL163" s="20"/>
      <c r="TUM163" s="20"/>
      <c r="TUN163" s="21"/>
      <c r="TUO163" s="21"/>
      <c r="TUP163" s="21"/>
      <c r="TUQ163" s="21"/>
      <c r="TUR163" s="21"/>
      <c r="TUS163" s="20"/>
      <c r="TUT163" s="20"/>
      <c r="TUU163" s="20"/>
      <c r="TUV163" s="20"/>
      <c r="TUW163" s="21"/>
      <c r="TUX163" s="21"/>
      <c r="TUY163" s="7"/>
      <c r="TUZ163" s="7"/>
      <c r="TVA163" s="21"/>
      <c r="TVB163" s="20"/>
      <c r="TVC163" s="20"/>
      <c r="TVD163" s="20"/>
      <c r="TVE163" s="21"/>
      <c r="TVF163" s="21"/>
      <c r="TVG163" s="21"/>
      <c r="TVH163" s="21"/>
      <c r="TVI163" s="21"/>
      <c r="TVJ163" s="20"/>
      <c r="TVK163" s="20"/>
      <c r="TVL163" s="20"/>
      <c r="TVM163" s="20"/>
      <c r="TVN163" s="21"/>
      <c r="TVO163" s="21"/>
      <c r="TVP163" s="7"/>
      <c r="TVQ163" s="7"/>
      <c r="TVR163" s="21"/>
      <c r="TVS163" s="20"/>
      <c r="TVT163" s="20"/>
      <c r="TVU163" s="20"/>
      <c r="TVV163" s="21"/>
      <c r="TVW163" s="21"/>
      <c r="TVX163" s="21"/>
      <c r="TVY163" s="21"/>
      <c r="TVZ163" s="21"/>
      <c r="TWA163" s="20"/>
      <c r="TWB163" s="20"/>
      <c r="TWC163" s="20"/>
      <c r="TWD163" s="20"/>
      <c r="TWE163" s="21"/>
      <c r="TWF163" s="21"/>
      <c r="TWG163" s="7"/>
      <c r="TWH163" s="7"/>
      <c r="TWI163" s="21"/>
      <c r="TWJ163" s="20"/>
      <c r="TWK163" s="20"/>
      <c r="TWL163" s="20"/>
      <c r="TWM163" s="21"/>
      <c r="TWN163" s="21"/>
      <c r="TWO163" s="21"/>
      <c r="TWP163" s="21"/>
      <c r="TWQ163" s="21"/>
      <c r="TWR163" s="20"/>
      <c r="TWS163" s="20"/>
      <c r="TWT163" s="20"/>
      <c r="TWU163" s="20"/>
      <c r="TWV163" s="21"/>
      <c r="TWW163" s="21"/>
      <c r="TWX163" s="7"/>
      <c r="TWY163" s="7"/>
      <c r="TWZ163" s="21"/>
      <c r="TXA163" s="20"/>
      <c r="TXB163" s="20"/>
      <c r="TXC163" s="20"/>
      <c r="TXD163" s="21"/>
      <c r="TXE163" s="21"/>
      <c r="TXF163" s="21"/>
      <c r="TXG163" s="21"/>
      <c r="TXH163" s="21"/>
      <c r="TXI163" s="20"/>
      <c r="TXJ163" s="20"/>
      <c r="TXK163" s="20"/>
      <c r="TXL163" s="20"/>
      <c r="TXM163" s="21"/>
      <c r="TXN163" s="21"/>
      <c r="TXO163" s="7"/>
      <c r="TXP163" s="7"/>
      <c r="TXQ163" s="21"/>
      <c r="TXR163" s="20"/>
      <c r="TXS163" s="20"/>
      <c r="TXT163" s="20"/>
      <c r="TXU163" s="21"/>
      <c r="TXV163" s="21"/>
      <c r="TXW163" s="21"/>
      <c r="TXX163" s="21"/>
      <c r="TXY163" s="21"/>
      <c r="TXZ163" s="20"/>
      <c r="TYA163" s="20"/>
      <c r="TYB163" s="20"/>
      <c r="TYC163" s="20"/>
      <c r="TYD163" s="21"/>
      <c r="TYE163" s="21"/>
      <c r="TYF163" s="7"/>
      <c r="TYG163" s="7"/>
      <c r="TYH163" s="21"/>
      <c r="TYI163" s="20"/>
      <c r="TYJ163" s="20"/>
      <c r="TYK163" s="20"/>
      <c r="TYL163" s="21"/>
      <c r="TYM163" s="21"/>
      <c r="TYN163" s="21"/>
      <c r="TYO163" s="21"/>
      <c r="TYP163" s="21"/>
      <c r="TYQ163" s="20"/>
      <c r="TYR163" s="20"/>
      <c r="TYS163" s="20"/>
      <c r="TYT163" s="20"/>
      <c r="TYU163" s="21"/>
      <c r="TYV163" s="21"/>
      <c r="TYW163" s="7"/>
      <c r="TYX163" s="7"/>
      <c r="TYY163" s="21"/>
      <c r="TYZ163" s="20"/>
      <c r="TZA163" s="20"/>
      <c r="TZB163" s="20"/>
      <c r="TZC163" s="21"/>
      <c r="TZD163" s="21"/>
      <c r="TZE163" s="21"/>
      <c r="TZF163" s="21"/>
      <c r="TZG163" s="21"/>
      <c r="TZH163" s="20"/>
      <c r="TZI163" s="20"/>
      <c r="TZJ163" s="20"/>
      <c r="TZK163" s="20"/>
      <c r="TZL163" s="21"/>
      <c r="TZM163" s="21"/>
      <c r="TZN163" s="7"/>
      <c r="TZO163" s="7"/>
      <c r="TZP163" s="21"/>
      <c r="TZQ163" s="20"/>
      <c r="TZR163" s="20"/>
      <c r="TZS163" s="20"/>
      <c r="TZT163" s="21"/>
      <c r="TZU163" s="21"/>
      <c r="TZV163" s="21"/>
      <c r="TZW163" s="21"/>
      <c r="TZX163" s="21"/>
      <c r="TZY163" s="20"/>
      <c r="TZZ163" s="20"/>
      <c r="UAA163" s="20"/>
      <c r="UAB163" s="20"/>
      <c r="UAC163" s="21"/>
      <c r="UAD163" s="21"/>
      <c r="UAE163" s="7"/>
      <c r="UAF163" s="7"/>
      <c r="UAG163" s="21"/>
      <c r="UAH163" s="20"/>
      <c r="UAI163" s="20"/>
      <c r="UAJ163" s="20"/>
      <c r="UAK163" s="21"/>
      <c r="UAL163" s="21"/>
      <c r="UAM163" s="21"/>
      <c r="UAN163" s="21"/>
      <c r="UAO163" s="21"/>
      <c r="UAP163" s="20"/>
      <c r="UAQ163" s="20"/>
      <c r="UAR163" s="20"/>
      <c r="UAS163" s="20"/>
      <c r="UAT163" s="21"/>
      <c r="UAU163" s="21"/>
      <c r="UAV163" s="7"/>
      <c r="UAW163" s="7"/>
      <c r="UAX163" s="21"/>
      <c r="UAY163" s="20"/>
      <c r="UAZ163" s="20"/>
      <c r="UBA163" s="20"/>
      <c r="UBB163" s="21"/>
      <c r="UBC163" s="21"/>
      <c r="UBD163" s="21"/>
      <c r="UBE163" s="21"/>
      <c r="UBF163" s="21"/>
      <c r="UBG163" s="20"/>
      <c r="UBH163" s="20"/>
      <c r="UBI163" s="20"/>
      <c r="UBJ163" s="20"/>
      <c r="UBK163" s="21"/>
      <c r="UBL163" s="21"/>
      <c r="UBM163" s="7"/>
      <c r="UBN163" s="7"/>
      <c r="UBO163" s="21"/>
      <c r="UBP163" s="20"/>
      <c r="UBQ163" s="20"/>
      <c r="UBR163" s="20"/>
      <c r="UBS163" s="21"/>
      <c r="UBT163" s="21"/>
      <c r="UBU163" s="21"/>
      <c r="UBV163" s="21"/>
      <c r="UBW163" s="21"/>
      <c r="UBX163" s="20"/>
      <c r="UBY163" s="20"/>
      <c r="UBZ163" s="20"/>
      <c r="UCA163" s="20"/>
      <c r="UCB163" s="21"/>
      <c r="UCC163" s="21"/>
      <c r="UCD163" s="7"/>
      <c r="UCE163" s="7"/>
      <c r="UCF163" s="21"/>
      <c r="UCG163" s="20"/>
      <c r="UCH163" s="20"/>
      <c r="UCI163" s="20"/>
      <c r="UCJ163" s="21"/>
      <c r="UCK163" s="21"/>
      <c r="UCL163" s="21"/>
      <c r="UCM163" s="21"/>
      <c r="UCN163" s="21"/>
      <c r="UCO163" s="20"/>
      <c r="UCP163" s="20"/>
      <c r="UCQ163" s="20"/>
      <c r="UCR163" s="20"/>
      <c r="UCS163" s="21"/>
      <c r="UCT163" s="21"/>
      <c r="UCU163" s="7"/>
      <c r="UCV163" s="7"/>
      <c r="UCW163" s="21"/>
      <c r="UCX163" s="20"/>
      <c r="UCY163" s="20"/>
      <c r="UCZ163" s="20"/>
      <c r="UDA163" s="21"/>
      <c r="UDB163" s="21"/>
      <c r="UDC163" s="21"/>
      <c r="UDD163" s="21"/>
      <c r="UDE163" s="21"/>
      <c r="UDF163" s="20"/>
      <c r="UDG163" s="20"/>
      <c r="UDH163" s="20"/>
      <c r="UDI163" s="20"/>
      <c r="UDJ163" s="21"/>
      <c r="UDK163" s="21"/>
      <c r="UDL163" s="7"/>
      <c r="UDM163" s="7"/>
      <c r="UDN163" s="21"/>
      <c r="UDO163" s="20"/>
      <c r="UDP163" s="20"/>
      <c r="UDQ163" s="20"/>
      <c r="UDR163" s="21"/>
      <c r="UDS163" s="21"/>
      <c r="UDT163" s="21"/>
      <c r="UDU163" s="21"/>
      <c r="UDV163" s="21"/>
      <c r="UDW163" s="20"/>
      <c r="UDX163" s="20"/>
      <c r="UDY163" s="20"/>
      <c r="UDZ163" s="20"/>
      <c r="UEA163" s="21"/>
      <c r="UEB163" s="21"/>
      <c r="UEC163" s="7"/>
      <c r="UED163" s="7"/>
      <c r="UEE163" s="21"/>
      <c r="UEF163" s="20"/>
      <c r="UEG163" s="20"/>
      <c r="UEH163" s="20"/>
      <c r="UEI163" s="21"/>
      <c r="UEJ163" s="21"/>
      <c r="UEK163" s="21"/>
      <c r="UEL163" s="21"/>
      <c r="UEM163" s="21"/>
      <c r="UEN163" s="20"/>
      <c r="UEO163" s="20"/>
      <c r="UEP163" s="20"/>
      <c r="UEQ163" s="20"/>
      <c r="UER163" s="21"/>
      <c r="UES163" s="21"/>
      <c r="UET163" s="7"/>
      <c r="UEU163" s="7"/>
      <c r="UEV163" s="21"/>
      <c r="UEW163" s="20"/>
      <c r="UEX163" s="20"/>
      <c r="UEY163" s="20"/>
      <c r="UEZ163" s="21"/>
      <c r="UFA163" s="21"/>
      <c r="UFB163" s="21"/>
      <c r="UFC163" s="21"/>
      <c r="UFD163" s="21"/>
      <c r="UFE163" s="20"/>
      <c r="UFF163" s="20"/>
      <c r="UFG163" s="20"/>
      <c r="UFH163" s="20"/>
      <c r="UFI163" s="21"/>
      <c r="UFJ163" s="21"/>
      <c r="UFK163" s="7"/>
      <c r="UFL163" s="7"/>
      <c r="UFM163" s="21"/>
      <c r="UFN163" s="20"/>
      <c r="UFO163" s="20"/>
      <c r="UFP163" s="20"/>
      <c r="UFQ163" s="21"/>
      <c r="UFR163" s="21"/>
      <c r="UFS163" s="21"/>
      <c r="UFT163" s="21"/>
      <c r="UFU163" s="21"/>
      <c r="UFV163" s="20"/>
      <c r="UFW163" s="20"/>
      <c r="UFX163" s="20"/>
      <c r="UFY163" s="20"/>
      <c r="UFZ163" s="21"/>
      <c r="UGA163" s="21"/>
      <c r="UGB163" s="7"/>
      <c r="UGC163" s="7"/>
      <c r="UGD163" s="21"/>
      <c r="UGE163" s="20"/>
      <c r="UGF163" s="20"/>
      <c r="UGG163" s="20"/>
      <c r="UGH163" s="21"/>
      <c r="UGI163" s="21"/>
      <c r="UGJ163" s="21"/>
      <c r="UGK163" s="21"/>
      <c r="UGL163" s="21"/>
      <c r="UGM163" s="20"/>
      <c r="UGN163" s="20"/>
      <c r="UGO163" s="20"/>
      <c r="UGP163" s="20"/>
      <c r="UGQ163" s="21"/>
      <c r="UGR163" s="21"/>
      <c r="UGS163" s="7"/>
      <c r="UGT163" s="7"/>
      <c r="UGU163" s="21"/>
      <c r="UGV163" s="20"/>
      <c r="UGW163" s="20"/>
      <c r="UGX163" s="20"/>
      <c r="UGY163" s="21"/>
      <c r="UGZ163" s="21"/>
      <c r="UHA163" s="21"/>
      <c r="UHB163" s="21"/>
      <c r="UHC163" s="21"/>
      <c r="UHD163" s="20"/>
      <c r="UHE163" s="20"/>
      <c r="UHF163" s="20"/>
      <c r="UHG163" s="20"/>
      <c r="UHH163" s="21"/>
      <c r="UHI163" s="21"/>
      <c r="UHJ163" s="7"/>
      <c r="UHK163" s="7"/>
      <c r="UHL163" s="21"/>
      <c r="UHM163" s="20"/>
      <c r="UHN163" s="20"/>
      <c r="UHO163" s="20"/>
      <c r="UHP163" s="21"/>
      <c r="UHQ163" s="21"/>
      <c r="UHR163" s="21"/>
      <c r="UHS163" s="21"/>
      <c r="UHT163" s="21"/>
      <c r="UHU163" s="20"/>
      <c r="UHV163" s="20"/>
      <c r="UHW163" s="20"/>
      <c r="UHX163" s="20"/>
      <c r="UHY163" s="21"/>
      <c r="UHZ163" s="21"/>
      <c r="UIA163" s="7"/>
      <c r="UIB163" s="7"/>
      <c r="UIC163" s="21"/>
      <c r="UID163" s="20"/>
      <c r="UIE163" s="20"/>
      <c r="UIF163" s="20"/>
      <c r="UIG163" s="21"/>
      <c r="UIH163" s="21"/>
      <c r="UII163" s="21"/>
      <c r="UIJ163" s="21"/>
      <c r="UIK163" s="21"/>
      <c r="UIL163" s="20"/>
      <c r="UIM163" s="20"/>
      <c r="UIN163" s="20"/>
      <c r="UIO163" s="20"/>
      <c r="UIP163" s="21"/>
      <c r="UIQ163" s="21"/>
      <c r="UIR163" s="7"/>
      <c r="UIS163" s="7"/>
      <c r="UIT163" s="21"/>
      <c r="UIU163" s="20"/>
      <c r="UIV163" s="20"/>
      <c r="UIW163" s="20"/>
      <c r="UIX163" s="21"/>
      <c r="UIY163" s="21"/>
      <c r="UIZ163" s="21"/>
      <c r="UJA163" s="21"/>
      <c r="UJB163" s="21"/>
      <c r="UJC163" s="20"/>
      <c r="UJD163" s="20"/>
      <c r="UJE163" s="20"/>
      <c r="UJF163" s="20"/>
      <c r="UJG163" s="21"/>
      <c r="UJH163" s="21"/>
      <c r="UJI163" s="7"/>
      <c r="UJJ163" s="7"/>
      <c r="UJK163" s="21"/>
      <c r="UJL163" s="20"/>
      <c r="UJM163" s="20"/>
      <c r="UJN163" s="20"/>
      <c r="UJO163" s="21"/>
      <c r="UJP163" s="21"/>
      <c r="UJQ163" s="21"/>
      <c r="UJR163" s="21"/>
      <c r="UJS163" s="21"/>
      <c r="UJT163" s="20"/>
      <c r="UJU163" s="20"/>
      <c r="UJV163" s="20"/>
      <c r="UJW163" s="20"/>
      <c r="UJX163" s="21"/>
      <c r="UJY163" s="21"/>
      <c r="UJZ163" s="7"/>
      <c r="UKA163" s="7"/>
      <c r="UKB163" s="21"/>
      <c r="UKC163" s="20"/>
      <c r="UKD163" s="20"/>
      <c r="UKE163" s="20"/>
      <c r="UKF163" s="21"/>
      <c r="UKG163" s="21"/>
      <c r="UKH163" s="21"/>
      <c r="UKI163" s="21"/>
      <c r="UKJ163" s="21"/>
      <c r="UKK163" s="20"/>
      <c r="UKL163" s="20"/>
      <c r="UKM163" s="20"/>
      <c r="UKN163" s="20"/>
      <c r="UKO163" s="21"/>
      <c r="UKP163" s="21"/>
      <c r="UKQ163" s="7"/>
      <c r="UKR163" s="7"/>
      <c r="UKS163" s="21"/>
      <c r="UKT163" s="20"/>
      <c r="UKU163" s="20"/>
      <c r="UKV163" s="20"/>
      <c r="UKW163" s="21"/>
      <c r="UKX163" s="21"/>
      <c r="UKY163" s="21"/>
      <c r="UKZ163" s="21"/>
      <c r="ULA163" s="21"/>
      <c r="ULB163" s="20"/>
      <c r="ULC163" s="20"/>
      <c r="ULD163" s="20"/>
      <c r="ULE163" s="20"/>
      <c r="ULF163" s="21"/>
      <c r="ULG163" s="21"/>
      <c r="ULH163" s="7"/>
      <c r="ULI163" s="7"/>
      <c r="ULJ163" s="21"/>
      <c r="ULK163" s="20"/>
      <c r="ULL163" s="20"/>
      <c r="ULM163" s="20"/>
      <c r="ULN163" s="21"/>
      <c r="ULO163" s="21"/>
      <c r="ULP163" s="21"/>
      <c r="ULQ163" s="21"/>
      <c r="ULR163" s="21"/>
      <c r="ULS163" s="20"/>
      <c r="ULT163" s="20"/>
      <c r="ULU163" s="20"/>
      <c r="ULV163" s="20"/>
      <c r="ULW163" s="21"/>
      <c r="ULX163" s="21"/>
      <c r="ULY163" s="7"/>
      <c r="ULZ163" s="7"/>
      <c r="UMA163" s="21"/>
      <c r="UMB163" s="20"/>
      <c r="UMC163" s="20"/>
      <c r="UMD163" s="20"/>
      <c r="UME163" s="21"/>
      <c r="UMF163" s="21"/>
      <c r="UMG163" s="21"/>
      <c r="UMH163" s="21"/>
      <c r="UMI163" s="21"/>
      <c r="UMJ163" s="20"/>
      <c r="UMK163" s="20"/>
      <c r="UML163" s="20"/>
      <c r="UMM163" s="20"/>
      <c r="UMN163" s="21"/>
      <c r="UMO163" s="21"/>
      <c r="UMP163" s="7"/>
      <c r="UMQ163" s="7"/>
      <c r="UMR163" s="21"/>
      <c r="UMS163" s="20"/>
      <c r="UMT163" s="20"/>
      <c r="UMU163" s="20"/>
      <c r="UMV163" s="21"/>
      <c r="UMW163" s="21"/>
      <c r="UMX163" s="21"/>
      <c r="UMY163" s="21"/>
      <c r="UMZ163" s="21"/>
      <c r="UNA163" s="20"/>
      <c r="UNB163" s="20"/>
      <c r="UNC163" s="20"/>
      <c r="UND163" s="20"/>
      <c r="UNE163" s="21"/>
      <c r="UNF163" s="21"/>
      <c r="UNG163" s="7"/>
      <c r="UNH163" s="7"/>
      <c r="UNI163" s="21"/>
      <c r="UNJ163" s="20"/>
      <c r="UNK163" s="20"/>
      <c r="UNL163" s="20"/>
      <c r="UNM163" s="21"/>
      <c r="UNN163" s="21"/>
      <c r="UNO163" s="21"/>
      <c r="UNP163" s="21"/>
      <c r="UNQ163" s="21"/>
      <c r="UNR163" s="20"/>
      <c r="UNS163" s="20"/>
      <c r="UNT163" s="20"/>
      <c r="UNU163" s="20"/>
      <c r="UNV163" s="21"/>
      <c r="UNW163" s="21"/>
      <c r="UNX163" s="7"/>
      <c r="UNY163" s="7"/>
      <c r="UNZ163" s="21"/>
      <c r="UOA163" s="20"/>
      <c r="UOB163" s="20"/>
      <c r="UOC163" s="20"/>
      <c r="UOD163" s="21"/>
      <c r="UOE163" s="21"/>
      <c r="UOF163" s="21"/>
      <c r="UOG163" s="21"/>
      <c r="UOH163" s="21"/>
      <c r="UOI163" s="20"/>
      <c r="UOJ163" s="20"/>
      <c r="UOK163" s="20"/>
      <c r="UOL163" s="20"/>
      <c r="UOM163" s="21"/>
      <c r="UON163" s="21"/>
      <c r="UOO163" s="7"/>
      <c r="UOP163" s="7"/>
      <c r="UOQ163" s="21"/>
      <c r="UOR163" s="20"/>
      <c r="UOS163" s="20"/>
      <c r="UOT163" s="20"/>
      <c r="UOU163" s="21"/>
      <c r="UOV163" s="21"/>
      <c r="UOW163" s="21"/>
      <c r="UOX163" s="21"/>
      <c r="UOY163" s="21"/>
      <c r="UOZ163" s="20"/>
      <c r="UPA163" s="20"/>
      <c r="UPB163" s="20"/>
      <c r="UPC163" s="20"/>
      <c r="UPD163" s="21"/>
      <c r="UPE163" s="21"/>
      <c r="UPF163" s="7"/>
      <c r="UPG163" s="7"/>
      <c r="UPH163" s="21"/>
      <c r="UPI163" s="20"/>
      <c r="UPJ163" s="20"/>
      <c r="UPK163" s="20"/>
      <c r="UPL163" s="21"/>
      <c r="UPM163" s="21"/>
      <c r="UPN163" s="21"/>
      <c r="UPO163" s="21"/>
      <c r="UPP163" s="21"/>
      <c r="UPQ163" s="20"/>
      <c r="UPR163" s="20"/>
      <c r="UPS163" s="20"/>
      <c r="UPT163" s="20"/>
      <c r="UPU163" s="21"/>
      <c r="UPV163" s="21"/>
      <c r="UPW163" s="7"/>
      <c r="UPX163" s="7"/>
      <c r="UPY163" s="21"/>
      <c r="UPZ163" s="20"/>
      <c r="UQA163" s="20"/>
      <c r="UQB163" s="20"/>
      <c r="UQC163" s="21"/>
      <c r="UQD163" s="21"/>
      <c r="UQE163" s="21"/>
      <c r="UQF163" s="21"/>
      <c r="UQG163" s="21"/>
      <c r="UQH163" s="20"/>
      <c r="UQI163" s="20"/>
      <c r="UQJ163" s="20"/>
      <c r="UQK163" s="20"/>
      <c r="UQL163" s="21"/>
      <c r="UQM163" s="21"/>
      <c r="UQN163" s="7"/>
      <c r="UQO163" s="7"/>
      <c r="UQP163" s="21"/>
      <c r="UQQ163" s="20"/>
      <c r="UQR163" s="20"/>
      <c r="UQS163" s="20"/>
      <c r="UQT163" s="21"/>
      <c r="UQU163" s="21"/>
      <c r="UQV163" s="21"/>
      <c r="UQW163" s="21"/>
      <c r="UQX163" s="21"/>
      <c r="UQY163" s="20"/>
      <c r="UQZ163" s="20"/>
      <c r="URA163" s="20"/>
      <c r="URB163" s="20"/>
      <c r="URC163" s="21"/>
      <c r="URD163" s="21"/>
      <c r="URE163" s="7"/>
      <c r="URF163" s="7"/>
      <c r="URG163" s="21"/>
      <c r="URH163" s="20"/>
      <c r="URI163" s="20"/>
      <c r="URJ163" s="20"/>
      <c r="URK163" s="21"/>
      <c r="URL163" s="21"/>
      <c r="URM163" s="21"/>
      <c r="URN163" s="21"/>
      <c r="URO163" s="21"/>
      <c r="URP163" s="20"/>
      <c r="URQ163" s="20"/>
      <c r="URR163" s="20"/>
      <c r="URS163" s="20"/>
      <c r="URT163" s="21"/>
      <c r="URU163" s="21"/>
      <c r="URV163" s="7"/>
      <c r="URW163" s="7"/>
      <c r="URX163" s="21"/>
      <c r="URY163" s="20"/>
      <c r="URZ163" s="20"/>
      <c r="USA163" s="20"/>
      <c r="USB163" s="21"/>
      <c r="USC163" s="21"/>
      <c r="USD163" s="21"/>
      <c r="USE163" s="21"/>
      <c r="USF163" s="21"/>
      <c r="USG163" s="20"/>
      <c r="USH163" s="20"/>
      <c r="USI163" s="20"/>
      <c r="USJ163" s="20"/>
      <c r="USK163" s="21"/>
      <c r="USL163" s="21"/>
      <c r="USM163" s="7"/>
      <c r="USN163" s="7"/>
      <c r="USO163" s="21"/>
      <c r="USP163" s="20"/>
      <c r="USQ163" s="20"/>
      <c r="USR163" s="20"/>
      <c r="USS163" s="21"/>
      <c r="UST163" s="21"/>
      <c r="USU163" s="21"/>
      <c r="USV163" s="21"/>
      <c r="USW163" s="21"/>
      <c r="USX163" s="20"/>
      <c r="USY163" s="20"/>
      <c r="USZ163" s="20"/>
      <c r="UTA163" s="20"/>
      <c r="UTB163" s="21"/>
      <c r="UTC163" s="21"/>
      <c r="UTD163" s="7"/>
      <c r="UTE163" s="7"/>
      <c r="UTF163" s="21"/>
      <c r="UTG163" s="20"/>
      <c r="UTH163" s="20"/>
      <c r="UTI163" s="20"/>
      <c r="UTJ163" s="21"/>
      <c r="UTK163" s="21"/>
      <c r="UTL163" s="21"/>
      <c r="UTM163" s="21"/>
      <c r="UTN163" s="21"/>
      <c r="UTO163" s="20"/>
      <c r="UTP163" s="20"/>
      <c r="UTQ163" s="20"/>
      <c r="UTR163" s="20"/>
      <c r="UTS163" s="21"/>
      <c r="UTT163" s="21"/>
      <c r="UTU163" s="7"/>
      <c r="UTV163" s="7"/>
      <c r="UTW163" s="21"/>
      <c r="UTX163" s="20"/>
      <c r="UTY163" s="20"/>
      <c r="UTZ163" s="20"/>
      <c r="UUA163" s="21"/>
      <c r="UUB163" s="21"/>
      <c r="UUC163" s="21"/>
      <c r="UUD163" s="21"/>
      <c r="UUE163" s="21"/>
      <c r="UUF163" s="20"/>
      <c r="UUG163" s="20"/>
      <c r="UUH163" s="20"/>
      <c r="UUI163" s="20"/>
      <c r="UUJ163" s="21"/>
      <c r="UUK163" s="21"/>
      <c r="UUL163" s="7"/>
      <c r="UUM163" s="7"/>
      <c r="UUN163" s="21"/>
      <c r="UUO163" s="20"/>
      <c r="UUP163" s="20"/>
      <c r="UUQ163" s="20"/>
      <c r="UUR163" s="21"/>
      <c r="UUS163" s="21"/>
      <c r="UUT163" s="21"/>
      <c r="UUU163" s="21"/>
      <c r="UUV163" s="21"/>
      <c r="UUW163" s="20"/>
      <c r="UUX163" s="20"/>
      <c r="UUY163" s="20"/>
      <c r="UUZ163" s="20"/>
      <c r="UVA163" s="21"/>
      <c r="UVB163" s="21"/>
      <c r="UVC163" s="7"/>
      <c r="UVD163" s="7"/>
      <c r="UVE163" s="21"/>
      <c r="UVF163" s="20"/>
      <c r="UVG163" s="20"/>
      <c r="UVH163" s="20"/>
      <c r="UVI163" s="21"/>
      <c r="UVJ163" s="21"/>
      <c r="UVK163" s="21"/>
      <c r="UVL163" s="21"/>
      <c r="UVM163" s="21"/>
      <c r="UVN163" s="20"/>
      <c r="UVO163" s="20"/>
      <c r="UVP163" s="20"/>
      <c r="UVQ163" s="20"/>
      <c r="UVR163" s="21"/>
      <c r="UVS163" s="21"/>
      <c r="UVT163" s="7"/>
      <c r="UVU163" s="7"/>
      <c r="UVV163" s="21"/>
      <c r="UVW163" s="20"/>
      <c r="UVX163" s="20"/>
      <c r="UVY163" s="20"/>
      <c r="UVZ163" s="21"/>
      <c r="UWA163" s="21"/>
      <c r="UWB163" s="21"/>
      <c r="UWC163" s="21"/>
      <c r="UWD163" s="21"/>
      <c r="UWE163" s="20"/>
      <c r="UWF163" s="20"/>
      <c r="UWG163" s="20"/>
      <c r="UWH163" s="20"/>
      <c r="UWI163" s="21"/>
      <c r="UWJ163" s="21"/>
      <c r="UWK163" s="7"/>
      <c r="UWL163" s="7"/>
      <c r="UWM163" s="21"/>
      <c r="UWN163" s="20"/>
      <c r="UWO163" s="20"/>
      <c r="UWP163" s="20"/>
      <c r="UWQ163" s="21"/>
      <c r="UWR163" s="21"/>
      <c r="UWS163" s="21"/>
      <c r="UWT163" s="21"/>
      <c r="UWU163" s="21"/>
      <c r="UWV163" s="20"/>
      <c r="UWW163" s="20"/>
      <c r="UWX163" s="20"/>
      <c r="UWY163" s="20"/>
      <c r="UWZ163" s="21"/>
      <c r="UXA163" s="21"/>
      <c r="UXB163" s="7"/>
      <c r="UXC163" s="7"/>
      <c r="UXD163" s="21"/>
      <c r="UXE163" s="20"/>
      <c r="UXF163" s="20"/>
      <c r="UXG163" s="20"/>
      <c r="UXH163" s="21"/>
      <c r="UXI163" s="21"/>
      <c r="UXJ163" s="21"/>
      <c r="UXK163" s="21"/>
      <c r="UXL163" s="21"/>
      <c r="UXM163" s="20"/>
      <c r="UXN163" s="20"/>
      <c r="UXO163" s="20"/>
      <c r="UXP163" s="20"/>
      <c r="UXQ163" s="21"/>
      <c r="UXR163" s="21"/>
      <c r="UXS163" s="7"/>
      <c r="UXT163" s="7"/>
      <c r="UXU163" s="21"/>
      <c r="UXV163" s="20"/>
      <c r="UXW163" s="20"/>
      <c r="UXX163" s="20"/>
      <c r="UXY163" s="21"/>
      <c r="UXZ163" s="21"/>
      <c r="UYA163" s="21"/>
      <c r="UYB163" s="21"/>
      <c r="UYC163" s="21"/>
      <c r="UYD163" s="20"/>
      <c r="UYE163" s="20"/>
      <c r="UYF163" s="20"/>
      <c r="UYG163" s="20"/>
      <c r="UYH163" s="21"/>
      <c r="UYI163" s="21"/>
      <c r="UYJ163" s="7"/>
      <c r="UYK163" s="7"/>
      <c r="UYL163" s="21"/>
      <c r="UYM163" s="20"/>
      <c r="UYN163" s="20"/>
      <c r="UYO163" s="20"/>
      <c r="UYP163" s="21"/>
      <c r="UYQ163" s="21"/>
      <c r="UYR163" s="21"/>
      <c r="UYS163" s="21"/>
      <c r="UYT163" s="21"/>
      <c r="UYU163" s="20"/>
      <c r="UYV163" s="20"/>
      <c r="UYW163" s="20"/>
      <c r="UYX163" s="20"/>
      <c r="UYY163" s="21"/>
      <c r="UYZ163" s="21"/>
      <c r="UZA163" s="7"/>
      <c r="UZB163" s="7"/>
      <c r="UZC163" s="21"/>
      <c r="UZD163" s="20"/>
      <c r="UZE163" s="20"/>
      <c r="UZF163" s="20"/>
      <c r="UZG163" s="21"/>
      <c r="UZH163" s="21"/>
      <c r="UZI163" s="21"/>
      <c r="UZJ163" s="21"/>
      <c r="UZK163" s="21"/>
      <c r="UZL163" s="20"/>
      <c r="UZM163" s="20"/>
      <c r="UZN163" s="20"/>
      <c r="UZO163" s="20"/>
      <c r="UZP163" s="21"/>
      <c r="UZQ163" s="21"/>
      <c r="UZR163" s="7"/>
      <c r="UZS163" s="7"/>
      <c r="UZT163" s="21"/>
      <c r="UZU163" s="20"/>
      <c r="UZV163" s="20"/>
      <c r="UZW163" s="20"/>
      <c r="UZX163" s="21"/>
      <c r="UZY163" s="21"/>
      <c r="UZZ163" s="21"/>
      <c r="VAA163" s="21"/>
      <c r="VAB163" s="21"/>
      <c r="VAC163" s="20"/>
      <c r="VAD163" s="20"/>
      <c r="VAE163" s="20"/>
      <c r="VAF163" s="20"/>
      <c r="VAG163" s="21"/>
      <c r="VAH163" s="21"/>
      <c r="VAI163" s="7"/>
      <c r="VAJ163" s="7"/>
      <c r="VAK163" s="21"/>
      <c r="VAL163" s="20"/>
      <c r="VAM163" s="20"/>
      <c r="VAN163" s="20"/>
      <c r="VAO163" s="21"/>
      <c r="VAP163" s="21"/>
      <c r="VAQ163" s="21"/>
      <c r="VAR163" s="21"/>
      <c r="VAS163" s="21"/>
      <c r="VAT163" s="20"/>
      <c r="VAU163" s="20"/>
      <c r="VAV163" s="20"/>
      <c r="VAW163" s="20"/>
      <c r="VAX163" s="21"/>
      <c r="VAY163" s="21"/>
      <c r="VAZ163" s="7"/>
      <c r="VBA163" s="7"/>
      <c r="VBB163" s="21"/>
      <c r="VBC163" s="20"/>
      <c r="VBD163" s="20"/>
      <c r="VBE163" s="20"/>
      <c r="VBF163" s="21"/>
      <c r="VBG163" s="21"/>
      <c r="VBH163" s="21"/>
      <c r="VBI163" s="21"/>
      <c r="VBJ163" s="21"/>
      <c r="VBK163" s="20"/>
      <c r="VBL163" s="20"/>
      <c r="VBM163" s="20"/>
      <c r="VBN163" s="20"/>
      <c r="VBO163" s="21"/>
      <c r="VBP163" s="21"/>
      <c r="VBQ163" s="7"/>
      <c r="VBR163" s="7"/>
      <c r="VBS163" s="21"/>
      <c r="VBT163" s="20"/>
      <c r="VBU163" s="20"/>
      <c r="VBV163" s="20"/>
      <c r="VBW163" s="21"/>
      <c r="VBX163" s="21"/>
      <c r="VBY163" s="21"/>
      <c r="VBZ163" s="21"/>
      <c r="VCA163" s="21"/>
      <c r="VCB163" s="20"/>
      <c r="VCC163" s="20"/>
      <c r="VCD163" s="20"/>
      <c r="VCE163" s="20"/>
      <c r="VCF163" s="21"/>
      <c r="VCG163" s="21"/>
      <c r="VCH163" s="7"/>
      <c r="VCI163" s="7"/>
      <c r="VCJ163" s="21"/>
      <c r="VCK163" s="20"/>
      <c r="VCL163" s="20"/>
      <c r="VCM163" s="20"/>
      <c r="VCN163" s="21"/>
      <c r="VCO163" s="21"/>
      <c r="VCP163" s="21"/>
      <c r="VCQ163" s="21"/>
      <c r="VCR163" s="21"/>
      <c r="VCS163" s="20"/>
      <c r="VCT163" s="20"/>
      <c r="VCU163" s="20"/>
      <c r="VCV163" s="20"/>
      <c r="VCW163" s="21"/>
      <c r="VCX163" s="21"/>
      <c r="VCY163" s="7"/>
      <c r="VCZ163" s="7"/>
      <c r="VDA163" s="21"/>
      <c r="VDB163" s="20"/>
      <c r="VDC163" s="20"/>
      <c r="VDD163" s="20"/>
      <c r="VDE163" s="21"/>
      <c r="VDF163" s="21"/>
      <c r="VDG163" s="21"/>
      <c r="VDH163" s="21"/>
      <c r="VDI163" s="21"/>
      <c r="VDJ163" s="20"/>
      <c r="VDK163" s="20"/>
      <c r="VDL163" s="20"/>
      <c r="VDM163" s="20"/>
      <c r="VDN163" s="21"/>
      <c r="VDO163" s="21"/>
      <c r="VDP163" s="7"/>
      <c r="VDQ163" s="7"/>
      <c r="VDR163" s="21"/>
      <c r="VDS163" s="20"/>
      <c r="VDT163" s="20"/>
      <c r="VDU163" s="20"/>
      <c r="VDV163" s="21"/>
      <c r="VDW163" s="21"/>
      <c r="VDX163" s="21"/>
      <c r="VDY163" s="21"/>
      <c r="VDZ163" s="21"/>
      <c r="VEA163" s="20"/>
      <c r="VEB163" s="20"/>
      <c r="VEC163" s="20"/>
      <c r="VED163" s="20"/>
      <c r="VEE163" s="21"/>
      <c r="VEF163" s="21"/>
      <c r="VEG163" s="7"/>
      <c r="VEH163" s="7"/>
      <c r="VEI163" s="21"/>
      <c r="VEJ163" s="20"/>
      <c r="VEK163" s="20"/>
      <c r="VEL163" s="20"/>
      <c r="VEM163" s="21"/>
      <c r="VEN163" s="21"/>
      <c r="VEO163" s="21"/>
      <c r="VEP163" s="21"/>
      <c r="VEQ163" s="21"/>
      <c r="VER163" s="20"/>
      <c r="VES163" s="20"/>
      <c r="VET163" s="20"/>
      <c r="VEU163" s="20"/>
      <c r="VEV163" s="21"/>
      <c r="VEW163" s="21"/>
      <c r="VEX163" s="7"/>
      <c r="VEY163" s="7"/>
      <c r="VEZ163" s="21"/>
      <c r="VFA163" s="20"/>
      <c r="VFB163" s="20"/>
      <c r="VFC163" s="20"/>
      <c r="VFD163" s="21"/>
      <c r="VFE163" s="21"/>
      <c r="VFF163" s="21"/>
      <c r="VFG163" s="21"/>
      <c r="VFH163" s="21"/>
      <c r="VFI163" s="20"/>
      <c r="VFJ163" s="20"/>
      <c r="VFK163" s="20"/>
      <c r="VFL163" s="20"/>
      <c r="VFM163" s="21"/>
      <c r="VFN163" s="21"/>
      <c r="VFO163" s="7"/>
      <c r="VFP163" s="7"/>
      <c r="VFQ163" s="21"/>
      <c r="VFR163" s="20"/>
      <c r="VFS163" s="20"/>
      <c r="VFT163" s="20"/>
      <c r="VFU163" s="21"/>
      <c r="VFV163" s="21"/>
      <c r="VFW163" s="21"/>
      <c r="VFX163" s="21"/>
      <c r="VFY163" s="21"/>
      <c r="VFZ163" s="20"/>
      <c r="VGA163" s="20"/>
      <c r="VGB163" s="20"/>
      <c r="VGC163" s="20"/>
      <c r="VGD163" s="21"/>
      <c r="VGE163" s="21"/>
      <c r="VGF163" s="7"/>
      <c r="VGG163" s="7"/>
      <c r="VGH163" s="21"/>
      <c r="VGI163" s="20"/>
      <c r="VGJ163" s="20"/>
      <c r="VGK163" s="20"/>
      <c r="VGL163" s="21"/>
      <c r="VGM163" s="21"/>
      <c r="VGN163" s="21"/>
      <c r="VGO163" s="21"/>
      <c r="VGP163" s="21"/>
      <c r="VGQ163" s="20"/>
      <c r="VGR163" s="20"/>
      <c r="VGS163" s="20"/>
      <c r="VGT163" s="20"/>
      <c r="VGU163" s="21"/>
      <c r="VGV163" s="21"/>
      <c r="VGW163" s="7"/>
      <c r="VGX163" s="7"/>
      <c r="VGY163" s="21"/>
      <c r="VGZ163" s="20"/>
      <c r="VHA163" s="20"/>
      <c r="VHB163" s="20"/>
      <c r="VHC163" s="21"/>
      <c r="VHD163" s="21"/>
      <c r="VHE163" s="21"/>
      <c r="VHF163" s="21"/>
      <c r="VHG163" s="21"/>
      <c r="VHH163" s="20"/>
      <c r="VHI163" s="20"/>
      <c r="VHJ163" s="20"/>
      <c r="VHK163" s="20"/>
      <c r="VHL163" s="21"/>
      <c r="VHM163" s="21"/>
      <c r="VHN163" s="7"/>
      <c r="VHO163" s="7"/>
      <c r="VHP163" s="21"/>
      <c r="VHQ163" s="20"/>
      <c r="VHR163" s="20"/>
      <c r="VHS163" s="20"/>
      <c r="VHT163" s="21"/>
      <c r="VHU163" s="21"/>
      <c r="VHV163" s="21"/>
      <c r="VHW163" s="21"/>
      <c r="VHX163" s="21"/>
      <c r="VHY163" s="20"/>
      <c r="VHZ163" s="20"/>
      <c r="VIA163" s="20"/>
      <c r="VIB163" s="20"/>
      <c r="VIC163" s="21"/>
      <c r="VID163" s="21"/>
      <c r="VIE163" s="7"/>
      <c r="VIF163" s="7"/>
      <c r="VIG163" s="21"/>
      <c r="VIH163" s="20"/>
      <c r="VII163" s="20"/>
      <c r="VIJ163" s="20"/>
      <c r="VIK163" s="21"/>
      <c r="VIL163" s="21"/>
      <c r="VIM163" s="21"/>
      <c r="VIN163" s="21"/>
      <c r="VIO163" s="21"/>
      <c r="VIP163" s="20"/>
      <c r="VIQ163" s="20"/>
      <c r="VIR163" s="20"/>
      <c r="VIS163" s="20"/>
      <c r="VIT163" s="21"/>
      <c r="VIU163" s="21"/>
      <c r="VIV163" s="7"/>
      <c r="VIW163" s="7"/>
      <c r="VIX163" s="21"/>
      <c r="VIY163" s="20"/>
      <c r="VIZ163" s="20"/>
      <c r="VJA163" s="20"/>
      <c r="VJB163" s="21"/>
      <c r="VJC163" s="21"/>
      <c r="VJD163" s="21"/>
      <c r="VJE163" s="21"/>
      <c r="VJF163" s="21"/>
      <c r="VJG163" s="20"/>
      <c r="VJH163" s="20"/>
      <c r="VJI163" s="20"/>
      <c r="VJJ163" s="20"/>
      <c r="VJK163" s="21"/>
      <c r="VJL163" s="21"/>
      <c r="VJM163" s="7"/>
      <c r="VJN163" s="7"/>
      <c r="VJO163" s="21"/>
      <c r="VJP163" s="20"/>
      <c r="VJQ163" s="20"/>
      <c r="VJR163" s="20"/>
      <c r="VJS163" s="21"/>
      <c r="VJT163" s="21"/>
      <c r="VJU163" s="21"/>
      <c r="VJV163" s="21"/>
      <c r="VJW163" s="21"/>
      <c r="VJX163" s="20"/>
      <c r="VJY163" s="20"/>
      <c r="VJZ163" s="20"/>
      <c r="VKA163" s="20"/>
      <c r="VKB163" s="21"/>
      <c r="VKC163" s="21"/>
      <c r="VKD163" s="7"/>
      <c r="VKE163" s="7"/>
      <c r="VKF163" s="21"/>
      <c r="VKG163" s="20"/>
      <c r="VKH163" s="20"/>
      <c r="VKI163" s="20"/>
      <c r="VKJ163" s="21"/>
      <c r="VKK163" s="21"/>
      <c r="VKL163" s="21"/>
      <c r="VKM163" s="21"/>
      <c r="VKN163" s="21"/>
      <c r="VKO163" s="20"/>
      <c r="VKP163" s="20"/>
      <c r="VKQ163" s="20"/>
      <c r="VKR163" s="20"/>
      <c r="VKS163" s="21"/>
      <c r="VKT163" s="21"/>
      <c r="VKU163" s="7"/>
      <c r="VKV163" s="7"/>
      <c r="VKW163" s="21"/>
      <c r="VKX163" s="20"/>
      <c r="VKY163" s="20"/>
      <c r="VKZ163" s="20"/>
      <c r="VLA163" s="21"/>
      <c r="VLB163" s="21"/>
      <c r="VLC163" s="21"/>
      <c r="VLD163" s="21"/>
      <c r="VLE163" s="21"/>
      <c r="VLF163" s="20"/>
      <c r="VLG163" s="20"/>
      <c r="VLH163" s="20"/>
      <c r="VLI163" s="20"/>
      <c r="VLJ163" s="21"/>
      <c r="VLK163" s="21"/>
      <c r="VLL163" s="7"/>
      <c r="VLM163" s="7"/>
      <c r="VLN163" s="21"/>
      <c r="VLO163" s="20"/>
      <c r="VLP163" s="20"/>
      <c r="VLQ163" s="20"/>
      <c r="VLR163" s="21"/>
      <c r="VLS163" s="21"/>
      <c r="VLT163" s="21"/>
      <c r="VLU163" s="21"/>
      <c r="VLV163" s="21"/>
      <c r="VLW163" s="20"/>
      <c r="VLX163" s="20"/>
      <c r="VLY163" s="20"/>
      <c r="VLZ163" s="20"/>
      <c r="VMA163" s="21"/>
      <c r="VMB163" s="21"/>
      <c r="VMC163" s="7"/>
      <c r="VMD163" s="7"/>
      <c r="VME163" s="21"/>
      <c r="VMF163" s="20"/>
      <c r="VMG163" s="20"/>
      <c r="VMH163" s="20"/>
      <c r="VMI163" s="21"/>
      <c r="VMJ163" s="21"/>
      <c r="VMK163" s="21"/>
      <c r="VML163" s="21"/>
      <c r="VMM163" s="21"/>
      <c r="VMN163" s="20"/>
      <c r="VMO163" s="20"/>
      <c r="VMP163" s="20"/>
      <c r="VMQ163" s="20"/>
      <c r="VMR163" s="21"/>
      <c r="VMS163" s="21"/>
      <c r="VMT163" s="7"/>
      <c r="VMU163" s="7"/>
      <c r="VMV163" s="21"/>
      <c r="VMW163" s="20"/>
      <c r="VMX163" s="20"/>
      <c r="VMY163" s="20"/>
      <c r="VMZ163" s="21"/>
      <c r="VNA163" s="21"/>
      <c r="VNB163" s="21"/>
      <c r="VNC163" s="21"/>
      <c r="VND163" s="21"/>
      <c r="VNE163" s="20"/>
      <c r="VNF163" s="20"/>
      <c r="VNG163" s="20"/>
      <c r="VNH163" s="20"/>
      <c r="VNI163" s="21"/>
      <c r="VNJ163" s="21"/>
      <c r="VNK163" s="7"/>
      <c r="VNL163" s="7"/>
      <c r="VNM163" s="21"/>
      <c r="VNN163" s="20"/>
      <c r="VNO163" s="20"/>
      <c r="VNP163" s="20"/>
      <c r="VNQ163" s="21"/>
      <c r="VNR163" s="21"/>
      <c r="VNS163" s="21"/>
      <c r="VNT163" s="21"/>
      <c r="VNU163" s="21"/>
      <c r="VNV163" s="20"/>
      <c r="VNW163" s="20"/>
      <c r="VNX163" s="20"/>
      <c r="VNY163" s="20"/>
      <c r="VNZ163" s="21"/>
      <c r="VOA163" s="21"/>
      <c r="VOB163" s="7"/>
      <c r="VOC163" s="7"/>
      <c r="VOD163" s="21"/>
      <c r="VOE163" s="20"/>
      <c r="VOF163" s="20"/>
      <c r="VOG163" s="20"/>
      <c r="VOH163" s="21"/>
      <c r="VOI163" s="21"/>
      <c r="VOJ163" s="21"/>
      <c r="VOK163" s="21"/>
      <c r="VOL163" s="21"/>
      <c r="VOM163" s="20"/>
      <c r="VON163" s="20"/>
      <c r="VOO163" s="20"/>
      <c r="VOP163" s="20"/>
      <c r="VOQ163" s="21"/>
      <c r="VOR163" s="21"/>
      <c r="VOS163" s="7"/>
      <c r="VOT163" s="7"/>
      <c r="VOU163" s="21"/>
      <c r="VOV163" s="20"/>
      <c r="VOW163" s="20"/>
      <c r="VOX163" s="20"/>
      <c r="VOY163" s="21"/>
      <c r="VOZ163" s="21"/>
      <c r="VPA163" s="21"/>
      <c r="VPB163" s="21"/>
      <c r="VPC163" s="21"/>
      <c r="VPD163" s="20"/>
      <c r="VPE163" s="20"/>
      <c r="VPF163" s="20"/>
      <c r="VPG163" s="20"/>
      <c r="VPH163" s="21"/>
      <c r="VPI163" s="21"/>
      <c r="VPJ163" s="7"/>
      <c r="VPK163" s="7"/>
      <c r="VPL163" s="21"/>
      <c r="VPM163" s="20"/>
      <c r="VPN163" s="20"/>
      <c r="VPO163" s="20"/>
      <c r="VPP163" s="21"/>
      <c r="VPQ163" s="21"/>
      <c r="VPR163" s="21"/>
      <c r="VPS163" s="21"/>
      <c r="VPT163" s="21"/>
      <c r="VPU163" s="20"/>
      <c r="VPV163" s="20"/>
      <c r="VPW163" s="20"/>
      <c r="VPX163" s="20"/>
      <c r="VPY163" s="21"/>
      <c r="VPZ163" s="21"/>
      <c r="VQA163" s="7"/>
      <c r="VQB163" s="7"/>
      <c r="VQC163" s="21"/>
      <c r="VQD163" s="20"/>
      <c r="VQE163" s="20"/>
      <c r="VQF163" s="20"/>
      <c r="VQG163" s="21"/>
      <c r="VQH163" s="21"/>
      <c r="VQI163" s="21"/>
      <c r="VQJ163" s="21"/>
      <c r="VQK163" s="21"/>
      <c r="VQL163" s="20"/>
      <c r="VQM163" s="20"/>
      <c r="VQN163" s="20"/>
      <c r="VQO163" s="20"/>
      <c r="VQP163" s="21"/>
      <c r="VQQ163" s="21"/>
      <c r="VQR163" s="7"/>
      <c r="VQS163" s="7"/>
      <c r="VQT163" s="21"/>
      <c r="VQU163" s="20"/>
      <c r="VQV163" s="20"/>
      <c r="VQW163" s="20"/>
      <c r="VQX163" s="21"/>
      <c r="VQY163" s="21"/>
      <c r="VQZ163" s="21"/>
      <c r="VRA163" s="21"/>
      <c r="VRB163" s="21"/>
      <c r="VRC163" s="20"/>
      <c r="VRD163" s="20"/>
      <c r="VRE163" s="20"/>
      <c r="VRF163" s="20"/>
      <c r="VRG163" s="21"/>
      <c r="VRH163" s="21"/>
      <c r="VRI163" s="7"/>
      <c r="VRJ163" s="7"/>
      <c r="VRK163" s="21"/>
      <c r="VRL163" s="20"/>
      <c r="VRM163" s="20"/>
      <c r="VRN163" s="20"/>
      <c r="VRO163" s="21"/>
      <c r="VRP163" s="21"/>
      <c r="VRQ163" s="21"/>
      <c r="VRR163" s="21"/>
      <c r="VRS163" s="21"/>
      <c r="VRT163" s="20"/>
      <c r="VRU163" s="20"/>
      <c r="VRV163" s="20"/>
      <c r="VRW163" s="20"/>
      <c r="VRX163" s="21"/>
      <c r="VRY163" s="21"/>
      <c r="VRZ163" s="7"/>
      <c r="VSA163" s="7"/>
      <c r="VSB163" s="21"/>
      <c r="VSC163" s="20"/>
      <c r="VSD163" s="20"/>
      <c r="VSE163" s="20"/>
      <c r="VSF163" s="21"/>
      <c r="VSG163" s="21"/>
      <c r="VSH163" s="21"/>
      <c r="VSI163" s="21"/>
      <c r="VSJ163" s="21"/>
      <c r="VSK163" s="20"/>
      <c r="VSL163" s="20"/>
      <c r="VSM163" s="20"/>
      <c r="VSN163" s="20"/>
      <c r="VSO163" s="21"/>
      <c r="VSP163" s="21"/>
      <c r="VSQ163" s="7"/>
      <c r="VSR163" s="7"/>
      <c r="VSS163" s="21"/>
      <c r="VST163" s="20"/>
      <c r="VSU163" s="20"/>
      <c r="VSV163" s="20"/>
      <c r="VSW163" s="21"/>
      <c r="VSX163" s="21"/>
      <c r="VSY163" s="21"/>
      <c r="VSZ163" s="21"/>
      <c r="VTA163" s="21"/>
      <c r="VTB163" s="20"/>
      <c r="VTC163" s="20"/>
      <c r="VTD163" s="20"/>
      <c r="VTE163" s="20"/>
      <c r="VTF163" s="21"/>
      <c r="VTG163" s="21"/>
      <c r="VTH163" s="7"/>
      <c r="VTI163" s="7"/>
      <c r="VTJ163" s="21"/>
      <c r="VTK163" s="20"/>
      <c r="VTL163" s="20"/>
      <c r="VTM163" s="20"/>
      <c r="VTN163" s="21"/>
      <c r="VTO163" s="21"/>
      <c r="VTP163" s="21"/>
      <c r="VTQ163" s="21"/>
      <c r="VTR163" s="21"/>
      <c r="VTS163" s="20"/>
      <c r="VTT163" s="20"/>
      <c r="VTU163" s="20"/>
      <c r="VTV163" s="20"/>
      <c r="VTW163" s="21"/>
      <c r="VTX163" s="21"/>
      <c r="VTY163" s="7"/>
      <c r="VTZ163" s="7"/>
      <c r="VUA163" s="21"/>
      <c r="VUB163" s="20"/>
      <c r="VUC163" s="20"/>
      <c r="VUD163" s="20"/>
      <c r="VUE163" s="21"/>
      <c r="VUF163" s="21"/>
      <c r="VUG163" s="21"/>
      <c r="VUH163" s="21"/>
      <c r="VUI163" s="21"/>
      <c r="VUJ163" s="20"/>
      <c r="VUK163" s="20"/>
      <c r="VUL163" s="20"/>
      <c r="VUM163" s="20"/>
      <c r="VUN163" s="21"/>
      <c r="VUO163" s="21"/>
      <c r="VUP163" s="7"/>
      <c r="VUQ163" s="7"/>
      <c r="VUR163" s="21"/>
      <c r="VUS163" s="20"/>
      <c r="VUT163" s="20"/>
      <c r="VUU163" s="20"/>
      <c r="VUV163" s="21"/>
      <c r="VUW163" s="21"/>
      <c r="VUX163" s="21"/>
      <c r="VUY163" s="21"/>
      <c r="VUZ163" s="21"/>
      <c r="VVA163" s="20"/>
      <c r="VVB163" s="20"/>
      <c r="VVC163" s="20"/>
      <c r="VVD163" s="20"/>
      <c r="VVE163" s="21"/>
      <c r="VVF163" s="21"/>
      <c r="VVG163" s="7"/>
      <c r="VVH163" s="7"/>
      <c r="VVI163" s="21"/>
      <c r="VVJ163" s="20"/>
      <c r="VVK163" s="20"/>
      <c r="VVL163" s="20"/>
      <c r="VVM163" s="21"/>
      <c r="VVN163" s="21"/>
      <c r="VVO163" s="21"/>
      <c r="VVP163" s="21"/>
      <c r="VVQ163" s="21"/>
      <c r="VVR163" s="20"/>
      <c r="VVS163" s="20"/>
      <c r="VVT163" s="20"/>
      <c r="VVU163" s="20"/>
      <c r="VVV163" s="21"/>
      <c r="VVW163" s="21"/>
      <c r="VVX163" s="7"/>
      <c r="VVY163" s="7"/>
      <c r="VVZ163" s="21"/>
      <c r="VWA163" s="20"/>
      <c r="VWB163" s="20"/>
      <c r="VWC163" s="20"/>
      <c r="VWD163" s="21"/>
      <c r="VWE163" s="21"/>
      <c r="VWF163" s="21"/>
      <c r="VWG163" s="21"/>
      <c r="VWH163" s="21"/>
      <c r="VWI163" s="20"/>
      <c r="VWJ163" s="20"/>
      <c r="VWK163" s="20"/>
      <c r="VWL163" s="20"/>
      <c r="VWM163" s="21"/>
      <c r="VWN163" s="21"/>
      <c r="VWO163" s="7"/>
      <c r="VWP163" s="7"/>
      <c r="VWQ163" s="21"/>
      <c r="VWR163" s="20"/>
      <c r="VWS163" s="20"/>
      <c r="VWT163" s="20"/>
      <c r="VWU163" s="21"/>
      <c r="VWV163" s="21"/>
      <c r="VWW163" s="21"/>
      <c r="VWX163" s="21"/>
      <c r="VWY163" s="21"/>
      <c r="VWZ163" s="20"/>
      <c r="VXA163" s="20"/>
      <c r="VXB163" s="20"/>
      <c r="VXC163" s="20"/>
      <c r="VXD163" s="21"/>
      <c r="VXE163" s="21"/>
      <c r="VXF163" s="7"/>
      <c r="VXG163" s="7"/>
      <c r="VXH163" s="21"/>
      <c r="VXI163" s="20"/>
      <c r="VXJ163" s="20"/>
      <c r="VXK163" s="20"/>
      <c r="VXL163" s="21"/>
      <c r="VXM163" s="21"/>
      <c r="VXN163" s="21"/>
      <c r="VXO163" s="21"/>
      <c r="VXP163" s="21"/>
      <c r="VXQ163" s="20"/>
      <c r="VXR163" s="20"/>
      <c r="VXS163" s="20"/>
      <c r="VXT163" s="20"/>
      <c r="VXU163" s="21"/>
      <c r="VXV163" s="21"/>
      <c r="VXW163" s="7"/>
      <c r="VXX163" s="7"/>
      <c r="VXY163" s="21"/>
      <c r="VXZ163" s="20"/>
      <c r="VYA163" s="20"/>
      <c r="VYB163" s="20"/>
      <c r="VYC163" s="21"/>
      <c r="VYD163" s="21"/>
      <c r="VYE163" s="21"/>
      <c r="VYF163" s="21"/>
      <c r="VYG163" s="21"/>
      <c r="VYH163" s="20"/>
      <c r="VYI163" s="20"/>
      <c r="VYJ163" s="20"/>
      <c r="VYK163" s="20"/>
      <c r="VYL163" s="21"/>
      <c r="VYM163" s="21"/>
      <c r="VYN163" s="7"/>
      <c r="VYO163" s="7"/>
      <c r="VYP163" s="21"/>
      <c r="VYQ163" s="20"/>
      <c r="VYR163" s="20"/>
      <c r="VYS163" s="20"/>
      <c r="VYT163" s="21"/>
      <c r="VYU163" s="21"/>
      <c r="VYV163" s="21"/>
      <c r="VYW163" s="21"/>
      <c r="VYX163" s="21"/>
      <c r="VYY163" s="20"/>
      <c r="VYZ163" s="20"/>
      <c r="VZA163" s="20"/>
      <c r="VZB163" s="20"/>
      <c r="VZC163" s="21"/>
      <c r="VZD163" s="21"/>
      <c r="VZE163" s="7"/>
      <c r="VZF163" s="7"/>
      <c r="VZG163" s="21"/>
      <c r="VZH163" s="20"/>
      <c r="VZI163" s="20"/>
      <c r="VZJ163" s="20"/>
      <c r="VZK163" s="21"/>
      <c r="VZL163" s="21"/>
      <c r="VZM163" s="21"/>
      <c r="VZN163" s="21"/>
      <c r="VZO163" s="21"/>
      <c r="VZP163" s="20"/>
      <c r="VZQ163" s="20"/>
      <c r="VZR163" s="20"/>
      <c r="VZS163" s="20"/>
      <c r="VZT163" s="21"/>
      <c r="VZU163" s="21"/>
      <c r="VZV163" s="7"/>
      <c r="VZW163" s="7"/>
      <c r="VZX163" s="21"/>
      <c r="VZY163" s="20"/>
      <c r="VZZ163" s="20"/>
      <c r="WAA163" s="20"/>
      <c r="WAB163" s="21"/>
      <c r="WAC163" s="21"/>
      <c r="WAD163" s="21"/>
      <c r="WAE163" s="21"/>
      <c r="WAF163" s="21"/>
      <c r="WAG163" s="20"/>
      <c r="WAH163" s="20"/>
      <c r="WAI163" s="20"/>
      <c r="WAJ163" s="20"/>
      <c r="WAK163" s="21"/>
      <c r="WAL163" s="21"/>
      <c r="WAM163" s="7"/>
      <c r="WAN163" s="7"/>
      <c r="WAO163" s="21"/>
      <c r="WAP163" s="20"/>
      <c r="WAQ163" s="20"/>
      <c r="WAR163" s="20"/>
      <c r="WAS163" s="21"/>
      <c r="WAT163" s="21"/>
      <c r="WAU163" s="21"/>
      <c r="WAV163" s="21"/>
      <c r="WAW163" s="21"/>
      <c r="WAX163" s="20"/>
      <c r="WAY163" s="20"/>
      <c r="WAZ163" s="20"/>
      <c r="WBA163" s="20"/>
      <c r="WBB163" s="21"/>
      <c r="WBC163" s="21"/>
      <c r="WBD163" s="7"/>
      <c r="WBE163" s="7"/>
      <c r="WBF163" s="21"/>
      <c r="WBG163" s="20"/>
      <c r="WBH163" s="20"/>
      <c r="WBI163" s="20"/>
      <c r="WBJ163" s="21"/>
      <c r="WBK163" s="21"/>
      <c r="WBL163" s="21"/>
      <c r="WBM163" s="21"/>
      <c r="WBN163" s="21"/>
      <c r="WBO163" s="20"/>
      <c r="WBP163" s="20"/>
      <c r="WBQ163" s="20"/>
      <c r="WBR163" s="20"/>
      <c r="WBS163" s="21"/>
      <c r="WBT163" s="21"/>
      <c r="WBU163" s="7"/>
      <c r="WBV163" s="7"/>
      <c r="WBW163" s="21"/>
      <c r="WBX163" s="20"/>
      <c r="WBY163" s="20"/>
      <c r="WBZ163" s="20"/>
      <c r="WCA163" s="21"/>
      <c r="WCB163" s="21"/>
      <c r="WCC163" s="21"/>
      <c r="WCD163" s="21"/>
      <c r="WCE163" s="21"/>
      <c r="WCF163" s="20"/>
      <c r="WCG163" s="20"/>
      <c r="WCH163" s="20"/>
      <c r="WCI163" s="20"/>
      <c r="WCJ163" s="21"/>
      <c r="WCK163" s="21"/>
      <c r="WCL163" s="7"/>
      <c r="WCM163" s="7"/>
      <c r="WCN163" s="21"/>
      <c r="WCO163" s="20"/>
      <c r="WCP163" s="20"/>
      <c r="WCQ163" s="20"/>
      <c r="WCR163" s="21"/>
      <c r="WCS163" s="21"/>
      <c r="WCT163" s="21"/>
      <c r="WCU163" s="21"/>
      <c r="WCV163" s="21"/>
      <c r="WCW163" s="20"/>
      <c r="WCX163" s="20"/>
      <c r="WCY163" s="20"/>
      <c r="WCZ163" s="20"/>
      <c r="WDA163" s="21"/>
      <c r="WDB163" s="21"/>
      <c r="WDC163" s="7"/>
      <c r="WDD163" s="7"/>
      <c r="WDE163" s="21"/>
      <c r="WDF163" s="20"/>
      <c r="WDG163" s="20"/>
      <c r="WDH163" s="20"/>
      <c r="WDI163" s="21"/>
      <c r="WDJ163" s="21"/>
      <c r="WDK163" s="21"/>
      <c r="WDL163" s="21"/>
      <c r="WDM163" s="21"/>
      <c r="WDN163" s="20"/>
      <c r="WDO163" s="20"/>
      <c r="WDP163" s="20"/>
      <c r="WDQ163" s="20"/>
      <c r="WDR163" s="21"/>
      <c r="WDS163" s="21"/>
      <c r="WDT163" s="7"/>
      <c r="WDU163" s="7"/>
      <c r="WDV163" s="21"/>
      <c r="WDW163" s="20"/>
      <c r="WDX163" s="20"/>
      <c r="WDY163" s="20"/>
      <c r="WDZ163" s="21"/>
      <c r="WEA163" s="21"/>
      <c r="WEB163" s="21"/>
      <c r="WEC163" s="21"/>
      <c r="WED163" s="21"/>
      <c r="WEE163" s="20"/>
      <c r="WEF163" s="20"/>
      <c r="WEG163" s="20"/>
      <c r="WEH163" s="20"/>
      <c r="WEI163" s="21"/>
      <c r="WEJ163" s="21"/>
      <c r="WEK163" s="7"/>
      <c r="WEL163" s="7"/>
      <c r="WEM163" s="21"/>
      <c r="WEN163" s="20"/>
      <c r="WEO163" s="20"/>
      <c r="WEP163" s="20"/>
      <c r="WEQ163" s="21"/>
      <c r="WER163" s="21"/>
      <c r="WES163" s="21"/>
      <c r="WET163" s="21"/>
      <c r="WEU163" s="21"/>
      <c r="WEV163" s="20"/>
      <c r="WEW163" s="20"/>
      <c r="WEX163" s="20"/>
      <c r="WEY163" s="20"/>
      <c r="WEZ163" s="21"/>
      <c r="WFA163" s="21"/>
      <c r="WFB163" s="7"/>
      <c r="WFC163" s="7"/>
      <c r="WFD163" s="21"/>
      <c r="WFE163" s="20"/>
      <c r="WFF163" s="20"/>
      <c r="WFG163" s="20"/>
      <c r="WFH163" s="21"/>
      <c r="WFI163" s="21"/>
      <c r="WFJ163" s="21"/>
      <c r="WFK163" s="21"/>
      <c r="WFL163" s="21"/>
      <c r="WFM163" s="20"/>
      <c r="WFN163" s="20"/>
      <c r="WFO163" s="20"/>
      <c r="WFP163" s="20"/>
      <c r="WFQ163" s="21"/>
      <c r="WFR163" s="21"/>
      <c r="WFS163" s="7"/>
      <c r="WFT163" s="7"/>
      <c r="WFU163" s="21"/>
      <c r="WFV163" s="20"/>
      <c r="WFW163" s="20"/>
      <c r="WFX163" s="20"/>
      <c r="WFY163" s="21"/>
      <c r="WFZ163" s="21"/>
      <c r="WGA163" s="21"/>
      <c r="WGB163" s="21"/>
      <c r="WGC163" s="21"/>
      <c r="WGD163" s="20"/>
      <c r="WGE163" s="20"/>
      <c r="WGF163" s="20"/>
      <c r="WGG163" s="20"/>
      <c r="WGH163" s="21"/>
      <c r="WGI163" s="21"/>
      <c r="WGJ163" s="7"/>
      <c r="WGK163" s="7"/>
      <c r="WGL163" s="21"/>
      <c r="WGM163" s="20"/>
      <c r="WGN163" s="20"/>
      <c r="WGO163" s="20"/>
      <c r="WGP163" s="21"/>
      <c r="WGQ163" s="21"/>
      <c r="WGR163" s="21"/>
      <c r="WGS163" s="21"/>
      <c r="WGT163" s="21"/>
      <c r="WGU163" s="20"/>
      <c r="WGV163" s="20"/>
      <c r="WGW163" s="20"/>
      <c r="WGX163" s="20"/>
      <c r="WGY163" s="21"/>
      <c r="WGZ163" s="21"/>
      <c r="WHA163" s="7"/>
      <c r="WHB163" s="7"/>
      <c r="WHC163" s="21"/>
      <c r="WHD163" s="20"/>
      <c r="WHE163" s="20"/>
      <c r="WHF163" s="20"/>
      <c r="WHG163" s="21"/>
      <c r="WHH163" s="21"/>
      <c r="WHI163" s="21"/>
      <c r="WHJ163" s="21"/>
      <c r="WHK163" s="21"/>
      <c r="WHL163" s="20"/>
      <c r="WHM163" s="20"/>
      <c r="WHN163" s="20"/>
      <c r="WHO163" s="20"/>
      <c r="WHP163" s="21"/>
      <c r="WHQ163" s="21"/>
      <c r="WHR163" s="7"/>
      <c r="WHS163" s="7"/>
      <c r="WHT163" s="21"/>
      <c r="WHU163" s="20"/>
      <c r="WHV163" s="20"/>
      <c r="WHW163" s="20"/>
      <c r="WHX163" s="21"/>
      <c r="WHY163" s="21"/>
      <c r="WHZ163" s="21"/>
      <c r="WIA163" s="21"/>
      <c r="WIB163" s="21"/>
      <c r="WIC163" s="20"/>
      <c r="WID163" s="20"/>
      <c r="WIE163" s="20"/>
      <c r="WIF163" s="20"/>
      <c r="WIG163" s="21"/>
      <c r="WIH163" s="21"/>
      <c r="WII163" s="7"/>
      <c r="WIJ163" s="7"/>
      <c r="WIK163" s="21"/>
      <c r="WIL163" s="20"/>
      <c r="WIM163" s="20"/>
      <c r="WIN163" s="20"/>
      <c r="WIO163" s="21"/>
      <c r="WIP163" s="21"/>
      <c r="WIQ163" s="21"/>
      <c r="WIR163" s="21"/>
      <c r="WIS163" s="21"/>
      <c r="WIT163" s="20"/>
      <c r="WIU163" s="20"/>
      <c r="WIV163" s="20"/>
      <c r="WIW163" s="20"/>
      <c r="WIX163" s="21"/>
      <c r="WIY163" s="21"/>
      <c r="WIZ163" s="7"/>
      <c r="WJA163" s="7"/>
      <c r="WJB163" s="21"/>
      <c r="WJC163" s="20"/>
      <c r="WJD163" s="20"/>
      <c r="WJE163" s="20"/>
      <c r="WJF163" s="21"/>
      <c r="WJG163" s="21"/>
      <c r="WJH163" s="21"/>
      <c r="WJI163" s="21"/>
      <c r="WJJ163" s="21"/>
      <c r="WJK163" s="20"/>
      <c r="WJL163" s="20"/>
      <c r="WJM163" s="20"/>
      <c r="WJN163" s="20"/>
      <c r="WJO163" s="21"/>
      <c r="WJP163" s="21"/>
      <c r="WJQ163" s="7"/>
      <c r="WJR163" s="7"/>
      <c r="WJS163" s="21"/>
      <c r="WJT163" s="20"/>
      <c r="WJU163" s="20"/>
      <c r="WJV163" s="20"/>
      <c r="WJW163" s="21"/>
      <c r="WJX163" s="21"/>
      <c r="WJY163" s="21"/>
      <c r="WJZ163" s="21"/>
      <c r="WKA163" s="21"/>
      <c r="WKB163" s="20"/>
      <c r="WKC163" s="20"/>
      <c r="WKD163" s="20"/>
      <c r="WKE163" s="20"/>
      <c r="WKF163" s="21"/>
      <c r="WKG163" s="21"/>
      <c r="WKH163" s="7"/>
      <c r="WKI163" s="7"/>
      <c r="WKJ163" s="21"/>
      <c r="WKK163" s="20"/>
      <c r="WKL163" s="20"/>
      <c r="WKM163" s="20"/>
      <c r="WKN163" s="21"/>
      <c r="WKO163" s="21"/>
      <c r="WKP163" s="21"/>
      <c r="WKQ163" s="21"/>
      <c r="WKR163" s="21"/>
      <c r="WKS163" s="20"/>
      <c r="WKT163" s="20"/>
      <c r="WKU163" s="20"/>
      <c r="WKV163" s="20"/>
      <c r="WKW163" s="21"/>
      <c r="WKX163" s="21"/>
      <c r="WKY163" s="7"/>
      <c r="WKZ163" s="7"/>
      <c r="WLA163" s="21"/>
      <c r="WLB163" s="20"/>
      <c r="WLC163" s="20"/>
      <c r="WLD163" s="20"/>
      <c r="WLE163" s="21"/>
      <c r="WLF163" s="21"/>
      <c r="WLG163" s="21"/>
      <c r="WLH163" s="21"/>
      <c r="WLI163" s="21"/>
      <c r="WLJ163" s="20"/>
      <c r="WLK163" s="20"/>
      <c r="WLL163" s="20"/>
      <c r="WLM163" s="20"/>
      <c r="WLN163" s="21"/>
      <c r="WLO163" s="21"/>
      <c r="WLP163" s="7"/>
      <c r="WLQ163" s="7"/>
      <c r="WLR163" s="21"/>
      <c r="WLS163" s="20"/>
      <c r="WLT163" s="20"/>
      <c r="WLU163" s="20"/>
      <c r="WLV163" s="21"/>
      <c r="WLW163" s="21"/>
      <c r="WLX163" s="21"/>
      <c r="WLY163" s="21"/>
      <c r="WLZ163" s="21"/>
      <c r="WMA163" s="20"/>
      <c r="WMB163" s="20"/>
      <c r="WMC163" s="20"/>
      <c r="WMD163" s="20"/>
      <c r="WME163" s="21"/>
      <c r="WMF163" s="21"/>
      <c r="WMG163" s="7"/>
      <c r="WMH163" s="7"/>
      <c r="WMI163" s="21"/>
      <c r="WMJ163" s="20"/>
      <c r="WMK163" s="20"/>
      <c r="WML163" s="20"/>
      <c r="WMM163" s="21"/>
      <c r="WMN163" s="21"/>
      <c r="WMO163" s="21"/>
      <c r="WMP163" s="21"/>
      <c r="WMQ163" s="21"/>
      <c r="WMR163" s="20"/>
      <c r="WMS163" s="20"/>
      <c r="WMT163" s="20"/>
      <c r="WMU163" s="20"/>
      <c r="WMV163" s="21"/>
      <c r="WMW163" s="21"/>
      <c r="WMX163" s="7"/>
      <c r="WMY163" s="7"/>
      <c r="WMZ163" s="21"/>
      <c r="WNA163" s="20"/>
      <c r="WNB163" s="20"/>
      <c r="WNC163" s="20"/>
      <c r="WND163" s="21"/>
      <c r="WNE163" s="21"/>
      <c r="WNF163" s="21"/>
      <c r="WNG163" s="21"/>
      <c r="WNH163" s="21"/>
      <c r="WNI163" s="20"/>
      <c r="WNJ163" s="20"/>
      <c r="WNK163" s="20"/>
      <c r="WNL163" s="20"/>
      <c r="WNM163" s="21"/>
      <c r="WNN163" s="21"/>
      <c r="WNO163" s="7"/>
      <c r="WNP163" s="7"/>
      <c r="WNQ163" s="21"/>
      <c r="WNR163" s="20"/>
      <c r="WNS163" s="20"/>
      <c r="WNT163" s="20"/>
      <c r="WNU163" s="21"/>
      <c r="WNV163" s="21"/>
      <c r="WNW163" s="21"/>
      <c r="WNX163" s="21"/>
      <c r="WNY163" s="21"/>
      <c r="WNZ163" s="20"/>
      <c r="WOA163" s="20"/>
      <c r="WOB163" s="20"/>
      <c r="WOC163" s="20"/>
      <c r="WOD163" s="21"/>
      <c r="WOE163" s="21"/>
      <c r="WOF163" s="7"/>
      <c r="WOG163" s="7"/>
      <c r="WOH163" s="21"/>
      <c r="WOI163" s="20"/>
      <c r="WOJ163" s="20"/>
      <c r="WOK163" s="20"/>
      <c r="WOL163" s="21"/>
      <c r="WOM163" s="21"/>
      <c r="WON163" s="21"/>
      <c r="WOO163" s="21"/>
      <c r="WOP163" s="21"/>
      <c r="WOQ163" s="20"/>
      <c r="WOR163" s="20"/>
      <c r="WOS163" s="20"/>
      <c r="WOT163" s="20"/>
      <c r="WOU163" s="21"/>
      <c r="WOV163" s="21"/>
      <c r="WOW163" s="7"/>
      <c r="WOX163" s="7"/>
      <c r="WOY163" s="21"/>
      <c r="WOZ163" s="20"/>
      <c r="WPA163" s="20"/>
      <c r="WPB163" s="20"/>
      <c r="WPC163" s="21"/>
      <c r="WPD163" s="21"/>
      <c r="WPE163" s="21"/>
      <c r="WPF163" s="21"/>
      <c r="WPG163" s="21"/>
      <c r="WPH163" s="20"/>
      <c r="WPI163" s="20"/>
      <c r="WPJ163" s="20"/>
      <c r="WPK163" s="20"/>
      <c r="WPL163" s="21"/>
      <c r="WPM163" s="21"/>
      <c r="WPN163" s="7"/>
      <c r="WPO163" s="7"/>
      <c r="WPP163" s="21"/>
      <c r="WPQ163" s="20"/>
      <c r="WPR163" s="20"/>
      <c r="WPS163" s="20"/>
      <c r="WPT163" s="21"/>
      <c r="WPU163" s="21"/>
      <c r="WPV163" s="21"/>
      <c r="WPW163" s="21"/>
      <c r="WPX163" s="21"/>
      <c r="WPY163" s="20"/>
      <c r="WPZ163" s="20"/>
      <c r="WQA163" s="20"/>
      <c r="WQB163" s="20"/>
      <c r="WQC163" s="21"/>
      <c r="WQD163" s="21"/>
      <c r="WQE163" s="7"/>
      <c r="WQF163" s="7"/>
      <c r="WQG163" s="21"/>
      <c r="WQH163" s="20"/>
      <c r="WQI163" s="20"/>
      <c r="WQJ163" s="20"/>
      <c r="WQK163" s="21"/>
      <c r="WQL163" s="21"/>
      <c r="WQM163" s="21"/>
      <c r="WQN163" s="21"/>
      <c r="WQO163" s="21"/>
      <c r="WQP163" s="20"/>
      <c r="WQQ163" s="20"/>
      <c r="WQR163" s="20"/>
      <c r="WQS163" s="20"/>
      <c r="WQT163" s="21"/>
      <c r="WQU163" s="21"/>
      <c r="WQV163" s="7"/>
      <c r="WQW163" s="7"/>
      <c r="WQX163" s="21"/>
      <c r="WQY163" s="20"/>
      <c r="WQZ163" s="20"/>
      <c r="WRA163" s="20"/>
      <c r="WRB163" s="21"/>
      <c r="WRC163" s="21"/>
      <c r="WRD163" s="21"/>
      <c r="WRE163" s="21"/>
      <c r="WRF163" s="21"/>
      <c r="WRG163" s="20"/>
      <c r="WRH163" s="20"/>
      <c r="WRI163" s="20"/>
      <c r="WRJ163" s="20"/>
      <c r="WRK163" s="21"/>
      <c r="WRL163" s="21"/>
      <c r="WRM163" s="7"/>
      <c r="WRN163" s="7"/>
      <c r="WRO163" s="21"/>
      <c r="WRP163" s="20"/>
      <c r="WRQ163" s="20"/>
      <c r="WRR163" s="20"/>
      <c r="WRS163" s="21"/>
      <c r="WRT163" s="21"/>
      <c r="WRU163" s="21"/>
      <c r="WRV163" s="21"/>
      <c r="WRW163" s="21"/>
      <c r="WRX163" s="20"/>
      <c r="WRY163" s="20"/>
      <c r="WRZ163" s="20"/>
      <c r="WSA163" s="20"/>
      <c r="WSB163" s="21"/>
      <c r="WSC163" s="21"/>
      <c r="WSD163" s="7"/>
      <c r="WSE163" s="7"/>
      <c r="WSF163" s="21"/>
      <c r="WSG163" s="20"/>
      <c r="WSH163" s="20"/>
      <c r="WSI163" s="20"/>
      <c r="WSJ163" s="21"/>
      <c r="WSK163" s="21"/>
      <c r="WSL163" s="21"/>
      <c r="WSM163" s="21"/>
      <c r="WSN163" s="21"/>
      <c r="WSO163" s="20"/>
      <c r="WSP163" s="20"/>
      <c r="WSQ163" s="20"/>
      <c r="WSR163" s="20"/>
      <c r="WSS163" s="21"/>
      <c r="WST163" s="21"/>
      <c r="WSU163" s="7"/>
      <c r="WSV163" s="7"/>
      <c r="WSW163" s="21"/>
      <c r="WSX163" s="20"/>
      <c r="WSY163" s="20"/>
      <c r="WSZ163" s="20"/>
      <c r="WTA163" s="21"/>
      <c r="WTB163" s="21"/>
      <c r="WTC163" s="21"/>
      <c r="WTD163" s="21"/>
      <c r="WTE163" s="21"/>
      <c r="WTF163" s="20"/>
      <c r="WTG163" s="20"/>
      <c r="WTH163" s="20"/>
      <c r="WTI163" s="20"/>
      <c r="WTJ163" s="21"/>
      <c r="WTK163" s="21"/>
      <c r="WTL163" s="7"/>
      <c r="WTM163" s="7"/>
      <c r="WTN163" s="21"/>
      <c r="WTO163" s="20"/>
      <c r="WTP163" s="20"/>
      <c r="WTQ163" s="20"/>
      <c r="WTR163" s="21"/>
      <c r="WTS163" s="21"/>
      <c r="WTT163" s="21"/>
      <c r="WTU163" s="21"/>
      <c r="WTV163" s="21"/>
      <c r="WTW163" s="20"/>
      <c r="WTX163" s="20"/>
      <c r="WTY163" s="20"/>
      <c r="WTZ163" s="20"/>
      <c r="WUA163" s="21"/>
      <c r="WUB163" s="21"/>
      <c r="WUC163" s="7"/>
      <c r="WUD163" s="7"/>
      <c r="WUE163" s="21"/>
      <c r="WUF163" s="20"/>
      <c r="WUG163" s="20"/>
      <c r="WUH163" s="20"/>
      <c r="WUI163" s="21"/>
      <c r="WUJ163" s="21"/>
      <c r="WUK163" s="21"/>
      <c r="WUL163" s="21"/>
      <c r="WUM163" s="21"/>
      <c r="WUN163" s="20"/>
      <c r="WUO163" s="20"/>
      <c r="WUP163" s="20"/>
      <c r="WUQ163" s="20"/>
      <c r="WUR163" s="21"/>
      <c r="WUS163" s="21"/>
      <c r="WUT163" s="7"/>
      <c r="WUU163" s="7"/>
      <c r="WUV163" s="21"/>
      <c r="WUW163" s="20"/>
      <c r="WUX163" s="20"/>
      <c r="WUY163" s="20"/>
      <c r="WUZ163" s="21"/>
      <c r="WVA163" s="21"/>
      <c r="WVB163" s="21"/>
      <c r="WVC163" s="21"/>
      <c r="WVD163" s="21"/>
      <c r="WVE163" s="20"/>
      <c r="WVF163" s="20"/>
      <c r="WVG163" s="20"/>
      <c r="WVH163" s="20"/>
      <c r="WVI163" s="21"/>
      <c r="WVJ163" s="21"/>
      <c r="WVK163" s="7"/>
      <c r="WVL163" s="7"/>
      <c r="WVM163" s="21"/>
      <c r="WVN163" s="20"/>
      <c r="WVO163" s="20"/>
      <c r="WVP163" s="20"/>
      <c r="WVQ163" s="21"/>
      <c r="WVR163" s="21"/>
      <c r="WVS163" s="21"/>
      <c r="WVT163" s="21"/>
      <c r="WVU163" s="21"/>
      <c r="WVV163" s="20"/>
      <c r="WVW163" s="20"/>
      <c r="WVX163" s="20"/>
      <c r="WVY163" s="20"/>
      <c r="WVZ163" s="21"/>
      <c r="WWA163" s="21"/>
      <c r="WWB163" s="7"/>
      <c r="WWC163" s="7"/>
      <c r="WWD163" s="21"/>
      <c r="WWE163" s="20"/>
      <c r="WWF163" s="20"/>
      <c r="WWG163" s="20"/>
      <c r="WWH163" s="21"/>
      <c r="WWI163" s="21"/>
      <c r="WWJ163" s="21"/>
      <c r="WWK163" s="21"/>
      <c r="WWL163" s="21"/>
      <c r="WWM163" s="20"/>
      <c r="WWN163" s="20"/>
      <c r="WWO163" s="20"/>
      <c r="WWP163" s="20"/>
      <c r="WWQ163" s="21"/>
      <c r="WWR163" s="21"/>
      <c r="WWS163" s="7"/>
      <c r="WWT163" s="7"/>
      <c r="WWU163" s="21"/>
      <c r="WWV163" s="20"/>
      <c r="WWW163" s="20"/>
      <c r="WWX163" s="20"/>
      <c r="WWY163" s="21"/>
      <c r="WWZ163" s="21"/>
      <c r="WXA163" s="21"/>
      <c r="WXB163" s="21"/>
      <c r="WXC163" s="21"/>
      <c r="WXD163" s="20"/>
      <c r="WXE163" s="20"/>
      <c r="WXF163" s="20"/>
      <c r="WXG163" s="20"/>
      <c r="WXH163" s="21"/>
      <c r="WXI163" s="21"/>
      <c r="WXJ163" s="7"/>
      <c r="WXK163" s="7"/>
      <c r="WXL163" s="21"/>
      <c r="WXM163" s="20"/>
      <c r="WXN163" s="20"/>
      <c r="WXO163" s="20"/>
      <c r="WXP163" s="21"/>
      <c r="WXQ163" s="21"/>
      <c r="WXR163" s="21"/>
      <c r="WXS163" s="21"/>
      <c r="WXT163" s="21"/>
      <c r="WXU163" s="20"/>
      <c r="WXV163" s="20"/>
      <c r="WXW163" s="20"/>
      <c r="WXX163" s="20"/>
      <c r="WXY163" s="21"/>
      <c r="WXZ163" s="21"/>
      <c r="WYA163" s="7"/>
      <c r="WYB163" s="7"/>
      <c r="WYC163" s="21"/>
      <c r="WYD163" s="20"/>
      <c r="WYE163" s="20"/>
      <c r="WYF163" s="20"/>
      <c r="WYG163" s="21"/>
      <c r="WYH163" s="21"/>
      <c r="WYI163" s="21"/>
      <c r="WYJ163" s="21"/>
      <c r="WYK163" s="21"/>
      <c r="WYL163" s="20"/>
      <c r="WYM163" s="20"/>
      <c r="WYN163" s="20"/>
      <c r="WYO163" s="20"/>
      <c r="WYP163" s="21"/>
      <c r="WYQ163" s="21"/>
      <c r="WYR163" s="7"/>
      <c r="WYS163" s="7"/>
      <c r="WYT163" s="21"/>
      <c r="WYU163" s="20"/>
      <c r="WYV163" s="20"/>
      <c r="WYW163" s="20"/>
      <c r="WYX163" s="21"/>
      <c r="WYY163" s="21"/>
      <c r="WYZ163" s="21"/>
      <c r="WZA163" s="21"/>
      <c r="WZB163" s="21"/>
      <c r="WZC163" s="20"/>
      <c r="WZD163" s="20"/>
      <c r="WZE163" s="20"/>
      <c r="WZF163" s="20"/>
      <c r="WZG163" s="21"/>
      <c r="WZH163" s="21"/>
      <c r="WZI163" s="7"/>
      <c r="WZJ163" s="7"/>
      <c r="WZK163" s="21"/>
      <c r="WZL163" s="20"/>
      <c r="WZM163" s="20"/>
      <c r="WZN163" s="20"/>
      <c r="WZO163" s="21"/>
      <c r="WZP163" s="21"/>
      <c r="WZQ163" s="21"/>
      <c r="WZR163" s="21"/>
      <c r="WZS163" s="21"/>
      <c r="WZT163" s="20"/>
      <c r="WZU163" s="20"/>
      <c r="WZV163" s="20"/>
      <c r="WZW163" s="20"/>
      <c r="WZX163" s="21"/>
      <c r="WZY163" s="21"/>
      <c r="WZZ163" s="7"/>
      <c r="XAA163" s="7"/>
      <c r="XAB163" s="21"/>
      <c r="XAC163" s="20"/>
      <c r="XAD163" s="20"/>
      <c r="XAE163" s="20"/>
      <c r="XAF163" s="21"/>
      <c r="XAG163" s="21"/>
      <c r="XAH163" s="21"/>
      <c r="XAI163" s="21"/>
      <c r="XAJ163" s="21"/>
      <c r="XAK163" s="20"/>
      <c r="XAL163" s="20"/>
      <c r="XAM163" s="20"/>
      <c r="XAN163" s="20"/>
      <c r="XAO163" s="21"/>
      <c r="XAP163" s="21"/>
      <c r="XAQ163" s="7"/>
      <c r="XAR163" s="7"/>
      <c r="XAS163" s="21"/>
      <c r="XAT163" s="20"/>
      <c r="XAU163" s="20"/>
      <c r="XAV163" s="20"/>
      <c r="XAW163" s="21"/>
      <c r="XAX163" s="21"/>
      <c r="XAY163" s="21"/>
      <c r="XAZ163" s="21"/>
      <c r="XBA163" s="21"/>
      <c r="XBB163" s="20"/>
      <c r="XBC163" s="20"/>
      <c r="XBD163" s="20"/>
      <c r="XBE163" s="20"/>
      <c r="XBF163" s="21"/>
      <c r="XBG163" s="21"/>
      <c r="XBH163" s="7"/>
      <c r="XBI163" s="7"/>
      <c r="XBJ163" s="21"/>
      <c r="XBK163" s="20"/>
      <c r="XBL163" s="20"/>
      <c r="XBM163" s="20"/>
      <c r="XBN163" s="21"/>
      <c r="XBO163" s="21"/>
      <c r="XBP163" s="21"/>
      <c r="XBQ163" s="21"/>
      <c r="XBR163" s="21"/>
      <c r="XBS163" s="20"/>
      <c r="XBT163" s="20"/>
      <c r="XBU163" s="20"/>
      <c r="XBV163" s="20"/>
      <c r="XBW163" s="21"/>
      <c r="XBX163" s="21"/>
      <c r="XBY163" s="7"/>
      <c r="XBZ163" s="7"/>
      <c r="XCA163" s="21"/>
      <c r="XCB163" s="20"/>
      <c r="XCC163" s="20"/>
      <c r="XCD163" s="20"/>
      <c r="XCE163" s="21"/>
      <c r="XCF163" s="21"/>
      <c r="XCG163" s="21"/>
      <c r="XCH163" s="21"/>
      <c r="XCI163" s="21"/>
      <c r="XCJ163" s="20"/>
      <c r="XCK163" s="20"/>
      <c r="XCL163" s="20"/>
      <c r="XCM163" s="20"/>
      <c r="XCN163" s="21"/>
      <c r="XCO163" s="21"/>
      <c r="XCP163" s="7"/>
      <c r="XCQ163" s="7"/>
      <c r="XCR163" s="21"/>
      <c r="XCS163" s="20"/>
      <c r="XCT163" s="20"/>
      <c r="XCU163" s="20"/>
      <c r="XCV163" s="21"/>
      <c r="XCW163" s="21"/>
      <c r="XCX163" s="21"/>
      <c r="XCY163" s="21"/>
      <c r="XCZ163" s="21"/>
      <c r="XDA163" s="20"/>
      <c r="XDB163" s="20"/>
      <c r="XDC163" s="20"/>
      <c r="XDD163" s="20"/>
      <c r="XDE163" s="21"/>
      <c r="XDF163" s="21"/>
      <c r="XDG163" s="7"/>
      <c r="XDH163" s="7"/>
      <c r="XDI163" s="21"/>
      <c r="XDJ163" s="20"/>
      <c r="XDK163" s="20"/>
      <c r="XDL163" s="20"/>
      <c r="XDM163" s="21"/>
      <c r="XDN163" s="21"/>
      <c r="XDO163" s="21"/>
      <c r="XDP163" s="21"/>
      <c r="XDQ163" s="21"/>
      <c r="XDR163" s="20"/>
      <c r="XDS163" s="20"/>
      <c r="XDT163" s="20"/>
      <c r="XDU163" s="20"/>
      <c r="XDV163" s="21"/>
      <c r="XDW163" s="21"/>
      <c r="XDX163" s="7"/>
      <c r="XDY163" s="7"/>
      <c r="XDZ163" s="21"/>
      <c r="XEA163" s="20"/>
      <c r="XEB163" s="20"/>
      <c r="XEC163" s="20"/>
      <c r="XED163" s="21"/>
      <c r="XEE163" s="21"/>
      <c r="XEF163" s="21"/>
      <c r="XEG163" s="21"/>
      <c r="XEH163" s="21"/>
      <c r="XEI163" s="20"/>
      <c r="XEJ163" s="20"/>
      <c r="XEK163" s="20"/>
      <c r="XEL163" s="20"/>
      <c r="XEM163" s="21"/>
      <c r="XEN163" s="21"/>
      <c r="XEO163" s="7"/>
      <c r="XEP163" s="7"/>
      <c r="XEQ163" s="21"/>
      <c r="XER163" s="20"/>
      <c r="XES163" s="20"/>
      <c r="XET163" s="20"/>
      <c r="XEU163" s="21"/>
      <c r="XEV163" s="21"/>
      <c r="XEW163" s="21"/>
      <c r="XEX163" s="21"/>
      <c r="XEY163" s="21"/>
      <c r="XEZ163" s="20"/>
      <c r="XFA163" s="20"/>
      <c r="XFB163" s="20"/>
      <c r="XFC163" s="20"/>
      <c r="XFD163" s="21"/>
    </row>
    <row r="164" spans="1:16384" s="3" customFormat="1" ht="14.25" customHeight="1" x14ac:dyDescent="0.25">
      <c r="A164" s="29">
        <v>0</v>
      </c>
      <c r="B164" s="29">
        <v>2</v>
      </c>
      <c r="C164" s="29">
        <v>2</v>
      </c>
      <c r="D164" s="30" t="s">
        <v>988</v>
      </c>
      <c r="E164" s="30" t="s">
        <v>985</v>
      </c>
      <c r="F164" s="30" t="s">
        <v>986</v>
      </c>
      <c r="G164" s="30" t="s">
        <v>137</v>
      </c>
      <c r="H164" s="30" t="s">
        <v>165</v>
      </c>
      <c r="I164" s="29" t="s">
        <v>987</v>
      </c>
      <c r="J164" s="29">
        <v>1</v>
      </c>
      <c r="K164" s="29" t="s">
        <v>377</v>
      </c>
      <c r="L164" s="29"/>
      <c r="M164" s="30"/>
      <c r="N164" s="30" t="s">
        <v>886</v>
      </c>
      <c r="O164" s="31">
        <v>1</v>
      </c>
      <c r="P164" s="31">
        <v>1</v>
      </c>
      <c r="Q164" s="30" t="s">
        <v>989</v>
      </c>
      <c r="R164" s="2"/>
      <c r="S164" s="2">
        <f t="shared" si="71"/>
        <v>1</v>
      </c>
      <c r="T164" s="2">
        <f t="shared" si="72"/>
        <v>0</v>
      </c>
      <c r="U164" s="2">
        <f t="shared" si="73"/>
        <v>0</v>
      </c>
      <c r="V164" s="2">
        <f t="shared" si="74"/>
        <v>0</v>
      </c>
      <c r="W164" s="2">
        <f t="shared" si="75"/>
        <v>0</v>
      </c>
      <c r="X164" s="2">
        <f t="shared" si="76"/>
        <v>0</v>
      </c>
      <c r="Y164" s="2">
        <f t="shared" si="77"/>
        <v>0</v>
      </c>
      <c r="Z164" s="2">
        <f t="shared" si="78"/>
        <v>0</v>
      </c>
      <c r="AA164" s="2">
        <f t="shared" si="79"/>
        <v>0</v>
      </c>
      <c r="AB164" s="2">
        <f t="shared" si="80"/>
        <v>0</v>
      </c>
      <c r="AC164" s="2"/>
      <c r="AD164" s="2">
        <f t="shared" si="81"/>
        <v>1</v>
      </c>
      <c r="AE164" s="2">
        <f t="shared" si="82"/>
        <v>0</v>
      </c>
      <c r="AF164" s="2">
        <f t="shared" si="83"/>
        <v>1</v>
      </c>
      <c r="AG164" s="2">
        <f t="shared" si="84"/>
        <v>0</v>
      </c>
      <c r="AH164" s="2">
        <f t="shared" si="85"/>
        <v>1</v>
      </c>
      <c r="AI164" s="2">
        <f t="shared" si="86"/>
        <v>0</v>
      </c>
    </row>
    <row r="165" spans="1:16384" s="3" customFormat="1" ht="14.25" customHeight="1" x14ac:dyDescent="0.25">
      <c r="A165" s="29">
        <v>0</v>
      </c>
      <c r="B165" s="29">
        <v>2</v>
      </c>
      <c r="C165" s="29">
        <v>2</v>
      </c>
      <c r="D165" s="30" t="s">
        <v>936</v>
      </c>
      <c r="E165" s="30" t="s">
        <v>469</v>
      </c>
      <c r="F165" s="30" t="s">
        <v>937</v>
      </c>
      <c r="G165" s="30" t="s">
        <v>96</v>
      </c>
      <c r="H165" s="30" t="s">
        <v>165</v>
      </c>
      <c r="I165" s="29" t="s">
        <v>938</v>
      </c>
      <c r="J165" s="29"/>
      <c r="K165" s="29" t="s">
        <v>377</v>
      </c>
      <c r="L165" s="29"/>
      <c r="M165" s="30"/>
      <c r="N165" s="30" t="s">
        <v>886</v>
      </c>
      <c r="O165" s="31">
        <v>1</v>
      </c>
      <c r="P165" s="31">
        <v>1</v>
      </c>
      <c r="Q165" s="30" t="s">
        <v>991</v>
      </c>
      <c r="R165" s="20"/>
      <c r="S165" s="2">
        <f t="shared" si="71"/>
        <v>0</v>
      </c>
      <c r="T165" s="2">
        <f t="shared" si="72"/>
        <v>0</v>
      </c>
      <c r="U165" s="2">
        <f t="shared" si="73"/>
        <v>0</v>
      </c>
      <c r="V165" s="2">
        <f t="shared" si="74"/>
        <v>0</v>
      </c>
      <c r="W165" s="2">
        <f t="shared" si="75"/>
        <v>0</v>
      </c>
      <c r="X165" s="2">
        <f t="shared" si="76"/>
        <v>0</v>
      </c>
      <c r="Y165" s="2">
        <f t="shared" si="77"/>
        <v>0</v>
      </c>
      <c r="Z165" s="2">
        <f t="shared" si="78"/>
        <v>0</v>
      </c>
      <c r="AA165" s="2">
        <f t="shared" si="79"/>
        <v>0</v>
      </c>
      <c r="AB165" s="2">
        <f t="shared" si="80"/>
        <v>0</v>
      </c>
      <c r="AC165" s="2"/>
      <c r="AD165" s="2">
        <f t="shared" si="81"/>
        <v>1</v>
      </c>
      <c r="AE165" s="2">
        <f t="shared" si="82"/>
        <v>0</v>
      </c>
      <c r="AF165" s="2">
        <f t="shared" si="83"/>
        <v>1</v>
      </c>
      <c r="AG165" s="2">
        <f t="shared" si="84"/>
        <v>0</v>
      </c>
      <c r="AH165" s="2">
        <f t="shared" si="85"/>
        <v>1</v>
      </c>
      <c r="AI165" s="2">
        <f t="shared" si="86"/>
        <v>0</v>
      </c>
      <c r="AJ165" s="20"/>
      <c r="AK165" s="20"/>
      <c r="AL165" s="21"/>
      <c r="AM165" s="21"/>
      <c r="AN165" s="21"/>
      <c r="AO165" s="21"/>
      <c r="AP165" s="21"/>
      <c r="AQ165" s="20"/>
      <c r="AR165" s="20"/>
      <c r="AS165" s="20"/>
      <c r="AT165" s="20"/>
      <c r="AU165" s="21"/>
      <c r="AV165" s="21"/>
      <c r="AW165" s="7"/>
      <c r="AX165" s="7"/>
      <c r="AY165" s="21"/>
      <c r="AZ165" s="20"/>
      <c r="BA165" s="20"/>
      <c r="BB165" s="20"/>
      <c r="BC165" s="21"/>
      <c r="BD165" s="21"/>
      <c r="BE165" s="21"/>
      <c r="BF165" s="21"/>
      <c r="BG165" s="21"/>
      <c r="BH165" s="20"/>
      <c r="BI165" s="20"/>
      <c r="BJ165" s="20"/>
      <c r="BK165" s="20"/>
      <c r="BL165" s="21"/>
      <c r="BM165" s="21"/>
      <c r="BN165" s="7"/>
      <c r="BO165" s="7"/>
      <c r="BP165" s="21"/>
      <c r="BQ165" s="20"/>
      <c r="BR165" s="20"/>
      <c r="BS165" s="20"/>
      <c r="BT165" s="21"/>
      <c r="BU165" s="21"/>
      <c r="BV165" s="21"/>
      <c r="BW165" s="21"/>
      <c r="BX165" s="21"/>
      <c r="BY165" s="20"/>
      <c r="BZ165" s="20"/>
      <c r="CA165" s="20"/>
      <c r="CB165" s="20"/>
      <c r="CC165" s="21"/>
      <c r="CD165" s="21"/>
      <c r="CE165" s="7"/>
      <c r="CF165" s="7"/>
      <c r="CG165" s="21"/>
      <c r="CH165" s="20"/>
      <c r="CI165" s="20"/>
      <c r="CJ165" s="20"/>
      <c r="CK165" s="21"/>
      <c r="CL165" s="21"/>
      <c r="CM165" s="21"/>
      <c r="CN165" s="21"/>
      <c r="CO165" s="21"/>
      <c r="CP165" s="20"/>
      <c r="CQ165" s="20"/>
      <c r="CR165" s="20"/>
      <c r="CS165" s="20"/>
      <c r="CT165" s="21"/>
      <c r="CU165" s="21"/>
      <c r="CV165" s="7"/>
      <c r="CW165" s="7"/>
      <c r="CX165" s="21"/>
      <c r="CY165" s="20"/>
      <c r="CZ165" s="20"/>
      <c r="DA165" s="20"/>
      <c r="DB165" s="21"/>
      <c r="DC165" s="21"/>
      <c r="DD165" s="21"/>
      <c r="DE165" s="21"/>
      <c r="DF165" s="21"/>
      <c r="DG165" s="20"/>
      <c r="DH165" s="20"/>
      <c r="DI165" s="20"/>
      <c r="DJ165" s="20"/>
      <c r="DK165" s="21"/>
      <c r="DL165" s="21"/>
      <c r="DM165" s="7"/>
      <c r="DN165" s="7"/>
      <c r="DO165" s="21"/>
      <c r="DP165" s="20"/>
      <c r="DQ165" s="20"/>
      <c r="DR165" s="20"/>
      <c r="DS165" s="21"/>
      <c r="DT165" s="21"/>
      <c r="DU165" s="21"/>
      <c r="DV165" s="21"/>
      <c r="DW165" s="21"/>
      <c r="DX165" s="20"/>
      <c r="DY165" s="20"/>
      <c r="DZ165" s="20"/>
      <c r="EA165" s="20"/>
      <c r="EB165" s="21"/>
      <c r="EC165" s="21"/>
      <c r="ED165" s="7"/>
      <c r="EE165" s="7"/>
      <c r="EF165" s="21"/>
      <c r="EG165" s="20"/>
      <c r="EH165" s="20"/>
      <c r="EI165" s="20"/>
      <c r="EJ165" s="21"/>
      <c r="EK165" s="21"/>
      <c r="EL165" s="21"/>
      <c r="EM165" s="21"/>
      <c r="EN165" s="21"/>
      <c r="EO165" s="20"/>
      <c r="EP165" s="20"/>
      <c r="EQ165" s="20"/>
      <c r="ER165" s="20"/>
      <c r="ES165" s="21"/>
      <c r="ET165" s="21"/>
      <c r="EU165" s="7"/>
      <c r="EV165" s="7"/>
      <c r="EW165" s="21"/>
      <c r="EX165" s="20"/>
      <c r="EY165" s="20"/>
      <c r="EZ165" s="20"/>
      <c r="FA165" s="21"/>
      <c r="FB165" s="21"/>
      <c r="FC165" s="21"/>
      <c r="FD165" s="21"/>
      <c r="FE165" s="21"/>
      <c r="FF165" s="20"/>
      <c r="FG165" s="20"/>
      <c r="FH165" s="20"/>
      <c r="FI165" s="20"/>
      <c r="FJ165" s="21"/>
      <c r="FK165" s="21"/>
      <c r="FL165" s="7"/>
      <c r="FM165" s="7"/>
      <c r="FN165" s="21"/>
      <c r="FO165" s="20"/>
      <c r="FP165" s="20"/>
      <c r="FQ165" s="20"/>
      <c r="FR165" s="21"/>
      <c r="FS165" s="21"/>
      <c r="FT165" s="21"/>
      <c r="FU165" s="21"/>
      <c r="FV165" s="21"/>
      <c r="FW165" s="20"/>
      <c r="FX165" s="20"/>
      <c r="FY165" s="20"/>
      <c r="FZ165" s="20"/>
      <c r="GA165" s="21"/>
      <c r="GB165" s="21"/>
      <c r="GC165" s="7"/>
      <c r="GD165" s="7"/>
      <c r="GE165" s="21"/>
      <c r="GF165" s="20"/>
      <c r="GG165" s="20"/>
      <c r="GH165" s="20"/>
      <c r="GI165" s="21"/>
      <c r="GJ165" s="21"/>
      <c r="GK165" s="21"/>
      <c r="GL165" s="21"/>
      <c r="GM165" s="21"/>
      <c r="GN165" s="20"/>
      <c r="GO165" s="20"/>
      <c r="GP165" s="20"/>
      <c r="GQ165" s="20"/>
      <c r="GR165" s="21"/>
      <c r="GS165" s="21"/>
      <c r="GT165" s="7"/>
      <c r="GU165" s="7"/>
      <c r="GV165" s="21"/>
      <c r="GW165" s="20"/>
      <c r="GX165" s="20"/>
      <c r="GY165" s="20"/>
      <c r="GZ165" s="21"/>
      <c r="HA165" s="21"/>
      <c r="HB165" s="21"/>
      <c r="HC165" s="21"/>
      <c r="HD165" s="21"/>
      <c r="HE165" s="20"/>
      <c r="HF165" s="20"/>
      <c r="HG165" s="20"/>
      <c r="HH165" s="20"/>
      <c r="HI165" s="21"/>
      <c r="HJ165" s="21"/>
      <c r="HK165" s="7"/>
      <c r="HL165" s="7"/>
      <c r="HM165" s="21"/>
      <c r="HN165" s="20"/>
      <c r="HO165" s="20"/>
      <c r="HP165" s="20"/>
      <c r="HQ165" s="21"/>
      <c r="HR165" s="21"/>
      <c r="HS165" s="21"/>
      <c r="HT165" s="21"/>
      <c r="HU165" s="21"/>
      <c r="HV165" s="20"/>
      <c r="HW165" s="20"/>
      <c r="HX165" s="20"/>
      <c r="HY165" s="20"/>
      <c r="HZ165" s="21"/>
      <c r="IA165" s="21"/>
      <c r="IB165" s="7"/>
      <c r="IC165" s="7"/>
      <c r="ID165" s="21"/>
      <c r="IE165" s="20"/>
      <c r="IF165" s="20"/>
      <c r="IG165" s="20"/>
      <c r="IH165" s="21"/>
      <c r="II165" s="21"/>
      <c r="IJ165" s="21"/>
      <c r="IK165" s="21"/>
      <c r="IL165" s="21"/>
      <c r="IM165" s="20"/>
      <c r="IN165" s="20"/>
      <c r="IO165" s="20"/>
      <c r="IP165" s="20"/>
      <c r="IQ165" s="21"/>
      <c r="IR165" s="21"/>
      <c r="IS165" s="7"/>
      <c r="IT165" s="7"/>
      <c r="IU165" s="21"/>
      <c r="IV165" s="20"/>
      <c r="IW165" s="20"/>
      <c r="IX165" s="20"/>
      <c r="IY165" s="21"/>
      <c r="IZ165" s="21"/>
      <c r="JA165" s="21"/>
      <c r="JB165" s="21"/>
      <c r="JC165" s="21"/>
      <c r="JD165" s="20"/>
      <c r="JE165" s="20"/>
      <c r="JF165" s="20"/>
      <c r="JG165" s="20"/>
      <c r="JH165" s="21"/>
      <c r="JI165" s="21"/>
      <c r="JJ165" s="7"/>
      <c r="JK165" s="7"/>
      <c r="JL165" s="21"/>
      <c r="JM165" s="20"/>
      <c r="JN165" s="20"/>
      <c r="JO165" s="20"/>
      <c r="JP165" s="21"/>
      <c r="JQ165" s="21"/>
      <c r="JR165" s="21"/>
      <c r="JS165" s="21"/>
      <c r="JT165" s="21"/>
      <c r="JU165" s="20"/>
      <c r="JV165" s="20"/>
      <c r="JW165" s="20"/>
      <c r="JX165" s="20"/>
      <c r="JY165" s="21"/>
      <c r="JZ165" s="21"/>
      <c r="KA165" s="7"/>
      <c r="KB165" s="7"/>
      <c r="KC165" s="21"/>
      <c r="KD165" s="20"/>
      <c r="KE165" s="20"/>
      <c r="KF165" s="20"/>
      <c r="KG165" s="21"/>
      <c r="KH165" s="21"/>
      <c r="KI165" s="21"/>
      <c r="KJ165" s="21"/>
      <c r="KK165" s="21"/>
      <c r="KL165" s="20"/>
      <c r="KM165" s="20"/>
      <c r="KN165" s="20"/>
      <c r="KO165" s="20"/>
      <c r="KP165" s="21"/>
      <c r="KQ165" s="21"/>
      <c r="KR165" s="7"/>
      <c r="KS165" s="7"/>
      <c r="KT165" s="21"/>
      <c r="KU165" s="20"/>
      <c r="KV165" s="20"/>
      <c r="KW165" s="20"/>
      <c r="KX165" s="21"/>
      <c r="KY165" s="21"/>
      <c r="KZ165" s="21"/>
      <c r="LA165" s="21"/>
      <c r="LB165" s="21"/>
      <c r="LC165" s="20"/>
      <c r="LD165" s="20"/>
      <c r="LE165" s="20"/>
      <c r="LF165" s="20"/>
      <c r="LG165" s="21"/>
      <c r="LH165" s="21"/>
      <c r="LI165" s="7"/>
      <c r="LJ165" s="7"/>
      <c r="LK165" s="21"/>
      <c r="LL165" s="20"/>
      <c r="LM165" s="20"/>
      <c r="LN165" s="20"/>
      <c r="LO165" s="21"/>
      <c r="LP165" s="21"/>
      <c r="LQ165" s="21"/>
      <c r="LR165" s="21"/>
      <c r="LS165" s="21"/>
      <c r="LT165" s="20"/>
      <c r="LU165" s="20"/>
      <c r="LV165" s="20"/>
      <c r="LW165" s="20"/>
      <c r="LX165" s="21"/>
      <c r="LY165" s="21"/>
      <c r="LZ165" s="7"/>
      <c r="MA165" s="7"/>
      <c r="MB165" s="21"/>
      <c r="MC165" s="20"/>
      <c r="MD165" s="20"/>
      <c r="ME165" s="20"/>
      <c r="MF165" s="21"/>
      <c r="MG165" s="21"/>
      <c r="MH165" s="21"/>
      <c r="MI165" s="21"/>
      <c r="MJ165" s="21"/>
      <c r="MK165" s="20"/>
      <c r="ML165" s="20"/>
      <c r="MM165" s="20"/>
      <c r="MN165" s="20"/>
      <c r="MO165" s="21"/>
      <c r="MP165" s="21"/>
      <c r="MQ165" s="7"/>
      <c r="MR165" s="7"/>
      <c r="MS165" s="21"/>
      <c r="MT165" s="20"/>
      <c r="MU165" s="20"/>
      <c r="MV165" s="20"/>
      <c r="MW165" s="21"/>
      <c r="MX165" s="21"/>
      <c r="MY165" s="21"/>
      <c r="MZ165" s="21"/>
      <c r="NA165" s="21"/>
      <c r="NB165" s="20"/>
      <c r="NC165" s="20"/>
      <c r="ND165" s="20"/>
      <c r="NE165" s="20"/>
      <c r="NF165" s="21"/>
      <c r="NG165" s="21"/>
      <c r="NH165" s="7"/>
      <c r="NI165" s="7"/>
      <c r="NJ165" s="21"/>
      <c r="NK165" s="20"/>
      <c r="NL165" s="20"/>
      <c r="NM165" s="20"/>
      <c r="NN165" s="21"/>
      <c r="NO165" s="21"/>
      <c r="NP165" s="21"/>
      <c r="NQ165" s="21"/>
      <c r="NR165" s="21"/>
      <c r="NS165" s="20"/>
      <c r="NT165" s="20"/>
      <c r="NU165" s="20"/>
      <c r="NV165" s="20"/>
      <c r="NW165" s="21"/>
      <c r="NX165" s="21"/>
      <c r="NY165" s="7"/>
      <c r="NZ165" s="7"/>
      <c r="OA165" s="21"/>
      <c r="OB165" s="20"/>
      <c r="OC165" s="20"/>
      <c r="OD165" s="20"/>
      <c r="OE165" s="21"/>
      <c r="OF165" s="21"/>
      <c r="OG165" s="21"/>
      <c r="OH165" s="21"/>
      <c r="OI165" s="21"/>
      <c r="OJ165" s="20"/>
      <c r="OK165" s="20"/>
      <c r="OL165" s="20"/>
      <c r="OM165" s="20"/>
      <c r="ON165" s="21"/>
      <c r="OO165" s="21"/>
      <c r="OP165" s="7"/>
      <c r="OQ165" s="7"/>
      <c r="OR165" s="21"/>
      <c r="OS165" s="20"/>
      <c r="OT165" s="20"/>
      <c r="OU165" s="20"/>
      <c r="OV165" s="21"/>
      <c r="OW165" s="21"/>
      <c r="OX165" s="21"/>
      <c r="OY165" s="21"/>
      <c r="OZ165" s="21"/>
      <c r="PA165" s="20"/>
      <c r="PB165" s="20"/>
      <c r="PC165" s="20"/>
      <c r="PD165" s="20"/>
      <c r="PE165" s="21"/>
      <c r="PF165" s="21"/>
      <c r="PG165" s="7"/>
      <c r="PH165" s="7"/>
      <c r="PI165" s="21"/>
      <c r="PJ165" s="20"/>
      <c r="PK165" s="20"/>
      <c r="PL165" s="20"/>
      <c r="PM165" s="21"/>
      <c r="PN165" s="21"/>
      <c r="PO165" s="21"/>
      <c r="PP165" s="21"/>
      <c r="PQ165" s="21"/>
      <c r="PR165" s="20"/>
      <c r="PS165" s="20"/>
      <c r="PT165" s="20"/>
      <c r="PU165" s="20"/>
      <c r="PV165" s="21"/>
      <c r="PW165" s="21"/>
      <c r="PX165" s="7"/>
      <c r="PY165" s="7"/>
      <c r="PZ165" s="21"/>
      <c r="QA165" s="20"/>
      <c r="QB165" s="20"/>
      <c r="QC165" s="20"/>
      <c r="QD165" s="21"/>
      <c r="QE165" s="21"/>
      <c r="QF165" s="21"/>
      <c r="QG165" s="21"/>
      <c r="QH165" s="21"/>
      <c r="QI165" s="20"/>
      <c r="QJ165" s="20"/>
      <c r="QK165" s="20"/>
      <c r="QL165" s="20"/>
      <c r="QM165" s="21"/>
      <c r="QN165" s="21"/>
      <c r="QO165" s="7"/>
      <c r="QP165" s="7"/>
      <c r="QQ165" s="21"/>
      <c r="QR165" s="20"/>
      <c r="QS165" s="20"/>
      <c r="QT165" s="20"/>
      <c r="QU165" s="21"/>
      <c r="QV165" s="21"/>
      <c r="QW165" s="21"/>
      <c r="QX165" s="21"/>
      <c r="QY165" s="21"/>
      <c r="QZ165" s="20"/>
      <c r="RA165" s="20"/>
      <c r="RB165" s="20"/>
      <c r="RC165" s="20"/>
      <c r="RD165" s="21"/>
      <c r="RE165" s="21"/>
      <c r="RF165" s="7"/>
      <c r="RG165" s="7"/>
      <c r="RH165" s="21"/>
      <c r="RI165" s="20"/>
      <c r="RJ165" s="20"/>
      <c r="RK165" s="20"/>
      <c r="RL165" s="21"/>
      <c r="RM165" s="21"/>
      <c r="RN165" s="21"/>
      <c r="RO165" s="21"/>
      <c r="RP165" s="21"/>
      <c r="RQ165" s="20"/>
      <c r="RR165" s="20"/>
      <c r="RS165" s="20"/>
      <c r="RT165" s="20"/>
      <c r="RU165" s="21"/>
      <c r="RV165" s="21"/>
      <c r="RW165" s="7"/>
      <c r="RX165" s="7"/>
      <c r="RY165" s="21"/>
      <c r="RZ165" s="20"/>
      <c r="SA165" s="20"/>
      <c r="SB165" s="20"/>
      <c r="SC165" s="21"/>
      <c r="SD165" s="21"/>
      <c r="SE165" s="21"/>
      <c r="SF165" s="21"/>
      <c r="SG165" s="21"/>
      <c r="SH165" s="20"/>
      <c r="SI165" s="20"/>
      <c r="SJ165" s="20"/>
      <c r="SK165" s="20"/>
      <c r="SL165" s="21"/>
      <c r="SM165" s="21"/>
      <c r="SN165" s="7"/>
      <c r="SO165" s="7"/>
      <c r="SP165" s="21"/>
      <c r="SQ165" s="20"/>
      <c r="SR165" s="20"/>
      <c r="SS165" s="20"/>
      <c r="ST165" s="21"/>
      <c r="SU165" s="21"/>
      <c r="SV165" s="21"/>
      <c r="SW165" s="21"/>
      <c r="SX165" s="21"/>
      <c r="SY165" s="20"/>
      <c r="SZ165" s="20"/>
      <c r="TA165" s="20"/>
      <c r="TB165" s="20"/>
      <c r="TC165" s="21"/>
      <c r="TD165" s="21"/>
      <c r="TE165" s="7"/>
      <c r="TF165" s="7"/>
      <c r="TG165" s="21"/>
      <c r="TH165" s="20"/>
      <c r="TI165" s="20"/>
      <c r="TJ165" s="20"/>
      <c r="TK165" s="21"/>
      <c r="TL165" s="21"/>
      <c r="TM165" s="21"/>
      <c r="TN165" s="21"/>
      <c r="TO165" s="21"/>
      <c r="TP165" s="20"/>
      <c r="TQ165" s="20"/>
      <c r="TR165" s="20"/>
      <c r="TS165" s="20"/>
      <c r="TT165" s="21"/>
      <c r="TU165" s="21"/>
      <c r="TV165" s="7"/>
      <c r="TW165" s="7"/>
      <c r="TX165" s="21"/>
      <c r="TY165" s="20"/>
      <c r="TZ165" s="20"/>
      <c r="UA165" s="20"/>
      <c r="UB165" s="21"/>
      <c r="UC165" s="21"/>
      <c r="UD165" s="21"/>
      <c r="UE165" s="21"/>
      <c r="UF165" s="21"/>
      <c r="UG165" s="20"/>
      <c r="UH165" s="20"/>
      <c r="UI165" s="20"/>
      <c r="UJ165" s="20"/>
      <c r="UK165" s="21"/>
      <c r="UL165" s="21"/>
      <c r="UM165" s="7"/>
      <c r="UN165" s="7"/>
      <c r="UO165" s="21"/>
      <c r="UP165" s="20"/>
      <c r="UQ165" s="20"/>
      <c r="UR165" s="20"/>
      <c r="US165" s="21"/>
      <c r="UT165" s="21"/>
      <c r="UU165" s="21"/>
      <c r="UV165" s="21"/>
      <c r="UW165" s="21"/>
      <c r="UX165" s="20"/>
      <c r="UY165" s="20"/>
      <c r="UZ165" s="20"/>
      <c r="VA165" s="20"/>
      <c r="VB165" s="21"/>
      <c r="VC165" s="21"/>
      <c r="VD165" s="7"/>
      <c r="VE165" s="7"/>
      <c r="VF165" s="21"/>
      <c r="VG165" s="20"/>
      <c r="VH165" s="20"/>
      <c r="VI165" s="20"/>
      <c r="VJ165" s="21"/>
      <c r="VK165" s="21"/>
      <c r="VL165" s="21"/>
      <c r="VM165" s="21"/>
      <c r="VN165" s="21"/>
      <c r="VO165" s="20"/>
      <c r="VP165" s="20"/>
      <c r="VQ165" s="20"/>
      <c r="VR165" s="20"/>
      <c r="VS165" s="21"/>
      <c r="VT165" s="21"/>
      <c r="VU165" s="7"/>
      <c r="VV165" s="7"/>
      <c r="VW165" s="21"/>
      <c r="VX165" s="20"/>
      <c r="VY165" s="20"/>
      <c r="VZ165" s="20"/>
      <c r="WA165" s="21"/>
      <c r="WB165" s="21"/>
      <c r="WC165" s="21"/>
      <c r="WD165" s="21"/>
      <c r="WE165" s="21"/>
      <c r="WF165" s="20"/>
      <c r="WG165" s="20"/>
      <c r="WH165" s="20"/>
      <c r="WI165" s="20"/>
      <c r="WJ165" s="21"/>
      <c r="WK165" s="21"/>
      <c r="WL165" s="7"/>
      <c r="WM165" s="7"/>
      <c r="WN165" s="21"/>
      <c r="WO165" s="20"/>
      <c r="WP165" s="20"/>
      <c r="WQ165" s="20"/>
      <c r="WR165" s="21"/>
      <c r="WS165" s="21"/>
      <c r="WT165" s="21"/>
      <c r="WU165" s="21"/>
      <c r="WV165" s="21"/>
      <c r="WW165" s="20"/>
      <c r="WX165" s="20"/>
      <c r="WY165" s="20"/>
      <c r="WZ165" s="20"/>
      <c r="XA165" s="21"/>
      <c r="XB165" s="21"/>
      <c r="XC165" s="7"/>
      <c r="XD165" s="7"/>
      <c r="XE165" s="21"/>
      <c r="XF165" s="20"/>
      <c r="XG165" s="20"/>
      <c r="XH165" s="20"/>
      <c r="XI165" s="21"/>
      <c r="XJ165" s="21"/>
      <c r="XK165" s="21"/>
      <c r="XL165" s="21"/>
      <c r="XM165" s="21"/>
      <c r="XN165" s="20"/>
      <c r="XO165" s="20"/>
      <c r="XP165" s="20"/>
      <c r="XQ165" s="20"/>
      <c r="XR165" s="21"/>
      <c r="XS165" s="21"/>
      <c r="XT165" s="7"/>
      <c r="XU165" s="7"/>
      <c r="XV165" s="21"/>
      <c r="XW165" s="20"/>
      <c r="XX165" s="20"/>
      <c r="XY165" s="20"/>
      <c r="XZ165" s="21"/>
      <c r="YA165" s="21"/>
      <c r="YB165" s="21"/>
      <c r="YC165" s="21"/>
      <c r="YD165" s="21"/>
      <c r="YE165" s="20"/>
      <c r="YF165" s="20"/>
      <c r="YG165" s="20"/>
      <c r="YH165" s="20"/>
      <c r="YI165" s="21"/>
      <c r="YJ165" s="21"/>
      <c r="YK165" s="7"/>
      <c r="YL165" s="7"/>
      <c r="YM165" s="21"/>
      <c r="YN165" s="20"/>
      <c r="YO165" s="20"/>
      <c r="YP165" s="20"/>
      <c r="YQ165" s="21"/>
      <c r="YR165" s="21"/>
      <c r="YS165" s="21"/>
      <c r="YT165" s="21"/>
      <c r="YU165" s="21"/>
      <c r="YV165" s="20"/>
      <c r="YW165" s="20"/>
      <c r="YX165" s="20"/>
      <c r="YY165" s="20"/>
      <c r="YZ165" s="21"/>
      <c r="ZA165" s="21"/>
      <c r="ZB165" s="7"/>
      <c r="ZC165" s="7"/>
      <c r="ZD165" s="21"/>
      <c r="ZE165" s="20"/>
      <c r="ZF165" s="20"/>
      <c r="ZG165" s="20"/>
      <c r="ZH165" s="21"/>
      <c r="ZI165" s="21"/>
      <c r="ZJ165" s="21"/>
      <c r="ZK165" s="21"/>
      <c r="ZL165" s="21"/>
      <c r="ZM165" s="20"/>
      <c r="ZN165" s="20"/>
      <c r="ZO165" s="20"/>
      <c r="ZP165" s="20"/>
      <c r="ZQ165" s="21"/>
      <c r="ZR165" s="21"/>
      <c r="ZS165" s="7"/>
      <c r="ZT165" s="7"/>
      <c r="ZU165" s="21"/>
      <c r="ZV165" s="20"/>
      <c r="ZW165" s="20"/>
      <c r="ZX165" s="20"/>
      <c r="ZY165" s="21"/>
      <c r="ZZ165" s="21"/>
      <c r="AAA165" s="21"/>
      <c r="AAB165" s="21"/>
      <c r="AAC165" s="21"/>
      <c r="AAD165" s="20"/>
      <c r="AAE165" s="20"/>
      <c r="AAF165" s="20"/>
      <c r="AAG165" s="20"/>
      <c r="AAH165" s="21"/>
      <c r="AAI165" s="21"/>
      <c r="AAJ165" s="7"/>
      <c r="AAK165" s="7"/>
      <c r="AAL165" s="21"/>
      <c r="AAM165" s="20"/>
      <c r="AAN165" s="20"/>
      <c r="AAO165" s="20"/>
      <c r="AAP165" s="21"/>
      <c r="AAQ165" s="21"/>
      <c r="AAR165" s="21"/>
      <c r="AAS165" s="21"/>
      <c r="AAT165" s="21"/>
      <c r="AAU165" s="20"/>
      <c r="AAV165" s="20"/>
      <c r="AAW165" s="20"/>
      <c r="AAX165" s="20"/>
      <c r="AAY165" s="21"/>
      <c r="AAZ165" s="21"/>
      <c r="ABA165" s="7"/>
      <c r="ABB165" s="7"/>
      <c r="ABC165" s="21"/>
      <c r="ABD165" s="20"/>
      <c r="ABE165" s="20"/>
      <c r="ABF165" s="20"/>
      <c r="ABG165" s="21"/>
      <c r="ABH165" s="21"/>
      <c r="ABI165" s="21"/>
      <c r="ABJ165" s="21"/>
      <c r="ABK165" s="21"/>
      <c r="ABL165" s="20"/>
      <c r="ABM165" s="20"/>
      <c r="ABN165" s="20"/>
      <c r="ABO165" s="20"/>
      <c r="ABP165" s="21"/>
      <c r="ABQ165" s="21"/>
      <c r="ABR165" s="7"/>
      <c r="ABS165" s="7"/>
      <c r="ABT165" s="21"/>
      <c r="ABU165" s="20"/>
      <c r="ABV165" s="20"/>
      <c r="ABW165" s="20"/>
      <c r="ABX165" s="21"/>
      <c r="ABY165" s="21"/>
      <c r="ABZ165" s="21"/>
      <c r="ACA165" s="21"/>
      <c r="ACB165" s="21"/>
      <c r="ACC165" s="20"/>
      <c r="ACD165" s="20"/>
      <c r="ACE165" s="20"/>
      <c r="ACF165" s="20"/>
      <c r="ACG165" s="21"/>
      <c r="ACH165" s="21"/>
      <c r="ACI165" s="7"/>
      <c r="ACJ165" s="7"/>
      <c r="ACK165" s="21"/>
      <c r="ACL165" s="20"/>
      <c r="ACM165" s="20"/>
      <c r="ACN165" s="20"/>
      <c r="ACO165" s="21"/>
      <c r="ACP165" s="21"/>
      <c r="ACQ165" s="21"/>
      <c r="ACR165" s="21"/>
      <c r="ACS165" s="21"/>
      <c r="ACT165" s="20"/>
      <c r="ACU165" s="20"/>
      <c r="ACV165" s="20"/>
      <c r="ACW165" s="20"/>
      <c r="ACX165" s="21"/>
      <c r="ACY165" s="21"/>
      <c r="ACZ165" s="7"/>
      <c r="ADA165" s="7"/>
      <c r="ADB165" s="21"/>
      <c r="ADC165" s="20"/>
      <c r="ADD165" s="20"/>
      <c r="ADE165" s="20"/>
      <c r="ADF165" s="21"/>
      <c r="ADG165" s="21"/>
      <c r="ADH165" s="21"/>
      <c r="ADI165" s="21"/>
      <c r="ADJ165" s="21"/>
      <c r="ADK165" s="20"/>
      <c r="ADL165" s="20"/>
      <c r="ADM165" s="20"/>
      <c r="ADN165" s="20"/>
      <c r="ADO165" s="21"/>
      <c r="ADP165" s="21"/>
      <c r="ADQ165" s="7"/>
      <c r="ADR165" s="7"/>
      <c r="ADS165" s="21"/>
      <c r="ADT165" s="20"/>
      <c r="ADU165" s="20"/>
      <c r="ADV165" s="20"/>
      <c r="ADW165" s="21"/>
      <c r="ADX165" s="21"/>
      <c r="ADY165" s="21"/>
      <c r="ADZ165" s="21"/>
      <c r="AEA165" s="21"/>
      <c r="AEB165" s="20"/>
      <c r="AEC165" s="20"/>
      <c r="AED165" s="20"/>
      <c r="AEE165" s="20"/>
      <c r="AEF165" s="21"/>
      <c r="AEG165" s="21"/>
      <c r="AEH165" s="7"/>
      <c r="AEI165" s="7"/>
      <c r="AEJ165" s="21"/>
      <c r="AEK165" s="20"/>
      <c r="AEL165" s="20"/>
      <c r="AEM165" s="20"/>
      <c r="AEN165" s="21"/>
      <c r="AEO165" s="21"/>
      <c r="AEP165" s="21"/>
      <c r="AEQ165" s="21"/>
      <c r="AER165" s="21"/>
      <c r="AES165" s="20"/>
      <c r="AET165" s="20"/>
      <c r="AEU165" s="20"/>
      <c r="AEV165" s="20"/>
      <c r="AEW165" s="21"/>
      <c r="AEX165" s="21"/>
      <c r="AEY165" s="7"/>
      <c r="AEZ165" s="7"/>
      <c r="AFA165" s="21"/>
      <c r="AFB165" s="20"/>
      <c r="AFC165" s="20"/>
      <c r="AFD165" s="20"/>
      <c r="AFE165" s="21"/>
      <c r="AFF165" s="21"/>
      <c r="AFG165" s="21"/>
      <c r="AFH165" s="21"/>
      <c r="AFI165" s="21"/>
      <c r="AFJ165" s="20"/>
      <c r="AFK165" s="20"/>
      <c r="AFL165" s="20"/>
      <c r="AFM165" s="20"/>
      <c r="AFN165" s="21"/>
      <c r="AFO165" s="21"/>
      <c r="AFP165" s="7"/>
      <c r="AFQ165" s="7"/>
      <c r="AFR165" s="21"/>
      <c r="AFS165" s="20"/>
      <c r="AFT165" s="20"/>
      <c r="AFU165" s="20"/>
      <c r="AFV165" s="21"/>
      <c r="AFW165" s="21"/>
      <c r="AFX165" s="21"/>
      <c r="AFY165" s="21"/>
      <c r="AFZ165" s="21"/>
      <c r="AGA165" s="20"/>
      <c r="AGB165" s="20"/>
      <c r="AGC165" s="20"/>
      <c r="AGD165" s="20"/>
      <c r="AGE165" s="21"/>
      <c r="AGF165" s="21"/>
      <c r="AGG165" s="7"/>
      <c r="AGH165" s="7"/>
      <c r="AGI165" s="21"/>
      <c r="AGJ165" s="20"/>
      <c r="AGK165" s="20"/>
      <c r="AGL165" s="20"/>
      <c r="AGM165" s="21"/>
      <c r="AGN165" s="21"/>
      <c r="AGO165" s="21"/>
      <c r="AGP165" s="21"/>
      <c r="AGQ165" s="21"/>
      <c r="AGR165" s="20"/>
      <c r="AGS165" s="20"/>
      <c r="AGT165" s="20"/>
      <c r="AGU165" s="20"/>
      <c r="AGV165" s="21"/>
      <c r="AGW165" s="21"/>
      <c r="AGX165" s="7"/>
      <c r="AGY165" s="7"/>
      <c r="AGZ165" s="21"/>
      <c r="AHA165" s="20"/>
      <c r="AHB165" s="20"/>
      <c r="AHC165" s="20"/>
      <c r="AHD165" s="21"/>
      <c r="AHE165" s="21"/>
      <c r="AHF165" s="21"/>
      <c r="AHG165" s="21"/>
      <c r="AHH165" s="21"/>
      <c r="AHI165" s="20"/>
      <c r="AHJ165" s="20"/>
      <c r="AHK165" s="20"/>
      <c r="AHL165" s="20"/>
      <c r="AHM165" s="21"/>
      <c r="AHN165" s="21"/>
      <c r="AHO165" s="7"/>
      <c r="AHP165" s="7"/>
      <c r="AHQ165" s="21"/>
      <c r="AHR165" s="20"/>
      <c r="AHS165" s="20"/>
      <c r="AHT165" s="20"/>
      <c r="AHU165" s="21"/>
      <c r="AHV165" s="21"/>
      <c r="AHW165" s="21"/>
      <c r="AHX165" s="21"/>
      <c r="AHY165" s="21"/>
      <c r="AHZ165" s="20"/>
      <c r="AIA165" s="20"/>
      <c r="AIB165" s="20"/>
      <c r="AIC165" s="20"/>
      <c r="AID165" s="21"/>
      <c r="AIE165" s="21"/>
      <c r="AIF165" s="7"/>
      <c r="AIG165" s="7"/>
      <c r="AIH165" s="21"/>
      <c r="AII165" s="20"/>
      <c r="AIJ165" s="20"/>
      <c r="AIK165" s="20"/>
      <c r="AIL165" s="21"/>
      <c r="AIM165" s="21"/>
      <c r="AIN165" s="21"/>
      <c r="AIO165" s="21"/>
      <c r="AIP165" s="21"/>
      <c r="AIQ165" s="20"/>
      <c r="AIR165" s="20"/>
      <c r="AIS165" s="20"/>
      <c r="AIT165" s="20"/>
      <c r="AIU165" s="21"/>
      <c r="AIV165" s="21"/>
      <c r="AIW165" s="7"/>
      <c r="AIX165" s="7"/>
      <c r="AIY165" s="21"/>
      <c r="AIZ165" s="20"/>
      <c r="AJA165" s="20"/>
      <c r="AJB165" s="20"/>
      <c r="AJC165" s="21"/>
      <c r="AJD165" s="21"/>
      <c r="AJE165" s="21"/>
      <c r="AJF165" s="21"/>
      <c r="AJG165" s="21"/>
      <c r="AJH165" s="20"/>
      <c r="AJI165" s="20"/>
      <c r="AJJ165" s="20"/>
      <c r="AJK165" s="20"/>
      <c r="AJL165" s="21"/>
      <c r="AJM165" s="21"/>
      <c r="AJN165" s="7"/>
      <c r="AJO165" s="7"/>
      <c r="AJP165" s="21"/>
      <c r="AJQ165" s="20"/>
      <c r="AJR165" s="20"/>
      <c r="AJS165" s="20"/>
      <c r="AJT165" s="21"/>
      <c r="AJU165" s="21"/>
      <c r="AJV165" s="21"/>
      <c r="AJW165" s="21"/>
      <c r="AJX165" s="21"/>
      <c r="AJY165" s="20"/>
      <c r="AJZ165" s="20"/>
      <c r="AKA165" s="20"/>
      <c r="AKB165" s="20"/>
      <c r="AKC165" s="21"/>
      <c r="AKD165" s="21"/>
      <c r="AKE165" s="7"/>
      <c r="AKF165" s="7"/>
      <c r="AKG165" s="21"/>
      <c r="AKH165" s="20"/>
      <c r="AKI165" s="20"/>
      <c r="AKJ165" s="20"/>
      <c r="AKK165" s="21"/>
      <c r="AKL165" s="21"/>
      <c r="AKM165" s="21"/>
      <c r="AKN165" s="21"/>
      <c r="AKO165" s="21"/>
      <c r="AKP165" s="20"/>
      <c r="AKQ165" s="20"/>
      <c r="AKR165" s="20"/>
      <c r="AKS165" s="20"/>
      <c r="AKT165" s="21"/>
      <c r="AKU165" s="21"/>
      <c r="AKV165" s="7"/>
      <c r="AKW165" s="7"/>
      <c r="AKX165" s="21"/>
      <c r="AKY165" s="20"/>
      <c r="AKZ165" s="20"/>
      <c r="ALA165" s="20"/>
      <c r="ALB165" s="21"/>
      <c r="ALC165" s="21"/>
      <c r="ALD165" s="21"/>
      <c r="ALE165" s="21"/>
      <c r="ALF165" s="21"/>
      <c r="ALG165" s="20"/>
      <c r="ALH165" s="20"/>
      <c r="ALI165" s="20"/>
      <c r="ALJ165" s="20"/>
      <c r="ALK165" s="21"/>
      <c r="ALL165" s="21"/>
      <c r="ALM165" s="7"/>
      <c r="ALN165" s="7"/>
      <c r="ALO165" s="21"/>
      <c r="ALP165" s="20"/>
      <c r="ALQ165" s="20"/>
      <c r="ALR165" s="20"/>
      <c r="ALS165" s="21"/>
      <c r="ALT165" s="21"/>
      <c r="ALU165" s="21"/>
      <c r="ALV165" s="21"/>
      <c r="ALW165" s="21"/>
      <c r="ALX165" s="20"/>
      <c r="ALY165" s="20"/>
      <c r="ALZ165" s="20"/>
      <c r="AMA165" s="20"/>
      <c r="AMB165" s="21"/>
      <c r="AMC165" s="21"/>
      <c r="AMD165" s="7"/>
      <c r="AME165" s="7"/>
      <c r="AMF165" s="21"/>
      <c r="AMG165" s="20"/>
      <c r="AMH165" s="20"/>
      <c r="AMI165" s="20"/>
      <c r="AMJ165" s="21"/>
      <c r="AMK165" s="21"/>
      <c r="AML165" s="21"/>
      <c r="AMM165" s="21"/>
      <c r="AMN165" s="21"/>
      <c r="AMO165" s="20"/>
      <c r="AMP165" s="20"/>
      <c r="AMQ165" s="20"/>
      <c r="AMR165" s="20"/>
      <c r="AMS165" s="21"/>
      <c r="AMT165" s="21"/>
      <c r="AMU165" s="7"/>
      <c r="AMV165" s="7"/>
      <c r="AMW165" s="21"/>
      <c r="AMX165" s="20"/>
      <c r="AMY165" s="20"/>
      <c r="AMZ165" s="20"/>
      <c r="ANA165" s="21"/>
      <c r="ANB165" s="21"/>
      <c r="ANC165" s="21"/>
      <c r="AND165" s="21"/>
      <c r="ANE165" s="21"/>
      <c r="ANF165" s="20"/>
      <c r="ANG165" s="20"/>
      <c r="ANH165" s="20"/>
      <c r="ANI165" s="20"/>
      <c r="ANJ165" s="21"/>
      <c r="ANK165" s="21"/>
      <c r="ANL165" s="7"/>
      <c r="ANM165" s="7"/>
      <c r="ANN165" s="21"/>
      <c r="ANO165" s="20"/>
      <c r="ANP165" s="20"/>
      <c r="ANQ165" s="20"/>
      <c r="ANR165" s="21"/>
      <c r="ANS165" s="21"/>
      <c r="ANT165" s="21"/>
      <c r="ANU165" s="21"/>
      <c r="ANV165" s="21"/>
      <c r="ANW165" s="20"/>
      <c r="ANX165" s="20"/>
      <c r="ANY165" s="20"/>
      <c r="ANZ165" s="20"/>
      <c r="AOA165" s="21"/>
      <c r="AOB165" s="21"/>
      <c r="AOC165" s="7"/>
      <c r="AOD165" s="7"/>
      <c r="AOE165" s="21"/>
      <c r="AOF165" s="20"/>
      <c r="AOG165" s="20"/>
      <c r="AOH165" s="20"/>
      <c r="AOI165" s="21"/>
      <c r="AOJ165" s="21"/>
      <c r="AOK165" s="21"/>
      <c r="AOL165" s="21"/>
      <c r="AOM165" s="21"/>
      <c r="AON165" s="20"/>
      <c r="AOO165" s="20"/>
      <c r="AOP165" s="20"/>
      <c r="AOQ165" s="20"/>
      <c r="AOR165" s="21"/>
      <c r="AOS165" s="21"/>
      <c r="AOT165" s="7"/>
      <c r="AOU165" s="7"/>
      <c r="AOV165" s="21"/>
      <c r="AOW165" s="20"/>
      <c r="AOX165" s="20"/>
      <c r="AOY165" s="20"/>
      <c r="AOZ165" s="21"/>
      <c r="APA165" s="21"/>
      <c r="APB165" s="21"/>
      <c r="APC165" s="21"/>
      <c r="APD165" s="21"/>
      <c r="APE165" s="20"/>
      <c r="APF165" s="20"/>
      <c r="APG165" s="20"/>
      <c r="APH165" s="20"/>
      <c r="API165" s="21"/>
      <c r="APJ165" s="21"/>
      <c r="APK165" s="7"/>
      <c r="APL165" s="7"/>
      <c r="APM165" s="21"/>
      <c r="APN165" s="20"/>
      <c r="APO165" s="20"/>
      <c r="APP165" s="20"/>
      <c r="APQ165" s="21"/>
      <c r="APR165" s="21"/>
      <c r="APS165" s="21"/>
      <c r="APT165" s="21"/>
      <c r="APU165" s="21"/>
      <c r="APV165" s="20"/>
      <c r="APW165" s="20"/>
      <c r="APX165" s="20"/>
      <c r="APY165" s="20"/>
      <c r="APZ165" s="21"/>
      <c r="AQA165" s="21"/>
      <c r="AQB165" s="7"/>
      <c r="AQC165" s="7"/>
      <c r="AQD165" s="21"/>
      <c r="AQE165" s="20"/>
      <c r="AQF165" s="20"/>
      <c r="AQG165" s="20"/>
      <c r="AQH165" s="21"/>
      <c r="AQI165" s="21"/>
      <c r="AQJ165" s="21"/>
      <c r="AQK165" s="21"/>
      <c r="AQL165" s="21"/>
      <c r="AQM165" s="20"/>
      <c r="AQN165" s="20"/>
      <c r="AQO165" s="20"/>
      <c r="AQP165" s="20"/>
      <c r="AQQ165" s="21"/>
      <c r="AQR165" s="21"/>
      <c r="AQS165" s="7"/>
      <c r="AQT165" s="7"/>
      <c r="AQU165" s="21"/>
      <c r="AQV165" s="20"/>
      <c r="AQW165" s="20"/>
      <c r="AQX165" s="20"/>
      <c r="AQY165" s="21"/>
      <c r="AQZ165" s="21"/>
      <c r="ARA165" s="21"/>
      <c r="ARB165" s="21"/>
      <c r="ARC165" s="21"/>
      <c r="ARD165" s="20"/>
      <c r="ARE165" s="20"/>
      <c r="ARF165" s="20"/>
      <c r="ARG165" s="20"/>
      <c r="ARH165" s="21"/>
      <c r="ARI165" s="21"/>
      <c r="ARJ165" s="7"/>
      <c r="ARK165" s="7"/>
      <c r="ARL165" s="21"/>
      <c r="ARM165" s="20"/>
      <c r="ARN165" s="20"/>
      <c r="ARO165" s="20"/>
      <c r="ARP165" s="21"/>
      <c r="ARQ165" s="21"/>
      <c r="ARR165" s="21"/>
      <c r="ARS165" s="21"/>
      <c r="ART165" s="21"/>
      <c r="ARU165" s="20"/>
      <c r="ARV165" s="20"/>
      <c r="ARW165" s="20"/>
      <c r="ARX165" s="20"/>
      <c r="ARY165" s="21"/>
      <c r="ARZ165" s="21"/>
      <c r="ASA165" s="7"/>
      <c r="ASB165" s="7"/>
      <c r="ASC165" s="21"/>
      <c r="ASD165" s="20"/>
      <c r="ASE165" s="20"/>
      <c r="ASF165" s="20"/>
      <c r="ASG165" s="21"/>
      <c r="ASH165" s="21"/>
      <c r="ASI165" s="21"/>
      <c r="ASJ165" s="21"/>
      <c r="ASK165" s="21"/>
      <c r="ASL165" s="20"/>
      <c r="ASM165" s="20"/>
      <c r="ASN165" s="20"/>
      <c r="ASO165" s="20"/>
      <c r="ASP165" s="21"/>
      <c r="ASQ165" s="21"/>
      <c r="ASR165" s="7"/>
      <c r="ASS165" s="7"/>
      <c r="AST165" s="21"/>
      <c r="ASU165" s="20"/>
      <c r="ASV165" s="20"/>
      <c r="ASW165" s="20"/>
      <c r="ASX165" s="21"/>
      <c r="ASY165" s="21"/>
      <c r="ASZ165" s="21"/>
      <c r="ATA165" s="21"/>
      <c r="ATB165" s="21"/>
      <c r="ATC165" s="20"/>
      <c r="ATD165" s="20"/>
      <c r="ATE165" s="20"/>
      <c r="ATF165" s="20"/>
      <c r="ATG165" s="21"/>
      <c r="ATH165" s="21"/>
      <c r="ATI165" s="7"/>
      <c r="ATJ165" s="7"/>
      <c r="ATK165" s="21"/>
      <c r="ATL165" s="20"/>
      <c r="ATM165" s="20"/>
      <c r="ATN165" s="20"/>
      <c r="ATO165" s="21"/>
      <c r="ATP165" s="21"/>
      <c r="ATQ165" s="21"/>
      <c r="ATR165" s="21"/>
      <c r="ATS165" s="21"/>
      <c r="ATT165" s="20"/>
      <c r="ATU165" s="20"/>
      <c r="ATV165" s="20"/>
      <c r="ATW165" s="20"/>
      <c r="ATX165" s="21"/>
      <c r="ATY165" s="21"/>
      <c r="ATZ165" s="7"/>
      <c r="AUA165" s="7"/>
      <c r="AUB165" s="21"/>
      <c r="AUC165" s="20"/>
      <c r="AUD165" s="20"/>
      <c r="AUE165" s="20"/>
      <c r="AUF165" s="21"/>
      <c r="AUG165" s="21"/>
      <c r="AUH165" s="21"/>
      <c r="AUI165" s="21"/>
      <c r="AUJ165" s="21"/>
      <c r="AUK165" s="20"/>
      <c r="AUL165" s="20"/>
      <c r="AUM165" s="20"/>
      <c r="AUN165" s="20"/>
      <c r="AUO165" s="21"/>
      <c r="AUP165" s="21"/>
      <c r="AUQ165" s="7"/>
      <c r="AUR165" s="7"/>
      <c r="AUS165" s="21"/>
      <c r="AUT165" s="20"/>
      <c r="AUU165" s="20"/>
      <c r="AUV165" s="20"/>
      <c r="AUW165" s="21"/>
      <c r="AUX165" s="21"/>
      <c r="AUY165" s="21"/>
      <c r="AUZ165" s="21"/>
      <c r="AVA165" s="21"/>
      <c r="AVB165" s="20"/>
      <c r="AVC165" s="20"/>
      <c r="AVD165" s="20"/>
      <c r="AVE165" s="20"/>
      <c r="AVF165" s="21"/>
      <c r="AVG165" s="21"/>
      <c r="AVH165" s="7"/>
      <c r="AVI165" s="7"/>
      <c r="AVJ165" s="21"/>
      <c r="AVK165" s="20"/>
      <c r="AVL165" s="20"/>
      <c r="AVM165" s="20"/>
      <c r="AVN165" s="21"/>
      <c r="AVO165" s="21"/>
      <c r="AVP165" s="21"/>
      <c r="AVQ165" s="21"/>
      <c r="AVR165" s="21"/>
      <c r="AVS165" s="20"/>
      <c r="AVT165" s="20"/>
      <c r="AVU165" s="20"/>
      <c r="AVV165" s="20"/>
      <c r="AVW165" s="21"/>
      <c r="AVX165" s="21"/>
      <c r="AVY165" s="7"/>
      <c r="AVZ165" s="7"/>
      <c r="AWA165" s="21"/>
      <c r="AWB165" s="20"/>
      <c r="AWC165" s="20"/>
      <c r="AWD165" s="20"/>
      <c r="AWE165" s="21"/>
      <c r="AWF165" s="21"/>
      <c r="AWG165" s="21"/>
      <c r="AWH165" s="21"/>
      <c r="AWI165" s="21"/>
      <c r="AWJ165" s="20"/>
      <c r="AWK165" s="20"/>
      <c r="AWL165" s="20"/>
      <c r="AWM165" s="20"/>
      <c r="AWN165" s="21"/>
      <c r="AWO165" s="21"/>
      <c r="AWP165" s="7"/>
      <c r="AWQ165" s="7"/>
      <c r="AWR165" s="21"/>
      <c r="AWS165" s="20"/>
      <c r="AWT165" s="20"/>
      <c r="AWU165" s="20"/>
      <c r="AWV165" s="21"/>
      <c r="AWW165" s="21"/>
      <c r="AWX165" s="21"/>
      <c r="AWY165" s="21"/>
      <c r="AWZ165" s="21"/>
      <c r="AXA165" s="20"/>
      <c r="AXB165" s="20"/>
      <c r="AXC165" s="20"/>
      <c r="AXD165" s="20"/>
      <c r="AXE165" s="21"/>
      <c r="AXF165" s="21"/>
      <c r="AXG165" s="7"/>
      <c r="AXH165" s="7"/>
      <c r="AXI165" s="21"/>
      <c r="AXJ165" s="20"/>
      <c r="AXK165" s="20"/>
      <c r="AXL165" s="20"/>
      <c r="AXM165" s="21"/>
      <c r="AXN165" s="21"/>
      <c r="AXO165" s="21"/>
      <c r="AXP165" s="21"/>
      <c r="AXQ165" s="21"/>
      <c r="AXR165" s="20"/>
      <c r="AXS165" s="20"/>
      <c r="AXT165" s="20"/>
      <c r="AXU165" s="20"/>
      <c r="AXV165" s="21"/>
      <c r="AXW165" s="21"/>
      <c r="AXX165" s="7"/>
      <c r="AXY165" s="7"/>
      <c r="AXZ165" s="21"/>
      <c r="AYA165" s="20"/>
      <c r="AYB165" s="20"/>
      <c r="AYC165" s="20"/>
      <c r="AYD165" s="21"/>
      <c r="AYE165" s="21"/>
      <c r="AYF165" s="21"/>
      <c r="AYG165" s="21"/>
      <c r="AYH165" s="21"/>
      <c r="AYI165" s="20"/>
      <c r="AYJ165" s="20"/>
      <c r="AYK165" s="20"/>
      <c r="AYL165" s="20"/>
      <c r="AYM165" s="21"/>
      <c r="AYN165" s="21"/>
      <c r="AYO165" s="7"/>
      <c r="AYP165" s="7"/>
      <c r="AYQ165" s="21"/>
      <c r="AYR165" s="20"/>
      <c r="AYS165" s="20"/>
      <c r="AYT165" s="20"/>
      <c r="AYU165" s="21"/>
      <c r="AYV165" s="21"/>
      <c r="AYW165" s="21"/>
      <c r="AYX165" s="21"/>
      <c r="AYY165" s="21"/>
      <c r="AYZ165" s="20"/>
      <c r="AZA165" s="20"/>
      <c r="AZB165" s="20"/>
      <c r="AZC165" s="20"/>
      <c r="AZD165" s="21"/>
      <c r="AZE165" s="21"/>
      <c r="AZF165" s="7"/>
      <c r="AZG165" s="7"/>
      <c r="AZH165" s="21"/>
      <c r="AZI165" s="20"/>
      <c r="AZJ165" s="20"/>
      <c r="AZK165" s="20"/>
      <c r="AZL165" s="21"/>
      <c r="AZM165" s="21"/>
      <c r="AZN165" s="21"/>
      <c r="AZO165" s="21"/>
      <c r="AZP165" s="21"/>
      <c r="AZQ165" s="20"/>
      <c r="AZR165" s="20"/>
      <c r="AZS165" s="20"/>
      <c r="AZT165" s="20"/>
      <c r="AZU165" s="21"/>
      <c r="AZV165" s="21"/>
      <c r="AZW165" s="7"/>
      <c r="AZX165" s="7"/>
      <c r="AZY165" s="21"/>
      <c r="AZZ165" s="20"/>
      <c r="BAA165" s="20"/>
      <c r="BAB165" s="20"/>
      <c r="BAC165" s="21"/>
      <c r="BAD165" s="21"/>
      <c r="BAE165" s="21"/>
      <c r="BAF165" s="21"/>
      <c r="BAG165" s="21"/>
      <c r="BAH165" s="20"/>
      <c r="BAI165" s="20"/>
      <c r="BAJ165" s="20"/>
      <c r="BAK165" s="20"/>
      <c r="BAL165" s="21"/>
      <c r="BAM165" s="21"/>
      <c r="BAN165" s="7"/>
      <c r="BAO165" s="7"/>
      <c r="BAP165" s="21"/>
      <c r="BAQ165" s="20"/>
      <c r="BAR165" s="20"/>
      <c r="BAS165" s="20"/>
      <c r="BAT165" s="21"/>
      <c r="BAU165" s="21"/>
      <c r="BAV165" s="21"/>
      <c r="BAW165" s="21"/>
      <c r="BAX165" s="21"/>
      <c r="BAY165" s="20"/>
      <c r="BAZ165" s="20"/>
      <c r="BBA165" s="20"/>
      <c r="BBB165" s="20"/>
      <c r="BBC165" s="21"/>
      <c r="BBD165" s="21"/>
      <c r="BBE165" s="7"/>
      <c r="BBF165" s="7"/>
      <c r="BBG165" s="21"/>
      <c r="BBH165" s="20"/>
      <c r="BBI165" s="20"/>
      <c r="BBJ165" s="20"/>
      <c r="BBK165" s="21"/>
      <c r="BBL165" s="21"/>
      <c r="BBM165" s="21"/>
      <c r="BBN165" s="21"/>
      <c r="BBO165" s="21"/>
      <c r="BBP165" s="20"/>
      <c r="BBQ165" s="20"/>
      <c r="BBR165" s="20"/>
      <c r="BBS165" s="20"/>
      <c r="BBT165" s="21"/>
      <c r="BBU165" s="21"/>
      <c r="BBV165" s="7"/>
      <c r="BBW165" s="7"/>
      <c r="BBX165" s="21"/>
      <c r="BBY165" s="20"/>
      <c r="BBZ165" s="20"/>
      <c r="BCA165" s="20"/>
      <c r="BCB165" s="21"/>
      <c r="BCC165" s="21"/>
      <c r="BCD165" s="21"/>
      <c r="BCE165" s="21"/>
      <c r="BCF165" s="21"/>
      <c r="BCG165" s="20"/>
      <c r="BCH165" s="20"/>
      <c r="BCI165" s="20"/>
      <c r="BCJ165" s="20"/>
      <c r="BCK165" s="21"/>
      <c r="BCL165" s="21"/>
      <c r="BCM165" s="7"/>
      <c r="BCN165" s="7"/>
      <c r="BCO165" s="21"/>
      <c r="BCP165" s="20"/>
      <c r="BCQ165" s="20"/>
      <c r="BCR165" s="20"/>
      <c r="BCS165" s="21"/>
      <c r="BCT165" s="21"/>
      <c r="BCU165" s="21"/>
      <c r="BCV165" s="21"/>
      <c r="BCW165" s="21"/>
      <c r="BCX165" s="20"/>
      <c r="BCY165" s="20"/>
      <c r="BCZ165" s="20"/>
      <c r="BDA165" s="20"/>
      <c r="BDB165" s="21"/>
      <c r="BDC165" s="21"/>
      <c r="BDD165" s="7"/>
      <c r="BDE165" s="7"/>
      <c r="BDF165" s="21"/>
      <c r="BDG165" s="20"/>
      <c r="BDH165" s="20"/>
      <c r="BDI165" s="20"/>
      <c r="BDJ165" s="21"/>
      <c r="BDK165" s="21"/>
      <c r="BDL165" s="21"/>
      <c r="BDM165" s="21"/>
      <c r="BDN165" s="21"/>
      <c r="BDO165" s="20"/>
      <c r="BDP165" s="20"/>
      <c r="BDQ165" s="20"/>
      <c r="BDR165" s="20"/>
      <c r="BDS165" s="21"/>
      <c r="BDT165" s="21"/>
      <c r="BDU165" s="7"/>
      <c r="BDV165" s="7"/>
      <c r="BDW165" s="21"/>
      <c r="BDX165" s="20"/>
      <c r="BDY165" s="20"/>
      <c r="BDZ165" s="20"/>
      <c r="BEA165" s="21"/>
      <c r="BEB165" s="21"/>
      <c r="BEC165" s="21"/>
      <c r="BED165" s="21"/>
      <c r="BEE165" s="21"/>
      <c r="BEF165" s="20"/>
      <c r="BEG165" s="20"/>
      <c r="BEH165" s="20"/>
      <c r="BEI165" s="20"/>
      <c r="BEJ165" s="21"/>
      <c r="BEK165" s="21"/>
      <c r="BEL165" s="7"/>
      <c r="BEM165" s="7"/>
      <c r="BEN165" s="21"/>
      <c r="BEO165" s="20"/>
      <c r="BEP165" s="20"/>
      <c r="BEQ165" s="20"/>
      <c r="BER165" s="21"/>
      <c r="BES165" s="21"/>
      <c r="BET165" s="21"/>
      <c r="BEU165" s="21"/>
      <c r="BEV165" s="21"/>
      <c r="BEW165" s="20"/>
      <c r="BEX165" s="20"/>
      <c r="BEY165" s="20"/>
      <c r="BEZ165" s="20"/>
      <c r="BFA165" s="21"/>
      <c r="BFB165" s="21"/>
      <c r="BFC165" s="7"/>
      <c r="BFD165" s="7"/>
      <c r="BFE165" s="21"/>
      <c r="BFF165" s="20"/>
      <c r="BFG165" s="20"/>
      <c r="BFH165" s="20"/>
      <c r="BFI165" s="21"/>
      <c r="BFJ165" s="21"/>
      <c r="BFK165" s="21"/>
      <c r="BFL165" s="21"/>
      <c r="BFM165" s="21"/>
      <c r="BFN165" s="20"/>
      <c r="BFO165" s="20"/>
      <c r="BFP165" s="20"/>
      <c r="BFQ165" s="20"/>
      <c r="BFR165" s="21"/>
      <c r="BFS165" s="21"/>
      <c r="BFT165" s="7"/>
      <c r="BFU165" s="7"/>
      <c r="BFV165" s="21"/>
      <c r="BFW165" s="20"/>
      <c r="BFX165" s="20"/>
      <c r="BFY165" s="20"/>
      <c r="BFZ165" s="21"/>
      <c r="BGA165" s="21"/>
      <c r="BGB165" s="21"/>
      <c r="BGC165" s="21"/>
      <c r="BGD165" s="21"/>
      <c r="BGE165" s="20"/>
      <c r="BGF165" s="20"/>
      <c r="BGG165" s="20"/>
      <c r="BGH165" s="20"/>
      <c r="BGI165" s="21"/>
      <c r="BGJ165" s="21"/>
      <c r="BGK165" s="7"/>
      <c r="BGL165" s="7"/>
      <c r="BGM165" s="21"/>
      <c r="BGN165" s="20"/>
      <c r="BGO165" s="20"/>
      <c r="BGP165" s="20"/>
      <c r="BGQ165" s="21"/>
      <c r="BGR165" s="21"/>
      <c r="BGS165" s="21"/>
      <c r="BGT165" s="21"/>
      <c r="BGU165" s="21"/>
      <c r="BGV165" s="20"/>
      <c r="BGW165" s="20"/>
      <c r="BGX165" s="20"/>
      <c r="BGY165" s="20"/>
      <c r="BGZ165" s="21"/>
      <c r="BHA165" s="21"/>
      <c r="BHB165" s="7"/>
      <c r="BHC165" s="7"/>
      <c r="BHD165" s="21"/>
      <c r="BHE165" s="20"/>
      <c r="BHF165" s="20"/>
      <c r="BHG165" s="20"/>
      <c r="BHH165" s="21"/>
      <c r="BHI165" s="21"/>
      <c r="BHJ165" s="21"/>
      <c r="BHK165" s="21"/>
      <c r="BHL165" s="21"/>
      <c r="BHM165" s="20"/>
      <c r="BHN165" s="20"/>
      <c r="BHO165" s="20"/>
      <c r="BHP165" s="20"/>
      <c r="BHQ165" s="21"/>
      <c r="BHR165" s="21"/>
      <c r="BHS165" s="7"/>
      <c r="BHT165" s="7"/>
      <c r="BHU165" s="21"/>
      <c r="BHV165" s="20"/>
      <c r="BHW165" s="20"/>
      <c r="BHX165" s="20"/>
      <c r="BHY165" s="21"/>
      <c r="BHZ165" s="21"/>
      <c r="BIA165" s="21"/>
      <c r="BIB165" s="21"/>
      <c r="BIC165" s="21"/>
      <c r="BID165" s="20"/>
      <c r="BIE165" s="20"/>
      <c r="BIF165" s="20"/>
      <c r="BIG165" s="20"/>
      <c r="BIH165" s="21"/>
      <c r="BII165" s="21"/>
      <c r="BIJ165" s="7"/>
      <c r="BIK165" s="7"/>
      <c r="BIL165" s="21"/>
      <c r="BIM165" s="20"/>
      <c r="BIN165" s="20"/>
      <c r="BIO165" s="20"/>
      <c r="BIP165" s="21"/>
      <c r="BIQ165" s="21"/>
      <c r="BIR165" s="21"/>
      <c r="BIS165" s="21"/>
      <c r="BIT165" s="21"/>
      <c r="BIU165" s="20"/>
      <c r="BIV165" s="20"/>
      <c r="BIW165" s="20"/>
      <c r="BIX165" s="20"/>
      <c r="BIY165" s="21"/>
      <c r="BIZ165" s="21"/>
      <c r="BJA165" s="7"/>
      <c r="BJB165" s="7"/>
      <c r="BJC165" s="21"/>
      <c r="BJD165" s="20"/>
      <c r="BJE165" s="20"/>
      <c r="BJF165" s="20"/>
      <c r="BJG165" s="21"/>
      <c r="BJH165" s="21"/>
      <c r="BJI165" s="21"/>
      <c r="BJJ165" s="21"/>
      <c r="BJK165" s="21"/>
      <c r="BJL165" s="20"/>
      <c r="BJM165" s="20"/>
      <c r="BJN165" s="20"/>
      <c r="BJO165" s="20"/>
      <c r="BJP165" s="21"/>
      <c r="BJQ165" s="21"/>
      <c r="BJR165" s="7"/>
      <c r="BJS165" s="7"/>
      <c r="BJT165" s="21"/>
      <c r="BJU165" s="20"/>
      <c r="BJV165" s="20"/>
      <c r="BJW165" s="20"/>
      <c r="BJX165" s="21"/>
      <c r="BJY165" s="21"/>
      <c r="BJZ165" s="21"/>
      <c r="BKA165" s="21"/>
      <c r="BKB165" s="21"/>
      <c r="BKC165" s="20"/>
      <c r="BKD165" s="20"/>
      <c r="BKE165" s="20"/>
      <c r="BKF165" s="20"/>
      <c r="BKG165" s="21"/>
      <c r="BKH165" s="21"/>
      <c r="BKI165" s="7"/>
      <c r="BKJ165" s="7"/>
      <c r="BKK165" s="21"/>
      <c r="BKL165" s="20"/>
      <c r="BKM165" s="20"/>
      <c r="BKN165" s="20"/>
      <c r="BKO165" s="21"/>
      <c r="BKP165" s="21"/>
      <c r="BKQ165" s="21"/>
      <c r="BKR165" s="21"/>
      <c r="BKS165" s="21"/>
      <c r="BKT165" s="20"/>
      <c r="BKU165" s="20"/>
      <c r="BKV165" s="20"/>
      <c r="BKW165" s="20"/>
      <c r="BKX165" s="21"/>
      <c r="BKY165" s="21"/>
      <c r="BKZ165" s="7"/>
      <c r="BLA165" s="7"/>
      <c r="BLB165" s="21"/>
      <c r="BLC165" s="20"/>
      <c r="BLD165" s="20"/>
      <c r="BLE165" s="20"/>
      <c r="BLF165" s="21"/>
      <c r="BLG165" s="21"/>
      <c r="BLH165" s="21"/>
      <c r="BLI165" s="21"/>
      <c r="BLJ165" s="21"/>
      <c r="BLK165" s="20"/>
      <c r="BLL165" s="20"/>
      <c r="BLM165" s="20"/>
      <c r="BLN165" s="20"/>
      <c r="BLO165" s="21"/>
      <c r="BLP165" s="21"/>
      <c r="BLQ165" s="7"/>
      <c r="BLR165" s="7"/>
      <c r="BLS165" s="21"/>
      <c r="BLT165" s="20"/>
      <c r="BLU165" s="20"/>
      <c r="BLV165" s="20"/>
      <c r="BLW165" s="21"/>
      <c r="BLX165" s="21"/>
      <c r="BLY165" s="21"/>
      <c r="BLZ165" s="21"/>
      <c r="BMA165" s="21"/>
      <c r="BMB165" s="20"/>
      <c r="BMC165" s="20"/>
      <c r="BMD165" s="20"/>
      <c r="BME165" s="20"/>
      <c r="BMF165" s="21"/>
      <c r="BMG165" s="21"/>
      <c r="BMH165" s="7"/>
      <c r="BMI165" s="7"/>
      <c r="BMJ165" s="21"/>
      <c r="BMK165" s="20"/>
      <c r="BML165" s="20"/>
      <c r="BMM165" s="20"/>
      <c r="BMN165" s="21"/>
      <c r="BMO165" s="21"/>
      <c r="BMP165" s="21"/>
      <c r="BMQ165" s="21"/>
      <c r="BMR165" s="21"/>
      <c r="BMS165" s="20"/>
      <c r="BMT165" s="20"/>
      <c r="BMU165" s="20"/>
      <c r="BMV165" s="20"/>
      <c r="BMW165" s="21"/>
      <c r="BMX165" s="21"/>
      <c r="BMY165" s="7"/>
      <c r="BMZ165" s="7"/>
      <c r="BNA165" s="21"/>
      <c r="BNB165" s="20"/>
      <c r="BNC165" s="20"/>
      <c r="BND165" s="20"/>
      <c r="BNE165" s="21"/>
      <c r="BNF165" s="21"/>
      <c r="BNG165" s="21"/>
      <c r="BNH165" s="21"/>
      <c r="BNI165" s="21"/>
      <c r="BNJ165" s="20"/>
      <c r="BNK165" s="20"/>
      <c r="BNL165" s="20"/>
      <c r="BNM165" s="20"/>
      <c r="BNN165" s="21"/>
      <c r="BNO165" s="21"/>
      <c r="BNP165" s="7"/>
      <c r="BNQ165" s="7"/>
      <c r="BNR165" s="21"/>
      <c r="BNS165" s="20"/>
      <c r="BNT165" s="20"/>
      <c r="BNU165" s="20"/>
      <c r="BNV165" s="21"/>
      <c r="BNW165" s="21"/>
      <c r="BNX165" s="21"/>
      <c r="BNY165" s="21"/>
      <c r="BNZ165" s="21"/>
      <c r="BOA165" s="20"/>
      <c r="BOB165" s="20"/>
      <c r="BOC165" s="20"/>
      <c r="BOD165" s="20"/>
      <c r="BOE165" s="21"/>
      <c r="BOF165" s="21"/>
      <c r="BOG165" s="7"/>
      <c r="BOH165" s="7"/>
      <c r="BOI165" s="21"/>
      <c r="BOJ165" s="20"/>
      <c r="BOK165" s="20"/>
      <c r="BOL165" s="20"/>
      <c r="BOM165" s="21"/>
      <c r="BON165" s="21"/>
      <c r="BOO165" s="21"/>
      <c r="BOP165" s="21"/>
      <c r="BOQ165" s="21"/>
      <c r="BOR165" s="20"/>
      <c r="BOS165" s="20"/>
      <c r="BOT165" s="20"/>
      <c r="BOU165" s="20"/>
      <c r="BOV165" s="21"/>
      <c r="BOW165" s="21"/>
      <c r="BOX165" s="7"/>
      <c r="BOY165" s="7"/>
      <c r="BOZ165" s="21"/>
      <c r="BPA165" s="20"/>
      <c r="BPB165" s="20"/>
      <c r="BPC165" s="20"/>
      <c r="BPD165" s="21"/>
      <c r="BPE165" s="21"/>
      <c r="BPF165" s="21"/>
      <c r="BPG165" s="21"/>
      <c r="BPH165" s="21"/>
      <c r="BPI165" s="20"/>
      <c r="BPJ165" s="20"/>
      <c r="BPK165" s="20"/>
      <c r="BPL165" s="20"/>
      <c r="BPM165" s="21"/>
      <c r="BPN165" s="21"/>
      <c r="BPO165" s="7"/>
      <c r="BPP165" s="7"/>
      <c r="BPQ165" s="21"/>
      <c r="BPR165" s="20"/>
      <c r="BPS165" s="20"/>
      <c r="BPT165" s="20"/>
      <c r="BPU165" s="21"/>
      <c r="BPV165" s="21"/>
      <c r="BPW165" s="21"/>
      <c r="BPX165" s="21"/>
      <c r="BPY165" s="21"/>
      <c r="BPZ165" s="20"/>
      <c r="BQA165" s="20"/>
      <c r="BQB165" s="20"/>
      <c r="BQC165" s="20"/>
      <c r="BQD165" s="21"/>
      <c r="BQE165" s="21"/>
      <c r="BQF165" s="7"/>
      <c r="BQG165" s="7"/>
      <c r="BQH165" s="21"/>
      <c r="BQI165" s="20"/>
      <c r="BQJ165" s="20"/>
      <c r="BQK165" s="20"/>
      <c r="BQL165" s="21"/>
      <c r="BQM165" s="21"/>
      <c r="BQN165" s="21"/>
      <c r="BQO165" s="21"/>
      <c r="BQP165" s="21"/>
      <c r="BQQ165" s="20"/>
      <c r="BQR165" s="20"/>
      <c r="BQS165" s="20"/>
      <c r="BQT165" s="20"/>
      <c r="BQU165" s="21"/>
      <c r="BQV165" s="21"/>
      <c r="BQW165" s="7"/>
      <c r="BQX165" s="7"/>
      <c r="BQY165" s="21"/>
      <c r="BQZ165" s="20"/>
      <c r="BRA165" s="20"/>
      <c r="BRB165" s="20"/>
      <c r="BRC165" s="21"/>
      <c r="BRD165" s="21"/>
      <c r="BRE165" s="21"/>
      <c r="BRF165" s="21"/>
      <c r="BRG165" s="21"/>
      <c r="BRH165" s="20"/>
      <c r="BRI165" s="20"/>
      <c r="BRJ165" s="20"/>
      <c r="BRK165" s="20"/>
      <c r="BRL165" s="21"/>
      <c r="BRM165" s="21"/>
      <c r="BRN165" s="7"/>
      <c r="BRO165" s="7"/>
      <c r="BRP165" s="21"/>
      <c r="BRQ165" s="20"/>
      <c r="BRR165" s="20"/>
      <c r="BRS165" s="20"/>
      <c r="BRT165" s="21"/>
      <c r="BRU165" s="21"/>
      <c r="BRV165" s="21"/>
      <c r="BRW165" s="21"/>
      <c r="BRX165" s="21"/>
      <c r="BRY165" s="20"/>
      <c r="BRZ165" s="20"/>
      <c r="BSA165" s="20"/>
      <c r="BSB165" s="20"/>
      <c r="BSC165" s="21"/>
      <c r="BSD165" s="21"/>
      <c r="BSE165" s="7"/>
      <c r="BSF165" s="7"/>
      <c r="BSG165" s="21"/>
      <c r="BSH165" s="20"/>
      <c r="BSI165" s="20"/>
      <c r="BSJ165" s="20"/>
      <c r="BSK165" s="21"/>
      <c r="BSL165" s="21"/>
      <c r="BSM165" s="21"/>
      <c r="BSN165" s="21"/>
      <c r="BSO165" s="21"/>
      <c r="BSP165" s="20"/>
      <c r="BSQ165" s="20"/>
      <c r="BSR165" s="20"/>
      <c r="BSS165" s="20"/>
      <c r="BST165" s="21"/>
      <c r="BSU165" s="21"/>
      <c r="BSV165" s="7"/>
      <c r="BSW165" s="7"/>
      <c r="BSX165" s="21"/>
      <c r="BSY165" s="20"/>
      <c r="BSZ165" s="20"/>
      <c r="BTA165" s="20"/>
      <c r="BTB165" s="21"/>
      <c r="BTC165" s="21"/>
      <c r="BTD165" s="21"/>
      <c r="BTE165" s="21"/>
      <c r="BTF165" s="21"/>
      <c r="BTG165" s="20"/>
      <c r="BTH165" s="20"/>
      <c r="BTI165" s="20"/>
      <c r="BTJ165" s="20"/>
      <c r="BTK165" s="21"/>
      <c r="BTL165" s="21"/>
      <c r="BTM165" s="7"/>
      <c r="BTN165" s="7"/>
      <c r="BTO165" s="21"/>
      <c r="BTP165" s="20"/>
      <c r="BTQ165" s="20"/>
      <c r="BTR165" s="20"/>
      <c r="BTS165" s="21"/>
      <c r="BTT165" s="21"/>
      <c r="BTU165" s="21"/>
      <c r="BTV165" s="21"/>
      <c r="BTW165" s="21"/>
      <c r="BTX165" s="20"/>
      <c r="BTY165" s="20"/>
      <c r="BTZ165" s="20"/>
      <c r="BUA165" s="20"/>
      <c r="BUB165" s="21"/>
      <c r="BUC165" s="21"/>
      <c r="BUD165" s="7"/>
      <c r="BUE165" s="7"/>
      <c r="BUF165" s="21"/>
      <c r="BUG165" s="20"/>
      <c r="BUH165" s="20"/>
      <c r="BUI165" s="20"/>
      <c r="BUJ165" s="21"/>
      <c r="BUK165" s="21"/>
      <c r="BUL165" s="21"/>
      <c r="BUM165" s="21"/>
      <c r="BUN165" s="21"/>
      <c r="BUO165" s="20"/>
      <c r="BUP165" s="20"/>
      <c r="BUQ165" s="20"/>
      <c r="BUR165" s="20"/>
      <c r="BUS165" s="21"/>
      <c r="BUT165" s="21"/>
      <c r="BUU165" s="7"/>
      <c r="BUV165" s="7"/>
      <c r="BUW165" s="21"/>
      <c r="BUX165" s="20"/>
      <c r="BUY165" s="20"/>
      <c r="BUZ165" s="20"/>
      <c r="BVA165" s="21"/>
      <c r="BVB165" s="21"/>
      <c r="BVC165" s="21"/>
      <c r="BVD165" s="21"/>
      <c r="BVE165" s="21"/>
      <c r="BVF165" s="20"/>
      <c r="BVG165" s="20"/>
      <c r="BVH165" s="20"/>
      <c r="BVI165" s="20"/>
      <c r="BVJ165" s="21"/>
      <c r="BVK165" s="21"/>
      <c r="BVL165" s="7"/>
      <c r="BVM165" s="7"/>
      <c r="BVN165" s="21"/>
      <c r="BVO165" s="20"/>
      <c r="BVP165" s="20"/>
      <c r="BVQ165" s="20"/>
      <c r="BVR165" s="21"/>
      <c r="BVS165" s="21"/>
      <c r="BVT165" s="21"/>
      <c r="BVU165" s="21"/>
      <c r="BVV165" s="21"/>
      <c r="BVW165" s="20"/>
      <c r="BVX165" s="20"/>
      <c r="BVY165" s="20"/>
      <c r="BVZ165" s="20"/>
      <c r="BWA165" s="21"/>
      <c r="BWB165" s="21"/>
      <c r="BWC165" s="7"/>
      <c r="BWD165" s="7"/>
      <c r="BWE165" s="21"/>
      <c r="BWF165" s="20"/>
      <c r="BWG165" s="20"/>
      <c r="BWH165" s="20"/>
      <c r="BWI165" s="21"/>
      <c r="BWJ165" s="21"/>
      <c r="BWK165" s="21"/>
      <c r="BWL165" s="21"/>
      <c r="BWM165" s="21"/>
      <c r="BWN165" s="20"/>
      <c r="BWO165" s="20"/>
      <c r="BWP165" s="20"/>
      <c r="BWQ165" s="20"/>
      <c r="BWR165" s="21"/>
      <c r="BWS165" s="21"/>
      <c r="BWT165" s="7"/>
      <c r="BWU165" s="7"/>
      <c r="BWV165" s="21"/>
      <c r="BWW165" s="20"/>
      <c r="BWX165" s="20"/>
      <c r="BWY165" s="20"/>
      <c r="BWZ165" s="21"/>
      <c r="BXA165" s="21"/>
      <c r="BXB165" s="21"/>
      <c r="BXC165" s="21"/>
      <c r="BXD165" s="21"/>
      <c r="BXE165" s="20"/>
      <c r="BXF165" s="20"/>
      <c r="BXG165" s="20"/>
      <c r="BXH165" s="20"/>
      <c r="BXI165" s="21"/>
      <c r="BXJ165" s="21"/>
      <c r="BXK165" s="7"/>
      <c r="BXL165" s="7"/>
      <c r="BXM165" s="21"/>
      <c r="BXN165" s="20"/>
      <c r="BXO165" s="20"/>
      <c r="BXP165" s="20"/>
      <c r="BXQ165" s="21"/>
      <c r="BXR165" s="21"/>
      <c r="BXS165" s="21"/>
      <c r="BXT165" s="21"/>
      <c r="BXU165" s="21"/>
      <c r="BXV165" s="20"/>
      <c r="BXW165" s="20"/>
      <c r="BXX165" s="20"/>
      <c r="BXY165" s="20"/>
      <c r="BXZ165" s="21"/>
      <c r="BYA165" s="21"/>
      <c r="BYB165" s="7"/>
      <c r="BYC165" s="7"/>
      <c r="BYD165" s="21"/>
      <c r="BYE165" s="20"/>
      <c r="BYF165" s="20"/>
      <c r="BYG165" s="20"/>
      <c r="BYH165" s="21"/>
      <c r="BYI165" s="21"/>
      <c r="BYJ165" s="21"/>
      <c r="BYK165" s="21"/>
      <c r="BYL165" s="21"/>
      <c r="BYM165" s="20"/>
      <c r="BYN165" s="20"/>
      <c r="BYO165" s="20"/>
      <c r="BYP165" s="20"/>
      <c r="BYQ165" s="21"/>
      <c r="BYR165" s="21"/>
      <c r="BYS165" s="7"/>
      <c r="BYT165" s="7"/>
      <c r="BYU165" s="21"/>
      <c r="BYV165" s="20"/>
      <c r="BYW165" s="20"/>
      <c r="BYX165" s="20"/>
      <c r="BYY165" s="21"/>
      <c r="BYZ165" s="21"/>
      <c r="BZA165" s="21"/>
      <c r="BZB165" s="21"/>
      <c r="BZC165" s="21"/>
      <c r="BZD165" s="20"/>
      <c r="BZE165" s="20"/>
      <c r="BZF165" s="20"/>
      <c r="BZG165" s="20"/>
      <c r="BZH165" s="21"/>
      <c r="BZI165" s="21"/>
      <c r="BZJ165" s="7"/>
      <c r="BZK165" s="7"/>
      <c r="BZL165" s="21"/>
      <c r="BZM165" s="20"/>
      <c r="BZN165" s="20"/>
      <c r="BZO165" s="20"/>
      <c r="BZP165" s="21"/>
      <c r="BZQ165" s="21"/>
      <c r="BZR165" s="21"/>
      <c r="BZS165" s="21"/>
      <c r="BZT165" s="21"/>
      <c r="BZU165" s="20"/>
      <c r="BZV165" s="20"/>
      <c r="BZW165" s="20"/>
      <c r="BZX165" s="20"/>
      <c r="BZY165" s="21"/>
      <c r="BZZ165" s="21"/>
      <c r="CAA165" s="7"/>
      <c r="CAB165" s="7"/>
      <c r="CAC165" s="21"/>
      <c r="CAD165" s="20"/>
      <c r="CAE165" s="20"/>
      <c r="CAF165" s="20"/>
      <c r="CAG165" s="21"/>
      <c r="CAH165" s="21"/>
      <c r="CAI165" s="21"/>
      <c r="CAJ165" s="21"/>
      <c r="CAK165" s="21"/>
      <c r="CAL165" s="20"/>
      <c r="CAM165" s="20"/>
      <c r="CAN165" s="20"/>
      <c r="CAO165" s="20"/>
      <c r="CAP165" s="21"/>
      <c r="CAQ165" s="21"/>
      <c r="CAR165" s="7"/>
      <c r="CAS165" s="7"/>
      <c r="CAT165" s="21"/>
      <c r="CAU165" s="20"/>
      <c r="CAV165" s="20"/>
      <c r="CAW165" s="20"/>
      <c r="CAX165" s="21"/>
      <c r="CAY165" s="21"/>
      <c r="CAZ165" s="21"/>
      <c r="CBA165" s="21"/>
      <c r="CBB165" s="21"/>
      <c r="CBC165" s="20"/>
      <c r="CBD165" s="20"/>
      <c r="CBE165" s="20"/>
      <c r="CBF165" s="20"/>
      <c r="CBG165" s="21"/>
      <c r="CBH165" s="21"/>
      <c r="CBI165" s="7"/>
      <c r="CBJ165" s="7"/>
      <c r="CBK165" s="21"/>
      <c r="CBL165" s="20"/>
      <c r="CBM165" s="20"/>
      <c r="CBN165" s="20"/>
      <c r="CBO165" s="21"/>
      <c r="CBP165" s="21"/>
      <c r="CBQ165" s="21"/>
      <c r="CBR165" s="21"/>
      <c r="CBS165" s="21"/>
      <c r="CBT165" s="20"/>
      <c r="CBU165" s="20"/>
      <c r="CBV165" s="20"/>
      <c r="CBW165" s="20"/>
      <c r="CBX165" s="21"/>
      <c r="CBY165" s="21"/>
      <c r="CBZ165" s="7"/>
      <c r="CCA165" s="7"/>
      <c r="CCB165" s="21"/>
      <c r="CCC165" s="20"/>
      <c r="CCD165" s="20"/>
      <c r="CCE165" s="20"/>
      <c r="CCF165" s="21"/>
      <c r="CCG165" s="21"/>
      <c r="CCH165" s="21"/>
      <c r="CCI165" s="21"/>
      <c r="CCJ165" s="21"/>
      <c r="CCK165" s="20"/>
      <c r="CCL165" s="20"/>
      <c r="CCM165" s="20"/>
      <c r="CCN165" s="20"/>
      <c r="CCO165" s="21"/>
      <c r="CCP165" s="21"/>
      <c r="CCQ165" s="7"/>
      <c r="CCR165" s="7"/>
      <c r="CCS165" s="21"/>
      <c r="CCT165" s="20"/>
      <c r="CCU165" s="20"/>
      <c r="CCV165" s="20"/>
      <c r="CCW165" s="21"/>
      <c r="CCX165" s="21"/>
      <c r="CCY165" s="21"/>
      <c r="CCZ165" s="21"/>
      <c r="CDA165" s="21"/>
      <c r="CDB165" s="20"/>
      <c r="CDC165" s="20"/>
      <c r="CDD165" s="20"/>
      <c r="CDE165" s="20"/>
      <c r="CDF165" s="21"/>
      <c r="CDG165" s="21"/>
      <c r="CDH165" s="7"/>
      <c r="CDI165" s="7"/>
      <c r="CDJ165" s="21"/>
      <c r="CDK165" s="20"/>
      <c r="CDL165" s="20"/>
      <c r="CDM165" s="20"/>
      <c r="CDN165" s="21"/>
      <c r="CDO165" s="21"/>
      <c r="CDP165" s="21"/>
      <c r="CDQ165" s="21"/>
      <c r="CDR165" s="21"/>
      <c r="CDS165" s="20"/>
      <c r="CDT165" s="20"/>
      <c r="CDU165" s="20"/>
      <c r="CDV165" s="20"/>
      <c r="CDW165" s="21"/>
      <c r="CDX165" s="21"/>
      <c r="CDY165" s="7"/>
      <c r="CDZ165" s="7"/>
      <c r="CEA165" s="21"/>
      <c r="CEB165" s="20"/>
      <c r="CEC165" s="20"/>
      <c r="CED165" s="20"/>
      <c r="CEE165" s="21"/>
      <c r="CEF165" s="21"/>
      <c r="CEG165" s="21"/>
      <c r="CEH165" s="21"/>
      <c r="CEI165" s="21"/>
      <c r="CEJ165" s="20"/>
      <c r="CEK165" s="20"/>
      <c r="CEL165" s="20"/>
      <c r="CEM165" s="20"/>
      <c r="CEN165" s="21"/>
      <c r="CEO165" s="21"/>
      <c r="CEP165" s="7"/>
      <c r="CEQ165" s="7"/>
      <c r="CER165" s="21"/>
      <c r="CES165" s="20"/>
      <c r="CET165" s="20"/>
      <c r="CEU165" s="20"/>
      <c r="CEV165" s="21"/>
      <c r="CEW165" s="21"/>
      <c r="CEX165" s="21"/>
      <c r="CEY165" s="21"/>
      <c r="CEZ165" s="21"/>
      <c r="CFA165" s="20"/>
      <c r="CFB165" s="20"/>
      <c r="CFC165" s="20"/>
      <c r="CFD165" s="20"/>
      <c r="CFE165" s="21"/>
      <c r="CFF165" s="21"/>
      <c r="CFG165" s="7"/>
      <c r="CFH165" s="7"/>
      <c r="CFI165" s="21"/>
      <c r="CFJ165" s="20"/>
      <c r="CFK165" s="20"/>
      <c r="CFL165" s="20"/>
      <c r="CFM165" s="21"/>
      <c r="CFN165" s="21"/>
      <c r="CFO165" s="21"/>
      <c r="CFP165" s="21"/>
      <c r="CFQ165" s="21"/>
      <c r="CFR165" s="20"/>
      <c r="CFS165" s="20"/>
      <c r="CFT165" s="20"/>
      <c r="CFU165" s="20"/>
      <c r="CFV165" s="21"/>
      <c r="CFW165" s="21"/>
      <c r="CFX165" s="7"/>
      <c r="CFY165" s="7"/>
      <c r="CFZ165" s="21"/>
      <c r="CGA165" s="20"/>
      <c r="CGB165" s="20"/>
      <c r="CGC165" s="20"/>
      <c r="CGD165" s="21"/>
      <c r="CGE165" s="21"/>
      <c r="CGF165" s="21"/>
      <c r="CGG165" s="21"/>
      <c r="CGH165" s="21"/>
      <c r="CGI165" s="20"/>
      <c r="CGJ165" s="20"/>
      <c r="CGK165" s="20"/>
      <c r="CGL165" s="20"/>
      <c r="CGM165" s="21"/>
      <c r="CGN165" s="21"/>
      <c r="CGO165" s="7"/>
      <c r="CGP165" s="7"/>
      <c r="CGQ165" s="21"/>
      <c r="CGR165" s="20"/>
      <c r="CGS165" s="20"/>
      <c r="CGT165" s="20"/>
      <c r="CGU165" s="21"/>
      <c r="CGV165" s="21"/>
      <c r="CGW165" s="21"/>
      <c r="CGX165" s="21"/>
      <c r="CGY165" s="21"/>
      <c r="CGZ165" s="20"/>
      <c r="CHA165" s="20"/>
      <c r="CHB165" s="20"/>
      <c r="CHC165" s="20"/>
      <c r="CHD165" s="21"/>
      <c r="CHE165" s="21"/>
      <c r="CHF165" s="7"/>
      <c r="CHG165" s="7"/>
      <c r="CHH165" s="21"/>
      <c r="CHI165" s="20"/>
      <c r="CHJ165" s="20"/>
      <c r="CHK165" s="20"/>
      <c r="CHL165" s="21"/>
      <c r="CHM165" s="21"/>
      <c r="CHN165" s="21"/>
      <c r="CHO165" s="21"/>
      <c r="CHP165" s="21"/>
      <c r="CHQ165" s="20"/>
      <c r="CHR165" s="20"/>
      <c r="CHS165" s="20"/>
      <c r="CHT165" s="20"/>
      <c r="CHU165" s="21"/>
      <c r="CHV165" s="21"/>
      <c r="CHW165" s="7"/>
      <c r="CHX165" s="7"/>
      <c r="CHY165" s="21"/>
      <c r="CHZ165" s="20"/>
      <c r="CIA165" s="20"/>
      <c r="CIB165" s="20"/>
      <c r="CIC165" s="21"/>
      <c r="CID165" s="21"/>
      <c r="CIE165" s="21"/>
      <c r="CIF165" s="21"/>
      <c r="CIG165" s="21"/>
      <c r="CIH165" s="20"/>
      <c r="CII165" s="20"/>
      <c r="CIJ165" s="20"/>
      <c r="CIK165" s="20"/>
      <c r="CIL165" s="21"/>
      <c r="CIM165" s="21"/>
      <c r="CIN165" s="7"/>
      <c r="CIO165" s="7"/>
      <c r="CIP165" s="21"/>
      <c r="CIQ165" s="20"/>
      <c r="CIR165" s="20"/>
      <c r="CIS165" s="20"/>
      <c r="CIT165" s="21"/>
      <c r="CIU165" s="21"/>
      <c r="CIV165" s="21"/>
      <c r="CIW165" s="21"/>
      <c r="CIX165" s="21"/>
      <c r="CIY165" s="20"/>
      <c r="CIZ165" s="20"/>
      <c r="CJA165" s="20"/>
      <c r="CJB165" s="20"/>
      <c r="CJC165" s="21"/>
      <c r="CJD165" s="21"/>
      <c r="CJE165" s="7"/>
      <c r="CJF165" s="7"/>
      <c r="CJG165" s="21"/>
      <c r="CJH165" s="20"/>
      <c r="CJI165" s="20"/>
      <c r="CJJ165" s="20"/>
      <c r="CJK165" s="21"/>
      <c r="CJL165" s="21"/>
      <c r="CJM165" s="21"/>
      <c r="CJN165" s="21"/>
      <c r="CJO165" s="21"/>
      <c r="CJP165" s="20"/>
      <c r="CJQ165" s="20"/>
      <c r="CJR165" s="20"/>
      <c r="CJS165" s="20"/>
      <c r="CJT165" s="21"/>
      <c r="CJU165" s="21"/>
      <c r="CJV165" s="7"/>
      <c r="CJW165" s="7"/>
      <c r="CJX165" s="21"/>
      <c r="CJY165" s="20"/>
      <c r="CJZ165" s="20"/>
      <c r="CKA165" s="20"/>
      <c r="CKB165" s="21"/>
      <c r="CKC165" s="21"/>
      <c r="CKD165" s="21"/>
      <c r="CKE165" s="21"/>
      <c r="CKF165" s="21"/>
      <c r="CKG165" s="20"/>
      <c r="CKH165" s="20"/>
      <c r="CKI165" s="20"/>
      <c r="CKJ165" s="20"/>
      <c r="CKK165" s="21"/>
      <c r="CKL165" s="21"/>
      <c r="CKM165" s="7"/>
      <c r="CKN165" s="7"/>
      <c r="CKO165" s="21"/>
      <c r="CKP165" s="20"/>
      <c r="CKQ165" s="20"/>
      <c r="CKR165" s="20"/>
      <c r="CKS165" s="21"/>
      <c r="CKT165" s="21"/>
      <c r="CKU165" s="21"/>
      <c r="CKV165" s="21"/>
      <c r="CKW165" s="21"/>
      <c r="CKX165" s="20"/>
      <c r="CKY165" s="20"/>
      <c r="CKZ165" s="20"/>
      <c r="CLA165" s="20"/>
      <c r="CLB165" s="21"/>
      <c r="CLC165" s="21"/>
      <c r="CLD165" s="7"/>
      <c r="CLE165" s="7"/>
      <c r="CLF165" s="21"/>
      <c r="CLG165" s="20"/>
      <c r="CLH165" s="20"/>
      <c r="CLI165" s="20"/>
      <c r="CLJ165" s="21"/>
      <c r="CLK165" s="21"/>
      <c r="CLL165" s="21"/>
      <c r="CLM165" s="21"/>
      <c r="CLN165" s="21"/>
      <c r="CLO165" s="20"/>
      <c r="CLP165" s="20"/>
      <c r="CLQ165" s="20"/>
      <c r="CLR165" s="20"/>
      <c r="CLS165" s="21"/>
      <c r="CLT165" s="21"/>
      <c r="CLU165" s="7"/>
      <c r="CLV165" s="7"/>
      <c r="CLW165" s="21"/>
      <c r="CLX165" s="20"/>
      <c r="CLY165" s="20"/>
      <c r="CLZ165" s="20"/>
      <c r="CMA165" s="21"/>
      <c r="CMB165" s="21"/>
      <c r="CMC165" s="21"/>
      <c r="CMD165" s="21"/>
      <c r="CME165" s="21"/>
      <c r="CMF165" s="20"/>
      <c r="CMG165" s="20"/>
      <c r="CMH165" s="20"/>
      <c r="CMI165" s="20"/>
      <c r="CMJ165" s="21"/>
      <c r="CMK165" s="21"/>
      <c r="CML165" s="7"/>
      <c r="CMM165" s="7"/>
      <c r="CMN165" s="21"/>
      <c r="CMO165" s="20"/>
      <c r="CMP165" s="20"/>
      <c r="CMQ165" s="20"/>
      <c r="CMR165" s="21"/>
      <c r="CMS165" s="21"/>
      <c r="CMT165" s="21"/>
      <c r="CMU165" s="21"/>
      <c r="CMV165" s="21"/>
      <c r="CMW165" s="20"/>
      <c r="CMX165" s="20"/>
      <c r="CMY165" s="20"/>
      <c r="CMZ165" s="20"/>
      <c r="CNA165" s="21"/>
      <c r="CNB165" s="21"/>
      <c r="CNC165" s="7"/>
      <c r="CND165" s="7"/>
      <c r="CNE165" s="21"/>
      <c r="CNF165" s="20"/>
      <c r="CNG165" s="20"/>
      <c r="CNH165" s="20"/>
      <c r="CNI165" s="21"/>
      <c r="CNJ165" s="21"/>
      <c r="CNK165" s="21"/>
      <c r="CNL165" s="21"/>
      <c r="CNM165" s="21"/>
      <c r="CNN165" s="20"/>
      <c r="CNO165" s="20"/>
      <c r="CNP165" s="20"/>
      <c r="CNQ165" s="20"/>
      <c r="CNR165" s="21"/>
      <c r="CNS165" s="21"/>
      <c r="CNT165" s="7"/>
      <c r="CNU165" s="7"/>
      <c r="CNV165" s="21"/>
      <c r="CNW165" s="20"/>
      <c r="CNX165" s="20"/>
      <c r="CNY165" s="20"/>
      <c r="CNZ165" s="21"/>
      <c r="COA165" s="21"/>
      <c r="COB165" s="21"/>
      <c r="COC165" s="21"/>
      <c r="COD165" s="21"/>
      <c r="COE165" s="20"/>
      <c r="COF165" s="20"/>
      <c r="COG165" s="20"/>
      <c r="COH165" s="20"/>
      <c r="COI165" s="21"/>
      <c r="COJ165" s="21"/>
      <c r="COK165" s="7"/>
      <c r="COL165" s="7"/>
      <c r="COM165" s="21"/>
      <c r="CON165" s="20"/>
      <c r="COO165" s="20"/>
      <c r="COP165" s="20"/>
      <c r="COQ165" s="21"/>
      <c r="COR165" s="21"/>
      <c r="COS165" s="21"/>
      <c r="COT165" s="21"/>
      <c r="COU165" s="21"/>
      <c r="COV165" s="20"/>
      <c r="COW165" s="20"/>
      <c r="COX165" s="20"/>
      <c r="COY165" s="20"/>
      <c r="COZ165" s="21"/>
      <c r="CPA165" s="21"/>
      <c r="CPB165" s="7"/>
      <c r="CPC165" s="7"/>
      <c r="CPD165" s="21"/>
      <c r="CPE165" s="20"/>
      <c r="CPF165" s="20"/>
      <c r="CPG165" s="20"/>
      <c r="CPH165" s="21"/>
      <c r="CPI165" s="21"/>
      <c r="CPJ165" s="21"/>
      <c r="CPK165" s="21"/>
      <c r="CPL165" s="21"/>
      <c r="CPM165" s="20"/>
      <c r="CPN165" s="20"/>
      <c r="CPO165" s="20"/>
      <c r="CPP165" s="20"/>
      <c r="CPQ165" s="21"/>
      <c r="CPR165" s="21"/>
      <c r="CPS165" s="7"/>
      <c r="CPT165" s="7"/>
      <c r="CPU165" s="21"/>
      <c r="CPV165" s="20"/>
      <c r="CPW165" s="20"/>
      <c r="CPX165" s="20"/>
      <c r="CPY165" s="21"/>
      <c r="CPZ165" s="21"/>
      <c r="CQA165" s="21"/>
      <c r="CQB165" s="21"/>
      <c r="CQC165" s="21"/>
      <c r="CQD165" s="20"/>
      <c r="CQE165" s="20"/>
      <c r="CQF165" s="20"/>
      <c r="CQG165" s="20"/>
      <c r="CQH165" s="21"/>
      <c r="CQI165" s="21"/>
      <c r="CQJ165" s="7"/>
      <c r="CQK165" s="7"/>
      <c r="CQL165" s="21"/>
      <c r="CQM165" s="20"/>
      <c r="CQN165" s="20"/>
      <c r="CQO165" s="20"/>
      <c r="CQP165" s="21"/>
      <c r="CQQ165" s="21"/>
      <c r="CQR165" s="21"/>
      <c r="CQS165" s="21"/>
      <c r="CQT165" s="21"/>
      <c r="CQU165" s="20"/>
      <c r="CQV165" s="20"/>
      <c r="CQW165" s="20"/>
      <c r="CQX165" s="20"/>
      <c r="CQY165" s="21"/>
      <c r="CQZ165" s="21"/>
      <c r="CRA165" s="7"/>
      <c r="CRB165" s="7"/>
      <c r="CRC165" s="21"/>
      <c r="CRD165" s="20"/>
      <c r="CRE165" s="20"/>
      <c r="CRF165" s="20"/>
      <c r="CRG165" s="21"/>
      <c r="CRH165" s="21"/>
      <c r="CRI165" s="21"/>
      <c r="CRJ165" s="21"/>
      <c r="CRK165" s="21"/>
      <c r="CRL165" s="20"/>
      <c r="CRM165" s="20"/>
      <c r="CRN165" s="20"/>
      <c r="CRO165" s="20"/>
      <c r="CRP165" s="21"/>
      <c r="CRQ165" s="21"/>
      <c r="CRR165" s="7"/>
      <c r="CRS165" s="7"/>
      <c r="CRT165" s="21"/>
      <c r="CRU165" s="20"/>
      <c r="CRV165" s="20"/>
      <c r="CRW165" s="20"/>
      <c r="CRX165" s="21"/>
      <c r="CRY165" s="21"/>
      <c r="CRZ165" s="21"/>
      <c r="CSA165" s="21"/>
      <c r="CSB165" s="21"/>
      <c r="CSC165" s="20"/>
      <c r="CSD165" s="20"/>
      <c r="CSE165" s="20"/>
      <c r="CSF165" s="20"/>
      <c r="CSG165" s="21"/>
      <c r="CSH165" s="21"/>
      <c r="CSI165" s="7"/>
      <c r="CSJ165" s="7"/>
      <c r="CSK165" s="21"/>
      <c r="CSL165" s="20"/>
      <c r="CSM165" s="20"/>
      <c r="CSN165" s="20"/>
      <c r="CSO165" s="21"/>
      <c r="CSP165" s="21"/>
      <c r="CSQ165" s="21"/>
      <c r="CSR165" s="21"/>
      <c r="CSS165" s="21"/>
      <c r="CST165" s="20"/>
      <c r="CSU165" s="20"/>
      <c r="CSV165" s="20"/>
      <c r="CSW165" s="20"/>
      <c r="CSX165" s="21"/>
      <c r="CSY165" s="21"/>
      <c r="CSZ165" s="7"/>
      <c r="CTA165" s="7"/>
      <c r="CTB165" s="21"/>
      <c r="CTC165" s="20"/>
      <c r="CTD165" s="20"/>
      <c r="CTE165" s="20"/>
      <c r="CTF165" s="21"/>
      <c r="CTG165" s="21"/>
      <c r="CTH165" s="21"/>
      <c r="CTI165" s="21"/>
      <c r="CTJ165" s="21"/>
      <c r="CTK165" s="20"/>
      <c r="CTL165" s="20"/>
      <c r="CTM165" s="20"/>
      <c r="CTN165" s="20"/>
      <c r="CTO165" s="21"/>
      <c r="CTP165" s="21"/>
      <c r="CTQ165" s="7"/>
      <c r="CTR165" s="7"/>
      <c r="CTS165" s="21"/>
      <c r="CTT165" s="20"/>
      <c r="CTU165" s="20"/>
      <c r="CTV165" s="20"/>
      <c r="CTW165" s="21"/>
      <c r="CTX165" s="21"/>
      <c r="CTY165" s="21"/>
      <c r="CTZ165" s="21"/>
      <c r="CUA165" s="21"/>
      <c r="CUB165" s="20"/>
      <c r="CUC165" s="20"/>
      <c r="CUD165" s="20"/>
      <c r="CUE165" s="20"/>
      <c r="CUF165" s="21"/>
      <c r="CUG165" s="21"/>
      <c r="CUH165" s="7"/>
      <c r="CUI165" s="7"/>
      <c r="CUJ165" s="21"/>
      <c r="CUK165" s="20"/>
      <c r="CUL165" s="20"/>
      <c r="CUM165" s="20"/>
      <c r="CUN165" s="21"/>
      <c r="CUO165" s="21"/>
      <c r="CUP165" s="21"/>
      <c r="CUQ165" s="21"/>
      <c r="CUR165" s="21"/>
      <c r="CUS165" s="20"/>
      <c r="CUT165" s="20"/>
      <c r="CUU165" s="20"/>
      <c r="CUV165" s="20"/>
      <c r="CUW165" s="21"/>
      <c r="CUX165" s="21"/>
      <c r="CUY165" s="7"/>
      <c r="CUZ165" s="7"/>
      <c r="CVA165" s="21"/>
      <c r="CVB165" s="20"/>
      <c r="CVC165" s="20"/>
      <c r="CVD165" s="20"/>
      <c r="CVE165" s="21"/>
      <c r="CVF165" s="21"/>
      <c r="CVG165" s="21"/>
      <c r="CVH165" s="21"/>
      <c r="CVI165" s="21"/>
      <c r="CVJ165" s="20"/>
      <c r="CVK165" s="20"/>
      <c r="CVL165" s="20"/>
      <c r="CVM165" s="20"/>
      <c r="CVN165" s="21"/>
      <c r="CVO165" s="21"/>
      <c r="CVP165" s="7"/>
      <c r="CVQ165" s="7"/>
      <c r="CVR165" s="21"/>
      <c r="CVS165" s="20"/>
      <c r="CVT165" s="20"/>
      <c r="CVU165" s="20"/>
      <c r="CVV165" s="21"/>
      <c r="CVW165" s="21"/>
      <c r="CVX165" s="21"/>
      <c r="CVY165" s="21"/>
      <c r="CVZ165" s="21"/>
      <c r="CWA165" s="20"/>
      <c r="CWB165" s="20"/>
      <c r="CWC165" s="20"/>
      <c r="CWD165" s="20"/>
      <c r="CWE165" s="21"/>
      <c r="CWF165" s="21"/>
      <c r="CWG165" s="7"/>
      <c r="CWH165" s="7"/>
      <c r="CWI165" s="21"/>
      <c r="CWJ165" s="20"/>
      <c r="CWK165" s="20"/>
      <c r="CWL165" s="20"/>
      <c r="CWM165" s="21"/>
      <c r="CWN165" s="21"/>
      <c r="CWO165" s="21"/>
      <c r="CWP165" s="21"/>
      <c r="CWQ165" s="21"/>
      <c r="CWR165" s="20"/>
      <c r="CWS165" s="20"/>
      <c r="CWT165" s="20"/>
      <c r="CWU165" s="20"/>
      <c r="CWV165" s="21"/>
      <c r="CWW165" s="21"/>
      <c r="CWX165" s="7"/>
      <c r="CWY165" s="7"/>
      <c r="CWZ165" s="21"/>
      <c r="CXA165" s="20"/>
      <c r="CXB165" s="20"/>
      <c r="CXC165" s="20"/>
      <c r="CXD165" s="21"/>
      <c r="CXE165" s="21"/>
      <c r="CXF165" s="21"/>
      <c r="CXG165" s="21"/>
      <c r="CXH165" s="21"/>
      <c r="CXI165" s="20"/>
      <c r="CXJ165" s="20"/>
      <c r="CXK165" s="20"/>
      <c r="CXL165" s="20"/>
      <c r="CXM165" s="21"/>
      <c r="CXN165" s="21"/>
      <c r="CXO165" s="7"/>
      <c r="CXP165" s="7"/>
      <c r="CXQ165" s="21"/>
      <c r="CXR165" s="20"/>
      <c r="CXS165" s="20"/>
      <c r="CXT165" s="20"/>
      <c r="CXU165" s="21"/>
      <c r="CXV165" s="21"/>
      <c r="CXW165" s="21"/>
      <c r="CXX165" s="21"/>
      <c r="CXY165" s="21"/>
      <c r="CXZ165" s="20"/>
      <c r="CYA165" s="20"/>
      <c r="CYB165" s="20"/>
      <c r="CYC165" s="20"/>
      <c r="CYD165" s="21"/>
      <c r="CYE165" s="21"/>
      <c r="CYF165" s="7"/>
      <c r="CYG165" s="7"/>
      <c r="CYH165" s="21"/>
      <c r="CYI165" s="20"/>
      <c r="CYJ165" s="20"/>
      <c r="CYK165" s="20"/>
      <c r="CYL165" s="21"/>
      <c r="CYM165" s="21"/>
      <c r="CYN165" s="21"/>
      <c r="CYO165" s="21"/>
      <c r="CYP165" s="21"/>
      <c r="CYQ165" s="20"/>
      <c r="CYR165" s="20"/>
      <c r="CYS165" s="20"/>
      <c r="CYT165" s="20"/>
      <c r="CYU165" s="21"/>
      <c r="CYV165" s="21"/>
      <c r="CYW165" s="7"/>
      <c r="CYX165" s="7"/>
      <c r="CYY165" s="21"/>
      <c r="CYZ165" s="20"/>
      <c r="CZA165" s="20"/>
      <c r="CZB165" s="20"/>
      <c r="CZC165" s="21"/>
      <c r="CZD165" s="21"/>
      <c r="CZE165" s="21"/>
      <c r="CZF165" s="21"/>
      <c r="CZG165" s="21"/>
      <c r="CZH165" s="20"/>
      <c r="CZI165" s="20"/>
      <c r="CZJ165" s="20"/>
      <c r="CZK165" s="20"/>
      <c r="CZL165" s="21"/>
      <c r="CZM165" s="21"/>
      <c r="CZN165" s="7"/>
      <c r="CZO165" s="7"/>
      <c r="CZP165" s="21"/>
      <c r="CZQ165" s="20"/>
      <c r="CZR165" s="20"/>
      <c r="CZS165" s="20"/>
      <c r="CZT165" s="21"/>
      <c r="CZU165" s="21"/>
      <c r="CZV165" s="21"/>
      <c r="CZW165" s="21"/>
      <c r="CZX165" s="21"/>
      <c r="CZY165" s="20"/>
      <c r="CZZ165" s="20"/>
      <c r="DAA165" s="20"/>
      <c r="DAB165" s="20"/>
      <c r="DAC165" s="21"/>
      <c r="DAD165" s="21"/>
      <c r="DAE165" s="7"/>
      <c r="DAF165" s="7"/>
      <c r="DAG165" s="21"/>
      <c r="DAH165" s="20"/>
      <c r="DAI165" s="20"/>
      <c r="DAJ165" s="20"/>
      <c r="DAK165" s="21"/>
      <c r="DAL165" s="21"/>
      <c r="DAM165" s="21"/>
      <c r="DAN165" s="21"/>
      <c r="DAO165" s="21"/>
      <c r="DAP165" s="20"/>
      <c r="DAQ165" s="20"/>
      <c r="DAR165" s="20"/>
      <c r="DAS165" s="20"/>
      <c r="DAT165" s="21"/>
      <c r="DAU165" s="21"/>
      <c r="DAV165" s="7"/>
      <c r="DAW165" s="7"/>
      <c r="DAX165" s="21"/>
      <c r="DAY165" s="20"/>
      <c r="DAZ165" s="20"/>
      <c r="DBA165" s="20"/>
      <c r="DBB165" s="21"/>
      <c r="DBC165" s="21"/>
      <c r="DBD165" s="21"/>
      <c r="DBE165" s="21"/>
      <c r="DBF165" s="21"/>
      <c r="DBG165" s="20"/>
      <c r="DBH165" s="20"/>
      <c r="DBI165" s="20"/>
      <c r="DBJ165" s="20"/>
      <c r="DBK165" s="21"/>
      <c r="DBL165" s="21"/>
      <c r="DBM165" s="7"/>
      <c r="DBN165" s="7"/>
      <c r="DBO165" s="21"/>
      <c r="DBP165" s="20"/>
      <c r="DBQ165" s="20"/>
      <c r="DBR165" s="20"/>
      <c r="DBS165" s="21"/>
      <c r="DBT165" s="21"/>
      <c r="DBU165" s="21"/>
      <c r="DBV165" s="21"/>
      <c r="DBW165" s="21"/>
      <c r="DBX165" s="20"/>
      <c r="DBY165" s="20"/>
      <c r="DBZ165" s="20"/>
      <c r="DCA165" s="20"/>
      <c r="DCB165" s="21"/>
      <c r="DCC165" s="21"/>
      <c r="DCD165" s="7"/>
      <c r="DCE165" s="7"/>
      <c r="DCF165" s="21"/>
      <c r="DCG165" s="20"/>
      <c r="DCH165" s="20"/>
      <c r="DCI165" s="20"/>
      <c r="DCJ165" s="21"/>
      <c r="DCK165" s="21"/>
      <c r="DCL165" s="21"/>
      <c r="DCM165" s="21"/>
      <c r="DCN165" s="21"/>
      <c r="DCO165" s="20"/>
      <c r="DCP165" s="20"/>
      <c r="DCQ165" s="20"/>
      <c r="DCR165" s="20"/>
      <c r="DCS165" s="21"/>
      <c r="DCT165" s="21"/>
      <c r="DCU165" s="7"/>
      <c r="DCV165" s="7"/>
      <c r="DCW165" s="21"/>
      <c r="DCX165" s="20"/>
      <c r="DCY165" s="20"/>
      <c r="DCZ165" s="20"/>
      <c r="DDA165" s="21"/>
      <c r="DDB165" s="21"/>
      <c r="DDC165" s="21"/>
      <c r="DDD165" s="21"/>
      <c r="DDE165" s="21"/>
      <c r="DDF165" s="20"/>
      <c r="DDG165" s="20"/>
      <c r="DDH165" s="20"/>
      <c r="DDI165" s="20"/>
      <c r="DDJ165" s="21"/>
      <c r="DDK165" s="21"/>
      <c r="DDL165" s="7"/>
      <c r="DDM165" s="7"/>
      <c r="DDN165" s="21"/>
      <c r="DDO165" s="20"/>
      <c r="DDP165" s="20"/>
      <c r="DDQ165" s="20"/>
      <c r="DDR165" s="21"/>
      <c r="DDS165" s="21"/>
      <c r="DDT165" s="21"/>
      <c r="DDU165" s="21"/>
      <c r="DDV165" s="21"/>
      <c r="DDW165" s="20"/>
      <c r="DDX165" s="20"/>
      <c r="DDY165" s="20"/>
      <c r="DDZ165" s="20"/>
      <c r="DEA165" s="21"/>
      <c r="DEB165" s="21"/>
      <c r="DEC165" s="7"/>
      <c r="DED165" s="7"/>
      <c r="DEE165" s="21"/>
      <c r="DEF165" s="20"/>
      <c r="DEG165" s="20"/>
      <c r="DEH165" s="20"/>
      <c r="DEI165" s="21"/>
      <c r="DEJ165" s="21"/>
      <c r="DEK165" s="21"/>
      <c r="DEL165" s="21"/>
      <c r="DEM165" s="21"/>
      <c r="DEN165" s="20"/>
      <c r="DEO165" s="20"/>
      <c r="DEP165" s="20"/>
      <c r="DEQ165" s="20"/>
      <c r="DER165" s="21"/>
      <c r="DES165" s="21"/>
      <c r="DET165" s="7"/>
      <c r="DEU165" s="7"/>
      <c r="DEV165" s="21"/>
      <c r="DEW165" s="20"/>
      <c r="DEX165" s="20"/>
      <c r="DEY165" s="20"/>
      <c r="DEZ165" s="21"/>
      <c r="DFA165" s="21"/>
      <c r="DFB165" s="21"/>
      <c r="DFC165" s="21"/>
      <c r="DFD165" s="21"/>
      <c r="DFE165" s="20"/>
      <c r="DFF165" s="20"/>
      <c r="DFG165" s="20"/>
      <c r="DFH165" s="20"/>
      <c r="DFI165" s="21"/>
      <c r="DFJ165" s="21"/>
      <c r="DFK165" s="7"/>
      <c r="DFL165" s="7"/>
      <c r="DFM165" s="21"/>
      <c r="DFN165" s="20"/>
      <c r="DFO165" s="20"/>
      <c r="DFP165" s="20"/>
      <c r="DFQ165" s="21"/>
      <c r="DFR165" s="21"/>
      <c r="DFS165" s="21"/>
      <c r="DFT165" s="21"/>
      <c r="DFU165" s="21"/>
      <c r="DFV165" s="20"/>
      <c r="DFW165" s="20"/>
      <c r="DFX165" s="20"/>
      <c r="DFY165" s="20"/>
      <c r="DFZ165" s="21"/>
      <c r="DGA165" s="21"/>
      <c r="DGB165" s="7"/>
      <c r="DGC165" s="7"/>
      <c r="DGD165" s="21"/>
      <c r="DGE165" s="20"/>
      <c r="DGF165" s="20"/>
      <c r="DGG165" s="20"/>
      <c r="DGH165" s="21"/>
      <c r="DGI165" s="21"/>
      <c r="DGJ165" s="21"/>
      <c r="DGK165" s="21"/>
      <c r="DGL165" s="21"/>
      <c r="DGM165" s="20"/>
      <c r="DGN165" s="20"/>
      <c r="DGO165" s="20"/>
      <c r="DGP165" s="20"/>
      <c r="DGQ165" s="21"/>
      <c r="DGR165" s="21"/>
      <c r="DGS165" s="7"/>
      <c r="DGT165" s="7"/>
      <c r="DGU165" s="21"/>
      <c r="DGV165" s="20"/>
      <c r="DGW165" s="20"/>
      <c r="DGX165" s="20"/>
      <c r="DGY165" s="21"/>
      <c r="DGZ165" s="21"/>
      <c r="DHA165" s="21"/>
      <c r="DHB165" s="21"/>
      <c r="DHC165" s="21"/>
      <c r="DHD165" s="20"/>
      <c r="DHE165" s="20"/>
      <c r="DHF165" s="20"/>
      <c r="DHG165" s="20"/>
      <c r="DHH165" s="21"/>
      <c r="DHI165" s="21"/>
      <c r="DHJ165" s="7"/>
      <c r="DHK165" s="7"/>
      <c r="DHL165" s="21"/>
      <c r="DHM165" s="20"/>
      <c r="DHN165" s="20"/>
      <c r="DHO165" s="20"/>
      <c r="DHP165" s="21"/>
      <c r="DHQ165" s="21"/>
      <c r="DHR165" s="21"/>
      <c r="DHS165" s="21"/>
      <c r="DHT165" s="21"/>
      <c r="DHU165" s="20"/>
      <c r="DHV165" s="20"/>
      <c r="DHW165" s="20"/>
      <c r="DHX165" s="20"/>
      <c r="DHY165" s="21"/>
      <c r="DHZ165" s="21"/>
      <c r="DIA165" s="7"/>
      <c r="DIB165" s="7"/>
      <c r="DIC165" s="21"/>
      <c r="DID165" s="20"/>
      <c r="DIE165" s="20"/>
      <c r="DIF165" s="20"/>
      <c r="DIG165" s="21"/>
      <c r="DIH165" s="21"/>
      <c r="DII165" s="21"/>
      <c r="DIJ165" s="21"/>
      <c r="DIK165" s="21"/>
      <c r="DIL165" s="20"/>
      <c r="DIM165" s="20"/>
      <c r="DIN165" s="20"/>
      <c r="DIO165" s="20"/>
      <c r="DIP165" s="21"/>
      <c r="DIQ165" s="21"/>
      <c r="DIR165" s="7"/>
      <c r="DIS165" s="7"/>
      <c r="DIT165" s="21"/>
      <c r="DIU165" s="20"/>
      <c r="DIV165" s="20"/>
      <c r="DIW165" s="20"/>
      <c r="DIX165" s="21"/>
      <c r="DIY165" s="21"/>
      <c r="DIZ165" s="21"/>
      <c r="DJA165" s="21"/>
      <c r="DJB165" s="21"/>
      <c r="DJC165" s="20"/>
      <c r="DJD165" s="20"/>
      <c r="DJE165" s="20"/>
      <c r="DJF165" s="20"/>
      <c r="DJG165" s="21"/>
      <c r="DJH165" s="21"/>
      <c r="DJI165" s="7"/>
      <c r="DJJ165" s="7"/>
      <c r="DJK165" s="21"/>
      <c r="DJL165" s="20"/>
      <c r="DJM165" s="20"/>
      <c r="DJN165" s="20"/>
      <c r="DJO165" s="21"/>
      <c r="DJP165" s="21"/>
      <c r="DJQ165" s="21"/>
      <c r="DJR165" s="21"/>
      <c r="DJS165" s="21"/>
      <c r="DJT165" s="20"/>
      <c r="DJU165" s="20"/>
      <c r="DJV165" s="20"/>
      <c r="DJW165" s="20"/>
      <c r="DJX165" s="21"/>
      <c r="DJY165" s="21"/>
      <c r="DJZ165" s="7"/>
      <c r="DKA165" s="7"/>
      <c r="DKB165" s="21"/>
      <c r="DKC165" s="20"/>
      <c r="DKD165" s="20"/>
      <c r="DKE165" s="20"/>
      <c r="DKF165" s="21"/>
      <c r="DKG165" s="21"/>
      <c r="DKH165" s="21"/>
      <c r="DKI165" s="21"/>
      <c r="DKJ165" s="21"/>
      <c r="DKK165" s="20"/>
      <c r="DKL165" s="20"/>
      <c r="DKM165" s="20"/>
      <c r="DKN165" s="20"/>
      <c r="DKO165" s="21"/>
      <c r="DKP165" s="21"/>
      <c r="DKQ165" s="7"/>
      <c r="DKR165" s="7"/>
      <c r="DKS165" s="21"/>
      <c r="DKT165" s="20"/>
      <c r="DKU165" s="20"/>
      <c r="DKV165" s="20"/>
      <c r="DKW165" s="21"/>
      <c r="DKX165" s="21"/>
      <c r="DKY165" s="21"/>
      <c r="DKZ165" s="21"/>
      <c r="DLA165" s="21"/>
      <c r="DLB165" s="20"/>
      <c r="DLC165" s="20"/>
      <c r="DLD165" s="20"/>
      <c r="DLE165" s="20"/>
      <c r="DLF165" s="21"/>
      <c r="DLG165" s="21"/>
      <c r="DLH165" s="7"/>
      <c r="DLI165" s="7"/>
      <c r="DLJ165" s="21"/>
      <c r="DLK165" s="20"/>
      <c r="DLL165" s="20"/>
      <c r="DLM165" s="20"/>
      <c r="DLN165" s="21"/>
      <c r="DLO165" s="21"/>
      <c r="DLP165" s="21"/>
      <c r="DLQ165" s="21"/>
      <c r="DLR165" s="21"/>
      <c r="DLS165" s="20"/>
      <c r="DLT165" s="20"/>
      <c r="DLU165" s="20"/>
      <c r="DLV165" s="20"/>
      <c r="DLW165" s="21"/>
      <c r="DLX165" s="21"/>
      <c r="DLY165" s="7"/>
      <c r="DLZ165" s="7"/>
      <c r="DMA165" s="21"/>
      <c r="DMB165" s="20"/>
      <c r="DMC165" s="20"/>
      <c r="DMD165" s="20"/>
      <c r="DME165" s="21"/>
      <c r="DMF165" s="21"/>
      <c r="DMG165" s="21"/>
      <c r="DMH165" s="21"/>
      <c r="DMI165" s="21"/>
      <c r="DMJ165" s="20"/>
      <c r="DMK165" s="20"/>
      <c r="DML165" s="20"/>
      <c r="DMM165" s="20"/>
      <c r="DMN165" s="21"/>
      <c r="DMO165" s="21"/>
      <c r="DMP165" s="7"/>
      <c r="DMQ165" s="7"/>
      <c r="DMR165" s="21"/>
      <c r="DMS165" s="20"/>
      <c r="DMT165" s="20"/>
      <c r="DMU165" s="20"/>
      <c r="DMV165" s="21"/>
      <c r="DMW165" s="21"/>
      <c r="DMX165" s="21"/>
      <c r="DMY165" s="21"/>
      <c r="DMZ165" s="21"/>
      <c r="DNA165" s="20"/>
      <c r="DNB165" s="20"/>
      <c r="DNC165" s="20"/>
      <c r="DND165" s="20"/>
      <c r="DNE165" s="21"/>
      <c r="DNF165" s="21"/>
      <c r="DNG165" s="7"/>
      <c r="DNH165" s="7"/>
      <c r="DNI165" s="21"/>
      <c r="DNJ165" s="20"/>
      <c r="DNK165" s="20"/>
      <c r="DNL165" s="20"/>
      <c r="DNM165" s="21"/>
      <c r="DNN165" s="21"/>
      <c r="DNO165" s="21"/>
      <c r="DNP165" s="21"/>
      <c r="DNQ165" s="21"/>
      <c r="DNR165" s="20"/>
      <c r="DNS165" s="20"/>
      <c r="DNT165" s="20"/>
      <c r="DNU165" s="20"/>
      <c r="DNV165" s="21"/>
      <c r="DNW165" s="21"/>
      <c r="DNX165" s="7"/>
      <c r="DNY165" s="7"/>
      <c r="DNZ165" s="21"/>
      <c r="DOA165" s="20"/>
      <c r="DOB165" s="20"/>
      <c r="DOC165" s="20"/>
      <c r="DOD165" s="21"/>
      <c r="DOE165" s="21"/>
      <c r="DOF165" s="21"/>
      <c r="DOG165" s="21"/>
      <c r="DOH165" s="21"/>
      <c r="DOI165" s="20"/>
      <c r="DOJ165" s="20"/>
      <c r="DOK165" s="20"/>
      <c r="DOL165" s="20"/>
      <c r="DOM165" s="21"/>
      <c r="DON165" s="21"/>
      <c r="DOO165" s="7"/>
      <c r="DOP165" s="7"/>
      <c r="DOQ165" s="21"/>
      <c r="DOR165" s="20"/>
      <c r="DOS165" s="20"/>
      <c r="DOT165" s="20"/>
      <c r="DOU165" s="21"/>
      <c r="DOV165" s="21"/>
      <c r="DOW165" s="21"/>
      <c r="DOX165" s="21"/>
      <c r="DOY165" s="21"/>
      <c r="DOZ165" s="20"/>
      <c r="DPA165" s="20"/>
      <c r="DPB165" s="20"/>
      <c r="DPC165" s="20"/>
      <c r="DPD165" s="21"/>
      <c r="DPE165" s="21"/>
      <c r="DPF165" s="7"/>
      <c r="DPG165" s="7"/>
      <c r="DPH165" s="21"/>
      <c r="DPI165" s="20"/>
      <c r="DPJ165" s="20"/>
      <c r="DPK165" s="20"/>
      <c r="DPL165" s="21"/>
      <c r="DPM165" s="21"/>
      <c r="DPN165" s="21"/>
      <c r="DPO165" s="21"/>
      <c r="DPP165" s="21"/>
      <c r="DPQ165" s="20"/>
      <c r="DPR165" s="20"/>
      <c r="DPS165" s="20"/>
      <c r="DPT165" s="20"/>
      <c r="DPU165" s="21"/>
      <c r="DPV165" s="21"/>
      <c r="DPW165" s="7"/>
      <c r="DPX165" s="7"/>
      <c r="DPY165" s="21"/>
      <c r="DPZ165" s="20"/>
      <c r="DQA165" s="20"/>
      <c r="DQB165" s="20"/>
      <c r="DQC165" s="21"/>
      <c r="DQD165" s="21"/>
      <c r="DQE165" s="21"/>
      <c r="DQF165" s="21"/>
      <c r="DQG165" s="21"/>
      <c r="DQH165" s="20"/>
      <c r="DQI165" s="20"/>
      <c r="DQJ165" s="20"/>
      <c r="DQK165" s="20"/>
      <c r="DQL165" s="21"/>
      <c r="DQM165" s="21"/>
      <c r="DQN165" s="7"/>
      <c r="DQO165" s="7"/>
      <c r="DQP165" s="21"/>
      <c r="DQQ165" s="20"/>
      <c r="DQR165" s="20"/>
      <c r="DQS165" s="20"/>
      <c r="DQT165" s="21"/>
      <c r="DQU165" s="21"/>
      <c r="DQV165" s="21"/>
      <c r="DQW165" s="21"/>
      <c r="DQX165" s="21"/>
      <c r="DQY165" s="20"/>
      <c r="DQZ165" s="20"/>
      <c r="DRA165" s="20"/>
      <c r="DRB165" s="20"/>
      <c r="DRC165" s="21"/>
      <c r="DRD165" s="21"/>
      <c r="DRE165" s="7"/>
      <c r="DRF165" s="7"/>
      <c r="DRG165" s="21"/>
      <c r="DRH165" s="20"/>
      <c r="DRI165" s="20"/>
      <c r="DRJ165" s="20"/>
      <c r="DRK165" s="21"/>
      <c r="DRL165" s="21"/>
      <c r="DRM165" s="21"/>
      <c r="DRN165" s="21"/>
      <c r="DRO165" s="21"/>
      <c r="DRP165" s="20"/>
      <c r="DRQ165" s="20"/>
      <c r="DRR165" s="20"/>
      <c r="DRS165" s="20"/>
      <c r="DRT165" s="21"/>
      <c r="DRU165" s="21"/>
      <c r="DRV165" s="7"/>
      <c r="DRW165" s="7"/>
      <c r="DRX165" s="21"/>
      <c r="DRY165" s="20"/>
      <c r="DRZ165" s="20"/>
      <c r="DSA165" s="20"/>
      <c r="DSB165" s="21"/>
      <c r="DSC165" s="21"/>
      <c r="DSD165" s="21"/>
      <c r="DSE165" s="21"/>
      <c r="DSF165" s="21"/>
      <c r="DSG165" s="20"/>
      <c r="DSH165" s="20"/>
      <c r="DSI165" s="20"/>
      <c r="DSJ165" s="20"/>
      <c r="DSK165" s="21"/>
      <c r="DSL165" s="21"/>
      <c r="DSM165" s="7"/>
      <c r="DSN165" s="7"/>
      <c r="DSO165" s="21"/>
      <c r="DSP165" s="20"/>
      <c r="DSQ165" s="20"/>
      <c r="DSR165" s="20"/>
      <c r="DSS165" s="21"/>
      <c r="DST165" s="21"/>
      <c r="DSU165" s="21"/>
      <c r="DSV165" s="21"/>
      <c r="DSW165" s="21"/>
      <c r="DSX165" s="20"/>
      <c r="DSY165" s="20"/>
      <c r="DSZ165" s="20"/>
      <c r="DTA165" s="20"/>
      <c r="DTB165" s="21"/>
      <c r="DTC165" s="21"/>
      <c r="DTD165" s="7"/>
      <c r="DTE165" s="7"/>
      <c r="DTF165" s="21"/>
      <c r="DTG165" s="20"/>
      <c r="DTH165" s="20"/>
      <c r="DTI165" s="20"/>
      <c r="DTJ165" s="21"/>
      <c r="DTK165" s="21"/>
      <c r="DTL165" s="21"/>
      <c r="DTM165" s="21"/>
      <c r="DTN165" s="21"/>
      <c r="DTO165" s="20"/>
      <c r="DTP165" s="20"/>
      <c r="DTQ165" s="20"/>
      <c r="DTR165" s="20"/>
      <c r="DTS165" s="21"/>
      <c r="DTT165" s="21"/>
      <c r="DTU165" s="7"/>
      <c r="DTV165" s="7"/>
      <c r="DTW165" s="21"/>
      <c r="DTX165" s="20"/>
      <c r="DTY165" s="20"/>
      <c r="DTZ165" s="20"/>
      <c r="DUA165" s="21"/>
      <c r="DUB165" s="21"/>
      <c r="DUC165" s="21"/>
      <c r="DUD165" s="21"/>
      <c r="DUE165" s="21"/>
      <c r="DUF165" s="20"/>
      <c r="DUG165" s="20"/>
      <c r="DUH165" s="20"/>
      <c r="DUI165" s="20"/>
      <c r="DUJ165" s="21"/>
      <c r="DUK165" s="21"/>
      <c r="DUL165" s="7"/>
      <c r="DUM165" s="7"/>
      <c r="DUN165" s="21"/>
      <c r="DUO165" s="20"/>
      <c r="DUP165" s="20"/>
      <c r="DUQ165" s="20"/>
      <c r="DUR165" s="21"/>
      <c r="DUS165" s="21"/>
      <c r="DUT165" s="21"/>
      <c r="DUU165" s="21"/>
      <c r="DUV165" s="21"/>
      <c r="DUW165" s="20"/>
      <c r="DUX165" s="20"/>
      <c r="DUY165" s="20"/>
      <c r="DUZ165" s="20"/>
      <c r="DVA165" s="21"/>
      <c r="DVB165" s="21"/>
      <c r="DVC165" s="7"/>
      <c r="DVD165" s="7"/>
      <c r="DVE165" s="21"/>
      <c r="DVF165" s="20"/>
      <c r="DVG165" s="20"/>
      <c r="DVH165" s="20"/>
      <c r="DVI165" s="21"/>
      <c r="DVJ165" s="21"/>
      <c r="DVK165" s="21"/>
      <c r="DVL165" s="21"/>
      <c r="DVM165" s="21"/>
      <c r="DVN165" s="20"/>
      <c r="DVO165" s="20"/>
      <c r="DVP165" s="20"/>
      <c r="DVQ165" s="20"/>
      <c r="DVR165" s="21"/>
      <c r="DVS165" s="21"/>
      <c r="DVT165" s="7"/>
      <c r="DVU165" s="7"/>
      <c r="DVV165" s="21"/>
      <c r="DVW165" s="20"/>
      <c r="DVX165" s="20"/>
      <c r="DVY165" s="20"/>
      <c r="DVZ165" s="21"/>
      <c r="DWA165" s="21"/>
      <c r="DWB165" s="21"/>
      <c r="DWC165" s="21"/>
      <c r="DWD165" s="21"/>
      <c r="DWE165" s="20"/>
      <c r="DWF165" s="20"/>
      <c r="DWG165" s="20"/>
      <c r="DWH165" s="20"/>
      <c r="DWI165" s="21"/>
      <c r="DWJ165" s="21"/>
      <c r="DWK165" s="7"/>
      <c r="DWL165" s="7"/>
      <c r="DWM165" s="21"/>
      <c r="DWN165" s="20"/>
      <c r="DWO165" s="20"/>
      <c r="DWP165" s="20"/>
      <c r="DWQ165" s="21"/>
      <c r="DWR165" s="21"/>
      <c r="DWS165" s="21"/>
      <c r="DWT165" s="21"/>
      <c r="DWU165" s="21"/>
      <c r="DWV165" s="20"/>
      <c r="DWW165" s="20"/>
      <c r="DWX165" s="20"/>
      <c r="DWY165" s="20"/>
      <c r="DWZ165" s="21"/>
      <c r="DXA165" s="21"/>
      <c r="DXB165" s="7"/>
      <c r="DXC165" s="7"/>
      <c r="DXD165" s="21"/>
      <c r="DXE165" s="20"/>
      <c r="DXF165" s="20"/>
      <c r="DXG165" s="20"/>
      <c r="DXH165" s="21"/>
      <c r="DXI165" s="21"/>
      <c r="DXJ165" s="21"/>
      <c r="DXK165" s="21"/>
      <c r="DXL165" s="21"/>
      <c r="DXM165" s="20"/>
      <c r="DXN165" s="20"/>
      <c r="DXO165" s="20"/>
      <c r="DXP165" s="20"/>
      <c r="DXQ165" s="21"/>
      <c r="DXR165" s="21"/>
      <c r="DXS165" s="7"/>
      <c r="DXT165" s="7"/>
      <c r="DXU165" s="21"/>
      <c r="DXV165" s="20"/>
      <c r="DXW165" s="20"/>
      <c r="DXX165" s="20"/>
      <c r="DXY165" s="21"/>
      <c r="DXZ165" s="21"/>
      <c r="DYA165" s="21"/>
      <c r="DYB165" s="21"/>
      <c r="DYC165" s="21"/>
      <c r="DYD165" s="20"/>
      <c r="DYE165" s="20"/>
      <c r="DYF165" s="20"/>
      <c r="DYG165" s="20"/>
      <c r="DYH165" s="21"/>
      <c r="DYI165" s="21"/>
      <c r="DYJ165" s="7"/>
      <c r="DYK165" s="7"/>
      <c r="DYL165" s="21"/>
      <c r="DYM165" s="20"/>
      <c r="DYN165" s="20"/>
      <c r="DYO165" s="20"/>
      <c r="DYP165" s="21"/>
      <c r="DYQ165" s="21"/>
      <c r="DYR165" s="21"/>
      <c r="DYS165" s="21"/>
      <c r="DYT165" s="21"/>
      <c r="DYU165" s="20"/>
      <c r="DYV165" s="20"/>
      <c r="DYW165" s="20"/>
      <c r="DYX165" s="20"/>
      <c r="DYY165" s="21"/>
      <c r="DYZ165" s="21"/>
      <c r="DZA165" s="7"/>
      <c r="DZB165" s="7"/>
      <c r="DZC165" s="21"/>
      <c r="DZD165" s="20"/>
      <c r="DZE165" s="20"/>
      <c r="DZF165" s="20"/>
      <c r="DZG165" s="21"/>
      <c r="DZH165" s="21"/>
      <c r="DZI165" s="21"/>
      <c r="DZJ165" s="21"/>
      <c r="DZK165" s="21"/>
      <c r="DZL165" s="20"/>
      <c r="DZM165" s="20"/>
      <c r="DZN165" s="20"/>
      <c r="DZO165" s="20"/>
      <c r="DZP165" s="21"/>
      <c r="DZQ165" s="21"/>
      <c r="DZR165" s="7"/>
      <c r="DZS165" s="7"/>
      <c r="DZT165" s="21"/>
      <c r="DZU165" s="20"/>
      <c r="DZV165" s="20"/>
      <c r="DZW165" s="20"/>
      <c r="DZX165" s="21"/>
      <c r="DZY165" s="21"/>
      <c r="DZZ165" s="21"/>
      <c r="EAA165" s="21"/>
      <c r="EAB165" s="21"/>
      <c r="EAC165" s="20"/>
      <c r="EAD165" s="20"/>
      <c r="EAE165" s="20"/>
      <c r="EAF165" s="20"/>
      <c r="EAG165" s="21"/>
      <c r="EAH165" s="21"/>
      <c r="EAI165" s="7"/>
      <c r="EAJ165" s="7"/>
      <c r="EAK165" s="21"/>
      <c r="EAL165" s="20"/>
      <c r="EAM165" s="20"/>
      <c r="EAN165" s="20"/>
      <c r="EAO165" s="21"/>
      <c r="EAP165" s="21"/>
      <c r="EAQ165" s="21"/>
      <c r="EAR165" s="21"/>
      <c r="EAS165" s="21"/>
      <c r="EAT165" s="20"/>
      <c r="EAU165" s="20"/>
      <c r="EAV165" s="20"/>
      <c r="EAW165" s="20"/>
      <c r="EAX165" s="21"/>
      <c r="EAY165" s="21"/>
      <c r="EAZ165" s="7"/>
      <c r="EBA165" s="7"/>
      <c r="EBB165" s="21"/>
      <c r="EBC165" s="20"/>
      <c r="EBD165" s="20"/>
      <c r="EBE165" s="20"/>
      <c r="EBF165" s="21"/>
      <c r="EBG165" s="21"/>
      <c r="EBH165" s="21"/>
      <c r="EBI165" s="21"/>
      <c r="EBJ165" s="21"/>
      <c r="EBK165" s="20"/>
      <c r="EBL165" s="20"/>
      <c r="EBM165" s="20"/>
      <c r="EBN165" s="20"/>
      <c r="EBO165" s="21"/>
      <c r="EBP165" s="21"/>
      <c r="EBQ165" s="7"/>
      <c r="EBR165" s="7"/>
      <c r="EBS165" s="21"/>
      <c r="EBT165" s="20"/>
      <c r="EBU165" s="20"/>
      <c r="EBV165" s="20"/>
      <c r="EBW165" s="21"/>
      <c r="EBX165" s="21"/>
      <c r="EBY165" s="21"/>
      <c r="EBZ165" s="21"/>
      <c r="ECA165" s="21"/>
      <c r="ECB165" s="20"/>
      <c r="ECC165" s="20"/>
      <c r="ECD165" s="20"/>
      <c r="ECE165" s="20"/>
      <c r="ECF165" s="21"/>
      <c r="ECG165" s="21"/>
      <c r="ECH165" s="7"/>
      <c r="ECI165" s="7"/>
      <c r="ECJ165" s="21"/>
      <c r="ECK165" s="20"/>
      <c r="ECL165" s="20"/>
      <c r="ECM165" s="20"/>
      <c r="ECN165" s="21"/>
      <c r="ECO165" s="21"/>
      <c r="ECP165" s="21"/>
      <c r="ECQ165" s="21"/>
      <c r="ECR165" s="21"/>
      <c r="ECS165" s="20"/>
      <c r="ECT165" s="20"/>
      <c r="ECU165" s="20"/>
      <c r="ECV165" s="20"/>
      <c r="ECW165" s="21"/>
      <c r="ECX165" s="21"/>
      <c r="ECY165" s="7"/>
      <c r="ECZ165" s="7"/>
      <c r="EDA165" s="21"/>
      <c r="EDB165" s="20"/>
      <c r="EDC165" s="20"/>
      <c r="EDD165" s="20"/>
      <c r="EDE165" s="21"/>
      <c r="EDF165" s="21"/>
      <c r="EDG165" s="21"/>
      <c r="EDH165" s="21"/>
      <c r="EDI165" s="21"/>
      <c r="EDJ165" s="20"/>
      <c r="EDK165" s="20"/>
      <c r="EDL165" s="20"/>
      <c r="EDM165" s="20"/>
      <c r="EDN165" s="21"/>
      <c r="EDO165" s="21"/>
      <c r="EDP165" s="7"/>
      <c r="EDQ165" s="7"/>
      <c r="EDR165" s="21"/>
      <c r="EDS165" s="20"/>
      <c r="EDT165" s="20"/>
      <c r="EDU165" s="20"/>
      <c r="EDV165" s="21"/>
      <c r="EDW165" s="21"/>
      <c r="EDX165" s="21"/>
      <c r="EDY165" s="21"/>
      <c r="EDZ165" s="21"/>
      <c r="EEA165" s="20"/>
      <c r="EEB165" s="20"/>
      <c r="EEC165" s="20"/>
      <c r="EED165" s="20"/>
      <c r="EEE165" s="21"/>
      <c r="EEF165" s="21"/>
      <c r="EEG165" s="7"/>
      <c r="EEH165" s="7"/>
      <c r="EEI165" s="21"/>
      <c r="EEJ165" s="20"/>
      <c r="EEK165" s="20"/>
      <c r="EEL165" s="20"/>
      <c r="EEM165" s="21"/>
      <c r="EEN165" s="21"/>
      <c r="EEO165" s="21"/>
      <c r="EEP165" s="21"/>
      <c r="EEQ165" s="21"/>
      <c r="EER165" s="20"/>
      <c r="EES165" s="20"/>
      <c r="EET165" s="20"/>
      <c r="EEU165" s="20"/>
      <c r="EEV165" s="21"/>
      <c r="EEW165" s="21"/>
      <c r="EEX165" s="7"/>
      <c r="EEY165" s="7"/>
      <c r="EEZ165" s="21"/>
      <c r="EFA165" s="20"/>
      <c r="EFB165" s="20"/>
      <c r="EFC165" s="20"/>
      <c r="EFD165" s="21"/>
      <c r="EFE165" s="21"/>
      <c r="EFF165" s="21"/>
      <c r="EFG165" s="21"/>
      <c r="EFH165" s="21"/>
      <c r="EFI165" s="20"/>
      <c r="EFJ165" s="20"/>
      <c r="EFK165" s="20"/>
      <c r="EFL165" s="20"/>
      <c r="EFM165" s="21"/>
      <c r="EFN165" s="21"/>
      <c r="EFO165" s="7"/>
      <c r="EFP165" s="7"/>
      <c r="EFQ165" s="21"/>
      <c r="EFR165" s="20"/>
      <c r="EFS165" s="20"/>
      <c r="EFT165" s="20"/>
      <c r="EFU165" s="21"/>
      <c r="EFV165" s="21"/>
      <c r="EFW165" s="21"/>
      <c r="EFX165" s="21"/>
      <c r="EFY165" s="21"/>
      <c r="EFZ165" s="20"/>
      <c r="EGA165" s="20"/>
      <c r="EGB165" s="20"/>
      <c r="EGC165" s="20"/>
      <c r="EGD165" s="21"/>
      <c r="EGE165" s="21"/>
      <c r="EGF165" s="7"/>
      <c r="EGG165" s="7"/>
      <c r="EGH165" s="21"/>
      <c r="EGI165" s="20"/>
      <c r="EGJ165" s="20"/>
      <c r="EGK165" s="20"/>
      <c r="EGL165" s="21"/>
      <c r="EGM165" s="21"/>
      <c r="EGN165" s="21"/>
      <c r="EGO165" s="21"/>
      <c r="EGP165" s="21"/>
      <c r="EGQ165" s="20"/>
      <c r="EGR165" s="20"/>
      <c r="EGS165" s="20"/>
      <c r="EGT165" s="20"/>
      <c r="EGU165" s="21"/>
      <c r="EGV165" s="21"/>
      <c r="EGW165" s="7"/>
      <c r="EGX165" s="7"/>
      <c r="EGY165" s="21"/>
      <c r="EGZ165" s="20"/>
      <c r="EHA165" s="20"/>
      <c r="EHB165" s="20"/>
      <c r="EHC165" s="21"/>
      <c r="EHD165" s="21"/>
      <c r="EHE165" s="21"/>
      <c r="EHF165" s="21"/>
      <c r="EHG165" s="21"/>
      <c r="EHH165" s="20"/>
      <c r="EHI165" s="20"/>
      <c r="EHJ165" s="20"/>
      <c r="EHK165" s="20"/>
      <c r="EHL165" s="21"/>
      <c r="EHM165" s="21"/>
      <c r="EHN165" s="7"/>
      <c r="EHO165" s="7"/>
      <c r="EHP165" s="21"/>
      <c r="EHQ165" s="20"/>
      <c r="EHR165" s="20"/>
      <c r="EHS165" s="20"/>
      <c r="EHT165" s="21"/>
      <c r="EHU165" s="21"/>
      <c r="EHV165" s="21"/>
      <c r="EHW165" s="21"/>
      <c r="EHX165" s="21"/>
      <c r="EHY165" s="20"/>
      <c r="EHZ165" s="20"/>
      <c r="EIA165" s="20"/>
      <c r="EIB165" s="20"/>
      <c r="EIC165" s="21"/>
      <c r="EID165" s="21"/>
      <c r="EIE165" s="7"/>
      <c r="EIF165" s="7"/>
      <c r="EIG165" s="21"/>
      <c r="EIH165" s="20"/>
      <c r="EII165" s="20"/>
      <c r="EIJ165" s="20"/>
      <c r="EIK165" s="21"/>
      <c r="EIL165" s="21"/>
      <c r="EIM165" s="21"/>
      <c r="EIN165" s="21"/>
      <c r="EIO165" s="21"/>
      <c r="EIP165" s="20"/>
      <c r="EIQ165" s="20"/>
      <c r="EIR165" s="20"/>
      <c r="EIS165" s="20"/>
      <c r="EIT165" s="21"/>
      <c r="EIU165" s="21"/>
      <c r="EIV165" s="7"/>
      <c r="EIW165" s="7"/>
      <c r="EIX165" s="21"/>
      <c r="EIY165" s="20"/>
      <c r="EIZ165" s="20"/>
      <c r="EJA165" s="20"/>
      <c r="EJB165" s="21"/>
      <c r="EJC165" s="21"/>
      <c r="EJD165" s="21"/>
      <c r="EJE165" s="21"/>
      <c r="EJF165" s="21"/>
      <c r="EJG165" s="20"/>
      <c r="EJH165" s="20"/>
      <c r="EJI165" s="20"/>
      <c r="EJJ165" s="20"/>
      <c r="EJK165" s="21"/>
      <c r="EJL165" s="21"/>
      <c r="EJM165" s="7"/>
      <c r="EJN165" s="7"/>
      <c r="EJO165" s="21"/>
      <c r="EJP165" s="20"/>
      <c r="EJQ165" s="20"/>
      <c r="EJR165" s="20"/>
      <c r="EJS165" s="21"/>
      <c r="EJT165" s="21"/>
      <c r="EJU165" s="21"/>
      <c r="EJV165" s="21"/>
      <c r="EJW165" s="21"/>
      <c r="EJX165" s="20"/>
      <c r="EJY165" s="20"/>
      <c r="EJZ165" s="20"/>
      <c r="EKA165" s="20"/>
      <c r="EKB165" s="21"/>
      <c r="EKC165" s="21"/>
      <c r="EKD165" s="7"/>
      <c r="EKE165" s="7"/>
      <c r="EKF165" s="21"/>
      <c r="EKG165" s="20"/>
      <c r="EKH165" s="20"/>
      <c r="EKI165" s="20"/>
      <c r="EKJ165" s="21"/>
      <c r="EKK165" s="21"/>
      <c r="EKL165" s="21"/>
      <c r="EKM165" s="21"/>
      <c r="EKN165" s="21"/>
      <c r="EKO165" s="20"/>
      <c r="EKP165" s="20"/>
      <c r="EKQ165" s="20"/>
      <c r="EKR165" s="20"/>
      <c r="EKS165" s="21"/>
      <c r="EKT165" s="21"/>
      <c r="EKU165" s="7"/>
      <c r="EKV165" s="7"/>
      <c r="EKW165" s="21"/>
      <c r="EKX165" s="20"/>
      <c r="EKY165" s="20"/>
      <c r="EKZ165" s="20"/>
      <c r="ELA165" s="21"/>
      <c r="ELB165" s="21"/>
      <c r="ELC165" s="21"/>
      <c r="ELD165" s="21"/>
      <c r="ELE165" s="21"/>
      <c r="ELF165" s="20"/>
      <c r="ELG165" s="20"/>
      <c r="ELH165" s="20"/>
      <c r="ELI165" s="20"/>
      <c r="ELJ165" s="21"/>
      <c r="ELK165" s="21"/>
      <c r="ELL165" s="7"/>
      <c r="ELM165" s="7"/>
      <c r="ELN165" s="21"/>
      <c r="ELO165" s="20"/>
      <c r="ELP165" s="20"/>
      <c r="ELQ165" s="20"/>
      <c r="ELR165" s="21"/>
      <c r="ELS165" s="21"/>
      <c r="ELT165" s="21"/>
      <c r="ELU165" s="21"/>
      <c r="ELV165" s="21"/>
      <c r="ELW165" s="20"/>
      <c r="ELX165" s="20"/>
      <c r="ELY165" s="20"/>
      <c r="ELZ165" s="20"/>
      <c r="EMA165" s="21"/>
      <c r="EMB165" s="21"/>
      <c r="EMC165" s="7"/>
      <c r="EMD165" s="7"/>
      <c r="EME165" s="21"/>
      <c r="EMF165" s="20"/>
      <c r="EMG165" s="20"/>
      <c r="EMH165" s="20"/>
      <c r="EMI165" s="21"/>
      <c r="EMJ165" s="21"/>
      <c r="EMK165" s="21"/>
      <c r="EML165" s="21"/>
      <c r="EMM165" s="21"/>
      <c r="EMN165" s="20"/>
      <c r="EMO165" s="20"/>
      <c r="EMP165" s="20"/>
      <c r="EMQ165" s="20"/>
      <c r="EMR165" s="21"/>
      <c r="EMS165" s="21"/>
      <c r="EMT165" s="7"/>
      <c r="EMU165" s="7"/>
      <c r="EMV165" s="21"/>
      <c r="EMW165" s="20"/>
      <c r="EMX165" s="20"/>
      <c r="EMY165" s="20"/>
      <c r="EMZ165" s="21"/>
      <c r="ENA165" s="21"/>
      <c r="ENB165" s="21"/>
      <c r="ENC165" s="21"/>
      <c r="END165" s="21"/>
      <c r="ENE165" s="20"/>
      <c r="ENF165" s="20"/>
      <c r="ENG165" s="20"/>
      <c r="ENH165" s="20"/>
      <c r="ENI165" s="21"/>
      <c r="ENJ165" s="21"/>
      <c r="ENK165" s="7"/>
      <c r="ENL165" s="7"/>
      <c r="ENM165" s="21"/>
      <c r="ENN165" s="20"/>
      <c r="ENO165" s="20"/>
      <c r="ENP165" s="20"/>
      <c r="ENQ165" s="21"/>
      <c r="ENR165" s="21"/>
      <c r="ENS165" s="21"/>
      <c r="ENT165" s="21"/>
      <c r="ENU165" s="21"/>
      <c r="ENV165" s="20"/>
      <c r="ENW165" s="20"/>
      <c r="ENX165" s="20"/>
      <c r="ENY165" s="20"/>
      <c r="ENZ165" s="21"/>
      <c r="EOA165" s="21"/>
      <c r="EOB165" s="7"/>
      <c r="EOC165" s="7"/>
      <c r="EOD165" s="21"/>
      <c r="EOE165" s="20"/>
      <c r="EOF165" s="20"/>
      <c r="EOG165" s="20"/>
      <c r="EOH165" s="21"/>
      <c r="EOI165" s="21"/>
      <c r="EOJ165" s="21"/>
      <c r="EOK165" s="21"/>
      <c r="EOL165" s="21"/>
      <c r="EOM165" s="20"/>
      <c r="EON165" s="20"/>
      <c r="EOO165" s="20"/>
      <c r="EOP165" s="20"/>
      <c r="EOQ165" s="21"/>
      <c r="EOR165" s="21"/>
      <c r="EOS165" s="7"/>
      <c r="EOT165" s="7"/>
      <c r="EOU165" s="21"/>
      <c r="EOV165" s="20"/>
      <c r="EOW165" s="20"/>
      <c r="EOX165" s="20"/>
      <c r="EOY165" s="21"/>
      <c r="EOZ165" s="21"/>
      <c r="EPA165" s="21"/>
      <c r="EPB165" s="21"/>
      <c r="EPC165" s="21"/>
      <c r="EPD165" s="20"/>
      <c r="EPE165" s="20"/>
      <c r="EPF165" s="20"/>
      <c r="EPG165" s="20"/>
      <c r="EPH165" s="21"/>
      <c r="EPI165" s="21"/>
      <c r="EPJ165" s="7"/>
      <c r="EPK165" s="7"/>
      <c r="EPL165" s="21"/>
      <c r="EPM165" s="20"/>
      <c r="EPN165" s="20"/>
      <c r="EPO165" s="20"/>
      <c r="EPP165" s="21"/>
      <c r="EPQ165" s="21"/>
      <c r="EPR165" s="21"/>
      <c r="EPS165" s="21"/>
      <c r="EPT165" s="21"/>
      <c r="EPU165" s="20"/>
      <c r="EPV165" s="20"/>
      <c r="EPW165" s="20"/>
      <c r="EPX165" s="20"/>
      <c r="EPY165" s="21"/>
      <c r="EPZ165" s="21"/>
      <c r="EQA165" s="7"/>
      <c r="EQB165" s="7"/>
      <c r="EQC165" s="21"/>
      <c r="EQD165" s="20"/>
      <c r="EQE165" s="20"/>
      <c r="EQF165" s="20"/>
      <c r="EQG165" s="21"/>
      <c r="EQH165" s="21"/>
      <c r="EQI165" s="21"/>
      <c r="EQJ165" s="21"/>
      <c r="EQK165" s="21"/>
      <c r="EQL165" s="20"/>
      <c r="EQM165" s="20"/>
      <c r="EQN165" s="20"/>
      <c r="EQO165" s="20"/>
      <c r="EQP165" s="21"/>
      <c r="EQQ165" s="21"/>
      <c r="EQR165" s="7"/>
      <c r="EQS165" s="7"/>
      <c r="EQT165" s="21"/>
      <c r="EQU165" s="20"/>
      <c r="EQV165" s="20"/>
      <c r="EQW165" s="20"/>
      <c r="EQX165" s="21"/>
      <c r="EQY165" s="21"/>
      <c r="EQZ165" s="21"/>
      <c r="ERA165" s="21"/>
      <c r="ERB165" s="21"/>
      <c r="ERC165" s="20"/>
      <c r="ERD165" s="20"/>
      <c r="ERE165" s="20"/>
      <c r="ERF165" s="20"/>
      <c r="ERG165" s="21"/>
      <c r="ERH165" s="21"/>
      <c r="ERI165" s="7"/>
      <c r="ERJ165" s="7"/>
      <c r="ERK165" s="21"/>
      <c r="ERL165" s="20"/>
      <c r="ERM165" s="20"/>
      <c r="ERN165" s="20"/>
      <c r="ERO165" s="21"/>
      <c r="ERP165" s="21"/>
      <c r="ERQ165" s="21"/>
      <c r="ERR165" s="21"/>
      <c r="ERS165" s="21"/>
      <c r="ERT165" s="20"/>
      <c r="ERU165" s="20"/>
      <c r="ERV165" s="20"/>
      <c r="ERW165" s="20"/>
      <c r="ERX165" s="21"/>
      <c r="ERY165" s="21"/>
      <c r="ERZ165" s="7"/>
      <c r="ESA165" s="7"/>
      <c r="ESB165" s="21"/>
      <c r="ESC165" s="20"/>
      <c r="ESD165" s="20"/>
      <c r="ESE165" s="20"/>
      <c r="ESF165" s="21"/>
      <c r="ESG165" s="21"/>
      <c r="ESH165" s="21"/>
      <c r="ESI165" s="21"/>
      <c r="ESJ165" s="21"/>
      <c r="ESK165" s="20"/>
      <c r="ESL165" s="20"/>
      <c r="ESM165" s="20"/>
      <c r="ESN165" s="20"/>
      <c r="ESO165" s="21"/>
      <c r="ESP165" s="21"/>
      <c r="ESQ165" s="7"/>
      <c r="ESR165" s="7"/>
      <c r="ESS165" s="21"/>
      <c r="EST165" s="20"/>
      <c r="ESU165" s="20"/>
      <c r="ESV165" s="20"/>
      <c r="ESW165" s="21"/>
      <c r="ESX165" s="21"/>
      <c r="ESY165" s="21"/>
      <c r="ESZ165" s="21"/>
      <c r="ETA165" s="21"/>
      <c r="ETB165" s="20"/>
      <c r="ETC165" s="20"/>
      <c r="ETD165" s="20"/>
      <c r="ETE165" s="20"/>
      <c r="ETF165" s="21"/>
      <c r="ETG165" s="21"/>
      <c r="ETH165" s="7"/>
      <c r="ETI165" s="7"/>
      <c r="ETJ165" s="21"/>
      <c r="ETK165" s="20"/>
      <c r="ETL165" s="20"/>
      <c r="ETM165" s="20"/>
      <c r="ETN165" s="21"/>
      <c r="ETO165" s="21"/>
      <c r="ETP165" s="21"/>
      <c r="ETQ165" s="21"/>
      <c r="ETR165" s="21"/>
      <c r="ETS165" s="20"/>
      <c r="ETT165" s="20"/>
      <c r="ETU165" s="20"/>
      <c r="ETV165" s="20"/>
      <c r="ETW165" s="21"/>
      <c r="ETX165" s="21"/>
      <c r="ETY165" s="7"/>
      <c r="ETZ165" s="7"/>
      <c r="EUA165" s="21"/>
      <c r="EUB165" s="20"/>
      <c r="EUC165" s="20"/>
      <c r="EUD165" s="20"/>
      <c r="EUE165" s="21"/>
      <c r="EUF165" s="21"/>
      <c r="EUG165" s="21"/>
      <c r="EUH165" s="21"/>
      <c r="EUI165" s="21"/>
      <c r="EUJ165" s="20"/>
      <c r="EUK165" s="20"/>
      <c r="EUL165" s="20"/>
      <c r="EUM165" s="20"/>
      <c r="EUN165" s="21"/>
      <c r="EUO165" s="21"/>
      <c r="EUP165" s="7"/>
      <c r="EUQ165" s="7"/>
      <c r="EUR165" s="21"/>
      <c r="EUS165" s="20"/>
      <c r="EUT165" s="20"/>
      <c r="EUU165" s="20"/>
      <c r="EUV165" s="21"/>
      <c r="EUW165" s="21"/>
      <c r="EUX165" s="21"/>
      <c r="EUY165" s="21"/>
      <c r="EUZ165" s="21"/>
      <c r="EVA165" s="20"/>
      <c r="EVB165" s="20"/>
      <c r="EVC165" s="20"/>
      <c r="EVD165" s="20"/>
      <c r="EVE165" s="21"/>
      <c r="EVF165" s="21"/>
      <c r="EVG165" s="7"/>
      <c r="EVH165" s="7"/>
      <c r="EVI165" s="21"/>
      <c r="EVJ165" s="20"/>
      <c r="EVK165" s="20"/>
      <c r="EVL165" s="20"/>
      <c r="EVM165" s="21"/>
      <c r="EVN165" s="21"/>
      <c r="EVO165" s="21"/>
      <c r="EVP165" s="21"/>
      <c r="EVQ165" s="21"/>
      <c r="EVR165" s="20"/>
      <c r="EVS165" s="20"/>
      <c r="EVT165" s="20"/>
      <c r="EVU165" s="20"/>
      <c r="EVV165" s="21"/>
      <c r="EVW165" s="21"/>
      <c r="EVX165" s="7"/>
      <c r="EVY165" s="7"/>
      <c r="EVZ165" s="21"/>
      <c r="EWA165" s="20"/>
      <c r="EWB165" s="20"/>
      <c r="EWC165" s="20"/>
      <c r="EWD165" s="21"/>
      <c r="EWE165" s="21"/>
      <c r="EWF165" s="21"/>
      <c r="EWG165" s="21"/>
      <c r="EWH165" s="21"/>
      <c r="EWI165" s="20"/>
      <c r="EWJ165" s="20"/>
      <c r="EWK165" s="20"/>
      <c r="EWL165" s="20"/>
      <c r="EWM165" s="21"/>
      <c r="EWN165" s="21"/>
      <c r="EWO165" s="7"/>
      <c r="EWP165" s="7"/>
      <c r="EWQ165" s="21"/>
      <c r="EWR165" s="20"/>
      <c r="EWS165" s="20"/>
      <c r="EWT165" s="20"/>
      <c r="EWU165" s="21"/>
      <c r="EWV165" s="21"/>
      <c r="EWW165" s="21"/>
      <c r="EWX165" s="21"/>
      <c r="EWY165" s="21"/>
      <c r="EWZ165" s="20"/>
      <c r="EXA165" s="20"/>
      <c r="EXB165" s="20"/>
      <c r="EXC165" s="20"/>
      <c r="EXD165" s="21"/>
      <c r="EXE165" s="21"/>
      <c r="EXF165" s="7"/>
      <c r="EXG165" s="7"/>
      <c r="EXH165" s="21"/>
      <c r="EXI165" s="20"/>
      <c r="EXJ165" s="20"/>
      <c r="EXK165" s="20"/>
      <c r="EXL165" s="21"/>
      <c r="EXM165" s="21"/>
      <c r="EXN165" s="21"/>
      <c r="EXO165" s="21"/>
      <c r="EXP165" s="21"/>
      <c r="EXQ165" s="20"/>
      <c r="EXR165" s="20"/>
      <c r="EXS165" s="20"/>
      <c r="EXT165" s="20"/>
      <c r="EXU165" s="21"/>
      <c r="EXV165" s="21"/>
      <c r="EXW165" s="7"/>
      <c r="EXX165" s="7"/>
      <c r="EXY165" s="21"/>
      <c r="EXZ165" s="20"/>
      <c r="EYA165" s="20"/>
      <c r="EYB165" s="20"/>
      <c r="EYC165" s="21"/>
      <c r="EYD165" s="21"/>
      <c r="EYE165" s="21"/>
      <c r="EYF165" s="21"/>
      <c r="EYG165" s="21"/>
      <c r="EYH165" s="20"/>
      <c r="EYI165" s="20"/>
      <c r="EYJ165" s="20"/>
      <c r="EYK165" s="20"/>
      <c r="EYL165" s="21"/>
      <c r="EYM165" s="21"/>
      <c r="EYN165" s="7"/>
      <c r="EYO165" s="7"/>
      <c r="EYP165" s="21"/>
      <c r="EYQ165" s="20"/>
      <c r="EYR165" s="20"/>
      <c r="EYS165" s="20"/>
      <c r="EYT165" s="21"/>
      <c r="EYU165" s="21"/>
      <c r="EYV165" s="21"/>
      <c r="EYW165" s="21"/>
      <c r="EYX165" s="21"/>
      <c r="EYY165" s="20"/>
      <c r="EYZ165" s="20"/>
      <c r="EZA165" s="20"/>
      <c r="EZB165" s="20"/>
      <c r="EZC165" s="21"/>
      <c r="EZD165" s="21"/>
      <c r="EZE165" s="7"/>
      <c r="EZF165" s="7"/>
      <c r="EZG165" s="21"/>
      <c r="EZH165" s="20"/>
      <c r="EZI165" s="20"/>
      <c r="EZJ165" s="20"/>
      <c r="EZK165" s="21"/>
      <c r="EZL165" s="21"/>
      <c r="EZM165" s="21"/>
      <c r="EZN165" s="21"/>
      <c r="EZO165" s="21"/>
      <c r="EZP165" s="20"/>
      <c r="EZQ165" s="20"/>
      <c r="EZR165" s="20"/>
      <c r="EZS165" s="20"/>
      <c r="EZT165" s="21"/>
      <c r="EZU165" s="21"/>
      <c r="EZV165" s="7"/>
      <c r="EZW165" s="7"/>
      <c r="EZX165" s="21"/>
      <c r="EZY165" s="20"/>
      <c r="EZZ165" s="20"/>
      <c r="FAA165" s="20"/>
      <c r="FAB165" s="21"/>
      <c r="FAC165" s="21"/>
      <c r="FAD165" s="21"/>
      <c r="FAE165" s="21"/>
      <c r="FAF165" s="21"/>
      <c r="FAG165" s="20"/>
      <c r="FAH165" s="20"/>
      <c r="FAI165" s="20"/>
      <c r="FAJ165" s="20"/>
      <c r="FAK165" s="21"/>
      <c r="FAL165" s="21"/>
      <c r="FAM165" s="7"/>
      <c r="FAN165" s="7"/>
      <c r="FAO165" s="21"/>
      <c r="FAP165" s="20"/>
      <c r="FAQ165" s="20"/>
      <c r="FAR165" s="20"/>
      <c r="FAS165" s="21"/>
      <c r="FAT165" s="21"/>
      <c r="FAU165" s="21"/>
      <c r="FAV165" s="21"/>
      <c r="FAW165" s="21"/>
      <c r="FAX165" s="20"/>
      <c r="FAY165" s="20"/>
      <c r="FAZ165" s="20"/>
      <c r="FBA165" s="20"/>
      <c r="FBB165" s="21"/>
      <c r="FBC165" s="21"/>
      <c r="FBD165" s="7"/>
      <c r="FBE165" s="7"/>
      <c r="FBF165" s="21"/>
      <c r="FBG165" s="20"/>
      <c r="FBH165" s="20"/>
      <c r="FBI165" s="20"/>
      <c r="FBJ165" s="21"/>
      <c r="FBK165" s="21"/>
      <c r="FBL165" s="21"/>
      <c r="FBM165" s="21"/>
      <c r="FBN165" s="21"/>
      <c r="FBO165" s="20"/>
      <c r="FBP165" s="20"/>
      <c r="FBQ165" s="20"/>
      <c r="FBR165" s="20"/>
      <c r="FBS165" s="21"/>
      <c r="FBT165" s="21"/>
      <c r="FBU165" s="7"/>
      <c r="FBV165" s="7"/>
      <c r="FBW165" s="21"/>
      <c r="FBX165" s="20"/>
      <c r="FBY165" s="20"/>
      <c r="FBZ165" s="20"/>
      <c r="FCA165" s="21"/>
      <c r="FCB165" s="21"/>
      <c r="FCC165" s="21"/>
      <c r="FCD165" s="21"/>
      <c r="FCE165" s="21"/>
      <c r="FCF165" s="20"/>
      <c r="FCG165" s="20"/>
      <c r="FCH165" s="20"/>
      <c r="FCI165" s="20"/>
      <c r="FCJ165" s="21"/>
      <c r="FCK165" s="21"/>
      <c r="FCL165" s="7"/>
      <c r="FCM165" s="7"/>
      <c r="FCN165" s="21"/>
      <c r="FCO165" s="20"/>
      <c r="FCP165" s="20"/>
      <c r="FCQ165" s="20"/>
      <c r="FCR165" s="21"/>
      <c r="FCS165" s="21"/>
      <c r="FCT165" s="21"/>
      <c r="FCU165" s="21"/>
      <c r="FCV165" s="21"/>
      <c r="FCW165" s="20"/>
      <c r="FCX165" s="20"/>
      <c r="FCY165" s="20"/>
      <c r="FCZ165" s="20"/>
      <c r="FDA165" s="21"/>
      <c r="FDB165" s="21"/>
      <c r="FDC165" s="7"/>
      <c r="FDD165" s="7"/>
      <c r="FDE165" s="21"/>
      <c r="FDF165" s="20"/>
      <c r="FDG165" s="20"/>
      <c r="FDH165" s="20"/>
      <c r="FDI165" s="21"/>
      <c r="FDJ165" s="21"/>
      <c r="FDK165" s="21"/>
      <c r="FDL165" s="21"/>
      <c r="FDM165" s="21"/>
      <c r="FDN165" s="20"/>
      <c r="FDO165" s="20"/>
      <c r="FDP165" s="20"/>
      <c r="FDQ165" s="20"/>
      <c r="FDR165" s="21"/>
      <c r="FDS165" s="21"/>
      <c r="FDT165" s="7"/>
      <c r="FDU165" s="7"/>
      <c r="FDV165" s="21"/>
      <c r="FDW165" s="20"/>
      <c r="FDX165" s="20"/>
      <c r="FDY165" s="20"/>
      <c r="FDZ165" s="21"/>
      <c r="FEA165" s="21"/>
      <c r="FEB165" s="21"/>
      <c r="FEC165" s="21"/>
      <c r="FED165" s="21"/>
      <c r="FEE165" s="20"/>
      <c r="FEF165" s="20"/>
      <c r="FEG165" s="20"/>
      <c r="FEH165" s="20"/>
      <c r="FEI165" s="21"/>
      <c r="FEJ165" s="21"/>
      <c r="FEK165" s="7"/>
      <c r="FEL165" s="7"/>
      <c r="FEM165" s="21"/>
      <c r="FEN165" s="20"/>
      <c r="FEO165" s="20"/>
      <c r="FEP165" s="20"/>
      <c r="FEQ165" s="21"/>
      <c r="FER165" s="21"/>
      <c r="FES165" s="21"/>
      <c r="FET165" s="21"/>
      <c r="FEU165" s="21"/>
      <c r="FEV165" s="20"/>
      <c r="FEW165" s="20"/>
      <c r="FEX165" s="20"/>
      <c r="FEY165" s="20"/>
      <c r="FEZ165" s="21"/>
      <c r="FFA165" s="21"/>
      <c r="FFB165" s="7"/>
      <c r="FFC165" s="7"/>
      <c r="FFD165" s="21"/>
      <c r="FFE165" s="20"/>
      <c r="FFF165" s="20"/>
      <c r="FFG165" s="20"/>
      <c r="FFH165" s="21"/>
      <c r="FFI165" s="21"/>
      <c r="FFJ165" s="21"/>
      <c r="FFK165" s="21"/>
      <c r="FFL165" s="21"/>
      <c r="FFM165" s="20"/>
      <c r="FFN165" s="20"/>
      <c r="FFO165" s="20"/>
      <c r="FFP165" s="20"/>
      <c r="FFQ165" s="21"/>
      <c r="FFR165" s="21"/>
      <c r="FFS165" s="7"/>
      <c r="FFT165" s="7"/>
      <c r="FFU165" s="21"/>
      <c r="FFV165" s="20"/>
      <c r="FFW165" s="20"/>
      <c r="FFX165" s="20"/>
      <c r="FFY165" s="21"/>
      <c r="FFZ165" s="21"/>
      <c r="FGA165" s="21"/>
      <c r="FGB165" s="21"/>
      <c r="FGC165" s="21"/>
      <c r="FGD165" s="20"/>
      <c r="FGE165" s="20"/>
      <c r="FGF165" s="20"/>
      <c r="FGG165" s="20"/>
      <c r="FGH165" s="21"/>
      <c r="FGI165" s="21"/>
      <c r="FGJ165" s="7"/>
      <c r="FGK165" s="7"/>
      <c r="FGL165" s="21"/>
      <c r="FGM165" s="20"/>
      <c r="FGN165" s="20"/>
      <c r="FGO165" s="20"/>
      <c r="FGP165" s="21"/>
      <c r="FGQ165" s="21"/>
      <c r="FGR165" s="21"/>
      <c r="FGS165" s="21"/>
      <c r="FGT165" s="21"/>
      <c r="FGU165" s="20"/>
      <c r="FGV165" s="20"/>
      <c r="FGW165" s="20"/>
      <c r="FGX165" s="20"/>
      <c r="FGY165" s="21"/>
      <c r="FGZ165" s="21"/>
      <c r="FHA165" s="7"/>
      <c r="FHB165" s="7"/>
      <c r="FHC165" s="21"/>
      <c r="FHD165" s="20"/>
      <c r="FHE165" s="20"/>
      <c r="FHF165" s="20"/>
      <c r="FHG165" s="21"/>
      <c r="FHH165" s="21"/>
      <c r="FHI165" s="21"/>
      <c r="FHJ165" s="21"/>
      <c r="FHK165" s="21"/>
      <c r="FHL165" s="20"/>
      <c r="FHM165" s="20"/>
      <c r="FHN165" s="20"/>
      <c r="FHO165" s="20"/>
      <c r="FHP165" s="21"/>
      <c r="FHQ165" s="21"/>
      <c r="FHR165" s="7"/>
      <c r="FHS165" s="7"/>
      <c r="FHT165" s="21"/>
      <c r="FHU165" s="20"/>
      <c r="FHV165" s="20"/>
      <c r="FHW165" s="20"/>
      <c r="FHX165" s="21"/>
      <c r="FHY165" s="21"/>
      <c r="FHZ165" s="21"/>
      <c r="FIA165" s="21"/>
      <c r="FIB165" s="21"/>
      <c r="FIC165" s="20"/>
      <c r="FID165" s="20"/>
      <c r="FIE165" s="20"/>
      <c r="FIF165" s="20"/>
      <c r="FIG165" s="21"/>
      <c r="FIH165" s="21"/>
      <c r="FII165" s="7"/>
      <c r="FIJ165" s="7"/>
      <c r="FIK165" s="21"/>
      <c r="FIL165" s="20"/>
      <c r="FIM165" s="20"/>
      <c r="FIN165" s="20"/>
      <c r="FIO165" s="21"/>
      <c r="FIP165" s="21"/>
      <c r="FIQ165" s="21"/>
      <c r="FIR165" s="21"/>
      <c r="FIS165" s="21"/>
      <c r="FIT165" s="20"/>
      <c r="FIU165" s="20"/>
      <c r="FIV165" s="20"/>
      <c r="FIW165" s="20"/>
      <c r="FIX165" s="21"/>
      <c r="FIY165" s="21"/>
      <c r="FIZ165" s="7"/>
      <c r="FJA165" s="7"/>
      <c r="FJB165" s="21"/>
      <c r="FJC165" s="20"/>
      <c r="FJD165" s="20"/>
      <c r="FJE165" s="20"/>
      <c r="FJF165" s="21"/>
      <c r="FJG165" s="21"/>
      <c r="FJH165" s="21"/>
      <c r="FJI165" s="21"/>
      <c r="FJJ165" s="21"/>
      <c r="FJK165" s="20"/>
      <c r="FJL165" s="20"/>
      <c r="FJM165" s="20"/>
      <c r="FJN165" s="20"/>
      <c r="FJO165" s="21"/>
      <c r="FJP165" s="21"/>
      <c r="FJQ165" s="7"/>
      <c r="FJR165" s="7"/>
      <c r="FJS165" s="21"/>
      <c r="FJT165" s="20"/>
      <c r="FJU165" s="20"/>
      <c r="FJV165" s="20"/>
      <c r="FJW165" s="21"/>
      <c r="FJX165" s="21"/>
      <c r="FJY165" s="21"/>
      <c r="FJZ165" s="21"/>
      <c r="FKA165" s="21"/>
      <c r="FKB165" s="20"/>
      <c r="FKC165" s="20"/>
      <c r="FKD165" s="20"/>
      <c r="FKE165" s="20"/>
      <c r="FKF165" s="21"/>
      <c r="FKG165" s="21"/>
      <c r="FKH165" s="7"/>
      <c r="FKI165" s="7"/>
      <c r="FKJ165" s="21"/>
      <c r="FKK165" s="20"/>
      <c r="FKL165" s="20"/>
      <c r="FKM165" s="20"/>
      <c r="FKN165" s="21"/>
      <c r="FKO165" s="21"/>
      <c r="FKP165" s="21"/>
      <c r="FKQ165" s="21"/>
      <c r="FKR165" s="21"/>
      <c r="FKS165" s="20"/>
      <c r="FKT165" s="20"/>
      <c r="FKU165" s="20"/>
      <c r="FKV165" s="20"/>
      <c r="FKW165" s="21"/>
      <c r="FKX165" s="21"/>
      <c r="FKY165" s="7"/>
      <c r="FKZ165" s="7"/>
      <c r="FLA165" s="21"/>
      <c r="FLB165" s="20"/>
      <c r="FLC165" s="20"/>
      <c r="FLD165" s="20"/>
      <c r="FLE165" s="21"/>
      <c r="FLF165" s="21"/>
      <c r="FLG165" s="21"/>
      <c r="FLH165" s="21"/>
      <c r="FLI165" s="21"/>
      <c r="FLJ165" s="20"/>
      <c r="FLK165" s="20"/>
      <c r="FLL165" s="20"/>
      <c r="FLM165" s="20"/>
      <c r="FLN165" s="21"/>
      <c r="FLO165" s="21"/>
      <c r="FLP165" s="7"/>
      <c r="FLQ165" s="7"/>
      <c r="FLR165" s="21"/>
      <c r="FLS165" s="20"/>
      <c r="FLT165" s="20"/>
      <c r="FLU165" s="20"/>
      <c r="FLV165" s="21"/>
      <c r="FLW165" s="21"/>
      <c r="FLX165" s="21"/>
      <c r="FLY165" s="21"/>
      <c r="FLZ165" s="21"/>
      <c r="FMA165" s="20"/>
      <c r="FMB165" s="20"/>
      <c r="FMC165" s="20"/>
      <c r="FMD165" s="20"/>
      <c r="FME165" s="21"/>
      <c r="FMF165" s="21"/>
      <c r="FMG165" s="7"/>
      <c r="FMH165" s="7"/>
      <c r="FMI165" s="21"/>
      <c r="FMJ165" s="20"/>
      <c r="FMK165" s="20"/>
      <c r="FML165" s="20"/>
      <c r="FMM165" s="21"/>
      <c r="FMN165" s="21"/>
      <c r="FMO165" s="21"/>
      <c r="FMP165" s="21"/>
      <c r="FMQ165" s="21"/>
      <c r="FMR165" s="20"/>
      <c r="FMS165" s="20"/>
      <c r="FMT165" s="20"/>
      <c r="FMU165" s="20"/>
      <c r="FMV165" s="21"/>
      <c r="FMW165" s="21"/>
      <c r="FMX165" s="7"/>
      <c r="FMY165" s="7"/>
      <c r="FMZ165" s="21"/>
      <c r="FNA165" s="20"/>
      <c r="FNB165" s="20"/>
      <c r="FNC165" s="20"/>
      <c r="FND165" s="21"/>
      <c r="FNE165" s="21"/>
      <c r="FNF165" s="21"/>
      <c r="FNG165" s="21"/>
      <c r="FNH165" s="21"/>
      <c r="FNI165" s="20"/>
      <c r="FNJ165" s="20"/>
      <c r="FNK165" s="20"/>
      <c r="FNL165" s="20"/>
      <c r="FNM165" s="21"/>
      <c r="FNN165" s="21"/>
      <c r="FNO165" s="7"/>
      <c r="FNP165" s="7"/>
      <c r="FNQ165" s="21"/>
      <c r="FNR165" s="20"/>
      <c r="FNS165" s="20"/>
      <c r="FNT165" s="20"/>
      <c r="FNU165" s="21"/>
      <c r="FNV165" s="21"/>
      <c r="FNW165" s="21"/>
      <c r="FNX165" s="21"/>
      <c r="FNY165" s="21"/>
      <c r="FNZ165" s="20"/>
      <c r="FOA165" s="20"/>
      <c r="FOB165" s="20"/>
      <c r="FOC165" s="20"/>
      <c r="FOD165" s="21"/>
      <c r="FOE165" s="21"/>
      <c r="FOF165" s="7"/>
      <c r="FOG165" s="7"/>
      <c r="FOH165" s="21"/>
      <c r="FOI165" s="20"/>
      <c r="FOJ165" s="20"/>
      <c r="FOK165" s="20"/>
      <c r="FOL165" s="21"/>
      <c r="FOM165" s="21"/>
      <c r="FON165" s="21"/>
      <c r="FOO165" s="21"/>
      <c r="FOP165" s="21"/>
      <c r="FOQ165" s="20"/>
      <c r="FOR165" s="20"/>
      <c r="FOS165" s="20"/>
      <c r="FOT165" s="20"/>
      <c r="FOU165" s="21"/>
      <c r="FOV165" s="21"/>
      <c r="FOW165" s="7"/>
      <c r="FOX165" s="7"/>
      <c r="FOY165" s="21"/>
      <c r="FOZ165" s="20"/>
      <c r="FPA165" s="20"/>
      <c r="FPB165" s="20"/>
      <c r="FPC165" s="21"/>
      <c r="FPD165" s="21"/>
      <c r="FPE165" s="21"/>
      <c r="FPF165" s="21"/>
      <c r="FPG165" s="21"/>
      <c r="FPH165" s="20"/>
      <c r="FPI165" s="20"/>
      <c r="FPJ165" s="20"/>
      <c r="FPK165" s="20"/>
      <c r="FPL165" s="21"/>
      <c r="FPM165" s="21"/>
      <c r="FPN165" s="7"/>
      <c r="FPO165" s="7"/>
      <c r="FPP165" s="21"/>
      <c r="FPQ165" s="20"/>
      <c r="FPR165" s="20"/>
      <c r="FPS165" s="20"/>
      <c r="FPT165" s="21"/>
      <c r="FPU165" s="21"/>
      <c r="FPV165" s="21"/>
      <c r="FPW165" s="21"/>
      <c r="FPX165" s="21"/>
      <c r="FPY165" s="20"/>
      <c r="FPZ165" s="20"/>
      <c r="FQA165" s="20"/>
      <c r="FQB165" s="20"/>
      <c r="FQC165" s="21"/>
      <c r="FQD165" s="21"/>
      <c r="FQE165" s="7"/>
      <c r="FQF165" s="7"/>
      <c r="FQG165" s="21"/>
      <c r="FQH165" s="20"/>
      <c r="FQI165" s="20"/>
      <c r="FQJ165" s="20"/>
      <c r="FQK165" s="21"/>
      <c r="FQL165" s="21"/>
      <c r="FQM165" s="21"/>
      <c r="FQN165" s="21"/>
      <c r="FQO165" s="21"/>
      <c r="FQP165" s="20"/>
      <c r="FQQ165" s="20"/>
      <c r="FQR165" s="20"/>
      <c r="FQS165" s="20"/>
      <c r="FQT165" s="21"/>
      <c r="FQU165" s="21"/>
      <c r="FQV165" s="7"/>
      <c r="FQW165" s="7"/>
      <c r="FQX165" s="21"/>
      <c r="FQY165" s="20"/>
      <c r="FQZ165" s="20"/>
      <c r="FRA165" s="20"/>
      <c r="FRB165" s="21"/>
      <c r="FRC165" s="21"/>
      <c r="FRD165" s="21"/>
      <c r="FRE165" s="21"/>
      <c r="FRF165" s="21"/>
      <c r="FRG165" s="20"/>
      <c r="FRH165" s="20"/>
      <c r="FRI165" s="20"/>
      <c r="FRJ165" s="20"/>
      <c r="FRK165" s="21"/>
      <c r="FRL165" s="21"/>
      <c r="FRM165" s="7"/>
      <c r="FRN165" s="7"/>
      <c r="FRO165" s="21"/>
      <c r="FRP165" s="20"/>
      <c r="FRQ165" s="20"/>
      <c r="FRR165" s="20"/>
      <c r="FRS165" s="21"/>
      <c r="FRT165" s="21"/>
      <c r="FRU165" s="21"/>
      <c r="FRV165" s="21"/>
      <c r="FRW165" s="21"/>
      <c r="FRX165" s="20"/>
      <c r="FRY165" s="20"/>
      <c r="FRZ165" s="20"/>
      <c r="FSA165" s="20"/>
      <c r="FSB165" s="21"/>
      <c r="FSC165" s="21"/>
      <c r="FSD165" s="7"/>
      <c r="FSE165" s="7"/>
      <c r="FSF165" s="21"/>
      <c r="FSG165" s="20"/>
      <c r="FSH165" s="20"/>
      <c r="FSI165" s="20"/>
      <c r="FSJ165" s="21"/>
      <c r="FSK165" s="21"/>
      <c r="FSL165" s="21"/>
      <c r="FSM165" s="21"/>
      <c r="FSN165" s="21"/>
      <c r="FSO165" s="20"/>
      <c r="FSP165" s="20"/>
      <c r="FSQ165" s="20"/>
      <c r="FSR165" s="20"/>
      <c r="FSS165" s="21"/>
      <c r="FST165" s="21"/>
      <c r="FSU165" s="7"/>
      <c r="FSV165" s="7"/>
      <c r="FSW165" s="21"/>
      <c r="FSX165" s="20"/>
      <c r="FSY165" s="20"/>
      <c r="FSZ165" s="20"/>
      <c r="FTA165" s="21"/>
      <c r="FTB165" s="21"/>
      <c r="FTC165" s="21"/>
      <c r="FTD165" s="21"/>
      <c r="FTE165" s="21"/>
      <c r="FTF165" s="20"/>
      <c r="FTG165" s="20"/>
      <c r="FTH165" s="20"/>
      <c r="FTI165" s="20"/>
      <c r="FTJ165" s="21"/>
      <c r="FTK165" s="21"/>
      <c r="FTL165" s="7"/>
      <c r="FTM165" s="7"/>
      <c r="FTN165" s="21"/>
      <c r="FTO165" s="20"/>
      <c r="FTP165" s="20"/>
      <c r="FTQ165" s="20"/>
      <c r="FTR165" s="21"/>
      <c r="FTS165" s="21"/>
      <c r="FTT165" s="21"/>
      <c r="FTU165" s="21"/>
      <c r="FTV165" s="21"/>
      <c r="FTW165" s="20"/>
      <c r="FTX165" s="20"/>
      <c r="FTY165" s="20"/>
      <c r="FTZ165" s="20"/>
      <c r="FUA165" s="21"/>
      <c r="FUB165" s="21"/>
      <c r="FUC165" s="7"/>
      <c r="FUD165" s="7"/>
      <c r="FUE165" s="21"/>
      <c r="FUF165" s="20"/>
      <c r="FUG165" s="20"/>
      <c r="FUH165" s="20"/>
      <c r="FUI165" s="21"/>
      <c r="FUJ165" s="21"/>
      <c r="FUK165" s="21"/>
      <c r="FUL165" s="21"/>
      <c r="FUM165" s="21"/>
      <c r="FUN165" s="20"/>
      <c r="FUO165" s="20"/>
      <c r="FUP165" s="20"/>
      <c r="FUQ165" s="20"/>
      <c r="FUR165" s="21"/>
      <c r="FUS165" s="21"/>
      <c r="FUT165" s="7"/>
      <c r="FUU165" s="7"/>
      <c r="FUV165" s="21"/>
      <c r="FUW165" s="20"/>
      <c r="FUX165" s="20"/>
      <c r="FUY165" s="20"/>
      <c r="FUZ165" s="21"/>
      <c r="FVA165" s="21"/>
      <c r="FVB165" s="21"/>
      <c r="FVC165" s="21"/>
      <c r="FVD165" s="21"/>
      <c r="FVE165" s="20"/>
      <c r="FVF165" s="20"/>
      <c r="FVG165" s="20"/>
      <c r="FVH165" s="20"/>
      <c r="FVI165" s="21"/>
      <c r="FVJ165" s="21"/>
      <c r="FVK165" s="7"/>
      <c r="FVL165" s="7"/>
      <c r="FVM165" s="21"/>
      <c r="FVN165" s="20"/>
      <c r="FVO165" s="20"/>
      <c r="FVP165" s="20"/>
      <c r="FVQ165" s="21"/>
      <c r="FVR165" s="21"/>
      <c r="FVS165" s="21"/>
      <c r="FVT165" s="21"/>
      <c r="FVU165" s="21"/>
      <c r="FVV165" s="20"/>
      <c r="FVW165" s="20"/>
      <c r="FVX165" s="20"/>
      <c r="FVY165" s="20"/>
      <c r="FVZ165" s="21"/>
      <c r="FWA165" s="21"/>
      <c r="FWB165" s="7"/>
      <c r="FWC165" s="7"/>
      <c r="FWD165" s="21"/>
      <c r="FWE165" s="20"/>
      <c r="FWF165" s="20"/>
      <c r="FWG165" s="20"/>
      <c r="FWH165" s="21"/>
      <c r="FWI165" s="21"/>
      <c r="FWJ165" s="21"/>
      <c r="FWK165" s="21"/>
      <c r="FWL165" s="21"/>
      <c r="FWM165" s="20"/>
      <c r="FWN165" s="20"/>
      <c r="FWO165" s="20"/>
      <c r="FWP165" s="20"/>
      <c r="FWQ165" s="21"/>
      <c r="FWR165" s="21"/>
      <c r="FWS165" s="7"/>
      <c r="FWT165" s="7"/>
      <c r="FWU165" s="21"/>
      <c r="FWV165" s="20"/>
      <c r="FWW165" s="20"/>
      <c r="FWX165" s="20"/>
      <c r="FWY165" s="21"/>
      <c r="FWZ165" s="21"/>
      <c r="FXA165" s="21"/>
      <c r="FXB165" s="21"/>
      <c r="FXC165" s="21"/>
      <c r="FXD165" s="20"/>
      <c r="FXE165" s="20"/>
      <c r="FXF165" s="20"/>
      <c r="FXG165" s="20"/>
      <c r="FXH165" s="21"/>
      <c r="FXI165" s="21"/>
      <c r="FXJ165" s="7"/>
      <c r="FXK165" s="7"/>
      <c r="FXL165" s="21"/>
      <c r="FXM165" s="20"/>
      <c r="FXN165" s="20"/>
      <c r="FXO165" s="20"/>
      <c r="FXP165" s="21"/>
      <c r="FXQ165" s="21"/>
      <c r="FXR165" s="21"/>
      <c r="FXS165" s="21"/>
      <c r="FXT165" s="21"/>
      <c r="FXU165" s="20"/>
      <c r="FXV165" s="20"/>
      <c r="FXW165" s="20"/>
      <c r="FXX165" s="20"/>
      <c r="FXY165" s="21"/>
      <c r="FXZ165" s="21"/>
      <c r="FYA165" s="7"/>
      <c r="FYB165" s="7"/>
      <c r="FYC165" s="21"/>
      <c r="FYD165" s="20"/>
      <c r="FYE165" s="20"/>
      <c r="FYF165" s="20"/>
      <c r="FYG165" s="21"/>
      <c r="FYH165" s="21"/>
      <c r="FYI165" s="21"/>
      <c r="FYJ165" s="21"/>
      <c r="FYK165" s="21"/>
      <c r="FYL165" s="20"/>
      <c r="FYM165" s="20"/>
      <c r="FYN165" s="20"/>
      <c r="FYO165" s="20"/>
      <c r="FYP165" s="21"/>
      <c r="FYQ165" s="21"/>
      <c r="FYR165" s="7"/>
      <c r="FYS165" s="7"/>
      <c r="FYT165" s="21"/>
      <c r="FYU165" s="20"/>
      <c r="FYV165" s="20"/>
      <c r="FYW165" s="20"/>
      <c r="FYX165" s="21"/>
      <c r="FYY165" s="21"/>
      <c r="FYZ165" s="21"/>
      <c r="FZA165" s="21"/>
      <c r="FZB165" s="21"/>
      <c r="FZC165" s="20"/>
      <c r="FZD165" s="20"/>
      <c r="FZE165" s="20"/>
      <c r="FZF165" s="20"/>
      <c r="FZG165" s="21"/>
      <c r="FZH165" s="21"/>
      <c r="FZI165" s="7"/>
      <c r="FZJ165" s="7"/>
      <c r="FZK165" s="21"/>
      <c r="FZL165" s="20"/>
      <c r="FZM165" s="20"/>
      <c r="FZN165" s="20"/>
      <c r="FZO165" s="21"/>
      <c r="FZP165" s="21"/>
      <c r="FZQ165" s="21"/>
      <c r="FZR165" s="21"/>
      <c r="FZS165" s="21"/>
      <c r="FZT165" s="20"/>
      <c r="FZU165" s="20"/>
      <c r="FZV165" s="20"/>
      <c r="FZW165" s="20"/>
      <c r="FZX165" s="21"/>
      <c r="FZY165" s="21"/>
      <c r="FZZ165" s="7"/>
      <c r="GAA165" s="7"/>
      <c r="GAB165" s="21"/>
      <c r="GAC165" s="20"/>
      <c r="GAD165" s="20"/>
      <c r="GAE165" s="20"/>
      <c r="GAF165" s="21"/>
      <c r="GAG165" s="21"/>
      <c r="GAH165" s="21"/>
      <c r="GAI165" s="21"/>
      <c r="GAJ165" s="21"/>
      <c r="GAK165" s="20"/>
      <c r="GAL165" s="20"/>
      <c r="GAM165" s="20"/>
      <c r="GAN165" s="20"/>
      <c r="GAO165" s="21"/>
      <c r="GAP165" s="21"/>
      <c r="GAQ165" s="7"/>
      <c r="GAR165" s="7"/>
      <c r="GAS165" s="21"/>
      <c r="GAT165" s="20"/>
      <c r="GAU165" s="20"/>
      <c r="GAV165" s="20"/>
      <c r="GAW165" s="21"/>
      <c r="GAX165" s="21"/>
      <c r="GAY165" s="21"/>
      <c r="GAZ165" s="21"/>
      <c r="GBA165" s="21"/>
      <c r="GBB165" s="20"/>
      <c r="GBC165" s="20"/>
      <c r="GBD165" s="20"/>
      <c r="GBE165" s="20"/>
      <c r="GBF165" s="21"/>
      <c r="GBG165" s="21"/>
      <c r="GBH165" s="7"/>
      <c r="GBI165" s="7"/>
      <c r="GBJ165" s="21"/>
      <c r="GBK165" s="20"/>
      <c r="GBL165" s="20"/>
      <c r="GBM165" s="20"/>
      <c r="GBN165" s="21"/>
      <c r="GBO165" s="21"/>
      <c r="GBP165" s="21"/>
      <c r="GBQ165" s="21"/>
      <c r="GBR165" s="21"/>
      <c r="GBS165" s="20"/>
      <c r="GBT165" s="20"/>
      <c r="GBU165" s="20"/>
      <c r="GBV165" s="20"/>
      <c r="GBW165" s="21"/>
      <c r="GBX165" s="21"/>
      <c r="GBY165" s="7"/>
      <c r="GBZ165" s="7"/>
      <c r="GCA165" s="21"/>
      <c r="GCB165" s="20"/>
      <c r="GCC165" s="20"/>
      <c r="GCD165" s="20"/>
      <c r="GCE165" s="21"/>
      <c r="GCF165" s="21"/>
      <c r="GCG165" s="21"/>
      <c r="GCH165" s="21"/>
      <c r="GCI165" s="21"/>
      <c r="GCJ165" s="20"/>
      <c r="GCK165" s="20"/>
      <c r="GCL165" s="20"/>
      <c r="GCM165" s="20"/>
      <c r="GCN165" s="21"/>
      <c r="GCO165" s="21"/>
      <c r="GCP165" s="7"/>
      <c r="GCQ165" s="7"/>
      <c r="GCR165" s="21"/>
      <c r="GCS165" s="20"/>
      <c r="GCT165" s="20"/>
      <c r="GCU165" s="20"/>
      <c r="GCV165" s="21"/>
      <c r="GCW165" s="21"/>
      <c r="GCX165" s="21"/>
      <c r="GCY165" s="21"/>
      <c r="GCZ165" s="21"/>
      <c r="GDA165" s="20"/>
      <c r="GDB165" s="20"/>
      <c r="GDC165" s="20"/>
      <c r="GDD165" s="20"/>
      <c r="GDE165" s="21"/>
      <c r="GDF165" s="21"/>
      <c r="GDG165" s="7"/>
      <c r="GDH165" s="7"/>
      <c r="GDI165" s="21"/>
      <c r="GDJ165" s="20"/>
      <c r="GDK165" s="20"/>
      <c r="GDL165" s="20"/>
      <c r="GDM165" s="21"/>
      <c r="GDN165" s="21"/>
      <c r="GDO165" s="21"/>
      <c r="GDP165" s="21"/>
      <c r="GDQ165" s="21"/>
      <c r="GDR165" s="20"/>
      <c r="GDS165" s="20"/>
      <c r="GDT165" s="20"/>
      <c r="GDU165" s="20"/>
      <c r="GDV165" s="21"/>
      <c r="GDW165" s="21"/>
      <c r="GDX165" s="7"/>
      <c r="GDY165" s="7"/>
      <c r="GDZ165" s="21"/>
      <c r="GEA165" s="20"/>
      <c r="GEB165" s="20"/>
      <c r="GEC165" s="20"/>
      <c r="GED165" s="21"/>
      <c r="GEE165" s="21"/>
      <c r="GEF165" s="21"/>
      <c r="GEG165" s="21"/>
      <c r="GEH165" s="21"/>
      <c r="GEI165" s="20"/>
      <c r="GEJ165" s="20"/>
      <c r="GEK165" s="20"/>
      <c r="GEL165" s="20"/>
      <c r="GEM165" s="21"/>
      <c r="GEN165" s="21"/>
      <c r="GEO165" s="7"/>
      <c r="GEP165" s="7"/>
      <c r="GEQ165" s="21"/>
      <c r="GER165" s="20"/>
      <c r="GES165" s="20"/>
      <c r="GET165" s="20"/>
      <c r="GEU165" s="21"/>
      <c r="GEV165" s="21"/>
      <c r="GEW165" s="21"/>
      <c r="GEX165" s="21"/>
      <c r="GEY165" s="21"/>
      <c r="GEZ165" s="20"/>
      <c r="GFA165" s="20"/>
      <c r="GFB165" s="20"/>
      <c r="GFC165" s="20"/>
      <c r="GFD165" s="21"/>
      <c r="GFE165" s="21"/>
      <c r="GFF165" s="7"/>
      <c r="GFG165" s="7"/>
      <c r="GFH165" s="21"/>
      <c r="GFI165" s="20"/>
      <c r="GFJ165" s="20"/>
      <c r="GFK165" s="20"/>
      <c r="GFL165" s="21"/>
      <c r="GFM165" s="21"/>
      <c r="GFN165" s="21"/>
      <c r="GFO165" s="21"/>
      <c r="GFP165" s="21"/>
      <c r="GFQ165" s="20"/>
      <c r="GFR165" s="20"/>
      <c r="GFS165" s="20"/>
      <c r="GFT165" s="20"/>
      <c r="GFU165" s="21"/>
      <c r="GFV165" s="21"/>
      <c r="GFW165" s="7"/>
      <c r="GFX165" s="7"/>
      <c r="GFY165" s="21"/>
      <c r="GFZ165" s="20"/>
      <c r="GGA165" s="20"/>
      <c r="GGB165" s="20"/>
      <c r="GGC165" s="21"/>
      <c r="GGD165" s="21"/>
      <c r="GGE165" s="21"/>
      <c r="GGF165" s="21"/>
      <c r="GGG165" s="21"/>
      <c r="GGH165" s="20"/>
      <c r="GGI165" s="20"/>
      <c r="GGJ165" s="20"/>
      <c r="GGK165" s="20"/>
      <c r="GGL165" s="21"/>
      <c r="GGM165" s="21"/>
      <c r="GGN165" s="7"/>
      <c r="GGO165" s="7"/>
      <c r="GGP165" s="21"/>
      <c r="GGQ165" s="20"/>
      <c r="GGR165" s="20"/>
      <c r="GGS165" s="20"/>
      <c r="GGT165" s="21"/>
      <c r="GGU165" s="21"/>
      <c r="GGV165" s="21"/>
      <c r="GGW165" s="21"/>
      <c r="GGX165" s="21"/>
      <c r="GGY165" s="20"/>
      <c r="GGZ165" s="20"/>
      <c r="GHA165" s="20"/>
      <c r="GHB165" s="20"/>
      <c r="GHC165" s="21"/>
      <c r="GHD165" s="21"/>
      <c r="GHE165" s="7"/>
      <c r="GHF165" s="7"/>
      <c r="GHG165" s="21"/>
      <c r="GHH165" s="20"/>
      <c r="GHI165" s="20"/>
      <c r="GHJ165" s="20"/>
      <c r="GHK165" s="21"/>
      <c r="GHL165" s="21"/>
      <c r="GHM165" s="21"/>
      <c r="GHN165" s="21"/>
      <c r="GHO165" s="21"/>
      <c r="GHP165" s="20"/>
      <c r="GHQ165" s="20"/>
      <c r="GHR165" s="20"/>
      <c r="GHS165" s="20"/>
      <c r="GHT165" s="21"/>
      <c r="GHU165" s="21"/>
      <c r="GHV165" s="7"/>
      <c r="GHW165" s="7"/>
      <c r="GHX165" s="21"/>
      <c r="GHY165" s="20"/>
      <c r="GHZ165" s="20"/>
      <c r="GIA165" s="20"/>
      <c r="GIB165" s="21"/>
      <c r="GIC165" s="21"/>
      <c r="GID165" s="21"/>
      <c r="GIE165" s="21"/>
      <c r="GIF165" s="21"/>
      <c r="GIG165" s="20"/>
      <c r="GIH165" s="20"/>
      <c r="GII165" s="20"/>
      <c r="GIJ165" s="20"/>
      <c r="GIK165" s="21"/>
      <c r="GIL165" s="21"/>
      <c r="GIM165" s="7"/>
      <c r="GIN165" s="7"/>
      <c r="GIO165" s="21"/>
      <c r="GIP165" s="20"/>
      <c r="GIQ165" s="20"/>
      <c r="GIR165" s="20"/>
      <c r="GIS165" s="21"/>
      <c r="GIT165" s="21"/>
      <c r="GIU165" s="21"/>
      <c r="GIV165" s="21"/>
      <c r="GIW165" s="21"/>
      <c r="GIX165" s="20"/>
      <c r="GIY165" s="20"/>
      <c r="GIZ165" s="20"/>
      <c r="GJA165" s="20"/>
      <c r="GJB165" s="21"/>
      <c r="GJC165" s="21"/>
      <c r="GJD165" s="7"/>
      <c r="GJE165" s="7"/>
      <c r="GJF165" s="21"/>
      <c r="GJG165" s="20"/>
      <c r="GJH165" s="20"/>
      <c r="GJI165" s="20"/>
      <c r="GJJ165" s="21"/>
      <c r="GJK165" s="21"/>
      <c r="GJL165" s="21"/>
      <c r="GJM165" s="21"/>
      <c r="GJN165" s="21"/>
      <c r="GJO165" s="20"/>
      <c r="GJP165" s="20"/>
      <c r="GJQ165" s="20"/>
      <c r="GJR165" s="20"/>
      <c r="GJS165" s="21"/>
      <c r="GJT165" s="21"/>
      <c r="GJU165" s="7"/>
      <c r="GJV165" s="7"/>
      <c r="GJW165" s="21"/>
      <c r="GJX165" s="20"/>
      <c r="GJY165" s="20"/>
      <c r="GJZ165" s="20"/>
      <c r="GKA165" s="21"/>
      <c r="GKB165" s="21"/>
      <c r="GKC165" s="21"/>
      <c r="GKD165" s="21"/>
      <c r="GKE165" s="21"/>
      <c r="GKF165" s="20"/>
      <c r="GKG165" s="20"/>
      <c r="GKH165" s="20"/>
      <c r="GKI165" s="20"/>
      <c r="GKJ165" s="21"/>
      <c r="GKK165" s="21"/>
      <c r="GKL165" s="7"/>
      <c r="GKM165" s="7"/>
      <c r="GKN165" s="21"/>
      <c r="GKO165" s="20"/>
      <c r="GKP165" s="20"/>
      <c r="GKQ165" s="20"/>
      <c r="GKR165" s="21"/>
      <c r="GKS165" s="21"/>
      <c r="GKT165" s="21"/>
      <c r="GKU165" s="21"/>
      <c r="GKV165" s="21"/>
      <c r="GKW165" s="20"/>
      <c r="GKX165" s="20"/>
      <c r="GKY165" s="20"/>
      <c r="GKZ165" s="20"/>
      <c r="GLA165" s="21"/>
      <c r="GLB165" s="21"/>
      <c r="GLC165" s="7"/>
      <c r="GLD165" s="7"/>
      <c r="GLE165" s="21"/>
      <c r="GLF165" s="20"/>
      <c r="GLG165" s="20"/>
      <c r="GLH165" s="20"/>
      <c r="GLI165" s="21"/>
      <c r="GLJ165" s="21"/>
      <c r="GLK165" s="21"/>
      <c r="GLL165" s="21"/>
      <c r="GLM165" s="21"/>
      <c r="GLN165" s="20"/>
      <c r="GLO165" s="20"/>
      <c r="GLP165" s="20"/>
      <c r="GLQ165" s="20"/>
      <c r="GLR165" s="21"/>
      <c r="GLS165" s="21"/>
      <c r="GLT165" s="7"/>
      <c r="GLU165" s="7"/>
      <c r="GLV165" s="21"/>
      <c r="GLW165" s="20"/>
      <c r="GLX165" s="20"/>
      <c r="GLY165" s="20"/>
      <c r="GLZ165" s="21"/>
      <c r="GMA165" s="21"/>
      <c r="GMB165" s="21"/>
      <c r="GMC165" s="21"/>
      <c r="GMD165" s="21"/>
      <c r="GME165" s="20"/>
      <c r="GMF165" s="20"/>
      <c r="GMG165" s="20"/>
      <c r="GMH165" s="20"/>
      <c r="GMI165" s="21"/>
      <c r="GMJ165" s="21"/>
      <c r="GMK165" s="7"/>
      <c r="GML165" s="7"/>
      <c r="GMM165" s="21"/>
      <c r="GMN165" s="20"/>
      <c r="GMO165" s="20"/>
      <c r="GMP165" s="20"/>
      <c r="GMQ165" s="21"/>
      <c r="GMR165" s="21"/>
      <c r="GMS165" s="21"/>
      <c r="GMT165" s="21"/>
      <c r="GMU165" s="21"/>
      <c r="GMV165" s="20"/>
      <c r="GMW165" s="20"/>
      <c r="GMX165" s="20"/>
      <c r="GMY165" s="20"/>
      <c r="GMZ165" s="21"/>
      <c r="GNA165" s="21"/>
      <c r="GNB165" s="7"/>
      <c r="GNC165" s="7"/>
      <c r="GND165" s="21"/>
      <c r="GNE165" s="20"/>
      <c r="GNF165" s="20"/>
      <c r="GNG165" s="20"/>
      <c r="GNH165" s="21"/>
      <c r="GNI165" s="21"/>
      <c r="GNJ165" s="21"/>
      <c r="GNK165" s="21"/>
      <c r="GNL165" s="21"/>
      <c r="GNM165" s="20"/>
      <c r="GNN165" s="20"/>
      <c r="GNO165" s="20"/>
      <c r="GNP165" s="20"/>
      <c r="GNQ165" s="21"/>
      <c r="GNR165" s="21"/>
      <c r="GNS165" s="7"/>
      <c r="GNT165" s="7"/>
      <c r="GNU165" s="21"/>
      <c r="GNV165" s="20"/>
      <c r="GNW165" s="20"/>
      <c r="GNX165" s="20"/>
      <c r="GNY165" s="21"/>
      <c r="GNZ165" s="21"/>
      <c r="GOA165" s="21"/>
      <c r="GOB165" s="21"/>
      <c r="GOC165" s="21"/>
      <c r="GOD165" s="20"/>
      <c r="GOE165" s="20"/>
      <c r="GOF165" s="20"/>
      <c r="GOG165" s="20"/>
      <c r="GOH165" s="21"/>
      <c r="GOI165" s="21"/>
      <c r="GOJ165" s="7"/>
      <c r="GOK165" s="7"/>
      <c r="GOL165" s="21"/>
      <c r="GOM165" s="20"/>
      <c r="GON165" s="20"/>
      <c r="GOO165" s="20"/>
      <c r="GOP165" s="21"/>
      <c r="GOQ165" s="21"/>
      <c r="GOR165" s="21"/>
      <c r="GOS165" s="21"/>
      <c r="GOT165" s="21"/>
      <c r="GOU165" s="20"/>
      <c r="GOV165" s="20"/>
      <c r="GOW165" s="20"/>
      <c r="GOX165" s="20"/>
      <c r="GOY165" s="21"/>
      <c r="GOZ165" s="21"/>
      <c r="GPA165" s="7"/>
      <c r="GPB165" s="7"/>
      <c r="GPC165" s="21"/>
      <c r="GPD165" s="20"/>
      <c r="GPE165" s="20"/>
      <c r="GPF165" s="20"/>
      <c r="GPG165" s="21"/>
      <c r="GPH165" s="21"/>
      <c r="GPI165" s="21"/>
      <c r="GPJ165" s="21"/>
      <c r="GPK165" s="21"/>
      <c r="GPL165" s="20"/>
      <c r="GPM165" s="20"/>
      <c r="GPN165" s="20"/>
      <c r="GPO165" s="20"/>
      <c r="GPP165" s="21"/>
      <c r="GPQ165" s="21"/>
      <c r="GPR165" s="7"/>
      <c r="GPS165" s="7"/>
      <c r="GPT165" s="21"/>
      <c r="GPU165" s="20"/>
      <c r="GPV165" s="20"/>
      <c r="GPW165" s="20"/>
      <c r="GPX165" s="21"/>
      <c r="GPY165" s="21"/>
      <c r="GPZ165" s="21"/>
      <c r="GQA165" s="21"/>
      <c r="GQB165" s="21"/>
      <c r="GQC165" s="20"/>
      <c r="GQD165" s="20"/>
      <c r="GQE165" s="20"/>
      <c r="GQF165" s="20"/>
      <c r="GQG165" s="21"/>
      <c r="GQH165" s="21"/>
      <c r="GQI165" s="7"/>
      <c r="GQJ165" s="7"/>
      <c r="GQK165" s="21"/>
      <c r="GQL165" s="20"/>
      <c r="GQM165" s="20"/>
      <c r="GQN165" s="20"/>
      <c r="GQO165" s="21"/>
      <c r="GQP165" s="21"/>
      <c r="GQQ165" s="21"/>
      <c r="GQR165" s="21"/>
      <c r="GQS165" s="21"/>
      <c r="GQT165" s="20"/>
      <c r="GQU165" s="20"/>
      <c r="GQV165" s="20"/>
      <c r="GQW165" s="20"/>
      <c r="GQX165" s="21"/>
      <c r="GQY165" s="21"/>
      <c r="GQZ165" s="7"/>
      <c r="GRA165" s="7"/>
      <c r="GRB165" s="21"/>
      <c r="GRC165" s="20"/>
      <c r="GRD165" s="20"/>
      <c r="GRE165" s="20"/>
      <c r="GRF165" s="21"/>
      <c r="GRG165" s="21"/>
      <c r="GRH165" s="21"/>
      <c r="GRI165" s="21"/>
      <c r="GRJ165" s="21"/>
      <c r="GRK165" s="20"/>
      <c r="GRL165" s="20"/>
      <c r="GRM165" s="20"/>
      <c r="GRN165" s="20"/>
      <c r="GRO165" s="21"/>
      <c r="GRP165" s="21"/>
      <c r="GRQ165" s="7"/>
      <c r="GRR165" s="7"/>
      <c r="GRS165" s="21"/>
      <c r="GRT165" s="20"/>
      <c r="GRU165" s="20"/>
      <c r="GRV165" s="20"/>
      <c r="GRW165" s="21"/>
      <c r="GRX165" s="21"/>
      <c r="GRY165" s="21"/>
      <c r="GRZ165" s="21"/>
      <c r="GSA165" s="21"/>
      <c r="GSB165" s="20"/>
      <c r="GSC165" s="20"/>
      <c r="GSD165" s="20"/>
      <c r="GSE165" s="20"/>
      <c r="GSF165" s="21"/>
      <c r="GSG165" s="21"/>
      <c r="GSH165" s="7"/>
      <c r="GSI165" s="7"/>
      <c r="GSJ165" s="21"/>
      <c r="GSK165" s="20"/>
      <c r="GSL165" s="20"/>
      <c r="GSM165" s="20"/>
      <c r="GSN165" s="21"/>
      <c r="GSO165" s="21"/>
      <c r="GSP165" s="21"/>
      <c r="GSQ165" s="21"/>
      <c r="GSR165" s="21"/>
      <c r="GSS165" s="20"/>
      <c r="GST165" s="20"/>
      <c r="GSU165" s="20"/>
      <c r="GSV165" s="20"/>
      <c r="GSW165" s="21"/>
      <c r="GSX165" s="21"/>
      <c r="GSY165" s="7"/>
      <c r="GSZ165" s="7"/>
      <c r="GTA165" s="21"/>
      <c r="GTB165" s="20"/>
      <c r="GTC165" s="20"/>
      <c r="GTD165" s="20"/>
      <c r="GTE165" s="21"/>
      <c r="GTF165" s="21"/>
      <c r="GTG165" s="21"/>
      <c r="GTH165" s="21"/>
      <c r="GTI165" s="21"/>
      <c r="GTJ165" s="20"/>
      <c r="GTK165" s="20"/>
      <c r="GTL165" s="20"/>
      <c r="GTM165" s="20"/>
      <c r="GTN165" s="21"/>
      <c r="GTO165" s="21"/>
      <c r="GTP165" s="7"/>
      <c r="GTQ165" s="7"/>
      <c r="GTR165" s="21"/>
      <c r="GTS165" s="20"/>
      <c r="GTT165" s="20"/>
      <c r="GTU165" s="20"/>
      <c r="GTV165" s="21"/>
      <c r="GTW165" s="21"/>
      <c r="GTX165" s="21"/>
      <c r="GTY165" s="21"/>
      <c r="GTZ165" s="21"/>
      <c r="GUA165" s="20"/>
      <c r="GUB165" s="20"/>
      <c r="GUC165" s="20"/>
      <c r="GUD165" s="20"/>
      <c r="GUE165" s="21"/>
      <c r="GUF165" s="21"/>
      <c r="GUG165" s="7"/>
      <c r="GUH165" s="7"/>
      <c r="GUI165" s="21"/>
      <c r="GUJ165" s="20"/>
      <c r="GUK165" s="20"/>
      <c r="GUL165" s="20"/>
      <c r="GUM165" s="21"/>
      <c r="GUN165" s="21"/>
      <c r="GUO165" s="21"/>
      <c r="GUP165" s="21"/>
      <c r="GUQ165" s="21"/>
      <c r="GUR165" s="20"/>
      <c r="GUS165" s="20"/>
      <c r="GUT165" s="20"/>
      <c r="GUU165" s="20"/>
      <c r="GUV165" s="21"/>
      <c r="GUW165" s="21"/>
      <c r="GUX165" s="7"/>
      <c r="GUY165" s="7"/>
      <c r="GUZ165" s="21"/>
      <c r="GVA165" s="20"/>
      <c r="GVB165" s="20"/>
      <c r="GVC165" s="20"/>
      <c r="GVD165" s="21"/>
      <c r="GVE165" s="21"/>
      <c r="GVF165" s="21"/>
      <c r="GVG165" s="21"/>
      <c r="GVH165" s="21"/>
      <c r="GVI165" s="20"/>
      <c r="GVJ165" s="20"/>
      <c r="GVK165" s="20"/>
      <c r="GVL165" s="20"/>
      <c r="GVM165" s="21"/>
      <c r="GVN165" s="21"/>
      <c r="GVO165" s="7"/>
      <c r="GVP165" s="7"/>
      <c r="GVQ165" s="21"/>
      <c r="GVR165" s="20"/>
      <c r="GVS165" s="20"/>
      <c r="GVT165" s="20"/>
      <c r="GVU165" s="21"/>
      <c r="GVV165" s="21"/>
      <c r="GVW165" s="21"/>
      <c r="GVX165" s="21"/>
      <c r="GVY165" s="21"/>
      <c r="GVZ165" s="20"/>
      <c r="GWA165" s="20"/>
      <c r="GWB165" s="20"/>
      <c r="GWC165" s="20"/>
      <c r="GWD165" s="21"/>
      <c r="GWE165" s="21"/>
      <c r="GWF165" s="7"/>
      <c r="GWG165" s="7"/>
      <c r="GWH165" s="21"/>
      <c r="GWI165" s="20"/>
      <c r="GWJ165" s="20"/>
      <c r="GWK165" s="20"/>
      <c r="GWL165" s="21"/>
      <c r="GWM165" s="21"/>
      <c r="GWN165" s="21"/>
      <c r="GWO165" s="21"/>
      <c r="GWP165" s="21"/>
      <c r="GWQ165" s="20"/>
      <c r="GWR165" s="20"/>
      <c r="GWS165" s="20"/>
      <c r="GWT165" s="20"/>
      <c r="GWU165" s="21"/>
      <c r="GWV165" s="21"/>
      <c r="GWW165" s="7"/>
      <c r="GWX165" s="7"/>
      <c r="GWY165" s="21"/>
      <c r="GWZ165" s="20"/>
      <c r="GXA165" s="20"/>
      <c r="GXB165" s="20"/>
      <c r="GXC165" s="21"/>
      <c r="GXD165" s="21"/>
      <c r="GXE165" s="21"/>
      <c r="GXF165" s="21"/>
      <c r="GXG165" s="21"/>
      <c r="GXH165" s="20"/>
      <c r="GXI165" s="20"/>
      <c r="GXJ165" s="20"/>
      <c r="GXK165" s="20"/>
      <c r="GXL165" s="21"/>
      <c r="GXM165" s="21"/>
      <c r="GXN165" s="7"/>
      <c r="GXO165" s="7"/>
      <c r="GXP165" s="21"/>
      <c r="GXQ165" s="20"/>
      <c r="GXR165" s="20"/>
      <c r="GXS165" s="20"/>
      <c r="GXT165" s="21"/>
      <c r="GXU165" s="21"/>
      <c r="GXV165" s="21"/>
      <c r="GXW165" s="21"/>
      <c r="GXX165" s="21"/>
      <c r="GXY165" s="20"/>
      <c r="GXZ165" s="20"/>
      <c r="GYA165" s="20"/>
      <c r="GYB165" s="20"/>
      <c r="GYC165" s="21"/>
      <c r="GYD165" s="21"/>
      <c r="GYE165" s="7"/>
      <c r="GYF165" s="7"/>
      <c r="GYG165" s="21"/>
      <c r="GYH165" s="20"/>
      <c r="GYI165" s="20"/>
      <c r="GYJ165" s="20"/>
      <c r="GYK165" s="21"/>
      <c r="GYL165" s="21"/>
      <c r="GYM165" s="21"/>
      <c r="GYN165" s="21"/>
      <c r="GYO165" s="21"/>
      <c r="GYP165" s="20"/>
      <c r="GYQ165" s="20"/>
      <c r="GYR165" s="20"/>
      <c r="GYS165" s="20"/>
      <c r="GYT165" s="21"/>
      <c r="GYU165" s="21"/>
      <c r="GYV165" s="7"/>
      <c r="GYW165" s="7"/>
      <c r="GYX165" s="21"/>
      <c r="GYY165" s="20"/>
      <c r="GYZ165" s="20"/>
      <c r="GZA165" s="20"/>
      <c r="GZB165" s="21"/>
      <c r="GZC165" s="21"/>
      <c r="GZD165" s="21"/>
      <c r="GZE165" s="21"/>
      <c r="GZF165" s="21"/>
      <c r="GZG165" s="20"/>
      <c r="GZH165" s="20"/>
      <c r="GZI165" s="20"/>
      <c r="GZJ165" s="20"/>
      <c r="GZK165" s="21"/>
      <c r="GZL165" s="21"/>
      <c r="GZM165" s="7"/>
      <c r="GZN165" s="7"/>
      <c r="GZO165" s="21"/>
      <c r="GZP165" s="20"/>
      <c r="GZQ165" s="20"/>
      <c r="GZR165" s="20"/>
      <c r="GZS165" s="21"/>
      <c r="GZT165" s="21"/>
      <c r="GZU165" s="21"/>
      <c r="GZV165" s="21"/>
      <c r="GZW165" s="21"/>
      <c r="GZX165" s="20"/>
      <c r="GZY165" s="20"/>
      <c r="GZZ165" s="20"/>
      <c r="HAA165" s="20"/>
      <c r="HAB165" s="21"/>
      <c r="HAC165" s="21"/>
      <c r="HAD165" s="7"/>
      <c r="HAE165" s="7"/>
      <c r="HAF165" s="21"/>
      <c r="HAG165" s="20"/>
      <c r="HAH165" s="20"/>
      <c r="HAI165" s="20"/>
      <c r="HAJ165" s="21"/>
      <c r="HAK165" s="21"/>
      <c r="HAL165" s="21"/>
      <c r="HAM165" s="21"/>
      <c r="HAN165" s="21"/>
      <c r="HAO165" s="20"/>
      <c r="HAP165" s="20"/>
      <c r="HAQ165" s="20"/>
      <c r="HAR165" s="20"/>
      <c r="HAS165" s="21"/>
      <c r="HAT165" s="21"/>
      <c r="HAU165" s="7"/>
      <c r="HAV165" s="7"/>
      <c r="HAW165" s="21"/>
      <c r="HAX165" s="20"/>
      <c r="HAY165" s="20"/>
      <c r="HAZ165" s="20"/>
      <c r="HBA165" s="21"/>
      <c r="HBB165" s="21"/>
      <c r="HBC165" s="21"/>
      <c r="HBD165" s="21"/>
      <c r="HBE165" s="21"/>
      <c r="HBF165" s="20"/>
      <c r="HBG165" s="20"/>
      <c r="HBH165" s="20"/>
      <c r="HBI165" s="20"/>
      <c r="HBJ165" s="21"/>
      <c r="HBK165" s="21"/>
      <c r="HBL165" s="7"/>
      <c r="HBM165" s="7"/>
      <c r="HBN165" s="21"/>
      <c r="HBO165" s="20"/>
      <c r="HBP165" s="20"/>
      <c r="HBQ165" s="20"/>
      <c r="HBR165" s="21"/>
      <c r="HBS165" s="21"/>
      <c r="HBT165" s="21"/>
      <c r="HBU165" s="21"/>
      <c r="HBV165" s="21"/>
      <c r="HBW165" s="20"/>
      <c r="HBX165" s="20"/>
      <c r="HBY165" s="20"/>
      <c r="HBZ165" s="20"/>
      <c r="HCA165" s="21"/>
      <c r="HCB165" s="21"/>
      <c r="HCC165" s="7"/>
      <c r="HCD165" s="7"/>
      <c r="HCE165" s="21"/>
      <c r="HCF165" s="20"/>
      <c r="HCG165" s="20"/>
      <c r="HCH165" s="20"/>
      <c r="HCI165" s="21"/>
      <c r="HCJ165" s="21"/>
      <c r="HCK165" s="21"/>
      <c r="HCL165" s="21"/>
      <c r="HCM165" s="21"/>
      <c r="HCN165" s="20"/>
      <c r="HCO165" s="20"/>
      <c r="HCP165" s="20"/>
      <c r="HCQ165" s="20"/>
      <c r="HCR165" s="21"/>
      <c r="HCS165" s="21"/>
      <c r="HCT165" s="7"/>
      <c r="HCU165" s="7"/>
      <c r="HCV165" s="21"/>
      <c r="HCW165" s="20"/>
      <c r="HCX165" s="20"/>
      <c r="HCY165" s="20"/>
      <c r="HCZ165" s="21"/>
      <c r="HDA165" s="21"/>
      <c r="HDB165" s="21"/>
      <c r="HDC165" s="21"/>
      <c r="HDD165" s="21"/>
      <c r="HDE165" s="20"/>
      <c r="HDF165" s="20"/>
      <c r="HDG165" s="20"/>
      <c r="HDH165" s="20"/>
      <c r="HDI165" s="21"/>
      <c r="HDJ165" s="21"/>
      <c r="HDK165" s="7"/>
      <c r="HDL165" s="7"/>
      <c r="HDM165" s="21"/>
      <c r="HDN165" s="20"/>
      <c r="HDO165" s="20"/>
      <c r="HDP165" s="20"/>
      <c r="HDQ165" s="21"/>
      <c r="HDR165" s="21"/>
      <c r="HDS165" s="21"/>
      <c r="HDT165" s="21"/>
      <c r="HDU165" s="21"/>
      <c r="HDV165" s="20"/>
      <c r="HDW165" s="20"/>
      <c r="HDX165" s="20"/>
      <c r="HDY165" s="20"/>
      <c r="HDZ165" s="21"/>
      <c r="HEA165" s="21"/>
      <c r="HEB165" s="7"/>
      <c r="HEC165" s="7"/>
      <c r="HED165" s="21"/>
      <c r="HEE165" s="20"/>
      <c r="HEF165" s="20"/>
      <c r="HEG165" s="20"/>
      <c r="HEH165" s="21"/>
      <c r="HEI165" s="21"/>
      <c r="HEJ165" s="21"/>
      <c r="HEK165" s="21"/>
      <c r="HEL165" s="21"/>
      <c r="HEM165" s="20"/>
      <c r="HEN165" s="20"/>
      <c r="HEO165" s="20"/>
      <c r="HEP165" s="20"/>
      <c r="HEQ165" s="21"/>
      <c r="HER165" s="21"/>
      <c r="HES165" s="7"/>
      <c r="HET165" s="7"/>
      <c r="HEU165" s="21"/>
      <c r="HEV165" s="20"/>
      <c r="HEW165" s="20"/>
      <c r="HEX165" s="20"/>
      <c r="HEY165" s="21"/>
      <c r="HEZ165" s="21"/>
      <c r="HFA165" s="21"/>
      <c r="HFB165" s="21"/>
      <c r="HFC165" s="21"/>
      <c r="HFD165" s="20"/>
      <c r="HFE165" s="20"/>
      <c r="HFF165" s="20"/>
      <c r="HFG165" s="20"/>
      <c r="HFH165" s="21"/>
      <c r="HFI165" s="21"/>
      <c r="HFJ165" s="7"/>
      <c r="HFK165" s="7"/>
      <c r="HFL165" s="21"/>
      <c r="HFM165" s="20"/>
      <c r="HFN165" s="20"/>
      <c r="HFO165" s="20"/>
      <c r="HFP165" s="21"/>
      <c r="HFQ165" s="21"/>
      <c r="HFR165" s="21"/>
      <c r="HFS165" s="21"/>
      <c r="HFT165" s="21"/>
      <c r="HFU165" s="20"/>
      <c r="HFV165" s="20"/>
      <c r="HFW165" s="20"/>
      <c r="HFX165" s="20"/>
      <c r="HFY165" s="21"/>
      <c r="HFZ165" s="21"/>
      <c r="HGA165" s="7"/>
      <c r="HGB165" s="7"/>
      <c r="HGC165" s="21"/>
      <c r="HGD165" s="20"/>
      <c r="HGE165" s="20"/>
      <c r="HGF165" s="20"/>
      <c r="HGG165" s="21"/>
      <c r="HGH165" s="21"/>
      <c r="HGI165" s="21"/>
      <c r="HGJ165" s="21"/>
      <c r="HGK165" s="21"/>
      <c r="HGL165" s="20"/>
      <c r="HGM165" s="20"/>
      <c r="HGN165" s="20"/>
      <c r="HGO165" s="20"/>
      <c r="HGP165" s="21"/>
      <c r="HGQ165" s="21"/>
      <c r="HGR165" s="7"/>
      <c r="HGS165" s="7"/>
      <c r="HGT165" s="21"/>
      <c r="HGU165" s="20"/>
      <c r="HGV165" s="20"/>
      <c r="HGW165" s="20"/>
      <c r="HGX165" s="21"/>
      <c r="HGY165" s="21"/>
      <c r="HGZ165" s="21"/>
      <c r="HHA165" s="21"/>
      <c r="HHB165" s="21"/>
      <c r="HHC165" s="20"/>
      <c r="HHD165" s="20"/>
      <c r="HHE165" s="20"/>
      <c r="HHF165" s="20"/>
      <c r="HHG165" s="21"/>
      <c r="HHH165" s="21"/>
      <c r="HHI165" s="7"/>
      <c r="HHJ165" s="7"/>
      <c r="HHK165" s="21"/>
      <c r="HHL165" s="20"/>
      <c r="HHM165" s="20"/>
      <c r="HHN165" s="20"/>
      <c r="HHO165" s="21"/>
      <c r="HHP165" s="21"/>
      <c r="HHQ165" s="21"/>
      <c r="HHR165" s="21"/>
      <c r="HHS165" s="21"/>
      <c r="HHT165" s="20"/>
      <c r="HHU165" s="20"/>
      <c r="HHV165" s="20"/>
      <c r="HHW165" s="20"/>
      <c r="HHX165" s="21"/>
      <c r="HHY165" s="21"/>
      <c r="HHZ165" s="7"/>
      <c r="HIA165" s="7"/>
      <c r="HIB165" s="21"/>
      <c r="HIC165" s="20"/>
      <c r="HID165" s="20"/>
      <c r="HIE165" s="20"/>
      <c r="HIF165" s="21"/>
      <c r="HIG165" s="21"/>
      <c r="HIH165" s="21"/>
      <c r="HII165" s="21"/>
      <c r="HIJ165" s="21"/>
      <c r="HIK165" s="20"/>
      <c r="HIL165" s="20"/>
      <c r="HIM165" s="20"/>
      <c r="HIN165" s="20"/>
      <c r="HIO165" s="21"/>
      <c r="HIP165" s="21"/>
      <c r="HIQ165" s="7"/>
      <c r="HIR165" s="7"/>
      <c r="HIS165" s="21"/>
      <c r="HIT165" s="20"/>
      <c r="HIU165" s="20"/>
      <c r="HIV165" s="20"/>
      <c r="HIW165" s="21"/>
      <c r="HIX165" s="21"/>
      <c r="HIY165" s="21"/>
      <c r="HIZ165" s="21"/>
      <c r="HJA165" s="21"/>
      <c r="HJB165" s="20"/>
      <c r="HJC165" s="20"/>
      <c r="HJD165" s="20"/>
      <c r="HJE165" s="20"/>
      <c r="HJF165" s="21"/>
      <c r="HJG165" s="21"/>
      <c r="HJH165" s="7"/>
      <c r="HJI165" s="7"/>
      <c r="HJJ165" s="21"/>
      <c r="HJK165" s="20"/>
      <c r="HJL165" s="20"/>
      <c r="HJM165" s="20"/>
      <c r="HJN165" s="21"/>
      <c r="HJO165" s="21"/>
      <c r="HJP165" s="21"/>
      <c r="HJQ165" s="21"/>
      <c r="HJR165" s="21"/>
      <c r="HJS165" s="20"/>
      <c r="HJT165" s="20"/>
      <c r="HJU165" s="20"/>
      <c r="HJV165" s="20"/>
      <c r="HJW165" s="21"/>
      <c r="HJX165" s="21"/>
      <c r="HJY165" s="7"/>
      <c r="HJZ165" s="7"/>
      <c r="HKA165" s="21"/>
      <c r="HKB165" s="20"/>
      <c r="HKC165" s="20"/>
      <c r="HKD165" s="20"/>
      <c r="HKE165" s="21"/>
      <c r="HKF165" s="21"/>
      <c r="HKG165" s="21"/>
      <c r="HKH165" s="21"/>
      <c r="HKI165" s="21"/>
      <c r="HKJ165" s="20"/>
      <c r="HKK165" s="20"/>
      <c r="HKL165" s="20"/>
      <c r="HKM165" s="20"/>
      <c r="HKN165" s="21"/>
      <c r="HKO165" s="21"/>
      <c r="HKP165" s="7"/>
      <c r="HKQ165" s="7"/>
      <c r="HKR165" s="21"/>
      <c r="HKS165" s="20"/>
      <c r="HKT165" s="20"/>
      <c r="HKU165" s="20"/>
      <c r="HKV165" s="21"/>
      <c r="HKW165" s="21"/>
      <c r="HKX165" s="21"/>
      <c r="HKY165" s="21"/>
      <c r="HKZ165" s="21"/>
      <c r="HLA165" s="20"/>
      <c r="HLB165" s="20"/>
      <c r="HLC165" s="20"/>
      <c r="HLD165" s="20"/>
      <c r="HLE165" s="21"/>
      <c r="HLF165" s="21"/>
      <c r="HLG165" s="7"/>
      <c r="HLH165" s="7"/>
      <c r="HLI165" s="21"/>
      <c r="HLJ165" s="20"/>
      <c r="HLK165" s="20"/>
      <c r="HLL165" s="20"/>
      <c r="HLM165" s="21"/>
      <c r="HLN165" s="21"/>
      <c r="HLO165" s="21"/>
      <c r="HLP165" s="21"/>
      <c r="HLQ165" s="21"/>
      <c r="HLR165" s="20"/>
      <c r="HLS165" s="20"/>
      <c r="HLT165" s="20"/>
      <c r="HLU165" s="20"/>
      <c r="HLV165" s="21"/>
      <c r="HLW165" s="21"/>
      <c r="HLX165" s="7"/>
      <c r="HLY165" s="7"/>
      <c r="HLZ165" s="21"/>
      <c r="HMA165" s="20"/>
      <c r="HMB165" s="20"/>
      <c r="HMC165" s="20"/>
      <c r="HMD165" s="21"/>
      <c r="HME165" s="21"/>
      <c r="HMF165" s="21"/>
      <c r="HMG165" s="21"/>
      <c r="HMH165" s="21"/>
      <c r="HMI165" s="20"/>
      <c r="HMJ165" s="20"/>
      <c r="HMK165" s="20"/>
      <c r="HML165" s="20"/>
      <c r="HMM165" s="21"/>
      <c r="HMN165" s="21"/>
      <c r="HMO165" s="7"/>
      <c r="HMP165" s="7"/>
      <c r="HMQ165" s="21"/>
      <c r="HMR165" s="20"/>
      <c r="HMS165" s="20"/>
      <c r="HMT165" s="20"/>
      <c r="HMU165" s="21"/>
      <c r="HMV165" s="21"/>
      <c r="HMW165" s="21"/>
      <c r="HMX165" s="21"/>
      <c r="HMY165" s="21"/>
      <c r="HMZ165" s="20"/>
      <c r="HNA165" s="20"/>
      <c r="HNB165" s="20"/>
      <c r="HNC165" s="20"/>
      <c r="HND165" s="21"/>
      <c r="HNE165" s="21"/>
      <c r="HNF165" s="7"/>
      <c r="HNG165" s="7"/>
      <c r="HNH165" s="21"/>
      <c r="HNI165" s="20"/>
      <c r="HNJ165" s="20"/>
      <c r="HNK165" s="20"/>
      <c r="HNL165" s="21"/>
      <c r="HNM165" s="21"/>
      <c r="HNN165" s="21"/>
      <c r="HNO165" s="21"/>
      <c r="HNP165" s="21"/>
      <c r="HNQ165" s="20"/>
      <c r="HNR165" s="20"/>
      <c r="HNS165" s="20"/>
      <c r="HNT165" s="20"/>
      <c r="HNU165" s="21"/>
      <c r="HNV165" s="21"/>
      <c r="HNW165" s="7"/>
      <c r="HNX165" s="7"/>
      <c r="HNY165" s="21"/>
      <c r="HNZ165" s="20"/>
      <c r="HOA165" s="20"/>
      <c r="HOB165" s="20"/>
      <c r="HOC165" s="21"/>
      <c r="HOD165" s="21"/>
      <c r="HOE165" s="21"/>
      <c r="HOF165" s="21"/>
      <c r="HOG165" s="21"/>
      <c r="HOH165" s="20"/>
      <c r="HOI165" s="20"/>
      <c r="HOJ165" s="20"/>
      <c r="HOK165" s="20"/>
      <c r="HOL165" s="21"/>
      <c r="HOM165" s="21"/>
      <c r="HON165" s="7"/>
      <c r="HOO165" s="7"/>
      <c r="HOP165" s="21"/>
      <c r="HOQ165" s="20"/>
      <c r="HOR165" s="20"/>
      <c r="HOS165" s="20"/>
      <c r="HOT165" s="21"/>
      <c r="HOU165" s="21"/>
      <c r="HOV165" s="21"/>
      <c r="HOW165" s="21"/>
      <c r="HOX165" s="21"/>
      <c r="HOY165" s="20"/>
      <c r="HOZ165" s="20"/>
      <c r="HPA165" s="20"/>
      <c r="HPB165" s="20"/>
      <c r="HPC165" s="21"/>
      <c r="HPD165" s="21"/>
      <c r="HPE165" s="7"/>
      <c r="HPF165" s="7"/>
      <c r="HPG165" s="21"/>
      <c r="HPH165" s="20"/>
      <c r="HPI165" s="20"/>
      <c r="HPJ165" s="20"/>
      <c r="HPK165" s="21"/>
      <c r="HPL165" s="21"/>
      <c r="HPM165" s="21"/>
      <c r="HPN165" s="21"/>
      <c r="HPO165" s="21"/>
      <c r="HPP165" s="20"/>
      <c r="HPQ165" s="20"/>
      <c r="HPR165" s="20"/>
      <c r="HPS165" s="20"/>
      <c r="HPT165" s="21"/>
      <c r="HPU165" s="21"/>
      <c r="HPV165" s="7"/>
      <c r="HPW165" s="7"/>
      <c r="HPX165" s="21"/>
      <c r="HPY165" s="20"/>
      <c r="HPZ165" s="20"/>
      <c r="HQA165" s="20"/>
      <c r="HQB165" s="21"/>
      <c r="HQC165" s="21"/>
      <c r="HQD165" s="21"/>
      <c r="HQE165" s="21"/>
      <c r="HQF165" s="21"/>
      <c r="HQG165" s="20"/>
      <c r="HQH165" s="20"/>
      <c r="HQI165" s="20"/>
      <c r="HQJ165" s="20"/>
      <c r="HQK165" s="21"/>
      <c r="HQL165" s="21"/>
      <c r="HQM165" s="7"/>
      <c r="HQN165" s="7"/>
      <c r="HQO165" s="21"/>
      <c r="HQP165" s="20"/>
      <c r="HQQ165" s="20"/>
      <c r="HQR165" s="20"/>
      <c r="HQS165" s="21"/>
      <c r="HQT165" s="21"/>
      <c r="HQU165" s="21"/>
      <c r="HQV165" s="21"/>
      <c r="HQW165" s="21"/>
      <c r="HQX165" s="20"/>
      <c r="HQY165" s="20"/>
      <c r="HQZ165" s="20"/>
      <c r="HRA165" s="20"/>
      <c r="HRB165" s="21"/>
      <c r="HRC165" s="21"/>
      <c r="HRD165" s="7"/>
      <c r="HRE165" s="7"/>
      <c r="HRF165" s="21"/>
      <c r="HRG165" s="20"/>
      <c r="HRH165" s="20"/>
      <c r="HRI165" s="20"/>
      <c r="HRJ165" s="21"/>
      <c r="HRK165" s="21"/>
      <c r="HRL165" s="21"/>
      <c r="HRM165" s="21"/>
      <c r="HRN165" s="21"/>
      <c r="HRO165" s="20"/>
      <c r="HRP165" s="20"/>
      <c r="HRQ165" s="20"/>
      <c r="HRR165" s="20"/>
      <c r="HRS165" s="21"/>
      <c r="HRT165" s="21"/>
      <c r="HRU165" s="7"/>
      <c r="HRV165" s="7"/>
      <c r="HRW165" s="21"/>
      <c r="HRX165" s="20"/>
      <c r="HRY165" s="20"/>
      <c r="HRZ165" s="20"/>
      <c r="HSA165" s="21"/>
      <c r="HSB165" s="21"/>
      <c r="HSC165" s="21"/>
      <c r="HSD165" s="21"/>
      <c r="HSE165" s="21"/>
      <c r="HSF165" s="20"/>
      <c r="HSG165" s="20"/>
      <c r="HSH165" s="20"/>
      <c r="HSI165" s="20"/>
      <c r="HSJ165" s="21"/>
      <c r="HSK165" s="21"/>
      <c r="HSL165" s="7"/>
      <c r="HSM165" s="7"/>
      <c r="HSN165" s="21"/>
      <c r="HSO165" s="20"/>
      <c r="HSP165" s="20"/>
      <c r="HSQ165" s="20"/>
      <c r="HSR165" s="21"/>
      <c r="HSS165" s="21"/>
      <c r="HST165" s="21"/>
      <c r="HSU165" s="21"/>
      <c r="HSV165" s="21"/>
      <c r="HSW165" s="20"/>
      <c r="HSX165" s="20"/>
      <c r="HSY165" s="20"/>
      <c r="HSZ165" s="20"/>
      <c r="HTA165" s="21"/>
      <c r="HTB165" s="21"/>
      <c r="HTC165" s="7"/>
      <c r="HTD165" s="7"/>
      <c r="HTE165" s="21"/>
      <c r="HTF165" s="20"/>
      <c r="HTG165" s="20"/>
      <c r="HTH165" s="20"/>
      <c r="HTI165" s="21"/>
      <c r="HTJ165" s="21"/>
      <c r="HTK165" s="21"/>
      <c r="HTL165" s="21"/>
      <c r="HTM165" s="21"/>
      <c r="HTN165" s="20"/>
      <c r="HTO165" s="20"/>
      <c r="HTP165" s="20"/>
      <c r="HTQ165" s="20"/>
      <c r="HTR165" s="21"/>
      <c r="HTS165" s="21"/>
      <c r="HTT165" s="7"/>
      <c r="HTU165" s="7"/>
      <c r="HTV165" s="21"/>
      <c r="HTW165" s="20"/>
      <c r="HTX165" s="20"/>
      <c r="HTY165" s="20"/>
      <c r="HTZ165" s="21"/>
      <c r="HUA165" s="21"/>
      <c r="HUB165" s="21"/>
      <c r="HUC165" s="21"/>
      <c r="HUD165" s="21"/>
      <c r="HUE165" s="20"/>
      <c r="HUF165" s="20"/>
      <c r="HUG165" s="20"/>
      <c r="HUH165" s="20"/>
      <c r="HUI165" s="21"/>
      <c r="HUJ165" s="21"/>
      <c r="HUK165" s="7"/>
      <c r="HUL165" s="7"/>
      <c r="HUM165" s="21"/>
      <c r="HUN165" s="20"/>
      <c r="HUO165" s="20"/>
      <c r="HUP165" s="20"/>
      <c r="HUQ165" s="21"/>
      <c r="HUR165" s="21"/>
      <c r="HUS165" s="21"/>
      <c r="HUT165" s="21"/>
      <c r="HUU165" s="21"/>
      <c r="HUV165" s="20"/>
      <c r="HUW165" s="20"/>
      <c r="HUX165" s="20"/>
      <c r="HUY165" s="20"/>
      <c r="HUZ165" s="21"/>
      <c r="HVA165" s="21"/>
      <c r="HVB165" s="7"/>
      <c r="HVC165" s="7"/>
      <c r="HVD165" s="21"/>
      <c r="HVE165" s="20"/>
      <c r="HVF165" s="20"/>
      <c r="HVG165" s="20"/>
      <c r="HVH165" s="21"/>
      <c r="HVI165" s="21"/>
      <c r="HVJ165" s="21"/>
      <c r="HVK165" s="21"/>
      <c r="HVL165" s="21"/>
      <c r="HVM165" s="20"/>
      <c r="HVN165" s="20"/>
      <c r="HVO165" s="20"/>
      <c r="HVP165" s="20"/>
      <c r="HVQ165" s="21"/>
      <c r="HVR165" s="21"/>
      <c r="HVS165" s="7"/>
      <c r="HVT165" s="7"/>
      <c r="HVU165" s="21"/>
      <c r="HVV165" s="20"/>
      <c r="HVW165" s="20"/>
      <c r="HVX165" s="20"/>
      <c r="HVY165" s="21"/>
      <c r="HVZ165" s="21"/>
      <c r="HWA165" s="21"/>
      <c r="HWB165" s="21"/>
      <c r="HWC165" s="21"/>
      <c r="HWD165" s="20"/>
      <c r="HWE165" s="20"/>
      <c r="HWF165" s="20"/>
      <c r="HWG165" s="20"/>
      <c r="HWH165" s="21"/>
      <c r="HWI165" s="21"/>
      <c r="HWJ165" s="7"/>
      <c r="HWK165" s="7"/>
      <c r="HWL165" s="21"/>
      <c r="HWM165" s="20"/>
      <c r="HWN165" s="20"/>
      <c r="HWO165" s="20"/>
      <c r="HWP165" s="21"/>
      <c r="HWQ165" s="21"/>
      <c r="HWR165" s="21"/>
      <c r="HWS165" s="21"/>
      <c r="HWT165" s="21"/>
      <c r="HWU165" s="20"/>
      <c r="HWV165" s="20"/>
      <c r="HWW165" s="20"/>
      <c r="HWX165" s="20"/>
      <c r="HWY165" s="21"/>
      <c r="HWZ165" s="21"/>
      <c r="HXA165" s="7"/>
      <c r="HXB165" s="7"/>
      <c r="HXC165" s="21"/>
      <c r="HXD165" s="20"/>
      <c r="HXE165" s="20"/>
      <c r="HXF165" s="20"/>
      <c r="HXG165" s="21"/>
      <c r="HXH165" s="21"/>
      <c r="HXI165" s="21"/>
      <c r="HXJ165" s="21"/>
      <c r="HXK165" s="21"/>
      <c r="HXL165" s="20"/>
      <c r="HXM165" s="20"/>
      <c r="HXN165" s="20"/>
      <c r="HXO165" s="20"/>
      <c r="HXP165" s="21"/>
      <c r="HXQ165" s="21"/>
      <c r="HXR165" s="7"/>
      <c r="HXS165" s="7"/>
      <c r="HXT165" s="21"/>
      <c r="HXU165" s="20"/>
      <c r="HXV165" s="20"/>
      <c r="HXW165" s="20"/>
      <c r="HXX165" s="21"/>
      <c r="HXY165" s="21"/>
      <c r="HXZ165" s="21"/>
      <c r="HYA165" s="21"/>
      <c r="HYB165" s="21"/>
      <c r="HYC165" s="20"/>
      <c r="HYD165" s="20"/>
      <c r="HYE165" s="20"/>
      <c r="HYF165" s="20"/>
      <c r="HYG165" s="21"/>
      <c r="HYH165" s="21"/>
      <c r="HYI165" s="7"/>
      <c r="HYJ165" s="7"/>
      <c r="HYK165" s="21"/>
      <c r="HYL165" s="20"/>
      <c r="HYM165" s="20"/>
      <c r="HYN165" s="20"/>
      <c r="HYO165" s="21"/>
      <c r="HYP165" s="21"/>
      <c r="HYQ165" s="21"/>
      <c r="HYR165" s="21"/>
      <c r="HYS165" s="21"/>
      <c r="HYT165" s="20"/>
      <c r="HYU165" s="20"/>
      <c r="HYV165" s="20"/>
      <c r="HYW165" s="20"/>
      <c r="HYX165" s="21"/>
      <c r="HYY165" s="21"/>
      <c r="HYZ165" s="7"/>
      <c r="HZA165" s="7"/>
      <c r="HZB165" s="21"/>
      <c r="HZC165" s="20"/>
      <c r="HZD165" s="20"/>
      <c r="HZE165" s="20"/>
      <c r="HZF165" s="21"/>
      <c r="HZG165" s="21"/>
      <c r="HZH165" s="21"/>
      <c r="HZI165" s="21"/>
      <c r="HZJ165" s="21"/>
      <c r="HZK165" s="20"/>
      <c r="HZL165" s="20"/>
      <c r="HZM165" s="20"/>
      <c r="HZN165" s="20"/>
      <c r="HZO165" s="21"/>
      <c r="HZP165" s="21"/>
      <c r="HZQ165" s="7"/>
      <c r="HZR165" s="7"/>
      <c r="HZS165" s="21"/>
      <c r="HZT165" s="20"/>
      <c r="HZU165" s="20"/>
      <c r="HZV165" s="20"/>
      <c r="HZW165" s="21"/>
      <c r="HZX165" s="21"/>
      <c r="HZY165" s="21"/>
      <c r="HZZ165" s="21"/>
      <c r="IAA165" s="21"/>
      <c r="IAB165" s="20"/>
      <c r="IAC165" s="20"/>
      <c r="IAD165" s="20"/>
      <c r="IAE165" s="20"/>
      <c r="IAF165" s="21"/>
      <c r="IAG165" s="21"/>
      <c r="IAH165" s="7"/>
      <c r="IAI165" s="7"/>
      <c r="IAJ165" s="21"/>
      <c r="IAK165" s="20"/>
      <c r="IAL165" s="20"/>
      <c r="IAM165" s="20"/>
      <c r="IAN165" s="21"/>
      <c r="IAO165" s="21"/>
      <c r="IAP165" s="21"/>
      <c r="IAQ165" s="21"/>
      <c r="IAR165" s="21"/>
      <c r="IAS165" s="20"/>
      <c r="IAT165" s="20"/>
      <c r="IAU165" s="20"/>
      <c r="IAV165" s="20"/>
      <c r="IAW165" s="21"/>
      <c r="IAX165" s="21"/>
      <c r="IAY165" s="7"/>
      <c r="IAZ165" s="7"/>
      <c r="IBA165" s="21"/>
      <c r="IBB165" s="20"/>
      <c r="IBC165" s="20"/>
      <c r="IBD165" s="20"/>
      <c r="IBE165" s="21"/>
      <c r="IBF165" s="21"/>
      <c r="IBG165" s="21"/>
      <c r="IBH165" s="21"/>
      <c r="IBI165" s="21"/>
      <c r="IBJ165" s="20"/>
      <c r="IBK165" s="20"/>
      <c r="IBL165" s="20"/>
      <c r="IBM165" s="20"/>
      <c r="IBN165" s="21"/>
      <c r="IBO165" s="21"/>
      <c r="IBP165" s="7"/>
      <c r="IBQ165" s="7"/>
      <c r="IBR165" s="21"/>
      <c r="IBS165" s="20"/>
      <c r="IBT165" s="20"/>
      <c r="IBU165" s="20"/>
      <c r="IBV165" s="21"/>
      <c r="IBW165" s="21"/>
      <c r="IBX165" s="21"/>
      <c r="IBY165" s="21"/>
      <c r="IBZ165" s="21"/>
      <c r="ICA165" s="20"/>
      <c r="ICB165" s="20"/>
      <c r="ICC165" s="20"/>
      <c r="ICD165" s="20"/>
      <c r="ICE165" s="21"/>
      <c r="ICF165" s="21"/>
      <c r="ICG165" s="7"/>
      <c r="ICH165" s="7"/>
      <c r="ICI165" s="21"/>
      <c r="ICJ165" s="20"/>
      <c r="ICK165" s="20"/>
      <c r="ICL165" s="20"/>
      <c r="ICM165" s="21"/>
      <c r="ICN165" s="21"/>
      <c r="ICO165" s="21"/>
      <c r="ICP165" s="21"/>
      <c r="ICQ165" s="21"/>
      <c r="ICR165" s="20"/>
      <c r="ICS165" s="20"/>
      <c r="ICT165" s="20"/>
      <c r="ICU165" s="20"/>
      <c r="ICV165" s="21"/>
      <c r="ICW165" s="21"/>
      <c r="ICX165" s="7"/>
      <c r="ICY165" s="7"/>
      <c r="ICZ165" s="21"/>
      <c r="IDA165" s="20"/>
      <c r="IDB165" s="20"/>
      <c r="IDC165" s="20"/>
      <c r="IDD165" s="21"/>
      <c r="IDE165" s="21"/>
      <c r="IDF165" s="21"/>
      <c r="IDG165" s="21"/>
      <c r="IDH165" s="21"/>
      <c r="IDI165" s="20"/>
      <c r="IDJ165" s="20"/>
      <c r="IDK165" s="20"/>
      <c r="IDL165" s="20"/>
      <c r="IDM165" s="21"/>
      <c r="IDN165" s="21"/>
      <c r="IDO165" s="7"/>
      <c r="IDP165" s="7"/>
      <c r="IDQ165" s="21"/>
      <c r="IDR165" s="20"/>
      <c r="IDS165" s="20"/>
      <c r="IDT165" s="20"/>
      <c r="IDU165" s="21"/>
      <c r="IDV165" s="21"/>
      <c r="IDW165" s="21"/>
      <c r="IDX165" s="21"/>
      <c r="IDY165" s="21"/>
      <c r="IDZ165" s="20"/>
      <c r="IEA165" s="20"/>
      <c r="IEB165" s="20"/>
      <c r="IEC165" s="20"/>
      <c r="IED165" s="21"/>
      <c r="IEE165" s="21"/>
      <c r="IEF165" s="7"/>
      <c r="IEG165" s="7"/>
      <c r="IEH165" s="21"/>
      <c r="IEI165" s="20"/>
      <c r="IEJ165" s="20"/>
      <c r="IEK165" s="20"/>
      <c r="IEL165" s="21"/>
      <c r="IEM165" s="21"/>
      <c r="IEN165" s="21"/>
      <c r="IEO165" s="21"/>
      <c r="IEP165" s="21"/>
      <c r="IEQ165" s="20"/>
      <c r="IER165" s="20"/>
      <c r="IES165" s="20"/>
      <c r="IET165" s="20"/>
      <c r="IEU165" s="21"/>
      <c r="IEV165" s="21"/>
      <c r="IEW165" s="7"/>
      <c r="IEX165" s="7"/>
      <c r="IEY165" s="21"/>
      <c r="IEZ165" s="20"/>
      <c r="IFA165" s="20"/>
      <c r="IFB165" s="20"/>
      <c r="IFC165" s="21"/>
      <c r="IFD165" s="21"/>
      <c r="IFE165" s="21"/>
      <c r="IFF165" s="21"/>
      <c r="IFG165" s="21"/>
      <c r="IFH165" s="20"/>
      <c r="IFI165" s="20"/>
      <c r="IFJ165" s="20"/>
      <c r="IFK165" s="20"/>
      <c r="IFL165" s="21"/>
      <c r="IFM165" s="21"/>
      <c r="IFN165" s="7"/>
      <c r="IFO165" s="7"/>
      <c r="IFP165" s="21"/>
      <c r="IFQ165" s="20"/>
      <c r="IFR165" s="20"/>
      <c r="IFS165" s="20"/>
      <c r="IFT165" s="21"/>
      <c r="IFU165" s="21"/>
      <c r="IFV165" s="21"/>
      <c r="IFW165" s="21"/>
      <c r="IFX165" s="21"/>
      <c r="IFY165" s="20"/>
      <c r="IFZ165" s="20"/>
      <c r="IGA165" s="20"/>
      <c r="IGB165" s="20"/>
      <c r="IGC165" s="21"/>
      <c r="IGD165" s="21"/>
      <c r="IGE165" s="7"/>
      <c r="IGF165" s="7"/>
      <c r="IGG165" s="21"/>
      <c r="IGH165" s="20"/>
      <c r="IGI165" s="20"/>
      <c r="IGJ165" s="20"/>
      <c r="IGK165" s="21"/>
      <c r="IGL165" s="21"/>
      <c r="IGM165" s="21"/>
      <c r="IGN165" s="21"/>
      <c r="IGO165" s="21"/>
      <c r="IGP165" s="20"/>
      <c r="IGQ165" s="20"/>
      <c r="IGR165" s="20"/>
      <c r="IGS165" s="20"/>
      <c r="IGT165" s="21"/>
      <c r="IGU165" s="21"/>
      <c r="IGV165" s="7"/>
      <c r="IGW165" s="7"/>
      <c r="IGX165" s="21"/>
      <c r="IGY165" s="20"/>
      <c r="IGZ165" s="20"/>
      <c r="IHA165" s="20"/>
      <c r="IHB165" s="21"/>
      <c r="IHC165" s="21"/>
      <c r="IHD165" s="21"/>
      <c r="IHE165" s="21"/>
      <c r="IHF165" s="21"/>
      <c r="IHG165" s="20"/>
      <c r="IHH165" s="20"/>
      <c r="IHI165" s="20"/>
      <c r="IHJ165" s="20"/>
      <c r="IHK165" s="21"/>
      <c r="IHL165" s="21"/>
      <c r="IHM165" s="7"/>
      <c r="IHN165" s="7"/>
      <c r="IHO165" s="21"/>
      <c r="IHP165" s="20"/>
      <c r="IHQ165" s="20"/>
      <c r="IHR165" s="20"/>
      <c r="IHS165" s="21"/>
      <c r="IHT165" s="21"/>
      <c r="IHU165" s="21"/>
      <c r="IHV165" s="21"/>
      <c r="IHW165" s="21"/>
      <c r="IHX165" s="20"/>
      <c r="IHY165" s="20"/>
      <c r="IHZ165" s="20"/>
      <c r="IIA165" s="20"/>
      <c r="IIB165" s="21"/>
      <c r="IIC165" s="21"/>
      <c r="IID165" s="7"/>
      <c r="IIE165" s="7"/>
      <c r="IIF165" s="21"/>
      <c r="IIG165" s="20"/>
      <c r="IIH165" s="20"/>
      <c r="III165" s="20"/>
      <c r="IIJ165" s="21"/>
      <c r="IIK165" s="21"/>
      <c r="IIL165" s="21"/>
      <c r="IIM165" s="21"/>
      <c r="IIN165" s="21"/>
      <c r="IIO165" s="20"/>
      <c r="IIP165" s="20"/>
      <c r="IIQ165" s="20"/>
      <c r="IIR165" s="20"/>
      <c r="IIS165" s="21"/>
      <c r="IIT165" s="21"/>
      <c r="IIU165" s="7"/>
      <c r="IIV165" s="7"/>
      <c r="IIW165" s="21"/>
      <c r="IIX165" s="20"/>
      <c r="IIY165" s="20"/>
      <c r="IIZ165" s="20"/>
      <c r="IJA165" s="21"/>
      <c r="IJB165" s="21"/>
      <c r="IJC165" s="21"/>
      <c r="IJD165" s="21"/>
      <c r="IJE165" s="21"/>
      <c r="IJF165" s="20"/>
      <c r="IJG165" s="20"/>
      <c r="IJH165" s="20"/>
      <c r="IJI165" s="20"/>
      <c r="IJJ165" s="21"/>
      <c r="IJK165" s="21"/>
      <c r="IJL165" s="7"/>
      <c r="IJM165" s="7"/>
      <c r="IJN165" s="21"/>
      <c r="IJO165" s="20"/>
      <c r="IJP165" s="20"/>
      <c r="IJQ165" s="20"/>
      <c r="IJR165" s="21"/>
      <c r="IJS165" s="21"/>
      <c r="IJT165" s="21"/>
      <c r="IJU165" s="21"/>
      <c r="IJV165" s="21"/>
      <c r="IJW165" s="20"/>
      <c r="IJX165" s="20"/>
      <c r="IJY165" s="20"/>
      <c r="IJZ165" s="20"/>
      <c r="IKA165" s="21"/>
      <c r="IKB165" s="21"/>
      <c r="IKC165" s="7"/>
      <c r="IKD165" s="7"/>
      <c r="IKE165" s="21"/>
      <c r="IKF165" s="20"/>
      <c r="IKG165" s="20"/>
      <c r="IKH165" s="20"/>
      <c r="IKI165" s="21"/>
      <c r="IKJ165" s="21"/>
      <c r="IKK165" s="21"/>
      <c r="IKL165" s="21"/>
      <c r="IKM165" s="21"/>
      <c r="IKN165" s="20"/>
      <c r="IKO165" s="20"/>
      <c r="IKP165" s="20"/>
      <c r="IKQ165" s="20"/>
      <c r="IKR165" s="21"/>
      <c r="IKS165" s="21"/>
      <c r="IKT165" s="7"/>
      <c r="IKU165" s="7"/>
      <c r="IKV165" s="21"/>
      <c r="IKW165" s="20"/>
      <c r="IKX165" s="20"/>
      <c r="IKY165" s="20"/>
      <c r="IKZ165" s="21"/>
      <c r="ILA165" s="21"/>
      <c r="ILB165" s="21"/>
      <c r="ILC165" s="21"/>
      <c r="ILD165" s="21"/>
      <c r="ILE165" s="20"/>
      <c r="ILF165" s="20"/>
      <c r="ILG165" s="20"/>
      <c r="ILH165" s="20"/>
      <c r="ILI165" s="21"/>
      <c r="ILJ165" s="21"/>
      <c r="ILK165" s="7"/>
      <c r="ILL165" s="7"/>
      <c r="ILM165" s="21"/>
      <c r="ILN165" s="20"/>
      <c r="ILO165" s="20"/>
      <c r="ILP165" s="20"/>
      <c r="ILQ165" s="21"/>
      <c r="ILR165" s="21"/>
      <c r="ILS165" s="21"/>
      <c r="ILT165" s="21"/>
      <c r="ILU165" s="21"/>
      <c r="ILV165" s="20"/>
      <c r="ILW165" s="20"/>
      <c r="ILX165" s="20"/>
      <c r="ILY165" s="20"/>
      <c r="ILZ165" s="21"/>
      <c r="IMA165" s="21"/>
      <c r="IMB165" s="7"/>
      <c r="IMC165" s="7"/>
      <c r="IMD165" s="21"/>
      <c r="IME165" s="20"/>
      <c r="IMF165" s="20"/>
      <c r="IMG165" s="20"/>
      <c r="IMH165" s="21"/>
      <c r="IMI165" s="21"/>
      <c r="IMJ165" s="21"/>
      <c r="IMK165" s="21"/>
      <c r="IML165" s="21"/>
      <c r="IMM165" s="20"/>
      <c r="IMN165" s="20"/>
      <c r="IMO165" s="20"/>
      <c r="IMP165" s="20"/>
      <c r="IMQ165" s="21"/>
      <c r="IMR165" s="21"/>
      <c r="IMS165" s="7"/>
      <c r="IMT165" s="7"/>
      <c r="IMU165" s="21"/>
      <c r="IMV165" s="20"/>
      <c r="IMW165" s="20"/>
      <c r="IMX165" s="20"/>
      <c r="IMY165" s="21"/>
      <c r="IMZ165" s="21"/>
      <c r="INA165" s="21"/>
      <c r="INB165" s="21"/>
      <c r="INC165" s="21"/>
      <c r="IND165" s="20"/>
      <c r="INE165" s="20"/>
      <c r="INF165" s="20"/>
      <c r="ING165" s="20"/>
      <c r="INH165" s="21"/>
      <c r="INI165" s="21"/>
      <c r="INJ165" s="7"/>
      <c r="INK165" s="7"/>
      <c r="INL165" s="21"/>
      <c r="INM165" s="20"/>
      <c r="INN165" s="20"/>
      <c r="INO165" s="20"/>
      <c r="INP165" s="21"/>
      <c r="INQ165" s="21"/>
      <c r="INR165" s="21"/>
      <c r="INS165" s="21"/>
      <c r="INT165" s="21"/>
      <c r="INU165" s="20"/>
      <c r="INV165" s="20"/>
      <c r="INW165" s="20"/>
      <c r="INX165" s="20"/>
      <c r="INY165" s="21"/>
      <c r="INZ165" s="21"/>
      <c r="IOA165" s="7"/>
      <c r="IOB165" s="7"/>
      <c r="IOC165" s="21"/>
      <c r="IOD165" s="20"/>
      <c r="IOE165" s="20"/>
      <c r="IOF165" s="20"/>
      <c r="IOG165" s="21"/>
      <c r="IOH165" s="21"/>
      <c r="IOI165" s="21"/>
      <c r="IOJ165" s="21"/>
      <c r="IOK165" s="21"/>
      <c r="IOL165" s="20"/>
      <c r="IOM165" s="20"/>
      <c r="ION165" s="20"/>
      <c r="IOO165" s="20"/>
      <c r="IOP165" s="21"/>
      <c r="IOQ165" s="21"/>
      <c r="IOR165" s="7"/>
      <c r="IOS165" s="7"/>
      <c r="IOT165" s="21"/>
      <c r="IOU165" s="20"/>
      <c r="IOV165" s="20"/>
      <c r="IOW165" s="20"/>
      <c r="IOX165" s="21"/>
      <c r="IOY165" s="21"/>
      <c r="IOZ165" s="21"/>
      <c r="IPA165" s="21"/>
      <c r="IPB165" s="21"/>
      <c r="IPC165" s="20"/>
      <c r="IPD165" s="20"/>
      <c r="IPE165" s="20"/>
      <c r="IPF165" s="20"/>
      <c r="IPG165" s="21"/>
      <c r="IPH165" s="21"/>
      <c r="IPI165" s="7"/>
      <c r="IPJ165" s="7"/>
      <c r="IPK165" s="21"/>
      <c r="IPL165" s="20"/>
      <c r="IPM165" s="20"/>
      <c r="IPN165" s="20"/>
      <c r="IPO165" s="21"/>
      <c r="IPP165" s="21"/>
      <c r="IPQ165" s="21"/>
      <c r="IPR165" s="21"/>
      <c r="IPS165" s="21"/>
      <c r="IPT165" s="20"/>
      <c r="IPU165" s="20"/>
      <c r="IPV165" s="20"/>
      <c r="IPW165" s="20"/>
      <c r="IPX165" s="21"/>
      <c r="IPY165" s="21"/>
      <c r="IPZ165" s="7"/>
      <c r="IQA165" s="7"/>
      <c r="IQB165" s="21"/>
      <c r="IQC165" s="20"/>
      <c r="IQD165" s="20"/>
      <c r="IQE165" s="20"/>
      <c r="IQF165" s="21"/>
      <c r="IQG165" s="21"/>
      <c r="IQH165" s="21"/>
      <c r="IQI165" s="21"/>
      <c r="IQJ165" s="21"/>
      <c r="IQK165" s="20"/>
      <c r="IQL165" s="20"/>
      <c r="IQM165" s="20"/>
      <c r="IQN165" s="20"/>
      <c r="IQO165" s="21"/>
      <c r="IQP165" s="21"/>
      <c r="IQQ165" s="7"/>
      <c r="IQR165" s="7"/>
      <c r="IQS165" s="21"/>
      <c r="IQT165" s="20"/>
      <c r="IQU165" s="20"/>
      <c r="IQV165" s="20"/>
      <c r="IQW165" s="21"/>
      <c r="IQX165" s="21"/>
      <c r="IQY165" s="21"/>
      <c r="IQZ165" s="21"/>
      <c r="IRA165" s="21"/>
      <c r="IRB165" s="20"/>
      <c r="IRC165" s="20"/>
      <c r="IRD165" s="20"/>
      <c r="IRE165" s="20"/>
      <c r="IRF165" s="21"/>
      <c r="IRG165" s="21"/>
      <c r="IRH165" s="7"/>
      <c r="IRI165" s="7"/>
      <c r="IRJ165" s="21"/>
      <c r="IRK165" s="20"/>
      <c r="IRL165" s="20"/>
      <c r="IRM165" s="20"/>
      <c r="IRN165" s="21"/>
      <c r="IRO165" s="21"/>
      <c r="IRP165" s="21"/>
      <c r="IRQ165" s="21"/>
      <c r="IRR165" s="21"/>
      <c r="IRS165" s="20"/>
      <c r="IRT165" s="20"/>
      <c r="IRU165" s="20"/>
      <c r="IRV165" s="20"/>
      <c r="IRW165" s="21"/>
      <c r="IRX165" s="21"/>
      <c r="IRY165" s="7"/>
      <c r="IRZ165" s="7"/>
      <c r="ISA165" s="21"/>
      <c r="ISB165" s="20"/>
      <c r="ISC165" s="20"/>
      <c r="ISD165" s="20"/>
      <c r="ISE165" s="21"/>
      <c r="ISF165" s="21"/>
      <c r="ISG165" s="21"/>
      <c r="ISH165" s="21"/>
      <c r="ISI165" s="21"/>
      <c r="ISJ165" s="20"/>
      <c r="ISK165" s="20"/>
      <c r="ISL165" s="20"/>
      <c r="ISM165" s="20"/>
      <c r="ISN165" s="21"/>
      <c r="ISO165" s="21"/>
      <c r="ISP165" s="7"/>
      <c r="ISQ165" s="7"/>
      <c r="ISR165" s="21"/>
      <c r="ISS165" s="20"/>
      <c r="IST165" s="20"/>
      <c r="ISU165" s="20"/>
      <c r="ISV165" s="21"/>
      <c r="ISW165" s="21"/>
      <c r="ISX165" s="21"/>
      <c r="ISY165" s="21"/>
      <c r="ISZ165" s="21"/>
      <c r="ITA165" s="20"/>
      <c r="ITB165" s="20"/>
      <c r="ITC165" s="20"/>
      <c r="ITD165" s="20"/>
      <c r="ITE165" s="21"/>
      <c r="ITF165" s="21"/>
      <c r="ITG165" s="7"/>
      <c r="ITH165" s="7"/>
      <c r="ITI165" s="21"/>
      <c r="ITJ165" s="20"/>
      <c r="ITK165" s="20"/>
      <c r="ITL165" s="20"/>
      <c r="ITM165" s="21"/>
      <c r="ITN165" s="21"/>
      <c r="ITO165" s="21"/>
      <c r="ITP165" s="21"/>
      <c r="ITQ165" s="21"/>
      <c r="ITR165" s="20"/>
      <c r="ITS165" s="20"/>
      <c r="ITT165" s="20"/>
      <c r="ITU165" s="20"/>
      <c r="ITV165" s="21"/>
      <c r="ITW165" s="21"/>
      <c r="ITX165" s="7"/>
      <c r="ITY165" s="7"/>
      <c r="ITZ165" s="21"/>
      <c r="IUA165" s="20"/>
      <c r="IUB165" s="20"/>
      <c r="IUC165" s="20"/>
      <c r="IUD165" s="21"/>
      <c r="IUE165" s="21"/>
      <c r="IUF165" s="21"/>
      <c r="IUG165" s="21"/>
      <c r="IUH165" s="21"/>
      <c r="IUI165" s="20"/>
      <c r="IUJ165" s="20"/>
      <c r="IUK165" s="20"/>
      <c r="IUL165" s="20"/>
      <c r="IUM165" s="21"/>
      <c r="IUN165" s="21"/>
      <c r="IUO165" s="7"/>
      <c r="IUP165" s="7"/>
      <c r="IUQ165" s="21"/>
      <c r="IUR165" s="20"/>
      <c r="IUS165" s="20"/>
      <c r="IUT165" s="20"/>
      <c r="IUU165" s="21"/>
      <c r="IUV165" s="21"/>
      <c r="IUW165" s="21"/>
      <c r="IUX165" s="21"/>
      <c r="IUY165" s="21"/>
      <c r="IUZ165" s="20"/>
      <c r="IVA165" s="20"/>
      <c r="IVB165" s="20"/>
      <c r="IVC165" s="20"/>
      <c r="IVD165" s="21"/>
      <c r="IVE165" s="21"/>
      <c r="IVF165" s="7"/>
      <c r="IVG165" s="7"/>
      <c r="IVH165" s="21"/>
      <c r="IVI165" s="20"/>
      <c r="IVJ165" s="20"/>
      <c r="IVK165" s="20"/>
      <c r="IVL165" s="21"/>
      <c r="IVM165" s="21"/>
      <c r="IVN165" s="21"/>
      <c r="IVO165" s="21"/>
      <c r="IVP165" s="21"/>
      <c r="IVQ165" s="20"/>
      <c r="IVR165" s="20"/>
      <c r="IVS165" s="20"/>
      <c r="IVT165" s="20"/>
      <c r="IVU165" s="21"/>
      <c r="IVV165" s="21"/>
      <c r="IVW165" s="7"/>
      <c r="IVX165" s="7"/>
      <c r="IVY165" s="21"/>
      <c r="IVZ165" s="20"/>
      <c r="IWA165" s="20"/>
      <c r="IWB165" s="20"/>
      <c r="IWC165" s="21"/>
      <c r="IWD165" s="21"/>
      <c r="IWE165" s="21"/>
      <c r="IWF165" s="21"/>
      <c r="IWG165" s="21"/>
      <c r="IWH165" s="20"/>
      <c r="IWI165" s="20"/>
      <c r="IWJ165" s="20"/>
      <c r="IWK165" s="20"/>
      <c r="IWL165" s="21"/>
      <c r="IWM165" s="21"/>
      <c r="IWN165" s="7"/>
      <c r="IWO165" s="7"/>
      <c r="IWP165" s="21"/>
      <c r="IWQ165" s="20"/>
      <c r="IWR165" s="20"/>
      <c r="IWS165" s="20"/>
      <c r="IWT165" s="21"/>
      <c r="IWU165" s="21"/>
      <c r="IWV165" s="21"/>
      <c r="IWW165" s="21"/>
      <c r="IWX165" s="21"/>
      <c r="IWY165" s="20"/>
      <c r="IWZ165" s="20"/>
      <c r="IXA165" s="20"/>
      <c r="IXB165" s="20"/>
      <c r="IXC165" s="21"/>
      <c r="IXD165" s="21"/>
      <c r="IXE165" s="7"/>
      <c r="IXF165" s="7"/>
      <c r="IXG165" s="21"/>
      <c r="IXH165" s="20"/>
      <c r="IXI165" s="20"/>
      <c r="IXJ165" s="20"/>
      <c r="IXK165" s="21"/>
      <c r="IXL165" s="21"/>
      <c r="IXM165" s="21"/>
      <c r="IXN165" s="21"/>
      <c r="IXO165" s="21"/>
      <c r="IXP165" s="20"/>
      <c r="IXQ165" s="20"/>
      <c r="IXR165" s="20"/>
      <c r="IXS165" s="20"/>
      <c r="IXT165" s="21"/>
      <c r="IXU165" s="21"/>
      <c r="IXV165" s="7"/>
      <c r="IXW165" s="7"/>
      <c r="IXX165" s="21"/>
      <c r="IXY165" s="20"/>
      <c r="IXZ165" s="20"/>
      <c r="IYA165" s="20"/>
      <c r="IYB165" s="21"/>
      <c r="IYC165" s="21"/>
      <c r="IYD165" s="21"/>
      <c r="IYE165" s="21"/>
      <c r="IYF165" s="21"/>
      <c r="IYG165" s="20"/>
      <c r="IYH165" s="20"/>
      <c r="IYI165" s="20"/>
      <c r="IYJ165" s="20"/>
      <c r="IYK165" s="21"/>
      <c r="IYL165" s="21"/>
      <c r="IYM165" s="7"/>
      <c r="IYN165" s="7"/>
      <c r="IYO165" s="21"/>
      <c r="IYP165" s="20"/>
      <c r="IYQ165" s="20"/>
      <c r="IYR165" s="20"/>
      <c r="IYS165" s="21"/>
      <c r="IYT165" s="21"/>
      <c r="IYU165" s="21"/>
      <c r="IYV165" s="21"/>
      <c r="IYW165" s="21"/>
      <c r="IYX165" s="20"/>
      <c r="IYY165" s="20"/>
      <c r="IYZ165" s="20"/>
      <c r="IZA165" s="20"/>
      <c r="IZB165" s="21"/>
      <c r="IZC165" s="21"/>
      <c r="IZD165" s="7"/>
      <c r="IZE165" s="7"/>
      <c r="IZF165" s="21"/>
      <c r="IZG165" s="20"/>
      <c r="IZH165" s="20"/>
      <c r="IZI165" s="20"/>
      <c r="IZJ165" s="21"/>
      <c r="IZK165" s="21"/>
      <c r="IZL165" s="21"/>
      <c r="IZM165" s="21"/>
      <c r="IZN165" s="21"/>
      <c r="IZO165" s="20"/>
      <c r="IZP165" s="20"/>
      <c r="IZQ165" s="20"/>
      <c r="IZR165" s="20"/>
      <c r="IZS165" s="21"/>
      <c r="IZT165" s="21"/>
      <c r="IZU165" s="7"/>
      <c r="IZV165" s="7"/>
      <c r="IZW165" s="21"/>
      <c r="IZX165" s="20"/>
      <c r="IZY165" s="20"/>
      <c r="IZZ165" s="20"/>
      <c r="JAA165" s="21"/>
      <c r="JAB165" s="21"/>
      <c r="JAC165" s="21"/>
      <c r="JAD165" s="21"/>
      <c r="JAE165" s="21"/>
      <c r="JAF165" s="20"/>
      <c r="JAG165" s="20"/>
      <c r="JAH165" s="20"/>
      <c r="JAI165" s="20"/>
      <c r="JAJ165" s="21"/>
      <c r="JAK165" s="21"/>
      <c r="JAL165" s="7"/>
      <c r="JAM165" s="7"/>
      <c r="JAN165" s="21"/>
      <c r="JAO165" s="20"/>
      <c r="JAP165" s="20"/>
      <c r="JAQ165" s="20"/>
      <c r="JAR165" s="21"/>
      <c r="JAS165" s="21"/>
      <c r="JAT165" s="21"/>
      <c r="JAU165" s="21"/>
      <c r="JAV165" s="21"/>
      <c r="JAW165" s="20"/>
      <c r="JAX165" s="20"/>
      <c r="JAY165" s="20"/>
      <c r="JAZ165" s="20"/>
      <c r="JBA165" s="21"/>
      <c r="JBB165" s="21"/>
      <c r="JBC165" s="7"/>
      <c r="JBD165" s="7"/>
      <c r="JBE165" s="21"/>
      <c r="JBF165" s="20"/>
      <c r="JBG165" s="20"/>
      <c r="JBH165" s="20"/>
      <c r="JBI165" s="21"/>
      <c r="JBJ165" s="21"/>
      <c r="JBK165" s="21"/>
      <c r="JBL165" s="21"/>
      <c r="JBM165" s="21"/>
      <c r="JBN165" s="20"/>
      <c r="JBO165" s="20"/>
      <c r="JBP165" s="20"/>
      <c r="JBQ165" s="20"/>
      <c r="JBR165" s="21"/>
      <c r="JBS165" s="21"/>
      <c r="JBT165" s="7"/>
      <c r="JBU165" s="7"/>
      <c r="JBV165" s="21"/>
      <c r="JBW165" s="20"/>
      <c r="JBX165" s="20"/>
      <c r="JBY165" s="20"/>
      <c r="JBZ165" s="21"/>
      <c r="JCA165" s="21"/>
      <c r="JCB165" s="21"/>
      <c r="JCC165" s="21"/>
      <c r="JCD165" s="21"/>
      <c r="JCE165" s="20"/>
      <c r="JCF165" s="20"/>
      <c r="JCG165" s="20"/>
      <c r="JCH165" s="20"/>
      <c r="JCI165" s="21"/>
      <c r="JCJ165" s="21"/>
      <c r="JCK165" s="7"/>
      <c r="JCL165" s="7"/>
      <c r="JCM165" s="21"/>
      <c r="JCN165" s="20"/>
      <c r="JCO165" s="20"/>
      <c r="JCP165" s="20"/>
      <c r="JCQ165" s="21"/>
      <c r="JCR165" s="21"/>
      <c r="JCS165" s="21"/>
      <c r="JCT165" s="21"/>
      <c r="JCU165" s="21"/>
      <c r="JCV165" s="20"/>
      <c r="JCW165" s="20"/>
      <c r="JCX165" s="20"/>
      <c r="JCY165" s="20"/>
      <c r="JCZ165" s="21"/>
      <c r="JDA165" s="21"/>
      <c r="JDB165" s="7"/>
      <c r="JDC165" s="7"/>
      <c r="JDD165" s="21"/>
      <c r="JDE165" s="20"/>
      <c r="JDF165" s="20"/>
      <c r="JDG165" s="20"/>
      <c r="JDH165" s="21"/>
      <c r="JDI165" s="21"/>
      <c r="JDJ165" s="21"/>
      <c r="JDK165" s="21"/>
      <c r="JDL165" s="21"/>
      <c r="JDM165" s="20"/>
      <c r="JDN165" s="20"/>
      <c r="JDO165" s="20"/>
      <c r="JDP165" s="20"/>
      <c r="JDQ165" s="21"/>
      <c r="JDR165" s="21"/>
      <c r="JDS165" s="7"/>
      <c r="JDT165" s="7"/>
      <c r="JDU165" s="21"/>
      <c r="JDV165" s="20"/>
      <c r="JDW165" s="20"/>
      <c r="JDX165" s="20"/>
      <c r="JDY165" s="21"/>
      <c r="JDZ165" s="21"/>
      <c r="JEA165" s="21"/>
      <c r="JEB165" s="21"/>
      <c r="JEC165" s="21"/>
      <c r="JED165" s="20"/>
      <c r="JEE165" s="20"/>
      <c r="JEF165" s="20"/>
      <c r="JEG165" s="20"/>
      <c r="JEH165" s="21"/>
      <c r="JEI165" s="21"/>
      <c r="JEJ165" s="7"/>
      <c r="JEK165" s="7"/>
      <c r="JEL165" s="21"/>
      <c r="JEM165" s="20"/>
      <c r="JEN165" s="20"/>
      <c r="JEO165" s="20"/>
      <c r="JEP165" s="21"/>
      <c r="JEQ165" s="21"/>
      <c r="JER165" s="21"/>
      <c r="JES165" s="21"/>
      <c r="JET165" s="21"/>
      <c r="JEU165" s="20"/>
      <c r="JEV165" s="20"/>
      <c r="JEW165" s="20"/>
      <c r="JEX165" s="20"/>
      <c r="JEY165" s="21"/>
      <c r="JEZ165" s="21"/>
      <c r="JFA165" s="7"/>
      <c r="JFB165" s="7"/>
      <c r="JFC165" s="21"/>
      <c r="JFD165" s="20"/>
      <c r="JFE165" s="20"/>
      <c r="JFF165" s="20"/>
      <c r="JFG165" s="21"/>
      <c r="JFH165" s="21"/>
      <c r="JFI165" s="21"/>
      <c r="JFJ165" s="21"/>
      <c r="JFK165" s="21"/>
      <c r="JFL165" s="20"/>
      <c r="JFM165" s="20"/>
      <c r="JFN165" s="20"/>
      <c r="JFO165" s="20"/>
      <c r="JFP165" s="21"/>
      <c r="JFQ165" s="21"/>
      <c r="JFR165" s="7"/>
      <c r="JFS165" s="7"/>
      <c r="JFT165" s="21"/>
      <c r="JFU165" s="20"/>
      <c r="JFV165" s="20"/>
      <c r="JFW165" s="20"/>
      <c r="JFX165" s="21"/>
      <c r="JFY165" s="21"/>
      <c r="JFZ165" s="21"/>
      <c r="JGA165" s="21"/>
      <c r="JGB165" s="21"/>
      <c r="JGC165" s="20"/>
      <c r="JGD165" s="20"/>
      <c r="JGE165" s="20"/>
      <c r="JGF165" s="20"/>
      <c r="JGG165" s="21"/>
      <c r="JGH165" s="21"/>
      <c r="JGI165" s="7"/>
      <c r="JGJ165" s="7"/>
      <c r="JGK165" s="21"/>
      <c r="JGL165" s="20"/>
      <c r="JGM165" s="20"/>
      <c r="JGN165" s="20"/>
      <c r="JGO165" s="21"/>
      <c r="JGP165" s="21"/>
      <c r="JGQ165" s="21"/>
      <c r="JGR165" s="21"/>
      <c r="JGS165" s="21"/>
      <c r="JGT165" s="20"/>
      <c r="JGU165" s="20"/>
      <c r="JGV165" s="20"/>
      <c r="JGW165" s="20"/>
      <c r="JGX165" s="21"/>
      <c r="JGY165" s="21"/>
      <c r="JGZ165" s="7"/>
      <c r="JHA165" s="7"/>
      <c r="JHB165" s="21"/>
      <c r="JHC165" s="20"/>
      <c r="JHD165" s="20"/>
      <c r="JHE165" s="20"/>
      <c r="JHF165" s="21"/>
      <c r="JHG165" s="21"/>
      <c r="JHH165" s="21"/>
      <c r="JHI165" s="21"/>
      <c r="JHJ165" s="21"/>
      <c r="JHK165" s="20"/>
      <c r="JHL165" s="20"/>
      <c r="JHM165" s="20"/>
      <c r="JHN165" s="20"/>
      <c r="JHO165" s="21"/>
      <c r="JHP165" s="21"/>
      <c r="JHQ165" s="7"/>
      <c r="JHR165" s="7"/>
      <c r="JHS165" s="21"/>
      <c r="JHT165" s="20"/>
      <c r="JHU165" s="20"/>
      <c r="JHV165" s="20"/>
      <c r="JHW165" s="21"/>
      <c r="JHX165" s="21"/>
      <c r="JHY165" s="21"/>
      <c r="JHZ165" s="21"/>
      <c r="JIA165" s="21"/>
      <c r="JIB165" s="20"/>
      <c r="JIC165" s="20"/>
      <c r="JID165" s="20"/>
      <c r="JIE165" s="20"/>
      <c r="JIF165" s="21"/>
      <c r="JIG165" s="21"/>
      <c r="JIH165" s="7"/>
      <c r="JII165" s="7"/>
      <c r="JIJ165" s="21"/>
      <c r="JIK165" s="20"/>
      <c r="JIL165" s="20"/>
      <c r="JIM165" s="20"/>
      <c r="JIN165" s="21"/>
      <c r="JIO165" s="21"/>
      <c r="JIP165" s="21"/>
      <c r="JIQ165" s="21"/>
      <c r="JIR165" s="21"/>
      <c r="JIS165" s="20"/>
      <c r="JIT165" s="20"/>
      <c r="JIU165" s="20"/>
      <c r="JIV165" s="20"/>
      <c r="JIW165" s="21"/>
      <c r="JIX165" s="21"/>
      <c r="JIY165" s="7"/>
      <c r="JIZ165" s="7"/>
      <c r="JJA165" s="21"/>
      <c r="JJB165" s="20"/>
      <c r="JJC165" s="20"/>
      <c r="JJD165" s="20"/>
      <c r="JJE165" s="21"/>
      <c r="JJF165" s="21"/>
      <c r="JJG165" s="21"/>
      <c r="JJH165" s="21"/>
      <c r="JJI165" s="21"/>
      <c r="JJJ165" s="20"/>
      <c r="JJK165" s="20"/>
      <c r="JJL165" s="20"/>
      <c r="JJM165" s="20"/>
      <c r="JJN165" s="21"/>
      <c r="JJO165" s="21"/>
      <c r="JJP165" s="7"/>
      <c r="JJQ165" s="7"/>
      <c r="JJR165" s="21"/>
      <c r="JJS165" s="20"/>
      <c r="JJT165" s="20"/>
      <c r="JJU165" s="20"/>
      <c r="JJV165" s="21"/>
      <c r="JJW165" s="21"/>
      <c r="JJX165" s="21"/>
      <c r="JJY165" s="21"/>
      <c r="JJZ165" s="21"/>
      <c r="JKA165" s="20"/>
      <c r="JKB165" s="20"/>
      <c r="JKC165" s="20"/>
      <c r="JKD165" s="20"/>
      <c r="JKE165" s="21"/>
      <c r="JKF165" s="21"/>
      <c r="JKG165" s="7"/>
      <c r="JKH165" s="7"/>
      <c r="JKI165" s="21"/>
      <c r="JKJ165" s="20"/>
      <c r="JKK165" s="20"/>
      <c r="JKL165" s="20"/>
      <c r="JKM165" s="21"/>
      <c r="JKN165" s="21"/>
      <c r="JKO165" s="21"/>
      <c r="JKP165" s="21"/>
      <c r="JKQ165" s="21"/>
      <c r="JKR165" s="20"/>
      <c r="JKS165" s="20"/>
      <c r="JKT165" s="20"/>
      <c r="JKU165" s="20"/>
      <c r="JKV165" s="21"/>
      <c r="JKW165" s="21"/>
      <c r="JKX165" s="7"/>
      <c r="JKY165" s="7"/>
      <c r="JKZ165" s="21"/>
      <c r="JLA165" s="20"/>
      <c r="JLB165" s="20"/>
      <c r="JLC165" s="20"/>
      <c r="JLD165" s="21"/>
      <c r="JLE165" s="21"/>
      <c r="JLF165" s="21"/>
      <c r="JLG165" s="21"/>
      <c r="JLH165" s="21"/>
      <c r="JLI165" s="20"/>
      <c r="JLJ165" s="20"/>
      <c r="JLK165" s="20"/>
      <c r="JLL165" s="20"/>
      <c r="JLM165" s="21"/>
      <c r="JLN165" s="21"/>
      <c r="JLO165" s="7"/>
      <c r="JLP165" s="7"/>
      <c r="JLQ165" s="21"/>
      <c r="JLR165" s="20"/>
      <c r="JLS165" s="20"/>
      <c r="JLT165" s="20"/>
      <c r="JLU165" s="21"/>
      <c r="JLV165" s="21"/>
      <c r="JLW165" s="21"/>
      <c r="JLX165" s="21"/>
      <c r="JLY165" s="21"/>
      <c r="JLZ165" s="20"/>
      <c r="JMA165" s="20"/>
      <c r="JMB165" s="20"/>
      <c r="JMC165" s="20"/>
      <c r="JMD165" s="21"/>
      <c r="JME165" s="21"/>
      <c r="JMF165" s="7"/>
      <c r="JMG165" s="7"/>
      <c r="JMH165" s="21"/>
      <c r="JMI165" s="20"/>
      <c r="JMJ165" s="20"/>
      <c r="JMK165" s="20"/>
      <c r="JML165" s="21"/>
      <c r="JMM165" s="21"/>
      <c r="JMN165" s="21"/>
      <c r="JMO165" s="21"/>
      <c r="JMP165" s="21"/>
      <c r="JMQ165" s="20"/>
      <c r="JMR165" s="20"/>
      <c r="JMS165" s="20"/>
      <c r="JMT165" s="20"/>
      <c r="JMU165" s="21"/>
      <c r="JMV165" s="21"/>
      <c r="JMW165" s="7"/>
      <c r="JMX165" s="7"/>
      <c r="JMY165" s="21"/>
      <c r="JMZ165" s="20"/>
      <c r="JNA165" s="20"/>
      <c r="JNB165" s="20"/>
      <c r="JNC165" s="21"/>
      <c r="JND165" s="21"/>
      <c r="JNE165" s="21"/>
      <c r="JNF165" s="21"/>
      <c r="JNG165" s="21"/>
      <c r="JNH165" s="20"/>
      <c r="JNI165" s="20"/>
      <c r="JNJ165" s="20"/>
      <c r="JNK165" s="20"/>
      <c r="JNL165" s="21"/>
      <c r="JNM165" s="21"/>
      <c r="JNN165" s="7"/>
      <c r="JNO165" s="7"/>
      <c r="JNP165" s="21"/>
      <c r="JNQ165" s="20"/>
      <c r="JNR165" s="20"/>
      <c r="JNS165" s="20"/>
      <c r="JNT165" s="21"/>
      <c r="JNU165" s="21"/>
      <c r="JNV165" s="21"/>
      <c r="JNW165" s="21"/>
      <c r="JNX165" s="21"/>
      <c r="JNY165" s="20"/>
      <c r="JNZ165" s="20"/>
      <c r="JOA165" s="20"/>
      <c r="JOB165" s="20"/>
      <c r="JOC165" s="21"/>
      <c r="JOD165" s="21"/>
      <c r="JOE165" s="7"/>
      <c r="JOF165" s="7"/>
      <c r="JOG165" s="21"/>
      <c r="JOH165" s="20"/>
      <c r="JOI165" s="20"/>
      <c r="JOJ165" s="20"/>
      <c r="JOK165" s="21"/>
      <c r="JOL165" s="21"/>
      <c r="JOM165" s="21"/>
      <c r="JON165" s="21"/>
      <c r="JOO165" s="21"/>
      <c r="JOP165" s="20"/>
      <c r="JOQ165" s="20"/>
      <c r="JOR165" s="20"/>
      <c r="JOS165" s="20"/>
      <c r="JOT165" s="21"/>
      <c r="JOU165" s="21"/>
      <c r="JOV165" s="7"/>
      <c r="JOW165" s="7"/>
      <c r="JOX165" s="21"/>
      <c r="JOY165" s="20"/>
      <c r="JOZ165" s="20"/>
      <c r="JPA165" s="20"/>
      <c r="JPB165" s="21"/>
      <c r="JPC165" s="21"/>
      <c r="JPD165" s="21"/>
      <c r="JPE165" s="21"/>
      <c r="JPF165" s="21"/>
      <c r="JPG165" s="20"/>
      <c r="JPH165" s="20"/>
      <c r="JPI165" s="20"/>
      <c r="JPJ165" s="20"/>
      <c r="JPK165" s="21"/>
      <c r="JPL165" s="21"/>
      <c r="JPM165" s="7"/>
      <c r="JPN165" s="7"/>
      <c r="JPO165" s="21"/>
      <c r="JPP165" s="20"/>
      <c r="JPQ165" s="20"/>
      <c r="JPR165" s="20"/>
      <c r="JPS165" s="21"/>
      <c r="JPT165" s="21"/>
      <c r="JPU165" s="21"/>
      <c r="JPV165" s="21"/>
      <c r="JPW165" s="21"/>
      <c r="JPX165" s="20"/>
      <c r="JPY165" s="20"/>
      <c r="JPZ165" s="20"/>
      <c r="JQA165" s="20"/>
      <c r="JQB165" s="21"/>
      <c r="JQC165" s="21"/>
      <c r="JQD165" s="7"/>
      <c r="JQE165" s="7"/>
      <c r="JQF165" s="21"/>
      <c r="JQG165" s="20"/>
      <c r="JQH165" s="20"/>
      <c r="JQI165" s="20"/>
      <c r="JQJ165" s="21"/>
      <c r="JQK165" s="21"/>
      <c r="JQL165" s="21"/>
      <c r="JQM165" s="21"/>
      <c r="JQN165" s="21"/>
      <c r="JQO165" s="20"/>
      <c r="JQP165" s="20"/>
      <c r="JQQ165" s="20"/>
      <c r="JQR165" s="20"/>
      <c r="JQS165" s="21"/>
      <c r="JQT165" s="21"/>
      <c r="JQU165" s="7"/>
      <c r="JQV165" s="7"/>
      <c r="JQW165" s="21"/>
      <c r="JQX165" s="20"/>
      <c r="JQY165" s="20"/>
      <c r="JQZ165" s="20"/>
      <c r="JRA165" s="21"/>
      <c r="JRB165" s="21"/>
      <c r="JRC165" s="21"/>
      <c r="JRD165" s="21"/>
      <c r="JRE165" s="21"/>
      <c r="JRF165" s="20"/>
      <c r="JRG165" s="20"/>
      <c r="JRH165" s="20"/>
      <c r="JRI165" s="20"/>
      <c r="JRJ165" s="21"/>
      <c r="JRK165" s="21"/>
      <c r="JRL165" s="7"/>
      <c r="JRM165" s="7"/>
      <c r="JRN165" s="21"/>
      <c r="JRO165" s="20"/>
      <c r="JRP165" s="20"/>
      <c r="JRQ165" s="20"/>
      <c r="JRR165" s="21"/>
      <c r="JRS165" s="21"/>
      <c r="JRT165" s="21"/>
      <c r="JRU165" s="21"/>
      <c r="JRV165" s="21"/>
      <c r="JRW165" s="20"/>
      <c r="JRX165" s="20"/>
      <c r="JRY165" s="20"/>
      <c r="JRZ165" s="20"/>
      <c r="JSA165" s="21"/>
      <c r="JSB165" s="21"/>
      <c r="JSC165" s="7"/>
      <c r="JSD165" s="7"/>
      <c r="JSE165" s="21"/>
      <c r="JSF165" s="20"/>
      <c r="JSG165" s="20"/>
      <c r="JSH165" s="20"/>
      <c r="JSI165" s="21"/>
      <c r="JSJ165" s="21"/>
      <c r="JSK165" s="21"/>
      <c r="JSL165" s="21"/>
      <c r="JSM165" s="21"/>
      <c r="JSN165" s="20"/>
      <c r="JSO165" s="20"/>
      <c r="JSP165" s="20"/>
      <c r="JSQ165" s="20"/>
      <c r="JSR165" s="21"/>
      <c r="JSS165" s="21"/>
      <c r="JST165" s="7"/>
      <c r="JSU165" s="7"/>
      <c r="JSV165" s="21"/>
      <c r="JSW165" s="20"/>
      <c r="JSX165" s="20"/>
      <c r="JSY165" s="20"/>
      <c r="JSZ165" s="21"/>
      <c r="JTA165" s="21"/>
      <c r="JTB165" s="21"/>
      <c r="JTC165" s="21"/>
      <c r="JTD165" s="21"/>
      <c r="JTE165" s="20"/>
      <c r="JTF165" s="20"/>
      <c r="JTG165" s="20"/>
      <c r="JTH165" s="20"/>
      <c r="JTI165" s="21"/>
      <c r="JTJ165" s="21"/>
      <c r="JTK165" s="7"/>
      <c r="JTL165" s="7"/>
      <c r="JTM165" s="21"/>
      <c r="JTN165" s="20"/>
      <c r="JTO165" s="20"/>
      <c r="JTP165" s="20"/>
      <c r="JTQ165" s="21"/>
      <c r="JTR165" s="21"/>
      <c r="JTS165" s="21"/>
      <c r="JTT165" s="21"/>
      <c r="JTU165" s="21"/>
      <c r="JTV165" s="20"/>
      <c r="JTW165" s="20"/>
      <c r="JTX165" s="20"/>
      <c r="JTY165" s="20"/>
      <c r="JTZ165" s="21"/>
      <c r="JUA165" s="21"/>
      <c r="JUB165" s="7"/>
      <c r="JUC165" s="7"/>
      <c r="JUD165" s="21"/>
      <c r="JUE165" s="20"/>
      <c r="JUF165" s="20"/>
      <c r="JUG165" s="20"/>
      <c r="JUH165" s="21"/>
      <c r="JUI165" s="21"/>
      <c r="JUJ165" s="21"/>
      <c r="JUK165" s="21"/>
      <c r="JUL165" s="21"/>
      <c r="JUM165" s="20"/>
      <c r="JUN165" s="20"/>
      <c r="JUO165" s="20"/>
      <c r="JUP165" s="20"/>
      <c r="JUQ165" s="21"/>
      <c r="JUR165" s="21"/>
      <c r="JUS165" s="7"/>
      <c r="JUT165" s="7"/>
      <c r="JUU165" s="21"/>
      <c r="JUV165" s="20"/>
      <c r="JUW165" s="20"/>
      <c r="JUX165" s="20"/>
      <c r="JUY165" s="21"/>
      <c r="JUZ165" s="21"/>
      <c r="JVA165" s="21"/>
      <c r="JVB165" s="21"/>
      <c r="JVC165" s="21"/>
      <c r="JVD165" s="20"/>
      <c r="JVE165" s="20"/>
      <c r="JVF165" s="20"/>
      <c r="JVG165" s="20"/>
      <c r="JVH165" s="21"/>
      <c r="JVI165" s="21"/>
      <c r="JVJ165" s="7"/>
      <c r="JVK165" s="7"/>
      <c r="JVL165" s="21"/>
      <c r="JVM165" s="20"/>
      <c r="JVN165" s="20"/>
      <c r="JVO165" s="20"/>
      <c r="JVP165" s="21"/>
      <c r="JVQ165" s="21"/>
      <c r="JVR165" s="21"/>
      <c r="JVS165" s="21"/>
      <c r="JVT165" s="21"/>
      <c r="JVU165" s="20"/>
      <c r="JVV165" s="20"/>
      <c r="JVW165" s="20"/>
      <c r="JVX165" s="20"/>
      <c r="JVY165" s="21"/>
      <c r="JVZ165" s="21"/>
      <c r="JWA165" s="7"/>
      <c r="JWB165" s="7"/>
      <c r="JWC165" s="21"/>
      <c r="JWD165" s="20"/>
      <c r="JWE165" s="20"/>
      <c r="JWF165" s="20"/>
      <c r="JWG165" s="21"/>
      <c r="JWH165" s="21"/>
      <c r="JWI165" s="21"/>
      <c r="JWJ165" s="21"/>
      <c r="JWK165" s="21"/>
      <c r="JWL165" s="20"/>
      <c r="JWM165" s="20"/>
      <c r="JWN165" s="20"/>
      <c r="JWO165" s="20"/>
      <c r="JWP165" s="21"/>
      <c r="JWQ165" s="21"/>
      <c r="JWR165" s="7"/>
      <c r="JWS165" s="7"/>
      <c r="JWT165" s="21"/>
      <c r="JWU165" s="20"/>
      <c r="JWV165" s="20"/>
      <c r="JWW165" s="20"/>
      <c r="JWX165" s="21"/>
      <c r="JWY165" s="21"/>
      <c r="JWZ165" s="21"/>
      <c r="JXA165" s="21"/>
      <c r="JXB165" s="21"/>
      <c r="JXC165" s="20"/>
      <c r="JXD165" s="20"/>
      <c r="JXE165" s="20"/>
      <c r="JXF165" s="20"/>
      <c r="JXG165" s="21"/>
      <c r="JXH165" s="21"/>
      <c r="JXI165" s="7"/>
      <c r="JXJ165" s="7"/>
      <c r="JXK165" s="21"/>
      <c r="JXL165" s="20"/>
      <c r="JXM165" s="20"/>
      <c r="JXN165" s="20"/>
      <c r="JXO165" s="21"/>
      <c r="JXP165" s="21"/>
      <c r="JXQ165" s="21"/>
      <c r="JXR165" s="21"/>
      <c r="JXS165" s="21"/>
      <c r="JXT165" s="20"/>
      <c r="JXU165" s="20"/>
      <c r="JXV165" s="20"/>
      <c r="JXW165" s="20"/>
      <c r="JXX165" s="21"/>
      <c r="JXY165" s="21"/>
      <c r="JXZ165" s="7"/>
      <c r="JYA165" s="7"/>
      <c r="JYB165" s="21"/>
      <c r="JYC165" s="20"/>
      <c r="JYD165" s="20"/>
      <c r="JYE165" s="20"/>
      <c r="JYF165" s="21"/>
      <c r="JYG165" s="21"/>
      <c r="JYH165" s="21"/>
      <c r="JYI165" s="21"/>
      <c r="JYJ165" s="21"/>
      <c r="JYK165" s="20"/>
      <c r="JYL165" s="20"/>
      <c r="JYM165" s="20"/>
      <c r="JYN165" s="20"/>
      <c r="JYO165" s="21"/>
      <c r="JYP165" s="21"/>
      <c r="JYQ165" s="7"/>
      <c r="JYR165" s="7"/>
      <c r="JYS165" s="21"/>
      <c r="JYT165" s="20"/>
      <c r="JYU165" s="20"/>
      <c r="JYV165" s="20"/>
      <c r="JYW165" s="21"/>
      <c r="JYX165" s="21"/>
      <c r="JYY165" s="21"/>
      <c r="JYZ165" s="21"/>
      <c r="JZA165" s="21"/>
      <c r="JZB165" s="20"/>
      <c r="JZC165" s="20"/>
      <c r="JZD165" s="20"/>
      <c r="JZE165" s="20"/>
      <c r="JZF165" s="21"/>
      <c r="JZG165" s="21"/>
      <c r="JZH165" s="7"/>
      <c r="JZI165" s="7"/>
      <c r="JZJ165" s="21"/>
      <c r="JZK165" s="20"/>
      <c r="JZL165" s="20"/>
      <c r="JZM165" s="20"/>
      <c r="JZN165" s="21"/>
      <c r="JZO165" s="21"/>
      <c r="JZP165" s="21"/>
      <c r="JZQ165" s="21"/>
      <c r="JZR165" s="21"/>
      <c r="JZS165" s="20"/>
      <c r="JZT165" s="20"/>
      <c r="JZU165" s="20"/>
      <c r="JZV165" s="20"/>
      <c r="JZW165" s="21"/>
      <c r="JZX165" s="21"/>
      <c r="JZY165" s="7"/>
      <c r="JZZ165" s="7"/>
      <c r="KAA165" s="21"/>
      <c r="KAB165" s="20"/>
      <c r="KAC165" s="20"/>
      <c r="KAD165" s="20"/>
      <c r="KAE165" s="21"/>
      <c r="KAF165" s="21"/>
      <c r="KAG165" s="21"/>
      <c r="KAH165" s="21"/>
      <c r="KAI165" s="21"/>
      <c r="KAJ165" s="20"/>
      <c r="KAK165" s="20"/>
      <c r="KAL165" s="20"/>
      <c r="KAM165" s="20"/>
      <c r="KAN165" s="21"/>
      <c r="KAO165" s="21"/>
      <c r="KAP165" s="7"/>
      <c r="KAQ165" s="7"/>
      <c r="KAR165" s="21"/>
      <c r="KAS165" s="20"/>
      <c r="KAT165" s="20"/>
      <c r="KAU165" s="20"/>
      <c r="KAV165" s="21"/>
      <c r="KAW165" s="21"/>
      <c r="KAX165" s="21"/>
      <c r="KAY165" s="21"/>
      <c r="KAZ165" s="21"/>
      <c r="KBA165" s="20"/>
      <c r="KBB165" s="20"/>
      <c r="KBC165" s="20"/>
      <c r="KBD165" s="20"/>
      <c r="KBE165" s="21"/>
      <c r="KBF165" s="21"/>
      <c r="KBG165" s="7"/>
      <c r="KBH165" s="7"/>
      <c r="KBI165" s="21"/>
      <c r="KBJ165" s="20"/>
      <c r="KBK165" s="20"/>
      <c r="KBL165" s="20"/>
      <c r="KBM165" s="21"/>
      <c r="KBN165" s="21"/>
      <c r="KBO165" s="21"/>
      <c r="KBP165" s="21"/>
      <c r="KBQ165" s="21"/>
      <c r="KBR165" s="20"/>
      <c r="KBS165" s="20"/>
      <c r="KBT165" s="20"/>
      <c r="KBU165" s="20"/>
      <c r="KBV165" s="21"/>
      <c r="KBW165" s="21"/>
      <c r="KBX165" s="7"/>
      <c r="KBY165" s="7"/>
      <c r="KBZ165" s="21"/>
      <c r="KCA165" s="20"/>
      <c r="KCB165" s="20"/>
      <c r="KCC165" s="20"/>
      <c r="KCD165" s="21"/>
      <c r="KCE165" s="21"/>
      <c r="KCF165" s="21"/>
      <c r="KCG165" s="21"/>
      <c r="KCH165" s="21"/>
      <c r="KCI165" s="20"/>
      <c r="KCJ165" s="20"/>
      <c r="KCK165" s="20"/>
      <c r="KCL165" s="20"/>
      <c r="KCM165" s="21"/>
      <c r="KCN165" s="21"/>
      <c r="KCO165" s="7"/>
      <c r="KCP165" s="7"/>
      <c r="KCQ165" s="21"/>
      <c r="KCR165" s="20"/>
      <c r="KCS165" s="20"/>
      <c r="KCT165" s="20"/>
      <c r="KCU165" s="21"/>
      <c r="KCV165" s="21"/>
      <c r="KCW165" s="21"/>
      <c r="KCX165" s="21"/>
      <c r="KCY165" s="21"/>
      <c r="KCZ165" s="20"/>
      <c r="KDA165" s="20"/>
      <c r="KDB165" s="20"/>
      <c r="KDC165" s="20"/>
      <c r="KDD165" s="21"/>
      <c r="KDE165" s="21"/>
      <c r="KDF165" s="7"/>
      <c r="KDG165" s="7"/>
      <c r="KDH165" s="21"/>
      <c r="KDI165" s="20"/>
      <c r="KDJ165" s="20"/>
      <c r="KDK165" s="20"/>
      <c r="KDL165" s="21"/>
      <c r="KDM165" s="21"/>
      <c r="KDN165" s="21"/>
      <c r="KDO165" s="21"/>
      <c r="KDP165" s="21"/>
      <c r="KDQ165" s="20"/>
      <c r="KDR165" s="20"/>
      <c r="KDS165" s="20"/>
      <c r="KDT165" s="20"/>
      <c r="KDU165" s="21"/>
      <c r="KDV165" s="21"/>
      <c r="KDW165" s="7"/>
      <c r="KDX165" s="7"/>
      <c r="KDY165" s="21"/>
      <c r="KDZ165" s="20"/>
      <c r="KEA165" s="20"/>
      <c r="KEB165" s="20"/>
      <c r="KEC165" s="21"/>
      <c r="KED165" s="21"/>
      <c r="KEE165" s="21"/>
      <c r="KEF165" s="21"/>
      <c r="KEG165" s="21"/>
      <c r="KEH165" s="20"/>
      <c r="KEI165" s="20"/>
      <c r="KEJ165" s="20"/>
      <c r="KEK165" s="20"/>
      <c r="KEL165" s="21"/>
      <c r="KEM165" s="21"/>
      <c r="KEN165" s="7"/>
      <c r="KEO165" s="7"/>
      <c r="KEP165" s="21"/>
      <c r="KEQ165" s="20"/>
      <c r="KER165" s="20"/>
      <c r="KES165" s="20"/>
      <c r="KET165" s="21"/>
      <c r="KEU165" s="21"/>
      <c r="KEV165" s="21"/>
      <c r="KEW165" s="21"/>
      <c r="KEX165" s="21"/>
      <c r="KEY165" s="20"/>
      <c r="KEZ165" s="20"/>
      <c r="KFA165" s="20"/>
      <c r="KFB165" s="20"/>
      <c r="KFC165" s="21"/>
      <c r="KFD165" s="21"/>
      <c r="KFE165" s="7"/>
      <c r="KFF165" s="7"/>
      <c r="KFG165" s="21"/>
      <c r="KFH165" s="20"/>
      <c r="KFI165" s="20"/>
      <c r="KFJ165" s="20"/>
      <c r="KFK165" s="21"/>
      <c r="KFL165" s="21"/>
      <c r="KFM165" s="21"/>
      <c r="KFN165" s="21"/>
      <c r="KFO165" s="21"/>
      <c r="KFP165" s="20"/>
      <c r="KFQ165" s="20"/>
      <c r="KFR165" s="20"/>
      <c r="KFS165" s="20"/>
      <c r="KFT165" s="21"/>
      <c r="KFU165" s="21"/>
      <c r="KFV165" s="7"/>
      <c r="KFW165" s="7"/>
      <c r="KFX165" s="21"/>
      <c r="KFY165" s="20"/>
      <c r="KFZ165" s="20"/>
      <c r="KGA165" s="20"/>
      <c r="KGB165" s="21"/>
      <c r="KGC165" s="21"/>
      <c r="KGD165" s="21"/>
      <c r="KGE165" s="21"/>
      <c r="KGF165" s="21"/>
      <c r="KGG165" s="20"/>
      <c r="KGH165" s="20"/>
      <c r="KGI165" s="20"/>
      <c r="KGJ165" s="20"/>
      <c r="KGK165" s="21"/>
      <c r="KGL165" s="21"/>
      <c r="KGM165" s="7"/>
      <c r="KGN165" s="7"/>
      <c r="KGO165" s="21"/>
      <c r="KGP165" s="20"/>
      <c r="KGQ165" s="20"/>
      <c r="KGR165" s="20"/>
      <c r="KGS165" s="21"/>
      <c r="KGT165" s="21"/>
      <c r="KGU165" s="21"/>
      <c r="KGV165" s="21"/>
      <c r="KGW165" s="21"/>
      <c r="KGX165" s="20"/>
      <c r="KGY165" s="20"/>
      <c r="KGZ165" s="20"/>
      <c r="KHA165" s="20"/>
      <c r="KHB165" s="21"/>
      <c r="KHC165" s="21"/>
      <c r="KHD165" s="7"/>
      <c r="KHE165" s="7"/>
      <c r="KHF165" s="21"/>
      <c r="KHG165" s="20"/>
      <c r="KHH165" s="20"/>
      <c r="KHI165" s="20"/>
      <c r="KHJ165" s="21"/>
      <c r="KHK165" s="21"/>
      <c r="KHL165" s="21"/>
      <c r="KHM165" s="21"/>
      <c r="KHN165" s="21"/>
      <c r="KHO165" s="20"/>
      <c r="KHP165" s="20"/>
      <c r="KHQ165" s="20"/>
      <c r="KHR165" s="20"/>
      <c r="KHS165" s="21"/>
      <c r="KHT165" s="21"/>
      <c r="KHU165" s="7"/>
      <c r="KHV165" s="7"/>
      <c r="KHW165" s="21"/>
      <c r="KHX165" s="20"/>
      <c r="KHY165" s="20"/>
      <c r="KHZ165" s="20"/>
      <c r="KIA165" s="21"/>
      <c r="KIB165" s="21"/>
      <c r="KIC165" s="21"/>
      <c r="KID165" s="21"/>
      <c r="KIE165" s="21"/>
      <c r="KIF165" s="20"/>
      <c r="KIG165" s="20"/>
      <c r="KIH165" s="20"/>
      <c r="KII165" s="20"/>
      <c r="KIJ165" s="21"/>
      <c r="KIK165" s="21"/>
      <c r="KIL165" s="7"/>
      <c r="KIM165" s="7"/>
      <c r="KIN165" s="21"/>
      <c r="KIO165" s="20"/>
      <c r="KIP165" s="20"/>
      <c r="KIQ165" s="20"/>
      <c r="KIR165" s="21"/>
      <c r="KIS165" s="21"/>
      <c r="KIT165" s="21"/>
      <c r="KIU165" s="21"/>
      <c r="KIV165" s="21"/>
      <c r="KIW165" s="20"/>
      <c r="KIX165" s="20"/>
      <c r="KIY165" s="20"/>
      <c r="KIZ165" s="20"/>
      <c r="KJA165" s="21"/>
      <c r="KJB165" s="21"/>
      <c r="KJC165" s="7"/>
      <c r="KJD165" s="7"/>
      <c r="KJE165" s="21"/>
      <c r="KJF165" s="20"/>
      <c r="KJG165" s="20"/>
      <c r="KJH165" s="20"/>
      <c r="KJI165" s="21"/>
      <c r="KJJ165" s="21"/>
      <c r="KJK165" s="21"/>
      <c r="KJL165" s="21"/>
      <c r="KJM165" s="21"/>
      <c r="KJN165" s="20"/>
      <c r="KJO165" s="20"/>
      <c r="KJP165" s="20"/>
      <c r="KJQ165" s="20"/>
      <c r="KJR165" s="21"/>
      <c r="KJS165" s="21"/>
      <c r="KJT165" s="7"/>
      <c r="KJU165" s="7"/>
      <c r="KJV165" s="21"/>
      <c r="KJW165" s="20"/>
      <c r="KJX165" s="20"/>
      <c r="KJY165" s="20"/>
      <c r="KJZ165" s="21"/>
      <c r="KKA165" s="21"/>
      <c r="KKB165" s="21"/>
      <c r="KKC165" s="21"/>
      <c r="KKD165" s="21"/>
      <c r="KKE165" s="20"/>
      <c r="KKF165" s="20"/>
      <c r="KKG165" s="20"/>
      <c r="KKH165" s="20"/>
      <c r="KKI165" s="21"/>
      <c r="KKJ165" s="21"/>
      <c r="KKK165" s="7"/>
      <c r="KKL165" s="7"/>
      <c r="KKM165" s="21"/>
      <c r="KKN165" s="20"/>
      <c r="KKO165" s="20"/>
      <c r="KKP165" s="20"/>
      <c r="KKQ165" s="21"/>
      <c r="KKR165" s="21"/>
      <c r="KKS165" s="21"/>
      <c r="KKT165" s="21"/>
      <c r="KKU165" s="21"/>
      <c r="KKV165" s="20"/>
      <c r="KKW165" s="20"/>
      <c r="KKX165" s="20"/>
      <c r="KKY165" s="20"/>
      <c r="KKZ165" s="21"/>
      <c r="KLA165" s="21"/>
      <c r="KLB165" s="7"/>
      <c r="KLC165" s="7"/>
      <c r="KLD165" s="21"/>
      <c r="KLE165" s="20"/>
      <c r="KLF165" s="20"/>
      <c r="KLG165" s="20"/>
      <c r="KLH165" s="21"/>
      <c r="KLI165" s="21"/>
      <c r="KLJ165" s="21"/>
      <c r="KLK165" s="21"/>
      <c r="KLL165" s="21"/>
      <c r="KLM165" s="20"/>
      <c r="KLN165" s="20"/>
      <c r="KLO165" s="20"/>
      <c r="KLP165" s="20"/>
      <c r="KLQ165" s="21"/>
      <c r="KLR165" s="21"/>
      <c r="KLS165" s="7"/>
      <c r="KLT165" s="7"/>
      <c r="KLU165" s="21"/>
      <c r="KLV165" s="20"/>
      <c r="KLW165" s="20"/>
      <c r="KLX165" s="20"/>
      <c r="KLY165" s="21"/>
      <c r="KLZ165" s="21"/>
      <c r="KMA165" s="21"/>
      <c r="KMB165" s="21"/>
      <c r="KMC165" s="21"/>
      <c r="KMD165" s="20"/>
      <c r="KME165" s="20"/>
      <c r="KMF165" s="20"/>
      <c r="KMG165" s="20"/>
      <c r="KMH165" s="21"/>
      <c r="KMI165" s="21"/>
      <c r="KMJ165" s="7"/>
      <c r="KMK165" s="7"/>
      <c r="KML165" s="21"/>
      <c r="KMM165" s="20"/>
      <c r="KMN165" s="20"/>
      <c r="KMO165" s="20"/>
      <c r="KMP165" s="21"/>
      <c r="KMQ165" s="21"/>
      <c r="KMR165" s="21"/>
      <c r="KMS165" s="21"/>
      <c r="KMT165" s="21"/>
      <c r="KMU165" s="20"/>
      <c r="KMV165" s="20"/>
      <c r="KMW165" s="20"/>
      <c r="KMX165" s="20"/>
      <c r="KMY165" s="21"/>
      <c r="KMZ165" s="21"/>
      <c r="KNA165" s="7"/>
      <c r="KNB165" s="7"/>
      <c r="KNC165" s="21"/>
      <c r="KND165" s="20"/>
      <c r="KNE165" s="20"/>
      <c r="KNF165" s="20"/>
      <c r="KNG165" s="21"/>
      <c r="KNH165" s="21"/>
      <c r="KNI165" s="21"/>
      <c r="KNJ165" s="21"/>
      <c r="KNK165" s="21"/>
      <c r="KNL165" s="20"/>
      <c r="KNM165" s="20"/>
      <c r="KNN165" s="20"/>
      <c r="KNO165" s="20"/>
      <c r="KNP165" s="21"/>
      <c r="KNQ165" s="21"/>
      <c r="KNR165" s="7"/>
      <c r="KNS165" s="7"/>
      <c r="KNT165" s="21"/>
      <c r="KNU165" s="20"/>
      <c r="KNV165" s="20"/>
      <c r="KNW165" s="20"/>
      <c r="KNX165" s="21"/>
      <c r="KNY165" s="21"/>
      <c r="KNZ165" s="21"/>
      <c r="KOA165" s="21"/>
      <c r="KOB165" s="21"/>
      <c r="KOC165" s="20"/>
      <c r="KOD165" s="20"/>
      <c r="KOE165" s="20"/>
      <c r="KOF165" s="20"/>
      <c r="KOG165" s="21"/>
      <c r="KOH165" s="21"/>
      <c r="KOI165" s="7"/>
      <c r="KOJ165" s="7"/>
      <c r="KOK165" s="21"/>
      <c r="KOL165" s="20"/>
      <c r="KOM165" s="20"/>
      <c r="KON165" s="20"/>
      <c r="KOO165" s="21"/>
      <c r="KOP165" s="21"/>
      <c r="KOQ165" s="21"/>
      <c r="KOR165" s="21"/>
      <c r="KOS165" s="21"/>
      <c r="KOT165" s="20"/>
      <c r="KOU165" s="20"/>
      <c r="KOV165" s="20"/>
      <c r="KOW165" s="20"/>
      <c r="KOX165" s="21"/>
      <c r="KOY165" s="21"/>
      <c r="KOZ165" s="7"/>
      <c r="KPA165" s="7"/>
      <c r="KPB165" s="21"/>
      <c r="KPC165" s="20"/>
      <c r="KPD165" s="20"/>
      <c r="KPE165" s="20"/>
      <c r="KPF165" s="21"/>
      <c r="KPG165" s="21"/>
      <c r="KPH165" s="21"/>
      <c r="KPI165" s="21"/>
      <c r="KPJ165" s="21"/>
      <c r="KPK165" s="20"/>
      <c r="KPL165" s="20"/>
      <c r="KPM165" s="20"/>
      <c r="KPN165" s="20"/>
      <c r="KPO165" s="21"/>
      <c r="KPP165" s="21"/>
      <c r="KPQ165" s="7"/>
      <c r="KPR165" s="7"/>
      <c r="KPS165" s="21"/>
      <c r="KPT165" s="20"/>
      <c r="KPU165" s="20"/>
      <c r="KPV165" s="20"/>
      <c r="KPW165" s="21"/>
      <c r="KPX165" s="21"/>
      <c r="KPY165" s="21"/>
      <c r="KPZ165" s="21"/>
      <c r="KQA165" s="21"/>
      <c r="KQB165" s="20"/>
      <c r="KQC165" s="20"/>
      <c r="KQD165" s="20"/>
      <c r="KQE165" s="20"/>
      <c r="KQF165" s="21"/>
      <c r="KQG165" s="21"/>
      <c r="KQH165" s="7"/>
      <c r="KQI165" s="7"/>
      <c r="KQJ165" s="21"/>
      <c r="KQK165" s="20"/>
      <c r="KQL165" s="20"/>
      <c r="KQM165" s="20"/>
      <c r="KQN165" s="21"/>
      <c r="KQO165" s="21"/>
      <c r="KQP165" s="21"/>
      <c r="KQQ165" s="21"/>
      <c r="KQR165" s="21"/>
      <c r="KQS165" s="20"/>
      <c r="KQT165" s="20"/>
      <c r="KQU165" s="20"/>
      <c r="KQV165" s="20"/>
      <c r="KQW165" s="21"/>
      <c r="KQX165" s="21"/>
      <c r="KQY165" s="7"/>
      <c r="KQZ165" s="7"/>
      <c r="KRA165" s="21"/>
      <c r="KRB165" s="20"/>
      <c r="KRC165" s="20"/>
      <c r="KRD165" s="20"/>
      <c r="KRE165" s="21"/>
      <c r="KRF165" s="21"/>
      <c r="KRG165" s="21"/>
      <c r="KRH165" s="21"/>
      <c r="KRI165" s="21"/>
      <c r="KRJ165" s="20"/>
      <c r="KRK165" s="20"/>
      <c r="KRL165" s="20"/>
      <c r="KRM165" s="20"/>
      <c r="KRN165" s="21"/>
      <c r="KRO165" s="21"/>
      <c r="KRP165" s="7"/>
      <c r="KRQ165" s="7"/>
      <c r="KRR165" s="21"/>
      <c r="KRS165" s="20"/>
      <c r="KRT165" s="20"/>
      <c r="KRU165" s="20"/>
      <c r="KRV165" s="21"/>
      <c r="KRW165" s="21"/>
      <c r="KRX165" s="21"/>
      <c r="KRY165" s="21"/>
      <c r="KRZ165" s="21"/>
      <c r="KSA165" s="20"/>
      <c r="KSB165" s="20"/>
      <c r="KSC165" s="20"/>
      <c r="KSD165" s="20"/>
      <c r="KSE165" s="21"/>
      <c r="KSF165" s="21"/>
      <c r="KSG165" s="7"/>
      <c r="KSH165" s="7"/>
      <c r="KSI165" s="21"/>
      <c r="KSJ165" s="20"/>
      <c r="KSK165" s="20"/>
      <c r="KSL165" s="20"/>
      <c r="KSM165" s="21"/>
      <c r="KSN165" s="21"/>
      <c r="KSO165" s="21"/>
      <c r="KSP165" s="21"/>
      <c r="KSQ165" s="21"/>
      <c r="KSR165" s="20"/>
      <c r="KSS165" s="20"/>
      <c r="KST165" s="20"/>
      <c r="KSU165" s="20"/>
      <c r="KSV165" s="21"/>
      <c r="KSW165" s="21"/>
      <c r="KSX165" s="7"/>
      <c r="KSY165" s="7"/>
      <c r="KSZ165" s="21"/>
      <c r="KTA165" s="20"/>
      <c r="KTB165" s="20"/>
      <c r="KTC165" s="20"/>
      <c r="KTD165" s="21"/>
      <c r="KTE165" s="21"/>
      <c r="KTF165" s="21"/>
      <c r="KTG165" s="21"/>
      <c r="KTH165" s="21"/>
      <c r="KTI165" s="20"/>
      <c r="KTJ165" s="20"/>
      <c r="KTK165" s="20"/>
      <c r="KTL165" s="20"/>
      <c r="KTM165" s="21"/>
      <c r="KTN165" s="21"/>
      <c r="KTO165" s="7"/>
      <c r="KTP165" s="7"/>
      <c r="KTQ165" s="21"/>
      <c r="KTR165" s="20"/>
      <c r="KTS165" s="20"/>
      <c r="KTT165" s="20"/>
      <c r="KTU165" s="21"/>
      <c r="KTV165" s="21"/>
      <c r="KTW165" s="21"/>
      <c r="KTX165" s="21"/>
      <c r="KTY165" s="21"/>
      <c r="KTZ165" s="20"/>
      <c r="KUA165" s="20"/>
      <c r="KUB165" s="20"/>
      <c r="KUC165" s="20"/>
      <c r="KUD165" s="21"/>
      <c r="KUE165" s="21"/>
      <c r="KUF165" s="7"/>
      <c r="KUG165" s="7"/>
      <c r="KUH165" s="21"/>
      <c r="KUI165" s="20"/>
      <c r="KUJ165" s="20"/>
      <c r="KUK165" s="20"/>
      <c r="KUL165" s="21"/>
      <c r="KUM165" s="21"/>
      <c r="KUN165" s="21"/>
      <c r="KUO165" s="21"/>
      <c r="KUP165" s="21"/>
      <c r="KUQ165" s="20"/>
      <c r="KUR165" s="20"/>
      <c r="KUS165" s="20"/>
      <c r="KUT165" s="20"/>
      <c r="KUU165" s="21"/>
      <c r="KUV165" s="21"/>
      <c r="KUW165" s="7"/>
      <c r="KUX165" s="7"/>
      <c r="KUY165" s="21"/>
      <c r="KUZ165" s="20"/>
      <c r="KVA165" s="20"/>
      <c r="KVB165" s="20"/>
      <c r="KVC165" s="21"/>
      <c r="KVD165" s="21"/>
      <c r="KVE165" s="21"/>
      <c r="KVF165" s="21"/>
      <c r="KVG165" s="21"/>
      <c r="KVH165" s="20"/>
      <c r="KVI165" s="20"/>
      <c r="KVJ165" s="20"/>
      <c r="KVK165" s="20"/>
      <c r="KVL165" s="21"/>
      <c r="KVM165" s="21"/>
      <c r="KVN165" s="7"/>
      <c r="KVO165" s="7"/>
      <c r="KVP165" s="21"/>
      <c r="KVQ165" s="20"/>
      <c r="KVR165" s="20"/>
      <c r="KVS165" s="20"/>
      <c r="KVT165" s="21"/>
      <c r="KVU165" s="21"/>
      <c r="KVV165" s="21"/>
      <c r="KVW165" s="21"/>
      <c r="KVX165" s="21"/>
      <c r="KVY165" s="20"/>
      <c r="KVZ165" s="20"/>
      <c r="KWA165" s="20"/>
      <c r="KWB165" s="20"/>
      <c r="KWC165" s="21"/>
      <c r="KWD165" s="21"/>
      <c r="KWE165" s="7"/>
      <c r="KWF165" s="7"/>
      <c r="KWG165" s="21"/>
      <c r="KWH165" s="20"/>
      <c r="KWI165" s="20"/>
      <c r="KWJ165" s="20"/>
      <c r="KWK165" s="21"/>
      <c r="KWL165" s="21"/>
      <c r="KWM165" s="21"/>
      <c r="KWN165" s="21"/>
      <c r="KWO165" s="21"/>
      <c r="KWP165" s="20"/>
      <c r="KWQ165" s="20"/>
      <c r="KWR165" s="20"/>
      <c r="KWS165" s="20"/>
      <c r="KWT165" s="21"/>
      <c r="KWU165" s="21"/>
      <c r="KWV165" s="7"/>
      <c r="KWW165" s="7"/>
      <c r="KWX165" s="21"/>
      <c r="KWY165" s="20"/>
      <c r="KWZ165" s="20"/>
      <c r="KXA165" s="20"/>
      <c r="KXB165" s="21"/>
      <c r="KXC165" s="21"/>
      <c r="KXD165" s="21"/>
      <c r="KXE165" s="21"/>
      <c r="KXF165" s="21"/>
      <c r="KXG165" s="20"/>
      <c r="KXH165" s="20"/>
      <c r="KXI165" s="20"/>
      <c r="KXJ165" s="20"/>
      <c r="KXK165" s="21"/>
      <c r="KXL165" s="21"/>
      <c r="KXM165" s="7"/>
      <c r="KXN165" s="7"/>
      <c r="KXO165" s="21"/>
      <c r="KXP165" s="20"/>
      <c r="KXQ165" s="20"/>
      <c r="KXR165" s="20"/>
      <c r="KXS165" s="21"/>
      <c r="KXT165" s="21"/>
      <c r="KXU165" s="21"/>
      <c r="KXV165" s="21"/>
      <c r="KXW165" s="21"/>
      <c r="KXX165" s="20"/>
      <c r="KXY165" s="20"/>
      <c r="KXZ165" s="20"/>
      <c r="KYA165" s="20"/>
      <c r="KYB165" s="21"/>
      <c r="KYC165" s="21"/>
      <c r="KYD165" s="7"/>
      <c r="KYE165" s="7"/>
      <c r="KYF165" s="21"/>
      <c r="KYG165" s="20"/>
      <c r="KYH165" s="20"/>
      <c r="KYI165" s="20"/>
      <c r="KYJ165" s="21"/>
      <c r="KYK165" s="21"/>
      <c r="KYL165" s="21"/>
      <c r="KYM165" s="21"/>
      <c r="KYN165" s="21"/>
      <c r="KYO165" s="20"/>
      <c r="KYP165" s="20"/>
      <c r="KYQ165" s="20"/>
      <c r="KYR165" s="20"/>
      <c r="KYS165" s="21"/>
      <c r="KYT165" s="21"/>
      <c r="KYU165" s="7"/>
      <c r="KYV165" s="7"/>
      <c r="KYW165" s="21"/>
      <c r="KYX165" s="20"/>
      <c r="KYY165" s="20"/>
      <c r="KYZ165" s="20"/>
      <c r="KZA165" s="21"/>
      <c r="KZB165" s="21"/>
      <c r="KZC165" s="21"/>
      <c r="KZD165" s="21"/>
      <c r="KZE165" s="21"/>
      <c r="KZF165" s="20"/>
      <c r="KZG165" s="20"/>
      <c r="KZH165" s="20"/>
      <c r="KZI165" s="20"/>
      <c r="KZJ165" s="21"/>
      <c r="KZK165" s="21"/>
      <c r="KZL165" s="7"/>
      <c r="KZM165" s="7"/>
      <c r="KZN165" s="21"/>
      <c r="KZO165" s="20"/>
      <c r="KZP165" s="20"/>
      <c r="KZQ165" s="20"/>
      <c r="KZR165" s="21"/>
      <c r="KZS165" s="21"/>
      <c r="KZT165" s="21"/>
      <c r="KZU165" s="21"/>
      <c r="KZV165" s="21"/>
      <c r="KZW165" s="20"/>
      <c r="KZX165" s="20"/>
      <c r="KZY165" s="20"/>
      <c r="KZZ165" s="20"/>
      <c r="LAA165" s="21"/>
      <c r="LAB165" s="21"/>
      <c r="LAC165" s="7"/>
      <c r="LAD165" s="7"/>
      <c r="LAE165" s="21"/>
      <c r="LAF165" s="20"/>
      <c r="LAG165" s="20"/>
      <c r="LAH165" s="20"/>
      <c r="LAI165" s="21"/>
      <c r="LAJ165" s="21"/>
      <c r="LAK165" s="21"/>
      <c r="LAL165" s="21"/>
      <c r="LAM165" s="21"/>
      <c r="LAN165" s="20"/>
      <c r="LAO165" s="20"/>
      <c r="LAP165" s="20"/>
      <c r="LAQ165" s="20"/>
      <c r="LAR165" s="21"/>
      <c r="LAS165" s="21"/>
      <c r="LAT165" s="7"/>
      <c r="LAU165" s="7"/>
      <c r="LAV165" s="21"/>
      <c r="LAW165" s="20"/>
      <c r="LAX165" s="20"/>
      <c r="LAY165" s="20"/>
      <c r="LAZ165" s="21"/>
      <c r="LBA165" s="21"/>
      <c r="LBB165" s="21"/>
      <c r="LBC165" s="21"/>
      <c r="LBD165" s="21"/>
      <c r="LBE165" s="20"/>
      <c r="LBF165" s="20"/>
      <c r="LBG165" s="20"/>
      <c r="LBH165" s="20"/>
      <c r="LBI165" s="21"/>
      <c r="LBJ165" s="21"/>
      <c r="LBK165" s="7"/>
      <c r="LBL165" s="7"/>
      <c r="LBM165" s="21"/>
      <c r="LBN165" s="20"/>
      <c r="LBO165" s="20"/>
      <c r="LBP165" s="20"/>
      <c r="LBQ165" s="21"/>
      <c r="LBR165" s="21"/>
      <c r="LBS165" s="21"/>
      <c r="LBT165" s="21"/>
      <c r="LBU165" s="21"/>
      <c r="LBV165" s="20"/>
      <c r="LBW165" s="20"/>
      <c r="LBX165" s="20"/>
      <c r="LBY165" s="20"/>
      <c r="LBZ165" s="21"/>
      <c r="LCA165" s="21"/>
      <c r="LCB165" s="7"/>
      <c r="LCC165" s="7"/>
      <c r="LCD165" s="21"/>
      <c r="LCE165" s="20"/>
      <c r="LCF165" s="20"/>
      <c r="LCG165" s="20"/>
      <c r="LCH165" s="21"/>
      <c r="LCI165" s="21"/>
      <c r="LCJ165" s="21"/>
      <c r="LCK165" s="21"/>
      <c r="LCL165" s="21"/>
      <c r="LCM165" s="20"/>
      <c r="LCN165" s="20"/>
      <c r="LCO165" s="20"/>
      <c r="LCP165" s="20"/>
      <c r="LCQ165" s="21"/>
      <c r="LCR165" s="21"/>
      <c r="LCS165" s="7"/>
      <c r="LCT165" s="7"/>
      <c r="LCU165" s="21"/>
      <c r="LCV165" s="20"/>
      <c r="LCW165" s="20"/>
      <c r="LCX165" s="20"/>
      <c r="LCY165" s="21"/>
      <c r="LCZ165" s="21"/>
      <c r="LDA165" s="21"/>
      <c r="LDB165" s="21"/>
      <c r="LDC165" s="21"/>
      <c r="LDD165" s="20"/>
      <c r="LDE165" s="20"/>
      <c r="LDF165" s="20"/>
      <c r="LDG165" s="20"/>
      <c r="LDH165" s="21"/>
      <c r="LDI165" s="21"/>
      <c r="LDJ165" s="7"/>
      <c r="LDK165" s="7"/>
      <c r="LDL165" s="21"/>
      <c r="LDM165" s="20"/>
      <c r="LDN165" s="20"/>
      <c r="LDO165" s="20"/>
      <c r="LDP165" s="21"/>
      <c r="LDQ165" s="21"/>
      <c r="LDR165" s="21"/>
      <c r="LDS165" s="21"/>
      <c r="LDT165" s="21"/>
      <c r="LDU165" s="20"/>
      <c r="LDV165" s="20"/>
      <c r="LDW165" s="20"/>
      <c r="LDX165" s="20"/>
      <c r="LDY165" s="21"/>
      <c r="LDZ165" s="21"/>
      <c r="LEA165" s="7"/>
      <c r="LEB165" s="7"/>
      <c r="LEC165" s="21"/>
      <c r="LED165" s="20"/>
      <c r="LEE165" s="20"/>
      <c r="LEF165" s="20"/>
      <c r="LEG165" s="21"/>
      <c r="LEH165" s="21"/>
      <c r="LEI165" s="21"/>
      <c r="LEJ165" s="21"/>
      <c r="LEK165" s="21"/>
      <c r="LEL165" s="20"/>
      <c r="LEM165" s="20"/>
      <c r="LEN165" s="20"/>
      <c r="LEO165" s="20"/>
      <c r="LEP165" s="21"/>
      <c r="LEQ165" s="21"/>
      <c r="LER165" s="7"/>
      <c r="LES165" s="7"/>
      <c r="LET165" s="21"/>
      <c r="LEU165" s="20"/>
      <c r="LEV165" s="20"/>
      <c r="LEW165" s="20"/>
      <c r="LEX165" s="21"/>
      <c r="LEY165" s="21"/>
      <c r="LEZ165" s="21"/>
      <c r="LFA165" s="21"/>
      <c r="LFB165" s="21"/>
      <c r="LFC165" s="20"/>
      <c r="LFD165" s="20"/>
      <c r="LFE165" s="20"/>
      <c r="LFF165" s="20"/>
      <c r="LFG165" s="21"/>
      <c r="LFH165" s="21"/>
      <c r="LFI165" s="7"/>
      <c r="LFJ165" s="7"/>
      <c r="LFK165" s="21"/>
      <c r="LFL165" s="20"/>
      <c r="LFM165" s="20"/>
      <c r="LFN165" s="20"/>
      <c r="LFO165" s="21"/>
      <c r="LFP165" s="21"/>
      <c r="LFQ165" s="21"/>
      <c r="LFR165" s="21"/>
      <c r="LFS165" s="21"/>
      <c r="LFT165" s="20"/>
      <c r="LFU165" s="20"/>
      <c r="LFV165" s="20"/>
      <c r="LFW165" s="20"/>
      <c r="LFX165" s="21"/>
      <c r="LFY165" s="21"/>
      <c r="LFZ165" s="7"/>
      <c r="LGA165" s="7"/>
      <c r="LGB165" s="21"/>
      <c r="LGC165" s="20"/>
      <c r="LGD165" s="20"/>
      <c r="LGE165" s="20"/>
      <c r="LGF165" s="21"/>
      <c r="LGG165" s="21"/>
      <c r="LGH165" s="21"/>
      <c r="LGI165" s="21"/>
      <c r="LGJ165" s="21"/>
      <c r="LGK165" s="20"/>
      <c r="LGL165" s="20"/>
      <c r="LGM165" s="20"/>
      <c r="LGN165" s="20"/>
      <c r="LGO165" s="21"/>
      <c r="LGP165" s="21"/>
      <c r="LGQ165" s="7"/>
      <c r="LGR165" s="7"/>
      <c r="LGS165" s="21"/>
      <c r="LGT165" s="20"/>
      <c r="LGU165" s="20"/>
      <c r="LGV165" s="20"/>
      <c r="LGW165" s="21"/>
      <c r="LGX165" s="21"/>
      <c r="LGY165" s="21"/>
      <c r="LGZ165" s="21"/>
      <c r="LHA165" s="21"/>
      <c r="LHB165" s="20"/>
      <c r="LHC165" s="20"/>
      <c r="LHD165" s="20"/>
      <c r="LHE165" s="20"/>
      <c r="LHF165" s="21"/>
      <c r="LHG165" s="21"/>
      <c r="LHH165" s="7"/>
      <c r="LHI165" s="7"/>
      <c r="LHJ165" s="21"/>
      <c r="LHK165" s="20"/>
      <c r="LHL165" s="20"/>
      <c r="LHM165" s="20"/>
      <c r="LHN165" s="21"/>
      <c r="LHO165" s="21"/>
      <c r="LHP165" s="21"/>
      <c r="LHQ165" s="21"/>
      <c r="LHR165" s="21"/>
      <c r="LHS165" s="20"/>
      <c r="LHT165" s="20"/>
      <c r="LHU165" s="20"/>
      <c r="LHV165" s="20"/>
      <c r="LHW165" s="21"/>
      <c r="LHX165" s="21"/>
      <c r="LHY165" s="7"/>
      <c r="LHZ165" s="7"/>
      <c r="LIA165" s="21"/>
      <c r="LIB165" s="20"/>
      <c r="LIC165" s="20"/>
      <c r="LID165" s="20"/>
      <c r="LIE165" s="21"/>
      <c r="LIF165" s="21"/>
      <c r="LIG165" s="21"/>
      <c r="LIH165" s="21"/>
      <c r="LII165" s="21"/>
      <c r="LIJ165" s="20"/>
      <c r="LIK165" s="20"/>
      <c r="LIL165" s="20"/>
      <c r="LIM165" s="20"/>
      <c r="LIN165" s="21"/>
      <c r="LIO165" s="21"/>
      <c r="LIP165" s="7"/>
      <c r="LIQ165" s="7"/>
      <c r="LIR165" s="21"/>
      <c r="LIS165" s="20"/>
      <c r="LIT165" s="20"/>
      <c r="LIU165" s="20"/>
      <c r="LIV165" s="21"/>
      <c r="LIW165" s="21"/>
      <c r="LIX165" s="21"/>
      <c r="LIY165" s="21"/>
      <c r="LIZ165" s="21"/>
      <c r="LJA165" s="20"/>
      <c r="LJB165" s="20"/>
      <c r="LJC165" s="20"/>
      <c r="LJD165" s="20"/>
      <c r="LJE165" s="21"/>
      <c r="LJF165" s="21"/>
      <c r="LJG165" s="7"/>
      <c r="LJH165" s="7"/>
      <c r="LJI165" s="21"/>
      <c r="LJJ165" s="20"/>
      <c r="LJK165" s="20"/>
      <c r="LJL165" s="20"/>
      <c r="LJM165" s="21"/>
      <c r="LJN165" s="21"/>
      <c r="LJO165" s="21"/>
      <c r="LJP165" s="21"/>
      <c r="LJQ165" s="21"/>
      <c r="LJR165" s="20"/>
      <c r="LJS165" s="20"/>
      <c r="LJT165" s="20"/>
      <c r="LJU165" s="20"/>
      <c r="LJV165" s="21"/>
      <c r="LJW165" s="21"/>
      <c r="LJX165" s="7"/>
      <c r="LJY165" s="7"/>
      <c r="LJZ165" s="21"/>
      <c r="LKA165" s="20"/>
      <c r="LKB165" s="20"/>
      <c r="LKC165" s="20"/>
      <c r="LKD165" s="21"/>
      <c r="LKE165" s="21"/>
      <c r="LKF165" s="21"/>
      <c r="LKG165" s="21"/>
      <c r="LKH165" s="21"/>
      <c r="LKI165" s="20"/>
      <c r="LKJ165" s="20"/>
      <c r="LKK165" s="20"/>
      <c r="LKL165" s="20"/>
      <c r="LKM165" s="21"/>
      <c r="LKN165" s="21"/>
      <c r="LKO165" s="7"/>
      <c r="LKP165" s="7"/>
      <c r="LKQ165" s="21"/>
      <c r="LKR165" s="20"/>
      <c r="LKS165" s="20"/>
      <c r="LKT165" s="20"/>
      <c r="LKU165" s="21"/>
      <c r="LKV165" s="21"/>
      <c r="LKW165" s="21"/>
      <c r="LKX165" s="21"/>
      <c r="LKY165" s="21"/>
      <c r="LKZ165" s="20"/>
      <c r="LLA165" s="20"/>
      <c r="LLB165" s="20"/>
      <c r="LLC165" s="20"/>
      <c r="LLD165" s="21"/>
      <c r="LLE165" s="21"/>
      <c r="LLF165" s="7"/>
      <c r="LLG165" s="7"/>
      <c r="LLH165" s="21"/>
      <c r="LLI165" s="20"/>
      <c r="LLJ165" s="20"/>
      <c r="LLK165" s="20"/>
      <c r="LLL165" s="21"/>
      <c r="LLM165" s="21"/>
      <c r="LLN165" s="21"/>
      <c r="LLO165" s="21"/>
      <c r="LLP165" s="21"/>
      <c r="LLQ165" s="20"/>
      <c r="LLR165" s="20"/>
      <c r="LLS165" s="20"/>
      <c r="LLT165" s="20"/>
      <c r="LLU165" s="21"/>
      <c r="LLV165" s="21"/>
      <c r="LLW165" s="7"/>
      <c r="LLX165" s="7"/>
      <c r="LLY165" s="21"/>
      <c r="LLZ165" s="20"/>
      <c r="LMA165" s="20"/>
      <c r="LMB165" s="20"/>
      <c r="LMC165" s="21"/>
      <c r="LMD165" s="21"/>
      <c r="LME165" s="21"/>
      <c r="LMF165" s="21"/>
      <c r="LMG165" s="21"/>
      <c r="LMH165" s="20"/>
      <c r="LMI165" s="20"/>
      <c r="LMJ165" s="20"/>
      <c r="LMK165" s="20"/>
      <c r="LML165" s="21"/>
      <c r="LMM165" s="21"/>
      <c r="LMN165" s="7"/>
      <c r="LMO165" s="7"/>
      <c r="LMP165" s="21"/>
      <c r="LMQ165" s="20"/>
      <c r="LMR165" s="20"/>
      <c r="LMS165" s="20"/>
      <c r="LMT165" s="21"/>
      <c r="LMU165" s="21"/>
      <c r="LMV165" s="21"/>
      <c r="LMW165" s="21"/>
      <c r="LMX165" s="21"/>
      <c r="LMY165" s="20"/>
      <c r="LMZ165" s="20"/>
      <c r="LNA165" s="20"/>
      <c r="LNB165" s="20"/>
      <c r="LNC165" s="21"/>
      <c r="LND165" s="21"/>
      <c r="LNE165" s="7"/>
      <c r="LNF165" s="7"/>
      <c r="LNG165" s="21"/>
      <c r="LNH165" s="20"/>
      <c r="LNI165" s="20"/>
      <c r="LNJ165" s="20"/>
      <c r="LNK165" s="21"/>
      <c r="LNL165" s="21"/>
      <c r="LNM165" s="21"/>
      <c r="LNN165" s="21"/>
      <c r="LNO165" s="21"/>
      <c r="LNP165" s="20"/>
      <c r="LNQ165" s="20"/>
      <c r="LNR165" s="20"/>
      <c r="LNS165" s="20"/>
      <c r="LNT165" s="21"/>
      <c r="LNU165" s="21"/>
      <c r="LNV165" s="7"/>
      <c r="LNW165" s="7"/>
      <c r="LNX165" s="21"/>
      <c r="LNY165" s="20"/>
      <c r="LNZ165" s="20"/>
      <c r="LOA165" s="20"/>
      <c r="LOB165" s="21"/>
      <c r="LOC165" s="21"/>
      <c r="LOD165" s="21"/>
      <c r="LOE165" s="21"/>
      <c r="LOF165" s="21"/>
      <c r="LOG165" s="20"/>
      <c r="LOH165" s="20"/>
      <c r="LOI165" s="20"/>
      <c r="LOJ165" s="20"/>
      <c r="LOK165" s="21"/>
      <c r="LOL165" s="21"/>
      <c r="LOM165" s="7"/>
      <c r="LON165" s="7"/>
      <c r="LOO165" s="21"/>
      <c r="LOP165" s="20"/>
      <c r="LOQ165" s="20"/>
      <c r="LOR165" s="20"/>
      <c r="LOS165" s="21"/>
      <c r="LOT165" s="21"/>
      <c r="LOU165" s="21"/>
      <c r="LOV165" s="21"/>
      <c r="LOW165" s="21"/>
      <c r="LOX165" s="20"/>
      <c r="LOY165" s="20"/>
      <c r="LOZ165" s="20"/>
      <c r="LPA165" s="20"/>
      <c r="LPB165" s="21"/>
      <c r="LPC165" s="21"/>
      <c r="LPD165" s="7"/>
      <c r="LPE165" s="7"/>
      <c r="LPF165" s="21"/>
      <c r="LPG165" s="20"/>
      <c r="LPH165" s="20"/>
      <c r="LPI165" s="20"/>
      <c r="LPJ165" s="21"/>
      <c r="LPK165" s="21"/>
      <c r="LPL165" s="21"/>
      <c r="LPM165" s="21"/>
      <c r="LPN165" s="21"/>
      <c r="LPO165" s="20"/>
      <c r="LPP165" s="20"/>
      <c r="LPQ165" s="20"/>
      <c r="LPR165" s="20"/>
      <c r="LPS165" s="21"/>
      <c r="LPT165" s="21"/>
      <c r="LPU165" s="7"/>
      <c r="LPV165" s="7"/>
      <c r="LPW165" s="21"/>
      <c r="LPX165" s="20"/>
      <c r="LPY165" s="20"/>
      <c r="LPZ165" s="20"/>
      <c r="LQA165" s="21"/>
      <c r="LQB165" s="21"/>
      <c r="LQC165" s="21"/>
      <c r="LQD165" s="21"/>
      <c r="LQE165" s="21"/>
      <c r="LQF165" s="20"/>
      <c r="LQG165" s="20"/>
      <c r="LQH165" s="20"/>
      <c r="LQI165" s="20"/>
      <c r="LQJ165" s="21"/>
      <c r="LQK165" s="21"/>
      <c r="LQL165" s="7"/>
      <c r="LQM165" s="7"/>
      <c r="LQN165" s="21"/>
      <c r="LQO165" s="20"/>
      <c r="LQP165" s="20"/>
      <c r="LQQ165" s="20"/>
      <c r="LQR165" s="21"/>
      <c r="LQS165" s="21"/>
      <c r="LQT165" s="21"/>
      <c r="LQU165" s="21"/>
      <c r="LQV165" s="21"/>
      <c r="LQW165" s="20"/>
      <c r="LQX165" s="20"/>
      <c r="LQY165" s="20"/>
      <c r="LQZ165" s="20"/>
      <c r="LRA165" s="21"/>
      <c r="LRB165" s="21"/>
      <c r="LRC165" s="7"/>
      <c r="LRD165" s="7"/>
      <c r="LRE165" s="21"/>
      <c r="LRF165" s="20"/>
      <c r="LRG165" s="20"/>
      <c r="LRH165" s="20"/>
      <c r="LRI165" s="21"/>
      <c r="LRJ165" s="21"/>
      <c r="LRK165" s="21"/>
      <c r="LRL165" s="21"/>
      <c r="LRM165" s="21"/>
      <c r="LRN165" s="20"/>
      <c r="LRO165" s="20"/>
      <c r="LRP165" s="20"/>
      <c r="LRQ165" s="20"/>
      <c r="LRR165" s="21"/>
      <c r="LRS165" s="21"/>
      <c r="LRT165" s="7"/>
      <c r="LRU165" s="7"/>
      <c r="LRV165" s="21"/>
      <c r="LRW165" s="20"/>
      <c r="LRX165" s="20"/>
      <c r="LRY165" s="20"/>
      <c r="LRZ165" s="21"/>
      <c r="LSA165" s="21"/>
      <c r="LSB165" s="21"/>
      <c r="LSC165" s="21"/>
      <c r="LSD165" s="21"/>
      <c r="LSE165" s="20"/>
      <c r="LSF165" s="20"/>
      <c r="LSG165" s="20"/>
      <c r="LSH165" s="20"/>
      <c r="LSI165" s="21"/>
      <c r="LSJ165" s="21"/>
      <c r="LSK165" s="7"/>
      <c r="LSL165" s="7"/>
      <c r="LSM165" s="21"/>
      <c r="LSN165" s="20"/>
      <c r="LSO165" s="20"/>
      <c r="LSP165" s="20"/>
      <c r="LSQ165" s="21"/>
      <c r="LSR165" s="21"/>
      <c r="LSS165" s="21"/>
      <c r="LST165" s="21"/>
      <c r="LSU165" s="21"/>
      <c r="LSV165" s="20"/>
      <c r="LSW165" s="20"/>
      <c r="LSX165" s="20"/>
      <c r="LSY165" s="20"/>
      <c r="LSZ165" s="21"/>
      <c r="LTA165" s="21"/>
      <c r="LTB165" s="7"/>
      <c r="LTC165" s="7"/>
      <c r="LTD165" s="21"/>
      <c r="LTE165" s="20"/>
      <c r="LTF165" s="20"/>
      <c r="LTG165" s="20"/>
      <c r="LTH165" s="21"/>
      <c r="LTI165" s="21"/>
      <c r="LTJ165" s="21"/>
      <c r="LTK165" s="21"/>
      <c r="LTL165" s="21"/>
      <c r="LTM165" s="20"/>
      <c r="LTN165" s="20"/>
      <c r="LTO165" s="20"/>
      <c r="LTP165" s="20"/>
      <c r="LTQ165" s="21"/>
      <c r="LTR165" s="21"/>
      <c r="LTS165" s="7"/>
      <c r="LTT165" s="7"/>
      <c r="LTU165" s="21"/>
      <c r="LTV165" s="20"/>
      <c r="LTW165" s="20"/>
      <c r="LTX165" s="20"/>
      <c r="LTY165" s="21"/>
      <c r="LTZ165" s="21"/>
      <c r="LUA165" s="21"/>
      <c r="LUB165" s="21"/>
      <c r="LUC165" s="21"/>
      <c r="LUD165" s="20"/>
      <c r="LUE165" s="20"/>
      <c r="LUF165" s="20"/>
      <c r="LUG165" s="20"/>
      <c r="LUH165" s="21"/>
      <c r="LUI165" s="21"/>
      <c r="LUJ165" s="7"/>
      <c r="LUK165" s="7"/>
      <c r="LUL165" s="21"/>
      <c r="LUM165" s="20"/>
      <c r="LUN165" s="20"/>
      <c r="LUO165" s="20"/>
      <c r="LUP165" s="21"/>
      <c r="LUQ165" s="21"/>
      <c r="LUR165" s="21"/>
      <c r="LUS165" s="21"/>
      <c r="LUT165" s="21"/>
      <c r="LUU165" s="20"/>
      <c r="LUV165" s="20"/>
      <c r="LUW165" s="20"/>
      <c r="LUX165" s="20"/>
      <c r="LUY165" s="21"/>
      <c r="LUZ165" s="21"/>
      <c r="LVA165" s="7"/>
      <c r="LVB165" s="7"/>
      <c r="LVC165" s="21"/>
      <c r="LVD165" s="20"/>
      <c r="LVE165" s="20"/>
      <c r="LVF165" s="20"/>
      <c r="LVG165" s="21"/>
      <c r="LVH165" s="21"/>
      <c r="LVI165" s="21"/>
      <c r="LVJ165" s="21"/>
      <c r="LVK165" s="21"/>
      <c r="LVL165" s="20"/>
      <c r="LVM165" s="20"/>
      <c r="LVN165" s="20"/>
      <c r="LVO165" s="20"/>
      <c r="LVP165" s="21"/>
      <c r="LVQ165" s="21"/>
      <c r="LVR165" s="7"/>
      <c r="LVS165" s="7"/>
      <c r="LVT165" s="21"/>
      <c r="LVU165" s="20"/>
      <c r="LVV165" s="20"/>
      <c r="LVW165" s="20"/>
      <c r="LVX165" s="21"/>
      <c r="LVY165" s="21"/>
      <c r="LVZ165" s="21"/>
      <c r="LWA165" s="21"/>
      <c r="LWB165" s="21"/>
      <c r="LWC165" s="20"/>
      <c r="LWD165" s="20"/>
      <c r="LWE165" s="20"/>
      <c r="LWF165" s="20"/>
      <c r="LWG165" s="21"/>
      <c r="LWH165" s="21"/>
      <c r="LWI165" s="7"/>
      <c r="LWJ165" s="7"/>
      <c r="LWK165" s="21"/>
      <c r="LWL165" s="20"/>
      <c r="LWM165" s="20"/>
      <c r="LWN165" s="20"/>
      <c r="LWO165" s="21"/>
      <c r="LWP165" s="21"/>
      <c r="LWQ165" s="21"/>
      <c r="LWR165" s="21"/>
      <c r="LWS165" s="21"/>
      <c r="LWT165" s="20"/>
      <c r="LWU165" s="20"/>
      <c r="LWV165" s="20"/>
      <c r="LWW165" s="20"/>
      <c r="LWX165" s="21"/>
      <c r="LWY165" s="21"/>
      <c r="LWZ165" s="7"/>
      <c r="LXA165" s="7"/>
      <c r="LXB165" s="21"/>
      <c r="LXC165" s="20"/>
      <c r="LXD165" s="20"/>
      <c r="LXE165" s="20"/>
      <c r="LXF165" s="21"/>
      <c r="LXG165" s="21"/>
      <c r="LXH165" s="21"/>
      <c r="LXI165" s="21"/>
      <c r="LXJ165" s="21"/>
      <c r="LXK165" s="20"/>
      <c r="LXL165" s="20"/>
      <c r="LXM165" s="20"/>
      <c r="LXN165" s="20"/>
      <c r="LXO165" s="21"/>
      <c r="LXP165" s="21"/>
      <c r="LXQ165" s="7"/>
      <c r="LXR165" s="7"/>
      <c r="LXS165" s="21"/>
      <c r="LXT165" s="20"/>
      <c r="LXU165" s="20"/>
      <c r="LXV165" s="20"/>
      <c r="LXW165" s="21"/>
      <c r="LXX165" s="21"/>
      <c r="LXY165" s="21"/>
      <c r="LXZ165" s="21"/>
      <c r="LYA165" s="21"/>
      <c r="LYB165" s="20"/>
      <c r="LYC165" s="20"/>
      <c r="LYD165" s="20"/>
      <c r="LYE165" s="20"/>
      <c r="LYF165" s="21"/>
      <c r="LYG165" s="21"/>
      <c r="LYH165" s="7"/>
      <c r="LYI165" s="7"/>
      <c r="LYJ165" s="21"/>
      <c r="LYK165" s="20"/>
      <c r="LYL165" s="20"/>
      <c r="LYM165" s="20"/>
      <c r="LYN165" s="21"/>
      <c r="LYO165" s="21"/>
      <c r="LYP165" s="21"/>
      <c r="LYQ165" s="21"/>
      <c r="LYR165" s="21"/>
      <c r="LYS165" s="20"/>
      <c r="LYT165" s="20"/>
      <c r="LYU165" s="20"/>
      <c r="LYV165" s="20"/>
      <c r="LYW165" s="21"/>
      <c r="LYX165" s="21"/>
      <c r="LYY165" s="7"/>
      <c r="LYZ165" s="7"/>
      <c r="LZA165" s="21"/>
      <c r="LZB165" s="20"/>
      <c r="LZC165" s="20"/>
      <c r="LZD165" s="20"/>
      <c r="LZE165" s="21"/>
      <c r="LZF165" s="21"/>
      <c r="LZG165" s="21"/>
      <c r="LZH165" s="21"/>
      <c r="LZI165" s="21"/>
      <c r="LZJ165" s="20"/>
      <c r="LZK165" s="20"/>
      <c r="LZL165" s="20"/>
      <c r="LZM165" s="20"/>
      <c r="LZN165" s="21"/>
      <c r="LZO165" s="21"/>
      <c r="LZP165" s="7"/>
      <c r="LZQ165" s="7"/>
      <c r="LZR165" s="21"/>
      <c r="LZS165" s="20"/>
      <c r="LZT165" s="20"/>
      <c r="LZU165" s="20"/>
      <c r="LZV165" s="21"/>
      <c r="LZW165" s="21"/>
      <c r="LZX165" s="21"/>
      <c r="LZY165" s="21"/>
      <c r="LZZ165" s="21"/>
      <c r="MAA165" s="20"/>
      <c r="MAB165" s="20"/>
      <c r="MAC165" s="20"/>
      <c r="MAD165" s="20"/>
      <c r="MAE165" s="21"/>
      <c r="MAF165" s="21"/>
      <c r="MAG165" s="7"/>
      <c r="MAH165" s="7"/>
      <c r="MAI165" s="21"/>
      <c r="MAJ165" s="20"/>
      <c r="MAK165" s="20"/>
      <c r="MAL165" s="20"/>
      <c r="MAM165" s="21"/>
      <c r="MAN165" s="21"/>
      <c r="MAO165" s="21"/>
      <c r="MAP165" s="21"/>
      <c r="MAQ165" s="21"/>
      <c r="MAR165" s="20"/>
      <c r="MAS165" s="20"/>
      <c r="MAT165" s="20"/>
      <c r="MAU165" s="20"/>
      <c r="MAV165" s="21"/>
      <c r="MAW165" s="21"/>
      <c r="MAX165" s="7"/>
      <c r="MAY165" s="7"/>
      <c r="MAZ165" s="21"/>
      <c r="MBA165" s="20"/>
      <c r="MBB165" s="20"/>
      <c r="MBC165" s="20"/>
      <c r="MBD165" s="21"/>
      <c r="MBE165" s="21"/>
      <c r="MBF165" s="21"/>
      <c r="MBG165" s="21"/>
      <c r="MBH165" s="21"/>
      <c r="MBI165" s="20"/>
      <c r="MBJ165" s="20"/>
      <c r="MBK165" s="20"/>
      <c r="MBL165" s="20"/>
      <c r="MBM165" s="21"/>
      <c r="MBN165" s="21"/>
      <c r="MBO165" s="7"/>
      <c r="MBP165" s="7"/>
      <c r="MBQ165" s="21"/>
      <c r="MBR165" s="20"/>
      <c r="MBS165" s="20"/>
      <c r="MBT165" s="20"/>
      <c r="MBU165" s="21"/>
      <c r="MBV165" s="21"/>
      <c r="MBW165" s="21"/>
      <c r="MBX165" s="21"/>
      <c r="MBY165" s="21"/>
      <c r="MBZ165" s="20"/>
      <c r="MCA165" s="20"/>
      <c r="MCB165" s="20"/>
      <c r="MCC165" s="20"/>
      <c r="MCD165" s="21"/>
      <c r="MCE165" s="21"/>
      <c r="MCF165" s="7"/>
      <c r="MCG165" s="7"/>
      <c r="MCH165" s="21"/>
      <c r="MCI165" s="20"/>
      <c r="MCJ165" s="20"/>
      <c r="MCK165" s="20"/>
      <c r="MCL165" s="21"/>
      <c r="MCM165" s="21"/>
      <c r="MCN165" s="21"/>
      <c r="MCO165" s="21"/>
      <c r="MCP165" s="21"/>
      <c r="MCQ165" s="20"/>
      <c r="MCR165" s="20"/>
      <c r="MCS165" s="20"/>
      <c r="MCT165" s="20"/>
      <c r="MCU165" s="21"/>
      <c r="MCV165" s="21"/>
      <c r="MCW165" s="7"/>
      <c r="MCX165" s="7"/>
      <c r="MCY165" s="21"/>
      <c r="MCZ165" s="20"/>
      <c r="MDA165" s="20"/>
      <c r="MDB165" s="20"/>
      <c r="MDC165" s="21"/>
      <c r="MDD165" s="21"/>
      <c r="MDE165" s="21"/>
      <c r="MDF165" s="21"/>
      <c r="MDG165" s="21"/>
      <c r="MDH165" s="20"/>
      <c r="MDI165" s="20"/>
      <c r="MDJ165" s="20"/>
      <c r="MDK165" s="20"/>
      <c r="MDL165" s="21"/>
      <c r="MDM165" s="21"/>
      <c r="MDN165" s="7"/>
      <c r="MDO165" s="7"/>
      <c r="MDP165" s="21"/>
      <c r="MDQ165" s="20"/>
      <c r="MDR165" s="20"/>
      <c r="MDS165" s="20"/>
      <c r="MDT165" s="21"/>
      <c r="MDU165" s="21"/>
      <c r="MDV165" s="21"/>
      <c r="MDW165" s="21"/>
      <c r="MDX165" s="21"/>
      <c r="MDY165" s="20"/>
      <c r="MDZ165" s="20"/>
      <c r="MEA165" s="20"/>
      <c r="MEB165" s="20"/>
      <c r="MEC165" s="21"/>
      <c r="MED165" s="21"/>
      <c r="MEE165" s="7"/>
      <c r="MEF165" s="7"/>
      <c r="MEG165" s="21"/>
      <c r="MEH165" s="20"/>
      <c r="MEI165" s="20"/>
      <c r="MEJ165" s="20"/>
      <c r="MEK165" s="21"/>
      <c r="MEL165" s="21"/>
      <c r="MEM165" s="21"/>
      <c r="MEN165" s="21"/>
      <c r="MEO165" s="21"/>
      <c r="MEP165" s="20"/>
      <c r="MEQ165" s="20"/>
      <c r="MER165" s="20"/>
      <c r="MES165" s="20"/>
      <c r="MET165" s="21"/>
      <c r="MEU165" s="21"/>
      <c r="MEV165" s="7"/>
      <c r="MEW165" s="7"/>
      <c r="MEX165" s="21"/>
      <c r="MEY165" s="20"/>
      <c r="MEZ165" s="20"/>
      <c r="MFA165" s="20"/>
      <c r="MFB165" s="21"/>
      <c r="MFC165" s="21"/>
      <c r="MFD165" s="21"/>
      <c r="MFE165" s="21"/>
      <c r="MFF165" s="21"/>
      <c r="MFG165" s="20"/>
      <c r="MFH165" s="20"/>
      <c r="MFI165" s="20"/>
      <c r="MFJ165" s="20"/>
      <c r="MFK165" s="21"/>
      <c r="MFL165" s="21"/>
      <c r="MFM165" s="7"/>
      <c r="MFN165" s="7"/>
      <c r="MFO165" s="21"/>
      <c r="MFP165" s="20"/>
      <c r="MFQ165" s="20"/>
      <c r="MFR165" s="20"/>
      <c r="MFS165" s="21"/>
      <c r="MFT165" s="21"/>
      <c r="MFU165" s="21"/>
      <c r="MFV165" s="21"/>
      <c r="MFW165" s="21"/>
      <c r="MFX165" s="20"/>
      <c r="MFY165" s="20"/>
      <c r="MFZ165" s="20"/>
      <c r="MGA165" s="20"/>
      <c r="MGB165" s="21"/>
      <c r="MGC165" s="21"/>
      <c r="MGD165" s="7"/>
      <c r="MGE165" s="7"/>
      <c r="MGF165" s="21"/>
      <c r="MGG165" s="20"/>
      <c r="MGH165" s="20"/>
      <c r="MGI165" s="20"/>
      <c r="MGJ165" s="21"/>
      <c r="MGK165" s="21"/>
      <c r="MGL165" s="21"/>
      <c r="MGM165" s="21"/>
      <c r="MGN165" s="21"/>
      <c r="MGO165" s="20"/>
      <c r="MGP165" s="20"/>
      <c r="MGQ165" s="20"/>
      <c r="MGR165" s="20"/>
      <c r="MGS165" s="21"/>
      <c r="MGT165" s="21"/>
      <c r="MGU165" s="7"/>
      <c r="MGV165" s="7"/>
      <c r="MGW165" s="21"/>
      <c r="MGX165" s="20"/>
      <c r="MGY165" s="20"/>
      <c r="MGZ165" s="20"/>
      <c r="MHA165" s="21"/>
      <c r="MHB165" s="21"/>
      <c r="MHC165" s="21"/>
      <c r="MHD165" s="21"/>
      <c r="MHE165" s="21"/>
      <c r="MHF165" s="20"/>
      <c r="MHG165" s="20"/>
      <c r="MHH165" s="20"/>
      <c r="MHI165" s="20"/>
      <c r="MHJ165" s="21"/>
      <c r="MHK165" s="21"/>
      <c r="MHL165" s="7"/>
      <c r="MHM165" s="7"/>
      <c r="MHN165" s="21"/>
      <c r="MHO165" s="20"/>
      <c r="MHP165" s="20"/>
      <c r="MHQ165" s="20"/>
      <c r="MHR165" s="21"/>
      <c r="MHS165" s="21"/>
      <c r="MHT165" s="21"/>
      <c r="MHU165" s="21"/>
      <c r="MHV165" s="21"/>
      <c r="MHW165" s="20"/>
      <c r="MHX165" s="20"/>
      <c r="MHY165" s="20"/>
      <c r="MHZ165" s="20"/>
      <c r="MIA165" s="21"/>
      <c r="MIB165" s="21"/>
      <c r="MIC165" s="7"/>
      <c r="MID165" s="7"/>
      <c r="MIE165" s="21"/>
      <c r="MIF165" s="20"/>
      <c r="MIG165" s="20"/>
      <c r="MIH165" s="20"/>
      <c r="MII165" s="21"/>
      <c r="MIJ165" s="21"/>
      <c r="MIK165" s="21"/>
      <c r="MIL165" s="21"/>
      <c r="MIM165" s="21"/>
      <c r="MIN165" s="20"/>
      <c r="MIO165" s="20"/>
      <c r="MIP165" s="20"/>
      <c r="MIQ165" s="20"/>
      <c r="MIR165" s="21"/>
      <c r="MIS165" s="21"/>
      <c r="MIT165" s="7"/>
      <c r="MIU165" s="7"/>
      <c r="MIV165" s="21"/>
      <c r="MIW165" s="20"/>
      <c r="MIX165" s="20"/>
      <c r="MIY165" s="20"/>
      <c r="MIZ165" s="21"/>
      <c r="MJA165" s="21"/>
      <c r="MJB165" s="21"/>
      <c r="MJC165" s="21"/>
      <c r="MJD165" s="21"/>
      <c r="MJE165" s="20"/>
      <c r="MJF165" s="20"/>
      <c r="MJG165" s="20"/>
      <c r="MJH165" s="20"/>
      <c r="MJI165" s="21"/>
      <c r="MJJ165" s="21"/>
      <c r="MJK165" s="7"/>
      <c r="MJL165" s="7"/>
      <c r="MJM165" s="21"/>
      <c r="MJN165" s="20"/>
      <c r="MJO165" s="20"/>
      <c r="MJP165" s="20"/>
      <c r="MJQ165" s="21"/>
      <c r="MJR165" s="21"/>
      <c r="MJS165" s="21"/>
      <c r="MJT165" s="21"/>
      <c r="MJU165" s="21"/>
      <c r="MJV165" s="20"/>
      <c r="MJW165" s="20"/>
      <c r="MJX165" s="20"/>
      <c r="MJY165" s="20"/>
      <c r="MJZ165" s="21"/>
      <c r="MKA165" s="21"/>
      <c r="MKB165" s="7"/>
      <c r="MKC165" s="7"/>
      <c r="MKD165" s="21"/>
      <c r="MKE165" s="20"/>
      <c r="MKF165" s="20"/>
      <c r="MKG165" s="20"/>
      <c r="MKH165" s="21"/>
      <c r="MKI165" s="21"/>
      <c r="MKJ165" s="21"/>
      <c r="MKK165" s="21"/>
      <c r="MKL165" s="21"/>
      <c r="MKM165" s="20"/>
      <c r="MKN165" s="20"/>
      <c r="MKO165" s="20"/>
      <c r="MKP165" s="20"/>
      <c r="MKQ165" s="21"/>
      <c r="MKR165" s="21"/>
      <c r="MKS165" s="7"/>
      <c r="MKT165" s="7"/>
      <c r="MKU165" s="21"/>
      <c r="MKV165" s="20"/>
      <c r="MKW165" s="20"/>
      <c r="MKX165" s="20"/>
      <c r="MKY165" s="21"/>
      <c r="MKZ165" s="21"/>
      <c r="MLA165" s="21"/>
      <c r="MLB165" s="21"/>
      <c r="MLC165" s="21"/>
      <c r="MLD165" s="20"/>
      <c r="MLE165" s="20"/>
      <c r="MLF165" s="20"/>
      <c r="MLG165" s="20"/>
      <c r="MLH165" s="21"/>
      <c r="MLI165" s="21"/>
      <c r="MLJ165" s="7"/>
      <c r="MLK165" s="7"/>
      <c r="MLL165" s="21"/>
      <c r="MLM165" s="20"/>
      <c r="MLN165" s="20"/>
      <c r="MLO165" s="20"/>
      <c r="MLP165" s="21"/>
      <c r="MLQ165" s="21"/>
      <c r="MLR165" s="21"/>
      <c r="MLS165" s="21"/>
      <c r="MLT165" s="21"/>
      <c r="MLU165" s="20"/>
      <c r="MLV165" s="20"/>
      <c r="MLW165" s="20"/>
      <c r="MLX165" s="20"/>
      <c r="MLY165" s="21"/>
      <c r="MLZ165" s="21"/>
      <c r="MMA165" s="7"/>
      <c r="MMB165" s="7"/>
      <c r="MMC165" s="21"/>
      <c r="MMD165" s="20"/>
      <c r="MME165" s="20"/>
      <c r="MMF165" s="20"/>
      <c r="MMG165" s="21"/>
      <c r="MMH165" s="21"/>
      <c r="MMI165" s="21"/>
      <c r="MMJ165" s="21"/>
      <c r="MMK165" s="21"/>
      <c r="MML165" s="20"/>
      <c r="MMM165" s="20"/>
      <c r="MMN165" s="20"/>
      <c r="MMO165" s="20"/>
      <c r="MMP165" s="21"/>
      <c r="MMQ165" s="21"/>
      <c r="MMR165" s="7"/>
      <c r="MMS165" s="7"/>
      <c r="MMT165" s="21"/>
      <c r="MMU165" s="20"/>
      <c r="MMV165" s="20"/>
      <c r="MMW165" s="20"/>
      <c r="MMX165" s="21"/>
      <c r="MMY165" s="21"/>
      <c r="MMZ165" s="21"/>
      <c r="MNA165" s="21"/>
      <c r="MNB165" s="21"/>
      <c r="MNC165" s="20"/>
      <c r="MND165" s="20"/>
      <c r="MNE165" s="20"/>
      <c r="MNF165" s="20"/>
      <c r="MNG165" s="21"/>
      <c r="MNH165" s="21"/>
      <c r="MNI165" s="7"/>
      <c r="MNJ165" s="7"/>
      <c r="MNK165" s="21"/>
      <c r="MNL165" s="20"/>
      <c r="MNM165" s="20"/>
      <c r="MNN165" s="20"/>
      <c r="MNO165" s="21"/>
      <c r="MNP165" s="21"/>
      <c r="MNQ165" s="21"/>
      <c r="MNR165" s="21"/>
      <c r="MNS165" s="21"/>
      <c r="MNT165" s="20"/>
      <c r="MNU165" s="20"/>
      <c r="MNV165" s="20"/>
      <c r="MNW165" s="20"/>
      <c r="MNX165" s="21"/>
      <c r="MNY165" s="21"/>
      <c r="MNZ165" s="7"/>
      <c r="MOA165" s="7"/>
      <c r="MOB165" s="21"/>
      <c r="MOC165" s="20"/>
      <c r="MOD165" s="20"/>
      <c r="MOE165" s="20"/>
      <c r="MOF165" s="21"/>
      <c r="MOG165" s="21"/>
      <c r="MOH165" s="21"/>
      <c r="MOI165" s="21"/>
      <c r="MOJ165" s="21"/>
      <c r="MOK165" s="20"/>
      <c r="MOL165" s="20"/>
      <c r="MOM165" s="20"/>
      <c r="MON165" s="20"/>
      <c r="MOO165" s="21"/>
      <c r="MOP165" s="21"/>
      <c r="MOQ165" s="7"/>
      <c r="MOR165" s="7"/>
      <c r="MOS165" s="21"/>
      <c r="MOT165" s="20"/>
      <c r="MOU165" s="20"/>
      <c r="MOV165" s="20"/>
      <c r="MOW165" s="21"/>
      <c r="MOX165" s="21"/>
      <c r="MOY165" s="21"/>
      <c r="MOZ165" s="21"/>
      <c r="MPA165" s="21"/>
      <c r="MPB165" s="20"/>
      <c r="MPC165" s="20"/>
      <c r="MPD165" s="20"/>
      <c r="MPE165" s="20"/>
      <c r="MPF165" s="21"/>
      <c r="MPG165" s="21"/>
      <c r="MPH165" s="7"/>
      <c r="MPI165" s="7"/>
      <c r="MPJ165" s="21"/>
      <c r="MPK165" s="20"/>
      <c r="MPL165" s="20"/>
      <c r="MPM165" s="20"/>
      <c r="MPN165" s="21"/>
      <c r="MPO165" s="21"/>
      <c r="MPP165" s="21"/>
      <c r="MPQ165" s="21"/>
      <c r="MPR165" s="21"/>
      <c r="MPS165" s="20"/>
      <c r="MPT165" s="20"/>
      <c r="MPU165" s="20"/>
      <c r="MPV165" s="20"/>
      <c r="MPW165" s="21"/>
      <c r="MPX165" s="21"/>
      <c r="MPY165" s="7"/>
      <c r="MPZ165" s="7"/>
      <c r="MQA165" s="21"/>
      <c r="MQB165" s="20"/>
      <c r="MQC165" s="20"/>
      <c r="MQD165" s="20"/>
      <c r="MQE165" s="21"/>
      <c r="MQF165" s="21"/>
      <c r="MQG165" s="21"/>
      <c r="MQH165" s="21"/>
      <c r="MQI165" s="21"/>
      <c r="MQJ165" s="20"/>
      <c r="MQK165" s="20"/>
      <c r="MQL165" s="20"/>
      <c r="MQM165" s="20"/>
      <c r="MQN165" s="21"/>
      <c r="MQO165" s="21"/>
      <c r="MQP165" s="7"/>
      <c r="MQQ165" s="7"/>
      <c r="MQR165" s="21"/>
      <c r="MQS165" s="20"/>
      <c r="MQT165" s="20"/>
      <c r="MQU165" s="20"/>
      <c r="MQV165" s="21"/>
      <c r="MQW165" s="21"/>
      <c r="MQX165" s="21"/>
      <c r="MQY165" s="21"/>
      <c r="MQZ165" s="21"/>
      <c r="MRA165" s="20"/>
      <c r="MRB165" s="20"/>
      <c r="MRC165" s="20"/>
      <c r="MRD165" s="20"/>
      <c r="MRE165" s="21"/>
      <c r="MRF165" s="21"/>
      <c r="MRG165" s="7"/>
      <c r="MRH165" s="7"/>
      <c r="MRI165" s="21"/>
      <c r="MRJ165" s="20"/>
      <c r="MRK165" s="20"/>
      <c r="MRL165" s="20"/>
      <c r="MRM165" s="21"/>
      <c r="MRN165" s="21"/>
      <c r="MRO165" s="21"/>
      <c r="MRP165" s="21"/>
      <c r="MRQ165" s="21"/>
      <c r="MRR165" s="20"/>
      <c r="MRS165" s="20"/>
      <c r="MRT165" s="20"/>
      <c r="MRU165" s="20"/>
      <c r="MRV165" s="21"/>
      <c r="MRW165" s="21"/>
      <c r="MRX165" s="7"/>
      <c r="MRY165" s="7"/>
      <c r="MRZ165" s="21"/>
      <c r="MSA165" s="20"/>
      <c r="MSB165" s="20"/>
      <c r="MSC165" s="20"/>
      <c r="MSD165" s="21"/>
      <c r="MSE165" s="21"/>
      <c r="MSF165" s="21"/>
      <c r="MSG165" s="21"/>
      <c r="MSH165" s="21"/>
      <c r="MSI165" s="20"/>
      <c r="MSJ165" s="20"/>
      <c r="MSK165" s="20"/>
      <c r="MSL165" s="20"/>
      <c r="MSM165" s="21"/>
      <c r="MSN165" s="21"/>
      <c r="MSO165" s="7"/>
      <c r="MSP165" s="7"/>
      <c r="MSQ165" s="21"/>
      <c r="MSR165" s="20"/>
      <c r="MSS165" s="20"/>
      <c r="MST165" s="20"/>
      <c r="MSU165" s="21"/>
      <c r="MSV165" s="21"/>
      <c r="MSW165" s="21"/>
      <c r="MSX165" s="21"/>
      <c r="MSY165" s="21"/>
      <c r="MSZ165" s="20"/>
      <c r="MTA165" s="20"/>
      <c r="MTB165" s="20"/>
      <c r="MTC165" s="20"/>
      <c r="MTD165" s="21"/>
      <c r="MTE165" s="21"/>
      <c r="MTF165" s="7"/>
      <c r="MTG165" s="7"/>
      <c r="MTH165" s="21"/>
      <c r="MTI165" s="20"/>
      <c r="MTJ165" s="20"/>
      <c r="MTK165" s="20"/>
      <c r="MTL165" s="21"/>
      <c r="MTM165" s="21"/>
      <c r="MTN165" s="21"/>
      <c r="MTO165" s="21"/>
      <c r="MTP165" s="21"/>
      <c r="MTQ165" s="20"/>
      <c r="MTR165" s="20"/>
      <c r="MTS165" s="20"/>
      <c r="MTT165" s="20"/>
      <c r="MTU165" s="21"/>
      <c r="MTV165" s="21"/>
      <c r="MTW165" s="7"/>
      <c r="MTX165" s="7"/>
      <c r="MTY165" s="21"/>
      <c r="MTZ165" s="20"/>
      <c r="MUA165" s="20"/>
      <c r="MUB165" s="20"/>
      <c r="MUC165" s="21"/>
      <c r="MUD165" s="21"/>
      <c r="MUE165" s="21"/>
      <c r="MUF165" s="21"/>
      <c r="MUG165" s="21"/>
      <c r="MUH165" s="20"/>
      <c r="MUI165" s="20"/>
      <c r="MUJ165" s="20"/>
      <c r="MUK165" s="20"/>
      <c r="MUL165" s="21"/>
      <c r="MUM165" s="21"/>
      <c r="MUN165" s="7"/>
      <c r="MUO165" s="7"/>
      <c r="MUP165" s="21"/>
      <c r="MUQ165" s="20"/>
      <c r="MUR165" s="20"/>
      <c r="MUS165" s="20"/>
      <c r="MUT165" s="21"/>
      <c r="MUU165" s="21"/>
      <c r="MUV165" s="21"/>
      <c r="MUW165" s="21"/>
      <c r="MUX165" s="21"/>
      <c r="MUY165" s="20"/>
      <c r="MUZ165" s="20"/>
      <c r="MVA165" s="20"/>
      <c r="MVB165" s="20"/>
      <c r="MVC165" s="21"/>
      <c r="MVD165" s="21"/>
      <c r="MVE165" s="7"/>
      <c r="MVF165" s="7"/>
      <c r="MVG165" s="21"/>
      <c r="MVH165" s="20"/>
      <c r="MVI165" s="20"/>
      <c r="MVJ165" s="20"/>
      <c r="MVK165" s="21"/>
      <c r="MVL165" s="21"/>
      <c r="MVM165" s="21"/>
      <c r="MVN165" s="21"/>
      <c r="MVO165" s="21"/>
      <c r="MVP165" s="20"/>
      <c r="MVQ165" s="20"/>
      <c r="MVR165" s="20"/>
      <c r="MVS165" s="20"/>
      <c r="MVT165" s="21"/>
      <c r="MVU165" s="21"/>
      <c r="MVV165" s="7"/>
      <c r="MVW165" s="7"/>
      <c r="MVX165" s="21"/>
      <c r="MVY165" s="20"/>
      <c r="MVZ165" s="20"/>
      <c r="MWA165" s="20"/>
      <c r="MWB165" s="21"/>
      <c r="MWC165" s="21"/>
      <c r="MWD165" s="21"/>
      <c r="MWE165" s="21"/>
      <c r="MWF165" s="21"/>
      <c r="MWG165" s="20"/>
      <c r="MWH165" s="20"/>
      <c r="MWI165" s="20"/>
      <c r="MWJ165" s="20"/>
      <c r="MWK165" s="21"/>
      <c r="MWL165" s="21"/>
      <c r="MWM165" s="7"/>
      <c r="MWN165" s="7"/>
      <c r="MWO165" s="21"/>
      <c r="MWP165" s="20"/>
      <c r="MWQ165" s="20"/>
      <c r="MWR165" s="20"/>
      <c r="MWS165" s="21"/>
      <c r="MWT165" s="21"/>
      <c r="MWU165" s="21"/>
      <c r="MWV165" s="21"/>
      <c r="MWW165" s="21"/>
      <c r="MWX165" s="20"/>
      <c r="MWY165" s="20"/>
      <c r="MWZ165" s="20"/>
      <c r="MXA165" s="20"/>
      <c r="MXB165" s="21"/>
      <c r="MXC165" s="21"/>
      <c r="MXD165" s="7"/>
      <c r="MXE165" s="7"/>
      <c r="MXF165" s="21"/>
      <c r="MXG165" s="20"/>
      <c r="MXH165" s="20"/>
      <c r="MXI165" s="20"/>
      <c r="MXJ165" s="21"/>
      <c r="MXK165" s="21"/>
      <c r="MXL165" s="21"/>
      <c r="MXM165" s="21"/>
      <c r="MXN165" s="21"/>
      <c r="MXO165" s="20"/>
      <c r="MXP165" s="20"/>
      <c r="MXQ165" s="20"/>
      <c r="MXR165" s="20"/>
      <c r="MXS165" s="21"/>
      <c r="MXT165" s="21"/>
      <c r="MXU165" s="7"/>
      <c r="MXV165" s="7"/>
      <c r="MXW165" s="21"/>
      <c r="MXX165" s="20"/>
      <c r="MXY165" s="20"/>
      <c r="MXZ165" s="20"/>
      <c r="MYA165" s="21"/>
      <c r="MYB165" s="21"/>
      <c r="MYC165" s="21"/>
      <c r="MYD165" s="21"/>
      <c r="MYE165" s="21"/>
      <c r="MYF165" s="20"/>
      <c r="MYG165" s="20"/>
      <c r="MYH165" s="20"/>
      <c r="MYI165" s="20"/>
      <c r="MYJ165" s="21"/>
      <c r="MYK165" s="21"/>
      <c r="MYL165" s="7"/>
      <c r="MYM165" s="7"/>
      <c r="MYN165" s="21"/>
      <c r="MYO165" s="20"/>
      <c r="MYP165" s="20"/>
      <c r="MYQ165" s="20"/>
      <c r="MYR165" s="21"/>
      <c r="MYS165" s="21"/>
      <c r="MYT165" s="21"/>
      <c r="MYU165" s="21"/>
      <c r="MYV165" s="21"/>
      <c r="MYW165" s="20"/>
      <c r="MYX165" s="20"/>
      <c r="MYY165" s="20"/>
      <c r="MYZ165" s="20"/>
      <c r="MZA165" s="21"/>
      <c r="MZB165" s="21"/>
      <c r="MZC165" s="7"/>
      <c r="MZD165" s="7"/>
      <c r="MZE165" s="21"/>
      <c r="MZF165" s="20"/>
      <c r="MZG165" s="20"/>
      <c r="MZH165" s="20"/>
      <c r="MZI165" s="21"/>
      <c r="MZJ165" s="21"/>
      <c r="MZK165" s="21"/>
      <c r="MZL165" s="21"/>
      <c r="MZM165" s="21"/>
      <c r="MZN165" s="20"/>
      <c r="MZO165" s="20"/>
      <c r="MZP165" s="20"/>
      <c r="MZQ165" s="20"/>
      <c r="MZR165" s="21"/>
      <c r="MZS165" s="21"/>
      <c r="MZT165" s="7"/>
      <c r="MZU165" s="7"/>
      <c r="MZV165" s="21"/>
      <c r="MZW165" s="20"/>
      <c r="MZX165" s="20"/>
      <c r="MZY165" s="20"/>
      <c r="MZZ165" s="21"/>
      <c r="NAA165" s="21"/>
      <c r="NAB165" s="21"/>
      <c r="NAC165" s="21"/>
      <c r="NAD165" s="21"/>
      <c r="NAE165" s="20"/>
      <c r="NAF165" s="20"/>
      <c r="NAG165" s="20"/>
      <c r="NAH165" s="20"/>
      <c r="NAI165" s="21"/>
      <c r="NAJ165" s="21"/>
      <c r="NAK165" s="7"/>
      <c r="NAL165" s="7"/>
      <c r="NAM165" s="21"/>
      <c r="NAN165" s="20"/>
      <c r="NAO165" s="20"/>
      <c r="NAP165" s="20"/>
      <c r="NAQ165" s="21"/>
      <c r="NAR165" s="21"/>
      <c r="NAS165" s="21"/>
      <c r="NAT165" s="21"/>
      <c r="NAU165" s="21"/>
      <c r="NAV165" s="20"/>
      <c r="NAW165" s="20"/>
      <c r="NAX165" s="20"/>
      <c r="NAY165" s="20"/>
      <c r="NAZ165" s="21"/>
      <c r="NBA165" s="21"/>
      <c r="NBB165" s="7"/>
      <c r="NBC165" s="7"/>
      <c r="NBD165" s="21"/>
      <c r="NBE165" s="20"/>
      <c r="NBF165" s="20"/>
      <c r="NBG165" s="20"/>
      <c r="NBH165" s="21"/>
      <c r="NBI165" s="21"/>
      <c r="NBJ165" s="21"/>
      <c r="NBK165" s="21"/>
      <c r="NBL165" s="21"/>
      <c r="NBM165" s="20"/>
      <c r="NBN165" s="20"/>
      <c r="NBO165" s="20"/>
      <c r="NBP165" s="20"/>
      <c r="NBQ165" s="21"/>
      <c r="NBR165" s="21"/>
      <c r="NBS165" s="7"/>
      <c r="NBT165" s="7"/>
      <c r="NBU165" s="21"/>
      <c r="NBV165" s="20"/>
      <c r="NBW165" s="20"/>
      <c r="NBX165" s="20"/>
      <c r="NBY165" s="21"/>
      <c r="NBZ165" s="21"/>
      <c r="NCA165" s="21"/>
      <c r="NCB165" s="21"/>
      <c r="NCC165" s="21"/>
      <c r="NCD165" s="20"/>
      <c r="NCE165" s="20"/>
      <c r="NCF165" s="20"/>
      <c r="NCG165" s="20"/>
      <c r="NCH165" s="21"/>
      <c r="NCI165" s="21"/>
      <c r="NCJ165" s="7"/>
      <c r="NCK165" s="7"/>
      <c r="NCL165" s="21"/>
      <c r="NCM165" s="20"/>
      <c r="NCN165" s="20"/>
      <c r="NCO165" s="20"/>
      <c r="NCP165" s="21"/>
      <c r="NCQ165" s="21"/>
      <c r="NCR165" s="21"/>
      <c r="NCS165" s="21"/>
      <c r="NCT165" s="21"/>
      <c r="NCU165" s="20"/>
      <c r="NCV165" s="20"/>
      <c r="NCW165" s="20"/>
      <c r="NCX165" s="20"/>
      <c r="NCY165" s="21"/>
      <c r="NCZ165" s="21"/>
      <c r="NDA165" s="7"/>
      <c r="NDB165" s="7"/>
      <c r="NDC165" s="21"/>
      <c r="NDD165" s="20"/>
      <c r="NDE165" s="20"/>
      <c r="NDF165" s="20"/>
      <c r="NDG165" s="21"/>
      <c r="NDH165" s="21"/>
      <c r="NDI165" s="21"/>
      <c r="NDJ165" s="21"/>
      <c r="NDK165" s="21"/>
      <c r="NDL165" s="20"/>
      <c r="NDM165" s="20"/>
      <c r="NDN165" s="20"/>
      <c r="NDO165" s="20"/>
      <c r="NDP165" s="21"/>
      <c r="NDQ165" s="21"/>
      <c r="NDR165" s="7"/>
      <c r="NDS165" s="7"/>
      <c r="NDT165" s="21"/>
      <c r="NDU165" s="20"/>
      <c r="NDV165" s="20"/>
      <c r="NDW165" s="20"/>
      <c r="NDX165" s="21"/>
      <c r="NDY165" s="21"/>
      <c r="NDZ165" s="21"/>
      <c r="NEA165" s="21"/>
      <c r="NEB165" s="21"/>
      <c r="NEC165" s="20"/>
      <c r="NED165" s="20"/>
      <c r="NEE165" s="20"/>
      <c r="NEF165" s="20"/>
      <c r="NEG165" s="21"/>
      <c r="NEH165" s="21"/>
      <c r="NEI165" s="7"/>
      <c r="NEJ165" s="7"/>
      <c r="NEK165" s="21"/>
      <c r="NEL165" s="20"/>
      <c r="NEM165" s="20"/>
      <c r="NEN165" s="20"/>
      <c r="NEO165" s="21"/>
      <c r="NEP165" s="21"/>
      <c r="NEQ165" s="21"/>
      <c r="NER165" s="21"/>
      <c r="NES165" s="21"/>
      <c r="NET165" s="20"/>
      <c r="NEU165" s="20"/>
      <c r="NEV165" s="20"/>
      <c r="NEW165" s="20"/>
      <c r="NEX165" s="21"/>
      <c r="NEY165" s="21"/>
      <c r="NEZ165" s="7"/>
      <c r="NFA165" s="7"/>
      <c r="NFB165" s="21"/>
      <c r="NFC165" s="20"/>
      <c r="NFD165" s="20"/>
      <c r="NFE165" s="20"/>
      <c r="NFF165" s="21"/>
      <c r="NFG165" s="21"/>
      <c r="NFH165" s="21"/>
      <c r="NFI165" s="21"/>
      <c r="NFJ165" s="21"/>
      <c r="NFK165" s="20"/>
      <c r="NFL165" s="20"/>
      <c r="NFM165" s="20"/>
      <c r="NFN165" s="20"/>
      <c r="NFO165" s="21"/>
      <c r="NFP165" s="21"/>
      <c r="NFQ165" s="7"/>
      <c r="NFR165" s="7"/>
      <c r="NFS165" s="21"/>
      <c r="NFT165" s="20"/>
      <c r="NFU165" s="20"/>
      <c r="NFV165" s="20"/>
      <c r="NFW165" s="21"/>
      <c r="NFX165" s="21"/>
      <c r="NFY165" s="21"/>
      <c r="NFZ165" s="21"/>
      <c r="NGA165" s="21"/>
      <c r="NGB165" s="20"/>
      <c r="NGC165" s="20"/>
      <c r="NGD165" s="20"/>
      <c r="NGE165" s="20"/>
      <c r="NGF165" s="21"/>
      <c r="NGG165" s="21"/>
      <c r="NGH165" s="7"/>
      <c r="NGI165" s="7"/>
      <c r="NGJ165" s="21"/>
      <c r="NGK165" s="20"/>
      <c r="NGL165" s="20"/>
      <c r="NGM165" s="20"/>
      <c r="NGN165" s="21"/>
      <c r="NGO165" s="21"/>
      <c r="NGP165" s="21"/>
      <c r="NGQ165" s="21"/>
      <c r="NGR165" s="21"/>
      <c r="NGS165" s="20"/>
      <c r="NGT165" s="20"/>
      <c r="NGU165" s="20"/>
      <c r="NGV165" s="20"/>
      <c r="NGW165" s="21"/>
      <c r="NGX165" s="21"/>
      <c r="NGY165" s="7"/>
      <c r="NGZ165" s="7"/>
      <c r="NHA165" s="21"/>
      <c r="NHB165" s="20"/>
      <c r="NHC165" s="20"/>
      <c r="NHD165" s="20"/>
      <c r="NHE165" s="21"/>
      <c r="NHF165" s="21"/>
      <c r="NHG165" s="21"/>
      <c r="NHH165" s="21"/>
      <c r="NHI165" s="21"/>
      <c r="NHJ165" s="20"/>
      <c r="NHK165" s="20"/>
      <c r="NHL165" s="20"/>
      <c r="NHM165" s="20"/>
      <c r="NHN165" s="21"/>
      <c r="NHO165" s="21"/>
      <c r="NHP165" s="7"/>
      <c r="NHQ165" s="7"/>
      <c r="NHR165" s="21"/>
      <c r="NHS165" s="20"/>
      <c r="NHT165" s="20"/>
      <c r="NHU165" s="20"/>
      <c r="NHV165" s="21"/>
      <c r="NHW165" s="21"/>
      <c r="NHX165" s="21"/>
      <c r="NHY165" s="21"/>
      <c r="NHZ165" s="21"/>
      <c r="NIA165" s="20"/>
      <c r="NIB165" s="20"/>
      <c r="NIC165" s="20"/>
      <c r="NID165" s="20"/>
      <c r="NIE165" s="21"/>
      <c r="NIF165" s="21"/>
      <c r="NIG165" s="7"/>
      <c r="NIH165" s="7"/>
      <c r="NII165" s="21"/>
      <c r="NIJ165" s="20"/>
      <c r="NIK165" s="20"/>
      <c r="NIL165" s="20"/>
      <c r="NIM165" s="21"/>
      <c r="NIN165" s="21"/>
      <c r="NIO165" s="21"/>
      <c r="NIP165" s="21"/>
      <c r="NIQ165" s="21"/>
      <c r="NIR165" s="20"/>
      <c r="NIS165" s="20"/>
      <c r="NIT165" s="20"/>
      <c r="NIU165" s="20"/>
      <c r="NIV165" s="21"/>
      <c r="NIW165" s="21"/>
      <c r="NIX165" s="7"/>
      <c r="NIY165" s="7"/>
      <c r="NIZ165" s="21"/>
      <c r="NJA165" s="20"/>
      <c r="NJB165" s="20"/>
      <c r="NJC165" s="20"/>
      <c r="NJD165" s="21"/>
      <c r="NJE165" s="21"/>
      <c r="NJF165" s="21"/>
      <c r="NJG165" s="21"/>
      <c r="NJH165" s="21"/>
      <c r="NJI165" s="20"/>
      <c r="NJJ165" s="20"/>
      <c r="NJK165" s="20"/>
      <c r="NJL165" s="20"/>
      <c r="NJM165" s="21"/>
      <c r="NJN165" s="21"/>
      <c r="NJO165" s="7"/>
      <c r="NJP165" s="7"/>
      <c r="NJQ165" s="21"/>
      <c r="NJR165" s="20"/>
      <c r="NJS165" s="20"/>
      <c r="NJT165" s="20"/>
      <c r="NJU165" s="21"/>
      <c r="NJV165" s="21"/>
      <c r="NJW165" s="21"/>
      <c r="NJX165" s="21"/>
      <c r="NJY165" s="21"/>
      <c r="NJZ165" s="20"/>
      <c r="NKA165" s="20"/>
      <c r="NKB165" s="20"/>
      <c r="NKC165" s="20"/>
      <c r="NKD165" s="21"/>
      <c r="NKE165" s="21"/>
      <c r="NKF165" s="7"/>
      <c r="NKG165" s="7"/>
      <c r="NKH165" s="21"/>
      <c r="NKI165" s="20"/>
      <c r="NKJ165" s="20"/>
      <c r="NKK165" s="20"/>
      <c r="NKL165" s="21"/>
      <c r="NKM165" s="21"/>
      <c r="NKN165" s="21"/>
      <c r="NKO165" s="21"/>
      <c r="NKP165" s="21"/>
      <c r="NKQ165" s="20"/>
      <c r="NKR165" s="20"/>
      <c r="NKS165" s="20"/>
      <c r="NKT165" s="20"/>
      <c r="NKU165" s="21"/>
      <c r="NKV165" s="21"/>
      <c r="NKW165" s="7"/>
      <c r="NKX165" s="7"/>
      <c r="NKY165" s="21"/>
      <c r="NKZ165" s="20"/>
      <c r="NLA165" s="20"/>
      <c r="NLB165" s="20"/>
      <c r="NLC165" s="21"/>
      <c r="NLD165" s="21"/>
      <c r="NLE165" s="21"/>
      <c r="NLF165" s="21"/>
      <c r="NLG165" s="21"/>
      <c r="NLH165" s="20"/>
      <c r="NLI165" s="20"/>
      <c r="NLJ165" s="20"/>
      <c r="NLK165" s="20"/>
      <c r="NLL165" s="21"/>
      <c r="NLM165" s="21"/>
      <c r="NLN165" s="7"/>
      <c r="NLO165" s="7"/>
      <c r="NLP165" s="21"/>
      <c r="NLQ165" s="20"/>
      <c r="NLR165" s="20"/>
      <c r="NLS165" s="20"/>
      <c r="NLT165" s="21"/>
      <c r="NLU165" s="21"/>
      <c r="NLV165" s="21"/>
      <c r="NLW165" s="21"/>
      <c r="NLX165" s="21"/>
      <c r="NLY165" s="20"/>
      <c r="NLZ165" s="20"/>
      <c r="NMA165" s="20"/>
      <c r="NMB165" s="20"/>
      <c r="NMC165" s="21"/>
      <c r="NMD165" s="21"/>
      <c r="NME165" s="7"/>
      <c r="NMF165" s="7"/>
      <c r="NMG165" s="21"/>
      <c r="NMH165" s="20"/>
      <c r="NMI165" s="20"/>
      <c r="NMJ165" s="20"/>
      <c r="NMK165" s="21"/>
      <c r="NML165" s="21"/>
      <c r="NMM165" s="21"/>
      <c r="NMN165" s="21"/>
      <c r="NMO165" s="21"/>
      <c r="NMP165" s="20"/>
      <c r="NMQ165" s="20"/>
      <c r="NMR165" s="20"/>
      <c r="NMS165" s="20"/>
      <c r="NMT165" s="21"/>
      <c r="NMU165" s="21"/>
      <c r="NMV165" s="7"/>
      <c r="NMW165" s="7"/>
      <c r="NMX165" s="21"/>
      <c r="NMY165" s="20"/>
      <c r="NMZ165" s="20"/>
      <c r="NNA165" s="20"/>
      <c r="NNB165" s="21"/>
      <c r="NNC165" s="21"/>
      <c r="NND165" s="21"/>
      <c r="NNE165" s="21"/>
      <c r="NNF165" s="21"/>
      <c r="NNG165" s="20"/>
      <c r="NNH165" s="20"/>
      <c r="NNI165" s="20"/>
      <c r="NNJ165" s="20"/>
      <c r="NNK165" s="21"/>
      <c r="NNL165" s="21"/>
      <c r="NNM165" s="7"/>
      <c r="NNN165" s="7"/>
      <c r="NNO165" s="21"/>
      <c r="NNP165" s="20"/>
      <c r="NNQ165" s="20"/>
      <c r="NNR165" s="20"/>
      <c r="NNS165" s="21"/>
      <c r="NNT165" s="21"/>
      <c r="NNU165" s="21"/>
      <c r="NNV165" s="21"/>
      <c r="NNW165" s="21"/>
      <c r="NNX165" s="20"/>
      <c r="NNY165" s="20"/>
      <c r="NNZ165" s="20"/>
      <c r="NOA165" s="20"/>
      <c r="NOB165" s="21"/>
      <c r="NOC165" s="21"/>
      <c r="NOD165" s="7"/>
      <c r="NOE165" s="7"/>
      <c r="NOF165" s="21"/>
      <c r="NOG165" s="20"/>
      <c r="NOH165" s="20"/>
      <c r="NOI165" s="20"/>
      <c r="NOJ165" s="21"/>
      <c r="NOK165" s="21"/>
      <c r="NOL165" s="21"/>
      <c r="NOM165" s="21"/>
      <c r="NON165" s="21"/>
      <c r="NOO165" s="20"/>
      <c r="NOP165" s="20"/>
      <c r="NOQ165" s="20"/>
      <c r="NOR165" s="20"/>
      <c r="NOS165" s="21"/>
      <c r="NOT165" s="21"/>
      <c r="NOU165" s="7"/>
      <c r="NOV165" s="7"/>
      <c r="NOW165" s="21"/>
      <c r="NOX165" s="20"/>
      <c r="NOY165" s="20"/>
      <c r="NOZ165" s="20"/>
      <c r="NPA165" s="21"/>
      <c r="NPB165" s="21"/>
      <c r="NPC165" s="21"/>
      <c r="NPD165" s="21"/>
      <c r="NPE165" s="21"/>
      <c r="NPF165" s="20"/>
      <c r="NPG165" s="20"/>
      <c r="NPH165" s="20"/>
      <c r="NPI165" s="20"/>
      <c r="NPJ165" s="21"/>
      <c r="NPK165" s="21"/>
      <c r="NPL165" s="7"/>
      <c r="NPM165" s="7"/>
      <c r="NPN165" s="21"/>
      <c r="NPO165" s="20"/>
      <c r="NPP165" s="20"/>
      <c r="NPQ165" s="20"/>
      <c r="NPR165" s="21"/>
      <c r="NPS165" s="21"/>
      <c r="NPT165" s="21"/>
      <c r="NPU165" s="21"/>
      <c r="NPV165" s="21"/>
      <c r="NPW165" s="20"/>
      <c r="NPX165" s="20"/>
      <c r="NPY165" s="20"/>
      <c r="NPZ165" s="20"/>
      <c r="NQA165" s="21"/>
      <c r="NQB165" s="21"/>
      <c r="NQC165" s="7"/>
      <c r="NQD165" s="7"/>
      <c r="NQE165" s="21"/>
      <c r="NQF165" s="20"/>
      <c r="NQG165" s="20"/>
      <c r="NQH165" s="20"/>
      <c r="NQI165" s="21"/>
      <c r="NQJ165" s="21"/>
      <c r="NQK165" s="21"/>
      <c r="NQL165" s="21"/>
      <c r="NQM165" s="21"/>
      <c r="NQN165" s="20"/>
      <c r="NQO165" s="20"/>
      <c r="NQP165" s="20"/>
      <c r="NQQ165" s="20"/>
      <c r="NQR165" s="21"/>
      <c r="NQS165" s="21"/>
      <c r="NQT165" s="7"/>
      <c r="NQU165" s="7"/>
      <c r="NQV165" s="21"/>
      <c r="NQW165" s="20"/>
      <c r="NQX165" s="20"/>
      <c r="NQY165" s="20"/>
      <c r="NQZ165" s="21"/>
      <c r="NRA165" s="21"/>
      <c r="NRB165" s="21"/>
      <c r="NRC165" s="21"/>
      <c r="NRD165" s="21"/>
      <c r="NRE165" s="20"/>
      <c r="NRF165" s="20"/>
      <c r="NRG165" s="20"/>
      <c r="NRH165" s="20"/>
      <c r="NRI165" s="21"/>
      <c r="NRJ165" s="21"/>
      <c r="NRK165" s="7"/>
      <c r="NRL165" s="7"/>
      <c r="NRM165" s="21"/>
      <c r="NRN165" s="20"/>
      <c r="NRO165" s="20"/>
      <c r="NRP165" s="20"/>
      <c r="NRQ165" s="21"/>
      <c r="NRR165" s="21"/>
      <c r="NRS165" s="21"/>
      <c r="NRT165" s="21"/>
      <c r="NRU165" s="21"/>
      <c r="NRV165" s="20"/>
      <c r="NRW165" s="20"/>
      <c r="NRX165" s="20"/>
      <c r="NRY165" s="20"/>
      <c r="NRZ165" s="21"/>
      <c r="NSA165" s="21"/>
      <c r="NSB165" s="7"/>
      <c r="NSC165" s="7"/>
      <c r="NSD165" s="21"/>
      <c r="NSE165" s="20"/>
      <c r="NSF165" s="20"/>
      <c r="NSG165" s="20"/>
      <c r="NSH165" s="21"/>
      <c r="NSI165" s="21"/>
      <c r="NSJ165" s="21"/>
      <c r="NSK165" s="21"/>
      <c r="NSL165" s="21"/>
      <c r="NSM165" s="20"/>
      <c r="NSN165" s="20"/>
      <c r="NSO165" s="20"/>
      <c r="NSP165" s="20"/>
      <c r="NSQ165" s="21"/>
      <c r="NSR165" s="21"/>
      <c r="NSS165" s="7"/>
      <c r="NST165" s="7"/>
      <c r="NSU165" s="21"/>
      <c r="NSV165" s="20"/>
      <c r="NSW165" s="20"/>
      <c r="NSX165" s="20"/>
      <c r="NSY165" s="21"/>
      <c r="NSZ165" s="21"/>
      <c r="NTA165" s="21"/>
      <c r="NTB165" s="21"/>
      <c r="NTC165" s="21"/>
      <c r="NTD165" s="20"/>
      <c r="NTE165" s="20"/>
      <c r="NTF165" s="20"/>
      <c r="NTG165" s="20"/>
      <c r="NTH165" s="21"/>
      <c r="NTI165" s="21"/>
      <c r="NTJ165" s="7"/>
      <c r="NTK165" s="7"/>
      <c r="NTL165" s="21"/>
      <c r="NTM165" s="20"/>
      <c r="NTN165" s="20"/>
      <c r="NTO165" s="20"/>
      <c r="NTP165" s="21"/>
      <c r="NTQ165" s="21"/>
      <c r="NTR165" s="21"/>
      <c r="NTS165" s="21"/>
      <c r="NTT165" s="21"/>
      <c r="NTU165" s="20"/>
      <c r="NTV165" s="20"/>
      <c r="NTW165" s="20"/>
      <c r="NTX165" s="20"/>
      <c r="NTY165" s="21"/>
      <c r="NTZ165" s="21"/>
      <c r="NUA165" s="7"/>
      <c r="NUB165" s="7"/>
      <c r="NUC165" s="21"/>
      <c r="NUD165" s="20"/>
      <c r="NUE165" s="20"/>
      <c r="NUF165" s="20"/>
      <c r="NUG165" s="21"/>
      <c r="NUH165" s="21"/>
      <c r="NUI165" s="21"/>
      <c r="NUJ165" s="21"/>
      <c r="NUK165" s="21"/>
      <c r="NUL165" s="20"/>
      <c r="NUM165" s="20"/>
      <c r="NUN165" s="20"/>
      <c r="NUO165" s="20"/>
      <c r="NUP165" s="21"/>
      <c r="NUQ165" s="21"/>
      <c r="NUR165" s="7"/>
      <c r="NUS165" s="7"/>
      <c r="NUT165" s="21"/>
      <c r="NUU165" s="20"/>
      <c r="NUV165" s="20"/>
      <c r="NUW165" s="20"/>
      <c r="NUX165" s="21"/>
      <c r="NUY165" s="21"/>
      <c r="NUZ165" s="21"/>
      <c r="NVA165" s="21"/>
      <c r="NVB165" s="21"/>
      <c r="NVC165" s="20"/>
      <c r="NVD165" s="20"/>
      <c r="NVE165" s="20"/>
      <c r="NVF165" s="20"/>
      <c r="NVG165" s="21"/>
      <c r="NVH165" s="21"/>
      <c r="NVI165" s="7"/>
      <c r="NVJ165" s="7"/>
      <c r="NVK165" s="21"/>
      <c r="NVL165" s="20"/>
      <c r="NVM165" s="20"/>
      <c r="NVN165" s="20"/>
      <c r="NVO165" s="21"/>
      <c r="NVP165" s="21"/>
      <c r="NVQ165" s="21"/>
      <c r="NVR165" s="21"/>
      <c r="NVS165" s="21"/>
      <c r="NVT165" s="20"/>
      <c r="NVU165" s="20"/>
      <c r="NVV165" s="20"/>
      <c r="NVW165" s="20"/>
      <c r="NVX165" s="21"/>
      <c r="NVY165" s="21"/>
      <c r="NVZ165" s="7"/>
      <c r="NWA165" s="7"/>
      <c r="NWB165" s="21"/>
      <c r="NWC165" s="20"/>
      <c r="NWD165" s="20"/>
      <c r="NWE165" s="20"/>
      <c r="NWF165" s="21"/>
      <c r="NWG165" s="21"/>
      <c r="NWH165" s="21"/>
      <c r="NWI165" s="21"/>
      <c r="NWJ165" s="21"/>
      <c r="NWK165" s="20"/>
      <c r="NWL165" s="20"/>
      <c r="NWM165" s="20"/>
      <c r="NWN165" s="20"/>
      <c r="NWO165" s="21"/>
      <c r="NWP165" s="21"/>
      <c r="NWQ165" s="7"/>
      <c r="NWR165" s="7"/>
      <c r="NWS165" s="21"/>
      <c r="NWT165" s="20"/>
      <c r="NWU165" s="20"/>
      <c r="NWV165" s="20"/>
      <c r="NWW165" s="21"/>
      <c r="NWX165" s="21"/>
      <c r="NWY165" s="21"/>
      <c r="NWZ165" s="21"/>
      <c r="NXA165" s="21"/>
      <c r="NXB165" s="20"/>
      <c r="NXC165" s="20"/>
      <c r="NXD165" s="20"/>
      <c r="NXE165" s="20"/>
      <c r="NXF165" s="21"/>
      <c r="NXG165" s="21"/>
      <c r="NXH165" s="7"/>
      <c r="NXI165" s="7"/>
      <c r="NXJ165" s="21"/>
      <c r="NXK165" s="20"/>
      <c r="NXL165" s="20"/>
      <c r="NXM165" s="20"/>
      <c r="NXN165" s="21"/>
      <c r="NXO165" s="21"/>
      <c r="NXP165" s="21"/>
      <c r="NXQ165" s="21"/>
      <c r="NXR165" s="21"/>
      <c r="NXS165" s="20"/>
      <c r="NXT165" s="20"/>
      <c r="NXU165" s="20"/>
      <c r="NXV165" s="20"/>
      <c r="NXW165" s="21"/>
      <c r="NXX165" s="21"/>
      <c r="NXY165" s="7"/>
      <c r="NXZ165" s="7"/>
      <c r="NYA165" s="21"/>
      <c r="NYB165" s="20"/>
      <c r="NYC165" s="20"/>
      <c r="NYD165" s="20"/>
      <c r="NYE165" s="21"/>
      <c r="NYF165" s="21"/>
      <c r="NYG165" s="21"/>
      <c r="NYH165" s="21"/>
      <c r="NYI165" s="21"/>
      <c r="NYJ165" s="20"/>
      <c r="NYK165" s="20"/>
      <c r="NYL165" s="20"/>
      <c r="NYM165" s="20"/>
      <c r="NYN165" s="21"/>
      <c r="NYO165" s="21"/>
      <c r="NYP165" s="7"/>
      <c r="NYQ165" s="7"/>
      <c r="NYR165" s="21"/>
      <c r="NYS165" s="20"/>
      <c r="NYT165" s="20"/>
      <c r="NYU165" s="20"/>
      <c r="NYV165" s="21"/>
      <c r="NYW165" s="21"/>
      <c r="NYX165" s="21"/>
      <c r="NYY165" s="21"/>
      <c r="NYZ165" s="21"/>
      <c r="NZA165" s="20"/>
      <c r="NZB165" s="20"/>
      <c r="NZC165" s="20"/>
      <c r="NZD165" s="20"/>
      <c r="NZE165" s="21"/>
      <c r="NZF165" s="21"/>
      <c r="NZG165" s="7"/>
      <c r="NZH165" s="7"/>
      <c r="NZI165" s="21"/>
      <c r="NZJ165" s="20"/>
      <c r="NZK165" s="20"/>
      <c r="NZL165" s="20"/>
      <c r="NZM165" s="21"/>
      <c r="NZN165" s="21"/>
      <c r="NZO165" s="21"/>
      <c r="NZP165" s="21"/>
      <c r="NZQ165" s="21"/>
      <c r="NZR165" s="20"/>
      <c r="NZS165" s="20"/>
      <c r="NZT165" s="20"/>
      <c r="NZU165" s="20"/>
      <c r="NZV165" s="21"/>
      <c r="NZW165" s="21"/>
      <c r="NZX165" s="7"/>
      <c r="NZY165" s="7"/>
      <c r="NZZ165" s="21"/>
      <c r="OAA165" s="20"/>
      <c r="OAB165" s="20"/>
      <c r="OAC165" s="20"/>
      <c r="OAD165" s="21"/>
      <c r="OAE165" s="21"/>
      <c r="OAF165" s="21"/>
      <c r="OAG165" s="21"/>
      <c r="OAH165" s="21"/>
      <c r="OAI165" s="20"/>
      <c r="OAJ165" s="20"/>
      <c r="OAK165" s="20"/>
      <c r="OAL165" s="20"/>
      <c r="OAM165" s="21"/>
      <c r="OAN165" s="21"/>
      <c r="OAO165" s="7"/>
      <c r="OAP165" s="7"/>
      <c r="OAQ165" s="21"/>
      <c r="OAR165" s="20"/>
      <c r="OAS165" s="20"/>
      <c r="OAT165" s="20"/>
      <c r="OAU165" s="21"/>
      <c r="OAV165" s="21"/>
      <c r="OAW165" s="21"/>
      <c r="OAX165" s="21"/>
      <c r="OAY165" s="21"/>
      <c r="OAZ165" s="20"/>
      <c r="OBA165" s="20"/>
      <c r="OBB165" s="20"/>
      <c r="OBC165" s="20"/>
      <c r="OBD165" s="21"/>
      <c r="OBE165" s="21"/>
      <c r="OBF165" s="7"/>
      <c r="OBG165" s="7"/>
      <c r="OBH165" s="21"/>
      <c r="OBI165" s="20"/>
      <c r="OBJ165" s="20"/>
      <c r="OBK165" s="20"/>
      <c r="OBL165" s="21"/>
      <c r="OBM165" s="21"/>
      <c r="OBN165" s="21"/>
      <c r="OBO165" s="21"/>
      <c r="OBP165" s="21"/>
      <c r="OBQ165" s="20"/>
      <c r="OBR165" s="20"/>
      <c r="OBS165" s="20"/>
      <c r="OBT165" s="20"/>
      <c r="OBU165" s="21"/>
      <c r="OBV165" s="21"/>
      <c r="OBW165" s="7"/>
      <c r="OBX165" s="7"/>
      <c r="OBY165" s="21"/>
      <c r="OBZ165" s="20"/>
      <c r="OCA165" s="20"/>
      <c r="OCB165" s="20"/>
      <c r="OCC165" s="21"/>
      <c r="OCD165" s="21"/>
      <c r="OCE165" s="21"/>
      <c r="OCF165" s="21"/>
      <c r="OCG165" s="21"/>
      <c r="OCH165" s="20"/>
      <c r="OCI165" s="20"/>
      <c r="OCJ165" s="20"/>
      <c r="OCK165" s="20"/>
      <c r="OCL165" s="21"/>
      <c r="OCM165" s="21"/>
      <c r="OCN165" s="7"/>
      <c r="OCO165" s="7"/>
      <c r="OCP165" s="21"/>
      <c r="OCQ165" s="20"/>
      <c r="OCR165" s="20"/>
      <c r="OCS165" s="20"/>
      <c r="OCT165" s="21"/>
      <c r="OCU165" s="21"/>
      <c r="OCV165" s="21"/>
      <c r="OCW165" s="21"/>
      <c r="OCX165" s="21"/>
      <c r="OCY165" s="20"/>
      <c r="OCZ165" s="20"/>
      <c r="ODA165" s="20"/>
      <c r="ODB165" s="20"/>
      <c r="ODC165" s="21"/>
      <c r="ODD165" s="21"/>
      <c r="ODE165" s="7"/>
      <c r="ODF165" s="7"/>
      <c r="ODG165" s="21"/>
      <c r="ODH165" s="20"/>
      <c r="ODI165" s="20"/>
      <c r="ODJ165" s="20"/>
      <c r="ODK165" s="21"/>
      <c r="ODL165" s="21"/>
      <c r="ODM165" s="21"/>
      <c r="ODN165" s="21"/>
      <c r="ODO165" s="21"/>
      <c r="ODP165" s="20"/>
      <c r="ODQ165" s="20"/>
      <c r="ODR165" s="20"/>
      <c r="ODS165" s="20"/>
      <c r="ODT165" s="21"/>
      <c r="ODU165" s="21"/>
      <c r="ODV165" s="7"/>
      <c r="ODW165" s="7"/>
      <c r="ODX165" s="21"/>
      <c r="ODY165" s="20"/>
      <c r="ODZ165" s="20"/>
      <c r="OEA165" s="20"/>
      <c r="OEB165" s="21"/>
      <c r="OEC165" s="21"/>
      <c r="OED165" s="21"/>
      <c r="OEE165" s="21"/>
      <c r="OEF165" s="21"/>
      <c r="OEG165" s="20"/>
      <c r="OEH165" s="20"/>
      <c r="OEI165" s="20"/>
      <c r="OEJ165" s="20"/>
      <c r="OEK165" s="21"/>
      <c r="OEL165" s="21"/>
      <c r="OEM165" s="7"/>
      <c r="OEN165" s="7"/>
      <c r="OEO165" s="21"/>
      <c r="OEP165" s="20"/>
      <c r="OEQ165" s="20"/>
      <c r="OER165" s="20"/>
      <c r="OES165" s="21"/>
      <c r="OET165" s="21"/>
      <c r="OEU165" s="21"/>
      <c r="OEV165" s="21"/>
      <c r="OEW165" s="21"/>
      <c r="OEX165" s="20"/>
      <c r="OEY165" s="20"/>
      <c r="OEZ165" s="20"/>
      <c r="OFA165" s="20"/>
      <c r="OFB165" s="21"/>
      <c r="OFC165" s="21"/>
      <c r="OFD165" s="7"/>
      <c r="OFE165" s="7"/>
      <c r="OFF165" s="21"/>
      <c r="OFG165" s="20"/>
      <c r="OFH165" s="20"/>
      <c r="OFI165" s="20"/>
      <c r="OFJ165" s="21"/>
      <c r="OFK165" s="21"/>
      <c r="OFL165" s="21"/>
      <c r="OFM165" s="21"/>
      <c r="OFN165" s="21"/>
      <c r="OFO165" s="20"/>
      <c r="OFP165" s="20"/>
      <c r="OFQ165" s="20"/>
      <c r="OFR165" s="20"/>
      <c r="OFS165" s="21"/>
      <c r="OFT165" s="21"/>
      <c r="OFU165" s="7"/>
      <c r="OFV165" s="7"/>
      <c r="OFW165" s="21"/>
      <c r="OFX165" s="20"/>
      <c r="OFY165" s="20"/>
      <c r="OFZ165" s="20"/>
      <c r="OGA165" s="21"/>
      <c r="OGB165" s="21"/>
      <c r="OGC165" s="21"/>
      <c r="OGD165" s="21"/>
      <c r="OGE165" s="21"/>
      <c r="OGF165" s="20"/>
      <c r="OGG165" s="20"/>
      <c r="OGH165" s="20"/>
      <c r="OGI165" s="20"/>
      <c r="OGJ165" s="21"/>
      <c r="OGK165" s="21"/>
      <c r="OGL165" s="7"/>
      <c r="OGM165" s="7"/>
      <c r="OGN165" s="21"/>
      <c r="OGO165" s="20"/>
      <c r="OGP165" s="20"/>
      <c r="OGQ165" s="20"/>
      <c r="OGR165" s="21"/>
      <c r="OGS165" s="21"/>
      <c r="OGT165" s="21"/>
      <c r="OGU165" s="21"/>
      <c r="OGV165" s="21"/>
      <c r="OGW165" s="20"/>
      <c r="OGX165" s="20"/>
      <c r="OGY165" s="20"/>
      <c r="OGZ165" s="20"/>
      <c r="OHA165" s="21"/>
      <c r="OHB165" s="21"/>
      <c r="OHC165" s="7"/>
      <c r="OHD165" s="7"/>
      <c r="OHE165" s="21"/>
      <c r="OHF165" s="20"/>
      <c r="OHG165" s="20"/>
      <c r="OHH165" s="20"/>
      <c r="OHI165" s="21"/>
      <c r="OHJ165" s="21"/>
      <c r="OHK165" s="21"/>
      <c r="OHL165" s="21"/>
      <c r="OHM165" s="21"/>
      <c r="OHN165" s="20"/>
      <c r="OHO165" s="20"/>
      <c r="OHP165" s="20"/>
      <c r="OHQ165" s="20"/>
      <c r="OHR165" s="21"/>
      <c r="OHS165" s="21"/>
      <c r="OHT165" s="7"/>
      <c r="OHU165" s="7"/>
      <c r="OHV165" s="21"/>
      <c r="OHW165" s="20"/>
      <c r="OHX165" s="20"/>
      <c r="OHY165" s="20"/>
      <c r="OHZ165" s="21"/>
      <c r="OIA165" s="21"/>
      <c r="OIB165" s="21"/>
      <c r="OIC165" s="21"/>
      <c r="OID165" s="21"/>
      <c r="OIE165" s="20"/>
      <c r="OIF165" s="20"/>
      <c r="OIG165" s="20"/>
      <c r="OIH165" s="20"/>
      <c r="OII165" s="21"/>
      <c r="OIJ165" s="21"/>
      <c r="OIK165" s="7"/>
      <c r="OIL165" s="7"/>
      <c r="OIM165" s="21"/>
      <c r="OIN165" s="20"/>
      <c r="OIO165" s="20"/>
      <c r="OIP165" s="20"/>
      <c r="OIQ165" s="21"/>
      <c r="OIR165" s="21"/>
      <c r="OIS165" s="21"/>
      <c r="OIT165" s="21"/>
      <c r="OIU165" s="21"/>
      <c r="OIV165" s="20"/>
      <c r="OIW165" s="20"/>
      <c r="OIX165" s="20"/>
      <c r="OIY165" s="20"/>
      <c r="OIZ165" s="21"/>
      <c r="OJA165" s="21"/>
      <c r="OJB165" s="7"/>
      <c r="OJC165" s="7"/>
      <c r="OJD165" s="21"/>
      <c r="OJE165" s="20"/>
      <c r="OJF165" s="20"/>
      <c r="OJG165" s="20"/>
      <c r="OJH165" s="21"/>
      <c r="OJI165" s="21"/>
      <c r="OJJ165" s="21"/>
      <c r="OJK165" s="21"/>
      <c r="OJL165" s="21"/>
      <c r="OJM165" s="20"/>
      <c r="OJN165" s="20"/>
      <c r="OJO165" s="20"/>
      <c r="OJP165" s="20"/>
      <c r="OJQ165" s="21"/>
      <c r="OJR165" s="21"/>
      <c r="OJS165" s="7"/>
      <c r="OJT165" s="7"/>
      <c r="OJU165" s="21"/>
      <c r="OJV165" s="20"/>
      <c r="OJW165" s="20"/>
      <c r="OJX165" s="20"/>
      <c r="OJY165" s="21"/>
      <c r="OJZ165" s="21"/>
      <c r="OKA165" s="21"/>
      <c r="OKB165" s="21"/>
      <c r="OKC165" s="21"/>
      <c r="OKD165" s="20"/>
      <c r="OKE165" s="20"/>
      <c r="OKF165" s="20"/>
      <c r="OKG165" s="20"/>
      <c r="OKH165" s="21"/>
      <c r="OKI165" s="21"/>
      <c r="OKJ165" s="7"/>
      <c r="OKK165" s="7"/>
      <c r="OKL165" s="21"/>
      <c r="OKM165" s="20"/>
      <c r="OKN165" s="20"/>
      <c r="OKO165" s="20"/>
      <c r="OKP165" s="21"/>
      <c r="OKQ165" s="21"/>
      <c r="OKR165" s="21"/>
      <c r="OKS165" s="21"/>
      <c r="OKT165" s="21"/>
      <c r="OKU165" s="20"/>
      <c r="OKV165" s="20"/>
      <c r="OKW165" s="20"/>
      <c r="OKX165" s="20"/>
      <c r="OKY165" s="21"/>
      <c r="OKZ165" s="21"/>
      <c r="OLA165" s="7"/>
      <c r="OLB165" s="7"/>
      <c r="OLC165" s="21"/>
      <c r="OLD165" s="20"/>
      <c r="OLE165" s="20"/>
      <c r="OLF165" s="20"/>
      <c r="OLG165" s="21"/>
      <c r="OLH165" s="21"/>
      <c r="OLI165" s="21"/>
      <c r="OLJ165" s="21"/>
      <c r="OLK165" s="21"/>
      <c r="OLL165" s="20"/>
      <c r="OLM165" s="20"/>
      <c r="OLN165" s="20"/>
      <c r="OLO165" s="20"/>
      <c r="OLP165" s="21"/>
      <c r="OLQ165" s="21"/>
      <c r="OLR165" s="7"/>
      <c r="OLS165" s="7"/>
      <c r="OLT165" s="21"/>
      <c r="OLU165" s="20"/>
      <c r="OLV165" s="20"/>
      <c r="OLW165" s="20"/>
      <c r="OLX165" s="21"/>
      <c r="OLY165" s="21"/>
      <c r="OLZ165" s="21"/>
      <c r="OMA165" s="21"/>
      <c r="OMB165" s="21"/>
      <c r="OMC165" s="20"/>
      <c r="OMD165" s="20"/>
      <c r="OME165" s="20"/>
      <c r="OMF165" s="20"/>
      <c r="OMG165" s="21"/>
      <c r="OMH165" s="21"/>
      <c r="OMI165" s="7"/>
      <c r="OMJ165" s="7"/>
      <c r="OMK165" s="21"/>
      <c r="OML165" s="20"/>
      <c r="OMM165" s="20"/>
      <c r="OMN165" s="20"/>
      <c r="OMO165" s="21"/>
      <c r="OMP165" s="21"/>
      <c r="OMQ165" s="21"/>
      <c r="OMR165" s="21"/>
      <c r="OMS165" s="21"/>
      <c r="OMT165" s="20"/>
      <c r="OMU165" s="20"/>
      <c r="OMV165" s="20"/>
      <c r="OMW165" s="20"/>
      <c r="OMX165" s="21"/>
      <c r="OMY165" s="21"/>
      <c r="OMZ165" s="7"/>
      <c r="ONA165" s="7"/>
      <c r="ONB165" s="21"/>
      <c r="ONC165" s="20"/>
      <c r="OND165" s="20"/>
      <c r="ONE165" s="20"/>
      <c r="ONF165" s="21"/>
      <c r="ONG165" s="21"/>
      <c r="ONH165" s="21"/>
      <c r="ONI165" s="21"/>
      <c r="ONJ165" s="21"/>
      <c r="ONK165" s="20"/>
      <c r="ONL165" s="20"/>
      <c r="ONM165" s="20"/>
      <c r="ONN165" s="20"/>
      <c r="ONO165" s="21"/>
      <c r="ONP165" s="21"/>
      <c r="ONQ165" s="7"/>
      <c r="ONR165" s="7"/>
      <c r="ONS165" s="21"/>
      <c r="ONT165" s="20"/>
      <c r="ONU165" s="20"/>
      <c r="ONV165" s="20"/>
      <c r="ONW165" s="21"/>
      <c r="ONX165" s="21"/>
      <c r="ONY165" s="21"/>
      <c r="ONZ165" s="21"/>
      <c r="OOA165" s="21"/>
      <c r="OOB165" s="20"/>
      <c r="OOC165" s="20"/>
      <c r="OOD165" s="20"/>
      <c r="OOE165" s="20"/>
      <c r="OOF165" s="21"/>
      <c r="OOG165" s="21"/>
      <c r="OOH165" s="7"/>
      <c r="OOI165" s="7"/>
      <c r="OOJ165" s="21"/>
      <c r="OOK165" s="20"/>
      <c r="OOL165" s="20"/>
      <c r="OOM165" s="20"/>
      <c r="OON165" s="21"/>
      <c r="OOO165" s="21"/>
      <c r="OOP165" s="21"/>
      <c r="OOQ165" s="21"/>
      <c r="OOR165" s="21"/>
      <c r="OOS165" s="20"/>
      <c r="OOT165" s="20"/>
      <c r="OOU165" s="20"/>
      <c r="OOV165" s="20"/>
      <c r="OOW165" s="21"/>
      <c r="OOX165" s="21"/>
      <c r="OOY165" s="7"/>
      <c r="OOZ165" s="7"/>
      <c r="OPA165" s="21"/>
      <c r="OPB165" s="20"/>
      <c r="OPC165" s="20"/>
      <c r="OPD165" s="20"/>
      <c r="OPE165" s="21"/>
      <c r="OPF165" s="21"/>
      <c r="OPG165" s="21"/>
      <c r="OPH165" s="21"/>
      <c r="OPI165" s="21"/>
      <c r="OPJ165" s="20"/>
      <c r="OPK165" s="20"/>
      <c r="OPL165" s="20"/>
      <c r="OPM165" s="20"/>
      <c r="OPN165" s="21"/>
      <c r="OPO165" s="21"/>
      <c r="OPP165" s="7"/>
      <c r="OPQ165" s="7"/>
      <c r="OPR165" s="21"/>
      <c r="OPS165" s="20"/>
      <c r="OPT165" s="20"/>
      <c r="OPU165" s="20"/>
      <c r="OPV165" s="21"/>
      <c r="OPW165" s="21"/>
      <c r="OPX165" s="21"/>
      <c r="OPY165" s="21"/>
      <c r="OPZ165" s="21"/>
      <c r="OQA165" s="20"/>
      <c r="OQB165" s="20"/>
      <c r="OQC165" s="20"/>
      <c r="OQD165" s="20"/>
      <c r="OQE165" s="21"/>
      <c r="OQF165" s="21"/>
      <c r="OQG165" s="7"/>
      <c r="OQH165" s="7"/>
      <c r="OQI165" s="21"/>
      <c r="OQJ165" s="20"/>
      <c r="OQK165" s="20"/>
      <c r="OQL165" s="20"/>
      <c r="OQM165" s="21"/>
      <c r="OQN165" s="21"/>
      <c r="OQO165" s="21"/>
      <c r="OQP165" s="21"/>
      <c r="OQQ165" s="21"/>
      <c r="OQR165" s="20"/>
      <c r="OQS165" s="20"/>
      <c r="OQT165" s="20"/>
      <c r="OQU165" s="20"/>
      <c r="OQV165" s="21"/>
      <c r="OQW165" s="21"/>
      <c r="OQX165" s="7"/>
      <c r="OQY165" s="7"/>
      <c r="OQZ165" s="21"/>
      <c r="ORA165" s="20"/>
      <c r="ORB165" s="20"/>
      <c r="ORC165" s="20"/>
      <c r="ORD165" s="21"/>
      <c r="ORE165" s="21"/>
      <c r="ORF165" s="21"/>
      <c r="ORG165" s="21"/>
      <c r="ORH165" s="21"/>
      <c r="ORI165" s="20"/>
      <c r="ORJ165" s="20"/>
      <c r="ORK165" s="20"/>
      <c r="ORL165" s="20"/>
      <c r="ORM165" s="21"/>
      <c r="ORN165" s="21"/>
      <c r="ORO165" s="7"/>
      <c r="ORP165" s="7"/>
      <c r="ORQ165" s="21"/>
      <c r="ORR165" s="20"/>
      <c r="ORS165" s="20"/>
      <c r="ORT165" s="20"/>
      <c r="ORU165" s="21"/>
      <c r="ORV165" s="21"/>
      <c r="ORW165" s="21"/>
      <c r="ORX165" s="21"/>
      <c r="ORY165" s="21"/>
      <c r="ORZ165" s="20"/>
      <c r="OSA165" s="20"/>
      <c r="OSB165" s="20"/>
      <c r="OSC165" s="20"/>
      <c r="OSD165" s="21"/>
      <c r="OSE165" s="21"/>
      <c r="OSF165" s="7"/>
      <c r="OSG165" s="7"/>
      <c r="OSH165" s="21"/>
      <c r="OSI165" s="20"/>
      <c r="OSJ165" s="20"/>
      <c r="OSK165" s="20"/>
      <c r="OSL165" s="21"/>
      <c r="OSM165" s="21"/>
      <c r="OSN165" s="21"/>
      <c r="OSO165" s="21"/>
      <c r="OSP165" s="21"/>
      <c r="OSQ165" s="20"/>
      <c r="OSR165" s="20"/>
      <c r="OSS165" s="20"/>
      <c r="OST165" s="20"/>
      <c r="OSU165" s="21"/>
      <c r="OSV165" s="21"/>
      <c r="OSW165" s="7"/>
      <c r="OSX165" s="7"/>
      <c r="OSY165" s="21"/>
      <c r="OSZ165" s="20"/>
      <c r="OTA165" s="20"/>
      <c r="OTB165" s="20"/>
      <c r="OTC165" s="21"/>
      <c r="OTD165" s="21"/>
      <c r="OTE165" s="21"/>
      <c r="OTF165" s="21"/>
      <c r="OTG165" s="21"/>
      <c r="OTH165" s="20"/>
      <c r="OTI165" s="20"/>
      <c r="OTJ165" s="20"/>
      <c r="OTK165" s="20"/>
      <c r="OTL165" s="21"/>
      <c r="OTM165" s="21"/>
      <c r="OTN165" s="7"/>
      <c r="OTO165" s="7"/>
      <c r="OTP165" s="21"/>
      <c r="OTQ165" s="20"/>
      <c r="OTR165" s="20"/>
      <c r="OTS165" s="20"/>
      <c r="OTT165" s="21"/>
      <c r="OTU165" s="21"/>
      <c r="OTV165" s="21"/>
      <c r="OTW165" s="21"/>
      <c r="OTX165" s="21"/>
      <c r="OTY165" s="20"/>
      <c r="OTZ165" s="20"/>
      <c r="OUA165" s="20"/>
      <c r="OUB165" s="20"/>
      <c r="OUC165" s="21"/>
      <c r="OUD165" s="21"/>
      <c r="OUE165" s="7"/>
      <c r="OUF165" s="7"/>
      <c r="OUG165" s="21"/>
      <c r="OUH165" s="20"/>
      <c r="OUI165" s="20"/>
      <c r="OUJ165" s="20"/>
      <c r="OUK165" s="21"/>
      <c r="OUL165" s="21"/>
      <c r="OUM165" s="21"/>
      <c r="OUN165" s="21"/>
      <c r="OUO165" s="21"/>
      <c r="OUP165" s="20"/>
      <c r="OUQ165" s="20"/>
      <c r="OUR165" s="20"/>
      <c r="OUS165" s="20"/>
      <c r="OUT165" s="21"/>
      <c r="OUU165" s="21"/>
      <c r="OUV165" s="7"/>
      <c r="OUW165" s="7"/>
      <c r="OUX165" s="21"/>
      <c r="OUY165" s="20"/>
      <c r="OUZ165" s="20"/>
      <c r="OVA165" s="20"/>
      <c r="OVB165" s="21"/>
      <c r="OVC165" s="21"/>
      <c r="OVD165" s="21"/>
      <c r="OVE165" s="21"/>
      <c r="OVF165" s="21"/>
      <c r="OVG165" s="20"/>
      <c r="OVH165" s="20"/>
      <c r="OVI165" s="20"/>
      <c r="OVJ165" s="20"/>
      <c r="OVK165" s="21"/>
      <c r="OVL165" s="21"/>
      <c r="OVM165" s="7"/>
      <c r="OVN165" s="7"/>
      <c r="OVO165" s="21"/>
      <c r="OVP165" s="20"/>
      <c r="OVQ165" s="20"/>
      <c r="OVR165" s="20"/>
      <c r="OVS165" s="21"/>
      <c r="OVT165" s="21"/>
      <c r="OVU165" s="21"/>
      <c r="OVV165" s="21"/>
      <c r="OVW165" s="21"/>
      <c r="OVX165" s="20"/>
      <c r="OVY165" s="20"/>
      <c r="OVZ165" s="20"/>
      <c r="OWA165" s="20"/>
      <c r="OWB165" s="21"/>
      <c r="OWC165" s="21"/>
      <c r="OWD165" s="7"/>
      <c r="OWE165" s="7"/>
      <c r="OWF165" s="21"/>
      <c r="OWG165" s="20"/>
      <c r="OWH165" s="20"/>
      <c r="OWI165" s="20"/>
      <c r="OWJ165" s="21"/>
      <c r="OWK165" s="21"/>
      <c r="OWL165" s="21"/>
      <c r="OWM165" s="21"/>
      <c r="OWN165" s="21"/>
      <c r="OWO165" s="20"/>
      <c r="OWP165" s="20"/>
      <c r="OWQ165" s="20"/>
      <c r="OWR165" s="20"/>
      <c r="OWS165" s="21"/>
      <c r="OWT165" s="21"/>
      <c r="OWU165" s="7"/>
      <c r="OWV165" s="7"/>
      <c r="OWW165" s="21"/>
      <c r="OWX165" s="20"/>
      <c r="OWY165" s="20"/>
      <c r="OWZ165" s="20"/>
      <c r="OXA165" s="21"/>
      <c r="OXB165" s="21"/>
      <c r="OXC165" s="21"/>
      <c r="OXD165" s="21"/>
      <c r="OXE165" s="21"/>
      <c r="OXF165" s="20"/>
      <c r="OXG165" s="20"/>
      <c r="OXH165" s="20"/>
      <c r="OXI165" s="20"/>
      <c r="OXJ165" s="21"/>
      <c r="OXK165" s="21"/>
      <c r="OXL165" s="7"/>
      <c r="OXM165" s="7"/>
      <c r="OXN165" s="21"/>
      <c r="OXO165" s="20"/>
      <c r="OXP165" s="20"/>
      <c r="OXQ165" s="20"/>
      <c r="OXR165" s="21"/>
      <c r="OXS165" s="21"/>
      <c r="OXT165" s="21"/>
      <c r="OXU165" s="21"/>
      <c r="OXV165" s="21"/>
      <c r="OXW165" s="20"/>
      <c r="OXX165" s="20"/>
      <c r="OXY165" s="20"/>
      <c r="OXZ165" s="20"/>
      <c r="OYA165" s="21"/>
      <c r="OYB165" s="21"/>
      <c r="OYC165" s="7"/>
      <c r="OYD165" s="7"/>
      <c r="OYE165" s="21"/>
      <c r="OYF165" s="20"/>
      <c r="OYG165" s="20"/>
      <c r="OYH165" s="20"/>
      <c r="OYI165" s="21"/>
      <c r="OYJ165" s="21"/>
      <c r="OYK165" s="21"/>
      <c r="OYL165" s="21"/>
      <c r="OYM165" s="21"/>
      <c r="OYN165" s="20"/>
      <c r="OYO165" s="20"/>
      <c r="OYP165" s="20"/>
      <c r="OYQ165" s="20"/>
      <c r="OYR165" s="21"/>
      <c r="OYS165" s="21"/>
      <c r="OYT165" s="7"/>
      <c r="OYU165" s="7"/>
      <c r="OYV165" s="21"/>
      <c r="OYW165" s="20"/>
      <c r="OYX165" s="20"/>
      <c r="OYY165" s="20"/>
      <c r="OYZ165" s="21"/>
      <c r="OZA165" s="21"/>
      <c r="OZB165" s="21"/>
      <c r="OZC165" s="21"/>
      <c r="OZD165" s="21"/>
      <c r="OZE165" s="20"/>
      <c r="OZF165" s="20"/>
      <c r="OZG165" s="20"/>
      <c r="OZH165" s="20"/>
      <c r="OZI165" s="21"/>
      <c r="OZJ165" s="21"/>
      <c r="OZK165" s="7"/>
      <c r="OZL165" s="7"/>
      <c r="OZM165" s="21"/>
      <c r="OZN165" s="20"/>
      <c r="OZO165" s="20"/>
      <c r="OZP165" s="20"/>
      <c r="OZQ165" s="21"/>
      <c r="OZR165" s="21"/>
      <c r="OZS165" s="21"/>
      <c r="OZT165" s="21"/>
      <c r="OZU165" s="21"/>
      <c r="OZV165" s="20"/>
      <c r="OZW165" s="20"/>
      <c r="OZX165" s="20"/>
      <c r="OZY165" s="20"/>
      <c r="OZZ165" s="21"/>
      <c r="PAA165" s="21"/>
      <c r="PAB165" s="7"/>
      <c r="PAC165" s="7"/>
      <c r="PAD165" s="21"/>
      <c r="PAE165" s="20"/>
      <c r="PAF165" s="20"/>
      <c r="PAG165" s="20"/>
      <c r="PAH165" s="21"/>
      <c r="PAI165" s="21"/>
      <c r="PAJ165" s="21"/>
      <c r="PAK165" s="21"/>
      <c r="PAL165" s="21"/>
      <c r="PAM165" s="20"/>
      <c r="PAN165" s="20"/>
      <c r="PAO165" s="20"/>
      <c r="PAP165" s="20"/>
      <c r="PAQ165" s="21"/>
      <c r="PAR165" s="21"/>
      <c r="PAS165" s="7"/>
      <c r="PAT165" s="7"/>
      <c r="PAU165" s="21"/>
      <c r="PAV165" s="20"/>
      <c r="PAW165" s="20"/>
      <c r="PAX165" s="20"/>
      <c r="PAY165" s="21"/>
      <c r="PAZ165" s="21"/>
      <c r="PBA165" s="21"/>
      <c r="PBB165" s="21"/>
      <c r="PBC165" s="21"/>
      <c r="PBD165" s="20"/>
      <c r="PBE165" s="20"/>
      <c r="PBF165" s="20"/>
      <c r="PBG165" s="20"/>
      <c r="PBH165" s="21"/>
      <c r="PBI165" s="21"/>
      <c r="PBJ165" s="7"/>
      <c r="PBK165" s="7"/>
      <c r="PBL165" s="21"/>
      <c r="PBM165" s="20"/>
      <c r="PBN165" s="20"/>
      <c r="PBO165" s="20"/>
      <c r="PBP165" s="21"/>
      <c r="PBQ165" s="21"/>
      <c r="PBR165" s="21"/>
      <c r="PBS165" s="21"/>
      <c r="PBT165" s="21"/>
      <c r="PBU165" s="20"/>
      <c r="PBV165" s="20"/>
      <c r="PBW165" s="20"/>
      <c r="PBX165" s="20"/>
      <c r="PBY165" s="21"/>
      <c r="PBZ165" s="21"/>
      <c r="PCA165" s="7"/>
      <c r="PCB165" s="7"/>
      <c r="PCC165" s="21"/>
      <c r="PCD165" s="20"/>
      <c r="PCE165" s="20"/>
      <c r="PCF165" s="20"/>
      <c r="PCG165" s="21"/>
      <c r="PCH165" s="21"/>
      <c r="PCI165" s="21"/>
      <c r="PCJ165" s="21"/>
      <c r="PCK165" s="21"/>
      <c r="PCL165" s="20"/>
      <c r="PCM165" s="20"/>
      <c r="PCN165" s="20"/>
      <c r="PCO165" s="20"/>
      <c r="PCP165" s="21"/>
      <c r="PCQ165" s="21"/>
      <c r="PCR165" s="7"/>
      <c r="PCS165" s="7"/>
      <c r="PCT165" s="21"/>
      <c r="PCU165" s="20"/>
      <c r="PCV165" s="20"/>
      <c r="PCW165" s="20"/>
      <c r="PCX165" s="21"/>
      <c r="PCY165" s="21"/>
      <c r="PCZ165" s="21"/>
      <c r="PDA165" s="21"/>
      <c r="PDB165" s="21"/>
      <c r="PDC165" s="20"/>
      <c r="PDD165" s="20"/>
      <c r="PDE165" s="20"/>
      <c r="PDF165" s="20"/>
      <c r="PDG165" s="21"/>
      <c r="PDH165" s="21"/>
      <c r="PDI165" s="7"/>
      <c r="PDJ165" s="7"/>
      <c r="PDK165" s="21"/>
      <c r="PDL165" s="20"/>
      <c r="PDM165" s="20"/>
      <c r="PDN165" s="20"/>
      <c r="PDO165" s="21"/>
      <c r="PDP165" s="21"/>
      <c r="PDQ165" s="21"/>
      <c r="PDR165" s="21"/>
      <c r="PDS165" s="21"/>
      <c r="PDT165" s="20"/>
      <c r="PDU165" s="20"/>
      <c r="PDV165" s="20"/>
      <c r="PDW165" s="20"/>
      <c r="PDX165" s="21"/>
      <c r="PDY165" s="21"/>
      <c r="PDZ165" s="7"/>
      <c r="PEA165" s="7"/>
      <c r="PEB165" s="21"/>
      <c r="PEC165" s="20"/>
      <c r="PED165" s="20"/>
      <c r="PEE165" s="20"/>
      <c r="PEF165" s="21"/>
      <c r="PEG165" s="21"/>
      <c r="PEH165" s="21"/>
      <c r="PEI165" s="21"/>
      <c r="PEJ165" s="21"/>
      <c r="PEK165" s="20"/>
      <c r="PEL165" s="20"/>
      <c r="PEM165" s="20"/>
      <c r="PEN165" s="20"/>
      <c r="PEO165" s="21"/>
      <c r="PEP165" s="21"/>
      <c r="PEQ165" s="7"/>
      <c r="PER165" s="7"/>
      <c r="PES165" s="21"/>
      <c r="PET165" s="20"/>
      <c r="PEU165" s="20"/>
      <c r="PEV165" s="20"/>
      <c r="PEW165" s="21"/>
      <c r="PEX165" s="21"/>
      <c r="PEY165" s="21"/>
      <c r="PEZ165" s="21"/>
      <c r="PFA165" s="21"/>
      <c r="PFB165" s="20"/>
      <c r="PFC165" s="20"/>
      <c r="PFD165" s="20"/>
      <c r="PFE165" s="20"/>
      <c r="PFF165" s="21"/>
      <c r="PFG165" s="21"/>
      <c r="PFH165" s="7"/>
      <c r="PFI165" s="7"/>
      <c r="PFJ165" s="21"/>
      <c r="PFK165" s="20"/>
      <c r="PFL165" s="20"/>
      <c r="PFM165" s="20"/>
      <c r="PFN165" s="21"/>
      <c r="PFO165" s="21"/>
      <c r="PFP165" s="21"/>
      <c r="PFQ165" s="21"/>
      <c r="PFR165" s="21"/>
      <c r="PFS165" s="20"/>
      <c r="PFT165" s="20"/>
      <c r="PFU165" s="20"/>
      <c r="PFV165" s="20"/>
      <c r="PFW165" s="21"/>
      <c r="PFX165" s="21"/>
      <c r="PFY165" s="7"/>
      <c r="PFZ165" s="7"/>
      <c r="PGA165" s="21"/>
      <c r="PGB165" s="20"/>
      <c r="PGC165" s="20"/>
      <c r="PGD165" s="20"/>
      <c r="PGE165" s="21"/>
      <c r="PGF165" s="21"/>
      <c r="PGG165" s="21"/>
      <c r="PGH165" s="21"/>
      <c r="PGI165" s="21"/>
      <c r="PGJ165" s="20"/>
      <c r="PGK165" s="20"/>
      <c r="PGL165" s="20"/>
      <c r="PGM165" s="20"/>
      <c r="PGN165" s="21"/>
      <c r="PGO165" s="21"/>
      <c r="PGP165" s="7"/>
      <c r="PGQ165" s="7"/>
      <c r="PGR165" s="21"/>
      <c r="PGS165" s="20"/>
      <c r="PGT165" s="20"/>
      <c r="PGU165" s="20"/>
      <c r="PGV165" s="21"/>
      <c r="PGW165" s="21"/>
      <c r="PGX165" s="21"/>
      <c r="PGY165" s="21"/>
      <c r="PGZ165" s="21"/>
      <c r="PHA165" s="20"/>
      <c r="PHB165" s="20"/>
      <c r="PHC165" s="20"/>
      <c r="PHD165" s="20"/>
      <c r="PHE165" s="21"/>
      <c r="PHF165" s="21"/>
      <c r="PHG165" s="7"/>
      <c r="PHH165" s="7"/>
      <c r="PHI165" s="21"/>
      <c r="PHJ165" s="20"/>
      <c r="PHK165" s="20"/>
      <c r="PHL165" s="20"/>
      <c r="PHM165" s="21"/>
      <c r="PHN165" s="21"/>
      <c r="PHO165" s="21"/>
      <c r="PHP165" s="21"/>
      <c r="PHQ165" s="21"/>
      <c r="PHR165" s="20"/>
      <c r="PHS165" s="20"/>
      <c r="PHT165" s="20"/>
      <c r="PHU165" s="20"/>
      <c r="PHV165" s="21"/>
      <c r="PHW165" s="21"/>
      <c r="PHX165" s="7"/>
      <c r="PHY165" s="7"/>
      <c r="PHZ165" s="21"/>
      <c r="PIA165" s="20"/>
      <c r="PIB165" s="20"/>
      <c r="PIC165" s="20"/>
      <c r="PID165" s="21"/>
      <c r="PIE165" s="21"/>
      <c r="PIF165" s="21"/>
      <c r="PIG165" s="21"/>
      <c r="PIH165" s="21"/>
      <c r="PII165" s="20"/>
      <c r="PIJ165" s="20"/>
      <c r="PIK165" s="20"/>
      <c r="PIL165" s="20"/>
      <c r="PIM165" s="21"/>
      <c r="PIN165" s="21"/>
      <c r="PIO165" s="7"/>
      <c r="PIP165" s="7"/>
      <c r="PIQ165" s="21"/>
      <c r="PIR165" s="20"/>
      <c r="PIS165" s="20"/>
      <c r="PIT165" s="20"/>
      <c r="PIU165" s="21"/>
      <c r="PIV165" s="21"/>
      <c r="PIW165" s="21"/>
      <c r="PIX165" s="21"/>
      <c r="PIY165" s="21"/>
      <c r="PIZ165" s="20"/>
      <c r="PJA165" s="20"/>
      <c r="PJB165" s="20"/>
      <c r="PJC165" s="20"/>
      <c r="PJD165" s="21"/>
      <c r="PJE165" s="21"/>
      <c r="PJF165" s="7"/>
      <c r="PJG165" s="7"/>
      <c r="PJH165" s="21"/>
      <c r="PJI165" s="20"/>
      <c r="PJJ165" s="20"/>
      <c r="PJK165" s="20"/>
      <c r="PJL165" s="21"/>
      <c r="PJM165" s="21"/>
      <c r="PJN165" s="21"/>
      <c r="PJO165" s="21"/>
      <c r="PJP165" s="21"/>
      <c r="PJQ165" s="20"/>
      <c r="PJR165" s="20"/>
      <c r="PJS165" s="20"/>
      <c r="PJT165" s="20"/>
      <c r="PJU165" s="21"/>
      <c r="PJV165" s="21"/>
      <c r="PJW165" s="7"/>
      <c r="PJX165" s="7"/>
      <c r="PJY165" s="21"/>
      <c r="PJZ165" s="20"/>
      <c r="PKA165" s="20"/>
      <c r="PKB165" s="20"/>
      <c r="PKC165" s="21"/>
      <c r="PKD165" s="21"/>
      <c r="PKE165" s="21"/>
      <c r="PKF165" s="21"/>
      <c r="PKG165" s="21"/>
      <c r="PKH165" s="20"/>
      <c r="PKI165" s="20"/>
      <c r="PKJ165" s="20"/>
      <c r="PKK165" s="20"/>
      <c r="PKL165" s="21"/>
      <c r="PKM165" s="21"/>
      <c r="PKN165" s="7"/>
      <c r="PKO165" s="7"/>
      <c r="PKP165" s="21"/>
      <c r="PKQ165" s="20"/>
      <c r="PKR165" s="20"/>
      <c r="PKS165" s="20"/>
      <c r="PKT165" s="21"/>
      <c r="PKU165" s="21"/>
      <c r="PKV165" s="21"/>
      <c r="PKW165" s="21"/>
      <c r="PKX165" s="21"/>
      <c r="PKY165" s="20"/>
      <c r="PKZ165" s="20"/>
      <c r="PLA165" s="20"/>
      <c r="PLB165" s="20"/>
      <c r="PLC165" s="21"/>
      <c r="PLD165" s="21"/>
      <c r="PLE165" s="7"/>
      <c r="PLF165" s="7"/>
      <c r="PLG165" s="21"/>
      <c r="PLH165" s="20"/>
      <c r="PLI165" s="20"/>
      <c r="PLJ165" s="20"/>
      <c r="PLK165" s="21"/>
      <c r="PLL165" s="21"/>
      <c r="PLM165" s="21"/>
      <c r="PLN165" s="21"/>
      <c r="PLO165" s="21"/>
      <c r="PLP165" s="20"/>
      <c r="PLQ165" s="20"/>
      <c r="PLR165" s="20"/>
      <c r="PLS165" s="20"/>
      <c r="PLT165" s="21"/>
      <c r="PLU165" s="21"/>
      <c r="PLV165" s="7"/>
      <c r="PLW165" s="7"/>
      <c r="PLX165" s="21"/>
      <c r="PLY165" s="20"/>
      <c r="PLZ165" s="20"/>
      <c r="PMA165" s="20"/>
      <c r="PMB165" s="21"/>
      <c r="PMC165" s="21"/>
      <c r="PMD165" s="21"/>
      <c r="PME165" s="21"/>
      <c r="PMF165" s="21"/>
      <c r="PMG165" s="20"/>
      <c r="PMH165" s="20"/>
      <c r="PMI165" s="20"/>
      <c r="PMJ165" s="20"/>
      <c r="PMK165" s="21"/>
      <c r="PML165" s="21"/>
      <c r="PMM165" s="7"/>
      <c r="PMN165" s="7"/>
      <c r="PMO165" s="21"/>
      <c r="PMP165" s="20"/>
      <c r="PMQ165" s="20"/>
      <c r="PMR165" s="20"/>
      <c r="PMS165" s="21"/>
      <c r="PMT165" s="21"/>
      <c r="PMU165" s="21"/>
      <c r="PMV165" s="21"/>
      <c r="PMW165" s="21"/>
      <c r="PMX165" s="20"/>
      <c r="PMY165" s="20"/>
      <c r="PMZ165" s="20"/>
      <c r="PNA165" s="20"/>
      <c r="PNB165" s="21"/>
      <c r="PNC165" s="21"/>
      <c r="PND165" s="7"/>
      <c r="PNE165" s="7"/>
      <c r="PNF165" s="21"/>
      <c r="PNG165" s="20"/>
      <c r="PNH165" s="20"/>
      <c r="PNI165" s="20"/>
      <c r="PNJ165" s="21"/>
      <c r="PNK165" s="21"/>
      <c r="PNL165" s="21"/>
      <c r="PNM165" s="21"/>
      <c r="PNN165" s="21"/>
      <c r="PNO165" s="20"/>
      <c r="PNP165" s="20"/>
      <c r="PNQ165" s="20"/>
      <c r="PNR165" s="20"/>
      <c r="PNS165" s="21"/>
      <c r="PNT165" s="21"/>
      <c r="PNU165" s="7"/>
      <c r="PNV165" s="7"/>
      <c r="PNW165" s="21"/>
      <c r="PNX165" s="20"/>
      <c r="PNY165" s="20"/>
      <c r="PNZ165" s="20"/>
      <c r="POA165" s="21"/>
      <c r="POB165" s="21"/>
      <c r="POC165" s="21"/>
      <c r="POD165" s="21"/>
      <c r="POE165" s="21"/>
      <c r="POF165" s="20"/>
      <c r="POG165" s="20"/>
      <c r="POH165" s="20"/>
      <c r="POI165" s="20"/>
      <c r="POJ165" s="21"/>
      <c r="POK165" s="21"/>
      <c r="POL165" s="7"/>
      <c r="POM165" s="7"/>
      <c r="PON165" s="21"/>
      <c r="POO165" s="20"/>
      <c r="POP165" s="20"/>
      <c r="POQ165" s="20"/>
      <c r="POR165" s="21"/>
      <c r="POS165" s="21"/>
      <c r="POT165" s="21"/>
      <c r="POU165" s="21"/>
      <c r="POV165" s="21"/>
      <c r="POW165" s="20"/>
      <c r="POX165" s="20"/>
      <c r="POY165" s="20"/>
      <c r="POZ165" s="20"/>
      <c r="PPA165" s="21"/>
      <c r="PPB165" s="21"/>
      <c r="PPC165" s="7"/>
      <c r="PPD165" s="7"/>
      <c r="PPE165" s="21"/>
      <c r="PPF165" s="20"/>
      <c r="PPG165" s="20"/>
      <c r="PPH165" s="20"/>
      <c r="PPI165" s="21"/>
      <c r="PPJ165" s="21"/>
      <c r="PPK165" s="21"/>
      <c r="PPL165" s="21"/>
      <c r="PPM165" s="21"/>
      <c r="PPN165" s="20"/>
      <c r="PPO165" s="20"/>
      <c r="PPP165" s="20"/>
      <c r="PPQ165" s="20"/>
      <c r="PPR165" s="21"/>
      <c r="PPS165" s="21"/>
      <c r="PPT165" s="7"/>
      <c r="PPU165" s="7"/>
      <c r="PPV165" s="21"/>
      <c r="PPW165" s="20"/>
      <c r="PPX165" s="20"/>
      <c r="PPY165" s="20"/>
      <c r="PPZ165" s="21"/>
      <c r="PQA165" s="21"/>
      <c r="PQB165" s="21"/>
      <c r="PQC165" s="21"/>
      <c r="PQD165" s="21"/>
      <c r="PQE165" s="20"/>
      <c r="PQF165" s="20"/>
      <c r="PQG165" s="20"/>
      <c r="PQH165" s="20"/>
      <c r="PQI165" s="21"/>
      <c r="PQJ165" s="21"/>
      <c r="PQK165" s="7"/>
      <c r="PQL165" s="7"/>
      <c r="PQM165" s="21"/>
      <c r="PQN165" s="20"/>
      <c r="PQO165" s="20"/>
      <c r="PQP165" s="20"/>
      <c r="PQQ165" s="21"/>
      <c r="PQR165" s="21"/>
      <c r="PQS165" s="21"/>
      <c r="PQT165" s="21"/>
      <c r="PQU165" s="21"/>
      <c r="PQV165" s="20"/>
      <c r="PQW165" s="20"/>
      <c r="PQX165" s="20"/>
      <c r="PQY165" s="20"/>
      <c r="PQZ165" s="21"/>
      <c r="PRA165" s="21"/>
      <c r="PRB165" s="7"/>
      <c r="PRC165" s="7"/>
      <c r="PRD165" s="21"/>
      <c r="PRE165" s="20"/>
      <c r="PRF165" s="20"/>
      <c r="PRG165" s="20"/>
      <c r="PRH165" s="21"/>
      <c r="PRI165" s="21"/>
      <c r="PRJ165" s="21"/>
      <c r="PRK165" s="21"/>
      <c r="PRL165" s="21"/>
      <c r="PRM165" s="20"/>
      <c r="PRN165" s="20"/>
      <c r="PRO165" s="20"/>
      <c r="PRP165" s="20"/>
      <c r="PRQ165" s="21"/>
      <c r="PRR165" s="21"/>
      <c r="PRS165" s="7"/>
      <c r="PRT165" s="7"/>
      <c r="PRU165" s="21"/>
      <c r="PRV165" s="20"/>
      <c r="PRW165" s="20"/>
      <c r="PRX165" s="20"/>
      <c r="PRY165" s="21"/>
      <c r="PRZ165" s="21"/>
      <c r="PSA165" s="21"/>
      <c r="PSB165" s="21"/>
      <c r="PSC165" s="21"/>
      <c r="PSD165" s="20"/>
      <c r="PSE165" s="20"/>
      <c r="PSF165" s="20"/>
      <c r="PSG165" s="20"/>
      <c r="PSH165" s="21"/>
      <c r="PSI165" s="21"/>
      <c r="PSJ165" s="7"/>
      <c r="PSK165" s="7"/>
      <c r="PSL165" s="21"/>
      <c r="PSM165" s="20"/>
      <c r="PSN165" s="20"/>
      <c r="PSO165" s="20"/>
      <c r="PSP165" s="21"/>
      <c r="PSQ165" s="21"/>
      <c r="PSR165" s="21"/>
      <c r="PSS165" s="21"/>
      <c r="PST165" s="21"/>
      <c r="PSU165" s="20"/>
      <c r="PSV165" s="20"/>
      <c r="PSW165" s="20"/>
      <c r="PSX165" s="20"/>
      <c r="PSY165" s="21"/>
      <c r="PSZ165" s="21"/>
      <c r="PTA165" s="7"/>
      <c r="PTB165" s="7"/>
      <c r="PTC165" s="21"/>
      <c r="PTD165" s="20"/>
      <c r="PTE165" s="20"/>
      <c r="PTF165" s="20"/>
      <c r="PTG165" s="21"/>
      <c r="PTH165" s="21"/>
      <c r="PTI165" s="21"/>
      <c r="PTJ165" s="21"/>
      <c r="PTK165" s="21"/>
      <c r="PTL165" s="20"/>
      <c r="PTM165" s="20"/>
      <c r="PTN165" s="20"/>
      <c r="PTO165" s="20"/>
      <c r="PTP165" s="21"/>
      <c r="PTQ165" s="21"/>
      <c r="PTR165" s="7"/>
      <c r="PTS165" s="7"/>
      <c r="PTT165" s="21"/>
      <c r="PTU165" s="20"/>
      <c r="PTV165" s="20"/>
      <c r="PTW165" s="20"/>
      <c r="PTX165" s="21"/>
      <c r="PTY165" s="21"/>
      <c r="PTZ165" s="21"/>
      <c r="PUA165" s="21"/>
      <c r="PUB165" s="21"/>
      <c r="PUC165" s="20"/>
      <c r="PUD165" s="20"/>
      <c r="PUE165" s="20"/>
      <c r="PUF165" s="20"/>
      <c r="PUG165" s="21"/>
      <c r="PUH165" s="21"/>
      <c r="PUI165" s="7"/>
      <c r="PUJ165" s="7"/>
      <c r="PUK165" s="21"/>
      <c r="PUL165" s="20"/>
      <c r="PUM165" s="20"/>
      <c r="PUN165" s="20"/>
      <c r="PUO165" s="21"/>
      <c r="PUP165" s="21"/>
      <c r="PUQ165" s="21"/>
      <c r="PUR165" s="21"/>
      <c r="PUS165" s="21"/>
      <c r="PUT165" s="20"/>
      <c r="PUU165" s="20"/>
      <c r="PUV165" s="20"/>
      <c r="PUW165" s="20"/>
      <c r="PUX165" s="21"/>
      <c r="PUY165" s="21"/>
      <c r="PUZ165" s="7"/>
      <c r="PVA165" s="7"/>
      <c r="PVB165" s="21"/>
      <c r="PVC165" s="20"/>
      <c r="PVD165" s="20"/>
      <c r="PVE165" s="20"/>
      <c r="PVF165" s="21"/>
      <c r="PVG165" s="21"/>
      <c r="PVH165" s="21"/>
      <c r="PVI165" s="21"/>
      <c r="PVJ165" s="21"/>
      <c r="PVK165" s="20"/>
      <c r="PVL165" s="20"/>
      <c r="PVM165" s="20"/>
      <c r="PVN165" s="20"/>
      <c r="PVO165" s="21"/>
      <c r="PVP165" s="21"/>
      <c r="PVQ165" s="7"/>
      <c r="PVR165" s="7"/>
      <c r="PVS165" s="21"/>
      <c r="PVT165" s="20"/>
      <c r="PVU165" s="20"/>
      <c r="PVV165" s="20"/>
      <c r="PVW165" s="21"/>
      <c r="PVX165" s="21"/>
      <c r="PVY165" s="21"/>
      <c r="PVZ165" s="21"/>
      <c r="PWA165" s="21"/>
      <c r="PWB165" s="20"/>
      <c r="PWC165" s="20"/>
      <c r="PWD165" s="20"/>
      <c r="PWE165" s="20"/>
      <c r="PWF165" s="21"/>
      <c r="PWG165" s="21"/>
      <c r="PWH165" s="7"/>
      <c r="PWI165" s="7"/>
      <c r="PWJ165" s="21"/>
      <c r="PWK165" s="20"/>
      <c r="PWL165" s="20"/>
      <c r="PWM165" s="20"/>
      <c r="PWN165" s="21"/>
      <c r="PWO165" s="21"/>
      <c r="PWP165" s="21"/>
      <c r="PWQ165" s="21"/>
      <c r="PWR165" s="21"/>
      <c r="PWS165" s="20"/>
      <c r="PWT165" s="20"/>
      <c r="PWU165" s="20"/>
      <c r="PWV165" s="20"/>
      <c r="PWW165" s="21"/>
      <c r="PWX165" s="21"/>
      <c r="PWY165" s="7"/>
      <c r="PWZ165" s="7"/>
      <c r="PXA165" s="21"/>
      <c r="PXB165" s="20"/>
      <c r="PXC165" s="20"/>
      <c r="PXD165" s="20"/>
      <c r="PXE165" s="21"/>
      <c r="PXF165" s="21"/>
      <c r="PXG165" s="21"/>
      <c r="PXH165" s="21"/>
      <c r="PXI165" s="21"/>
      <c r="PXJ165" s="20"/>
      <c r="PXK165" s="20"/>
      <c r="PXL165" s="20"/>
      <c r="PXM165" s="20"/>
      <c r="PXN165" s="21"/>
      <c r="PXO165" s="21"/>
      <c r="PXP165" s="7"/>
      <c r="PXQ165" s="7"/>
      <c r="PXR165" s="21"/>
      <c r="PXS165" s="20"/>
      <c r="PXT165" s="20"/>
      <c r="PXU165" s="20"/>
      <c r="PXV165" s="21"/>
      <c r="PXW165" s="21"/>
      <c r="PXX165" s="21"/>
      <c r="PXY165" s="21"/>
      <c r="PXZ165" s="21"/>
      <c r="PYA165" s="20"/>
      <c r="PYB165" s="20"/>
      <c r="PYC165" s="20"/>
      <c r="PYD165" s="20"/>
      <c r="PYE165" s="21"/>
      <c r="PYF165" s="21"/>
      <c r="PYG165" s="7"/>
      <c r="PYH165" s="7"/>
      <c r="PYI165" s="21"/>
      <c r="PYJ165" s="20"/>
      <c r="PYK165" s="20"/>
      <c r="PYL165" s="20"/>
      <c r="PYM165" s="21"/>
      <c r="PYN165" s="21"/>
      <c r="PYO165" s="21"/>
      <c r="PYP165" s="21"/>
      <c r="PYQ165" s="21"/>
      <c r="PYR165" s="20"/>
      <c r="PYS165" s="20"/>
      <c r="PYT165" s="20"/>
      <c r="PYU165" s="20"/>
      <c r="PYV165" s="21"/>
      <c r="PYW165" s="21"/>
      <c r="PYX165" s="7"/>
      <c r="PYY165" s="7"/>
      <c r="PYZ165" s="21"/>
      <c r="PZA165" s="20"/>
      <c r="PZB165" s="20"/>
      <c r="PZC165" s="20"/>
      <c r="PZD165" s="21"/>
      <c r="PZE165" s="21"/>
      <c r="PZF165" s="21"/>
      <c r="PZG165" s="21"/>
      <c r="PZH165" s="21"/>
      <c r="PZI165" s="20"/>
      <c r="PZJ165" s="20"/>
      <c r="PZK165" s="20"/>
      <c r="PZL165" s="20"/>
      <c r="PZM165" s="21"/>
      <c r="PZN165" s="21"/>
      <c r="PZO165" s="7"/>
      <c r="PZP165" s="7"/>
      <c r="PZQ165" s="21"/>
      <c r="PZR165" s="20"/>
      <c r="PZS165" s="20"/>
      <c r="PZT165" s="20"/>
      <c r="PZU165" s="21"/>
      <c r="PZV165" s="21"/>
      <c r="PZW165" s="21"/>
      <c r="PZX165" s="21"/>
      <c r="PZY165" s="21"/>
      <c r="PZZ165" s="20"/>
      <c r="QAA165" s="20"/>
      <c r="QAB165" s="20"/>
      <c r="QAC165" s="20"/>
      <c r="QAD165" s="21"/>
      <c r="QAE165" s="21"/>
      <c r="QAF165" s="7"/>
      <c r="QAG165" s="7"/>
      <c r="QAH165" s="21"/>
      <c r="QAI165" s="20"/>
      <c r="QAJ165" s="20"/>
      <c r="QAK165" s="20"/>
      <c r="QAL165" s="21"/>
      <c r="QAM165" s="21"/>
      <c r="QAN165" s="21"/>
      <c r="QAO165" s="21"/>
      <c r="QAP165" s="21"/>
      <c r="QAQ165" s="20"/>
      <c r="QAR165" s="20"/>
      <c r="QAS165" s="20"/>
      <c r="QAT165" s="20"/>
      <c r="QAU165" s="21"/>
      <c r="QAV165" s="21"/>
      <c r="QAW165" s="7"/>
      <c r="QAX165" s="7"/>
      <c r="QAY165" s="21"/>
      <c r="QAZ165" s="20"/>
      <c r="QBA165" s="20"/>
      <c r="QBB165" s="20"/>
      <c r="QBC165" s="21"/>
      <c r="QBD165" s="21"/>
      <c r="QBE165" s="21"/>
      <c r="QBF165" s="21"/>
      <c r="QBG165" s="21"/>
      <c r="QBH165" s="20"/>
      <c r="QBI165" s="20"/>
      <c r="QBJ165" s="20"/>
      <c r="QBK165" s="20"/>
      <c r="QBL165" s="21"/>
      <c r="QBM165" s="21"/>
      <c r="QBN165" s="7"/>
      <c r="QBO165" s="7"/>
      <c r="QBP165" s="21"/>
      <c r="QBQ165" s="20"/>
      <c r="QBR165" s="20"/>
      <c r="QBS165" s="20"/>
      <c r="QBT165" s="21"/>
      <c r="QBU165" s="21"/>
      <c r="QBV165" s="21"/>
      <c r="QBW165" s="21"/>
      <c r="QBX165" s="21"/>
      <c r="QBY165" s="20"/>
      <c r="QBZ165" s="20"/>
      <c r="QCA165" s="20"/>
      <c r="QCB165" s="20"/>
      <c r="QCC165" s="21"/>
      <c r="QCD165" s="21"/>
      <c r="QCE165" s="7"/>
      <c r="QCF165" s="7"/>
      <c r="QCG165" s="21"/>
      <c r="QCH165" s="20"/>
      <c r="QCI165" s="20"/>
      <c r="QCJ165" s="20"/>
      <c r="QCK165" s="21"/>
      <c r="QCL165" s="21"/>
      <c r="QCM165" s="21"/>
      <c r="QCN165" s="21"/>
      <c r="QCO165" s="21"/>
      <c r="QCP165" s="20"/>
      <c r="QCQ165" s="20"/>
      <c r="QCR165" s="20"/>
      <c r="QCS165" s="20"/>
      <c r="QCT165" s="21"/>
      <c r="QCU165" s="21"/>
      <c r="QCV165" s="7"/>
      <c r="QCW165" s="7"/>
      <c r="QCX165" s="21"/>
      <c r="QCY165" s="20"/>
      <c r="QCZ165" s="20"/>
      <c r="QDA165" s="20"/>
      <c r="QDB165" s="21"/>
      <c r="QDC165" s="21"/>
      <c r="QDD165" s="21"/>
      <c r="QDE165" s="21"/>
      <c r="QDF165" s="21"/>
      <c r="QDG165" s="20"/>
      <c r="QDH165" s="20"/>
      <c r="QDI165" s="20"/>
      <c r="QDJ165" s="20"/>
      <c r="QDK165" s="21"/>
      <c r="QDL165" s="21"/>
      <c r="QDM165" s="7"/>
      <c r="QDN165" s="7"/>
      <c r="QDO165" s="21"/>
      <c r="QDP165" s="20"/>
      <c r="QDQ165" s="20"/>
      <c r="QDR165" s="20"/>
      <c r="QDS165" s="21"/>
      <c r="QDT165" s="21"/>
      <c r="QDU165" s="21"/>
      <c r="QDV165" s="21"/>
      <c r="QDW165" s="21"/>
      <c r="QDX165" s="20"/>
      <c r="QDY165" s="20"/>
      <c r="QDZ165" s="20"/>
      <c r="QEA165" s="20"/>
      <c r="QEB165" s="21"/>
      <c r="QEC165" s="21"/>
      <c r="QED165" s="7"/>
      <c r="QEE165" s="7"/>
      <c r="QEF165" s="21"/>
      <c r="QEG165" s="20"/>
      <c r="QEH165" s="20"/>
      <c r="QEI165" s="20"/>
      <c r="QEJ165" s="21"/>
      <c r="QEK165" s="21"/>
      <c r="QEL165" s="21"/>
      <c r="QEM165" s="21"/>
      <c r="QEN165" s="21"/>
      <c r="QEO165" s="20"/>
      <c r="QEP165" s="20"/>
      <c r="QEQ165" s="20"/>
      <c r="QER165" s="20"/>
      <c r="QES165" s="21"/>
      <c r="QET165" s="21"/>
      <c r="QEU165" s="7"/>
      <c r="QEV165" s="7"/>
      <c r="QEW165" s="21"/>
      <c r="QEX165" s="20"/>
      <c r="QEY165" s="20"/>
      <c r="QEZ165" s="20"/>
      <c r="QFA165" s="21"/>
      <c r="QFB165" s="21"/>
      <c r="QFC165" s="21"/>
      <c r="QFD165" s="21"/>
      <c r="QFE165" s="21"/>
      <c r="QFF165" s="20"/>
      <c r="QFG165" s="20"/>
      <c r="QFH165" s="20"/>
      <c r="QFI165" s="20"/>
      <c r="QFJ165" s="21"/>
      <c r="QFK165" s="21"/>
      <c r="QFL165" s="7"/>
      <c r="QFM165" s="7"/>
      <c r="QFN165" s="21"/>
      <c r="QFO165" s="20"/>
      <c r="QFP165" s="20"/>
      <c r="QFQ165" s="20"/>
      <c r="QFR165" s="21"/>
      <c r="QFS165" s="21"/>
      <c r="QFT165" s="21"/>
      <c r="QFU165" s="21"/>
      <c r="QFV165" s="21"/>
      <c r="QFW165" s="20"/>
      <c r="QFX165" s="20"/>
      <c r="QFY165" s="20"/>
      <c r="QFZ165" s="20"/>
      <c r="QGA165" s="21"/>
      <c r="QGB165" s="21"/>
      <c r="QGC165" s="7"/>
      <c r="QGD165" s="7"/>
      <c r="QGE165" s="21"/>
      <c r="QGF165" s="20"/>
      <c r="QGG165" s="20"/>
      <c r="QGH165" s="20"/>
      <c r="QGI165" s="21"/>
      <c r="QGJ165" s="21"/>
      <c r="QGK165" s="21"/>
      <c r="QGL165" s="21"/>
      <c r="QGM165" s="21"/>
      <c r="QGN165" s="20"/>
      <c r="QGO165" s="20"/>
      <c r="QGP165" s="20"/>
      <c r="QGQ165" s="20"/>
      <c r="QGR165" s="21"/>
      <c r="QGS165" s="21"/>
      <c r="QGT165" s="7"/>
      <c r="QGU165" s="7"/>
      <c r="QGV165" s="21"/>
      <c r="QGW165" s="20"/>
      <c r="QGX165" s="20"/>
      <c r="QGY165" s="20"/>
      <c r="QGZ165" s="21"/>
      <c r="QHA165" s="21"/>
      <c r="QHB165" s="21"/>
      <c r="QHC165" s="21"/>
      <c r="QHD165" s="21"/>
      <c r="QHE165" s="20"/>
      <c r="QHF165" s="20"/>
      <c r="QHG165" s="20"/>
      <c r="QHH165" s="20"/>
      <c r="QHI165" s="21"/>
      <c r="QHJ165" s="21"/>
      <c r="QHK165" s="7"/>
      <c r="QHL165" s="7"/>
      <c r="QHM165" s="21"/>
      <c r="QHN165" s="20"/>
      <c r="QHO165" s="20"/>
      <c r="QHP165" s="20"/>
      <c r="QHQ165" s="21"/>
      <c r="QHR165" s="21"/>
      <c r="QHS165" s="21"/>
      <c r="QHT165" s="21"/>
      <c r="QHU165" s="21"/>
      <c r="QHV165" s="20"/>
      <c r="QHW165" s="20"/>
      <c r="QHX165" s="20"/>
      <c r="QHY165" s="20"/>
      <c r="QHZ165" s="21"/>
      <c r="QIA165" s="21"/>
      <c r="QIB165" s="7"/>
      <c r="QIC165" s="7"/>
      <c r="QID165" s="21"/>
      <c r="QIE165" s="20"/>
      <c r="QIF165" s="20"/>
      <c r="QIG165" s="20"/>
      <c r="QIH165" s="21"/>
      <c r="QII165" s="21"/>
      <c r="QIJ165" s="21"/>
      <c r="QIK165" s="21"/>
      <c r="QIL165" s="21"/>
      <c r="QIM165" s="20"/>
      <c r="QIN165" s="20"/>
      <c r="QIO165" s="20"/>
      <c r="QIP165" s="20"/>
      <c r="QIQ165" s="21"/>
      <c r="QIR165" s="21"/>
      <c r="QIS165" s="7"/>
      <c r="QIT165" s="7"/>
      <c r="QIU165" s="21"/>
      <c r="QIV165" s="20"/>
      <c r="QIW165" s="20"/>
      <c r="QIX165" s="20"/>
      <c r="QIY165" s="21"/>
      <c r="QIZ165" s="21"/>
      <c r="QJA165" s="21"/>
      <c r="QJB165" s="21"/>
      <c r="QJC165" s="21"/>
      <c r="QJD165" s="20"/>
      <c r="QJE165" s="20"/>
      <c r="QJF165" s="20"/>
      <c r="QJG165" s="20"/>
      <c r="QJH165" s="21"/>
      <c r="QJI165" s="21"/>
      <c r="QJJ165" s="7"/>
      <c r="QJK165" s="7"/>
      <c r="QJL165" s="21"/>
      <c r="QJM165" s="20"/>
      <c r="QJN165" s="20"/>
      <c r="QJO165" s="20"/>
      <c r="QJP165" s="21"/>
      <c r="QJQ165" s="21"/>
      <c r="QJR165" s="21"/>
      <c r="QJS165" s="21"/>
      <c r="QJT165" s="21"/>
      <c r="QJU165" s="20"/>
      <c r="QJV165" s="20"/>
      <c r="QJW165" s="20"/>
      <c r="QJX165" s="20"/>
      <c r="QJY165" s="21"/>
      <c r="QJZ165" s="21"/>
      <c r="QKA165" s="7"/>
      <c r="QKB165" s="7"/>
      <c r="QKC165" s="21"/>
      <c r="QKD165" s="20"/>
      <c r="QKE165" s="20"/>
      <c r="QKF165" s="20"/>
      <c r="QKG165" s="21"/>
      <c r="QKH165" s="21"/>
      <c r="QKI165" s="21"/>
      <c r="QKJ165" s="21"/>
      <c r="QKK165" s="21"/>
      <c r="QKL165" s="20"/>
      <c r="QKM165" s="20"/>
      <c r="QKN165" s="20"/>
      <c r="QKO165" s="20"/>
      <c r="QKP165" s="21"/>
      <c r="QKQ165" s="21"/>
      <c r="QKR165" s="7"/>
      <c r="QKS165" s="7"/>
      <c r="QKT165" s="21"/>
      <c r="QKU165" s="20"/>
      <c r="QKV165" s="20"/>
      <c r="QKW165" s="20"/>
      <c r="QKX165" s="21"/>
      <c r="QKY165" s="21"/>
      <c r="QKZ165" s="21"/>
      <c r="QLA165" s="21"/>
      <c r="QLB165" s="21"/>
      <c r="QLC165" s="20"/>
      <c r="QLD165" s="20"/>
      <c r="QLE165" s="20"/>
      <c r="QLF165" s="20"/>
      <c r="QLG165" s="21"/>
      <c r="QLH165" s="21"/>
      <c r="QLI165" s="7"/>
      <c r="QLJ165" s="7"/>
      <c r="QLK165" s="21"/>
      <c r="QLL165" s="20"/>
      <c r="QLM165" s="20"/>
      <c r="QLN165" s="20"/>
      <c r="QLO165" s="21"/>
      <c r="QLP165" s="21"/>
      <c r="QLQ165" s="21"/>
      <c r="QLR165" s="21"/>
      <c r="QLS165" s="21"/>
      <c r="QLT165" s="20"/>
      <c r="QLU165" s="20"/>
      <c r="QLV165" s="20"/>
      <c r="QLW165" s="20"/>
      <c r="QLX165" s="21"/>
      <c r="QLY165" s="21"/>
      <c r="QLZ165" s="7"/>
      <c r="QMA165" s="7"/>
      <c r="QMB165" s="21"/>
      <c r="QMC165" s="20"/>
      <c r="QMD165" s="20"/>
      <c r="QME165" s="20"/>
      <c r="QMF165" s="21"/>
      <c r="QMG165" s="21"/>
      <c r="QMH165" s="21"/>
      <c r="QMI165" s="21"/>
      <c r="QMJ165" s="21"/>
      <c r="QMK165" s="20"/>
      <c r="QML165" s="20"/>
      <c r="QMM165" s="20"/>
      <c r="QMN165" s="20"/>
      <c r="QMO165" s="21"/>
      <c r="QMP165" s="21"/>
      <c r="QMQ165" s="7"/>
      <c r="QMR165" s="7"/>
      <c r="QMS165" s="21"/>
      <c r="QMT165" s="20"/>
      <c r="QMU165" s="20"/>
      <c r="QMV165" s="20"/>
      <c r="QMW165" s="21"/>
      <c r="QMX165" s="21"/>
      <c r="QMY165" s="21"/>
      <c r="QMZ165" s="21"/>
      <c r="QNA165" s="21"/>
      <c r="QNB165" s="20"/>
      <c r="QNC165" s="20"/>
      <c r="QND165" s="20"/>
      <c r="QNE165" s="20"/>
      <c r="QNF165" s="21"/>
      <c r="QNG165" s="21"/>
      <c r="QNH165" s="7"/>
      <c r="QNI165" s="7"/>
      <c r="QNJ165" s="21"/>
      <c r="QNK165" s="20"/>
      <c r="QNL165" s="20"/>
      <c r="QNM165" s="20"/>
      <c r="QNN165" s="21"/>
      <c r="QNO165" s="21"/>
      <c r="QNP165" s="21"/>
      <c r="QNQ165" s="21"/>
      <c r="QNR165" s="21"/>
      <c r="QNS165" s="20"/>
      <c r="QNT165" s="20"/>
      <c r="QNU165" s="20"/>
      <c r="QNV165" s="20"/>
      <c r="QNW165" s="21"/>
      <c r="QNX165" s="21"/>
      <c r="QNY165" s="7"/>
      <c r="QNZ165" s="7"/>
      <c r="QOA165" s="21"/>
      <c r="QOB165" s="20"/>
      <c r="QOC165" s="20"/>
      <c r="QOD165" s="20"/>
      <c r="QOE165" s="21"/>
      <c r="QOF165" s="21"/>
      <c r="QOG165" s="21"/>
      <c r="QOH165" s="21"/>
      <c r="QOI165" s="21"/>
      <c r="QOJ165" s="20"/>
      <c r="QOK165" s="20"/>
      <c r="QOL165" s="20"/>
      <c r="QOM165" s="20"/>
      <c r="QON165" s="21"/>
      <c r="QOO165" s="21"/>
      <c r="QOP165" s="7"/>
      <c r="QOQ165" s="7"/>
      <c r="QOR165" s="21"/>
      <c r="QOS165" s="20"/>
      <c r="QOT165" s="20"/>
      <c r="QOU165" s="20"/>
      <c r="QOV165" s="21"/>
      <c r="QOW165" s="21"/>
      <c r="QOX165" s="21"/>
      <c r="QOY165" s="21"/>
      <c r="QOZ165" s="21"/>
      <c r="QPA165" s="20"/>
      <c r="QPB165" s="20"/>
      <c r="QPC165" s="20"/>
      <c r="QPD165" s="20"/>
      <c r="QPE165" s="21"/>
      <c r="QPF165" s="21"/>
      <c r="QPG165" s="7"/>
      <c r="QPH165" s="7"/>
      <c r="QPI165" s="21"/>
      <c r="QPJ165" s="20"/>
      <c r="QPK165" s="20"/>
      <c r="QPL165" s="20"/>
      <c r="QPM165" s="21"/>
      <c r="QPN165" s="21"/>
      <c r="QPO165" s="21"/>
      <c r="QPP165" s="21"/>
      <c r="QPQ165" s="21"/>
      <c r="QPR165" s="20"/>
      <c r="QPS165" s="20"/>
      <c r="QPT165" s="20"/>
      <c r="QPU165" s="20"/>
      <c r="QPV165" s="21"/>
      <c r="QPW165" s="21"/>
      <c r="QPX165" s="7"/>
      <c r="QPY165" s="7"/>
      <c r="QPZ165" s="21"/>
      <c r="QQA165" s="20"/>
      <c r="QQB165" s="20"/>
      <c r="QQC165" s="20"/>
      <c r="QQD165" s="21"/>
      <c r="QQE165" s="21"/>
      <c r="QQF165" s="21"/>
      <c r="QQG165" s="21"/>
      <c r="QQH165" s="21"/>
      <c r="QQI165" s="20"/>
      <c r="QQJ165" s="20"/>
      <c r="QQK165" s="20"/>
      <c r="QQL165" s="20"/>
      <c r="QQM165" s="21"/>
      <c r="QQN165" s="21"/>
      <c r="QQO165" s="7"/>
      <c r="QQP165" s="7"/>
      <c r="QQQ165" s="21"/>
      <c r="QQR165" s="20"/>
      <c r="QQS165" s="20"/>
      <c r="QQT165" s="20"/>
      <c r="QQU165" s="21"/>
      <c r="QQV165" s="21"/>
      <c r="QQW165" s="21"/>
      <c r="QQX165" s="21"/>
      <c r="QQY165" s="21"/>
      <c r="QQZ165" s="20"/>
      <c r="QRA165" s="20"/>
      <c r="QRB165" s="20"/>
      <c r="QRC165" s="20"/>
      <c r="QRD165" s="21"/>
      <c r="QRE165" s="21"/>
      <c r="QRF165" s="7"/>
      <c r="QRG165" s="7"/>
      <c r="QRH165" s="21"/>
      <c r="QRI165" s="20"/>
      <c r="QRJ165" s="20"/>
      <c r="QRK165" s="20"/>
      <c r="QRL165" s="21"/>
      <c r="QRM165" s="21"/>
      <c r="QRN165" s="21"/>
      <c r="QRO165" s="21"/>
      <c r="QRP165" s="21"/>
      <c r="QRQ165" s="20"/>
      <c r="QRR165" s="20"/>
      <c r="QRS165" s="20"/>
      <c r="QRT165" s="20"/>
      <c r="QRU165" s="21"/>
      <c r="QRV165" s="21"/>
      <c r="QRW165" s="7"/>
      <c r="QRX165" s="7"/>
      <c r="QRY165" s="21"/>
      <c r="QRZ165" s="20"/>
      <c r="QSA165" s="20"/>
      <c r="QSB165" s="20"/>
      <c r="QSC165" s="21"/>
      <c r="QSD165" s="21"/>
      <c r="QSE165" s="21"/>
      <c r="QSF165" s="21"/>
      <c r="QSG165" s="21"/>
      <c r="QSH165" s="20"/>
      <c r="QSI165" s="20"/>
      <c r="QSJ165" s="20"/>
      <c r="QSK165" s="20"/>
      <c r="QSL165" s="21"/>
      <c r="QSM165" s="21"/>
      <c r="QSN165" s="7"/>
      <c r="QSO165" s="7"/>
      <c r="QSP165" s="21"/>
      <c r="QSQ165" s="20"/>
      <c r="QSR165" s="20"/>
      <c r="QSS165" s="20"/>
      <c r="QST165" s="21"/>
      <c r="QSU165" s="21"/>
      <c r="QSV165" s="21"/>
      <c r="QSW165" s="21"/>
      <c r="QSX165" s="21"/>
      <c r="QSY165" s="20"/>
      <c r="QSZ165" s="20"/>
      <c r="QTA165" s="20"/>
      <c r="QTB165" s="20"/>
      <c r="QTC165" s="21"/>
      <c r="QTD165" s="21"/>
      <c r="QTE165" s="7"/>
      <c r="QTF165" s="7"/>
      <c r="QTG165" s="21"/>
      <c r="QTH165" s="20"/>
      <c r="QTI165" s="20"/>
      <c r="QTJ165" s="20"/>
      <c r="QTK165" s="21"/>
      <c r="QTL165" s="21"/>
      <c r="QTM165" s="21"/>
      <c r="QTN165" s="21"/>
      <c r="QTO165" s="21"/>
      <c r="QTP165" s="20"/>
      <c r="QTQ165" s="20"/>
      <c r="QTR165" s="20"/>
      <c r="QTS165" s="20"/>
      <c r="QTT165" s="21"/>
      <c r="QTU165" s="21"/>
      <c r="QTV165" s="7"/>
      <c r="QTW165" s="7"/>
      <c r="QTX165" s="21"/>
      <c r="QTY165" s="20"/>
      <c r="QTZ165" s="20"/>
      <c r="QUA165" s="20"/>
      <c r="QUB165" s="21"/>
      <c r="QUC165" s="21"/>
      <c r="QUD165" s="21"/>
      <c r="QUE165" s="21"/>
      <c r="QUF165" s="21"/>
      <c r="QUG165" s="20"/>
      <c r="QUH165" s="20"/>
      <c r="QUI165" s="20"/>
      <c r="QUJ165" s="20"/>
      <c r="QUK165" s="21"/>
      <c r="QUL165" s="21"/>
      <c r="QUM165" s="7"/>
      <c r="QUN165" s="7"/>
      <c r="QUO165" s="21"/>
      <c r="QUP165" s="20"/>
      <c r="QUQ165" s="20"/>
      <c r="QUR165" s="20"/>
      <c r="QUS165" s="21"/>
      <c r="QUT165" s="21"/>
      <c r="QUU165" s="21"/>
      <c r="QUV165" s="21"/>
      <c r="QUW165" s="21"/>
      <c r="QUX165" s="20"/>
      <c r="QUY165" s="20"/>
      <c r="QUZ165" s="20"/>
      <c r="QVA165" s="20"/>
      <c r="QVB165" s="21"/>
      <c r="QVC165" s="21"/>
      <c r="QVD165" s="7"/>
      <c r="QVE165" s="7"/>
      <c r="QVF165" s="21"/>
      <c r="QVG165" s="20"/>
      <c r="QVH165" s="20"/>
      <c r="QVI165" s="20"/>
      <c r="QVJ165" s="21"/>
      <c r="QVK165" s="21"/>
      <c r="QVL165" s="21"/>
      <c r="QVM165" s="21"/>
      <c r="QVN165" s="21"/>
      <c r="QVO165" s="20"/>
      <c r="QVP165" s="20"/>
      <c r="QVQ165" s="20"/>
      <c r="QVR165" s="20"/>
      <c r="QVS165" s="21"/>
      <c r="QVT165" s="21"/>
      <c r="QVU165" s="7"/>
      <c r="QVV165" s="7"/>
      <c r="QVW165" s="21"/>
      <c r="QVX165" s="20"/>
      <c r="QVY165" s="20"/>
      <c r="QVZ165" s="20"/>
      <c r="QWA165" s="21"/>
      <c r="QWB165" s="21"/>
      <c r="QWC165" s="21"/>
      <c r="QWD165" s="21"/>
      <c r="QWE165" s="21"/>
      <c r="QWF165" s="20"/>
      <c r="QWG165" s="20"/>
      <c r="QWH165" s="20"/>
      <c r="QWI165" s="20"/>
      <c r="QWJ165" s="21"/>
      <c r="QWK165" s="21"/>
      <c r="QWL165" s="7"/>
      <c r="QWM165" s="7"/>
      <c r="QWN165" s="21"/>
      <c r="QWO165" s="20"/>
      <c r="QWP165" s="20"/>
      <c r="QWQ165" s="20"/>
      <c r="QWR165" s="21"/>
      <c r="QWS165" s="21"/>
      <c r="QWT165" s="21"/>
      <c r="QWU165" s="21"/>
      <c r="QWV165" s="21"/>
      <c r="QWW165" s="20"/>
      <c r="QWX165" s="20"/>
      <c r="QWY165" s="20"/>
      <c r="QWZ165" s="20"/>
      <c r="QXA165" s="21"/>
      <c r="QXB165" s="21"/>
      <c r="QXC165" s="7"/>
      <c r="QXD165" s="7"/>
      <c r="QXE165" s="21"/>
      <c r="QXF165" s="20"/>
      <c r="QXG165" s="20"/>
      <c r="QXH165" s="20"/>
      <c r="QXI165" s="21"/>
      <c r="QXJ165" s="21"/>
      <c r="QXK165" s="21"/>
      <c r="QXL165" s="21"/>
      <c r="QXM165" s="21"/>
      <c r="QXN165" s="20"/>
      <c r="QXO165" s="20"/>
      <c r="QXP165" s="20"/>
      <c r="QXQ165" s="20"/>
      <c r="QXR165" s="21"/>
      <c r="QXS165" s="21"/>
      <c r="QXT165" s="7"/>
      <c r="QXU165" s="7"/>
      <c r="QXV165" s="21"/>
      <c r="QXW165" s="20"/>
      <c r="QXX165" s="20"/>
      <c r="QXY165" s="20"/>
      <c r="QXZ165" s="21"/>
      <c r="QYA165" s="21"/>
      <c r="QYB165" s="21"/>
      <c r="QYC165" s="21"/>
      <c r="QYD165" s="21"/>
      <c r="QYE165" s="20"/>
      <c r="QYF165" s="20"/>
      <c r="QYG165" s="20"/>
      <c r="QYH165" s="20"/>
      <c r="QYI165" s="21"/>
      <c r="QYJ165" s="21"/>
      <c r="QYK165" s="7"/>
      <c r="QYL165" s="7"/>
      <c r="QYM165" s="21"/>
      <c r="QYN165" s="20"/>
      <c r="QYO165" s="20"/>
      <c r="QYP165" s="20"/>
      <c r="QYQ165" s="21"/>
      <c r="QYR165" s="21"/>
      <c r="QYS165" s="21"/>
      <c r="QYT165" s="21"/>
      <c r="QYU165" s="21"/>
      <c r="QYV165" s="20"/>
      <c r="QYW165" s="20"/>
      <c r="QYX165" s="20"/>
      <c r="QYY165" s="20"/>
      <c r="QYZ165" s="21"/>
      <c r="QZA165" s="21"/>
      <c r="QZB165" s="7"/>
      <c r="QZC165" s="7"/>
      <c r="QZD165" s="21"/>
      <c r="QZE165" s="20"/>
      <c r="QZF165" s="20"/>
      <c r="QZG165" s="20"/>
      <c r="QZH165" s="21"/>
      <c r="QZI165" s="21"/>
      <c r="QZJ165" s="21"/>
      <c r="QZK165" s="21"/>
      <c r="QZL165" s="21"/>
      <c r="QZM165" s="20"/>
      <c r="QZN165" s="20"/>
      <c r="QZO165" s="20"/>
      <c r="QZP165" s="20"/>
      <c r="QZQ165" s="21"/>
      <c r="QZR165" s="21"/>
      <c r="QZS165" s="7"/>
      <c r="QZT165" s="7"/>
      <c r="QZU165" s="21"/>
      <c r="QZV165" s="20"/>
      <c r="QZW165" s="20"/>
      <c r="QZX165" s="20"/>
      <c r="QZY165" s="21"/>
      <c r="QZZ165" s="21"/>
      <c r="RAA165" s="21"/>
      <c r="RAB165" s="21"/>
      <c r="RAC165" s="21"/>
      <c r="RAD165" s="20"/>
      <c r="RAE165" s="20"/>
      <c r="RAF165" s="20"/>
      <c r="RAG165" s="20"/>
      <c r="RAH165" s="21"/>
      <c r="RAI165" s="21"/>
      <c r="RAJ165" s="7"/>
      <c r="RAK165" s="7"/>
      <c r="RAL165" s="21"/>
      <c r="RAM165" s="20"/>
      <c r="RAN165" s="20"/>
      <c r="RAO165" s="20"/>
      <c r="RAP165" s="21"/>
      <c r="RAQ165" s="21"/>
      <c r="RAR165" s="21"/>
      <c r="RAS165" s="21"/>
      <c r="RAT165" s="21"/>
      <c r="RAU165" s="20"/>
      <c r="RAV165" s="20"/>
      <c r="RAW165" s="20"/>
      <c r="RAX165" s="20"/>
      <c r="RAY165" s="21"/>
      <c r="RAZ165" s="21"/>
      <c r="RBA165" s="7"/>
      <c r="RBB165" s="7"/>
      <c r="RBC165" s="21"/>
      <c r="RBD165" s="20"/>
      <c r="RBE165" s="20"/>
      <c r="RBF165" s="20"/>
      <c r="RBG165" s="21"/>
      <c r="RBH165" s="21"/>
      <c r="RBI165" s="21"/>
      <c r="RBJ165" s="21"/>
      <c r="RBK165" s="21"/>
      <c r="RBL165" s="20"/>
      <c r="RBM165" s="20"/>
      <c r="RBN165" s="20"/>
      <c r="RBO165" s="20"/>
      <c r="RBP165" s="21"/>
      <c r="RBQ165" s="21"/>
      <c r="RBR165" s="7"/>
      <c r="RBS165" s="7"/>
      <c r="RBT165" s="21"/>
      <c r="RBU165" s="20"/>
      <c r="RBV165" s="20"/>
      <c r="RBW165" s="20"/>
      <c r="RBX165" s="21"/>
      <c r="RBY165" s="21"/>
      <c r="RBZ165" s="21"/>
      <c r="RCA165" s="21"/>
      <c r="RCB165" s="21"/>
      <c r="RCC165" s="20"/>
      <c r="RCD165" s="20"/>
      <c r="RCE165" s="20"/>
      <c r="RCF165" s="20"/>
      <c r="RCG165" s="21"/>
      <c r="RCH165" s="21"/>
      <c r="RCI165" s="7"/>
      <c r="RCJ165" s="7"/>
      <c r="RCK165" s="21"/>
      <c r="RCL165" s="20"/>
      <c r="RCM165" s="20"/>
      <c r="RCN165" s="20"/>
      <c r="RCO165" s="21"/>
      <c r="RCP165" s="21"/>
      <c r="RCQ165" s="21"/>
      <c r="RCR165" s="21"/>
      <c r="RCS165" s="21"/>
      <c r="RCT165" s="20"/>
      <c r="RCU165" s="20"/>
      <c r="RCV165" s="20"/>
      <c r="RCW165" s="20"/>
      <c r="RCX165" s="21"/>
      <c r="RCY165" s="21"/>
      <c r="RCZ165" s="7"/>
      <c r="RDA165" s="7"/>
      <c r="RDB165" s="21"/>
      <c r="RDC165" s="20"/>
      <c r="RDD165" s="20"/>
      <c r="RDE165" s="20"/>
      <c r="RDF165" s="21"/>
      <c r="RDG165" s="21"/>
      <c r="RDH165" s="21"/>
      <c r="RDI165" s="21"/>
      <c r="RDJ165" s="21"/>
      <c r="RDK165" s="20"/>
      <c r="RDL165" s="20"/>
      <c r="RDM165" s="20"/>
      <c r="RDN165" s="20"/>
      <c r="RDO165" s="21"/>
      <c r="RDP165" s="21"/>
      <c r="RDQ165" s="7"/>
      <c r="RDR165" s="7"/>
      <c r="RDS165" s="21"/>
      <c r="RDT165" s="20"/>
      <c r="RDU165" s="20"/>
      <c r="RDV165" s="20"/>
      <c r="RDW165" s="21"/>
      <c r="RDX165" s="21"/>
      <c r="RDY165" s="21"/>
      <c r="RDZ165" s="21"/>
      <c r="REA165" s="21"/>
      <c r="REB165" s="20"/>
      <c r="REC165" s="20"/>
      <c r="RED165" s="20"/>
      <c r="REE165" s="20"/>
      <c r="REF165" s="21"/>
      <c r="REG165" s="21"/>
      <c r="REH165" s="7"/>
      <c r="REI165" s="7"/>
      <c r="REJ165" s="21"/>
      <c r="REK165" s="20"/>
      <c r="REL165" s="20"/>
      <c r="REM165" s="20"/>
      <c r="REN165" s="21"/>
      <c r="REO165" s="21"/>
      <c r="REP165" s="21"/>
      <c r="REQ165" s="21"/>
      <c r="RER165" s="21"/>
      <c r="RES165" s="20"/>
      <c r="RET165" s="20"/>
      <c r="REU165" s="20"/>
      <c r="REV165" s="20"/>
      <c r="REW165" s="21"/>
      <c r="REX165" s="21"/>
      <c r="REY165" s="7"/>
      <c r="REZ165" s="7"/>
      <c r="RFA165" s="21"/>
      <c r="RFB165" s="20"/>
      <c r="RFC165" s="20"/>
      <c r="RFD165" s="20"/>
      <c r="RFE165" s="21"/>
      <c r="RFF165" s="21"/>
      <c r="RFG165" s="21"/>
      <c r="RFH165" s="21"/>
      <c r="RFI165" s="21"/>
      <c r="RFJ165" s="20"/>
      <c r="RFK165" s="20"/>
      <c r="RFL165" s="20"/>
      <c r="RFM165" s="20"/>
      <c r="RFN165" s="21"/>
      <c r="RFO165" s="21"/>
      <c r="RFP165" s="7"/>
      <c r="RFQ165" s="7"/>
      <c r="RFR165" s="21"/>
      <c r="RFS165" s="20"/>
      <c r="RFT165" s="20"/>
      <c r="RFU165" s="20"/>
      <c r="RFV165" s="21"/>
      <c r="RFW165" s="21"/>
      <c r="RFX165" s="21"/>
      <c r="RFY165" s="21"/>
      <c r="RFZ165" s="21"/>
      <c r="RGA165" s="20"/>
      <c r="RGB165" s="20"/>
      <c r="RGC165" s="20"/>
      <c r="RGD165" s="20"/>
      <c r="RGE165" s="21"/>
      <c r="RGF165" s="21"/>
      <c r="RGG165" s="7"/>
      <c r="RGH165" s="7"/>
      <c r="RGI165" s="21"/>
      <c r="RGJ165" s="20"/>
      <c r="RGK165" s="20"/>
      <c r="RGL165" s="20"/>
      <c r="RGM165" s="21"/>
      <c r="RGN165" s="21"/>
      <c r="RGO165" s="21"/>
      <c r="RGP165" s="21"/>
      <c r="RGQ165" s="21"/>
      <c r="RGR165" s="20"/>
      <c r="RGS165" s="20"/>
      <c r="RGT165" s="20"/>
      <c r="RGU165" s="20"/>
      <c r="RGV165" s="21"/>
      <c r="RGW165" s="21"/>
      <c r="RGX165" s="7"/>
      <c r="RGY165" s="7"/>
      <c r="RGZ165" s="21"/>
      <c r="RHA165" s="20"/>
      <c r="RHB165" s="20"/>
      <c r="RHC165" s="20"/>
      <c r="RHD165" s="21"/>
      <c r="RHE165" s="21"/>
      <c r="RHF165" s="21"/>
      <c r="RHG165" s="21"/>
      <c r="RHH165" s="21"/>
      <c r="RHI165" s="20"/>
      <c r="RHJ165" s="20"/>
      <c r="RHK165" s="20"/>
      <c r="RHL165" s="20"/>
      <c r="RHM165" s="21"/>
      <c r="RHN165" s="21"/>
      <c r="RHO165" s="7"/>
      <c r="RHP165" s="7"/>
      <c r="RHQ165" s="21"/>
      <c r="RHR165" s="20"/>
      <c r="RHS165" s="20"/>
      <c r="RHT165" s="20"/>
      <c r="RHU165" s="21"/>
      <c r="RHV165" s="21"/>
      <c r="RHW165" s="21"/>
      <c r="RHX165" s="21"/>
      <c r="RHY165" s="21"/>
      <c r="RHZ165" s="20"/>
      <c r="RIA165" s="20"/>
      <c r="RIB165" s="20"/>
      <c r="RIC165" s="20"/>
      <c r="RID165" s="21"/>
      <c r="RIE165" s="21"/>
      <c r="RIF165" s="7"/>
      <c r="RIG165" s="7"/>
      <c r="RIH165" s="21"/>
      <c r="RII165" s="20"/>
      <c r="RIJ165" s="20"/>
      <c r="RIK165" s="20"/>
      <c r="RIL165" s="21"/>
      <c r="RIM165" s="21"/>
      <c r="RIN165" s="21"/>
      <c r="RIO165" s="21"/>
      <c r="RIP165" s="21"/>
      <c r="RIQ165" s="20"/>
      <c r="RIR165" s="20"/>
      <c r="RIS165" s="20"/>
      <c r="RIT165" s="20"/>
      <c r="RIU165" s="21"/>
      <c r="RIV165" s="21"/>
      <c r="RIW165" s="7"/>
      <c r="RIX165" s="7"/>
      <c r="RIY165" s="21"/>
      <c r="RIZ165" s="20"/>
      <c r="RJA165" s="20"/>
      <c r="RJB165" s="20"/>
      <c r="RJC165" s="21"/>
      <c r="RJD165" s="21"/>
      <c r="RJE165" s="21"/>
      <c r="RJF165" s="21"/>
      <c r="RJG165" s="21"/>
      <c r="RJH165" s="20"/>
      <c r="RJI165" s="20"/>
      <c r="RJJ165" s="20"/>
      <c r="RJK165" s="20"/>
      <c r="RJL165" s="21"/>
      <c r="RJM165" s="21"/>
      <c r="RJN165" s="7"/>
      <c r="RJO165" s="7"/>
      <c r="RJP165" s="21"/>
      <c r="RJQ165" s="20"/>
      <c r="RJR165" s="20"/>
      <c r="RJS165" s="20"/>
      <c r="RJT165" s="21"/>
      <c r="RJU165" s="21"/>
      <c r="RJV165" s="21"/>
      <c r="RJW165" s="21"/>
      <c r="RJX165" s="21"/>
      <c r="RJY165" s="20"/>
      <c r="RJZ165" s="20"/>
      <c r="RKA165" s="20"/>
      <c r="RKB165" s="20"/>
      <c r="RKC165" s="21"/>
      <c r="RKD165" s="21"/>
      <c r="RKE165" s="7"/>
      <c r="RKF165" s="7"/>
      <c r="RKG165" s="21"/>
      <c r="RKH165" s="20"/>
      <c r="RKI165" s="20"/>
      <c r="RKJ165" s="20"/>
      <c r="RKK165" s="21"/>
      <c r="RKL165" s="21"/>
      <c r="RKM165" s="21"/>
      <c r="RKN165" s="21"/>
      <c r="RKO165" s="21"/>
      <c r="RKP165" s="20"/>
      <c r="RKQ165" s="20"/>
      <c r="RKR165" s="20"/>
      <c r="RKS165" s="20"/>
      <c r="RKT165" s="21"/>
      <c r="RKU165" s="21"/>
      <c r="RKV165" s="7"/>
      <c r="RKW165" s="7"/>
      <c r="RKX165" s="21"/>
      <c r="RKY165" s="20"/>
      <c r="RKZ165" s="20"/>
      <c r="RLA165" s="20"/>
      <c r="RLB165" s="21"/>
      <c r="RLC165" s="21"/>
      <c r="RLD165" s="21"/>
      <c r="RLE165" s="21"/>
      <c r="RLF165" s="21"/>
      <c r="RLG165" s="20"/>
      <c r="RLH165" s="20"/>
      <c r="RLI165" s="20"/>
      <c r="RLJ165" s="20"/>
      <c r="RLK165" s="21"/>
      <c r="RLL165" s="21"/>
      <c r="RLM165" s="7"/>
      <c r="RLN165" s="7"/>
      <c r="RLO165" s="21"/>
      <c r="RLP165" s="20"/>
      <c r="RLQ165" s="20"/>
      <c r="RLR165" s="20"/>
      <c r="RLS165" s="21"/>
      <c r="RLT165" s="21"/>
      <c r="RLU165" s="21"/>
      <c r="RLV165" s="21"/>
      <c r="RLW165" s="21"/>
      <c r="RLX165" s="20"/>
      <c r="RLY165" s="20"/>
      <c r="RLZ165" s="20"/>
      <c r="RMA165" s="20"/>
      <c r="RMB165" s="21"/>
      <c r="RMC165" s="21"/>
      <c r="RMD165" s="7"/>
      <c r="RME165" s="7"/>
      <c r="RMF165" s="21"/>
      <c r="RMG165" s="20"/>
      <c r="RMH165" s="20"/>
      <c r="RMI165" s="20"/>
      <c r="RMJ165" s="21"/>
      <c r="RMK165" s="21"/>
      <c r="RML165" s="21"/>
      <c r="RMM165" s="21"/>
      <c r="RMN165" s="21"/>
      <c r="RMO165" s="20"/>
      <c r="RMP165" s="20"/>
      <c r="RMQ165" s="20"/>
      <c r="RMR165" s="20"/>
      <c r="RMS165" s="21"/>
      <c r="RMT165" s="21"/>
      <c r="RMU165" s="7"/>
      <c r="RMV165" s="7"/>
      <c r="RMW165" s="21"/>
      <c r="RMX165" s="20"/>
      <c r="RMY165" s="20"/>
      <c r="RMZ165" s="20"/>
      <c r="RNA165" s="21"/>
      <c r="RNB165" s="21"/>
      <c r="RNC165" s="21"/>
      <c r="RND165" s="21"/>
      <c r="RNE165" s="21"/>
      <c r="RNF165" s="20"/>
      <c r="RNG165" s="20"/>
      <c r="RNH165" s="20"/>
      <c r="RNI165" s="20"/>
      <c r="RNJ165" s="21"/>
      <c r="RNK165" s="21"/>
      <c r="RNL165" s="7"/>
      <c r="RNM165" s="7"/>
      <c r="RNN165" s="21"/>
      <c r="RNO165" s="20"/>
      <c r="RNP165" s="20"/>
      <c r="RNQ165" s="20"/>
      <c r="RNR165" s="21"/>
      <c r="RNS165" s="21"/>
      <c r="RNT165" s="21"/>
      <c r="RNU165" s="21"/>
      <c r="RNV165" s="21"/>
      <c r="RNW165" s="20"/>
      <c r="RNX165" s="20"/>
      <c r="RNY165" s="20"/>
      <c r="RNZ165" s="20"/>
      <c r="ROA165" s="21"/>
      <c r="ROB165" s="21"/>
      <c r="ROC165" s="7"/>
      <c r="ROD165" s="7"/>
      <c r="ROE165" s="21"/>
      <c r="ROF165" s="20"/>
      <c r="ROG165" s="20"/>
      <c r="ROH165" s="20"/>
      <c r="ROI165" s="21"/>
      <c r="ROJ165" s="21"/>
      <c r="ROK165" s="21"/>
      <c r="ROL165" s="21"/>
      <c r="ROM165" s="21"/>
      <c r="RON165" s="20"/>
      <c r="ROO165" s="20"/>
      <c r="ROP165" s="20"/>
      <c r="ROQ165" s="20"/>
      <c r="ROR165" s="21"/>
      <c r="ROS165" s="21"/>
      <c r="ROT165" s="7"/>
      <c r="ROU165" s="7"/>
      <c r="ROV165" s="21"/>
      <c r="ROW165" s="20"/>
      <c r="ROX165" s="20"/>
      <c r="ROY165" s="20"/>
      <c r="ROZ165" s="21"/>
      <c r="RPA165" s="21"/>
      <c r="RPB165" s="21"/>
      <c r="RPC165" s="21"/>
      <c r="RPD165" s="21"/>
      <c r="RPE165" s="20"/>
      <c r="RPF165" s="20"/>
      <c r="RPG165" s="20"/>
      <c r="RPH165" s="20"/>
      <c r="RPI165" s="21"/>
      <c r="RPJ165" s="21"/>
      <c r="RPK165" s="7"/>
      <c r="RPL165" s="7"/>
      <c r="RPM165" s="21"/>
      <c r="RPN165" s="20"/>
      <c r="RPO165" s="20"/>
      <c r="RPP165" s="20"/>
      <c r="RPQ165" s="21"/>
      <c r="RPR165" s="21"/>
      <c r="RPS165" s="21"/>
      <c r="RPT165" s="21"/>
      <c r="RPU165" s="21"/>
      <c r="RPV165" s="20"/>
      <c r="RPW165" s="20"/>
      <c r="RPX165" s="20"/>
      <c r="RPY165" s="20"/>
      <c r="RPZ165" s="21"/>
      <c r="RQA165" s="21"/>
      <c r="RQB165" s="7"/>
      <c r="RQC165" s="7"/>
      <c r="RQD165" s="21"/>
      <c r="RQE165" s="20"/>
      <c r="RQF165" s="20"/>
      <c r="RQG165" s="20"/>
      <c r="RQH165" s="21"/>
      <c r="RQI165" s="21"/>
      <c r="RQJ165" s="21"/>
      <c r="RQK165" s="21"/>
      <c r="RQL165" s="21"/>
      <c r="RQM165" s="20"/>
      <c r="RQN165" s="20"/>
      <c r="RQO165" s="20"/>
      <c r="RQP165" s="20"/>
      <c r="RQQ165" s="21"/>
      <c r="RQR165" s="21"/>
      <c r="RQS165" s="7"/>
      <c r="RQT165" s="7"/>
      <c r="RQU165" s="21"/>
      <c r="RQV165" s="20"/>
      <c r="RQW165" s="20"/>
      <c r="RQX165" s="20"/>
      <c r="RQY165" s="21"/>
      <c r="RQZ165" s="21"/>
      <c r="RRA165" s="21"/>
      <c r="RRB165" s="21"/>
      <c r="RRC165" s="21"/>
      <c r="RRD165" s="20"/>
      <c r="RRE165" s="20"/>
      <c r="RRF165" s="20"/>
      <c r="RRG165" s="20"/>
      <c r="RRH165" s="21"/>
      <c r="RRI165" s="21"/>
      <c r="RRJ165" s="7"/>
      <c r="RRK165" s="7"/>
      <c r="RRL165" s="21"/>
      <c r="RRM165" s="20"/>
      <c r="RRN165" s="20"/>
      <c r="RRO165" s="20"/>
      <c r="RRP165" s="21"/>
      <c r="RRQ165" s="21"/>
      <c r="RRR165" s="21"/>
      <c r="RRS165" s="21"/>
      <c r="RRT165" s="21"/>
      <c r="RRU165" s="20"/>
      <c r="RRV165" s="20"/>
      <c r="RRW165" s="20"/>
      <c r="RRX165" s="20"/>
      <c r="RRY165" s="21"/>
      <c r="RRZ165" s="21"/>
      <c r="RSA165" s="7"/>
      <c r="RSB165" s="7"/>
      <c r="RSC165" s="21"/>
      <c r="RSD165" s="20"/>
      <c r="RSE165" s="20"/>
      <c r="RSF165" s="20"/>
      <c r="RSG165" s="21"/>
      <c r="RSH165" s="21"/>
      <c r="RSI165" s="21"/>
      <c r="RSJ165" s="21"/>
      <c r="RSK165" s="21"/>
      <c r="RSL165" s="20"/>
      <c r="RSM165" s="20"/>
      <c r="RSN165" s="20"/>
      <c r="RSO165" s="20"/>
      <c r="RSP165" s="21"/>
      <c r="RSQ165" s="21"/>
      <c r="RSR165" s="7"/>
      <c r="RSS165" s="7"/>
      <c r="RST165" s="21"/>
      <c r="RSU165" s="20"/>
      <c r="RSV165" s="20"/>
      <c r="RSW165" s="20"/>
      <c r="RSX165" s="21"/>
      <c r="RSY165" s="21"/>
      <c r="RSZ165" s="21"/>
      <c r="RTA165" s="21"/>
      <c r="RTB165" s="21"/>
      <c r="RTC165" s="20"/>
      <c r="RTD165" s="20"/>
      <c r="RTE165" s="20"/>
      <c r="RTF165" s="20"/>
      <c r="RTG165" s="21"/>
      <c r="RTH165" s="21"/>
      <c r="RTI165" s="7"/>
      <c r="RTJ165" s="7"/>
      <c r="RTK165" s="21"/>
      <c r="RTL165" s="20"/>
      <c r="RTM165" s="20"/>
      <c r="RTN165" s="20"/>
      <c r="RTO165" s="21"/>
      <c r="RTP165" s="21"/>
      <c r="RTQ165" s="21"/>
      <c r="RTR165" s="21"/>
      <c r="RTS165" s="21"/>
      <c r="RTT165" s="20"/>
      <c r="RTU165" s="20"/>
      <c r="RTV165" s="20"/>
      <c r="RTW165" s="20"/>
      <c r="RTX165" s="21"/>
      <c r="RTY165" s="21"/>
      <c r="RTZ165" s="7"/>
      <c r="RUA165" s="7"/>
      <c r="RUB165" s="21"/>
      <c r="RUC165" s="20"/>
      <c r="RUD165" s="20"/>
      <c r="RUE165" s="20"/>
      <c r="RUF165" s="21"/>
      <c r="RUG165" s="21"/>
      <c r="RUH165" s="21"/>
      <c r="RUI165" s="21"/>
      <c r="RUJ165" s="21"/>
      <c r="RUK165" s="20"/>
      <c r="RUL165" s="20"/>
      <c r="RUM165" s="20"/>
      <c r="RUN165" s="20"/>
      <c r="RUO165" s="21"/>
      <c r="RUP165" s="21"/>
      <c r="RUQ165" s="7"/>
      <c r="RUR165" s="7"/>
      <c r="RUS165" s="21"/>
      <c r="RUT165" s="20"/>
      <c r="RUU165" s="20"/>
      <c r="RUV165" s="20"/>
      <c r="RUW165" s="21"/>
      <c r="RUX165" s="21"/>
      <c r="RUY165" s="21"/>
      <c r="RUZ165" s="21"/>
      <c r="RVA165" s="21"/>
      <c r="RVB165" s="20"/>
      <c r="RVC165" s="20"/>
      <c r="RVD165" s="20"/>
      <c r="RVE165" s="20"/>
      <c r="RVF165" s="21"/>
      <c r="RVG165" s="21"/>
      <c r="RVH165" s="7"/>
      <c r="RVI165" s="7"/>
      <c r="RVJ165" s="21"/>
      <c r="RVK165" s="20"/>
      <c r="RVL165" s="20"/>
      <c r="RVM165" s="20"/>
      <c r="RVN165" s="21"/>
      <c r="RVO165" s="21"/>
      <c r="RVP165" s="21"/>
      <c r="RVQ165" s="21"/>
      <c r="RVR165" s="21"/>
      <c r="RVS165" s="20"/>
      <c r="RVT165" s="20"/>
      <c r="RVU165" s="20"/>
      <c r="RVV165" s="20"/>
      <c r="RVW165" s="21"/>
      <c r="RVX165" s="21"/>
      <c r="RVY165" s="7"/>
      <c r="RVZ165" s="7"/>
      <c r="RWA165" s="21"/>
      <c r="RWB165" s="20"/>
      <c r="RWC165" s="20"/>
      <c r="RWD165" s="20"/>
      <c r="RWE165" s="21"/>
      <c r="RWF165" s="21"/>
      <c r="RWG165" s="21"/>
      <c r="RWH165" s="21"/>
      <c r="RWI165" s="21"/>
      <c r="RWJ165" s="20"/>
      <c r="RWK165" s="20"/>
      <c r="RWL165" s="20"/>
      <c r="RWM165" s="20"/>
      <c r="RWN165" s="21"/>
      <c r="RWO165" s="21"/>
      <c r="RWP165" s="7"/>
      <c r="RWQ165" s="7"/>
      <c r="RWR165" s="21"/>
      <c r="RWS165" s="20"/>
      <c r="RWT165" s="20"/>
      <c r="RWU165" s="20"/>
      <c r="RWV165" s="21"/>
      <c r="RWW165" s="21"/>
      <c r="RWX165" s="21"/>
      <c r="RWY165" s="21"/>
      <c r="RWZ165" s="21"/>
      <c r="RXA165" s="20"/>
      <c r="RXB165" s="20"/>
      <c r="RXC165" s="20"/>
      <c r="RXD165" s="20"/>
      <c r="RXE165" s="21"/>
      <c r="RXF165" s="21"/>
      <c r="RXG165" s="7"/>
      <c r="RXH165" s="7"/>
      <c r="RXI165" s="21"/>
      <c r="RXJ165" s="20"/>
      <c r="RXK165" s="20"/>
      <c r="RXL165" s="20"/>
      <c r="RXM165" s="21"/>
      <c r="RXN165" s="21"/>
      <c r="RXO165" s="21"/>
      <c r="RXP165" s="21"/>
      <c r="RXQ165" s="21"/>
      <c r="RXR165" s="20"/>
      <c r="RXS165" s="20"/>
      <c r="RXT165" s="20"/>
      <c r="RXU165" s="20"/>
      <c r="RXV165" s="21"/>
      <c r="RXW165" s="21"/>
      <c r="RXX165" s="7"/>
      <c r="RXY165" s="7"/>
      <c r="RXZ165" s="21"/>
      <c r="RYA165" s="20"/>
      <c r="RYB165" s="20"/>
      <c r="RYC165" s="20"/>
      <c r="RYD165" s="21"/>
      <c r="RYE165" s="21"/>
      <c r="RYF165" s="21"/>
      <c r="RYG165" s="21"/>
      <c r="RYH165" s="21"/>
      <c r="RYI165" s="20"/>
      <c r="RYJ165" s="20"/>
      <c r="RYK165" s="20"/>
      <c r="RYL165" s="20"/>
      <c r="RYM165" s="21"/>
      <c r="RYN165" s="21"/>
      <c r="RYO165" s="7"/>
      <c r="RYP165" s="7"/>
      <c r="RYQ165" s="21"/>
      <c r="RYR165" s="20"/>
      <c r="RYS165" s="20"/>
      <c r="RYT165" s="20"/>
      <c r="RYU165" s="21"/>
      <c r="RYV165" s="21"/>
      <c r="RYW165" s="21"/>
      <c r="RYX165" s="21"/>
      <c r="RYY165" s="21"/>
      <c r="RYZ165" s="20"/>
      <c r="RZA165" s="20"/>
      <c r="RZB165" s="20"/>
      <c r="RZC165" s="20"/>
      <c r="RZD165" s="21"/>
      <c r="RZE165" s="21"/>
      <c r="RZF165" s="7"/>
      <c r="RZG165" s="7"/>
      <c r="RZH165" s="21"/>
      <c r="RZI165" s="20"/>
      <c r="RZJ165" s="20"/>
      <c r="RZK165" s="20"/>
      <c r="RZL165" s="21"/>
      <c r="RZM165" s="21"/>
      <c r="RZN165" s="21"/>
      <c r="RZO165" s="21"/>
      <c r="RZP165" s="21"/>
      <c r="RZQ165" s="20"/>
      <c r="RZR165" s="20"/>
      <c r="RZS165" s="20"/>
      <c r="RZT165" s="20"/>
      <c r="RZU165" s="21"/>
      <c r="RZV165" s="21"/>
      <c r="RZW165" s="7"/>
      <c r="RZX165" s="7"/>
      <c r="RZY165" s="21"/>
      <c r="RZZ165" s="20"/>
      <c r="SAA165" s="20"/>
      <c r="SAB165" s="20"/>
      <c r="SAC165" s="21"/>
      <c r="SAD165" s="21"/>
      <c r="SAE165" s="21"/>
      <c r="SAF165" s="21"/>
      <c r="SAG165" s="21"/>
      <c r="SAH165" s="20"/>
      <c r="SAI165" s="20"/>
      <c r="SAJ165" s="20"/>
      <c r="SAK165" s="20"/>
      <c r="SAL165" s="21"/>
      <c r="SAM165" s="21"/>
      <c r="SAN165" s="7"/>
      <c r="SAO165" s="7"/>
      <c r="SAP165" s="21"/>
      <c r="SAQ165" s="20"/>
      <c r="SAR165" s="20"/>
      <c r="SAS165" s="20"/>
      <c r="SAT165" s="21"/>
      <c r="SAU165" s="21"/>
      <c r="SAV165" s="21"/>
      <c r="SAW165" s="21"/>
      <c r="SAX165" s="21"/>
      <c r="SAY165" s="20"/>
      <c r="SAZ165" s="20"/>
      <c r="SBA165" s="20"/>
      <c r="SBB165" s="20"/>
      <c r="SBC165" s="21"/>
      <c r="SBD165" s="21"/>
      <c r="SBE165" s="7"/>
      <c r="SBF165" s="7"/>
      <c r="SBG165" s="21"/>
      <c r="SBH165" s="20"/>
      <c r="SBI165" s="20"/>
      <c r="SBJ165" s="20"/>
      <c r="SBK165" s="21"/>
      <c r="SBL165" s="21"/>
      <c r="SBM165" s="21"/>
      <c r="SBN165" s="21"/>
      <c r="SBO165" s="21"/>
      <c r="SBP165" s="20"/>
      <c r="SBQ165" s="20"/>
      <c r="SBR165" s="20"/>
      <c r="SBS165" s="20"/>
      <c r="SBT165" s="21"/>
      <c r="SBU165" s="21"/>
      <c r="SBV165" s="7"/>
      <c r="SBW165" s="7"/>
      <c r="SBX165" s="21"/>
      <c r="SBY165" s="20"/>
      <c r="SBZ165" s="20"/>
      <c r="SCA165" s="20"/>
      <c r="SCB165" s="21"/>
      <c r="SCC165" s="21"/>
      <c r="SCD165" s="21"/>
      <c r="SCE165" s="21"/>
      <c r="SCF165" s="21"/>
      <c r="SCG165" s="20"/>
      <c r="SCH165" s="20"/>
      <c r="SCI165" s="20"/>
      <c r="SCJ165" s="20"/>
      <c r="SCK165" s="21"/>
      <c r="SCL165" s="21"/>
      <c r="SCM165" s="7"/>
      <c r="SCN165" s="7"/>
      <c r="SCO165" s="21"/>
      <c r="SCP165" s="20"/>
      <c r="SCQ165" s="20"/>
      <c r="SCR165" s="20"/>
      <c r="SCS165" s="21"/>
      <c r="SCT165" s="21"/>
      <c r="SCU165" s="21"/>
      <c r="SCV165" s="21"/>
      <c r="SCW165" s="21"/>
      <c r="SCX165" s="20"/>
      <c r="SCY165" s="20"/>
      <c r="SCZ165" s="20"/>
      <c r="SDA165" s="20"/>
      <c r="SDB165" s="21"/>
      <c r="SDC165" s="21"/>
      <c r="SDD165" s="7"/>
      <c r="SDE165" s="7"/>
      <c r="SDF165" s="21"/>
      <c r="SDG165" s="20"/>
      <c r="SDH165" s="20"/>
      <c r="SDI165" s="20"/>
      <c r="SDJ165" s="21"/>
      <c r="SDK165" s="21"/>
      <c r="SDL165" s="21"/>
      <c r="SDM165" s="21"/>
      <c r="SDN165" s="21"/>
      <c r="SDO165" s="20"/>
      <c r="SDP165" s="20"/>
      <c r="SDQ165" s="20"/>
      <c r="SDR165" s="20"/>
      <c r="SDS165" s="21"/>
      <c r="SDT165" s="21"/>
      <c r="SDU165" s="7"/>
      <c r="SDV165" s="7"/>
      <c r="SDW165" s="21"/>
      <c r="SDX165" s="20"/>
      <c r="SDY165" s="20"/>
      <c r="SDZ165" s="20"/>
      <c r="SEA165" s="21"/>
      <c r="SEB165" s="21"/>
      <c r="SEC165" s="21"/>
      <c r="SED165" s="21"/>
      <c r="SEE165" s="21"/>
      <c r="SEF165" s="20"/>
      <c r="SEG165" s="20"/>
      <c r="SEH165" s="20"/>
      <c r="SEI165" s="20"/>
      <c r="SEJ165" s="21"/>
      <c r="SEK165" s="21"/>
      <c r="SEL165" s="7"/>
      <c r="SEM165" s="7"/>
      <c r="SEN165" s="21"/>
      <c r="SEO165" s="20"/>
      <c r="SEP165" s="20"/>
      <c r="SEQ165" s="20"/>
      <c r="SER165" s="21"/>
      <c r="SES165" s="21"/>
      <c r="SET165" s="21"/>
      <c r="SEU165" s="21"/>
      <c r="SEV165" s="21"/>
      <c r="SEW165" s="20"/>
      <c r="SEX165" s="20"/>
      <c r="SEY165" s="20"/>
      <c r="SEZ165" s="20"/>
      <c r="SFA165" s="21"/>
      <c r="SFB165" s="21"/>
      <c r="SFC165" s="7"/>
      <c r="SFD165" s="7"/>
      <c r="SFE165" s="21"/>
      <c r="SFF165" s="20"/>
      <c r="SFG165" s="20"/>
      <c r="SFH165" s="20"/>
      <c r="SFI165" s="21"/>
      <c r="SFJ165" s="21"/>
      <c r="SFK165" s="21"/>
      <c r="SFL165" s="21"/>
      <c r="SFM165" s="21"/>
      <c r="SFN165" s="20"/>
      <c r="SFO165" s="20"/>
      <c r="SFP165" s="20"/>
      <c r="SFQ165" s="20"/>
      <c r="SFR165" s="21"/>
      <c r="SFS165" s="21"/>
      <c r="SFT165" s="7"/>
      <c r="SFU165" s="7"/>
      <c r="SFV165" s="21"/>
      <c r="SFW165" s="20"/>
      <c r="SFX165" s="20"/>
      <c r="SFY165" s="20"/>
      <c r="SFZ165" s="21"/>
      <c r="SGA165" s="21"/>
      <c r="SGB165" s="21"/>
      <c r="SGC165" s="21"/>
      <c r="SGD165" s="21"/>
      <c r="SGE165" s="20"/>
      <c r="SGF165" s="20"/>
      <c r="SGG165" s="20"/>
      <c r="SGH165" s="20"/>
      <c r="SGI165" s="21"/>
      <c r="SGJ165" s="21"/>
      <c r="SGK165" s="7"/>
      <c r="SGL165" s="7"/>
      <c r="SGM165" s="21"/>
      <c r="SGN165" s="20"/>
      <c r="SGO165" s="20"/>
      <c r="SGP165" s="20"/>
      <c r="SGQ165" s="21"/>
      <c r="SGR165" s="21"/>
      <c r="SGS165" s="21"/>
      <c r="SGT165" s="21"/>
      <c r="SGU165" s="21"/>
      <c r="SGV165" s="20"/>
      <c r="SGW165" s="20"/>
      <c r="SGX165" s="20"/>
      <c r="SGY165" s="20"/>
      <c r="SGZ165" s="21"/>
      <c r="SHA165" s="21"/>
      <c r="SHB165" s="7"/>
      <c r="SHC165" s="7"/>
      <c r="SHD165" s="21"/>
      <c r="SHE165" s="20"/>
      <c r="SHF165" s="20"/>
      <c r="SHG165" s="20"/>
      <c r="SHH165" s="21"/>
      <c r="SHI165" s="21"/>
      <c r="SHJ165" s="21"/>
      <c r="SHK165" s="21"/>
      <c r="SHL165" s="21"/>
      <c r="SHM165" s="20"/>
      <c r="SHN165" s="20"/>
      <c r="SHO165" s="20"/>
      <c r="SHP165" s="20"/>
      <c r="SHQ165" s="21"/>
      <c r="SHR165" s="21"/>
      <c r="SHS165" s="7"/>
      <c r="SHT165" s="7"/>
      <c r="SHU165" s="21"/>
      <c r="SHV165" s="20"/>
      <c r="SHW165" s="20"/>
      <c r="SHX165" s="20"/>
      <c r="SHY165" s="21"/>
      <c r="SHZ165" s="21"/>
      <c r="SIA165" s="21"/>
      <c r="SIB165" s="21"/>
      <c r="SIC165" s="21"/>
      <c r="SID165" s="20"/>
      <c r="SIE165" s="20"/>
      <c r="SIF165" s="20"/>
      <c r="SIG165" s="20"/>
      <c r="SIH165" s="21"/>
      <c r="SII165" s="21"/>
      <c r="SIJ165" s="7"/>
      <c r="SIK165" s="7"/>
      <c r="SIL165" s="21"/>
      <c r="SIM165" s="20"/>
      <c r="SIN165" s="20"/>
      <c r="SIO165" s="20"/>
      <c r="SIP165" s="21"/>
      <c r="SIQ165" s="21"/>
      <c r="SIR165" s="21"/>
      <c r="SIS165" s="21"/>
      <c r="SIT165" s="21"/>
      <c r="SIU165" s="20"/>
      <c r="SIV165" s="20"/>
      <c r="SIW165" s="20"/>
      <c r="SIX165" s="20"/>
      <c r="SIY165" s="21"/>
      <c r="SIZ165" s="21"/>
      <c r="SJA165" s="7"/>
      <c r="SJB165" s="7"/>
      <c r="SJC165" s="21"/>
      <c r="SJD165" s="20"/>
      <c r="SJE165" s="20"/>
      <c r="SJF165" s="20"/>
      <c r="SJG165" s="21"/>
      <c r="SJH165" s="21"/>
      <c r="SJI165" s="21"/>
      <c r="SJJ165" s="21"/>
      <c r="SJK165" s="21"/>
      <c r="SJL165" s="20"/>
      <c r="SJM165" s="20"/>
      <c r="SJN165" s="20"/>
      <c r="SJO165" s="20"/>
      <c r="SJP165" s="21"/>
      <c r="SJQ165" s="21"/>
      <c r="SJR165" s="7"/>
      <c r="SJS165" s="7"/>
      <c r="SJT165" s="21"/>
      <c r="SJU165" s="20"/>
      <c r="SJV165" s="20"/>
      <c r="SJW165" s="20"/>
      <c r="SJX165" s="21"/>
      <c r="SJY165" s="21"/>
      <c r="SJZ165" s="21"/>
      <c r="SKA165" s="21"/>
      <c r="SKB165" s="21"/>
      <c r="SKC165" s="20"/>
      <c r="SKD165" s="20"/>
      <c r="SKE165" s="20"/>
      <c r="SKF165" s="20"/>
      <c r="SKG165" s="21"/>
      <c r="SKH165" s="21"/>
      <c r="SKI165" s="7"/>
      <c r="SKJ165" s="7"/>
      <c r="SKK165" s="21"/>
      <c r="SKL165" s="20"/>
      <c r="SKM165" s="20"/>
      <c r="SKN165" s="20"/>
      <c r="SKO165" s="21"/>
      <c r="SKP165" s="21"/>
      <c r="SKQ165" s="21"/>
      <c r="SKR165" s="21"/>
      <c r="SKS165" s="21"/>
      <c r="SKT165" s="20"/>
      <c r="SKU165" s="20"/>
      <c r="SKV165" s="20"/>
      <c r="SKW165" s="20"/>
      <c r="SKX165" s="21"/>
      <c r="SKY165" s="21"/>
      <c r="SKZ165" s="7"/>
      <c r="SLA165" s="7"/>
      <c r="SLB165" s="21"/>
      <c r="SLC165" s="20"/>
      <c r="SLD165" s="20"/>
      <c r="SLE165" s="20"/>
      <c r="SLF165" s="21"/>
      <c r="SLG165" s="21"/>
      <c r="SLH165" s="21"/>
      <c r="SLI165" s="21"/>
      <c r="SLJ165" s="21"/>
      <c r="SLK165" s="20"/>
      <c r="SLL165" s="20"/>
      <c r="SLM165" s="20"/>
      <c r="SLN165" s="20"/>
      <c r="SLO165" s="21"/>
      <c r="SLP165" s="21"/>
      <c r="SLQ165" s="7"/>
      <c r="SLR165" s="7"/>
      <c r="SLS165" s="21"/>
      <c r="SLT165" s="20"/>
      <c r="SLU165" s="20"/>
      <c r="SLV165" s="20"/>
      <c r="SLW165" s="21"/>
      <c r="SLX165" s="21"/>
      <c r="SLY165" s="21"/>
      <c r="SLZ165" s="21"/>
      <c r="SMA165" s="21"/>
      <c r="SMB165" s="20"/>
      <c r="SMC165" s="20"/>
      <c r="SMD165" s="20"/>
      <c r="SME165" s="20"/>
      <c r="SMF165" s="21"/>
      <c r="SMG165" s="21"/>
      <c r="SMH165" s="7"/>
      <c r="SMI165" s="7"/>
      <c r="SMJ165" s="21"/>
      <c r="SMK165" s="20"/>
      <c r="SML165" s="20"/>
      <c r="SMM165" s="20"/>
      <c r="SMN165" s="21"/>
      <c r="SMO165" s="21"/>
      <c r="SMP165" s="21"/>
      <c r="SMQ165" s="21"/>
      <c r="SMR165" s="21"/>
      <c r="SMS165" s="20"/>
      <c r="SMT165" s="20"/>
      <c r="SMU165" s="20"/>
      <c r="SMV165" s="20"/>
      <c r="SMW165" s="21"/>
      <c r="SMX165" s="21"/>
      <c r="SMY165" s="7"/>
      <c r="SMZ165" s="7"/>
      <c r="SNA165" s="21"/>
      <c r="SNB165" s="20"/>
      <c r="SNC165" s="20"/>
      <c r="SND165" s="20"/>
      <c r="SNE165" s="21"/>
      <c r="SNF165" s="21"/>
      <c r="SNG165" s="21"/>
      <c r="SNH165" s="21"/>
      <c r="SNI165" s="21"/>
      <c r="SNJ165" s="20"/>
      <c r="SNK165" s="20"/>
      <c r="SNL165" s="20"/>
      <c r="SNM165" s="20"/>
      <c r="SNN165" s="21"/>
      <c r="SNO165" s="21"/>
      <c r="SNP165" s="7"/>
      <c r="SNQ165" s="7"/>
      <c r="SNR165" s="21"/>
      <c r="SNS165" s="20"/>
      <c r="SNT165" s="20"/>
      <c r="SNU165" s="20"/>
      <c r="SNV165" s="21"/>
      <c r="SNW165" s="21"/>
      <c r="SNX165" s="21"/>
      <c r="SNY165" s="21"/>
      <c r="SNZ165" s="21"/>
      <c r="SOA165" s="20"/>
      <c r="SOB165" s="20"/>
      <c r="SOC165" s="20"/>
      <c r="SOD165" s="20"/>
      <c r="SOE165" s="21"/>
      <c r="SOF165" s="21"/>
      <c r="SOG165" s="7"/>
      <c r="SOH165" s="7"/>
      <c r="SOI165" s="21"/>
      <c r="SOJ165" s="20"/>
      <c r="SOK165" s="20"/>
      <c r="SOL165" s="20"/>
      <c r="SOM165" s="21"/>
      <c r="SON165" s="21"/>
      <c r="SOO165" s="21"/>
      <c r="SOP165" s="21"/>
      <c r="SOQ165" s="21"/>
      <c r="SOR165" s="20"/>
      <c r="SOS165" s="20"/>
      <c r="SOT165" s="20"/>
      <c r="SOU165" s="20"/>
      <c r="SOV165" s="21"/>
      <c r="SOW165" s="21"/>
      <c r="SOX165" s="7"/>
      <c r="SOY165" s="7"/>
      <c r="SOZ165" s="21"/>
      <c r="SPA165" s="20"/>
      <c r="SPB165" s="20"/>
      <c r="SPC165" s="20"/>
      <c r="SPD165" s="21"/>
      <c r="SPE165" s="21"/>
      <c r="SPF165" s="21"/>
      <c r="SPG165" s="21"/>
      <c r="SPH165" s="21"/>
      <c r="SPI165" s="20"/>
      <c r="SPJ165" s="20"/>
      <c r="SPK165" s="20"/>
      <c r="SPL165" s="20"/>
      <c r="SPM165" s="21"/>
      <c r="SPN165" s="21"/>
      <c r="SPO165" s="7"/>
      <c r="SPP165" s="7"/>
      <c r="SPQ165" s="21"/>
      <c r="SPR165" s="20"/>
      <c r="SPS165" s="20"/>
      <c r="SPT165" s="20"/>
      <c r="SPU165" s="21"/>
      <c r="SPV165" s="21"/>
      <c r="SPW165" s="21"/>
      <c r="SPX165" s="21"/>
      <c r="SPY165" s="21"/>
      <c r="SPZ165" s="20"/>
      <c r="SQA165" s="20"/>
      <c r="SQB165" s="20"/>
      <c r="SQC165" s="20"/>
      <c r="SQD165" s="21"/>
      <c r="SQE165" s="21"/>
      <c r="SQF165" s="7"/>
      <c r="SQG165" s="7"/>
      <c r="SQH165" s="21"/>
      <c r="SQI165" s="20"/>
      <c r="SQJ165" s="20"/>
      <c r="SQK165" s="20"/>
      <c r="SQL165" s="21"/>
      <c r="SQM165" s="21"/>
      <c r="SQN165" s="21"/>
      <c r="SQO165" s="21"/>
      <c r="SQP165" s="21"/>
      <c r="SQQ165" s="20"/>
      <c r="SQR165" s="20"/>
      <c r="SQS165" s="20"/>
      <c r="SQT165" s="20"/>
      <c r="SQU165" s="21"/>
      <c r="SQV165" s="21"/>
      <c r="SQW165" s="7"/>
      <c r="SQX165" s="7"/>
      <c r="SQY165" s="21"/>
      <c r="SQZ165" s="20"/>
      <c r="SRA165" s="20"/>
      <c r="SRB165" s="20"/>
      <c r="SRC165" s="21"/>
      <c r="SRD165" s="21"/>
      <c r="SRE165" s="21"/>
      <c r="SRF165" s="21"/>
      <c r="SRG165" s="21"/>
      <c r="SRH165" s="20"/>
      <c r="SRI165" s="20"/>
      <c r="SRJ165" s="20"/>
      <c r="SRK165" s="20"/>
      <c r="SRL165" s="21"/>
      <c r="SRM165" s="21"/>
      <c r="SRN165" s="7"/>
      <c r="SRO165" s="7"/>
      <c r="SRP165" s="21"/>
      <c r="SRQ165" s="20"/>
      <c r="SRR165" s="20"/>
      <c r="SRS165" s="20"/>
      <c r="SRT165" s="21"/>
      <c r="SRU165" s="21"/>
      <c r="SRV165" s="21"/>
      <c r="SRW165" s="21"/>
      <c r="SRX165" s="21"/>
      <c r="SRY165" s="20"/>
      <c r="SRZ165" s="20"/>
      <c r="SSA165" s="20"/>
      <c r="SSB165" s="20"/>
      <c r="SSC165" s="21"/>
      <c r="SSD165" s="21"/>
      <c r="SSE165" s="7"/>
      <c r="SSF165" s="7"/>
      <c r="SSG165" s="21"/>
      <c r="SSH165" s="20"/>
      <c r="SSI165" s="20"/>
      <c r="SSJ165" s="20"/>
      <c r="SSK165" s="21"/>
      <c r="SSL165" s="21"/>
      <c r="SSM165" s="21"/>
      <c r="SSN165" s="21"/>
      <c r="SSO165" s="21"/>
      <c r="SSP165" s="20"/>
      <c r="SSQ165" s="20"/>
      <c r="SSR165" s="20"/>
      <c r="SSS165" s="20"/>
      <c r="SST165" s="21"/>
      <c r="SSU165" s="21"/>
      <c r="SSV165" s="7"/>
      <c r="SSW165" s="7"/>
      <c r="SSX165" s="21"/>
      <c r="SSY165" s="20"/>
      <c r="SSZ165" s="20"/>
      <c r="STA165" s="20"/>
      <c r="STB165" s="21"/>
      <c r="STC165" s="21"/>
      <c r="STD165" s="21"/>
      <c r="STE165" s="21"/>
      <c r="STF165" s="21"/>
      <c r="STG165" s="20"/>
      <c r="STH165" s="20"/>
      <c r="STI165" s="20"/>
      <c r="STJ165" s="20"/>
      <c r="STK165" s="21"/>
      <c r="STL165" s="21"/>
      <c r="STM165" s="7"/>
      <c r="STN165" s="7"/>
      <c r="STO165" s="21"/>
      <c r="STP165" s="20"/>
      <c r="STQ165" s="20"/>
      <c r="STR165" s="20"/>
      <c r="STS165" s="21"/>
      <c r="STT165" s="21"/>
      <c r="STU165" s="21"/>
      <c r="STV165" s="21"/>
      <c r="STW165" s="21"/>
      <c r="STX165" s="20"/>
      <c r="STY165" s="20"/>
      <c r="STZ165" s="20"/>
      <c r="SUA165" s="20"/>
      <c r="SUB165" s="21"/>
      <c r="SUC165" s="21"/>
      <c r="SUD165" s="7"/>
      <c r="SUE165" s="7"/>
      <c r="SUF165" s="21"/>
      <c r="SUG165" s="20"/>
      <c r="SUH165" s="20"/>
      <c r="SUI165" s="20"/>
      <c r="SUJ165" s="21"/>
      <c r="SUK165" s="21"/>
      <c r="SUL165" s="21"/>
      <c r="SUM165" s="21"/>
      <c r="SUN165" s="21"/>
      <c r="SUO165" s="20"/>
      <c r="SUP165" s="20"/>
      <c r="SUQ165" s="20"/>
      <c r="SUR165" s="20"/>
      <c r="SUS165" s="21"/>
      <c r="SUT165" s="21"/>
      <c r="SUU165" s="7"/>
      <c r="SUV165" s="7"/>
      <c r="SUW165" s="21"/>
      <c r="SUX165" s="20"/>
      <c r="SUY165" s="20"/>
      <c r="SUZ165" s="20"/>
      <c r="SVA165" s="21"/>
      <c r="SVB165" s="21"/>
      <c r="SVC165" s="21"/>
      <c r="SVD165" s="21"/>
      <c r="SVE165" s="21"/>
      <c r="SVF165" s="20"/>
      <c r="SVG165" s="20"/>
      <c r="SVH165" s="20"/>
      <c r="SVI165" s="20"/>
      <c r="SVJ165" s="21"/>
      <c r="SVK165" s="21"/>
      <c r="SVL165" s="7"/>
      <c r="SVM165" s="7"/>
      <c r="SVN165" s="21"/>
      <c r="SVO165" s="20"/>
      <c r="SVP165" s="20"/>
      <c r="SVQ165" s="20"/>
      <c r="SVR165" s="21"/>
      <c r="SVS165" s="21"/>
      <c r="SVT165" s="21"/>
      <c r="SVU165" s="21"/>
      <c r="SVV165" s="21"/>
      <c r="SVW165" s="20"/>
      <c r="SVX165" s="20"/>
      <c r="SVY165" s="20"/>
      <c r="SVZ165" s="20"/>
      <c r="SWA165" s="21"/>
      <c r="SWB165" s="21"/>
      <c r="SWC165" s="7"/>
      <c r="SWD165" s="7"/>
      <c r="SWE165" s="21"/>
      <c r="SWF165" s="20"/>
      <c r="SWG165" s="20"/>
      <c r="SWH165" s="20"/>
      <c r="SWI165" s="21"/>
      <c r="SWJ165" s="21"/>
      <c r="SWK165" s="21"/>
      <c r="SWL165" s="21"/>
      <c r="SWM165" s="21"/>
      <c r="SWN165" s="20"/>
      <c r="SWO165" s="20"/>
      <c r="SWP165" s="20"/>
      <c r="SWQ165" s="20"/>
      <c r="SWR165" s="21"/>
      <c r="SWS165" s="21"/>
      <c r="SWT165" s="7"/>
      <c r="SWU165" s="7"/>
      <c r="SWV165" s="21"/>
      <c r="SWW165" s="20"/>
      <c r="SWX165" s="20"/>
      <c r="SWY165" s="20"/>
      <c r="SWZ165" s="21"/>
      <c r="SXA165" s="21"/>
      <c r="SXB165" s="21"/>
      <c r="SXC165" s="21"/>
      <c r="SXD165" s="21"/>
      <c r="SXE165" s="20"/>
      <c r="SXF165" s="20"/>
      <c r="SXG165" s="20"/>
      <c r="SXH165" s="20"/>
      <c r="SXI165" s="21"/>
      <c r="SXJ165" s="21"/>
      <c r="SXK165" s="7"/>
      <c r="SXL165" s="7"/>
      <c r="SXM165" s="21"/>
      <c r="SXN165" s="20"/>
      <c r="SXO165" s="20"/>
      <c r="SXP165" s="20"/>
      <c r="SXQ165" s="21"/>
      <c r="SXR165" s="21"/>
      <c r="SXS165" s="21"/>
      <c r="SXT165" s="21"/>
      <c r="SXU165" s="21"/>
      <c r="SXV165" s="20"/>
      <c r="SXW165" s="20"/>
      <c r="SXX165" s="20"/>
      <c r="SXY165" s="20"/>
      <c r="SXZ165" s="21"/>
      <c r="SYA165" s="21"/>
      <c r="SYB165" s="7"/>
      <c r="SYC165" s="7"/>
      <c r="SYD165" s="21"/>
      <c r="SYE165" s="20"/>
      <c r="SYF165" s="20"/>
      <c r="SYG165" s="20"/>
      <c r="SYH165" s="21"/>
      <c r="SYI165" s="21"/>
      <c r="SYJ165" s="21"/>
      <c r="SYK165" s="21"/>
      <c r="SYL165" s="21"/>
      <c r="SYM165" s="20"/>
      <c r="SYN165" s="20"/>
      <c r="SYO165" s="20"/>
      <c r="SYP165" s="20"/>
      <c r="SYQ165" s="21"/>
      <c r="SYR165" s="21"/>
      <c r="SYS165" s="7"/>
      <c r="SYT165" s="7"/>
      <c r="SYU165" s="21"/>
      <c r="SYV165" s="20"/>
      <c r="SYW165" s="20"/>
      <c r="SYX165" s="20"/>
      <c r="SYY165" s="21"/>
      <c r="SYZ165" s="21"/>
      <c r="SZA165" s="21"/>
      <c r="SZB165" s="21"/>
      <c r="SZC165" s="21"/>
      <c r="SZD165" s="20"/>
      <c r="SZE165" s="20"/>
      <c r="SZF165" s="20"/>
      <c r="SZG165" s="20"/>
      <c r="SZH165" s="21"/>
      <c r="SZI165" s="21"/>
      <c r="SZJ165" s="7"/>
      <c r="SZK165" s="7"/>
      <c r="SZL165" s="21"/>
      <c r="SZM165" s="20"/>
      <c r="SZN165" s="20"/>
      <c r="SZO165" s="20"/>
      <c r="SZP165" s="21"/>
      <c r="SZQ165" s="21"/>
      <c r="SZR165" s="21"/>
      <c r="SZS165" s="21"/>
      <c r="SZT165" s="21"/>
      <c r="SZU165" s="20"/>
      <c r="SZV165" s="20"/>
      <c r="SZW165" s="20"/>
      <c r="SZX165" s="20"/>
      <c r="SZY165" s="21"/>
      <c r="SZZ165" s="21"/>
      <c r="TAA165" s="7"/>
      <c r="TAB165" s="7"/>
      <c r="TAC165" s="21"/>
      <c r="TAD165" s="20"/>
      <c r="TAE165" s="20"/>
      <c r="TAF165" s="20"/>
      <c r="TAG165" s="21"/>
      <c r="TAH165" s="21"/>
      <c r="TAI165" s="21"/>
      <c r="TAJ165" s="21"/>
      <c r="TAK165" s="21"/>
      <c r="TAL165" s="20"/>
      <c r="TAM165" s="20"/>
      <c r="TAN165" s="20"/>
      <c r="TAO165" s="20"/>
      <c r="TAP165" s="21"/>
      <c r="TAQ165" s="21"/>
      <c r="TAR165" s="7"/>
      <c r="TAS165" s="7"/>
      <c r="TAT165" s="21"/>
      <c r="TAU165" s="20"/>
      <c r="TAV165" s="20"/>
      <c r="TAW165" s="20"/>
      <c r="TAX165" s="21"/>
      <c r="TAY165" s="21"/>
      <c r="TAZ165" s="21"/>
      <c r="TBA165" s="21"/>
      <c r="TBB165" s="21"/>
      <c r="TBC165" s="20"/>
      <c r="TBD165" s="20"/>
      <c r="TBE165" s="20"/>
      <c r="TBF165" s="20"/>
      <c r="TBG165" s="21"/>
      <c r="TBH165" s="21"/>
      <c r="TBI165" s="7"/>
      <c r="TBJ165" s="7"/>
      <c r="TBK165" s="21"/>
      <c r="TBL165" s="20"/>
      <c r="TBM165" s="20"/>
      <c r="TBN165" s="20"/>
      <c r="TBO165" s="21"/>
      <c r="TBP165" s="21"/>
      <c r="TBQ165" s="21"/>
      <c r="TBR165" s="21"/>
      <c r="TBS165" s="21"/>
      <c r="TBT165" s="20"/>
      <c r="TBU165" s="20"/>
      <c r="TBV165" s="20"/>
      <c r="TBW165" s="20"/>
      <c r="TBX165" s="21"/>
      <c r="TBY165" s="21"/>
      <c r="TBZ165" s="7"/>
      <c r="TCA165" s="7"/>
      <c r="TCB165" s="21"/>
      <c r="TCC165" s="20"/>
      <c r="TCD165" s="20"/>
      <c r="TCE165" s="20"/>
      <c r="TCF165" s="21"/>
      <c r="TCG165" s="21"/>
      <c r="TCH165" s="21"/>
      <c r="TCI165" s="21"/>
      <c r="TCJ165" s="21"/>
      <c r="TCK165" s="20"/>
      <c r="TCL165" s="20"/>
      <c r="TCM165" s="20"/>
      <c r="TCN165" s="20"/>
      <c r="TCO165" s="21"/>
      <c r="TCP165" s="21"/>
      <c r="TCQ165" s="7"/>
      <c r="TCR165" s="7"/>
      <c r="TCS165" s="21"/>
      <c r="TCT165" s="20"/>
      <c r="TCU165" s="20"/>
      <c r="TCV165" s="20"/>
      <c r="TCW165" s="21"/>
      <c r="TCX165" s="21"/>
      <c r="TCY165" s="21"/>
      <c r="TCZ165" s="21"/>
      <c r="TDA165" s="21"/>
      <c r="TDB165" s="20"/>
      <c r="TDC165" s="20"/>
      <c r="TDD165" s="20"/>
      <c r="TDE165" s="20"/>
      <c r="TDF165" s="21"/>
      <c r="TDG165" s="21"/>
      <c r="TDH165" s="7"/>
      <c r="TDI165" s="7"/>
      <c r="TDJ165" s="21"/>
      <c r="TDK165" s="20"/>
      <c r="TDL165" s="20"/>
      <c r="TDM165" s="20"/>
      <c r="TDN165" s="21"/>
      <c r="TDO165" s="21"/>
      <c r="TDP165" s="21"/>
      <c r="TDQ165" s="21"/>
      <c r="TDR165" s="21"/>
      <c r="TDS165" s="20"/>
      <c r="TDT165" s="20"/>
      <c r="TDU165" s="20"/>
      <c r="TDV165" s="20"/>
      <c r="TDW165" s="21"/>
      <c r="TDX165" s="21"/>
      <c r="TDY165" s="7"/>
      <c r="TDZ165" s="7"/>
      <c r="TEA165" s="21"/>
      <c r="TEB165" s="20"/>
      <c r="TEC165" s="20"/>
      <c r="TED165" s="20"/>
      <c r="TEE165" s="21"/>
      <c r="TEF165" s="21"/>
      <c r="TEG165" s="21"/>
      <c r="TEH165" s="21"/>
      <c r="TEI165" s="21"/>
      <c r="TEJ165" s="20"/>
      <c r="TEK165" s="20"/>
      <c r="TEL165" s="20"/>
      <c r="TEM165" s="20"/>
      <c r="TEN165" s="21"/>
      <c r="TEO165" s="21"/>
      <c r="TEP165" s="7"/>
      <c r="TEQ165" s="7"/>
      <c r="TER165" s="21"/>
      <c r="TES165" s="20"/>
      <c r="TET165" s="20"/>
      <c r="TEU165" s="20"/>
      <c r="TEV165" s="21"/>
      <c r="TEW165" s="21"/>
      <c r="TEX165" s="21"/>
      <c r="TEY165" s="21"/>
      <c r="TEZ165" s="21"/>
      <c r="TFA165" s="20"/>
      <c r="TFB165" s="20"/>
      <c r="TFC165" s="20"/>
      <c r="TFD165" s="20"/>
      <c r="TFE165" s="21"/>
      <c r="TFF165" s="21"/>
      <c r="TFG165" s="7"/>
      <c r="TFH165" s="7"/>
      <c r="TFI165" s="21"/>
      <c r="TFJ165" s="20"/>
      <c r="TFK165" s="20"/>
      <c r="TFL165" s="20"/>
      <c r="TFM165" s="21"/>
      <c r="TFN165" s="21"/>
      <c r="TFO165" s="21"/>
      <c r="TFP165" s="21"/>
      <c r="TFQ165" s="21"/>
      <c r="TFR165" s="20"/>
      <c r="TFS165" s="20"/>
      <c r="TFT165" s="20"/>
      <c r="TFU165" s="20"/>
      <c r="TFV165" s="21"/>
      <c r="TFW165" s="21"/>
      <c r="TFX165" s="7"/>
      <c r="TFY165" s="7"/>
      <c r="TFZ165" s="21"/>
      <c r="TGA165" s="20"/>
      <c r="TGB165" s="20"/>
      <c r="TGC165" s="20"/>
      <c r="TGD165" s="21"/>
      <c r="TGE165" s="21"/>
      <c r="TGF165" s="21"/>
      <c r="TGG165" s="21"/>
      <c r="TGH165" s="21"/>
      <c r="TGI165" s="20"/>
      <c r="TGJ165" s="20"/>
      <c r="TGK165" s="20"/>
      <c r="TGL165" s="20"/>
      <c r="TGM165" s="21"/>
      <c r="TGN165" s="21"/>
      <c r="TGO165" s="7"/>
      <c r="TGP165" s="7"/>
      <c r="TGQ165" s="21"/>
      <c r="TGR165" s="20"/>
      <c r="TGS165" s="20"/>
      <c r="TGT165" s="20"/>
      <c r="TGU165" s="21"/>
      <c r="TGV165" s="21"/>
      <c r="TGW165" s="21"/>
      <c r="TGX165" s="21"/>
      <c r="TGY165" s="21"/>
      <c r="TGZ165" s="20"/>
      <c r="THA165" s="20"/>
      <c r="THB165" s="20"/>
      <c r="THC165" s="20"/>
      <c r="THD165" s="21"/>
      <c r="THE165" s="21"/>
      <c r="THF165" s="7"/>
      <c r="THG165" s="7"/>
      <c r="THH165" s="21"/>
      <c r="THI165" s="20"/>
      <c r="THJ165" s="20"/>
      <c r="THK165" s="20"/>
      <c r="THL165" s="21"/>
      <c r="THM165" s="21"/>
      <c r="THN165" s="21"/>
      <c r="THO165" s="21"/>
      <c r="THP165" s="21"/>
      <c r="THQ165" s="20"/>
      <c r="THR165" s="20"/>
      <c r="THS165" s="20"/>
      <c r="THT165" s="20"/>
      <c r="THU165" s="21"/>
      <c r="THV165" s="21"/>
      <c r="THW165" s="7"/>
      <c r="THX165" s="7"/>
      <c r="THY165" s="21"/>
      <c r="THZ165" s="20"/>
      <c r="TIA165" s="20"/>
      <c r="TIB165" s="20"/>
      <c r="TIC165" s="21"/>
      <c r="TID165" s="21"/>
      <c r="TIE165" s="21"/>
      <c r="TIF165" s="21"/>
      <c r="TIG165" s="21"/>
      <c r="TIH165" s="20"/>
      <c r="TII165" s="20"/>
      <c r="TIJ165" s="20"/>
      <c r="TIK165" s="20"/>
      <c r="TIL165" s="21"/>
      <c r="TIM165" s="21"/>
      <c r="TIN165" s="7"/>
      <c r="TIO165" s="7"/>
      <c r="TIP165" s="21"/>
      <c r="TIQ165" s="20"/>
      <c r="TIR165" s="20"/>
      <c r="TIS165" s="20"/>
      <c r="TIT165" s="21"/>
      <c r="TIU165" s="21"/>
      <c r="TIV165" s="21"/>
      <c r="TIW165" s="21"/>
      <c r="TIX165" s="21"/>
      <c r="TIY165" s="20"/>
      <c r="TIZ165" s="20"/>
      <c r="TJA165" s="20"/>
      <c r="TJB165" s="20"/>
      <c r="TJC165" s="21"/>
      <c r="TJD165" s="21"/>
      <c r="TJE165" s="7"/>
      <c r="TJF165" s="7"/>
      <c r="TJG165" s="21"/>
      <c r="TJH165" s="20"/>
      <c r="TJI165" s="20"/>
      <c r="TJJ165" s="20"/>
      <c r="TJK165" s="21"/>
      <c r="TJL165" s="21"/>
      <c r="TJM165" s="21"/>
      <c r="TJN165" s="21"/>
      <c r="TJO165" s="21"/>
      <c r="TJP165" s="20"/>
      <c r="TJQ165" s="20"/>
      <c r="TJR165" s="20"/>
      <c r="TJS165" s="20"/>
      <c r="TJT165" s="21"/>
      <c r="TJU165" s="21"/>
      <c r="TJV165" s="7"/>
      <c r="TJW165" s="7"/>
      <c r="TJX165" s="21"/>
      <c r="TJY165" s="20"/>
      <c r="TJZ165" s="20"/>
      <c r="TKA165" s="20"/>
      <c r="TKB165" s="21"/>
      <c r="TKC165" s="21"/>
      <c r="TKD165" s="21"/>
      <c r="TKE165" s="21"/>
      <c r="TKF165" s="21"/>
      <c r="TKG165" s="20"/>
      <c r="TKH165" s="20"/>
      <c r="TKI165" s="20"/>
      <c r="TKJ165" s="20"/>
      <c r="TKK165" s="21"/>
      <c r="TKL165" s="21"/>
      <c r="TKM165" s="7"/>
      <c r="TKN165" s="7"/>
      <c r="TKO165" s="21"/>
      <c r="TKP165" s="20"/>
      <c r="TKQ165" s="20"/>
      <c r="TKR165" s="20"/>
      <c r="TKS165" s="21"/>
      <c r="TKT165" s="21"/>
      <c r="TKU165" s="21"/>
      <c r="TKV165" s="21"/>
      <c r="TKW165" s="21"/>
      <c r="TKX165" s="20"/>
      <c r="TKY165" s="20"/>
      <c r="TKZ165" s="20"/>
      <c r="TLA165" s="20"/>
      <c r="TLB165" s="21"/>
      <c r="TLC165" s="21"/>
      <c r="TLD165" s="7"/>
      <c r="TLE165" s="7"/>
      <c r="TLF165" s="21"/>
      <c r="TLG165" s="20"/>
      <c r="TLH165" s="20"/>
      <c r="TLI165" s="20"/>
      <c r="TLJ165" s="21"/>
      <c r="TLK165" s="21"/>
      <c r="TLL165" s="21"/>
      <c r="TLM165" s="21"/>
      <c r="TLN165" s="21"/>
      <c r="TLO165" s="20"/>
      <c r="TLP165" s="20"/>
      <c r="TLQ165" s="20"/>
      <c r="TLR165" s="20"/>
      <c r="TLS165" s="21"/>
      <c r="TLT165" s="21"/>
      <c r="TLU165" s="7"/>
      <c r="TLV165" s="7"/>
      <c r="TLW165" s="21"/>
      <c r="TLX165" s="20"/>
      <c r="TLY165" s="20"/>
      <c r="TLZ165" s="20"/>
      <c r="TMA165" s="21"/>
      <c r="TMB165" s="21"/>
      <c r="TMC165" s="21"/>
      <c r="TMD165" s="21"/>
      <c r="TME165" s="21"/>
      <c r="TMF165" s="20"/>
      <c r="TMG165" s="20"/>
      <c r="TMH165" s="20"/>
      <c r="TMI165" s="20"/>
      <c r="TMJ165" s="21"/>
      <c r="TMK165" s="21"/>
      <c r="TML165" s="7"/>
      <c r="TMM165" s="7"/>
      <c r="TMN165" s="21"/>
      <c r="TMO165" s="20"/>
      <c r="TMP165" s="20"/>
      <c r="TMQ165" s="20"/>
      <c r="TMR165" s="21"/>
      <c r="TMS165" s="21"/>
      <c r="TMT165" s="21"/>
      <c r="TMU165" s="21"/>
      <c r="TMV165" s="21"/>
      <c r="TMW165" s="20"/>
      <c r="TMX165" s="20"/>
      <c r="TMY165" s="20"/>
      <c r="TMZ165" s="20"/>
      <c r="TNA165" s="21"/>
      <c r="TNB165" s="21"/>
      <c r="TNC165" s="7"/>
      <c r="TND165" s="7"/>
      <c r="TNE165" s="21"/>
      <c r="TNF165" s="20"/>
      <c r="TNG165" s="20"/>
      <c r="TNH165" s="20"/>
      <c r="TNI165" s="21"/>
      <c r="TNJ165" s="21"/>
      <c r="TNK165" s="21"/>
      <c r="TNL165" s="21"/>
      <c r="TNM165" s="21"/>
      <c r="TNN165" s="20"/>
      <c r="TNO165" s="20"/>
      <c r="TNP165" s="20"/>
      <c r="TNQ165" s="20"/>
      <c r="TNR165" s="21"/>
      <c r="TNS165" s="21"/>
      <c r="TNT165" s="7"/>
      <c r="TNU165" s="7"/>
      <c r="TNV165" s="21"/>
      <c r="TNW165" s="20"/>
      <c r="TNX165" s="20"/>
      <c r="TNY165" s="20"/>
      <c r="TNZ165" s="21"/>
      <c r="TOA165" s="21"/>
      <c r="TOB165" s="21"/>
      <c r="TOC165" s="21"/>
      <c r="TOD165" s="21"/>
      <c r="TOE165" s="20"/>
      <c r="TOF165" s="20"/>
      <c r="TOG165" s="20"/>
      <c r="TOH165" s="20"/>
      <c r="TOI165" s="21"/>
      <c r="TOJ165" s="21"/>
      <c r="TOK165" s="7"/>
      <c r="TOL165" s="7"/>
      <c r="TOM165" s="21"/>
      <c r="TON165" s="20"/>
      <c r="TOO165" s="20"/>
      <c r="TOP165" s="20"/>
      <c r="TOQ165" s="21"/>
      <c r="TOR165" s="21"/>
      <c r="TOS165" s="21"/>
      <c r="TOT165" s="21"/>
      <c r="TOU165" s="21"/>
      <c r="TOV165" s="20"/>
      <c r="TOW165" s="20"/>
      <c r="TOX165" s="20"/>
      <c r="TOY165" s="20"/>
      <c r="TOZ165" s="21"/>
      <c r="TPA165" s="21"/>
      <c r="TPB165" s="7"/>
      <c r="TPC165" s="7"/>
      <c r="TPD165" s="21"/>
      <c r="TPE165" s="20"/>
      <c r="TPF165" s="20"/>
      <c r="TPG165" s="20"/>
      <c r="TPH165" s="21"/>
      <c r="TPI165" s="21"/>
      <c r="TPJ165" s="21"/>
      <c r="TPK165" s="21"/>
      <c r="TPL165" s="21"/>
      <c r="TPM165" s="20"/>
      <c r="TPN165" s="20"/>
      <c r="TPO165" s="20"/>
      <c r="TPP165" s="20"/>
      <c r="TPQ165" s="21"/>
      <c r="TPR165" s="21"/>
      <c r="TPS165" s="7"/>
      <c r="TPT165" s="7"/>
      <c r="TPU165" s="21"/>
      <c r="TPV165" s="20"/>
      <c r="TPW165" s="20"/>
      <c r="TPX165" s="20"/>
      <c r="TPY165" s="21"/>
      <c r="TPZ165" s="21"/>
      <c r="TQA165" s="21"/>
      <c r="TQB165" s="21"/>
      <c r="TQC165" s="21"/>
      <c r="TQD165" s="20"/>
      <c r="TQE165" s="20"/>
      <c r="TQF165" s="20"/>
      <c r="TQG165" s="20"/>
      <c r="TQH165" s="21"/>
      <c r="TQI165" s="21"/>
      <c r="TQJ165" s="7"/>
      <c r="TQK165" s="7"/>
      <c r="TQL165" s="21"/>
      <c r="TQM165" s="20"/>
      <c r="TQN165" s="20"/>
      <c r="TQO165" s="20"/>
      <c r="TQP165" s="21"/>
      <c r="TQQ165" s="21"/>
      <c r="TQR165" s="21"/>
      <c r="TQS165" s="21"/>
      <c r="TQT165" s="21"/>
      <c r="TQU165" s="20"/>
      <c r="TQV165" s="20"/>
      <c r="TQW165" s="20"/>
      <c r="TQX165" s="20"/>
      <c r="TQY165" s="21"/>
      <c r="TQZ165" s="21"/>
      <c r="TRA165" s="7"/>
      <c r="TRB165" s="7"/>
      <c r="TRC165" s="21"/>
      <c r="TRD165" s="20"/>
      <c r="TRE165" s="20"/>
      <c r="TRF165" s="20"/>
      <c r="TRG165" s="21"/>
      <c r="TRH165" s="21"/>
      <c r="TRI165" s="21"/>
      <c r="TRJ165" s="21"/>
      <c r="TRK165" s="21"/>
      <c r="TRL165" s="20"/>
      <c r="TRM165" s="20"/>
      <c r="TRN165" s="20"/>
      <c r="TRO165" s="20"/>
      <c r="TRP165" s="21"/>
      <c r="TRQ165" s="21"/>
      <c r="TRR165" s="7"/>
      <c r="TRS165" s="7"/>
      <c r="TRT165" s="21"/>
      <c r="TRU165" s="20"/>
      <c r="TRV165" s="20"/>
      <c r="TRW165" s="20"/>
      <c r="TRX165" s="21"/>
      <c r="TRY165" s="21"/>
      <c r="TRZ165" s="21"/>
      <c r="TSA165" s="21"/>
      <c r="TSB165" s="21"/>
      <c r="TSC165" s="20"/>
      <c r="TSD165" s="20"/>
      <c r="TSE165" s="20"/>
      <c r="TSF165" s="20"/>
      <c r="TSG165" s="21"/>
      <c r="TSH165" s="21"/>
      <c r="TSI165" s="7"/>
      <c r="TSJ165" s="7"/>
      <c r="TSK165" s="21"/>
      <c r="TSL165" s="20"/>
      <c r="TSM165" s="20"/>
      <c r="TSN165" s="20"/>
      <c r="TSO165" s="21"/>
      <c r="TSP165" s="21"/>
      <c r="TSQ165" s="21"/>
      <c r="TSR165" s="21"/>
      <c r="TSS165" s="21"/>
      <c r="TST165" s="20"/>
      <c r="TSU165" s="20"/>
      <c r="TSV165" s="20"/>
      <c r="TSW165" s="20"/>
      <c r="TSX165" s="21"/>
      <c r="TSY165" s="21"/>
      <c r="TSZ165" s="7"/>
      <c r="TTA165" s="7"/>
      <c r="TTB165" s="21"/>
      <c r="TTC165" s="20"/>
      <c r="TTD165" s="20"/>
      <c r="TTE165" s="20"/>
      <c r="TTF165" s="21"/>
      <c r="TTG165" s="21"/>
      <c r="TTH165" s="21"/>
      <c r="TTI165" s="21"/>
      <c r="TTJ165" s="21"/>
      <c r="TTK165" s="20"/>
      <c r="TTL165" s="20"/>
      <c r="TTM165" s="20"/>
      <c r="TTN165" s="20"/>
      <c r="TTO165" s="21"/>
      <c r="TTP165" s="21"/>
      <c r="TTQ165" s="7"/>
      <c r="TTR165" s="7"/>
      <c r="TTS165" s="21"/>
      <c r="TTT165" s="20"/>
      <c r="TTU165" s="20"/>
      <c r="TTV165" s="20"/>
      <c r="TTW165" s="21"/>
      <c r="TTX165" s="21"/>
      <c r="TTY165" s="21"/>
      <c r="TTZ165" s="21"/>
      <c r="TUA165" s="21"/>
      <c r="TUB165" s="20"/>
      <c r="TUC165" s="20"/>
      <c r="TUD165" s="20"/>
      <c r="TUE165" s="20"/>
      <c r="TUF165" s="21"/>
      <c r="TUG165" s="21"/>
      <c r="TUH165" s="7"/>
      <c r="TUI165" s="7"/>
      <c r="TUJ165" s="21"/>
      <c r="TUK165" s="20"/>
      <c r="TUL165" s="20"/>
      <c r="TUM165" s="20"/>
      <c r="TUN165" s="21"/>
      <c r="TUO165" s="21"/>
      <c r="TUP165" s="21"/>
      <c r="TUQ165" s="21"/>
      <c r="TUR165" s="21"/>
      <c r="TUS165" s="20"/>
      <c r="TUT165" s="20"/>
      <c r="TUU165" s="20"/>
      <c r="TUV165" s="20"/>
      <c r="TUW165" s="21"/>
      <c r="TUX165" s="21"/>
      <c r="TUY165" s="7"/>
      <c r="TUZ165" s="7"/>
      <c r="TVA165" s="21"/>
      <c r="TVB165" s="20"/>
      <c r="TVC165" s="20"/>
      <c r="TVD165" s="20"/>
      <c r="TVE165" s="21"/>
      <c r="TVF165" s="21"/>
      <c r="TVG165" s="21"/>
      <c r="TVH165" s="21"/>
      <c r="TVI165" s="21"/>
      <c r="TVJ165" s="20"/>
      <c r="TVK165" s="20"/>
      <c r="TVL165" s="20"/>
      <c r="TVM165" s="20"/>
      <c r="TVN165" s="21"/>
      <c r="TVO165" s="21"/>
      <c r="TVP165" s="7"/>
      <c r="TVQ165" s="7"/>
      <c r="TVR165" s="21"/>
      <c r="TVS165" s="20"/>
      <c r="TVT165" s="20"/>
      <c r="TVU165" s="20"/>
      <c r="TVV165" s="21"/>
      <c r="TVW165" s="21"/>
      <c r="TVX165" s="21"/>
      <c r="TVY165" s="21"/>
      <c r="TVZ165" s="21"/>
      <c r="TWA165" s="20"/>
      <c r="TWB165" s="20"/>
      <c r="TWC165" s="20"/>
      <c r="TWD165" s="20"/>
      <c r="TWE165" s="21"/>
      <c r="TWF165" s="21"/>
      <c r="TWG165" s="7"/>
      <c r="TWH165" s="7"/>
      <c r="TWI165" s="21"/>
      <c r="TWJ165" s="20"/>
      <c r="TWK165" s="20"/>
      <c r="TWL165" s="20"/>
      <c r="TWM165" s="21"/>
      <c r="TWN165" s="21"/>
      <c r="TWO165" s="21"/>
      <c r="TWP165" s="21"/>
      <c r="TWQ165" s="21"/>
      <c r="TWR165" s="20"/>
      <c r="TWS165" s="20"/>
      <c r="TWT165" s="20"/>
      <c r="TWU165" s="20"/>
      <c r="TWV165" s="21"/>
      <c r="TWW165" s="21"/>
      <c r="TWX165" s="7"/>
      <c r="TWY165" s="7"/>
      <c r="TWZ165" s="21"/>
      <c r="TXA165" s="20"/>
      <c r="TXB165" s="20"/>
      <c r="TXC165" s="20"/>
      <c r="TXD165" s="21"/>
      <c r="TXE165" s="21"/>
      <c r="TXF165" s="21"/>
      <c r="TXG165" s="21"/>
      <c r="TXH165" s="21"/>
      <c r="TXI165" s="20"/>
      <c r="TXJ165" s="20"/>
      <c r="TXK165" s="20"/>
      <c r="TXL165" s="20"/>
      <c r="TXM165" s="21"/>
      <c r="TXN165" s="21"/>
      <c r="TXO165" s="7"/>
      <c r="TXP165" s="7"/>
      <c r="TXQ165" s="21"/>
      <c r="TXR165" s="20"/>
      <c r="TXS165" s="20"/>
      <c r="TXT165" s="20"/>
      <c r="TXU165" s="21"/>
      <c r="TXV165" s="21"/>
      <c r="TXW165" s="21"/>
      <c r="TXX165" s="21"/>
      <c r="TXY165" s="21"/>
      <c r="TXZ165" s="20"/>
      <c r="TYA165" s="20"/>
      <c r="TYB165" s="20"/>
      <c r="TYC165" s="20"/>
      <c r="TYD165" s="21"/>
      <c r="TYE165" s="21"/>
      <c r="TYF165" s="7"/>
      <c r="TYG165" s="7"/>
      <c r="TYH165" s="21"/>
      <c r="TYI165" s="20"/>
      <c r="TYJ165" s="20"/>
      <c r="TYK165" s="20"/>
      <c r="TYL165" s="21"/>
      <c r="TYM165" s="21"/>
      <c r="TYN165" s="21"/>
      <c r="TYO165" s="21"/>
      <c r="TYP165" s="21"/>
      <c r="TYQ165" s="20"/>
      <c r="TYR165" s="20"/>
      <c r="TYS165" s="20"/>
      <c r="TYT165" s="20"/>
      <c r="TYU165" s="21"/>
      <c r="TYV165" s="21"/>
      <c r="TYW165" s="7"/>
      <c r="TYX165" s="7"/>
      <c r="TYY165" s="21"/>
      <c r="TYZ165" s="20"/>
      <c r="TZA165" s="20"/>
      <c r="TZB165" s="20"/>
      <c r="TZC165" s="21"/>
      <c r="TZD165" s="21"/>
      <c r="TZE165" s="21"/>
      <c r="TZF165" s="21"/>
      <c r="TZG165" s="21"/>
      <c r="TZH165" s="20"/>
      <c r="TZI165" s="20"/>
      <c r="TZJ165" s="20"/>
      <c r="TZK165" s="20"/>
      <c r="TZL165" s="21"/>
      <c r="TZM165" s="21"/>
      <c r="TZN165" s="7"/>
      <c r="TZO165" s="7"/>
      <c r="TZP165" s="21"/>
      <c r="TZQ165" s="20"/>
      <c r="TZR165" s="20"/>
      <c r="TZS165" s="20"/>
      <c r="TZT165" s="21"/>
      <c r="TZU165" s="21"/>
      <c r="TZV165" s="21"/>
      <c r="TZW165" s="21"/>
      <c r="TZX165" s="21"/>
      <c r="TZY165" s="20"/>
      <c r="TZZ165" s="20"/>
      <c r="UAA165" s="20"/>
      <c r="UAB165" s="20"/>
      <c r="UAC165" s="21"/>
      <c r="UAD165" s="21"/>
      <c r="UAE165" s="7"/>
      <c r="UAF165" s="7"/>
      <c r="UAG165" s="21"/>
      <c r="UAH165" s="20"/>
      <c r="UAI165" s="20"/>
      <c r="UAJ165" s="20"/>
      <c r="UAK165" s="21"/>
      <c r="UAL165" s="21"/>
      <c r="UAM165" s="21"/>
      <c r="UAN165" s="21"/>
      <c r="UAO165" s="21"/>
      <c r="UAP165" s="20"/>
      <c r="UAQ165" s="20"/>
      <c r="UAR165" s="20"/>
      <c r="UAS165" s="20"/>
      <c r="UAT165" s="21"/>
      <c r="UAU165" s="21"/>
      <c r="UAV165" s="7"/>
      <c r="UAW165" s="7"/>
      <c r="UAX165" s="21"/>
      <c r="UAY165" s="20"/>
      <c r="UAZ165" s="20"/>
      <c r="UBA165" s="20"/>
      <c r="UBB165" s="21"/>
      <c r="UBC165" s="21"/>
      <c r="UBD165" s="21"/>
      <c r="UBE165" s="21"/>
      <c r="UBF165" s="21"/>
      <c r="UBG165" s="20"/>
      <c r="UBH165" s="20"/>
      <c r="UBI165" s="20"/>
      <c r="UBJ165" s="20"/>
      <c r="UBK165" s="21"/>
      <c r="UBL165" s="21"/>
      <c r="UBM165" s="7"/>
      <c r="UBN165" s="7"/>
      <c r="UBO165" s="21"/>
      <c r="UBP165" s="20"/>
      <c r="UBQ165" s="20"/>
      <c r="UBR165" s="20"/>
      <c r="UBS165" s="21"/>
      <c r="UBT165" s="21"/>
      <c r="UBU165" s="21"/>
      <c r="UBV165" s="21"/>
      <c r="UBW165" s="21"/>
      <c r="UBX165" s="20"/>
      <c r="UBY165" s="20"/>
      <c r="UBZ165" s="20"/>
      <c r="UCA165" s="20"/>
      <c r="UCB165" s="21"/>
      <c r="UCC165" s="21"/>
      <c r="UCD165" s="7"/>
      <c r="UCE165" s="7"/>
      <c r="UCF165" s="21"/>
      <c r="UCG165" s="20"/>
      <c r="UCH165" s="20"/>
      <c r="UCI165" s="20"/>
      <c r="UCJ165" s="21"/>
      <c r="UCK165" s="21"/>
      <c r="UCL165" s="21"/>
      <c r="UCM165" s="21"/>
      <c r="UCN165" s="21"/>
      <c r="UCO165" s="20"/>
      <c r="UCP165" s="20"/>
      <c r="UCQ165" s="20"/>
      <c r="UCR165" s="20"/>
      <c r="UCS165" s="21"/>
      <c r="UCT165" s="21"/>
      <c r="UCU165" s="7"/>
      <c r="UCV165" s="7"/>
      <c r="UCW165" s="21"/>
      <c r="UCX165" s="20"/>
      <c r="UCY165" s="20"/>
      <c r="UCZ165" s="20"/>
      <c r="UDA165" s="21"/>
      <c r="UDB165" s="21"/>
      <c r="UDC165" s="21"/>
      <c r="UDD165" s="21"/>
      <c r="UDE165" s="21"/>
      <c r="UDF165" s="20"/>
      <c r="UDG165" s="20"/>
      <c r="UDH165" s="20"/>
      <c r="UDI165" s="20"/>
      <c r="UDJ165" s="21"/>
      <c r="UDK165" s="21"/>
      <c r="UDL165" s="7"/>
      <c r="UDM165" s="7"/>
      <c r="UDN165" s="21"/>
      <c r="UDO165" s="20"/>
      <c r="UDP165" s="20"/>
      <c r="UDQ165" s="20"/>
      <c r="UDR165" s="21"/>
      <c r="UDS165" s="21"/>
      <c r="UDT165" s="21"/>
      <c r="UDU165" s="21"/>
      <c r="UDV165" s="21"/>
      <c r="UDW165" s="20"/>
      <c r="UDX165" s="20"/>
      <c r="UDY165" s="20"/>
      <c r="UDZ165" s="20"/>
      <c r="UEA165" s="21"/>
      <c r="UEB165" s="21"/>
      <c r="UEC165" s="7"/>
      <c r="UED165" s="7"/>
      <c r="UEE165" s="21"/>
      <c r="UEF165" s="20"/>
      <c r="UEG165" s="20"/>
      <c r="UEH165" s="20"/>
      <c r="UEI165" s="21"/>
      <c r="UEJ165" s="21"/>
      <c r="UEK165" s="21"/>
      <c r="UEL165" s="21"/>
      <c r="UEM165" s="21"/>
      <c r="UEN165" s="20"/>
      <c r="UEO165" s="20"/>
      <c r="UEP165" s="20"/>
      <c r="UEQ165" s="20"/>
      <c r="UER165" s="21"/>
      <c r="UES165" s="21"/>
      <c r="UET165" s="7"/>
      <c r="UEU165" s="7"/>
      <c r="UEV165" s="21"/>
      <c r="UEW165" s="20"/>
      <c r="UEX165" s="20"/>
      <c r="UEY165" s="20"/>
      <c r="UEZ165" s="21"/>
      <c r="UFA165" s="21"/>
      <c r="UFB165" s="21"/>
      <c r="UFC165" s="21"/>
      <c r="UFD165" s="21"/>
      <c r="UFE165" s="20"/>
      <c r="UFF165" s="20"/>
      <c r="UFG165" s="20"/>
      <c r="UFH165" s="20"/>
      <c r="UFI165" s="21"/>
      <c r="UFJ165" s="21"/>
      <c r="UFK165" s="7"/>
      <c r="UFL165" s="7"/>
      <c r="UFM165" s="21"/>
      <c r="UFN165" s="20"/>
      <c r="UFO165" s="20"/>
      <c r="UFP165" s="20"/>
      <c r="UFQ165" s="21"/>
      <c r="UFR165" s="21"/>
      <c r="UFS165" s="21"/>
      <c r="UFT165" s="21"/>
      <c r="UFU165" s="21"/>
      <c r="UFV165" s="20"/>
      <c r="UFW165" s="20"/>
      <c r="UFX165" s="20"/>
      <c r="UFY165" s="20"/>
      <c r="UFZ165" s="21"/>
      <c r="UGA165" s="21"/>
      <c r="UGB165" s="7"/>
      <c r="UGC165" s="7"/>
      <c r="UGD165" s="21"/>
      <c r="UGE165" s="20"/>
      <c r="UGF165" s="20"/>
      <c r="UGG165" s="20"/>
      <c r="UGH165" s="21"/>
      <c r="UGI165" s="21"/>
      <c r="UGJ165" s="21"/>
      <c r="UGK165" s="21"/>
      <c r="UGL165" s="21"/>
      <c r="UGM165" s="20"/>
      <c r="UGN165" s="20"/>
      <c r="UGO165" s="20"/>
      <c r="UGP165" s="20"/>
      <c r="UGQ165" s="21"/>
      <c r="UGR165" s="21"/>
      <c r="UGS165" s="7"/>
      <c r="UGT165" s="7"/>
      <c r="UGU165" s="21"/>
      <c r="UGV165" s="20"/>
      <c r="UGW165" s="20"/>
      <c r="UGX165" s="20"/>
      <c r="UGY165" s="21"/>
      <c r="UGZ165" s="21"/>
      <c r="UHA165" s="21"/>
      <c r="UHB165" s="21"/>
      <c r="UHC165" s="21"/>
      <c r="UHD165" s="20"/>
      <c r="UHE165" s="20"/>
      <c r="UHF165" s="20"/>
      <c r="UHG165" s="20"/>
      <c r="UHH165" s="21"/>
      <c r="UHI165" s="21"/>
      <c r="UHJ165" s="7"/>
      <c r="UHK165" s="7"/>
      <c r="UHL165" s="21"/>
      <c r="UHM165" s="20"/>
      <c r="UHN165" s="20"/>
      <c r="UHO165" s="20"/>
      <c r="UHP165" s="21"/>
      <c r="UHQ165" s="21"/>
      <c r="UHR165" s="21"/>
      <c r="UHS165" s="21"/>
      <c r="UHT165" s="21"/>
      <c r="UHU165" s="20"/>
      <c r="UHV165" s="20"/>
      <c r="UHW165" s="20"/>
      <c r="UHX165" s="20"/>
      <c r="UHY165" s="21"/>
      <c r="UHZ165" s="21"/>
      <c r="UIA165" s="7"/>
      <c r="UIB165" s="7"/>
      <c r="UIC165" s="21"/>
      <c r="UID165" s="20"/>
      <c r="UIE165" s="20"/>
      <c r="UIF165" s="20"/>
      <c r="UIG165" s="21"/>
      <c r="UIH165" s="21"/>
      <c r="UII165" s="21"/>
      <c r="UIJ165" s="21"/>
      <c r="UIK165" s="21"/>
      <c r="UIL165" s="20"/>
      <c r="UIM165" s="20"/>
      <c r="UIN165" s="20"/>
      <c r="UIO165" s="20"/>
      <c r="UIP165" s="21"/>
      <c r="UIQ165" s="21"/>
      <c r="UIR165" s="7"/>
      <c r="UIS165" s="7"/>
      <c r="UIT165" s="21"/>
      <c r="UIU165" s="20"/>
      <c r="UIV165" s="20"/>
      <c r="UIW165" s="20"/>
      <c r="UIX165" s="21"/>
      <c r="UIY165" s="21"/>
      <c r="UIZ165" s="21"/>
      <c r="UJA165" s="21"/>
      <c r="UJB165" s="21"/>
      <c r="UJC165" s="20"/>
      <c r="UJD165" s="20"/>
      <c r="UJE165" s="20"/>
      <c r="UJF165" s="20"/>
      <c r="UJG165" s="21"/>
      <c r="UJH165" s="21"/>
      <c r="UJI165" s="7"/>
      <c r="UJJ165" s="7"/>
      <c r="UJK165" s="21"/>
      <c r="UJL165" s="20"/>
      <c r="UJM165" s="20"/>
      <c r="UJN165" s="20"/>
      <c r="UJO165" s="21"/>
      <c r="UJP165" s="21"/>
      <c r="UJQ165" s="21"/>
      <c r="UJR165" s="21"/>
      <c r="UJS165" s="21"/>
      <c r="UJT165" s="20"/>
      <c r="UJU165" s="20"/>
      <c r="UJV165" s="20"/>
      <c r="UJW165" s="20"/>
      <c r="UJX165" s="21"/>
      <c r="UJY165" s="21"/>
      <c r="UJZ165" s="7"/>
      <c r="UKA165" s="7"/>
      <c r="UKB165" s="21"/>
      <c r="UKC165" s="20"/>
      <c r="UKD165" s="20"/>
      <c r="UKE165" s="20"/>
      <c r="UKF165" s="21"/>
      <c r="UKG165" s="21"/>
      <c r="UKH165" s="21"/>
      <c r="UKI165" s="21"/>
      <c r="UKJ165" s="21"/>
      <c r="UKK165" s="20"/>
      <c r="UKL165" s="20"/>
      <c r="UKM165" s="20"/>
      <c r="UKN165" s="20"/>
      <c r="UKO165" s="21"/>
      <c r="UKP165" s="21"/>
      <c r="UKQ165" s="7"/>
      <c r="UKR165" s="7"/>
      <c r="UKS165" s="21"/>
      <c r="UKT165" s="20"/>
      <c r="UKU165" s="20"/>
      <c r="UKV165" s="20"/>
      <c r="UKW165" s="21"/>
      <c r="UKX165" s="21"/>
      <c r="UKY165" s="21"/>
      <c r="UKZ165" s="21"/>
      <c r="ULA165" s="21"/>
      <c r="ULB165" s="20"/>
      <c r="ULC165" s="20"/>
      <c r="ULD165" s="20"/>
      <c r="ULE165" s="20"/>
      <c r="ULF165" s="21"/>
      <c r="ULG165" s="21"/>
      <c r="ULH165" s="7"/>
      <c r="ULI165" s="7"/>
      <c r="ULJ165" s="21"/>
      <c r="ULK165" s="20"/>
      <c r="ULL165" s="20"/>
      <c r="ULM165" s="20"/>
      <c r="ULN165" s="21"/>
      <c r="ULO165" s="21"/>
      <c r="ULP165" s="21"/>
      <c r="ULQ165" s="21"/>
      <c r="ULR165" s="21"/>
      <c r="ULS165" s="20"/>
      <c r="ULT165" s="20"/>
      <c r="ULU165" s="20"/>
      <c r="ULV165" s="20"/>
      <c r="ULW165" s="21"/>
      <c r="ULX165" s="21"/>
      <c r="ULY165" s="7"/>
      <c r="ULZ165" s="7"/>
      <c r="UMA165" s="21"/>
      <c r="UMB165" s="20"/>
      <c r="UMC165" s="20"/>
      <c r="UMD165" s="20"/>
      <c r="UME165" s="21"/>
      <c r="UMF165" s="21"/>
      <c r="UMG165" s="21"/>
      <c r="UMH165" s="21"/>
      <c r="UMI165" s="21"/>
      <c r="UMJ165" s="20"/>
      <c r="UMK165" s="20"/>
      <c r="UML165" s="20"/>
      <c r="UMM165" s="20"/>
      <c r="UMN165" s="21"/>
      <c r="UMO165" s="21"/>
      <c r="UMP165" s="7"/>
      <c r="UMQ165" s="7"/>
      <c r="UMR165" s="21"/>
      <c r="UMS165" s="20"/>
      <c r="UMT165" s="20"/>
      <c r="UMU165" s="20"/>
      <c r="UMV165" s="21"/>
      <c r="UMW165" s="21"/>
      <c r="UMX165" s="21"/>
      <c r="UMY165" s="21"/>
      <c r="UMZ165" s="21"/>
      <c r="UNA165" s="20"/>
      <c r="UNB165" s="20"/>
      <c r="UNC165" s="20"/>
      <c r="UND165" s="20"/>
      <c r="UNE165" s="21"/>
      <c r="UNF165" s="21"/>
      <c r="UNG165" s="7"/>
      <c r="UNH165" s="7"/>
      <c r="UNI165" s="21"/>
      <c r="UNJ165" s="20"/>
      <c r="UNK165" s="20"/>
      <c r="UNL165" s="20"/>
      <c r="UNM165" s="21"/>
      <c r="UNN165" s="21"/>
      <c r="UNO165" s="21"/>
      <c r="UNP165" s="21"/>
      <c r="UNQ165" s="21"/>
      <c r="UNR165" s="20"/>
      <c r="UNS165" s="20"/>
      <c r="UNT165" s="20"/>
      <c r="UNU165" s="20"/>
      <c r="UNV165" s="21"/>
      <c r="UNW165" s="21"/>
      <c r="UNX165" s="7"/>
      <c r="UNY165" s="7"/>
      <c r="UNZ165" s="21"/>
      <c r="UOA165" s="20"/>
      <c r="UOB165" s="20"/>
      <c r="UOC165" s="20"/>
      <c r="UOD165" s="21"/>
      <c r="UOE165" s="21"/>
      <c r="UOF165" s="21"/>
      <c r="UOG165" s="21"/>
      <c r="UOH165" s="21"/>
      <c r="UOI165" s="20"/>
      <c r="UOJ165" s="20"/>
      <c r="UOK165" s="20"/>
      <c r="UOL165" s="20"/>
      <c r="UOM165" s="21"/>
      <c r="UON165" s="21"/>
      <c r="UOO165" s="7"/>
      <c r="UOP165" s="7"/>
      <c r="UOQ165" s="21"/>
      <c r="UOR165" s="20"/>
      <c r="UOS165" s="20"/>
      <c r="UOT165" s="20"/>
      <c r="UOU165" s="21"/>
      <c r="UOV165" s="21"/>
      <c r="UOW165" s="21"/>
      <c r="UOX165" s="21"/>
      <c r="UOY165" s="21"/>
      <c r="UOZ165" s="20"/>
      <c r="UPA165" s="20"/>
      <c r="UPB165" s="20"/>
      <c r="UPC165" s="20"/>
      <c r="UPD165" s="21"/>
      <c r="UPE165" s="21"/>
      <c r="UPF165" s="7"/>
      <c r="UPG165" s="7"/>
      <c r="UPH165" s="21"/>
      <c r="UPI165" s="20"/>
      <c r="UPJ165" s="20"/>
      <c r="UPK165" s="20"/>
      <c r="UPL165" s="21"/>
      <c r="UPM165" s="21"/>
      <c r="UPN165" s="21"/>
      <c r="UPO165" s="21"/>
      <c r="UPP165" s="21"/>
      <c r="UPQ165" s="20"/>
      <c r="UPR165" s="20"/>
      <c r="UPS165" s="20"/>
      <c r="UPT165" s="20"/>
      <c r="UPU165" s="21"/>
      <c r="UPV165" s="21"/>
      <c r="UPW165" s="7"/>
      <c r="UPX165" s="7"/>
      <c r="UPY165" s="21"/>
      <c r="UPZ165" s="20"/>
      <c r="UQA165" s="20"/>
      <c r="UQB165" s="20"/>
      <c r="UQC165" s="21"/>
      <c r="UQD165" s="21"/>
      <c r="UQE165" s="21"/>
      <c r="UQF165" s="21"/>
      <c r="UQG165" s="21"/>
      <c r="UQH165" s="20"/>
      <c r="UQI165" s="20"/>
      <c r="UQJ165" s="20"/>
      <c r="UQK165" s="20"/>
      <c r="UQL165" s="21"/>
      <c r="UQM165" s="21"/>
      <c r="UQN165" s="7"/>
      <c r="UQO165" s="7"/>
      <c r="UQP165" s="21"/>
      <c r="UQQ165" s="20"/>
      <c r="UQR165" s="20"/>
      <c r="UQS165" s="20"/>
      <c r="UQT165" s="21"/>
      <c r="UQU165" s="21"/>
      <c r="UQV165" s="21"/>
      <c r="UQW165" s="21"/>
      <c r="UQX165" s="21"/>
      <c r="UQY165" s="20"/>
      <c r="UQZ165" s="20"/>
      <c r="URA165" s="20"/>
      <c r="URB165" s="20"/>
      <c r="URC165" s="21"/>
      <c r="URD165" s="21"/>
      <c r="URE165" s="7"/>
      <c r="URF165" s="7"/>
      <c r="URG165" s="21"/>
      <c r="URH165" s="20"/>
      <c r="URI165" s="20"/>
      <c r="URJ165" s="20"/>
      <c r="URK165" s="21"/>
      <c r="URL165" s="21"/>
      <c r="URM165" s="21"/>
      <c r="URN165" s="21"/>
      <c r="URO165" s="21"/>
      <c r="URP165" s="20"/>
      <c r="URQ165" s="20"/>
      <c r="URR165" s="20"/>
      <c r="URS165" s="20"/>
      <c r="URT165" s="21"/>
      <c r="URU165" s="21"/>
      <c r="URV165" s="7"/>
      <c r="URW165" s="7"/>
      <c r="URX165" s="21"/>
      <c r="URY165" s="20"/>
      <c r="URZ165" s="20"/>
      <c r="USA165" s="20"/>
      <c r="USB165" s="21"/>
      <c r="USC165" s="21"/>
      <c r="USD165" s="21"/>
      <c r="USE165" s="21"/>
      <c r="USF165" s="21"/>
      <c r="USG165" s="20"/>
      <c r="USH165" s="20"/>
      <c r="USI165" s="20"/>
      <c r="USJ165" s="20"/>
      <c r="USK165" s="21"/>
      <c r="USL165" s="21"/>
      <c r="USM165" s="7"/>
      <c r="USN165" s="7"/>
      <c r="USO165" s="21"/>
      <c r="USP165" s="20"/>
      <c r="USQ165" s="20"/>
      <c r="USR165" s="20"/>
      <c r="USS165" s="21"/>
      <c r="UST165" s="21"/>
      <c r="USU165" s="21"/>
      <c r="USV165" s="21"/>
      <c r="USW165" s="21"/>
      <c r="USX165" s="20"/>
      <c r="USY165" s="20"/>
      <c r="USZ165" s="20"/>
      <c r="UTA165" s="20"/>
      <c r="UTB165" s="21"/>
      <c r="UTC165" s="21"/>
      <c r="UTD165" s="7"/>
      <c r="UTE165" s="7"/>
      <c r="UTF165" s="21"/>
      <c r="UTG165" s="20"/>
      <c r="UTH165" s="20"/>
      <c r="UTI165" s="20"/>
      <c r="UTJ165" s="21"/>
      <c r="UTK165" s="21"/>
      <c r="UTL165" s="21"/>
      <c r="UTM165" s="21"/>
      <c r="UTN165" s="21"/>
      <c r="UTO165" s="20"/>
      <c r="UTP165" s="20"/>
      <c r="UTQ165" s="20"/>
      <c r="UTR165" s="20"/>
      <c r="UTS165" s="21"/>
      <c r="UTT165" s="21"/>
      <c r="UTU165" s="7"/>
      <c r="UTV165" s="7"/>
      <c r="UTW165" s="21"/>
      <c r="UTX165" s="20"/>
      <c r="UTY165" s="20"/>
      <c r="UTZ165" s="20"/>
      <c r="UUA165" s="21"/>
      <c r="UUB165" s="21"/>
      <c r="UUC165" s="21"/>
      <c r="UUD165" s="21"/>
      <c r="UUE165" s="21"/>
      <c r="UUF165" s="20"/>
      <c r="UUG165" s="20"/>
      <c r="UUH165" s="20"/>
      <c r="UUI165" s="20"/>
      <c r="UUJ165" s="21"/>
      <c r="UUK165" s="21"/>
      <c r="UUL165" s="7"/>
      <c r="UUM165" s="7"/>
      <c r="UUN165" s="21"/>
      <c r="UUO165" s="20"/>
      <c r="UUP165" s="20"/>
      <c r="UUQ165" s="20"/>
      <c r="UUR165" s="21"/>
      <c r="UUS165" s="21"/>
      <c r="UUT165" s="21"/>
      <c r="UUU165" s="21"/>
      <c r="UUV165" s="21"/>
      <c r="UUW165" s="20"/>
      <c r="UUX165" s="20"/>
      <c r="UUY165" s="20"/>
      <c r="UUZ165" s="20"/>
      <c r="UVA165" s="21"/>
      <c r="UVB165" s="21"/>
      <c r="UVC165" s="7"/>
      <c r="UVD165" s="7"/>
      <c r="UVE165" s="21"/>
      <c r="UVF165" s="20"/>
      <c r="UVG165" s="20"/>
      <c r="UVH165" s="20"/>
      <c r="UVI165" s="21"/>
      <c r="UVJ165" s="21"/>
      <c r="UVK165" s="21"/>
      <c r="UVL165" s="21"/>
      <c r="UVM165" s="21"/>
      <c r="UVN165" s="20"/>
      <c r="UVO165" s="20"/>
      <c r="UVP165" s="20"/>
      <c r="UVQ165" s="20"/>
      <c r="UVR165" s="21"/>
      <c r="UVS165" s="21"/>
      <c r="UVT165" s="7"/>
      <c r="UVU165" s="7"/>
      <c r="UVV165" s="21"/>
      <c r="UVW165" s="20"/>
      <c r="UVX165" s="20"/>
      <c r="UVY165" s="20"/>
      <c r="UVZ165" s="21"/>
      <c r="UWA165" s="21"/>
      <c r="UWB165" s="21"/>
      <c r="UWC165" s="21"/>
      <c r="UWD165" s="21"/>
      <c r="UWE165" s="20"/>
      <c r="UWF165" s="20"/>
      <c r="UWG165" s="20"/>
      <c r="UWH165" s="20"/>
      <c r="UWI165" s="21"/>
      <c r="UWJ165" s="21"/>
      <c r="UWK165" s="7"/>
      <c r="UWL165" s="7"/>
      <c r="UWM165" s="21"/>
      <c r="UWN165" s="20"/>
      <c r="UWO165" s="20"/>
      <c r="UWP165" s="20"/>
      <c r="UWQ165" s="21"/>
      <c r="UWR165" s="21"/>
      <c r="UWS165" s="21"/>
      <c r="UWT165" s="21"/>
      <c r="UWU165" s="21"/>
      <c r="UWV165" s="20"/>
      <c r="UWW165" s="20"/>
      <c r="UWX165" s="20"/>
      <c r="UWY165" s="20"/>
      <c r="UWZ165" s="21"/>
      <c r="UXA165" s="21"/>
      <c r="UXB165" s="7"/>
      <c r="UXC165" s="7"/>
      <c r="UXD165" s="21"/>
      <c r="UXE165" s="20"/>
      <c r="UXF165" s="20"/>
      <c r="UXG165" s="20"/>
      <c r="UXH165" s="21"/>
      <c r="UXI165" s="21"/>
      <c r="UXJ165" s="21"/>
      <c r="UXK165" s="21"/>
      <c r="UXL165" s="21"/>
      <c r="UXM165" s="20"/>
      <c r="UXN165" s="20"/>
      <c r="UXO165" s="20"/>
      <c r="UXP165" s="20"/>
      <c r="UXQ165" s="21"/>
      <c r="UXR165" s="21"/>
      <c r="UXS165" s="7"/>
      <c r="UXT165" s="7"/>
      <c r="UXU165" s="21"/>
      <c r="UXV165" s="20"/>
      <c r="UXW165" s="20"/>
      <c r="UXX165" s="20"/>
      <c r="UXY165" s="21"/>
      <c r="UXZ165" s="21"/>
      <c r="UYA165" s="21"/>
      <c r="UYB165" s="21"/>
      <c r="UYC165" s="21"/>
      <c r="UYD165" s="20"/>
      <c r="UYE165" s="20"/>
      <c r="UYF165" s="20"/>
      <c r="UYG165" s="20"/>
      <c r="UYH165" s="21"/>
      <c r="UYI165" s="21"/>
      <c r="UYJ165" s="7"/>
      <c r="UYK165" s="7"/>
      <c r="UYL165" s="21"/>
      <c r="UYM165" s="20"/>
      <c r="UYN165" s="20"/>
      <c r="UYO165" s="20"/>
      <c r="UYP165" s="21"/>
      <c r="UYQ165" s="21"/>
      <c r="UYR165" s="21"/>
      <c r="UYS165" s="21"/>
      <c r="UYT165" s="21"/>
      <c r="UYU165" s="20"/>
      <c r="UYV165" s="20"/>
      <c r="UYW165" s="20"/>
      <c r="UYX165" s="20"/>
      <c r="UYY165" s="21"/>
      <c r="UYZ165" s="21"/>
      <c r="UZA165" s="7"/>
      <c r="UZB165" s="7"/>
      <c r="UZC165" s="21"/>
      <c r="UZD165" s="20"/>
      <c r="UZE165" s="20"/>
      <c r="UZF165" s="20"/>
      <c r="UZG165" s="21"/>
      <c r="UZH165" s="21"/>
      <c r="UZI165" s="21"/>
      <c r="UZJ165" s="21"/>
      <c r="UZK165" s="21"/>
      <c r="UZL165" s="20"/>
      <c r="UZM165" s="20"/>
      <c r="UZN165" s="20"/>
      <c r="UZO165" s="20"/>
      <c r="UZP165" s="21"/>
      <c r="UZQ165" s="21"/>
      <c r="UZR165" s="7"/>
      <c r="UZS165" s="7"/>
      <c r="UZT165" s="21"/>
      <c r="UZU165" s="20"/>
      <c r="UZV165" s="20"/>
      <c r="UZW165" s="20"/>
      <c r="UZX165" s="21"/>
      <c r="UZY165" s="21"/>
      <c r="UZZ165" s="21"/>
      <c r="VAA165" s="21"/>
      <c r="VAB165" s="21"/>
      <c r="VAC165" s="20"/>
      <c r="VAD165" s="20"/>
      <c r="VAE165" s="20"/>
      <c r="VAF165" s="20"/>
      <c r="VAG165" s="21"/>
      <c r="VAH165" s="21"/>
      <c r="VAI165" s="7"/>
      <c r="VAJ165" s="7"/>
      <c r="VAK165" s="21"/>
      <c r="VAL165" s="20"/>
      <c r="VAM165" s="20"/>
      <c r="VAN165" s="20"/>
      <c r="VAO165" s="21"/>
      <c r="VAP165" s="21"/>
      <c r="VAQ165" s="21"/>
      <c r="VAR165" s="21"/>
      <c r="VAS165" s="21"/>
      <c r="VAT165" s="20"/>
      <c r="VAU165" s="20"/>
      <c r="VAV165" s="20"/>
      <c r="VAW165" s="20"/>
      <c r="VAX165" s="21"/>
      <c r="VAY165" s="21"/>
      <c r="VAZ165" s="7"/>
      <c r="VBA165" s="7"/>
      <c r="VBB165" s="21"/>
      <c r="VBC165" s="20"/>
      <c r="VBD165" s="20"/>
      <c r="VBE165" s="20"/>
      <c r="VBF165" s="21"/>
      <c r="VBG165" s="21"/>
      <c r="VBH165" s="21"/>
      <c r="VBI165" s="21"/>
      <c r="VBJ165" s="21"/>
      <c r="VBK165" s="20"/>
      <c r="VBL165" s="20"/>
      <c r="VBM165" s="20"/>
      <c r="VBN165" s="20"/>
      <c r="VBO165" s="21"/>
      <c r="VBP165" s="21"/>
      <c r="VBQ165" s="7"/>
      <c r="VBR165" s="7"/>
      <c r="VBS165" s="21"/>
      <c r="VBT165" s="20"/>
      <c r="VBU165" s="20"/>
      <c r="VBV165" s="20"/>
      <c r="VBW165" s="21"/>
      <c r="VBX165" s="21"/>
      <c r="VBY165" s="21"/>
      <c r="VBZ165" s="21"/>
      <c r="VCA165" s="21"/>
      <c r="VCB165" s="20"/>
      <c r="VCC165" s="20"/>
      <c r="VCD165" s="20"/>
      <c r="VCE165" s="20"/>
      <c r="VCF165" s="21"/>
      <c r="VCG165" s="21"/>
      <c r="VCH165" s="7"/>
      <c r="VCI165" s="7"/>
      <c r="VCJ165" s="21"/>
      <c r="VCK165" s="20"/>
      <c r="VCL165" s="20"/>
      <c r="VCM165" s="20"/>
      <c r="VCN165" s="21"/>
      <c r="VCO165" s="21"/>
      <c r="VCP165" s="21"/>
      <c r="VCQ165" s="21"/>
      <c r="VCR165" s="21"/>
      <c r="VCS165" s="20"/>
      <c r="VCT165" s="20"/>
      <c r="VCU165" s="20"/>
      <c r="VCV165" s="20"/>
      <c r="VCW165" s="21"/>
      <c r="VCX165" s="21"/>
      <c r="VCY165" s="7"/>
      <c r="VCZ165" s="7"/>
      <c r="VDA165" s="21"/>
      <c r="VDB165" s="20"/>
      <c r="VDC165" s="20"/>
      <c r="VDD165" s="20"/>
      <c r="VDE165" s="21"/>
      <c r="VDF165" s="21"/>
      <c r="VDG165" s="21"/>
      <c r="VDH165" s="21"/>
      <c r="VDI165" s="21"/>
      <c r="VDJ165" s="20"/>
      <c r="VDK165" s="20"/>
      <c r="VDL165" s="20"/>
      <c r="VDM165" s="20"/>
      <c r="VDN165" s="21"/>
      <c r="VDO165" s="21"/>
      <c r="VDP165" s="7"/>
      <c r="VDQ165" s="7"/>
      <c r="VDR165" s="21"/>
      <c r="VDS165" s="20"/>
      <c r="VDT165" s="20"/>
      <c r="VDU165" s="20"/>
      <c r="VDV165" s="21"/>
      <c r="VDW165" s="21"/>
      <c r="VDX165" s="21"/>
      <c r="VDY165" s="21"/>
      <c r="VDZ165" s="21"/>
      <c r="VEA165" s="20"/>
      <c r="VEB165" s="20"/>
      <c r="VEC165" s="20"/>
      <c r="VED165" s="20"/>
      <c r="VEE165" s="21"/>
      <c r="VEF165" s="21"/>
      <c r="VEG165" s="7"/>
      <c r="VEH165" s="7"/>
      <c r="VEI165" s="21"/>
      <c r="VEJ165" s="20"/>
      <c r="VEK165" s="20"/>
      <c r="VEL165" s="20"/>
      <c r="VEM165" s="21"/>
      <c r="VEN165" s="21"/>
      <c r="VEO165" s="21"/>
      <c r="VEP165" s="21"/>
      <c r="VEQ165" s="21"/>
      <c r="VER165" s="20"/>
      <c r="VES165" s="20"/>
      <c r="VET165" s="20"/>
      <c r="VEU165" s="20"/>
      <c r="VEV165" s="21"/>
      <c r="VEW165" s="21"/>
      <c r="VEX165" s="7"/>
      <c r="VEY165" s="7"/>
      <c r="VEZ165" s="21"/>
      <c r="VFA165" s="20"/>
      <c r="VFB165" s="20"/>
      <c r="VFC165" s="20"/>
      <c r="VFD165" s="21"/>
      <c r="VFE165" s="21"/>
      <c r="VFF165" s="21"/>
      <c r="VFG165" s="21"/>
      <c r="VFH165" s="21"/>
      <c r="VFI165" s="20"/>
      <c r="VFJ165" s="20"/>
      <c r="VFK165" s="20"/>
      <c r="VFL165" s="20"/>
      <c r="VFM165" s="21"/>
      <c r="VFN165" s="21"/>
      <c r="VFO165" s="7"/>
      <c r="VFP165" s="7"/>
      <c r="VFQ165" s="21"/>
      <c r="VFR165" s="20"/>
      <c r="VFS165" s="20"/>
      <c r="VFT165" s="20"/>
      <c r="VFU165" s="21"/>
      <c r="VFV165" s="21"/>
      <c r="VFW165" s="21"/>
      <c r="VFX165" s="21"/>
      <c r="VFY165" s="21"/>
      <c r="VFZ165" s="20"/>
      <c r="VGA165" s="20"/>
      <c r="VGB165" s="20"/>
      <c r="VGC165" s="20"/>
      <c r="VGD165" s="21"/>
      <c r="VGE165" s="21"/>
      <c r="VGF165" s="7"/>
      <c r="VGG165" s="7"/>
      <c r="VGH165" s="21"/>
      <c r="VGI165" s="20"/>
      <c r="VGJ165" s="20"/>
      <c r="VGK165" s="20"/>
      <c r="VGL165" s="21"/>
      <c r="VGM165" s="21"/>
      <c r="VGN165" s="21"/>
      <c r="VGO165" s="21"/>
      <c r="VGP165" s="21"/>
      <c r="VGQ165" s="20"/>
      <c r="VGR165" s="20"/>
      <c r="VGS165" s="20"/>
      <c r="VGT165" s="20"/>
      <c r="VGU165" s="21"/>
      <c r="VGV165" s="21"/>
      <c r="VGW165" s="7"/>
      <c r="VGX165" s="7"/>
      <c r="VGY165" s="21"/>
      <c r="VGZ165" s="20"/>
      <c r="VHA165" s="20"/>
      <c r="VHB165" s="20"/>
      <c r="VHC165" s="21"/>
      <c r="VHD165" s="21"/>
      <c r="VHE165" s="21"/>
      <c r="VHF165" s="21"/>
      <c r="VHG165" s="21"/>
      <c r="VHH165" s="20"/>
      <c r="VHI165" s="20"/>
      <c r="VHJ165" s="20"/>
      <c r="VHK165" s="20"/>
      <c r="VHL165" s="21"/>
      <c r="VHM165" s="21"/>
      <c r="VHN165" s="7"/>
      <c r="VHO165" s="7"/>
      <c r="VHP165" s="21"/>
      <c r="VHQ165" s="20"/>
      <c r="VHR165" s="20"/>
      <c r="VHS165" s="20"/>
      <c r="VHT165" s="21"/>
      <c r="VHU165" s="21"/>
      <c r="VHV165" s="21"/>
      <c r="VHW165" s="21"/>
      <c r="VHX165" s="21"/>
      <c r="VHY165" s="20"/>
      <c r="VHZ165" s="20"/>
      <c r="VIA165" s="20"/>
      <c r="VIB165" s="20"/>
      <c r="VIC165" s="21"/>
      <c r="VID165" s="21"/>
      <c r="VIE165" s="7"/>
      <c r="VIF165" s="7"/>
      <c r="VIG165" s="21"/>
      <c r="VIH165" s="20"/>
      <c r="VII165" s="20"/>
      <c r="VIJ165" s="20"/>
      <c r="VIK165" s="21"/>
      <c r="VIL165" s="21"/>
      <c r="VIM165" s="21"/>
      <c r="VIN165" s="21"/>
      <c r="VIO165" s="21"/>
      <c r="VIP165" s="20"/>
      <c r="VIQ165" s="20"/>
      <c r="VIR165" s="20"/>
      <c r="VIS165" s="20"/>
      <c r="VIT165" s="21"/>
      <c r="VIU165" s="21"/>
      <c r="VIV165" s="7"/>
      <c r="VIW165" s="7"/>
      <c r="VIX165" s="21"/>
      <c r="VIY165" s="20"/>
      <c r="VIZ165" s="20"/>
      <c r="VJA165" s="20"/>
      <c r="VJB165" s="21"/>
      <c r="VJC165" s="21"/>
      <c r="VJD165" s="21"/>
      <c r="VJE165" s="21"/>
      <c r="VJF165" s="21"/>
      <c r="VJG165" s="20"/>
      <c r="VJH165" s="20"/>
      <c r="VJI165" s="20"/>
      <c r="VJJ165" s="20"/>
      <c r="VJK165" s="21"/>
      <c r="VJL165" s="21"/>
      <c r="VJM165" s="7"/>
      <c r="VJN165" s="7"/>
      <c r="VJO165" s="21"/>
      <c r="VJP165" s="20"/>
      <c r="VJQ165" s="20"/>
      <c r="VJR165" s="20"/>
      <c r="VJS165" s="21"/>
      <c r="VJT165" s="21"/>
      <c r="VJU165" s="21"/>
      <c r="VJV165" s="21"/>
      <c r="VJW165" s="21"/>
      <c r="VJX165" s="20"/>
      <c r="VJY165" s="20"/>
      <c r="VJZ165" s="20"/>
      <c r="VKA165" s="20"/>
      <c r="VKB165" s="21"/>
      <c r="VKC165" s="21"/>
      <c r="VKD165" s="7"/>
      <c r="VKE165" s="7"/>
      <c r="VKF165" s="21"/>
      <c r="VKG165" s="20"/>
      <c r="VKH165" s="20"/>
      <c r="VKI165" s="20"/>
      <c r="VKJ165" s="21"/>
      <c r="VKK165" s="21"/>
      <c r="VKL165" s="21"/>
      <c r="VKM165" s="21"/>
      <c r="VKN165" s="21"/>
      <c r="VKO165" s="20"/>
      <c r="VKP165" s="20"/>
      <c r="VKQ165" s="20"/>
      <c r="VKR165" s="20"/>
      <c r="VKS165" s="21"/>
      <c r="VKT165" s="21"/>
      <c r="VKU165" s="7"/>
      <c r="VKV165" s="7"/>
      <c r="VKW165" s="21"/>
      <c r="VKX165" s="20"/>
      <c r="VKY165" s="20"/>
      <c r="VKZ165" s="20"/>
      <c r="VLA165" s="21"/>
      <c r="VLB165" s="21"/>
      <c r="VLC165" s="21"/>
      <c r="VLD165" s="21"/>
      <c r="VLE165" s="21"/>
      <c r="VLF165" s="20"/>
      <c r="VLG165" s="20"/>
      <c r="VLH165" s="20"/>
      <c r="VLI165" s="20"/>
      <c r="VLJ165" s="21"/>
      <c r="VLK165" s="21"/>
      <c r="VLL165" s="7"/>
      <c r="VLM165" s="7"/>
      <c r="VLN165" s="21"/>
      <c r="VLO165" s="20"/>
      <c r="VLP165" s="20"/>
      <c r="VLQ165" s="20"/>
      <c r="VLR165" s="21"/>
      <c r="VLS165" s="21"/>
      <c r="VLT165" s="21"/>
      <c r="VLU165" s="21"/>
      <c r="VLV165" s="21"/>
      <c r="VLW165" s="20"/>
      <c r="VLX165" s="20"/>
      <c r="VLY165" s="20"/>
      <c r="VLZ165" s="20"/>
      <c r="VMA165" s="21"/>
      <c r="VMB165" s="21"/>
      <c r="VMC165" s="7"/>
      <c r="VMD165" s="7"/>
      <c r="VME165" s="21"/>
      <c r="VMF165" s="20"/>
      <c r="VMG165" s="20"/>
      <c r="VMH165" s="20"/>
      <c r="VMI165" s="21"/>
      <c r="VMJ165" s="21"/>
      <c r="VMK165" s="21"/>
      <c r="VML165" s="21"/>
      <c r="VMM165" s="21"/>
      <c r="VMN165" s="20"/>
      <c r="VMO165" s="20"/>
      <c r="VMP165" s="20"/>
      <c r="VMQ165" s="20"/>
      <c r="VMR165" s="21"/>
      <c r="VMS165" s="21"/>
      <c r="VMT165" s="7"/>
      <c r="VMU165" s="7"/>
      <c r="VMV165" s="21"/>
      <c r="VMW165" s="20"/>
      <c r="VMX165" s="20"/>
      <c r="VMY165" s="20"/>
      <c r="VMZ165" s="21"/>
      <c r="VNA165" s="21"/>
      <c r="VNB165" s="21"/>
      <c r="VNC165" s="21"/>
      <c r="VND165" s="21"/>
      <c r="VNE165" s="20"/>
      <c r="VNF165" s="20"/>
      <c r="VNG165" s="20"/>
      <c r="VNH165" s="20"/>
      <c r="VNI165" s="21"/>
      <c r="VNJ165" s="21"/>
      <c r="VNK165" s="7"/>
      <c r="VNL165" s="7"/>
      <c r="VNM165" s="21"/>
      <c r="VNN165" s="20"/>
      <c r="VNO165" s="20"/>
      <c r="VNP165" s="20"/>
      <c r="VNQ165" s="21"/>
      <c r="VNR165" s="21"/>
      <c r="VNS165" s="21"/>
      <c r="VNT165" s="21"/>
      <c r="VNU165" s="21"/>
      <c r="VNV165" s="20"/>
      <c r="VNW165" s="20"/>
      <c r="VNX165" s="20"/>
      <c r="VNY165" s="20"/>
      <c r="VNZ165" s="21"/>
      <c r="VOA165" s="21"/>
      <c r="VOB165" s="7"/>
      <c r="VOC165" s="7"/>
      <c r="VOD165" s="21"/>
      <c r="VOE165" s="20"/>
      <c r="VOF165" s="20"/>
      <c r="VOG165" s="20"/>
      <c r="VOH165" s="21"/>
      <c r="VOI165" s="21"/>
      <c r="VOJ165" s="21"/>
      <c r="VOK165" s="21"/>
      <c r="VOL165" s="21"/>
      <c r="VOM165" s="20"/>
      <c r="VON165" s="20"/>
      <c r="VOO165" s="20"/>
      <c r="VOP165" s="20"/>
      <c r="VOQ165" s="21"/>
      <c r="VOR165" s="21"/>
      <c r="VOS165" s="7"/>
      <c r="VOT165" s="7"/>
      <c r="VOU165" s="21"/>
      <c r="VOV165" s="20"/>
      <c r="VOW165" s="20"/>
      <c r="VOX165" s="20"/>
      <c r="VOY165" s="21"/>
      <c r="VOZ165" s="21"/>
      <c r="VPA165" s="21"/>
      <c r="VPB165" s="21"/>
      <c r="VPC165" s="21"/>
      <c r="VPD165" s="20"/>
      <c r="VPE165" s="20"/>
      <c r="VPF165" s="20"/>
      <c r="VPG165" s="20"/>
      <c r="VPH165" s="21"/>
      <c r="VPI165" s="21"/>
      <c r="VPJ165" s="7"/>
      <c r="VPK165" s="7"/>
      <c r="VPL165" s="21"/>
      <c r="VPM165" s="20"/>
      <c r="VPN165" s="20"/>
      <c r="VPO165" s="20"/>
      <c r="VPP165" s="21"/>
      <c r="VPQ165" s="21"/>
      <c r="VPR165" s="21"/>
      <c r="VPS165" s="21"/>
      <c r="VPT165" s="21"/>
      <c r="VPU165" s="20"/>
      <c r="VPV165" s="20"/>
      <c r="VPW165" s="20"/>
      <c r="VPX165" s="20"/>
      <c r="VPY165" s="21"/>
      <c r="VPZ165" s="21"/>
      <c r="VQA165" s="7"/>
      <c r="VQB165" s="7"/>
      <c r="VQC165" s="21"/>
      <c r="VQD165" s="20"/>
      <c r="VQE165" s="20"/>
      <c r="VQF165" s="20"/>
      <c r="VQG165" s="21"/>
      <c r="VQH165" s="21"/>
      <c r="VQI165" s="21"/>
      <c r="VQJ165" s="21"/>
      <c r="VQK165" s="21"/>
      <c r="VQL165" s="20"/>
      <c r="VQM165" s="20"/>
      <c r="VQN165" s="20"/>
      <c r="VQO165" s="20"/>
      <c r="VQP165" s="21"/>
      <c r="VQQ165" s="21"/>
      <c r="VQR165" s="7"/>
      <c r="VQS165" s="7"/>
      <c r="VQT165" s="21"/>
      <c r="VQU165" s="20"/>
      <c r="VQV165" s="20"/>
      <c r="VQW165" s="20"/>
      <c r="VQX165" s="21"/>
      <c r="VQY165" s="21"/>
      <c r="VQZ165" s="21"/>
      <c r="VRA165" s="21"/>
      <c r="VRB165" s="21"/>
      <c r="VRC165" s="20"/>
      <c r="VRD165" s="20"/>
      <c r="VRE165" s="20"/>
      <c r="VRF165" s="20"/>
      <c r="VRG165" s="21"/>
      <c r="VRH165" s="21"/>
      <c r="VRI165" s="7"/>
      <c r="VRJ165" s="7"/>
      <c r="VRK165" s="21"/>
      <c r="VRL165" s="20"/>
      <c r="VRM165" s="20"/>
      <c r="VRN165" s="20"/>
      <c r="VRO165" s="21"/>
      <c r="VRP165" s="21"/>
      <c r="VRQ165" s="21"/>
      <c r="VRR165" s="21"/>
      <c r="VRS165" s="21"/>
      <c r="VRT165" s="20"/>
      <c r="VRU165" s="20"/>
      <c r="VRV165" s="20"/>
      <c r="VRW165" s="20"/>
      <c r="VRX165" s="21"/>
      <c r="VRY165" s="21"/>
      <c r="VRZ165" s="7"/>
      <c r="VSA165" s="7"/>
      <c r="VSB165" s="21"/>
      <c r="VSC165" s="20"/>
      <c r="VSD165" s="20"/>
      <c r="VSE165" s="20"/>
      <c r="VSF165" s="21"/>
      <c r="VSG165" s="21"/>
      <c r="VSH165" s="21"/>
      <c r="VSI165" s="21"/>
      <c r="VSJ165" s="21"/>
      <c r="VSK165" s="20"/>
      <c r="VSL165" s="20"/>
      <c r="VSM165" s="20"/>
      <c r="VSN165" s="20"/>
      <c r="VSO165" s="21"/>
      <c r="VSP165" s="21"/>
      <c r="VSQ165" s="7"/>
      <c r="VSR165" s="7"/>
      <c r="VSS165" s="21"/>
      <c r="VST165" s="20"/>
      <c r="VSU165" s="20"/>
      <c r="VSV165" s="20"/>
      <c r="VSW165" s="21"/>
      <c r="VSX165" s="21"/>
      <c r="VSY165" s="21"/>
      <c r="VSZ165" s="21"/>
      <c r="VTA165" s="21"/>
      <c r="VTB165" s="20"/>
      <c r="VTC165" s="20"/>
      <c r="VTD165" s="20"/>
      <c r="VTE165" s="20"/>
      <c r="VTF165" s="21"/>
      <c r="VTG165" s="21"/>
      <c r="VTH165" s="7"/>
      <c r="VTI165" s="7"/>
      <c r="VTJ165" s="21"/>
      <c r="VTK165" s="20"/>
      <c r="VTL165" s="20"/>
      <c r="VTM165" s="20"/>
      <c r="VTN165" s="21"/>
      <c r="VTO165" s="21"/>
      <c r="VTP165" s="21"/>
      <c r="VTQ165" s="21"/>
      <c r="VTR165" s="21"/>
      <c r="VTS165" s="20"/>
      <c r="VTT165" s="20"/>
      <c r="VTU165" s="20"/>
      <c r="VTV165" s="20"/>
      <c r="VTW165" s="21"/>
      <c r="VTX165" s="21"/>
      <c r="VTY165" s="7"/>
      <c r="VTZ165" s="7"/>
      <c r="VUA165" s="21"/>
      <c r="VUB165" s="20"/>
      <c r="VUC165" s="20"/>
      <c r="VUD165" s="20"/>
      <c r="VUE165" s="21"/>
      <c r="VUF165" s="21"/>
      <c r="VUG165" s="21"/>
      <c r="VUH165" s="21"/>
      <c r="VUI165" s="21"/>
      <c r="VUJ165" s="20"/>
      <c r="VUK165" s="20"/>
      <c r="VUL165" s="20"/>
      <c r="VUM165" s="20"/>
      <c r="VUN165" s="21"/>
      <c r="VUO165" s="21"/>
      <c r="VUP165" s="7"/>
      <c r="VUQ165" s="7"/>
      <c r="VUR165" s="21"/>
      <c r="VUS165" s="20"/>
      <c r="VUT165" s="20"/>
      <c r="VUU165" s="20"/>
      <c r="VUV165" s="21"/>
      <c r="VUW165" s="21"/>
      <c r="VUX165" s="21"/>
      <c r="VUY165" s="21"/>
      <c r="VUZ165" s="21"/>
      <c r="VVA165" s="20"/>
      <c r="VVB165" s="20"/>
      <c r="VVC165" s="20"/>
      <c r="VVD165" s="20"/>
      <c r="VVE165" s="21"/>
      <c r="VVF165" s="21"/>
      <c r="VVG165" s="7"/>
      <c r="VVH165" s="7"/>
      <c r="VVI165" s="21"/>
      <c r="VVJ165" s="20"/>
      <c r="VVK165" s="20"/>
      <c r="VVL165" s="20"/>
      <c r="VVM165" s="21"/>
      <c r="VVN165" s="21"/>
      <c r="VVO165" s="21"/>
      <c r="VVP165" s="21"/>
      <c r="VVQ165" s="21"/>
      <c r="VVR165" s="20"/>
      <c r="VVS165" s="20"/>
      <c r="VVT165" s="20"/>
      <c r="VVU165" s="20"/>
      <c r="VVV165" s="21"/>
      <c r="VVW165" s="21"/>
      <c r="VVX165" s="7"/>
      <c r="VVY165" s="7"/>
      <c r="VVZ165" s="21"/>
      <c r="VWA165" s="20"/>
      <c r="VWB165" s="20"/>
      <c r="VWC165" s="20"/>
      <c r="VWD165" s="21"/>
      <c r="VWE165" s="21"/>
      <c r="VWF165" s="21"/>
      <c r="VWG165" s="21"/>
      <c r="VWH165" s="21"/>
      <c r="VWI165" s="20"/>
      <c r="VWJ165" s="20"/>
      <c r="VWK165" s="20"/>
      <c r="VWL165" s="20"/>
      <c r="VWM165" s="21"/>
      <c r="VWN165" s="21"/>
      <c r="VWO165" s="7"/>
      <c r="VWP165" s="7"/>
      <c r="VWQ165" s="21"/>
      <c r="VWR165" s="20"/>
      <c r="VWS165" s="20"/>
      <c r="VWT165" s="20"/>
      <c r="VWU165" s="21"/>
      <c r="VWV165" s="21"/>
      <c r="VWW165" s="21"/>
      <c r="VWX165" s="21"/>
      <c r="VWY165" s="21"/>
      <c r="VWZ165" s="20"/>
      <c r="VXA165" s="20"/>
      <c r="VXB165" s="20"/>
      <c r="VXC165" s="20"/>
      <c r="VXD165" s="21"/>
      <c r="VXE165" s="21"/>
      <c r="VXF165" s="7"/>
      <c r="VXG165" s="7"/>
      <c r="VXH165" s="21"/>
      <c r="VXI165" s="20"/>
      <c r="VXJ165" s="20"/>
      <c r="VXK165" s="20"/>
      <c r="VXL165" s="21"/>
      <c r="VXM165" s="21"/>
      <c r="VXN165" s="21"/>
      <c r="VXO165" s="21"/>
      <c r="VXP165" s="21"/>
      <c r="VXQ165" s="20"/>
      <c r="VXR165" s="20"/>
      <c r="VXS165" s="20"/>
      <c r="VXT165" s="20"/>
      <c r="VXU165" s="21"/>
      <c r="VXV165" s="21"/>
      <c r="VXW165" s="7"/>
      <c r="VXX165" s="7"/>
      <c r="VXY165" s="21"/>
      <c r="VXZ165" s="20"/>
      <c r="VYA165" s="20"/>
      <c r="VYB165" s="20"/>
      <c r="VYC165" s="21"/>
      <c r="VYD165" s="21"/>
      <c r="VYE165" s="21"/>
      <c r="VYF165" s="21"/>
      <c r="VYG165" s="21"/>
      <c r="VYH165" s="20"/>
      <c r="VYI165" s="20"/>
      <c r="VYJ165" s="20"/>
      <c r="VYK165" s="20"/>
      <c r="VYL165" s="21"/>
      <c r="VYM165" s="21"/>
      <c r="VYN165" s="7"/>
      <c r="VYO165" s="7"/>
      <c r="VYP165" s="21"/>
      <c r="VYQ165" s="20"/>
      <c r="VYR165" s="20"/>
      <c r="VYS165" s="20"/>
      <c r="VYT165" s="21"/>
      <c r="VYU165" s="21"/>
      <c r="VYV165" s="21"/>
      <c r="VYW165" s="21"/>
      <c r="VYX165" s="21"/>
      <c r="VYY165" s="20"/>
      <c r="VYZ165" s="20"/>
      <c r="VZA165" s="20"/>
      <c r="VZB165" s="20"/>
      <c r="VZC165" s="21"/>
      <c r="VZD165" s="21"/>
      <c r="VZE165" s="7"/>
      <c r="VZF165" s="7"/>
      <c r="VZG165" s="21"/>
      <c r="VZH165" s="20"/>
      <c r="VZI165" s="20"/>
      <c r="VZJ165" s="20"/>
      <c r="VZK165" s="21"/>
      <c r="VZL165" s="21"/>
      <c r="VZM165" s="21"/>
      <c r="VZN165" s="21"/>
      <c r="VZO165" s="21"/>
      <c r="VZP165" s="20"/>
      <c r="VZQ165" s="20"/>
      <c r="VZR165" s="20"/>
      <c r="VZS165" s="20"/>
      <c r="VZT165" s="21"/>
      <c r="VZU165" s="21"/>
      <c r="VZV165" s="7"/>
      <c r="VZW165" s="7"/>
      <c r="VZX165" s="21"/>
      <c r="VZY165" s="20"/>
      <c r="VZZ165" s="20"/>
      <c r="WAA165" s="20"/>
      <c r="WAB165" s="21"/>
      <c r="WAC165" s="21"/>
      <c r="WAD165" s="21"/>
      <c r="WAE165" s="21"/>
      <c r="WAF165" s="21"/>
      <c r="WAG165" s="20"/>
      <c r="WAH165" s="20"/>
      <c r="WAI165" s="20"/>
      <c r="WAJ165" s="20"/>
      <c r="WAK165" s="21"/>
      <c r="WAL165" s="21"/>
      <c r="WAM165" s="7"/>
      <c r="WAN165" s="7"/>
      <c r="WAO165" s="21"/>
      <c r="WAP165" s="20"/>
      <c r="WAQ165" s="20"/>
      <c r="WAR165" s="20"/>
      <c r="WAS165" s="21"/>
      <c r="WAT165" s="21"/>
      <c r="WAU165" s="21"/>
      <c r="WAV165" s="21"/>
      <c r="WAW165" s="21"/>
      <c r="WAX165" s="20"/>
      <c r="WAY165" s="20"/>
      <c r="WAZ165" s="20"/>
      <c r="WBA165" s="20"/>
      <c r="WBB165" s="21"/>
      <c r="WBC165" s="21"/>
      <c r="WBD165" s="7"/>
      <c r="WBE165" s="7"/>
      <c r="WBF165" s="21"/>
      <c r="WBG165" s="20"/>
      <c r="WBH165" s="20"/>
      <c r="WBI165" s="20"/>
      <c r="WBJ165" s="21"/>
      <c r="WBK165" s="21"/>
      <c r="WBL165" s="21"/>
      <c r="WBM165" s="21"/>
      <c r="WBN165" s="21"/>
      <c r="WBO165" s="20"/>
      <c r="WBP165" s="20"/>
      <c r="WBQ165" s="20"/>
      <c r="WBR165" s="20"/>
      <c r="WBS165" s="21"/>
      <c r="WBT165" s="21"/>
      <c r="WBU165" s="7"/>
      <c r="WBV165" s="7"/>
      <c r="WBW165" s="21"/>
      <c r="WBX165" s="20"/>
      <c r="WBY165" s="20"/>
      <c r="WBZ165" s="20"/>
      <c r="WCA165" s="21"/>
      <c r="WCB165" s="21"/>
      <c r="WCC165" s="21"/>
      <c r="WCD165" s="21"/>
      <c r="WCE165" s="21"/>
      <c r="WCF165" s="20"/>
      <c r="WCG165" s="20"/>
      <c r="WCH165" s="20"/>
      <c r="WCI165" s="20"/>
      <c r="WCJ165" s="21"/>
      <c r="WCK165" s="21"/>
      <c r="WCL165" s="7"/>
      <c r="WCM165" s="7"/>
      <c r="WCN165" s="21"/>
      <c r="WCO165" s="20"/>
      <c r="WCP165" s="20"/>
      <c r="WCQ165" s="20"/>
      <c r="WCR165" s="21"/>
      <c r="WCS165" s="21"/>
      <c r="WCT165" s="21"/>
      <c r="WCU165" s="21"/>
      <c r="WCV165" s="21"/>
      <c r="WCW165" s="20"/>
      <c r="WCX165" s="20"/>
      <c r="WCY165" s="20"/>
      <c r="WCZ165" s="20"/>
      <c r="WDA165" s="21"/>
      <c r="WDB165" s="21"/>
      <c r="WDC165" s="7"/>
      <c r="WDD165" s="7"/>
      <c r="WDE165" s="21"/>
      <c r="WDF165" s="20"/>
      <c r="WDG165" s="20"/>
      <c r="WDH165" s="20"/>
      <c r="WDI165" s="21"/>
      <c r="WDJ165" s="21"/>
      <c r="WDK165" s="21"/>
      <c r="WDL165" s="21"/>
      <c r="WDM165" s="21"/>
      <c r="WDN165" s="20"/>
      <c r="WDO165" s="20"/>
      <c r="WDP165" s="20"/>
      <c r="WDQ165" s="20"/>
      <c r="WDR165" s="21"/>
      <c r="WDS165" s="21"/>
      <c r="WDT165" s="7"/>
      <c r="WDU165" s="7"/>
      <c r="WDV165" s="21"/>
      <c r="WDW165" s="20"/>
      <c r="WDX165" s="20"/>
      <c r="WDY165" s="20"/>
      <c r="WDZ165" s="21"/>
      <c r="WEA165" s="21"/>
      <c r="WEB165" s="21"/>
      <c r="WEC165" s="21"/>
      <c r="WED165" s="21"/>
      <c r="WEE165" s="20"/>
      <c r="WEF165" s="20"/>
      <c r="WEG165" s="20"/>
      <c r="WEH165" s="20"/>
      <c r="WEI165" s="21"/>
      <c r="WEJ165" s="21"/>
      <c r="WEK165" s="7"/>
      <c r="WEL165" s="7"/>
      <c r="WEM165" s="21"/>
      <c r="WEN165" s="20"/>
      <c r="WEO165" s="20"/>
      <c r="WEP165" s="20"/>
      <c r="WEQ165" s="21"/>
      <c r="WER165" s="21"/>
      <c r="WES165" s="21"/>
      <c r="WET165" s="21"/>
      <c r="WEU165" s="21"/>
      <c r="WEV165" s="20"/>
      <c r="WEW165" s="20"/>
      <c r="WEX165" s="20"/>
      <c r="WEY165" s="20"/>
      <c r="WEZ165" s="21"/>
      <c r="WFA165" s="21"/>
      <c r="WFB165" s="7"/>
      <c r="WFC165" s="7"/>
      <c r="WFD165" s="21"/>
      <c r="WFE165" s="20"/>
      <c r="WFF165" s="20"/>
      <c r="WFG165" s="20"/>
      <c r="WFH165" s="21"/>
      <c r="WFI165" s="21"/>
      <c r="WFJ165" s="21"/>
      <c r="WFK165" s="21"/>
      <c r="WFL165" s="21"/>
      <c r="WFM165" s="20"/>
      <c r="WFN165" s="20"/>
      <c r="WFO165" s="20"/>
      <c r="WFP165" s="20"/>
      <c r="WFQ165" s="21"/>
      <c r="WFR165" s="21"/>
      <c r="WFS165" s="7"/>
      <c r="WFT165" s="7"/>
      <c r="WFU165" s="21"/>
      <c r="WFV165" s="20"/>
      <c r="WFW165" s="20"/>
      <c r="WFX165" s="20"/>
      <c r="WFY165" s="21"/>
      <c r="WFZ165" s="21"/>
      <c r="WGA165" s="21"/>
      <c r="WGB165" s="21"/>
      <c r="WGC165" s="21"/>
      <c r="WGD165" s="20"/>
      <c r="WGE165" s="20"/>
      <c r="WGF165" s="20"/>
      <c r="WGG165" s="20"/>
      <c r="WGH165" s="21"/>
      <c r="WGI165" s="21"/>
      <c r="WGJ165" s="7"/>
      <c r="WGK165" s="7"/>
      <c r="WGL165" s="21"/>
      <c r="WGM165" s="20"/>
      <c r="WGN165" s="20"/>
      <c r="WGO165" s="20"/>
      <c r="WGP165" s="21"/>
      <c r="WGQ165" s="21"/>
      <c r="WGR165" s="21"/>
      <c r="WGS165" s="21"/>
      <c r="WGT165" s="21"/>
      <c r="WGU165" s="20"/>
      <c r="WGV165" s="20"/>
      <c r="WGW165" s="20"/>
      <c r="WGX165" s="20"/>
      <c r="WGY165" s="21"/>
      <c r="WGZ165" s="21"/>
      <c r="WHA165" s="7"/>
      <c r="WHB165" s="7"/>
      <c r="WHC165" s="21"/>
      <c r="WHD165" s="20"/>
      <c r="WHE165" s="20"/>
      <c r="WHF165" s="20"/>
      <c r="WHG165" s="21"/>
      <c r="WHH165" s="21"/>
      <c r="WHI165" s="21"/>
      <c r="WHJ165" s="21"/>
      <c r="WHK165" s="21"/>
      <c r="WHL165" s="20"/>
      <c r="WHM165" s="20"/>
      <c r="WHN165" s="20"/>
      <c r="WHO165" s="20"/>
      <c r="WHP165" s="21"/>
      <c r="WHQ165" s="21"/>
      <c r="WHR165" s="7"/>
      <c r="WHS165" s="7"/>
      <c r="WHT165" s="21"/>
      <c r="WHU165" s="20"/>
      <c r="WHV165" s="20"/>
      <c r="WHW165" s="20"/>
      <c r="WHX165" s="21"/>
      <c r="WHY165" s="21"/>
      <c r="WHZ165" s="21"/>
      <c r="WIA165" s="21"/>
      <c r="WIB165" s="21"/>
      <c r="WIC165" s="20"/>
      <c r="WID165" s="20"/>
      <c r="WIE165" s="20"/>
      <c r="WIF165" s="20"/>
      <c r="WIG165" s="21"/>
      <c r="WIH165" s="21"/>
      <c r="WII165" s="7"/>
      <c r="WIJ165" s="7"/>
      <c r="WIK165" s="21"/>
      <c r="WIL165" s="20"/>
      <c r="WIM165" s="20"/>
      <c r="WIN165" s="20"/>
      <c r="WIO165" s="21"/>
      <c r="WIP165" s="21"/>
      <c r="WIQ165" s="21"/>
      <c r="WIR165" s="21"/>
      <c r="WIS165" s="21"/>
      <c r="WIT165" s="20"/>
      <c r="WIU165" s="20"/>
      <c r="WIV165" s="20"/>
      <c r="WIW165" s="20"/>
      <c r="WIX165" s="21"/>
      <c r="WIY165" s="21"/>
      <c r="WIZ165" s="7"/>
      <c r="WJA165" s="7"/>
      <c r="WJB165" s="21"/>
      <c r="WJC165" s="20"/>
      <c r="WJD165" s="20"/>
      <c r="WJE165" s="20"/>
      <c r="WJF165" s="21"/>
      <c r="WJG165" s="21"/>
      <c r="WJH165" s="21"/>
      <c r="WJI165" s="21"/>
      <c r="WJJ165" s="21"/>
      <c r="WJK165" s="20"/>
      <c r="WJL165" s="20"/>
      <c r="WJM165" s="20"/>
      <c r="WJN165" s="20"/>
      <c r="WJO165" s="21"/>
      <c r="WJP165" s="21"/>
      <c r="WJQ165" s="7"/>
      <c r="WJR165" s="7"/>
      <c r="WJS165" s="21"/>
      <c r="WJT165" s="20"/>
      <c r="WJU165" s="20"/>
      <c r="WJV165" s="20"/>
      <c r="WJW165" s="21"/>
      <c r="WJX165" s="21"/>
      <c r="WJY165" s="21"/>
      <c r="WJZ165" s="21"/>
      <c r="WKA165" s="21"/>
      <c r="WKB165" s="20"/>
      <c r="WKC165" s="20"/>
      <c r="WKD165" s="20"/>
      <c r="WKE165" s="20"/>
      <c r="WKF165" s="21"/>
      <c r="WKG165" s="21"/>
      <c r="WKH165" s="7"/>
      <c r="WKI165" s="7"/>
      <c r="WKJ165" s="21"/>
      <c r="WKK165" s="20"/>
      <c r="WKL165" s="20"/>
      <c r="WKM165" s="20"/>
      <c r="WKN165" s="21"/>
      <c r="WKO165" s="21"/>
      <c r="WKP165" s="21"/>
      <c r="WKQ165" s="21"/>
      <c r="WKR165" s="21"/>
      <c r="WKS165" s="20"/>
      <c r="WKT165" s="20"/>
      <c r="WKU165" s="20"/>
      <c r="WKV165" s="20"/>
      <c r="WKW165" s="21"/>
      <c r="WKX165" s="21"/>
      <c r="WKY165" s="7"/>
      <c r="WKZ165" s="7"/>
      <c r="WLA165" s="21"/>
      <c r="WLB165" s="20"/>
      <c r="WLC165" s="20"/>
      <c r="WLD165" s="20"/>
      <c r="WLE165" s="21"/>
      <c r="WLF165" s="21"/>
      <c r="WLG165" s="21"/>
      <c r="WLH165" s="21"/>
      <c r="WLI165" s="21"/>
      <c r="WLJ165" s="20"/>
      <c r="WLK165" s="20"/>
      <c r="WLL165" s="20"/>
      <c r="WLM165" s="20"/>
      <c r="WLN165" s="21"/>
      <c r="WLO165" s="21"/>
      <c r="WLP165" s="7"/>
      <c r="WLQ165" s="7"/>
      <c r="WLR165" s="21"/>
      <c r="WLS165" s="20"/>
      <c r="WLT165" s="20"/>
      <c r="WLU165" s="20"/>
      <c r="WLV165" s="21"/>
      <c r="WLW165" s="21"/>
      <c r="WLX165" s="21"/>
      <c r="WLY165" s="21"/>
      <c r="WLZ165" s="21"/>
      <c r="WMA165" s="20"/>
      <c r="WMB165" s="20"/>
      <c r="WMC165" s="20"/>
      <c r="WMD165" s="20"/>
      <c r="WME165" s="21"/>
      <c r="WMF165" s="21"/>
      <c r="WMG165" s="7"/>
      <c r="WMH165" s="7"/>
      <c r="WMI165" s="21"/>
      <c r="WMJ165" s="20"/>
      <c r="WMK165" s="20"/>
      <c r="WML165" s="20"/>
      <c r="WMM165" s="21"/>
      <c r="WMN165" s="21"/>
      <c r="WMO165" s="21"/>
      <c r="WMP165" s="21"/>
      <c r="WMQ165" s="21"/>
      <c r="WMR165" s="20"/>
      <c r="WMS165" s="20"/>
      <c r="WMT165" s="20"/>
      <c r="WMU165" s="20"/>
      <c r="WMV165" s="21"/>
      <c r="WMW165" s="21"/>
      <c r="WMX165" s="7"/>
      <c r="WMY165" s="7"/>
      <c r="WMZ165" s="21"/>
      <c r="WNA165" s="20"/>
      <c r="WNB165" s="20"/>
      <c r="WNC165" s="20"/>
      <c r="WND165" s="21"/>
      <c r="WNE165" s="21"/>
      <c r="WNF165" s="21"/>
      <c r="WNG165" s="21"/>
      <c r="WNH165" s="21"/>
      <c r="WNI165" s="20"/>
      <c r="WNJ165" s="20"/>
      <c r="WNK165" s="20"/>
      <c r="WNL165" s="20"/>
      <c r="WNM165" s="21"/>
      <c r="WNN165" s="21"/>
      <c r="WNO165" s="7"/>
      <c r="WNP165" s="7"/>
      <c r="WNQ165" s="21"/>
      <c r="WNR165" s="20"/>
      <c r="WNS165" s="20"/>
      <c r="WNT165" s="20"/>
      <c r="WNU165" s="21"/>
      <c r="WNV165" s="21"/>
      <c r="WNW165" s="21"/>
      <c r="WNX165" s="21"/>
      <c r="WNY165" s="21"/>
      <c r="WNZ165" s="20"/>
      <c r="WOA165" s="20"/>
      <c r="WOB165" s="20"/>
      <c r="WOC165" s="20"/>
      <c r="WOD165" s="21"/>
      <c r="WOE165" s="21"/>
      <c r="WOF165" s="7"/>
      <c r="WOG165" s="7"/>
      <c r="WOH165" s="21"/>
      <c r="WOI165" s="20"/>
      <c r="WOJ165" s="20"/>
      <c r="WOK165" s="20"/>
      <c r="WOL165" s="21"/>
      <c r="WOM165" s="21"/>
      <c r="WON165" s="21"/>
      <c r="WOO165" s="21"/>
      <c r="WOP165" s="21"/>
      <c r="WOQ165" s="20"/>
      <c r="WOR165" s="20"/>
      <c r="WOS165" s="20"/>
      <c r="WOT165" s="20"/>
      <c r="WOU165" s="21"/>
      <c r="WOV165" s="21"/>
      <c r="WOW165" s="7"/>
      <c r="WOX165" s="7"/>
      <c r="WOY165" s="21"/>
      <c r="WOZ165" s="20"/>
      <c r="WPA165" s="20"/>
      <c r="WPB165" s="20"/>
      <c r="WPC165" s="21"/>
      <c r="WPD165" s="21"/>
      <c r="WPE165" s="21"/>
      <c r="WPF165" s="21"/>
      <c r="WPG165" s="21"/>
      <c r="WPH165" s="20"/>
      <c r="WPI165" s="20"/>
      <c r="WPJ165" s="20"/>
      <c r="WPK165" s="20"/>
      <c r="WPL165" s="21"/>
      <c r="WPM165" s="21"/>
      <c r="WPN165" s="7"/>
      <c r="WPO165" s="7"/>
      <c r="WPP165" s="21"/>
      <c r="WPQ165" s="20"/>
      <c r="WPR165" s="20"/>
      <c r="WPS165" s="20"/>
      <c r="WPT165" s="21"/>
      <c r="WPU165" s="21"/>
      <c r="WPV165" s="21"/>
      <c r="WPW165" s="21"/>
      <c r="WPX165" s="21"/>
      <c r="WPY165" s="20"/>
      <c r="WPZ165" s="20"/>
      <c r="WQA165" s="20"/>
      <c r="WQB165" s="20"/>
      <c r="WQC165" s="21"/>
      <c r="WQD165" s="21"/>
      <c r="WQE165" s="7"/>
      <c r="WQF165" s="7"/>
      <c r="WQG165" s="21"/>
      <c r="WQH165" s="20"/>
      <c r="WQI165" s="20"/>
      <c r="WQJ165" s="20"/>
      <c r="WQK165" s="21"/>
      <c r="WQL165" s="21"/>
      <c r="WQM165" s="21"/>
      <c r="WQN165" s="21"/>
      <c r="WQO165" s="21"/>
      <c r="WQP165" s="20"/>
      <c r="WQQ165" s="20"/>
      <c r="WQR165" s="20"/>
      <c r="WQS165" s="20"/>
      <c r="WQT165" s="21"/>
      <c r="WQU165" s="21"/>
      <c r="WQV165" s="7"/>
      <c r="WQW165" s="7"/>
      <c r="WQX165" s="21"/>
      <c r="WQY165" s="20"/>
      <c r="WQZ165" s="20"/>
      <c r="WRA165" s="20"/>
      <c r="WRB165" s="21"/>
      <c r="WRC165" s="21"/>
      <c r="WRD165" s="21"/>
      <c r="WRE165" s="21"/>
      <c r="WRF165" s="21"/>
      <c r="WRG165" s="20"/>
      <c r="WRH165" s="20"/>
      <c r="WRI165" s="20"/>
      <c r="WRJ165" s="20"/>
      <c r="WRK165" s="21"/>
      <c r="WRL165" s="21"/>
      <c r="WRM165" s="7"/>
      <c r="WRN165" s="7"/>
      <c r="WRO165" s="21"/>
      <c r="WRP165" s="20"/>
      <c r="WRQ165" s="20"/>
      <c r="WRR165" s="20"/>
      <c r="WRS165" s="21"/>
      <c r="WRT165" s="21"/>
      <c r="WRU165" s="21"/>
      <c r="WRV165" s="21"/>
      <c r="WRW165" s="21"/>
      <c r="WRX165" s="20"/>
      <c r="WRY165" s="20"/>
      <c r="WRZ165" s="20"/>
      <c r="WSA165" s="20"/>
      <c r="WSB165" s="21"/>
      <c r="WSC165" s="21"/>
      <c r="WSD165" s="7"/>
      <c r="WSE165" s="7"/>
      <c r="WSF165" s="21"/>
      <c r="WSG165" s="20"/>
      <c r="WSH165" s="20"/>
      <c r="WSI165" s="20"/>
      <c r="WSJ165" s="21"/>
      <c r="WSK165" s="21"/>
      <c r="WSL165" s="21"/>
      <c r="WSM165" s="21"/>
      <c r="WSN165" s="21"/>
      <c r="WSO165" s="20"/>
      <c r="WSP165" s="20"/>
      <c r="WSQ165" s="20"/>
      <c r="WSR165" s="20"/>
      <c r="WSS165" s="21"/>
      <c r="WST165" s="21"/>
      <c r="WSU165" s="7"/>
      <c r="WSV165" s="7"/>
      <c r="WSW165" s="21"/>
      <c r="WSX165" s="20"/>
      <c r="WSY165" s="20"/>
      <c r="WSZ165" s="20"/>
      <c r="WTA165" s="21"/>
      <c r="WTB165" s="21"/>
      <c r="WTC165" s="21"/>
      <c r="WTD165" s="21"/>
      <c r="WTE165" s="21"/>
      <c r="WTF165" s="20"/>
      <c r="WTG165" s="20"/>
      <c r="WTH165" s="20"/>
      <c r="WTI165" s="20"/>
      <c r="WTJ165" s="21"/>
      <c r="WTK165" s="21"/>
      <c r="WTL165" s="7"/>
      <c r="WTM165" s="7"/>
      <c r="WTN165" s="21"/>
      <c r="WTO165" s="20"/>
      <c r="WTP165" s="20"/>
      <c r="WTQ165" s="20"/>
      <c r="WTR165" s="21"/>
      <c r="WTS165" s="21"/>
      <c r="WTT165" s="21"/>
      <c r="WTU165" s="21"/>
      <c r="WTV165" s="21"/>
      <c r="WTW165" s="20"/>
      <c r="WTX165" s="20"/>
      <c r="WTY165" s="20"/>
      <c r="WTZ165" s="20"/>
      <c r="WUA165" s="21"/>
      <c r="WUB165" s="21"/>
      <c r="WUC165" s="7"/>
      <c r="WUD165" s="7"/>
      <c r="WUE165" s="21"/>
      <c r="WUF165" s="20"/>
      <c r="WUG165" s="20"/>
      <c r="WUH165" s="20"/>
      <c r="WUI165" s="21"/>
      <c r="WUJ165" s="21"/>
      <c r="WUK165" s="21"/>
      <c r="WUL165" s="21"/>
      <c r="WUM165" s="21"/>
      <c r="WUN165" s="20"/>
      <c r="WUO165" s="20"/>
      <c r="WUP165" s="20"/>
      <c r="WUQ165" s="20"/>
      <c r="WUR165" s="21"/>
      <c r="WUS165" s="21"/>
      <c r="WUT165" s="7"/>
      <c r="WUU165" s="7"/>
      <c r="WUV165" s="21"/>
      <c r="WUW165" s="20"/>
      <c r="WUX165" s="20"/>
      <c r="WUY165" s="20"/>
      <c r="WUZ165" s="21"/>
      <c r="WVA165" s="21"/>
      <c r="WVB165" s="21"/>
      <c r="WVC165" s="21"/>
      <c r="WVD165" s="21"/>
      <c r="WVE165" s="20"/>
      <c r="WVF165" s="20"/>
      <c r="WVG165" s="20"/>
      <c r="WVH165" s="20"/>
      <c r="WVI165" s="21"/>
      <c r="WVJ165" s="21"/>
      <c r="WVK165" s="7"/>
      <c r="WVL165" s="7"/>
      <c r="WVM165" s="21"/>
      <c r="WVN165" s="20"/>
      <c r="WVO165" s="20"/>
      <c r="WVP165" s="20"/>
      <c r="WVQ165" s="21"/>
      <c r="WVR165" s="21"/>
      <c r="WVS165" s="21"/>
      <c r="WVT165" s="21"/>
      <c r="WVU165" s="21"/>
      <c r="WVV165" s="20"/>
      <c r="WVW165" s="20"/>
      <c r="WVX165" s="20"/>
      <c r="WVY165" s="20"/>
      <c r="WVZ165" s="21"/>
      <c r="WWA165" s="21"/>
      <c r="WWB165" s="7"/>
      <c r="WWC165" s="7"/>
      <c r="WWD165" s="21"/>
      <c r="WWE165" s="20"/>
      <c r="WWF165" s="20"/>
      <c r="WWG165" s="20"/>
      <c r="WWH165" s="21"/>
      <c r="WWI165" s="21"/>
      <c r="WWJ165" s="21"/>
      <c r="WWK165" s="21"/>
      <c r="WWL165" s="21"/>
      <c r="WWM165" s="20"/>
      <c r="WWN165" s="20"/>
      <c r="WWO165" s="20"/>
      <c r="WWP165" s="20"/>
      <c r="WWQ165" s="21"/>
      <c r="WWR165" s="21"/>
      <c r="WWS165" s="7"/>
      <c r="WWT165" s="7"/>
      <c r="WWU165" s="21"/>
      <c r="WWV165" s="20"/>
      <c r="WWW165" s="20"/>
      <c r="WWX165" s="20"/>
      <c r="WWY165" s="21"/>
      <c r="WWZ165" s="21"/>
      <c r="WXA165" s="21"/>
      <c r="WXB165" s="21"/>
      <c r="WXC165" s="21"/>
      <c r="WXD165" s="20"/>
      <c r="WXE165" s="20"/>
      <c r="WXF165" s="20"/>
      <c r="WXG165" s="20"/>
      <c r="WXH165" s="21"/>
      <c r="WXI165" s="21"/>
      <c r="WXJ165" s="7"/>
      <c r="WXK165" s="7"/>
      <c r="WXL165" s="21"/>
      <c r="WXM165" s="20"/>
      <c r="WXN165" s="20"/>
      <c r="WXO165" s="20"/>
      <c r="WXP165" s="21"/>
      <c r="WXQ165" s="21"/>
      <c r="WXR165" s="21"/>
      <c r="WXS165" s="21"/>
      <c r="WXT165" s="21"/>
      <c r="WXU165" s="20"/>
      <c r="WXV165" s="20"/>
      <c r="WXW165" s="20"/>
      <c r="WXX165" s="20"/>
      <c r="WXY165" s="21"/>
      <c r="WXZ165" s="21"/>
      <c r="WYA165" s="7"/>
      <c r="WYB165" s="7"/>
      <c r="WYC165" s="21"/>
      <c r="WYD165" s="20"/>
      <c r="WYE165" s="20"/>
      <c r="WYF165" s="20"/>
      <c r="WYG165" s="21"/>
      <c r="WYH165" s="21"/>
      <c r="WYI165" s="21"/>
      <c r="WYJ165" s="21"/>
      <c r="WYK165" s="21"/>
      <c r="WYL165" s="20"/>
      <c r="WYM165" s="20"/>
      <c r="WYN165" s="20"/>
      <c r="WYO165" s="20"/>
      <c r="WYP165" s="21"/>
      <c r="WYQ165" s="21"/>
      <c r="WYR165" s="7"/>
      <c r="WYS165" s="7"/>
      <c r="WYT165" s="21"/>
      <c r="WYU165" s="20"/>
      <c r="WYV165" s="20"/>
      <c r="WYW165" s="20"/>
      <c r="WYX165" s="21"/>
      <c r="WYY165" s="21"/>
      <c r="WYZ165" s="21"/>
      <c r="WZA165" s="21"/>
      <c r="WZB165" s="21"/>
      <c r="WZC165" s="20"/>
      <c r="WZD165" s="20"/>
      <c r="WZE165" s="20"/>
      <c r="WZF165" s="20"/>
      <c r="WZG165" s="21"/>
      <c r="WZH165" s="21"/>
      <c r="WZI165" s="7"/>
      <c r="WZJ165" s="7"/>
      <c r="WZK165" s="21"/>
      <c r="WZL165" s="20"/>
      <c r="WZM165" s="20"/>
      <c r="WZN165" s="20"/>
      <c r="WZO165" s="21"/>
      <c r="WZP165" s="21"/>
      <c r="WZQ165" s="21"/>
      <c r="WZR165" s="21"/>
      <c r="WZS165" s="21"/>
      <c r="WZT165" s="20"/>
      <c r="WZU165" s="20"/>
      <c r="WZV165" s="20"/>
      <c r="WZW165" s="20"/>
      <c r="WZX165" s="21"/>
      <c r="WZY165" s="21"/>
      <c r="WZZ165" s="7"/>
      <c r="XAA165" s="7"/>
      <c r="XAB165" s="21"/>
      <c r="XAC165" s="20"/>
      <c r="XAD165" s="20"/>
      <c r="XAE165" s="20"/>
      <c r="XAF165" s="21"/>
      <c r="XAG165" s="21"/>
      <c r="XAH165" s="21"/>
      <c r="XAI165" s="21"/>
      <c r="XAJ165" s="21"/>
      <c r="XAK165" s="20"/>
      <c r="XAL165" s="20"/>
      <c r="XAM165" s="20"/>
      <c r="XAN165" s="20"/>
      <c r="XAO165" s="21"/>
      <c r="XAP165" s="21"/>
      <c r="XAQ165" s="7"/>
      <c r="XAR165" s="7"/>
      <c r="XAS165" s="21"/>
      <c r="XAT165" s="20"/>
      <c r="XAU165" s="20"/>
      <c r="XAV165" s="20"/>
      <c r="XAW165" s="21"/>
      <c r="XAX165" s="21"/>
      <c r="XAY165" s="21"/>
      <c r="XAZ165" s="21"/>
      <c r="XBA165" s="21"/>
      <c r="XBB165" s="20"/>
      <c r="XBC165" s="20"/>
      <c r="XBD165" s="20"/>
      <c r="XBE165" s="20"/>
      <c r="XBF165" s="21"/>
      <c r="XBG165" s="21"/>
      <c r="XBH165" s="7"/>
      <c r="XBI165" s="7"/>
      <c r="XBJ165" s="21"/>
      <c r="XBK165" s="20"/>
      <c r="XBL165" s="20"/>
      <c r="XBM165" s="20"/>
      <c r="XBN165" s="21"/>
      <c r="XBO165" s="21"/>
      <c r="XBP165" s="21"/>
      <c r="XBQ165" s="21"/>
      <c r="XBR165" s="21"/>
      <c r="XBS165" s="20"/>
      <c r="XBT165" s="20"/>
      <c r="XBU165" s="20"/>
      <c r="XBV165" s="20"/>
      <c r="XBW165" s="21"/>
      <c r="XBX165" s="21"/>
      <c r="XBY165" s="7"/>
      <c r="XBZ165" s="7"/>
      <c r="XCA165" s="21"/>
      <c r="XCB165" s="20"/>
      <c r="XCC165" s="20"/>
      <c r="XCD165" s="20"/>
      <c r="XCE165" s="21"/>
      <c r="XCF165" s="21"/>
      <c r="XCG165" s="21"/>
      <c r="XCH165" s="21"/>
      <c r="XCI165" s="21"/>
      <c r="XCJ165" s="20"/>
      <c r="XCK165" s="20"/>
      <c r="XCL165" s="20"/>
      <c r="XCM165" s="20"/>
      <c r="XCN165" s="21"/>
      <c r="XCO165" s="21"/>
      <c r="XCP165" s="7"/>
      <c r="XCQ165" s="7"/>
      <c r="XCR165" s="21"/>
      <c r="XCS165" s="20"/>
      <c r="XCT165" s="20"/>
      <c r="XCU165" s="20"/>
      <c r="XCV165" s="21"/>
      <c r="XCW165" s="21"/>
      <c r="XCX165" s="21"/>
      <c r="XCY165" s="21"/>
      <c r="XCZ165" s="21"/>
      <c r="XDA165" s="20"/>
      <c r="XDB165" s="20"/>
      <c r="XDC165" s="20"/>
      <c r="XDD165" s="20"/>
      <c r="XDE165" s="21"/>
      <c r="XDF165" s="21"/>
      <c r="XDG165" s="7"/>
      <c r="XDH165" s="7"/>
      <c r="XDI165" s="21"/>
      <c r="XDJ165" s="20"/>
      <c r="XDK165" s="20"/>
      <c r="XDL165" s="20"/>
      <c r="XDM165" s="21"/>
      <c r="XDN165" s="21"/>
      <c r="XDO165" s="21"/>
      <c r="XDP165" s="21"/>
      <c r="XDQ165" s="21"/>
      <c r="XDR165" s="20"/>
      <c r="XDS165" s="20"/>
      <c r="XDT165" s="20"/>
      <c r="XDU165" s="20"/>
      <c r="XDV165" s="21"/>
      <c r="XDW165" s="21"/>
      <c r="XDX165" s="7"/>
      <c r="XDY165" s="7"/>
      <c r="XDZ165" s="21"/>
      <c r="XEA165" s="20"/>
      <c r="XEB165" s="20"/>
      <c r="XEC165" s="20"/>
      <c r="XED165" s="21"/>
      <c r="XEE165" s="21"/>
      <c r="XEF165" s="21"/>
      <c r="XEG165" s="21"/>
      <c r="XEH165" s="21"/>
      <c r="XEI165" s="20"/>
      <c r="XEJ165" s="20"/>
      <c r="XEK165" s="20"/>
      <c r="XEL165" s="20"/>
      <c r="XEM165" s="21"/>
      <c r="XEN165" s="21"/>
      <c r="XEO165" s="7"/>
      <c r="XEP165" s="7"/>
      <c r="XEQ165" s="21"/>
      <c r="XER165" s="20"/>
      <c r="XES165" s="20"/>
      <c r="XET165" s="20"/>
      <c r="XEU165" s="21"/>
      <c r="XEV165" s="21"/>
      <c r="XEW165" s="21"/>
      <c r="XEX165" s="21"/>
      <c r="XEY165" s="21"/>
      <c r="XEZ165" s="20"/>
      <c r="XFA165" s="20"/>
      <c r="XFB165" s="20"/>
      <c r="XFC165" s="20"/>
      <c r="XFD165" s="21"/>
    </row>
    <row r="166" spans="1:16384" s="3" customFormat="1" ht="14.25" customHeight="1" x14ac:dyDescent="0.25">
      <c r="A166" s="29">
        <v>0</v>
      </c>
      <c r="B166" s="29">
        <v>2</v>
      </c>
      <c r="C166" s="29">
        <v>2</v>
      </c>
      <c r="D166" s="30" t="s">
        <v>709</v>
      </c>
      <c r="E166" s="30" t="s">
        <v>30</v>
      </c>
      <c r="F166" s="30" t="s">
        <v>711</v>
      </c>
      <c r="G166" s="30" t="s">
        <v>712</v>
      </c>
      <c r="H166" s="30" t="s">
        <v>165</v>
      </c>
      <c r="I166" s="29" t="s">
        <v>713</v>
      </c>
      <c r="J166" s="29">
        <v>99</v>
      </c>
      <c r="K166" s="29" t="s">
        <v>320</v>
      </c>
      <c r="L166" s="29">
        <v>55</v>
      </c>
      <c r="M166" s="30" t="s">
        <v>992</v>
      </c>
      <c r="N166" s="30" t="s">
        <v>906</v>
      </c>
      <c r="O166" s="31">
        <v>1</v>
      </c>
      <c r="P166" s="31"/>
      <c r="Q166" s="30" t="s">
        <v>990</v>
      </c>
      <c r="R166" s="2"/>
      <c r="S166" s="2">
        <f t="shared" si="71"/>
        <v>0</v>
      </c>
      <c r="T166" s="2">
        <f t="shared" si="72"/>
        <v>0</v>
      </c>
      <c r="U166" s="2">
        <f t="shared" si="73"/>
        <v>0</v>
      </c>
      <c r="V166" s="2">
        <f t="shared" si="74"/>
        <v>0</v>
      </c>
      <c r="W166" s="2">
        <f t="shared" si="75"/>
        <v>0</v>
      </c>
      <c r="X166" s="2">
        <f t="shared" si="76"/>
        <v>0</v>
      </c>
      <c r="Y166" s="2">
        <f t="shared" si="77"/>
        <v>0</v>
      </c>
      <c r="Z166" s="2">
        <f t="shared" si="78"/>
        <v>0</v>
      </c>
      <c r="AA166" s="2">
        <f t="shared" si="79"/>
        <v>0</v>
      </c>
      <c r="AB166" s="2">
        <f t="shared" si="80"/>
        <v>0</v>
      </c>
      <c r="AC166" s="2"/>
      <c r="AD166" s="2">
        <f t="shared" si="81"/>
        <v>0</v>
      </c>
      <c r="AE166" s="2">
        <f t="shared" si="82"/>
        <v>1</v>
      </c>
      <c r="AF166" s="2">
        <f t="shared" si="83"/>
        <v>0</v>
      </c>
      <c r="AG166" s="2">
        <f t="shared" si="84"/>
        <v>1</v>
      </c>
      <c r="AH166" s="2">
        <f t="shared" si="85"/>
        <v>0</v>
      </c>
      <c r="AI166" s="2">
        <f t="shared" si="86"/>
        <v>1</v>
      </c>
    </row>
    <row r="167" spans="1:16384" s="3" customFormat="1" ht="14.25" customHeight="1" x14ac:dyDescent="0.25">
      <c r="A167" s="29">
        <v>0</v>
      </c>
      <c r="B167" s="29">
        <v>2</v>
      </c>
      <c r="C167" s="29">
        <v>2</v>
      </c>
      <c r="D167" s="30" t="s">
        <v>441</v>
      </c>
      <c r="E167" s="30" t="s">
        <v>442</v>
      </c>
      <c r="F167" s="30" t="s">
        <v>444</v>
      </c>
      <c r="G167" s="30" t="s">
        <v>93</v>
      </c>
      <c r="H167" s="30" t="s">
        <v>165</v>
      </c>
      <c r="I167" s="29" t="s">
        <v>443</v>
      </c>
      <c r="J167" s="29">
        <v>8</v>
      </c>
      <c r="K167" s="29" t="s">
        <v>318</v>
      </c>
      <c r="L167" s="29">
        <v>40</v>
      </c>
      <c r="M167" s="30" t="s">
        <v>878</v>
      </c>
      <c r="N167" s="30" t="s">
        <v>900</v>
      </c>
      <c r="O167" s="31">
        <v>1</v>
      </c>
      <c r="P167" s="31"/>
      <c r="Q167" s="30"/>
      <c r="R167" s="2"/>
      <c r="S167" s="2">
        <f t="shared" si="71"/>
        <v>0</v>
      </c>
      <c r="T167" s="2">
        <f t="shared" si="72"/>
        <v>0</v>
      </c>
      <c r="U167" s="2">
        <f t="shared" si="73"/>
        <v>0</v>
      </c>
      <c r="V167" s="2">
        <f t="shared" si="74"/>
        <v>0</v>
      </c>
      <c r="W167" s="2">
        <f t="shared" si="75"/>
        <v>0</v>
      </c>
      <c r="X167" s="2">
        <f t="shared" si="76"/>
        <v>0</v>
      </c>
      <c r="Y167" s="2">
        <f t="shared" si="77"/>
        <v>0</v>
      </c>
      <c r="Z167" s="2">
        <f t="shared" si="78"/>
        <v>1</v>
      </c>
      <c r="AA167" s="2">
        <f t="shared" si="79"/>
        <v>0</v>
      </c>
      <c r="AB167" s="2">
        <f t="shared" si="80"/>
        <v>0</v>
      </c>
      <c r="AC167" s="2"/>
      <c r="AD167" s="2">
        <f t="shared" si="81"/>
        <v>0</v>
      </c>
      <c r="AE167" s="2">
        <f t="shared" si="82"/>
        <v>1</v>
      </c>
      <c r="AF167" s="2">
        <f t="shared" si="83"/>
        <v>0</v>
      </c>
      <c r="AG167" s="2">
        <f t="shared" si="84"/>
        <v>1</v>
      </c>
      <c r="AH167" s="2">
        <f t="shared" si="85"/>
        <v>0</v>
      </c>
      <c r="AI167" s="2">
        <f t="shared" si="86"/>
        <v>1</v>
      </c>
    </row>
    <row r="168" spans="1:16384" s="3" customFormat="1" ht="14.25" customHeight="1" x14ac:dyDescent="0.25">
      <c r="A168" s="32">
        <v>0</v>
      </c>
      <c r="B168" s="32">
        <v>2</v>
      </c>
      <c r="C168" s="32">
        <v>2</v>
      </c>
      <c r="D168" s="33" t="s">
        <v>810</v>
      </c>
      <c r="E168" s="33" t="s">
        <v>455</v>
      </c>
      <c r="F168" s="33" t="s">
        <v>789</v>
      </c>
      <c r="G168" s="33" t="s">
        <v>670</v>
      </c>
      <c r="H168" s="33" t="s">
        <v>165</v>
      </c>
      <c r="I168" s="32" t="s">
        <v>788</v>
      </c>
      <c r="J168" s="32">
        <v>99</v>
      </c>
      <c r="K168" s="32" t="s">
        <v>319</v>
      </c>
      <c r="L168" s="32">
        <v>20</v>
      </c>
      <c r="M168" s="33" t="s">
        <v>891</v>
      </c>
      <c r="N168" s="33" t="s">
        <v>893</v>
      </c>
      <c r="O168" s="34"/>
      <c r="P168" s="34"/>
      <c r="Q168" s="33"/>
      <c r="R168" s="2"/>
      <c r="S168" s="2">
        <f t="shared" si="71"/>
        <v>0</v>
      </c>
      <c r="T168" s="2">
        <f t="shared" si="72"/>
        <v>0</v>
      </c>
      <c r="U168" s="2">
        <f t="shared" si="73"/>
        <v>0</v>
      </c>
      <c r="V168" s="2">
        <f t="shared" si="74"/>
        <v>0</v>
      </c>
      <c r="W168" s="2">
        <f t="shared" si="75"/>
        <v>0</v>
      </c>
      <c r="X168" s="2">
        <f t="shared" si="76"/>
        <v>0</v>
      </c>
      <c r="Y168" s="2">
        <f t="shared" si="77"/>
        <v>0</v>
      </c>
      <c r="Z168" s="2">
        <f t="shared" si="78"/>
        <v>0</v>
      </c>
      <c r="AA168" s="2">
        <f t="shared" si="79"/>
        <v>0</v>
      </c>
      <c r="AB168" s="2">
        <f t="shared" si="80"/>
        <v>0</v>
      </c>
      <c r="AC168" s="2"/>
      <c r="AD168" s="2">
        <f t="shared" si="81"/>
        <v>0</v>
      </c>
      <c r="AE168" s="2">
        <f t="shared" si="82"/>
        <v>0</v>
      </c>
      <c r="AF168" s="2">
        <f t="shared" si="83"/>
        <v>0</v>
      </c>
      <c r="AG168" s="2">
        <f t="shared" si="84"/>
        <v>0</v>
      </c>
      <c r="AH168" s="2">
        <f t="shared" si="85"/>
        <v>0</v>
      </c>
      <c r="AI168" s="2">
        <f t="shared" si="86"/>
        <v>1</v>
      </c>
    </row>
    <row r="169" spans="1:16384" s="3" customFormat="1" ht="14.25" customHeight="1" x14ac:dyDescent="0.25">
      <c r="A169" s="32">
        <v>0</v>
      </c>
      <c r="B169" s="32">
        <v>2</v>
      </c>
      <c r="C169" s="32">
        <v>2</v>
      </c>
      <c r="D169" s="33" t="s">
        <v>717</v>
      </c>
      <c r="E169" s="33" t="s">
        <v>814</v>
      </c>
      <c r="F169" s="33" t="s">
        <v>828</v>
      </c>
      <c r="G169" s="33" t="s">
        <v>137</v>
      </c>
      <c r="H169" s="33" t="s">
        <v>165</v>
      </c>
      <c r="I169" s="32" t="s">
        <v>718</v>
      </c>
      <c r="J169" s="32">
        <v>1</v>
      </c>
      <c r="K169" s="32" t="s">
        <v>318</v>
      </c>
      <c r="L169" s="32">
        <v>40</v>
      </c>
      <c r="M169" s="33" t="s">
        <v>879</v>
      </c>
      <c r="N169" s="33" t="s">
        <v>888</v>
      </c>
      <c r="O169" s="34"/>
      <c r="P169" s="34"/>
      <c r="Q169" s="33"/>
      <c r="R169" s="2"/>
      <c r="S169" s="2">
        <f t="shared" si="71"/>
        <v>1</v>
      </c>
      <c r="T169" s="2">
        <f t="shared" si="72"/>
        <v>0</v>
      </c>
      <c r="U169" s="2">
        <f t="shared" si="73"/>
        <v>0</v>
      </c>
      <c r="V169" s="2">
        <f t="shared" si="74"/>
        <v>0</v>
      </c>
      <c r="W169" s="2">
        <f t="shared" si="75"/>
        <v>0</v>
      </c>
      <c r="X169" s="2">
        <f t="shared" si="76"/>
        <v>0</v>
      </c>
      <c r="Y169" s="2">
        <f t="shared" si="77"/>
        <v>0</v>
      </c>
      <c r="Z169" s="2">
        <f t="shared" si="78"/>
        <v>0</v>
      </c>
      <c r="AA169" s="2">
        <f t="shared" si="79"/>
        <v>0</v>
      </c>
      <c r="AB169" s="2">
        <f t="shared" si="80"/>
        <v>0</v>
      </c>
      <c r="AC169" s="2"/>
      <c r="AD169" s="2">
        <f t="shared" si="81"/>
        <v>0</v>
      </c>
      <c r="AE169" s="2">
        <f t="shared" si="82"/>
        <v>0</v>
      </c>
      <c r="AF169" s="2">
        <f t="shared" si="83"/>
        <v>0</v>
      </c>
      <c r="AG169" s="2">
        <f t="shared" si="84"/>
        <v>0</v>
      </c>
      <c r="AH169" s="2">
        <f t="shared" si="85"/>
        <v>0</v>
      </c>
      <c r="AI169" s="2">
        <f t="shared" si="86"/>
        <v>1</v>
      </c>
    </row>
    <row r="170" spans="1:16384" s="3" customFormat="1" ht="14.25" customHeight="1" x14ac:dyDescent="0.25">
      <c r="A170" s="26">
        <v>0</v>
      </c>
      <c r="B170" s="26">
        <v>2</v>
      </c>
      <c r="C170" s="26">
        <v>2</v>
      </c>
      <c r="D170" s="27" t="s">
        <v>465</v>
      </c>
      <c r="E170" s="27" t="s">
        <v>30</v>
      </c>
      <c r="F170" s="27" t="s">
        <v>423</v>
      </c>
      <c r="G170" s="27" t="s">
        <v>160</v>
      </c>
      <c r="H170" s="27" t="s">
        <v>165</v>
      </c>
      <c r="I170" s="26" t="s">
        <v>424</v>
      </c>
      <c r="J170" s="26">
        <v>1</v>
      </c>
      <c r="K170" s="26" t="s">
        <v>321</v>
      </c>
      <c r="L170" s="26" t="s">
        <v>40</v>
      </c>
      <c r="M170" s="27" t="s">
        <v>40</v>
      </c>
      <c r="N170" s="27"/>
      <c r="O170" s="28"/>
      <c r="P170" s="28">
        <v>1</v>
      </c>
      <c r="Q170" s="27"/>
      <c r="R170" s="2"/>
      <c r="S170" s="2">
        <f t="shared" si="71"/>
        <v>1</v>
      </c>
      <c r="T170" s="2">
        <f t="shared" si="72"/>
        <v>0</v>
      </c>
      <c r="U170" s="2">
        <f t="shared" si="73"/>
        <v>0</v>
      </c>
      <c r="V170" s="2">
        <f t="shared" si="74"/>
        <v>0</v>
      </c>
      <c r="W170" s="2">
        <f t="shared" si="75"/>
        <v>0</v>
      </c>
      <c r="X170" s="2">
        <f t="shared" si="76"/>
        <v>0</v>
      </c>
      <c r="Y170" s="2">
        <f t="shared" si="77"/>
        <v>0</v>
      </c>
      <c r="Z170" s="2">
        <f t="shared" si="78"/>
        <v>0</v>
      </c>
      <c r="AA170" s="2">
        <f t="shared" si="79"/>
        <v>0</v>
      </c>
      <c r="AB170" s="2">
        <f t="shared" si="80"/>
        <v>0</v>
      </c>
      <c r="AC170" s="2"/>
      <c r="AD170" s="2">
        <f t="shared" si="81"/>
        <v>0</v>
      </c>
      <c r="AE170" s="2">
        <f t="shared" si="82"/>
        <v>0</v>
      </c>
      <c r="AF170" s="2">
        <f t="shared" si="83"/>
        <v>0</v>
      </c>
      <c r="AG170" s="2">
        <f t="shared" si="84"/>
        <v>0</v>
      </c>
      <c r="AH170" s="2">
        <f t="shared" si="85"/>
        <v>1</v>
      </c>
      <c r="AI170" s="2">
        <f t="shared" si="86"/>
        <v>0</v>
      </c>
    </row>
    <row r="171" spans="1:16384" s="3" customFormat="1" ht="14.25" customHeight="1" x14ac:dyDescent="0.25">
      <c r="A171" s="29">
        <v>0</v>
      </c>
      <c r="B171" s="29">
        <v>2</v>
      </c>
      <c r="C171" s="29">
        <v>3</v>
      </c>
      <c r="D171" s="30" t="s">
        <v>354</v>
      </c>
      <c r="E171" s="30" t="s">
        <v>83</v>
      </c>
      <c r="F171" s="30" t="s">
        <v>355</v>
      </c>
      <c r="G171" s="30" t="s">
        <v>369</v>
      </c>
      <c r="H171" s="30" t="s">
        <v>165</v>
      </c>
      <c r="I171" s="29" t="s">
        <v>356</v>
      </c>
      <c r="J171" s="29">
        <v>99</v>
      </c>
      <c r="K171" s="29" t="s">
        <v>321</v>
      </c>
      <c r="L171" s="29" t="s">
        <v>40</v>
      </c>
      <c r="M171" s="30" t="s">
        <v>40</v>
      </c>
      <c r="N171" s="30" t="s">
        <v>886</v>
      </c>
      <c r="O171" s="31">
        <v>1</v>
      </c>
      <c r="P171" s="31">
        <v>1</v>
      </c>
      <c r="Q171" s="30"/>
      <c r="R171" s="2"/>
      <c r="S171" s="2">
        <f t="shared" si="71"/>
        <v>0</v>
      </c>
      <c r="T171" s="2">
        <f t="shared" si="72"/>
        <v>0</v>
      </c>
      <c r="U171" s="2">
        <f t="shared" si="73"/>
        <v>0</v>
      </c>
      <c r="V171" s="2">
        <f t="shared" si="74"/>
        <v>0</v>
      </c>
      <c r="W171" s="2">
        <f t="shared" si="75"/>
        <v>0</v>
      </c>
      <c r="X171" s="2">
        <f t="shared" si="76"/>
        <v>0</v>
      </c>
      <c r="Y171" s="2">
        <f t="shared" si="77"/>
        <v>0</v>
      </c>
      <c r="Z171" s="2">
        <f t="shared" si="78"/>
        <v>0</v>
      </c>
      <c r="AA171" s="2">
        <f t="shared" si="79"/>
        <v>0</v>
      </c>
      <c r="AB171" s="2">
        <f t="shared" si="80"/>
        <v>0</v>
      </c>
      <c r="AC171" s="2"/>
      <c r="AD171" s="2">
        <f t="shared" si="81"/>
        <v>1</v>
      </c>
      <c r="AE171" s="2">
        <f t="shared" si="82"/>
        <v>0</v>
      </c>
      <c r="AF171" s="2">
        <f t="shared" si="83"/>
        <v>1</v>
      </c>
      <c r="AG171" s="2">
        <f t="shared" si="84"/>
        <v>0</v>
      </c>
      <c r="AH171" s="2">
        <f t="shared" si="85"/>
        <v>1</v>
      </c>
      <c r="AI171" s="2">
        <f t="shared" si="86"/>
        <v>0</v>
      </c>
    </row>
    <row r="172" spans="1:16384" s="3" customFormat="1" ht="14.25" customHeight="1" x14ac:dyDescent="0.25">
      <c r="A172" s="29">
        <v>0</v>
      </c>
      <c r="B172" s="29">
        <v>2</v>
      </c>
      <c r="C172" s="29">
        <v>3</v>
      </c>
      <c r="D172" s="30" t="s">
        <v>796</v>
      </c>
      <c r="E172" s="30" t="s">
        <v>571</v>
      </c>
      <c r="F172" s="30" t="s">
        <v>948</v>
      </c>
      <c r="G172" s="30" t="s">
        <v>38</v>
      </c>
      <c r="H172" s="30" t="s">
        <v>165</v>
      </c>
      <c r="I172" s="29">
        <v>2799979385</v>
      </c>
      <c r="J172" s="29">
        <v>1</v>
      </c>
      <c r="K172" s="29" t="s">
        <v>318</v>
      </c>
      <c r="L172" s="29" t="s">
        <v>329</v>
      </c>
      <c r="M172" s="30" t="s">
        <v>270</v>
      </c>
      <c r="N172" s="30" t="s">
        <v>886</v>
      </c>
      <c r="O172" s="31">
        <v>1</v>
      </c>
      <c r="P172" s="31">
        <v>1</v>
      </c>
      <c r="Q172" s="30"/>
      <c r="R172" s="2"/>
      <c r="S172" s="2">
        <f t="shared" si="71"/>
        <v>1</v>
      </c>
      <c r="T172" s="2">
        <f t="shared" si="72"/>
        <v>0</v>
      </c>
      <c r="U172" s="2">
        <f t="shared" si="73"/>
        <v>0</v>
      </c>
      <c r="V172" s="2">
        <f t="shared" si="74"/>
        <v>0</v>
      </c>
      <c r="W172" s="2">
        <f t="shared" si="75"/>
        <v>0</v>
      </c>
      <c r="X172" s="2">
        <f t="shared" si="76"/>
        <v>0</v>
      </c>
      <c r="Y172" s="2">
        <f t="shared" si="77"/>
        <v>0</v>
      </c>
      <c r="Z172" s="2">
        <f t="shared" si="78"/>
        <v>0</v>
      </c>
      <c r="AA172" s="2">
        <f t="shared" si="79"/>
        <v>0</v>
      </c>
      <c r="AB172" s="2">
        <f t="shared" si="80"/>
        <v>0</v>
      </c>
      <c r="AC172" s="2"/>
      <c r="AD172" s="2">
        <f t="shared" si="81"/>
        <v>1</v>
      </c>
      <c r="AE172" s="2">
        <f t="shared" si="82"/>
        <v>0</v>
      </c>
      <c r="AF172" s="2">
        <f t="shared" si="83"/>
        <v>1</v>
      </c>
      <c r="AG172" s="2">
        <f t="shared" si="84"/>
        <v>0</v>
      </c>
      <c r="AH172" s="2">
        <f t="shared" si="85"/>
        <v>1</v>
      </c>
      <c r="AI172" s="2">
        <f t="shared" si="86"/>
        <v>0</v>
      </c>
    </row>
    <row r="173" spans="1:16384" s="3" customFormat="1" ht="14.25" customHeight="1" x14ac:dyDescent="0.25">
      <c r="A173" s="29">
        <v>1</v>
      </c>
      <c r="B173" s="29">
        <v>2</v>
      </c>
      <c r="C173" s="29">
        <v>3</v>
      </c>
      <c r="D173" s="30" t="s">
        <v>796</v>
      </c>
      <c r="E173" s="30" t="s">
        <v>571</v>
      </c>
      <c r="F173" s="30" t="s">
        <v>819</v>
      </c>
      <c r="G173" s="30" t="s">
        <v>160</v>
      </c>
      <c r="H173" s="30" t="s">
        <v>165</v>
      </c>
      <c r="I173" s="29" t="s">
        <v>501</v>
      </c>
      <c r="J173" s="29">
        <v>1</v>
      </c>
      <c r="K173" s="29" t="s">
        <v>318</v>
      </c>
      <c r="L173" s="29" t="s">
        <v>329</v>
      </c>
      <c r="M173" s="30" t="s">
        <v>270</v>
      </c>
      <c r="N173" s="30" t="s">
        <v>886</v>
      </c>
      <c r="O173" s="31">
        <v>1</v>
      </c>
      <c r="P173" s="31">
        <v>1</v>
      </c>
      <c r="Q173" s="30"/>
      <c r="R173" s="2"/>
      <c r="S173" s="2">
        <f t="shared" si="71"/>
        <v>1</v>
      </c>
      <c r="T173" s="2">
        <f t="shared" si="72"/>
        <v>0</v>
      </c>
      <c r="U173" s="2">
        <f t="shared" si="73"/>
        <v>0</v>
      </c>
      <c r="V173" s="2">
        <f t="shared" si="74"/>
        <v>0</v>
      </c>
      <c r="W173" s="2">
        <f t="shared" si="75"/>
        <v>0</v>
      </c>
      <c r="X173" s="2">
        <f t="shared" si="76"/>
        <v>0</v>
      </c>
      <c r="Y173" s="2">
        <f t="shared" si="77"/>
        <v>0</v>
      </c>
      <c r="Z173" s="2">
        <f t="shared" si="78"/>
        <v>0</v>
      </c>
      <c r="AA173" s="2">
        <f t="shared" si="79"/>
        <v>0</v>
      </c>
      <c r="AB173" s="2">
        <f t="shared" si="80"/>
        <v>0</v>
      </c>
      <c r="AC173" s="2"/>
      <c r="AD173" s="2">
        <f t="shared" si="81"/>
        <v>1</v>
      </c>
      <c r="AE173" s="2">
        <f t="shared" si="82"/>
        <v>0</v>
      </c>
      <c r="AF173" s="2">
        <f t="shared" si="83"/>
        <v>0</v>
      </c>
      <c r="AG173" s="2">
        <f t="shared" si="84"/>
        <v>0</v>
      </c>
      <c r="AH173" s="2">
        <f t="shared" si="85"/>
        <v>0</v>
      </c>
      <c r="AI173" s="2">
        <f t="shared" si="86"/>
        <v>0</v>
      </c>
    </row>
    <row r="174" spans="1:16384" s="3" customFormat="1" ht="14.25" customHeight="1" x14ac:dyDescent="0.25">
      <c r="A174" s="20">
        <v>0</v>
      </c>
      <c r="B174" s="20">
        <v>2</v>
      </c>
      <c r="C174" s="20">
        <v>3</v>
      </c>
      <c r="D174" s="21" t="s">
        <v>448</v>
      </c>
      <c r="E174" s="21" t="s">
        <v>449</v>
      </c>
      <c r="F174" s="21" t="s">
        <v>450</v>
      </c>
      <c r="G174" s="21" t="s">
        <v>107</v>
      </c>
      <c r="H174" s="21" t="s">
        <v>165</v>
      </c>
      <c r="I174" s="20" t="s">
        <v>451</v>
      </c>
      <c r="J174" s="20">
        <v>99</v>
      </c>
      <c r="K174" s="20" t="s">
        <v>377</v>
      </c>
      <c r="L174" s="20">
        <v>10</v>
      </c>
      <c r="M174" s="21" t="s">
        <v>599</v>
      </c>
      <c r="N174" s="21"/>
      <c r="O174" s="7"/>
      <c r="P174" s="7"/>
      <c r="Q174" s="21"/>
      <c r="R174" s="2"/>
      <c r="S174" s="2">
        <f t="shared" si="71"/>
        <v>0</v>
      </c>
      <c r="T174" s="2">
        <f t="shared" si="72"/>
        <v>0</v>
      </c>
      <c r="U174" s="2">
        <f t="shared" si="73"/>
        <v>0</v>
      </c>
      <c r="V174" s="2">
        <f t="shared" si="74"/>
        <v>0</v>
      </c>
      <c r="W174" s="2">
        <f t="shared" si="75"/>
        <v>0</v>
      </c>
      <c r="X174" s="2">
        <f t="shared" si="76"/>
        <v>0</v>
      </c>
      <c r="Y174" s="2">
        <f t="shared" si="77"/>
        <v>0</v>
      </c>
      <c r="Z174" s="2">
        <f t="shared" si="78"/>
        <v>0</v>
      </c>
      <c r="AA174" s="2">
        <f t="shared" si="79"/>
        <v>0</v>
      </c>
      <c r="AB174" s="2">
        <f t="shared" si="80"/>
        <v>0</v>
      </c>
      <c r="AC174" s="2"/>
      <c r="AD174" s="2">
        <f t="shared" si="81"/>
        <v>0</v>
      </c>
      <c r="AE174" s="2">
        <f t="shared" si="82"/>
        <v>0</v>
      </c>
      <c r="AF174" s="2">
        <f t="shared" si="83"/>
        <v>0</v>
      </c>
      <c r="AG174" s="2">
        <f t="shared" si="84"/>
        <v>0</v>
      </c>
      <c r="AH174" s="2">
        <f t="shared" si="85"/>
        <v>0</v>
      </c>
      <c r="AI174" s="2">
        <f t="shared" si="86"/>
        <v>1</v>
      </c>
    </row>
    <row r="175" spans="1:16384" s="3" customFormat="1" ht="14.25" customHeight="1" x14ac:dyDescent="0.25">
      <c r="A175" s="29">
        <v>0</v>
      </c>
      <c r="B175" s="29">
        <v>2</v>
      </c>
      <c r="C175" s="29">
        <v>3</v>
      </c>
      <c r="D175" s="30" t="s">
        <v>48</v>
      </c>
      <c r="E175" s="30" t="s">
        <v>83</v>
      </c>
      <c r="F175" s="30" t="s">
        <v>100</v>
      </c>
      <c r="G175" s="30" t="s">
        <v>96</v>
      </c>
      <c r="H175" s="30" t="s">
        <v>165</v>
      </c>
      <c r="I175" s="29" t="s">
        <v>168</v>
      </c>
      <c r="J175" s="29">
        <v>3</v>
      </c>
      <c r="K175" s="29" t="s">
        <v>321</v>
      </c>
      <c r="L175" s="29" t="s">
        <v>329</v>
      </c>
      <c r="M175" s="30" t="s">
        <v>270</v>
      </c>
      <c r="N175" s="30" t="s">
        <v>886</v>
      </c>
      <c r="O175" s="31">
        <v>1</v>
      </c>
      <c r="P175" s="31">
        <v>1</v>
      </c>
      <c r="Q175" s="30"/>
      <c r="R175" s="2"/>
      <c r="S175" s="2">
        <f t="shared" si="71"/>
        <v>0</v>
      </c>
      <c r="T175" s="2">
        <f t="shared" si="72"/>
        <v>0</v>
      </c>
      <c r="U175" s="2">
        <f t="shared" si="73"/>
        <v>1</v>
      </c>
      <c r="V175" s="2">
        <f t="shared" si="74"/>
        <v>0</v>
      </c>
      <c r="W175" s="2">
        <f t="shared" si="75"/>
        <v>0</v>
      </c>
      <c r="X175" s="2">
        <f t="shared" si="76"/>
        <v>0</v>
      </c>
      <c r="Y175" s="2">
        <f t="shared" si="77"/>
        <v>0</v>
      </c>
      <c r="Z175" s="2">
        <f t="shared" si="78"/>
        <v>0</v>
      </c>
      <c r="AA175" s="2">
        <f t="shared" si="79"/>
        <v>0</v>
      </c>
      <c r="AB175" s="2">
        <f t="shared" si="80"/>
        <v>0</v>
      </c>
      <c r="AC175" s="2"/>
      <c r="AD175" s="2">
        <f t="shared" si="81"/>
        <v>1</v>
      </c>
      <c r="AE175" s="2">
        <f t="shared" si="82"/>
        <v>0</v>
      </c>
      <c r="AF175" s="2">
        <f t="shared" si="83"/>
        <v>1</v>
      </c>
      <c r="AG175" s="2">
        <f t="shared" si="84"/>
        <v>0</v>
      </c>
      <c r="AH175" s="2">
        <f t="shared" si="85"/>
        <v>1</v>
      </c>
      <c r="AI175" s="2">
        <f t="shared" si="86"/>
        <v>0</v>
      </c>
    </row>
    <row r="176" spans="1:16384" s="3" customFormat="1" ht="14.25" customHeight="1" x14ac:dyDescent="0.25">
      <c r="A176" s="29">
        <v>0</v>
      </c>
      <c r="B176" s="29">
        <v>2</v>
      </c>
      <c r="C176" s="29">
        <v>3</v>
      </c>
      <c r="D176" s="30" t="s">
        <v>924</v>
      </c>
      <c r="E176" s="30"/>
      <c r="F176" s="30" t="s">
        <v>925</v>
      </c>
      <c r="G176" s="30"/>
      <c r="H176" s="30" t="s">
        <v>165</v>
      </c>
      <c r="I176" s="29" t="s">
        <v>926</v>
      </c>
      <c r="J176" s="29"/>
      <c r="K176" s="29" t="s">
        <v>377</v>
      </c>
      <c r="L176" s="29"/>
      <c r="M176" s="30"/>
      <c r="N176" s="30" t="s">
        <v>886</v>
      </c>
      <c r="O176" s="31">
        <v>1</v>
      </c>
      <c r="P176" s="31">
        <v>1</v>
      </c>
      <c r="Q176" s="30"/>
      <c r="R176" s="2"/>
      <c r="S176" s="2">
        <f t="shared" si="71"/>
        <v>0</v>
      </c>
      <c r="T176" s="2">
        <f t="shared" si="72"/>
        <v>0</v>
      </c>
      <c r="U176" s="2">
        <f t="shared" si="73"/>
        <v>0</v>
      </c>
      <c r="V176" s="2">
        <f t="shared" si="74"/>
        <v>0</v>
      </c>
      <c r="W176" s="2">
        <f t="shared" si="75"/>
        <v>0</v>
      </c>
      <c r="X176" s="2">
        <f t="shared" si="76"/>
        <v>0</v>
      </c>
      <c r="Y176" s="2">
        <f t="shared" si="77"/>
        <v>0</v>
      </c>
      <c r="Z176" s="2">
        <f t="shared" si="78"/>
        <v>0</v>
      </c>
      <c r="AA176" s="2">
        <f t="shared" si="79"/>
        <v>0</v>
      </c>
      <c r="AB176" s="2">
        <f t="shared" si="80"/>
        <v>0</v>
      </c>
      <c r="AC176" s="2"/>
      <c r="AD176" s="2">
        <f t="shared" si="81"/>
        <v>1</v>
      </c>
      <c r="AE176" s="2">
        <f t="shared" si="82"/>
        <v>0</v>
      </c>
      <c r="AF176" s="2">
        <f t="shared" si="83"/>
        <v>1</v>
      </c>
      <c r="AG176" s="2">
        <f t="shared" si="84"/>
        <v>0</v>
      </c>
      <c r="AH176" s="2">
        <f t="shared" si="85"/>
        <v>1</v>
      </c>
      <c r="AI176" s="2">
        <f t="shared" si="86"/>
        <v>0</v>
      </c>
    </row>
    <row r="177" spans="1:35" s="3" customFormat="1" ht="14.25" customHeight="1" x14ac:dyDescent="0.25">
      <c r="A177" s="20">
        <v>0</v>
      </c>
      <c r="B177" s="20">
        <v>2</v>
      </c>
      <c r="C177" s="20">
        <v>3</v>
      </c>
      <c r="D177" s="21" t="s">
        <v>651</v>
      </c>
      <c r="E177" s="21" t="s">
        <v>37</v>
      </c>
      <c r="F177" s="21" t="s">
        <v>652</v>
      </c>
      <c r="G177" s="21" t="s">
        <v>117</v>
      </c>
      <c r="H177" s="21" t="s">
        <v>165</v>
      </c>
      <c r="I177" s="20" t="s">
        <v>653</v>
      </c>
      <c r="J177" s="20">
        <v>1</v>
      </c>
      <c r="K177" s="20" t="s">
        <v>319</v>
      </c>
      <c r="L177" s="20" t="s">
        <v>329</v>
      </c>
      <c r="M177" s="21" t="s">
        <v>270</v>
      </c>
      <c r="N177" s="21"/>
      <c r="O177" s="7"/>
      <c r="P177" s="7"/>
      <c r="Q177" s="21"/>
      <c r="R177" s="2"/>
      <c r="S177" s="2">
        <f t="shared" si="71"/>
        <v>1</v>
      </c>
      <c r="T177" s="2">
        <f t="shared" si="72"/>
        <v>0</v>
      </c>
      <c r="U177" s="2">
        <f t="shared" si="73"/>
        <v>0</v>
      </c>
      <c r="V177" s="2">
        <f t="shared" si="74"/>
        <v>0</v>
      </c>
      <c r="W177" s="2">
        <f t="shared" si="75"/>
        <v>0</v>
      </c>
      <c r="X177" s="2">
        <f t="shared" si="76"/>
        <v>0</v>
      </c>
      <c r="Y177" s="2">
        <f t="shared" si="77"/>
        <v>0</v>
      </c>
      <c r="Z177" s="2">
        <f t="shared" si="78"/>
        <v>0</v>
      </c>
      <c r="AA177" s="2">
        <f t="shared" si="79"/>
        <v>0</v>
      </c>
      <c r="AB177" s="2">
        <f t="shared" si="80"/>
        <v>0</v>
      </c>
      <c r="AC177" s="2"/>
      <c r="AD177" s="2">
        <f t="shared" si="81"/>
        <v>0</v>
      </c>
      <c r="AE177" s="2">
        <f t="shared" si="82"/>
        <v>0</v>
      </c>
      <c r="AF177" s="2">
        <f t="shared" si="83"/>
        <v>0</v>
      </c>
      <c r="AG177" s="2">
        <f t="shared" si="84"/>
        <v>0</v>
      </c>
      <c r="AH177" s="2">
        <f t="shared" si="85"/>
        <v>0</v>
      </c>
      <c r="AI177" s="2">
        <f t="shared" si="86"/>
        <v>1</v>
      </c>
    </row>
    <row r="178" spans="1:35" s="3" customFormat="1" ht="14.25" customHeight="1" x14ac:dyDescent="0.25">
      <c r="A178" s="29">
        <v>0</v>
      </c>
      <c r="B178" s="29">
        <v>2</v>
      </c>
      <c r="C178" s="29">
        <v>4</v>
      </c>
      <c r="D178" s="30" t="s">
        <v>545</v>
      </c>
      <c r="E178" s="30" t="s">
        <v>29</v>
      </c>
      <c r="F178" s="30" t="s">
        <v>406</v>
      </c>
      <c r="G178" s="30" t="s">
        <v>404</v>
      </c>
      <c r="H178" s="30" t="s">
        <v>165</v>
      </c>
      <c r="I178" s="29" t="s">
        <v>546</v>
      </c>
      <c r="J178" s="29">
        <v>99</v>
      </c>
      <c r="K178" s="29" t="s">
        <v>377</v>
      </c>
      <c r="L178" s="29">
        <v>35</v>
      </c>
      <c r="M178" s="30" t="s">
        <v>919</v>
      </c>
      <c r="N178" s="30" t="s">
        <v>928</v>
      </c>
      <c r="O178" s="31">
        <v>1</v>
      </c>
      <c r="P178" s="31"/>
      <c r="Q178" s="30"/>
      <c r="R178" s="2"/>
      <c r="S178" s="2">
        <f t="shared" si="71"/>
        <v>0</v>
      </c>
      <c r="T178" s="2">
        <f t="shared" si="72"/>
        <v>0</v>
      </c>
      <c r="U178" s="2">
        <f t="shared" si="73"/>
        <v>0</v>
      </c>
      <c r="V178" s="2">
        <f t="shared" si="74"/>
        <v>0</v>
      </c>
      <c r="W178" s="2">
        <f t="shared" si="75"/>
        <v>0</v>
      </c>
      <c r="X178" s="2">
        <f t="shared" si="76"/>
        <v>0</v>
      </c>
      <c r="Y178" s="2">
        <f t="shared" si="77"/>
        <v>0</v>
      </c>
      <c r="Z178" s="2">
        <f t="shared" si="78"/>
        <v>0</v>
      </c>
      <c r="AA178" s="2">
        <f t="shared" si="79"/>
        <v>0</v>
      </c>
      <c r="AB178" s="2">
        <f t="shared" si="80"/>
        <v>0</v>
      </c>
      <c r="AC178" s="2"/>
      <c r="AD178" s="2">
        <f t="shared" si="81"/>
        <v>0</v>
      </c>
      <c r="AE178" s="2">
        <f t="shared" si="82"/>
        <v>1</v>
      </c>
      <c r="AF178" s="2">
        <f t="shared" si="83"/>
        <v>0</v>
      </c>
      <c r="AG178" s="2">
        <f t="shared" si="84"/>
        <v>1</v>
      </c>
      <c r="AH178" s="2">
        <f t="shared" si="85"/>
        <v>0</v>
      </c>
      <c r="AI178" s="2">
        <f t="shared" si="86"/>
        <v>1</v>
      </c>
    </row>
    <row r="179" spans="1:35" s="3" customFormat="1" ht="14.25" customHeight="1" x14ac:dyDescent="0.25">
      <c r="A179" s="29">
        <v>0</v>
      </c>
      <c r="B179" s="29">
        <v>2</v>
      </c>
      <c r="C179" s="29">
        <v>4</v>
      </c>
      <c r="D179" s="30" t="s">
        <v>62</v>
      </c>
      <c r="E179" s="30" t="s">
        <v>36</v>
      </c>
      <c r="F179" s="30" t="s">
        <v>134</v>
      </c>
      <c r="G179" s="30" t="s">
        <v>40</v>
      </c>
      <c r="H179" s="30" t="s">
        <v>165</v>
      </c>
      <c r="I179" s="29" t="s">
        <v>183</v>
      </c>
      <c r="J179" s="29">
        <v>4</v>
      </c>
      <c r="K179" s="29" t="s">
        <v>320</v>
      </c>
      <c r="L179" s="29" t="s">
        <v>850</v>
      </c>
      <c r="M179" s="30" t="s">
        <v>742</v>
      </c>
      <c r="N179" s="30" t="s">
        <v>923</v>
      </c>
      <c r="O179" s="31">
        <v>1</v>
      </c>
      <c r="P179" s="31"/>
      <c r="Q179" s="30"/>
      <c r="R179" s="2"/>
      <c r="S179" s="2">
        <f t="shared" si="71"/>
        <v>0</v>
      </c>
      <c r="T179" s="2">
        <f t="shared" si="72"/>
        <v>0</v>
      </c>
      <c r="U179" s="2">
        <f t="shared" si="73"/>
        <v>0</v>
      </c>
      <c r="V179" s="2">
        <f t="shared" si="74"/>
        <v>1</v>
      </c>
      <c r="W179" s="2">
        <f t="shared" si="75"/>
        <v>0</v>
      </c>
      <c r="X179" s="2">
        <f t="shared" si="76"/>
        <v>0</v>
      </c>
      <c r="Y179" s="2">
        <f t="shared" si="77"/>
        <v>0</v>
      </c>
      <c r="Z179" s="2">
        <f t="shared" si="78"/>
        <v>0</v>
      </c>
      <c r="AA179" s="2">
        <f t="shared" si="79"/>
        <v>0</v>
      </c>
      <c r="AB179" s="2">
        <f t="shared" si="80"/>
        <v>0</v>
      </c>
      <c r="AC179" s="2"/>
      <c r="AD179" s="2">
        <f t="shared" si="81"/>
        <v>0</v>
      </c>
      <c r="AE179" s="2">
        <f t="shared" si="82"/>
        <v>1</v>
      </c>
      <c r="AF179" s="2">
        <f t="shared" si="83"/>
        <v>0</v>
      </c>
      <c r="AG179" s="2">
        <f t="shared" si="84"/>
        <v>1</v>
      </c>
      <c r="AH179" s="2">
        <f t="shared" si="85"/>
        <v>0</v>
      </c>
      <c r="AI179" s="2">
        <f t="shared" si="86"/>
        <v>1</v>
      </c>
    </row>
    <row r="180" spans="1:35" s="3" customFormat="1" ht="14.25" customHeight="1" x14ac:dyDescent="0.25">
      <c r="A180" s="32">
        <v>0</v>
      </c>
      <c r="B180" s="32">
        <v>2</v>
      </c>
      <c r="C180" s="32">
        <v>4</v>
      </c>
      <c r="D180" s="33" t="s">
        <v>65</v>
      </c>
      <c r="E180" s="33" t="s">
        <v>88</v>
      </c>
      <c r="F180" s="33" t="s">
        <v>141</v>
      </c>
      <c r="G180" s="33" t="s">
        <v>140</v>
      </c>
      <c r="H180" s="33" t="s">
        <v>165</v>
      </c>
      <c r="I180" s="32" t="s">
        <v>186</v>
      </c>
      <c r="J180" s="32">
        <v>99</v>
      </c>
      <c r="K180" s="32" t="s">
        <v>320</v>
      </c>
      <c r="L180" s="32" t="s">
        <v>338</v>
      </c>
      <c r="M180" s="33" t="s">
        <v>205</v>
      </c>
      <c r="N180" s="33" t="s">
        <v>888</v>
      </c>
      <c r="O180" s="34"/>
      <c r="P180" s="34"/>
      <c r="Q180" s="33"/>
      <c r="R180" s="2"/>
      <c r="S180" s="2">
        <f t="shared" si="71"/>
        <v>0</v>
      </c>
      <c r="T180" s="2">
        <f t="shared" si="72"/>
        <v>0</v>
      </c>
      <c r="U180" s="2">
        <f t="shared" si="73"/>
        <v>0</v>
      </c>
      <c r="V180" s="2">
        <f t="shared" si="74"/>
        <v>0</v>
      </c>
      <c r="W180" s="2">
        <f t="shared" si="75"/>
        <v>0</v>
      </c>
      <c r="X180" s="2">
        <f t="shared" si="76"/>
        <v>0</v>
      </c>
      <c r="Y180" s="2">
        <f t="shared" si="77"/>
        <v>0</v>
      </c>
      <c r="Z180" s="2">
        <f t="shared" si="78"/>
        <v>0</v>
      </c>
      <c r="AA180" s="2">
        <f t="shared" si="79"/>
        <v>0</v>
      </c>
      <c r="AB180" s="2">
        <f t="shared" si="80"/>
        <v>0</v>
      </c>
      <c r="AC180" s="2"/>
      <c r="AD180" s="2">
        <f t="shared" si="81"/>
        <v>0</v>
      </c>
      <c r="AE180" s="2">
        <f t="shared" si="82"/>
        <v>0</v>
      </c>
      <c r="AF180" s="2">
        <f t="shared" si="83"/>
        <v>0</v>
      </c>
      <c r="AG180" s="2">
        <f t="shared" si="84"/>
        <v>0</v>
      </c>
      <c r="AH180" s="2">
        <f t="shared" si="85"/>
        <v>0</v>
      </c>
      <c r="AI180" s="2">
        <f t="shared" si="86"/>
        <v>1</v>
      </c>
    </row>
    <row r="181" spans="1:35" s="3" customFormat="1" ht="14.25" customHeight="1" x14ac:dyDescent="0.25">
      <c r="A181" s="29">
        <v>0</v>
      </c>
      <c r="B181" s="29">
        <v>2</v>
      </c>
      <c r="C181" s="29">
        <v>4</v>
      </c>
      <c r="D181" s="30" t="s">
        <v>81</v>
      </c>
      <c r="E181" s="30" t="s">
        <v>36</v>
      </c>
      <c r="F181" s="30" t="s">
        <v>366</v>
      </c>
      <c r="G181" s="30" t="s">
        <v>640</v>
      </c>
      <c r="H181" s="30" t="s">
        <v>165</v>
      </c>
      <c r="I181" s="29" t="s">
        <v>204</v>
      </c>
      <c r="J181" s="29">
        <v>4</v>
      </c>
      <c r="K181" s="29" t="s">
        <v>318</v>
      </c>
      <c r="L181" s="29" t="s">
        <v>851</v>
      </c>
      <c r="M181" s="30" t="s">
        <v>743</v>
      </c>
      <c r="N181" s="30" t="s">
        <v>923</v>
      </c>
      <c r="O181" s="31">
        <v>1</v>
      </c>
      <c r="P181" s="31"/>
      <c r="Q181" s="30"/>
      <c r="R181" s="2"/>
      <c r="S181" s="2">
        <f t="shared" si="71"/>
        <v>0</v>
      </c>
      <c r="T181" s="2">
        <f t="shared" si="72"/>
        <v>0</v>
      </c>
      <c r="U181" s="2">
        <f t="shared" si="73"/>
        <v>0</v>
      </c>
      <c r="V181" s="2">
        <f t="shared" si="74"/>
        <v>1</v>
      </c>
      <c r="W181" s="2">
        <f t="shared" si="75"/>
        <v>0</v>
      </c>
      <c r="X181" s="2">
        <f t="shared" si="76"/>
        <v>0</v>
      </c>
      <c r="Y181" s="2">
        <f t="shared" si="77"/>
        <v>0</v>
      </c>
      <c r="Z181" s="2">
        <f t="shared" si="78"/>
        <v>0</v>
      </c>
      <c r="AA181" s="2">
        <f t="shared" si="79"/>
        <v>0</v>
      </c>
      <c r="AB181" s="2">
        <f t="shared" si="80"/>
        <v>0</v>
      </c>
      <c r="AC181" s="2"/>
      <c r="AD181" s="2">
        <f t="shared" si="81"/>
        <v>0</v>
      </c>
      <c r="AE181" s="2">
        <f t="shared" si="82"/>
        <v>1</v>
      </c>
      <c r="AF181" s="2">
        <f t="shared" si="83"/>
        <v>0</v>
      </c>
      <c r="AG181" s="2">
        <f t="shared" si="84"/>
        <v>1</v>
      </c>
      <c r="AH181" s="2">
        <f t="shared" si="85"/>
        <v>0</v>
      </c>
      <c r="AI181" s="2">
        <f t="shared" si="86"/>
        <v>1</v>
      </c>
    </row>
    <row r="182" spans="1:35" s="3" customFormat="1" ht="14.25" customHeight="1" x14ac:dyDescent="0.25">
      <c r="A182" s="29">
        <v>1</v>
      </c>
      <c r="B182" s="29">
        <v>2</v>
      </c>
      <c r="C182" s="29">
        <v>4</v>
      </c>
      <c r="D182" s="30" t="s">
        <v>81</v>
      </c>
      <c r="E182" s="30" t="s">
        <v>36</v>
      </c>
      <c r="F182" s="30" t="s">
        <v>164</v>
      </c>
      <c r="G182" s="30" t="s">
        <v>130</v>
      </c>
      <c r="H182" s="30" t="s">
        <v>165</v>
      </c>
      <c r="I182" s="29" t="s">
        <v>204</v>
      </c>
      <c r="J182" s="29">
        <v>10</v>
      </c>
      <c r="K182" s="29" t="s">
        <v>318</v>
      </c>
      <c r="L182" s="29" t="s">
        <v>851</v>
      </c>
      <c r="M182" s="30" t="s">
        <v>743</v>
      </c>
      <c r="N182" s="30" t="s">
        <v>923</v>
      </c>
      <c r="O182" s="31">
        <v>1</v>
      </c>
      <c r="P182" s="31"/>
      <c r="Q182" s="30"/>
      <c r="R182" s="2"/>
      <c r="S182" s="2">
        <f t="shared" si="71"/>
        <v>0</v>
      </c>
      <c r="T182" s="2">
        <f t="shared" si="72"/>
        <v>0</v>
      </c>
      <c r="U182" s="2">
        <f t="shared" si="73"/>
        <v>0</v>
      </c>
      <c r="V182" s="2">
        <f t="shared" si="74"/>
        <v>0</v>
      </c>
      <c r="W182" s="2">
        <f t="shared" si="75"/>
        <v>0</v>
      </c>
      <c r="X182" s="2">
        <f t="shared" si="76"/>
        <v>0</v>
      </c>
      <c r="Y182" s="2">
        <f t="shared" si="77"/>
        <v>0</v>
      </c>
      <c r="Z182" s="2">
        <f t="shared" si="78"/>
        <v>0</v>
      </c>
      <c r="AA182" s="2">
        <f t="shared" si="79"/>
        <v>0</v>
      </c>
      <c r="AB182" s="2">
        <f t="shared" si="80"/>
        <v>1</v>
      </c>
      <c r="AC182" s="2"/>
      <c r="AD182" s="2">
        <f t="shared" si="81"/>
        <v>0</v>
      </c>
      <c r="AE182" s="2">
        <f t="shared" si="82"/>
        <v>1</v>
      </c>
      <c r="AF182" s="2">
        <f t="shared" si="83"/>
        <v>0</v>
      </c>
      <c r="AG182" s="2">
        <f t="shared" si="84"/>
        <v>0</v>
      </c>
      <c r="AH182" s="2">
        <f t="shared" si="85"/>
        <v>0</v>
      </c>
      <c r="AI182" s="2">
        <f t="shared" si="86"/>
        <v>0</v>
      </c>
    </row>
    <row r="183" spans="1:35" s="3" customFormat="1" ht="14.25" customHeight="1" x14ac:dyDescent="0.25">
      <c r="A183" s="29">
        <v>1</v>
      </c>
      <c r="B183" s="29">
        <v>2</v>
      </c>
      <c r="C183" s="29">
        <v>4</v>
      </c>
      <c r="D183" s="30" t="s">
        <v>81</v>
      </c>
      <c r="E183" s="30" t="s">
        <v>36</v>
      </c>
      <c r="F183" s="30" t="s">
        <v>797</v>
      </c>
      <c r="G183" s="30" t="s">
        <v>107</v>
      </c>
      <c r="H183" s="30" t="s">
        <v>165</v>
      </c>
      <c r="I183" s="29" t="s">
        <v>798</v>
      </c>
      <c r="J183" s="29">
        <v>99</v>
      </c>
      <c r="K183" s="29" t="s">
        <v>318</v>
      </c>
      <c r="L183" s="29" t="s">
        <v>851</v>
      </c>
      <c r="M183" s="30" t="s">
        <v>743</v>
      </c>
      <c r="N183" s="30" t="s">
        <v>923</v>
      </c>
      <c r="O183" s="31">
        <v>1</v>
      </c>
      <c r="P183" s="31"/>
      <c r="Q183" s="30"/>
      <c r="R183" s="2"/>
      <c r="S183" s="2">
        <f t="shared" si="71"/>
        <v>0</v>
      </c>
      <c r="T183" s="2">
        <f t="shared" si="72"/>
        <v>0</v>
      </c>
      <c r="U183" s="2">
        <f t="shared" si="73"/>
        <v>0</v>
      </c>
      <c r="V183" s="2">
        <f t="shared" si="74"/>
        <v>0</v>
      </c>
      <c r="W183" s="2">
        <f t="shared" si="75"/>
        <v>0</v>
      </c>
      <c r="X183" s="2">
        <f t="shared" si="76"/>
        <v>0</v>
      </c>
      <c r="Y183" s="2">
        <f t="shared" si="77"/>
        <v>0</v>
      </c>
      <c r="Z183" s="2">
        <f t="shared" si="78"/>
        <v>0</v>
      </c>
      <c r="AA183" s="2">
        <f t="shared" si="79"/>
        <v>0</v>
      </c>
      <c r="AB183" s="2">
        <f t="shared" si="80"/>
        <v>0</v>
      </c>
      <c r="AC183" s="2"/>
      <c r="AD183" s="2">
        <f t="shared" si="81"/>
        <v>0</v>
      </c>
      <c r="AE183" s="2">
        <f t="shared" si="82"/>
        <v>1</v>
      </c>
      <c r="AF183" s="2">
        <f t="shared" si="83"/>
        <v>0</v>
      </c>
      <c r="AG183" s="2">
        <f t="shared" si="84"/>
        <v>0</v>
      </c>
      <c r="AH183" s="2">
        <f t="shared" si="85"/>
        <v>0</v>
      </c>
      <c r="AI183" s="2">
        <f t="shared" si="86"/>
        <v>0</v>
      </c>
    </row>
    <row r="184" spans="1:35" s="3" customFormat="1" ht="14.25" customHeight="1" x14ac:dyDescent="0.25">
      <c r="A184" s="20">
        <v>0</v>
      </c>
      <c r="B184" s="20">
        <v>2</v>
      </c>
      <c r="C184" s="20">
        <v>4</v>
      </c>
      <c r="D184" s="21" t="s">
        <v>969</v>
      </c>
      <c r="E184" s="21" t="s">
        <v>970</v>
      </c>
      <c r="F184" s="21" t="s">
        <v>971</v>
      </c>
      <c r="G184" s="21" t="s">
        <v>972</v>
      </c>
      <c r="H184" s="21" t="s">
        <v>165</v>
      </c>
      <c r="I184" s="20"/>
      <c r="J184" s="20"/>
      <c r="K184" s="20" t="s">
        <v>377</v>
      </c>
      <c r="L184" s="20">
        <v>35</v>
      </c>
      <c r="M184" s="21" t="s">
        <v>973</v>
      </c>
      <c r="N184" s="21"/>
      <c r="O184" s="20"/>
      <c r="P184" s="20"/>
      <c r="Q184" s="21"/>
      <c r="R184" s="2"/>
      <c r="S184" s="2">
        <f t="shared" si="71"/>
        <v>0</v>
      </c>
      <c r="T184" s="2">
        <f t="shared" si="72"/>
        <v>0</v>
      </c>
      <c r="U184" s="2">
        <f t="shared" si="73"/>
        <v>0</v>
      </c>
      <c r="V184" s="2">
        <f t="shared" si="74"/>
        <v>0</v>
      </c>
      <c r="W184" s="2">
        <f t="shared" si="75"/>
        <v>0</v>
      </c>
      <c r="X184" s="2">
        <f t="shared" si="76"/>
        <v>0</v>
      </c>
      <c r="Y184" s="2">
        <f t="shared" si="77"/>
        <v>0</v>
      </c>
      <c r="Z184" s="2">
        <f t="shared" si="78"/>
        <v>0</v>
      </c>
      <c r="AA184" s="2">
        <f t="shared" si="79"/>
        <v>0</v>
      </c>
      <c r="AB184" s="2">
        <f t="shared" si="80"/>
        <v>0</v>
      </c>
      <c r="AC184" s="2"/>
      <c r="AD184" s="2">
        <f t="shared" si="81"/>
        <v>0</v>
      </c>
      <c r="AE184" s="2">
        <f t="shared" si="82"/>
        <v>0</v>
      </c>
      <c r="AF184" s="2">
        <f t="shared" si="83"/>
        <v>0</v>
      </c>
      <c r="AG184" s="2">
        <f t="shared" si="84"/>
        <v>0</v>
      </c>
      <c r="AH184" s="2">
        <f t="shared" si="85"/>
        <v>0</v>
      </c>
      <c r="AI184" s="2">
        <f t="shared" si="86"/>
        <v>1</v>
      </c>
    </row>
    <row r="185" spans="1:35" s="3" customFormat="1" ht="14.25" customHeight="1" x14ac:dyDescent="0.25">
      <c r="A185" s="20">
        <v>0</v>
      </c>
      <c r="B185" s="20">
        <v>2</v>
      </c>
      <c r="C185" s="20">
        <v>4</v>
      </c>
      <c r="D185" s="21" t="s">
        <v>288</v>
      </c>
      <c r="E185" s="21" t="s">
        <v>85</v>
      </c>
      <c r="F185" s="21" t="s">
        <v>367</v>
      </c>
      <c r="G185" s="21" t="s">
        <v>308</v>
      </c>
      <c r="H185" s="21" t="s">
        <v>165</v>
      </c>
      <c r="I185" s="20" t="s">
        <v>289</v>
      </c>
      <c r="J185" s="20">
        <v>6</v>
      </c>
      <c r="K185" s="20" t="s">
        <v>319</v>
      </c>
      <c r="L185" s="20">
        <v>30</v>
      </c>
      <c r="M185" s="38" t="s">
        <v>896</v>
      </c>
      <c r="N185" s="21"/>
      <c r="O185" s="7"/>
      <c r="P185" s="7"/>
      <c r="Q185" s="21"/>
      <c r="R185" s="2"/>
      <c r="S185" s="2">
        <f t="shared" si="71"/>
        <v>0</v>
      </c>
      <c r="T185" s="2">
        <f t="shared" si="72"/>
        <v>0</v>
      </c>
      <c r="U185" s="2">
        <f t="shared" si="73"/>
        <v>0</v>
      </c>
      <c r="V185" s="2">
        <f t="shared" si="74"/>
        <v>0</v>
      </c>
      <c r="W185" s="2">
        <f t="shared" si="75"/>
        <v>0</v>
      </c>
      <c r="X185" s="2">
        <f t="shared" si="76"/>
        <v>1</v>
      </c>
      <c r="Y185" s="2">
        <f t="shared" si="77"/>
        <v>0</v>
      </c>
      <c r="Z185" s="2">
        <f t="shared" si="78"/>
        <v>0</v>
      </c>
      <c r="AA185" s="2">
        <f t="shared" si="79"/>
        <v>0</v>
      </c>
      <c r="AB185" s="2">
        <f t="shared" si="80"/>
        <v>0</v>
      </c>
      <c r="AC185" s="2"/>
      <c r="AD185" s="2">
        <f t="shared" si="81"/>
        <v>0</v>
      </c>
      <c r="AE185" s="2">
        <f t="shared" si="82"/>
        <v>0</v>
      </c>
      <c r="AF185" s="2">
        <f t="shared" si="83"/>
        <v>0</v>
      </c>
      <c r="AG185" s="2">
        <f t="shared" si="84"/>
        <v>0</v>
      </c>
      <c r="AH185" s="2">
        <f t="shared" si="85"/>
        <v>0</v>
      </c>
      <c r="AI185" s="2">
        <f t="shared" si="86"/>
        <v>1</v>
      </c>
    </row>
    <row r="186" spans="1:35" s="3" customFormat="1" ht="14.25" customHeight="1" x14ac:dyDescent="0.25">
      <c r="A186" s="29">
        <v>0</v>
      </c>
      <c r="B186" s="29">
        <v>2</v>
      </c>
      <c r="C186" s="29">
        <v>4</v>
      </c>
      <c r="D186" s="30" t="s">
        <v>566</v>
      </c>
      <c r="E186" s="30" t="s">
        <v>36</v>
      </c>
      <c r="F186" s="30" t="s">
        <v>528</v>
      </c>
      <c r="G186" s="30" t="s">
        <v>103</v>
      </c>
      <c r="H186" s="30" t="s">
        <v>165</v>
      </c>
      <c r="I186" s="29" t="s">
        <v>529</v>
      </c>
      <c r="J186" s="29">
        <v>6</v>
      </c>
      <c r="K186" s="29" t="s">
        <v>318</v>
      </c>
      <c r="L186" s="29">
        <v>35</v>
      </c>
      <c r="M186" s="30" t="s">
        <v>696</v>
      </c>
      <c r="N186" s="30" t="s">
        <v>928</v>
      </c>
      <c r="O186" s="31">
        <v>1</v>
      </c>
      <c r="P186" s="31"/>
      <c r="Q186" s="30"/>
      <c r="R186" s="2"/>
      <c r="S186" s="2">
        <f t="shared" si="71"/>
        <v>0</v>
      </c>
      <c r="T186" s="2">
        <f t="shared" si="72"/>
        <v>0</v>
      </c>
      <c r="U186" s="2">
        <f t="shared" si="73"/>
        <v>0</v>
      </c>
      <c r="V186" s="2">
        <f t="shared" si="74"/>
        <v>0</v>
      </c>
      <c r="W186" s="2">
        <f t="shared" si="75"/>
        <v>0</v>
      </c>
      <c r="X186" s="2">
        <f t="shared" si="76"/>
        <v>1</v>
      </c>
      <c r="Y186" s="2">
        <f t="shared" si="77"/>
        <v>0</v>
      </c>
      <c r="Z186" s="2">
        <f t="shared" si="78"/>
        <v>0</v>
      </c>
      <c r="AA186" s="2">
        <f t="shared" si="79"/>
        <v>0</v>
      </c>
      <c r="AB186" s="2">
        <f t="shared" si="80"/>
        <v>0</v>
      </c>
      <c r="AC186" s="2"/>
      <c r="AD186" s="2">
        <f t="shared" si="81"/>
        <v>0</v>
      </c>
      <c r="AE186" s="2">
        <f t="shared" si="82"/>
        <v>1</v>
      </c>
      <c r="AF186" s="2">
        <f t="shared" si="83"/>
        <v>0</v>
      </c>
      <c r="AG186" s="2">
        <f t="shared" si="84"/>
        <v>1</v>
      </c>
      <c r="AH186" s="2">
        <f t="shared" si="85"/>
        <v>0</v>
      </c>
      <c r="AI186" s="2">
        <f t="shared" si="86"/>
        <v>1</v>
      </c>
    </row>
    <row r="187" spans="1:35" s="3" customFormat="1" ht="14.25" customHeight="1" x14ac:dyDescent="0.25">
      <c r="A187" s="20">
        <v>0</v>
      </c>
      <c r="B187" s="20">
        <v>2</v>
      </c>
      <c r="C187" s="20">
        <v>4</v>
      </c>
      <c r="D187" s="21" t="s">
        <v>808</v>
      </c>
      <c r="E187" s="21" t="s">
        <v>29</v>
      </c>
      <c r="F187" s="21" t="s">
        <v>821</v>
      </c>
      <c r="G187" s="21" t="s">
        <v>822</v>
      </c>
      <c r="H187" s="21" t="s">
        <v>165</v>
      </c>
      <c r="I187" s="20" t="s">
        <v>841</v>
      </c>
      <c r="J187" s="20">
        <v>99</v>
      </c>
      <c r="K187" s="20" t="s">
        <v>318</v>
      </c>
      <c r="L187" s="20" t="s">
        <v>343</v>
      </c>
      <c r="M187" s="21" t="s">
        <v>644</v>
      </c>
      <c r="N187" s="21"/>
      <c r="O187" s="7"/>
      <c r="P187" s="7"/>
      <c r="Q187" s="21"/>
      <c r="R187" s="2"/>
      <c r="S187" s="2">
        <f t="shared" si="71"/>
        <v>0</v>
      </c>
      <c r="T187" s="2">
        <f t="shared" si="72"/>
        <v>0</v>
      </c>
      <c r="U187" s="2">
        <f t="shared" si="73"/>
        <v>0</v>
      </c>
      <c r="V187" s="2">
        <f t="shared" si="74"/>
        <v>0</v>
      </c>
      <c r="W187" s="2">
        <f t="shared" si="75"/>
        <v>0</v>
      </c>
      <c r="X187" s="2">
        <f t="shared" si="76"/>
        <v>0</v>
      </c>
      <c r="Y187" s="2">
        <f t="shared" si="77"/>
        <v>0</v>
      </c>
      <c r="Z187" s="2">
        <f t="shared" si="78"/>
        <v>0</v>
      </c>
      <c r="AA187" s="2">
        <f t="shared" si="79"/>
        <v>0</v>
      </c>
      <c r="AB187" s="2">
        <f t="shared" si="80"/>
        <v>0</v>
      </c>
      <c r="AC187" s="2"/>
      <c r="AD187" s="2">
        <f t="shared" si="81"/>
        <v>0</v>
      </c>
      <c r="AE187" s="2">
        <f t="shared" si="82"/>
        <v>0</v>
      </c>
      <c r="AF187" s="2">
        <f t="shared" si="83"/>
        <v>0</v>
      </c>
      <c r="AG187" s="2">
        <f t="shared" si="84"/>
        <v>0</v>
      </c>
      <c r="AH187" s="2">
        <f t="shared" si="85"/>
        <v>0</v>
      </c>
      <c r="AI187" s="2">
        <f t="shared" si="86"/>
        <v>1</v>
      </c>
    </row>
    <row r="188" spans="1:35" s="3" customFormat="1" ht="14.25" customHeight="1" x14ac:dyDescent="0.25">
      <c r="A188" s="20">
        <v>0</v>
      </c>
      <c r="B188" s="20">
        <v>2</v>
      </c>
      <c r="C188" s="20">
        <v>4</v>
      </c>
      <c r="D188" s="21" t="s">
        <v>568</v>
      </c>
      <c r="E188" s="21" t="s">
        <v>36</v>
      </c>
      <c r="F188" s="21" t="s">
        <v>580</v>
      </c>
      <c r="G188" s="21" t="s">
        <v>518</v>
      </c>
      <c r="H188" s="21" t="s">
        <v>165</v>
      </c>
      <c r="I188" s="20" t="s">
        <v>539</v>
      </c>
      <c r="J188" s="20">
        <v>7</v>
      </c>
      <c r="K188" s="20" t="s">
        <v>377</v>
      </c>
      <c r="L188" s="20">
        <v>30</v>
      </c>
      <c r="M188" s="21" t="s">
        <v>600</v>
      </c>
      <c r="N188" s="21"/>
      <c r="O188" s="7"/>
      <c r="P188" s="7"/>
      <c r="Q188" s="21"/>
      <c r="R188" s="2"/>
      <c r="S188" s="2">
        <f t="shared" si="71"/>
        <v>0</v>
      </c>
      <c r="T188" s="2">
        <f t="shared" si="72"/>
        <v>0</v>
      </c>
      <c r="U188" s="2">
        <f t="shared" si="73"/>
        <v>0</v>
      </c>
      <c r="V188" s="2">
        <f t="shared" si="74"/>
        <v>0</v>
      </c>
      <c r="W188" s="2">
        <f t="shared" si="75"/>
        <v>0</v>
      </c>
      <c r="X188" s="2">
        <f t="shared" si="76"/>
        <v>0</v>
      </c>
      <c r="Y188" s="2">
        <f t="shared" si="77"/>
        <v>1</v>
      </c>
      <c r="Z188" s="2">
        <f t="shared" si="78"/>
        <v>0</v>
      </c>
      <c r="AA188" s="2">
        <f t="shared" si="79"/>
        <v>0</v>
      </c>
      <c r="AB188" s="2">
        <f t="shared" si="80"/>
        <v>0</v>
      </c>
      <c r="AC188" s="2"/>
      <c r="AD188" s="2">
        <f t="shared" si="81"/>
        <v>0</v>
      </c>
      <c r="AE188" s="2">
        <f t="shared" si="82"/>
        <v>0</v>
      </c>
      <c r="AF188" s="2">
        <f t="shared" si="83"/>
        <v>0</v>
      </c>
      <c r="AG188" s="2">
        <f t="shared" si="84"/>
        <v>0</v>
      </c>
      <c r="AH188" s="2">
        <f t="shared" si="85"/>
        <v>0</v>
      </c>
      <c r="AI188" s="2">
        <f t="shared" si="86"/>
        <v>1</v>
      </c>
    </row>
    <row r="189" spans="1:35" s="3" customFormat="1" ht="14.25" customHeight="1" x14ac:dyDescent="0.25">
      <c r="A189" s="29">
        <v>0</v>
      </c>
      <c r="B189" s="29">
        <v>2</v>
      </c>
      <c r="C189" s="29">
        <v>4</v>
      </c>
      <c r="D189" s="30" t="s">
        <v>681</v>
      </c>
      <c r="E189" s="30" t="s">
        <v>675</v>
      </c>
      <c r="F189" s="30" t="s">
        <v>613</v>
      </c>
      <c r="G189" s="30" t="s">
        <v>125</v>
      </c>
      <c r="H189" s="30" t="s">
        <v>165</v>
      </c>
      <c r="I189" s="29" t="s">
        <v>614</v>
      </c>
      <c r="J189" s="29">
        <v>99</v>
      </c>
      <c r="K189" s="29" t="s">
        <v>318</v>
      </c>
      <c r="L189" s="29" t="s">
        <v>343</v>
      </c>
      <c r="M189" s="30" t="s">
        <v>783</v>
      </c>
      <c r="N189" s="30" t="s">
        <v>923</v>
      </c>
      <c r="O189" s="31">
        <v>1</v>
      </c>
      <c r="P189" s="31"/>
      <c r="Q189" s="30"/>
      <c r="R189" s="2"/>
      <c r="S189" s="2">
        <f t="shared" si="71"/>
        <v>0</v>
      </c>
      <c r="T189" s="2">
        <f t="shared" si="72"/>
        <v>0</v>
      </c>
      <c r="U189" s="2">
        <f t="shared" si="73"/>
        <v>0</v>
      </c>
      <c r="V189" s="2">
        <f t="shared" si="74"/>
        <v>0</v>
      </c>
      <c r="W189" s="2">
        <f t="shared" si="75"/>
        <v>0</v>
      </c>
      <c r="X189" s="2">
        <f t="shared" si="76"/>
        <v>0</v>
      </c>
      <c r="Y189" s="2">
        <f t="shared" si="77"/>
        <v>0</v>
      </c>
      <c r="Z189" s="2">
        <f t="shared" si="78"/>
        <v>0</v>
      </c>
      <c r="AA189" s="2">
        <f t="shared" si="79"/>
        <v>0</v>
      </c>
      <c r="AB189" s="2">
        <f t="shared" si="80"/>
        <v>0</v>
      </c>
      <c r="AC189" s="2"/>
      <c r="AD189" s="2">
        <f t="shared" si="81"/>
        <v>0</v>
      </c>
      <c r="AE189" s="2">
        <f t="shared" si="82"/>
        <v>1</v>
      </c>
      <c r="AF189" s="2">
        <f t="shared" si="83"/>
        <v>0</v>
      </c>
      <c r="AG189" s="2">
        <f t="shared" si="84"/>
        <v>1</v>
      </c>
      <c r="AH189" s="2">
        <f t="shared" si="85"/>
        <v>0</v>
      </c>
      <c r="AI189" s="2">
        <f t="shared" si="86"/>
        <v>1</v>
      </c>
    </row>
    <row r="190" spans="1:35" s="3" customFormat="1" ht="14.25" customHeight="1" x14ac:dyDescent="0.25">
      <c r="A190" s="29">
        <v>0</v>
      </c>
      <c r="B190" s="29">
        <v>2</v>
      </c>
      <c r="C190" s="29">
        <v>4</v>
      </c>
      <c r="D190" s="30" t="s">
        <v>763</v>
      </c>
      <c r="E190" s="30" t="s">
        <v>764</v>
      </c>
      <c r="F190" s="30" t="s">
        <v>765</v>
      </c>
      <c r="G190" s="30"/>
      <c r="H190" s="30" t="s">
        <v>165</v>
      </c>
      <c r="I190" s="29" t="s">
        <v>766</v>
      </c>
      <c r="J190" s="29">
        <v>99</v>
      </c>
      <c r="K190" s="29" t="s">
        <v>377</v>
      </c>
      <c r="L190" s="29">
        <v>35</v>
      </c>
      <c r="M190" s="30" t="s">
        <v>943</v>
      </c>
      <c r="N190" s="30" t="s">
        <v>892</v>
      </c>
      <c r="O190" s="31">
        <v>1</v>
      </c>
      <c r="P190" s="31"/>
      <c r="Q190" s="30"/>
      <c r="R190" s="2"/>
      <c r="S190" s="2">
        <f t="shared" si="71"/>
        <v>0</v>
      </c>
      <c r="T190" s="2">
        <f t="shared" si="72"/>
        <v>0</v>
      </c>
      <c r="U190" s="2">
        <f t="shared" si="73"/>
        <v>0</v>
      </c>
      <c r="V190" s="2">
        <f t="shared" si="74"/>
        <v>0</v>
      </c>
      <c r="W190" s="2">
        <f t="shared" si="75"/>
        <v>0</v>
      </c>
      <c r="X190" s="2">
        <f t="shared" si="76"/>
        <v>0</v>
      </c>
      <c r="Y190" s="2">
        <f t="shared" si="77"/>
        <v>0</v>
      </c>
      <c r="Z190" s="2">
        <f t="shared" si="78"/>
        <v>0</v>
      </c>
      <c r="AA190" s="2">
        <f t="shared" si="79"/>
        <v>0</v>
      </c>
      <c r="AB190" s="2">
        <f t="shared" si="80"/>
        <v>0</v>
      </c>
      <c r="AC190" s="2"/>
      <c r="AD190" s="2">
        <f t="shared" si="81"/>
        <v>0</v>
      </c>
      <c r="AE190" s="2">
        <f t="shared" si="82"/>
        <v>1</v>
      </c>
      <c r="AF190" s="2">
        <f t="shared" si="83"/>
        <v>0</v>
      </c>
      <c r="AG190" s="2">
        <f t="shared" si="84"/>
        <v>1</v>
      </c>
      <c r="AH190" s="2">
        <f t="shared" si="85"/>
        <v>0</v>
      </c>
      <c r="AI190" s="2">
        <f t="shared" si="86"/>
        <v>1</v>
      </c>
    </row>
    <row r="191" spans="1:35" s="3" customFormat="1" ht="14.25" customHeight="1" x14ac:dyDescent="0.25">
      <c r="A191" s="29">
        <v>0</v>
      </c>
      <c r="B191" s="29">
        <v>2</v>
      </c>
      <c r="C191" s="29">
        <v>4</v>
      </c>
      <c r="D191" s="30" t="s">
        <v>67</v>
      </c>
      <c r="E191" s="30" t="s">
        <v>89</v>
      </c>
      <c r="F191" s="30" t="s">
        <v>144</v>
      </c>
      <c r="G191" s="30" t="s">
        <v>129</v>
      </c>
      <c r="H191" s="30" t="s">
        <v>165</v>
      </c>
      <c r="I191" s="29" t="s">
        <v>190</v>
      </c>
      <c r="J191" s="29">
        <v>99</v>
      </c>
      <c r="K191" s="29" t="s">
        <v>321</v>
      </c>
      <c r="L191" s="29">
        <v>25</v>
      </c>
      <c r="M191" s="30" t="s">
        <v>993</v>
      </c>
      <c r="N191" s="30" t="s">
        <v>892</v>
      </c>
      <c r="O191" s="31">
        <v>1</v>
      </c>
      <c r="P191" s="31"/>
      <c r="Q191" s="30"/>
      <c r="R191" s="2"/>
      <c r="S191" s="2">
        <f t="shared" si="71"/>
        <v>0</v>
      </c>
      <c r="T191" s="2">
        <f t="shared" si="72"/>
        <v>0</v>
      </c>
      <c r="U191" s="2">
        <f t="shared" si="73"/>
        <v>0</v>
      </c>
      <c r="V191" s="2">
        <f t="shared" si="74"/>
        <v>0</v>
      </c>
      <c r="W191" s="2">
        <f t="shared" si="75"/>
        <v>0</v>
      </c>
      <c r="X191" s="2">
        <f t="shared" si="76"/>
        <v>0</v>
      </c>
      <c r="Y191" s="2">
        <f t="shared" si="77"/>
        <v>0</v>
      </c>
      <c r="Z191" s="2">
        <f t="shared" si="78"/>
        <v>0</v>
      </c>
      <c r="AA191" s="2">
        <f t="shared" si="79"/>
        <v>0</v>
      </c>
      <c r="AB191" s="2">
        <f t="shared" si="80"/>
        <v>0</v>
      </c>
      <c r="AC191" s="2"/>
      <c r="AD191" s="2">
        <f t="shared" si="81"/>
        <v>0</v>
      </c>
      <c r="AE191" s="2">
        <f t="shared" si="82"/>
        <v>1</v>
      </c>
      <c r="AF191" s="2">
        <f t="shared" si="83"/>
        <v>0</v>
      </c>
      <c r="AG191" s="2">
        <f t="shared" si="84"/>
        <v>1</v>
      </c>
      <c r="AH191" s="2">
        <f t="shared" si="85"/>
        <v>0</v>
      </c>
      <c r="AI191" s="2">
        <f t="shared" si="86"/>
        <v>1</v>
      </c>
    </row>
    <row r="192" spans="1:35" s="3" customFormat="1" ht="14.25" customHeight="1" x14ac:dyDescent="0.25">
      <c r="A192" s="29">
        <v>0</v>
      </c>
      <c r="B192" s="29">
        <v>2</v>
      </c>
      <c r="C192" s="29">
        <v>4</v>
      </c>
      <c r="D192" s="30" t="s">
        <v>425</v>
      </c>
      <c r="E192" s="30" t="s">
        <v>234</v>
      </c>
      <c r="F192" s="30" t="s">
        <v>426</v>
      </c>
      <c r="G192" s="30" t="s">
        <v>96</v>
      </c>
      <c r="H192" s="30" t="s">
        <v>165</v>
      </c>
      <c r="I192" s="29" t="s">
        <v>427</v>
      </c>
      <c r="J192" s="29">
        <v>3</v>
      </c>
      <c r="K192" s="29" t="s">
        <v>318</v>
      </c>
      <c r="L192" s="29" t="s">
        <v>339</v>
      </c>
      <c r="M192" s="30" t="s">
        <v>744</v>
      </c>
      <c r="N192" s="30" t="s">
        <v>905</v>
      </c>
      <c r="O192" s="31">
        <v>1</v>
      </c>
      <c r="P192" s="31"/>
      <c r="Q192" s="30"/>
      <c r="R192" s="2"/>
      <c r="S192" s="2">
        <f t="shared" si="71"/>
        <v>0</v>
      </c>
      <c r="T192" s="2">
        <f t="shared" si="72"/>
        <v>0</v>
      </c>
      <c r="U192" s="2">
        <f t="shared" si="73"/>
        <v>1</v>
      </c>
      <c r="V192" s="2">
        <f t="shared" si="74"/>
        <v>0</v>
      </c>
      <c r="W192" s="2">
        <f t="shared" si="75"/>
        <v>0</v>
      </c>
      <c r="X192" s="2">
        <f t="shared" si="76"/>
        <v>0</v>
      </c>
      <c r="Y192" s="2">
        <f t="shared" si="77"/>
        <v>0</v>
      </c>
      <c r="Z192" s="2">
        <f t="shared" si="78"/>
        <v>0</v>
      </c>
      <c r="AA192" s="2">
        <f t="shared" si="79"/>
        <v>0</v>
      </c>
      <c r="AB192" s="2">
        <f t="shared" si="80"/>
        <v>0</v>
      </c>
      <c r="AC192" s="2"/>
      <c r="AD192" s="2">
        <f t="shared" si="81"/>
        <v>0</v>
      </c>
      <c r="AE192" s="2">
        <f t="shared" si="82"/>
        <v>1</v>
      </c>
      <c r="AF192" s="2">
        <f t="shared" si="83"/>
        <v>0</v>
      </c>
      <c r="AG192" s="2">
        <f t="shared" si="84"/>
        <v>1</v>
      </c>
      <c r="AH192" s="2">
        <f t="shared" si="85"/>
        <v>0</v>
      </c>
      <c r="AI192" s="2">
        <f t="shared" si="86"/>
        <v>1</v>
      </c>
    </row>
    <row r="193" spans="1:35" ht="14.25" customHeight="1" x14ac:dyDescent="0.25">
      <c r="A193" s="29">
        <v>0</v>
      </c>
      <c r="B193" s="29">
        <v>2</v>
      </c>
      <c r="C193" s="29">
        <v>4</v>
      </c>
      <c r="D193" s="30" t="s">
        <v>214</v>
      </c>
      <c r="E193" s="30" t="s">
        <v>36</v>
      </c>
      <c r="F193" s="30" t="s">
        <v>213</v>
      </c>
      <c r="G193" s="30" t="s">
        <v>97</v>
      </c>
      <c r="H193" s="30" t="s">
        <v>165</v>
      </c>
      <c r="I193" s="29" t="s">
        <v>212</v>
      </c>
      <c r="J193" s="29">
        <v>99</v>
      </c>
      <c r="K193" s="29" t="s">
        <v>377</v>
      </c>
      <c r="L193" s="29">
        <v>25</v>
      </c>
      <c r="M193" s="30" t="s">
        <v>920</v>
      </c>
      <c r="N193" s="30" t="s">
        <v>928</v>
      </c>
      <c r="O193" s="31">
        <v>1</v>
      </c>
      <c r="P193" s="31"/>
      <c r="Q193" s="30"/>
      <c r="S193" s="2">
        <f t="shared" si="71"/>
        <v>0</v>
      </c>
      <c r="T193" s="2">
        <f t="shared" si="72"/>
        <v>0</v>
      </c>
      <c r="U193" s="2">
        <f t="shared" si="73"/>
        <v>0</v>
      </c>
      <c r="V193" s="2">
        <f t="shared" si="74"/>
        <v>0</v>
      </c>
      <c r="W193" s="2">
        <f t="shared" si="75"/>
        <v>0</v>
      </c>
      <c r="X193" s="2">
        <f t="shared" si="76"/>
        <v>0</v>
      </c>
      <c r="Y193" s="2">
        <f t="shared" si="77"/>
        <v>0</v>
      </c>
      <c r="Z193" s="2">
        <f t="shared" si="78"/>
        <v>0</v>
      </c>
      <c r="AA193" s="2">
        <f t="shared" si="79"/>
        <v>0</v>
      </c>
      <c r="AB193" s="2">
        <f t="shared" si="80"/>
        <v>0</v>
      </c>
      <c r="AD193" s="2">
        <f t="shared" si="81"/>
        <v>0</v>
      </c>
      <c r="AE193" s="2">
        <f t="shared" si="82"/>
        <v>1</v>
      </c>
      <c r="AF193" s="2">
        <f t="shared" si="83"/>
        <v>0</v>
      </c>
      <c r="AG193" s="2">
        <f t="shared" si="84"/>
        <v>1</v>
      </c>
      <c r="AH193" s="2">
        <f t="shared" si="85"/>
        <v>0</v>
      </c>
      <c r="AI193" s="2">
        <f t="shared" si="86"/>
        <v>1</v>
      </c>
    </row>
    <row r="194" spans="1:35" ht="14.25" customHeight="1" x14ac:dyDescent="0.25">
      <c r="A194" s="32">
        <v>0</v>
      </c>
      <c r="B194" s="32">
        <v>2</v>
      </c>
      <c r="C194" s="32">
        <v>4</v>
      </c>
      <c r="D194" s="33" t="s">
        <v>215</v>
      </c>
      <c r="E194" s="33" t="s">
        <v>216</v>
      </c>
      <c r="F194" s="33" t="s">
        <v>217</v>
      </c>
      <c r="G194" s="33" t="s">
        <v>107</v>
      </c>
      <c r="H194" s="33" t="s">
        <v>165</v>
      </c>
      <c r="I194" s="32" t="s">
        <v>218</v>
      </c>
      <c r="J194" s="32">
        <v>99</v>
      </c>
      <c r="K194" s="32" t="s">
        <v>377</v>
      </c>
      <c r="L194" s="32">
        <v>25</v>
      </c>
      <c r="M194" s="33" t="s">
        <v>497</v>
      </c>
      <c r="N194" s="33" t="s">
        <v>922</v>
      </c>
      <c r="O194" s="34"/>
      <c r="P194" s="34"/>
      <c r="Q194" s="33"/>
      <c r="S194" s="2">
        <f t="shared" si="71"/>
        <v>0</v>
      </c>
      <c r="T194" s="2">
        <f t="shared" si="72"/>
        <v>0</v>
      </c>
      <c r="U194" s="2">
        <f t="shared" si="73"/>
        <v>0</v>
      </c>
      <c r="V194" s="2">
        <f t="shared" si="74"/>
        <v>0</v>
      </c>
      <c r="W194" s="2">
        <f t="shared" si="75"/>
        <v>0</v>
      </c>
      <c r="X194" s="2">
        <f t="shared" si="76"/>
        <v>0</v>
      </c>
      <c r="Y194" s="2">
        <f t="shared" si="77"/>
        <v>0</v>
      </c>
      <c r="Z194" s="2">
        <f t="shared" si="78"/>
        <v>0</v>
      </c>
      <c r="AA194" s="2">
        <f t="shared" si="79"/>
        <v>0</v>
      </c>
      <c r="AB194" s="2">
        <f t="shared" si="80"/>
        <v>0</v>
      </c>
      <c r="AD194" s="2">
        <f t="shared" si="81"/>
        <v>0</v>
      </c>
      <c r="AE194" s="2">
        <f t="shared" si="82"/>
        <v>0</v>
      </c>
      <c r="AF194" s="2">
        <f t="shared" si="83"/>
        <v>0</v>
      </c>
      <c r="AG194" s="2">
        <f t="shared" si="84"/>
        <v>0</v>
      </c>
      <c r="AH194" s="2">
        <f t="shared" si="85"/>
        <v>0</v>
      </c>
      <c r="AI194" s="2">
        <f t="shared" si="86"/>
        <v>1</v>
      </c>
    </row>
    <row r="195" spans="1:35" ht="14.25" customHeight="1" x14ac:dyDescent="0.25">
      <c r="A195" s="32">
        <v>0</v>
      </c>
      <c r="B195" s="32">
        <v>2</v>
      </c>
      <c r="C195" s="32">
        <v>5</v>
      </c>
      <c r="D195" s="33" t="s">
        <v>420</v>
      </c>
      <c r="E195" s="33" t="s">
        <v>422</v>
      </c>
      <c r="F195" s="33" t="s">
        <v>575</v>
      </c>
      <c r="G195" s="33" t="s">
        <v>154</v>
      </c>
      <c r="H195" s="33" t="s">
        <v>165</v>
      </c>
      <c r="I195" s="32" t="s">
        <v>421</v>
      </c>
      <c r="J195" s="32">
        <v>99</v>
      </c>
      <c r="K195" s="32" t="s">
        <v>377</v>
      </c>
      <c r="L195" s="32">
        <v>30</v>
      </c>
      <c r="M195" s="33" t="s">
        <v>601</v>
      </c>
      <c r="N195" s="33" t="s">
        <v>922</v>
      </c>
      <c r="O195" s="34"/>
      <c r="P195" s="34"/>
      <c r="Q195" s="33"/>
      <c r="S195" s="2">
        <f t="shared" si="71"/>
        <v>0</v>
      </c>
      <c r="T195" s="2">
        <f t="shared" si="72"/>
        <v>0</v>
      </c>
      <c r="U195" s="2">
        <f t="shared" si="73"/>
        <v>0</v>
      </c>
      <c r="V195" s="2">
        <f t="shared" si="74"/>
        <v>0</v>
      </c>
      <c r="W195" s="2">
        <f t="shared" si="75"/>
        <v>0</v>
      </c>
      <c r="X195" s="2">
        <f t="shared" si="76"/>
        <v>0</v>
      </c>
      <c r="Y195" s="2">
        <f t="shared" si="77"/>
        <v>0</v>
      </c>
      <c r="Z195" s="2">
        <f t="shared" si="78"/>
        <v>0</v>
      </c>
      <c r="AA195" s="2">
        <f t="shared" si="79"/>
        <v>0</v>
      </c>
      <c r="AB195" s="2">
        <f t="shared" si="80"/>
        <v>0</v>
      </c>
      <c r="AD195" s="2">
        <f t="shared" si="81"/>
        <v>0</v>
      </c>
      <c r="AE195" s="2">
        <f t="shared" si="82"/>
        <v>0</v>
      </c>
      <c r="AF195" s="2">
        <f t="shared" si="83"/>
        <v>0</v>
      </c>
      <c r="AG195" s="2">
        <f t="shared" si="84"/>
        <v>0</v>
      </c>
      <c r="AH195" s="2">
        <f t="shared" si="85"/>
        <v>0</v>
      </c>
      <c r="AI195" s="2">
        <f t="shared" si="86"/>
        <v>1</v>
      </c>
    </row>
    <row r="196" spans="1:35" ht="14.25" customHeight="1" x14ac:dyDescent="0.25">
      <c r="A196" s="29">
        <v>0</v>
      </c>
      <c r="B196" s="29">
        <v>2</v>
      </c>
      <c r="C196" s="29">
        <v>5</v>
      </c>
      <c r="D196" s="30" t="s">
        <v>759</v>
      </c>
      <c r="E196" s="30" t="s">
        <v>263</v>
      </c>
      <c r="F196" s="30" t="s">
        <v>760</v>
      </c>
      <c r="G196" s="30" t="s">
        <v>457</v>
      </c>
      <c r="H196" s="30" t="s">
        <v>165</v>
      </c>
      <c r="I196" s="29" t="s">
        <v>33</v>
      </c>
      <c r="J196" s="29">
        <v>99</v>
      </c>
      <c r="K196" s="29" t="s">
        <v>695</v>
      </c>
      <c r="L196" s="29">
        <v>45</v>
      </c>
      <c r="M196" s="30" t="s">
        <v>994</v>
      </c>
      <c r="N196" s="30" t="s">
        <v>899</v>
      </c>
      <c r="O196" s="31">
        <v>1</v>
      </c>
      <c r="P196" s="31"/>
      <c r="Q196" s="30"/>
      <c r="S196" s="2">
        <f t="shared" si="71"/>
        <v>0</v>
      </c>
      <c r="T196" s="2">
        <f t="shared" si="72"/>
        <v>0</v>
      </c>
      <c r="U196" s="2">
        <f t="shared" si="73"/>
        <v>0</v>
      </c>
      <c r="V196" s="2">
        <f t="shared" si="74"/>
        <v>0</v>
      </c>
      <c r="W196" s="2">
        <f t="shared" si="75"/>
        <v>0</v>
      </c>
      <c r="X196" s="2">
        <f t="shared" si="76"/>
        <v>0</v>
      </c>
      <c r="Y196" s="2">
        <f t="shared" si="77"/>
        <v>0</v>
      </c>
      <c r="Z196" s="2">
        <f t="shared" si="78"/>
        <v>0</v>
      </c>
      <c r="AA196" s="2">
        <f t="shared" si="79"/>
        <v>0</v>
      </c>
      <c r="AB196" s="2">
        <f t="shared" si="80"/>
        <v>0</v>
      </c>
      <c r="AD196" s="2">
        <f t="shared" si="81"/>
        <v>0</v>
      </c>
      <c r="AE196" s="2">
        <f t="shared" si="82"/>
        <v>1</v>
      </c>
      <c r="AF196" s="2">
        <f t="shared" si="83"/>
        <v>0</v>
      </c>
      <c r="AG196" s="2">
        <f t="shared" si="84"/>
        <v>1</v>
      </c>
      <c r="AH196" s="2">
        <f t="shared" si="85"/>
        <v>0</v>
      </c>
      <c r="AI196" s="2">
        <f t="shared" si="86"/>
        <v>1</v>
      </c>
    </row>
    <row r="197" spans="1:35" ht="14.25" customHeight="1" x14ac:dyDescent="0.25">
      <c r="A197" s="29">
        <v>0</v>
      </c>
      <c r="B197" s="29">
        <v>2</v>
      </c>
      <c r="C197" s="29">
        <v>5</v>
      </c>
      <c r="D197" s="30" t="s">
        <v>403</v>
      </c>
      <c r="E197" s="30" t="s">
        <v>29</v>
      </c>
      <c r="F197" s="30" t="s">
        <v>287</v>
      </c>
      <c r="G197" s="30" t="s">
        <v>96</v>
      </c>
      <c r="H197" s="30" t="s">
        <v>165</v>
      </c>
      <c r="I197" s="29" t="s">
        <v>490</v>
      </c>
      <c r="J197" s="29">
        <v>3</v>
      </c>
      <c r="K197" s="29" t="s">
        <v>319</v>
      </c>
      <c r="L197" s="29" t="s">
        <v>334</v>
      </c>
      <c r="M197" s="30" t="s">
        <v>748</v>
      </c>
      <c r="N197" s="30" t="s">
        <v>892</v>
      </c>
      <c r="O197" s="31">
        <v>1</v>
      </c>
      <c r="P197" s="31"/>
      <c r="Q197" s="30"/>
      <c r="S197" s="2">
        <f t="shared" si="71"/>
        <v>0</v>
      </c>
      <c r="T197" s="2">
        <f t="shared" si="72"/>
        <v>0</v>
      </c>
      <c r="U197" s="2">
        <f t="shared" si="73"/>
        <v>1</v>
      </c>
      <c r="V197" s="2">
        <f t="shared" si="74"/>
        <v>0</v>
      </c>
      <c r="W197" s="2">
        <f t="shared" si="75"/>
        <v>0</v>
      </c>
      <c r="X197" s="2">
        <f t="shared" si="76"/>
        <v>0</v>
      </c>
      <c r="Y197" s="2">
        <f t="shared" si="77"/>
        <v>0</v>
      </c>
      <c r="Z197" s="2">
        <f t="shared" si="78"/>
        <v>0</v>
      </c>
      <c r="AA197" s="2">
        <f t="shared" si="79"/>
        <v>0</v>
      </c>
      <c r="AB197" s="2">
        <f t="shared" si="80"/>
        <v>0</v>
      </c>
      <c r="AD197" s="2">
        <f t="shared" si="81"/>
        <v>0</v>
      </c>
      <c r="AE197" s="2">
        <f t="shared" si="82"/>
        <v>1</v>
      </c>
      <c r="AF197" s="2">
        <f t="shared" si="83"/>
        <v>0</v>
      </c>
      <c r="AG197" s="2">
        <f t="shared" si="84"/>
        <v>1</v>
      </c>
      <c r="AH197" s="2">
        <f t="shared" si="85"/>
        <v>0</v>
      </c>
      <c r="AI197" s="2">
        <f t="shared" si="86"/>
        <v>1</v>
      </c>
    </row>
    <row r="198" spans="1:35" ht="14.25" customHeight="1" x14ac:dyDescent="0.25">
      <c r="A198" s="29">
        <v>0</v>
      </c>
      <c r="B198" s="29">
        <v>2</v>
      </c>
      <c r="C198" s="29">
        <v>5</v>
      </c>
      <c r="D198" s="30" t="s">
        <v>569</v>
      </c>
      <c r="E198" s="30" t="s">
        <v>36</v>
      </c>
      <c r="F198" s="30" t="s">
        <v>952</v>
      </c>
      <c r="G198" s="30" t="s">
        <v>670</v>
      </c>
      <c r="H198" s="30" t="s">
        <v>165</v>
      </c>
      <c r="I198" s="29" t="s">
        <v>33</v>
      </c>
      <c r="J198" s="29">
        <v>99</v>
      </c>
      <c r="K198" s="29" t="s">
        <v>320</v>
      </c>
      <c r="L198" s="29" t="s">
        <v>335</v>
      </c>
      <c r="M198" s="30" t="s">
        <v>602</v>
      </c>
      <c r="N198" s="30" t="s">
        <v>906</v>
      </c>
      <c r="O198" s="31">
        <v>1</v>
      </c>
      <c r="P198" s="31"/>
      <c r="Q198" s="30" t="s">
        <v>953</v>
      </c>
      <c r="S198" s="2">
        <f t="shared" si="71"/>
        <v>0</v>
      </c>
      <c r="T198" s="2">
        <f t="shared" si="72"/>
        <v>0</v>
      </c>
      <c r="U198" s="2">
        <f t="shared" si="73"/>
        <v>0</v>
      </c>
      <c r="V198" s="2">
        <f t="shared" si="74"/>
        <v>0</v>
      </c>
      <c r="W198" s="2">
        <f t="shared" si="75"/>
        <v>0</v>
      </c>
      <c r="X198" s="2">
        <f t="shared" si="76"/>
        <v>0</v>
      </c>
      <c r="Y198" s="2">
        <f t="shared" si="77"/>
        <v>0</v>
      </c>
      <c r="Z198" s="2">
        <f t="shared" si="78"/>
        <v>0</v>
      </c>
      <c r="AA198" s="2">
        <f t="shared" si="79"/>
        <v>0</v>
      </c>
      <c r="AB198" s="2">
        <f t="shared" si="80"/>
        <v>0</v>
      </c>
      <c r="AD198" s="2">
        <f t="shared" si="81"/>
        <v>0</v>
      </c>
      <c r="AE198" s="2">
        <f t="shared" si="82"/>
        <v>1</v>
      </c>
      <c r="AF198" s="2">
        <f t="shared" si="83"/>
        <v>0</v>
      </c>
      <c r="AG198" s="2">
        <f t="shared" si="84"/>
        <v>1</v>
      </c>
      <c r="AH198" s="2">
        <f t="shared" si="85"/>
        <v>0</v>
      </c>
      <c r="AI198" s="2">
        <f t="shared" si="86"/>
        <v>1</v>
      </c>
    </row>
    <row r="199" spans="1:35" ht="14.25" customHeight="1" x14ac:dyDescent="0.25">
      <c r="A199" s="20">
        <v>0</v>
      </c>
      <c r="B199" s="20">
        <v>2</v>
      </c>
      <c r="C199" s="20">
        <v>5</v>
      </c>
      <c r="D199" s="21" t="s">
        <v>233</v>
      </c>
      <c r="E199" s="21" t="s">
        <v>86</v>
      </c>
      <c r="F199" s="21" t="s">
        <v>254</v>
      </c>
      <c r="G199" s="21" t="s">
        <v>130</v>
      </c>
      <c r="H199" s="21" t="s">
        <v>165</v>
      </c>
      <c r="I199" s="20" t="s">
        <v>593</v>
      </c>
      <c r="J199" s="20">
        <v>10</v>
      </c>
      <c r="K199" s="20" t="s">
        <v>377</v>
      </c>
      <c r="L199" s="20" t="s">
        <v>333</v>
      </c>
      <c r="M199" s="21" t="s">
        <v>271</v>
      </c>
      <c r="N199" s="21"/>
      <c r="O199" s="7"/>
      <c r="P199" s="7"/>
      <c r="Q199" s="21"/>
      <c r="S199" s="2">
        <f t="shared" si="71"/>
        <v>0</v>
      </c>
      <c r="T199" s="2">
        <f t="shared" si="72"/>
        <v>0</v>
      </c>
      <c r="U199" s="2">
        <f t="shared" si="73"/>
        <v>0</v>
      </c>
      <c r="V199" s="2">
        <f t="shared" si="74"/>
        <v>0</v>
      </c>
      <c r="W199" s="2">
        <f t="shared" si="75"/>
        <v>0</v>
      </c>
      <c r="X199" s="2">
        <f t="shared" si="76"/>
        <v>0</v>
      </c>
      <c r="Y199" s="2">
        <f t="shared" si="77"/>
        <v>0</v>
      </c>
      <c r="Z199" s="2">
        <f t="shared" si="78"/>
        <v>0</v>
      </c>
      <c r="AA199" s="2">
        <f t="shared" si="79"/>
        <v>0</v>
      </c>
      <c r="AB199" s="2">
        <f t="shared" si="80"/>
        <v>1</v>
      </c>
      <c r="AD199" s="2">
        <f t="shared" si="81"/>
        <v>0</v>
      </c>
      <c r="AE199" s="2">
        <f t="shared" si="82"/>
        <v>0</v>
      </c>
      <c r="AF199" s="2">
        <f t="shared" si="83"/>
        <v>0</v>
      </c>
      <c r="AG199" s="2">
        <f t="shared" si="84"/>
        <v>0</v>
      </c>
      <c r="AH199" s="2">
        <f t="shared" si="85"/>
        <v>0</v>
      </c>
      <c r="AI199" s="2">
        <f t="shared" si="86"/>
        <v>1</v>
      </c>
    </row>
    <row r="200" spans="1:35" ht="14.25" customHeight="1" x14ac:dyDescent="0.25">
      <c r="A200" s="32">
        <v>0</v>
      </c>
      <c r="B200" s="32">
        <v>2</v>
      </c>
      <c r="C200" s="32">
        <v>5</v>
      </c>
      <c r="D200" s="33" t="s">
        <v>627</v>
      </c>
      <c r="E200" s="33" t="s">
        <v>29</v>
      </c>
      <c r="F200" s="33" t="s">
        <v>629</v>
      </c>
      <c r="G200" s="33" t="s">
        <v>825</v>
      </c>
      <c r="H200" s="33" t="s">
        <v>165</v>
      </c>
      <c r="I200" s="32" t="s">
        <v>630</v>
      </c>
      <c r="J200" s="32">
        <v>99</v>
      </c>
      <c r="K200" s="32" t="s">
        <v>320</v>
      </c>
      <c r="L200" s="32" t="s">
        <v>341</v>
      </c>
      <c r="M200" s="33" t="s">
        <v>781</v>
      </c>
      <c r="N200" s="33" t="s">
        <v>893</v>
      </c>
      <c r="O200" s="34"/>
      <c r="P200" s="34"/>
      <c r="Q200" s="33"/>
      <c r="S200" s="2">
        <f t="shared" si="71"/>
        <v>0</v>
      </c>
      <c r="T200" s="2">
        <f t="shared" si="72"/>
        <v>0</v>
      </c>
      <c r="U200" s="2">
        <f t="shared" si="73"/>
        <v>0</v>
      </c>
      <c r="V200" s="2">
        <f t="shared" si="74"/>
        <v>0</v>
      </c>
      <c r="W200" s="2">
        <f t="shared" si="75"/>
        <v>0</v>
      </c>
      <c r="X200" s="2">
        <f t="shared" si="76"/>
        <v>0</v>
      </c>
      <c r="Y200" s="2">
        <f t="shared" si="77"/>
        <v>0</v>
      </c>
      <c r="Z200" s="2">
        <f t="shared" si="78"/>
        <v>0</v>
      </c>
      <c r="AA200" s="2">
        <f t="shared" si="79"/>
        <v>0</v>
      </c>
      <c r="AB200" s="2">
        <f t="shared" si="80"/>
        <v>0</v>
      </c>
      <c r="AD200" s="2">
        <f t="shared" si="81"/>
        <v>0</v>
      </c>
      <c r="AE200" s="2">
        <f t="shared" si="82"/>
        <v>0</v>
      </c>
      <c r="AF200" s="2">
        <f t="shared" si="83"/>
        <v>0</v>
      </c>
      <c r="AG200" s="2">
        <f t="shared" si="84"/>
        <v>0</v>
      </c>
      <c r="AH200" s="2">
        <f t="shared" si="85"/>
        <v>0</v>
      </c>
      <c r="AI200" s="2">
        <f t="shared" si="86"/>
        <v>1</v>
      </c>
    </row>
    <row r="201" spans="1:35" ht="14.25" customHeight="1" x14ac:dyDescent="0.25">
      <c r="A201" s="29">
        <v>0</v>
      </c>
      <c r="B201" s="29">
        <v>2</v>
      </c>
      <c r="C201" s="29">
        <v>5</v>
      </c>
      <c r="D201" s="30" t="s">
        <v>809</v>
      </c>
      <c r="E201" s="30" t="s">
        <v>29</v>
      </c>
      <c r="F201" s="30" t="s">
        <v>642</v>
      </c>
      <c r="G201" s="30" t="s">
        <v>515</v>
      </c>
      <c r="H201" s="30" t="s">
        <v>165</v>
      </c>
      <c r="I201" s="29" t="s">
        <v>643</v>
      </c>
      <c r="J201" s="29">
        <v>99</v>
      </c>
      <c r="K201" s="29" t="s">
        <v>320</v>
      </c>
      <c r="L201" s="29" t="s">
        <v>346</v>
      </c>
      <c r="M201" s="30" t="s">
        <v>641</v>
      </c>
      <c r="N201" s="30" t="s">
        <v>906</v>
      </c>
      <c r="O201" s="31">
        <v>1</v>
      </c>
      <c r="P201" s="31"/>
      <c r="Q201" s="30"/>
      <c r="S201" s="2">
        <f t="shared" si="71"/>
        <v>0</v>
      </c>
      <c r="T201" s="2">
        <f t="shared" si="72"/>
        <v>0</v>
      </c>
      <c r="U201" s="2">
        <f t="shared" si="73"/>
        <v>0</v>
      </c>
      <c r="V201" s="2">
        <f t="shared" si="74"/>
        <v>0</v>
      </c>
      <c r="W201" s="2">
        <f t="shared" si="75"/>
        <v>0</v>
      </c>
      <c r="X201" s="2">
        <f t="shared" si="76"/>
        <v>0</v>
      </c>
      <c r="Y201" s="2">
        <f t="shared" si="77"/>
        <v>0</v>
      </c>
      <c r="Z201" s="2">
        <f t="shared" si="78"/>
        <v>0</v>
      </c>
      <c r="AA201" s="2">
        <f t="shared" si="79"/>
        <v>0</v>
      </c>
      <c r="AB201" s="2">
        <f t="shared" si="80"/>
        <v>0</v>
      </c>
      <c r="AD201" s="2">
        <f t="shared" si="81"/>
        <v>0</v>
      </c>
      <c r="AE201" s="2">
        <f t="shared" si="82"/>
        <v>1</v>
      </c>
      <c r="AF201" s="2">
        <f t="shared" si="83"/>
        <v>0</v>
      </c>
      <c r="AG201" s="2">
        <f t="shared" si="84"/>
        <v>1</v>
      </c>
      <c r="AH201" s="2">
        <f t="shared" si="85"/>
        <v>0</v>
      </c>
      <c r="AI201" s="2">
        <f t="shared" si="86"/>
        <v>1</v>
      </c>
    </row>
    <row r="202" spans="1:35" ht="14.25" customHeight="1" x14ac:dyDescent="0.25">
      <c r="A202" s="32">
        <v>0</v>
      </c>
      <c r="B202" s="32">
        <v>2</v>
      </c>
      <c r="C202" s="32">
        <v>6</v>
      </c>
      <c r="D202" s="33" t="s">
        <v>678</v>
      </c>
      <c r="E202" s="33" t="s">
        <v>34</v>
      </c>
      <c r="F202" s="33" t="s">
        <v>818</v>
      </c>
      <c r="G202" s="33" t="s">
        <v>96</v>
      </c>
      <c r="H202" s="33" t="s">
        <v>165</v>
      </c>
      <c r="I202" s="32" t="s">
        <v>615</v>
      </c>
      <c r="J202" s="32">
        <v>1</v>
      </c>
      <c r="K202" s="32" t="s">
        <v>318</v>
      </c>
      <c r="L202" s="32" t="s">
        <v>343</v>
      </c>
      <c r="M202" s="33" t="s">
        <v>616</v>
      </c>
      <c r="N202" s="33" t="s">
        <v>922</v>
      </c>
      <c r="O202" s="34"/>
      <c r="P202" s="34"/>
      <c r="Q202" s="33"/>
      <c r="S202" s="2">
        <f t="shared" si="71"/>
        <v>1</v>
      </c>
      <c r="T202" s="2">
        <f t="shared" si="72"/>
        <v>0</v>
      </c>
      <c r="U202" s="2">
        <f t="shared" si="73"/>
        <v>0</v>
      </c>
      <c r="V202" s="2">
        <f t="shared" si="74"/>
        <v>0</v>
      </c>
      <c r="W202" s="2">
        <f t="shared" si="75"/>
        <v>0</v>
      </c>
      <c r="X202" s="2">
        <f t="shared" si="76"/>
        <v>0</v>
      </c>
      <c r="Y202" s="2">
        <f t="shared" si="77"/>
        <v>0</v>
      </c>
      <c r="Z202" s="2">
        <f t="shared" si="78"/>
        <v>0</v>
      </c>
      <c r="AA202" s="2">
        <f t="shared" si="79"/>
        <v>0</v>
      </c>
      <c r="AB202" s="2">
        <f t="shared" si="80"/>
        <v>0</v>
      </c>
      <c r="AD202" s="2">
        <f t="shared" si="81"/>
        <v>0</v>
      </c>
      <c r="AE202" s="2">
        <f t="shared" si="82"/>
        <v>0</v>
      </c>
      <c r="AF202" s="2">
        <f t="shared" si="83"/>
        <v>0</v>
      </c>
      <c r="AG202" s="2">
        <f t="shared" si="84"/>
        <v>0</v>
      </c>
      <c r="AH202" s="2">
        <f t="shared" si="85"/>
        <v>0</v>
      </c>
      <c r="AI202" s="2">
        <f t="shared" si="86"/>
        <v>1</v>
      </c>
    </row>
    <row r="203" spans="1:35" ht="14.25" customHeight="1" x14ac:dyDescent="0.25">
      <c r="A203" s="29">
        <v>0</v>
      </c>
      <c r="B203" s="29">
        <v>2</v>
      </c>
      <c r="C203" s="29">
        <v>6</v>
      </c>
      <c r="D203" s="30" t="s">
        <v>52</v>
      </c>
      <c r="E203" s="30" t="s">
        <v>34</v>
      </c>
      <c r="F203" s="30" t="s">
        <v>105</v>
      </c>
      <c r="G203" s="30" t="s">
        <v>39</v>
      </c>
      <c r="H203" s="30" t="s">
        <v>165</v>
      </c>
      <c r="I203" s="29" t="s">
        <v>844</v>
      </c>
      <c r="J203" s="29">
        <v>8</v>
      </c>
      <c r="K203" s="29" t="s">
        <v>318</v>
      </c>
      <c r="L203" s="29" t="s">
        <v>339</v>
      </c>
      <c r="M203" s="30" t="s">
        <v>272</v>
      </c>
      <c r="N203" s="30" t="s">
        <v>905</v>
      </c>
      <c r="O203" s="31">
        <v>1</v>
      </c>
      <c r="P203" s="31"/>
      <c r="Q203" s="30"/>
      <c r="S203" s="2">
        <f t="shared" si="71"/>
        <v>0</v>
      </c>
      <c r="T203" s="2">
        <f t="shared" si="72"/>
        <v>0</v>
      </c>
      <c r="U203" s="2">
        <f t="shared" si="73"/>
        <v>0</v>
      </c>
      <c r="V203" s="2">
        <f t="shared" si="74"/>
        <v>0</v>
      </c>
      <c r="W203" s="2">
        <f t="shared" si="75"/>
        <v>0</v>
      </c>
      <c r="X203" s="2">
        <f t="shared" si="76"/>
        <v>0</v>
      </c>
      <c r="Y203" s="2">
        <f t="shared" si="77"/>
        <v>0</v>
      </c>
      <c r="Z203" s="2">
        <f t="shared" si="78"/>
        <v>1</v>
      </c>
      <c r="AA203" s="2">
        <f t="shared" si="79"/>
        <v>0</v>
      </c>
      <c r="AB203" s="2">
        <f t="shared" si="80"/>
        <v>0</v>
      </c>
      <c r="AD203" s="2">
        <f t="shared" si="81"/>
        <v>0</v>
      </c>
      <c r="AE203" s="2">
        <f t="shared" si="82"/>
        <v>1</v>
      </c>
      <c r="AF203" s="2">
        <f t="shared" si="83"/>
        <v>0</v>
      </c>
      <c r="AG203" s="2">
        <f t="shared" si="84"/>
        <v>1</v>
      </c>
      <c r="AH203" s="2">
        <f t="shared" si="85"/>
        <v>0</v>
      </c>
      <c r="AI203" s="2">
        <f t="shared" si="86"/>
        <v>1</v>
      </c>
    </row>
    <row r="204" spans="1:35" ht="14.25" customHeight="1" x14ac:dyDescent="0.25">
      <c r="A204" s="29">
        <v>0</v>
      </c>
      <c r="B204" s="29">
        <v>2</v>
      </c>
      <c r="C204" s="29">
        <v>6</v>
      </c>
      <c r="D204" s="30" t="s">
        <v>462</v>
      </c>
      <c r="E204" s="30" t="s">
        <v>34</v>
      </c>
      <c r="F204" s="30" t="s">
        <v>947</v>
      </c>
      <c r="G204" s="30" t="s">
        <v>103</v>
      </c>
      <c r="H204" s="30" t="s">
        <v>165</v>
      </c>
      <c r="I204" s="29" t="s">
        <v>393</v>
      </c>
      <c r="J204" s="29">
        <v>6</v>
      </c>
      <c r="K204" s="29" t="s">
        <v>321</v>
      </c>
      <c r="L204" s="29" t="s">
        <v>339</v>
      </c>
      <c r="M204" s="30" t="s">
        <v>698</v>
      </c>
      <c r="N204" s="30" t="s">
        <v>928</v>
      </c>
      <c r="O204" s="31">
        <v>1</v>
      </c>
      <c r="P204" s="31"/>
      <c r="Q204" s="30"/>
      <c r="S204" s="2">
        <f t="shared" si="71"/>
        <v>0</v>
      </c>
      <c r="T204" s="2">
        <f t="shared" si="72"/>
        <v>0</v>
      </c>
      <c r="U204" s="2">
        <f t="shared" si="73"/>
        <v>0</v>
      </c>
      <c r="V204" s="2">
        <f t="shared" si="74"/>
        <v>0</v>
      </c>
      <c r="W204" s="2">
        <f t="shared" si="75"/>
        <v>0</v>
      </c>
      <c r="X204" s="2">
        <f t="shared" si="76"/>
        <v>1</v>
      </c>
      <c r="Y204" s="2">
        <f t="shared" si="77"/>
        <v>0</v>
      </c>
      <c r="Z204" s="2">
        <f t="shared" si="78"/>
        <v>0</v>
      </c>
      <c r="AA204" s="2">
        <f t="shared" si="79"/>
        <v>0</v>
      </c>
      <c r="AB204" s="2">
        <f t="shared" si="80"/>
        <v>0</v>
      </c>
      <c r="AD204" s="2">
        <f t="shared" si="81"/>
        <v>0</v>
      </c>
      <c r="AE204" s="2">
        <f t="shared" si="82"/>
        <v>1</v>
      </c>
      <c r="AF204" s="2">
        <f t="shared" si="83"/>
        <v>0</v>
      </c>
      <c r="AG204" s="2">
        <f t="shared" si="84"/>
        <v>1</v>
      </c>
      <c r="AH204" s="2">
        <f t="shared" si="85"/>
        <v>0</v>
      </c>
      <c r="AI204" s="2">
        <f t="shared" si="86"/>
        <v>1</v>
      </c>
    </row>
    <row r="205" spans="1:35" ht="14.25" customHeight="1" x14ac:dyDescent="0.25">
      <c r="A205" s="29">
        <v>0</v>
      </c>
      <c r="B205" s="29">
        <v>2</v>
      </c>
      <c r="C205" s="29">
        <v>6</v>
      </c>
      <c r="D205" s="30" t="s">
        <v>682</v>
      </c>
      <c r="E205" s="30" t="s">
        <v>34</v>
      </c>
      <c r="F205" s="30" t="s">
        <v>603</v>
      </c>
      <c r="G205" s="30" t="s">
        <v>163</v>
      </c>
      <c r="H205" s="30" t="s">
        <v>165</v>
      </c>
      <c r="I205" s="29" t="s">
        <v>693</v>
      </c>
      <c r="J205" s="29">
        <v>5</v>
      </c>
      <c r="K205" s="29" t="s">
        <v>320</v>
      </c>
      <c r="L205" s="29">
        <v>30</v>
      </c>
      <c r="M205" s="30" t="s">
        <v>745</v>
      </c>
      <c r="N205" s="30" t="s">
        <v>905</v>
      </c>
      <c r="O205" s="31">
        <v>1</v>
      </c>
      <c r="P205" s="31"/>
      <c r="Q205" s="30"/>
      <c r="S205" s="2">
        <f t="shared" si="71"/>
        <v>0</v>
      </c>
      <c r="T205" s="2">
        <f t="shared" si="72"/>
        <v>0</v>
      </c>
      <c r="U205" s="2">
        <f t="shared" si="73"/>
        <v>0</v>
      </c>
      <c r="V205" s="2">
        <f t="shared" si="74"/>
        <v>0</v>
      </c>
      <c r="W205" s="2">
        <f t="shared" si="75"/>
        <v>1</v>
      </c>
      <c r="X205" s="2">
        <f t="shared" si="76"/>
        <v>0</v>
      </c>
      <c r="Y205" s="2">
        <f t="shared" si="77"/>
        <v>0</v>
      </c>
      <c r="Z205" s="2">
        <f t="shared" si="78"/>
        <v>0</v>
      </c>
      <c r="AA205" s="2">
        <f t="shared" si="79"/>
        <v>0</v>
      </c>
      <c r="AB205" s="2">
        <f t="shared" si="80"/>
        <v>0</v>
      </c>
      <c r="AD205" s="2">
        <f t="shared" si="81"/>
        <v>0</v>
      </c>
      <c r="AE205" s="2">
        <f t="shared" si="82"/>
        <v>1</v>
      </c>
      <c r="AF205" s="2">
        <f t="shared" si="83"/>
        <v>0</v>
      </c>
      <c r="AG205" s="2">
        <f t="shared" si="84"/>
        <v>1</v>
      </c>
      <c r="AH205" s="2">
        <f t="shared" si="85"/>
        <v>0</v>
      </c>
      <c r="AI205" s="2">
        <f t="shared" si="86"/>
        <v>1</v>
      </c>
    </row>
    <row r="206" spans="1:35" ht="14.25" customHeight="1" x14ac:dyDescent="0.25">
      <c r="A206" s="29">
        <v>0</v>
      </c>
      <c r="B206" s="29">
        <v>2</v>
      </c>
      <c r="C206" s="29">
        <v>6</v>
      </c>
      <c r="D206" s="30" t="s">
        <v>58</v>
      </c>
      <c r="E206" s="30" t="s">
        <v>34</v>
      </c>
      <c r="F206" s="30" t="s">
        <v>481</v>
      </c>
      <c r="G206" s="30" t="s">
        <v>103</v>
      </c>
      <c r="H206" s="30" t="s">
        <v>165</v>
      </c>
      <c r="I206" s="29" t="s">
        <v>179</v>
      </c>
      <c r="J206" s="29">
        <v>6</v>
      </c>
      <c r="K206" s="29" t="s">
        <v>321</v>
      </c>
      <c r="L206" s="29" t="s">
        <v>339</v>
      </c>
      <c r="M206" s="30" t="s">
        <v>699</v>
      </c>
      <c r="N206" s="30" t="s">
        <v>928</v>
      </c>
      <c r="O206" s="31">
        <v>1</v>
      </c>
      <c r="P206" s="31"/>
      <c r="Q206" s="30"/>
      <c r="S206" s="2">
        <f t="shared" ref="S206:S241" si="103">IF(J206=$S$7,1,0)</f>
        <v>0</v>
      </c>
      <c r="T206" s="2">
        <f t="shared" ref="T206:T241" si="104">IF(J206=$T$7,1,0)</f>
        <v>0</v>
      </c>
      <c r="U206" s="2">
        <f t="shared" ref="U206:U241" si="105">IF(J206=$U$7,1,0)</f>
        <v>0</v>
      </c>
      <c r="V206" s="2">
        <f t="shared" ref="V206:V241" si="106">IF(J206=$V$7,1,0)</f>
        <v>0</v>
      </c>
      <c r="W206" s="2">
        <f t="shared" ref="W206:W241" si="107">IF(J206=$W$7,1,0)</f>
        <v>0</v>
      </c>
      <c r="X206" s="2">
        <f t="shared" ref="X206:X241" si="108">IF(J206=$X$7,1,0)</f>
        <v>1</v>
      </c>
      <c r="Y206" s="2">
        <f t="shared" ref="Y206:Y241" si="109">IF(J206=$Y$7,1,0)</f>
        <v>0</v>
      </c>
      <c r="Z206" s="2">
        <f t="shared" ref="Z206:Z241" si="110">IF(J206=$Z$7,1,0)</f>
        <v>0</v>
      </c>
      <c r="AA206" s="2">
        <f t="shared" ref="AA206:AA241" si="111">IF(J206=$AA$7,1,0)</f>
        <v>0</v>
      </c>
      <c r="AB206" s="2">
        <f t="shared" ref="AB206:AB241" si="112">IF(J206=$AB$7,1,0)</f>
        <v>0</v>
      </c>
      <c r="AD206" s="2">
        <f t="shared" ref="AD206:AD241" si="113">+O206*P206</f>
        <v>0</v>
      </c>
      <c r="AE206" s="2">
        <f t="shared" ref="AE206:AE241" si="114">O206*(1-P206)</f>
        <v>1</v>
      </c>
      <c r="AF206" s="2">
        <f t="shared" ref="AF206:AF241" si="115">+O206*P206*(1-A206)</f>
        <v>0</v>
      </c>
      <c r="AG206" s="2">
        <f t="shared" ref="AG206:AG241" si="116">O206*(1-P206)*(1-A206)</f>
        <v>1</v>
      </c>
      <c r="AH206" s="2">
        <f t="shared" ref="AH206:AH241" si="117">+P206*(1-A206)</f>
        <v>0</v>
      </c>
      <c r="AI206" s="2">
        <f t="shared" ref="AI206:AI241" si="118">+(1-A206)*(1-P206)</f>
        <v>1</v>
      </c>
    </row>
    <row r="207" spans="1:35" ht="14.25" customHeight="1" x14ac:dyDescent="0.25">
      <c r="A207" s="32">
        <v>0</v>
      </c>
      <c r="B207" s="32">
        <v>2</v>
      </c>
      <c r="C207" s="32">
        <v>6</v>
      </c>
      <c r="D207" s="33" t="s">
        <v>610</v>
      </c>
      <c r="E207" s="33" t="s">
        <v>34</v>
      </c>
      <c r="F207" s="33" t="s">
        <v>611</v>
      </c>
      <c r="G207" s="33" t="s">
        <v>515</v>
      </c>
      <c r="H207" s="33" t="s">
        <v>165</v>
      </c>
      <c r="I207" s="32" t="s">
        <v>612</v>
      </c>
      <c r="J207" s="32"/>
      <c r="K207" s="32" t="s">
        <v>377</v>
      </c>
      <c r="L207" s="32">
        <v>30</v>
      </c>
      <c r="M207" s="33" t="s">
        <v>272</v>
      </c>
      <c r="N207" s="33" t="s">
        <v>889</v>
      </c>
      <c r="O207" s="34"/>
      <c r="P207" s="34"/>
      <c r="Q207" s="33"/>
      <c r="S207" s="2">
        <f t="shared" si="103"/>
        <v>0</v>
      </c>
      <c r="T207" s="2">
        <f t="shared" si="104"/>
        <v>0</v>
      </c>
      <c r="U207" s="2">
        <f t="shared" si="105"/>
        <v>0</v>
      </c>
      <c r="V207" s="2">
        <f t="shared" si="106"/>
        <v>0</v>
      </c>
      <c r="W207" s="2">
        <f t="shared" si="107"/>
        <v>0</v>
      </c>
      <c r="X207" s="2">
        <f t="shared" si="108"/>
        <v>0</v>
      </c>
      <c r="Y207" s="2">
        <f t="shared" si="109"/>
        <v>0</v>
      </c>
      <c r="Z207" s="2">
        <f t="shared" si="110"/>
        <v>0</v>
      </c>
      <c r="AA207" s="2">
        <f t="shared" si="111"/>
        <v>0</v>
      </c>
      <c r="AB207" s="2">
        <f t="shared" si="112"/>
        <v>0</v>
      </c>
      <c r="AD207" s="2">
        <f t="shared" si="113"/>
        <v>0</v>
      </c>
      <c r="AE207" s="2">
        <f t="shared" si="114"/>
        <v>0</v>
      </c>
      <c r="AF207" s="2">
        <f t="shared" si="115"/>
        <v>0</v>
      </c>
      <c r="AG207" s="2">
        <f t="shared" si="116"/>
        <v>0</v>
      </c>
      <c r="AH207" s="2">
        <f t="shared" si="117"/>
        <v>0</v>
      </c>
      <c r="AI207" s="2">
        <f t="shared" si="118"/>
        <v>1</v>
      </c>
    </row>
    <row r="208" spans="1:35" ht="14.25" customHeight="1" x14ac:dyDescent="0.25">
      <c r="A208" s="29">
        <v>0</v>
      </c>
      <c r="B208" s="29">
        <v>2</v>
      </c>
      <c r="C208" s="29">
        <v>6</v>
      </c>
      <c r="D208" s="30" t="s">
        <v>533</v>
      </c>
      <c r="E208" s="30" t="s">
        <v>676</v>
      </c>
      <c r="F208" s="30" t="s">
        <v>944</v>
      </c>
      <c r="G208" s="30" t="s">
        <v>582</v>
      </c>
      <c r="H208" s="30" t="s">
        <v>165</v>
      </c>
      <c r="I208" s="29" t="s">
        <v>534</v>
      </c>
      <c r="J208" s="29">
        <v>2</v>
      </c>
      <c r="K208" s="29" t="s">
        <v>320</v>
      </c>
      <c r="L208" s="29" t="s">
        <v>339</v>
      </c>
      <c r="M208" s="30" t="s">
        <v>272</v>
      </c>
      <c r="N208" s="30" t="s">
        <v>900</v>
      </c>
      <c r="O208" s="31">
        <v>1</v>
      </c>
      <c r="P208" s="31"/>
      <c r="Q208" s="30"/>
      <c r="S208" s="2">
        <f t="shared" si="103"/>
        <v>0</v>
      </c>
      <c r="T208" s="2">
        <f t="shared" si="104"/>
        <v>1</v>
      </c>
      <c r="U208" s="2">
        <f t="shared" si="105"/>
        <v>0</v>
      </c>
      <c r="V208" s="2">
        <f t="shared" si="106"/>
        <v>0</v>
      </c>
      <c r="W208" s="2">
        <f t="shared" si="107"/>
        <v>0</v>
      </c>
      <c r="X208" s="2">
        <f t="shared" si="108"/>
        <v>0</v>
      </c>
      <c r="Y208" s="2">
        <f t="shared" si="109"/>
        <v>0</v>
      </c>
      <c r="Z208" s="2">
        <f t="shared" si="110"/>
        <v>0</v>
      </c>
      <c r="AA208" s="2">
        <f t="shared" si="111"/>
        <v>0</v>
      </c>
      <c r="AB208" s="2">
        <f t="shared" si="112"/>
        <v>0</v>
      </c>
      <c r="AD208" s="2">
        <f t="shared" si="113"/>
        <v>0</v>
      </c>
      <c r="AE208" s="2">
        <f t="shared" si="114"/>
        <v>1</v>
      </c>
      <c r="AF208" s="2">
        <f t="shared" si="115"/>
        <v>0</v>
      </c>
      <c r="AG208" s="2">
        <f t="shared" si="116"/>
        <v>1</v>
      </c>
      <c r="AH208" s="2">
        <f t="shared" si="117"/>
        <v>0</v>
      </c>
      <c r="AI208" s="2">
        <f t="shared" si="118"/>
        <v>1</v>
      </c>
    </row>
    <row r="209" spans="1:35" ht="14.25" customHeight="1" x14ac:dyDescent="0.25">
      <c r="A209" s="29">
        <v>1</v>
      </c>
      <c r="B209" s="29">
        <v>2</v>
      </c>
      <c r="C209" s="29">
        <v>6</v>
      </c>
      <c r="D209" s="30" t="s">
        <v>533</v>
      </c>
      <c r="E209" s="30" t="s">
        <v>676</v>
      </c>
      <c r="F209" s="30" t="s">
        <v>945</v>
      </c>
      <c r="G209" s="30" t="s">
        <v>103</v>
      </c>
      <c r="H209" s="30" t="s">
        <v>165</v>
      </c>
      <c r="I209" s="29" t="s">
        <v>843</v>
      </c>
      <c r="J209" s="29">
        <v>6</v>
      </c>
      <c r="K209" s="29" t="s">
        <v>320</v>
      </c>
      <c r="L209" s="29" t="s">
        <v>339</v>
      </c>
      <c r="M209" s="30" t="s">
        <v>272</v>
      </c>
      <c r="N209" s="30" t="s">
        <v>900</v>
      </c>
      <c r="O209" s="31">
        <v>1</v>
      </c>
      <c r="P209" s="31"/>
      <c r="Q209" s="30"/>
      <c r="S209" s="2">
        <f t="shared" si="103"/>
        <v>0</v>
      </c>
      <c r="T209" s="2">
        <f t="shared" si="104"/>
        <v>0</v>
      </c>
      <c r="U209" s="2">
        <f t="shared" si="105"/>
        <v>0</v>
      </c>
      <c r="V209" s="2">
        <f t="shared" si="106"/>
        <v>0</v>
      </c>
      <c r="W209" s="2">
        <f t="shared" si="107"/>
        <v>0</v>
      </c>
      <c r="X209" s="2">
        <f t="shared" si="108"/>
        <v>1</v>
      </c>
      <c r="Y209" s="2">
        <f t="shared" si="109"/>
        <v>0</v>
      </c>
      <c r="Z209" s="2">
        <f t="shared" si="110"/>
        <v>0</v>
      </c>
      <c r="AA209" s="2">
        <f t="shared" si="111"/>
        <v>0</v>
      </c>
      <c r="AB209" s="2">
        <f t="shared" si="112"/>
        <v>0</v>
      </c>
      <c r="AD209" s="2">
        <f t="shared" si="113"/>
        <v>0</v>
      </c>
      <c r="AE209" s="2">
        <f t="shared" si="114"/>
        <v>1</v>
      </c>
      <c r="AF209" s="2">
        <f t="shared" si="115"/>
        <v>0</v>
      </c>
      <c r="AG209" s="2">
        <f t="shared" si="116"/>
        <v>0</v>
      </c>
      <c r="AH209" s="2">
        <f t="shared" si="117"/>
        <v>0</v>
      </c>
      <c r="AI209" s="2">
        <f t="shared" si="118"/>
        <v>0</v>
      </c>
    </row>
    <row r="210" spans="1:35" ht="14.25" customHeight="1" x14ac:dyDescent="0.25">
      <c r="A210" s="29">
        <v>0</v>
      </c>
      <c r="B210" s="29">
        <v>2</v>
      </c>
      <c r="C210" s="29">
        <v>7</v>
      </c>
      <c r="D210" s="30" t="s">
        <v>409</v>
      </c>
      <c r="E210" s="30" t="s">
        <v>31</v>
      </c>
      <c r="F210" s="30" t="s">
        <v>410</v>
      </c>
      <c r="G210" s="30" t="s">
        <v>470</v>
      </c>
      <c r="H210" s="30" t="s">
        <v>165</v>
      </c>
      <c r="I210" s="29" t="s">
        <v>411</v>
      </c>
      <c r="J210" s="29">
        <v>9</v>
      </c>
      <c r="K210" s="29" t="s">
        <v>320</v>
      </c>
      <c r="L210" s="29" t="s">
        <v>318</v>
      </c>
      <c r="M210" s="30" t="s">
        <v>273</v>
      </c>
      <c r="N210" s="30" t="s">
        <v>886</v>
      </c>
      <c r="O210" s="31">
        <v>1</v>
      </c>
      <c r="P210" s="31">
        <v>1</v>
      </c>
      <c r="Q210" s="30"/>
      <c r="S210" s="2">
        <f t="shared" si="103"/>
        <v>0</v>
      </c>
      <c r="T210" s="2">
        <f t="shared" si="104"/>
        <v>0</v>
      </c>
      <c r="U210" s="2">
        <f t="shared" si="105"/>
        <v>0</v>
      </c>
      <c r="V210" s="2">
        <f t="shared" si="106"/>
        <v>0</v>
      </c>
      <c r="W210" s="2">
        <f t="shared" si="107"/>
        <v>0</v>
      </c>
      <c r="X210" s="2">
        <f t="shared" si="108"/>
        <v>0</v>
      </c>
      <c r="Y210" s="2">
        <f t="shared" si="109"/>
        <v>0</v>
      </c>
      <c r="Z210" s="2">
        <f t="shared" si="110"/>
        <v>0</v>
      </c>
      <c r="AA210" s="2">
        <f t="shared" si="111"/>
        <v>1</v>
      </c>
      <c r="AB210" s="2">
        <f t="shared" si="112"/>
        <v>0</v>
      </c>
      <c r="AD210" s="2">
        <f t="shared" si="113"/>
        <v>1</v>
      </c>
      <c r="AE210" s="2">
        <f t="shared" si="114"/>
        <v>0</v>
      </c>
      <c r="AF210" s="2">
        <f t="shared" si="115"/>
        <v>1</v>
      </c>
      <c r="AG210" s="2">
        <f t="shared" si="116"/>
        <v>0</v>
      </c>
      <c r="AH210" s="2">
        <f t="shared" si="117"/>
        <v>1</v>
      </c>
      <c r="AI210" s="2">
        <f t="shared" si="118"/>
        <v>0</v>
      </c>
    </row>
    <row r="211" spans="1:35" ht="14.25" customHeight="1" x14ac:dyDescent="0.25">
      <c r="A211" s="29">
        <v>0</v>
      </c>
      <c r="B211" s="29">
        <v>2</v>
      </c>
      <c r="C211" s="29">
        <v>7</v>
      </c>
      <c r="D211" s="30" t="s">
        <v>917</v>
      </c>
      <c r="E211" s="30" t="s">
        <v>911</v>
      </c>
      <c r="F211" s="30" t="s">
        <v>915</v>
      </c>
      <c r="G211" s="30" t="s">
        <v>132</v>
      </c>
      <c r="H211" s="30" t="s">
        <v>165</v>
      </c>
      <c r="I211" s="29" t="s">
        <v>918</v>
      </c>
      <c r="J211" s="29">
        <v>99</v>
      </c>
      <c r="K211" s="29" t="s">
        <v>377</v>
      </c>
      <c r="L211" s="29"/>
      <c r="M211" s="30"/>
      <c r="N211" s="30" t="s">
        <v>886</v>
      </c>
      <c r="O211" s="31">
        <v>1</v>
      </c>
      <c r="P211" s="31">
        <v>1</v>
      </c>
      <c r="Q211" s="30"/>
      <c r="S211" s="2">
        <f t="shared" si="103"/>
        <v>0</v>
      </c>
      <c r="T211" s="2">
        <f t="shared" si="104"/>
        <v>0</v>
      </c>
      <c r="U211" s="2">
        <f t="shared" si="105"/>
        <v>0</v>
      </c>
      <c r="V211" s="2">
        <f t="shared" si="106"/>
        <v>0</v>
      </c>
      <c r="W211" s="2">
        <f t="shared" si="107"/>
        <v>0</v>
      </c>
      <c r="X211" s="2">
        <f t="shared" si="108"/>
        <v>0</v>
      </c>
      <c r="Y211" s="2">
        <f t="shared" si="109"/>
        <v>0</v>
      </c>
      <c r="Z211" s="2">
        <f t="shared" si="110"/>
        <v>0</v>
      </c>
      <c r="AA211" s="2">
        <f t="shared" si="111"/>
        <v>0</v>
      </c>
      <c r="AB211" s="2">
        <f t="shared" si="112"/>
        <v>0</v>
      </c>
      <c r="AD211" s="2">
        <f t="shared" si="113"/>
        <v>1</v>
      </c>
      <c r="AE211" s="2">
        <f t="shared" si="114"/>
        <v>0</v>
      </c>
      <c r="AF211" s="2">
        <f t="shared" si="115"/>
        <v>1</v>
      </c>
      <c r="AG211" s="2">
        <f t="shared" si="116"/>
        <v>0</v>
      </c>
      <c r="AH211" s="2">
        <f t="shared" si="117"/>
        <v>1</v>
      </c>
      <c r="AI211" s="2">
        <f t="shared" si="118"/>
        <v>0</v>
      </c>
    </row>
    <row r="212" spans="1:35" ht="14.25" customHeight="1" x14ac:dyDescent="0.25">
      <c r="A212" s="29">
        <v>0</v>
      </c>
      <c r="B212" s="29">
        <v>2</v>
      </c>
      <c r="C212" s="29">
        <v>7</v>
      </c>
      <c r="D212" s="30" t="s">
        <v>519</v>
      </c>
      <c r="E212" s="30" t="s">
        <v>31</v>
      </c>
      <c r="F212" s="30" t="s">
        <v>520</v>
      </c>
      <c r="G212" s="30" t="s">
        <v>124</v>
      </c>
      <c r="H212" s="30" t="s">
        <v>165</v>
      </c>
      <c r="I212" s="29" t="s">
        <v>521</v>
      </c>
      <c r="J212" s="29">
        <v>7</v>
      </c>
      <c r="K212" s="29" t="s">
        <v>319</v>
      </c>
      <c r="L212" s="29" t="s">
        <v>318</v>
      </c>
      <c r="M212" s="30" t="s">
        <v>273</v>
      </c>
      <c r="N212" s="30" t="s">
        <v>892</v>
      </c>
      <c r="O212" s="31">
        <v>1</v>
      </c>
      <c r="P212" s="31"/>
      <c r="Q212" s="30"/>
      <c r="S212" s="2">
        <f t="shared" si="103"/>
        <v>0</v>
      </c>
      <c r="T212" s="2">
        <f t="shared" si="104"/>
        <v>0</v>
      </c>
      <c r="U212" s="2">
        <f t="shared" si="105"/>
        <v>0</v>
      </c>
      <c r="V212" s="2">
        <f t="shared" si="106"/>
        <v>0</v>
      </c>
      <c r="W212" s="2">
        <f t="shared" si="107"/>
        <v>0</v>
      </c>
      <c r="X212" s="2">
        <f t="shared" si="108"/>
        <v>0</v>
      </c>
      <c r="Y212" s="2">
        <f t="shared" si="109"/>
        <v>1</v>
      </c>
      <c r="Z212" s="2">
        <f t="shared" si="110"/>
        <v>0</v>
      </c>
      <c r="AA212" s="2">
        <f t="shared" si="111"/>
        <v>0</v>
      </c>
      <c r="AB212" s="2">
        <f t="shared" si="112"/>
        <v>0</v>
      </c>
      <c r="AD212" s="2">
        <f t="shared" si="113"/>
        <v>0</v>
      </c>
      <c r="AE212" s="2">
        <f t="shared" si="114"/>
        <v>1</v>
      </c>
      <c r="AF212" s="2">
        <f t="shared" si="115"/>
        <v>0</v>
      </c>
      <c r="AG212" s="2">
        <f t="shared" si="116"/>
        <v>1</v>
      </c>
      <c r="AH212" s="2">
        <f t="shared" si="117"/>
        <v>0</v>
      </c>
      <c r="AI212" s="2">
        <f t="shared" si="118"/>
        <v>1</v>
      </c>
    </row>
    <row r="213" spans="1:35" ht="14.25" customHeight="1" x14ac:dyDescent="0.25">
      <c r="A213" s="32">
        <v>0</v>
      </c>
      <c r="B213" s="32">
        <v>2</v>
      </c>
      <c r="C213" s="32">
        <v>7</v>
      </c>
      <c r="D213" s="33" t="s">
        <v>431</v>
      </c>
      <c r="E213" s="33" t="s">
        <v>31</v>
      </c>
      <c r="F213" s="33" t="s">
        <v>432</v>
      </c>
      <c r="G213" s="33" t="s">
        <v>117</v>
      </c>
      <c r="H213" s="33" t="s">
        <v>165</v>
      </c>
      <c r="I213" s="32" t="s">
        <v>483</v>
      </c>
      <c r="J213" s="32">
        <v>1</v>
      </c>
      <c r="K213" s="32" t="s">
        <v>320</v>
      </c>
      <c r="L213" s="32" t="s">
        <v>318</v>
      </c>
      <c r="M213" s="33" t="s">
        <v>273</v>
      </c>
      <c r="N213" s="33" t="s">
        <v>922</v>
      </c>
      <c r="O213" s="34"/>
      <c r="P213" s="34"/>
      <c r="Q213" s="33"/>
      <c r="S213" s="2">
        <f t="shared" si="103"/>
        <v>1</v>
      </c>
      <c r="T213" s="2">
        <f t="shared" si="104"/>
        <v>0</v>
      </c>
      <c r="U213" s="2">
        <f t="shared" si="105"/>
        <v>0</v>
      </c>
      <c r="V213" s="2">
        <f t="shared" si="106"/>
        <v>0</v>
      </c>
      <c r="W213" s="2">
        <f t="shared" si="107"/>
        <v>0</v>
      </c>
      <c r="X213" s="2">
        <f t="shared" si="108"/>
        <v>0</v>
      </c>
      <c r="Y213" s="2">
        <f t="shared" si="109"/>
        <v>0</v>
      </c>
      <c r="Z213" s="2">
        <f t="shared" si="110"/>
        <v>0</v>
      </c>
      <c r="AA213" s="2">
        <f t="shared" si="111"/>
        <v>0</v>
      </c>
      <c r="AB213" s="2">
        <f t="shared" si="112"/>
        <v>0</v>
      </c>
      <c r="AD213" s="2">
        <f t="shared" si="113"/>
        <v>0</v>
      </c>
      <c r="AE213" s="2">
        <f t="shared" si="114"/>
        <v>0</v>
      </c>
      <c r="AF213" s="2">
        <f t="shared" si="115"/>
        <v>0</v>
      </c>
      <c r="AG213" s="2">
        <f t="shared" si="116"/>
        <v>0</v>
      </c>
      <c r="AH213" s="2">
        <f t="shared" si="117"/>
        <v>0</v>
      </c>
      <c r="AI213" s="2">
        <f t="shared" si="118"/>
        <v>1</v>
      </c>
    </row>
    <row r="214" spans="1:35" ht="14.25" customHeight="1" x14ac:dyDescent="0.25">
      <c r="A214" s="29">
        <v>0</v>
      </c>
      <c r="B214" s="29">
        <v>2</v>
      </c>
      <c r="C214" s="29">
        <v>7</v>
      </c>
      <c r="D214" s="30" t="s">
        <v>461</v>
      </c>
      <c r="E214" s="30" t="s">
        <v>31</v>
      </c>
      <c r="F214" s="30" t="s">
        <v>155</v>
      </c>
      <c r="G214" s="30" t="s">
        <v>122</v>
      </c>
      <c r="H214" s="30" t="s">
        <v>165</v>
      </c>
      <c r="I214" s="29" t="s">
        <v>198</v>
      </c>
      <c r="J214" s="29">
        <v>6</v>
      </c>
      <c r="K214" s="29" t="s">
        <v>321</v>
      </c>
      <c r="L214" s="29" t="s">
        <v>318</v>
      </c>
      <c r="M214" s="30" t="s">
        <v>273</v>
      </c>
      <c r="N214" s="30" t="s">
        <v>886</v>
      </c>
      <c r="O214" s="31">
        <v>1</v>
      </c>
      <c r="P214" s="31">
        <v>1</v>
      </c>
      <c r="Q214" s="30"/>
      <c r="S214" s="2">
        <f t="shared" si="103"/>
        <v>0</v>
      </c>
      <c r="T214" s="2">
        <f t="shared" si="104"/>
        <v>0</v>
      </c>
      <c r="U214" s="2">
        <f t="shared" si="105"/>
        <v>0</v>
      </c>
      <c r="V214" s="2">
        <f t="shared" si="106"/>
        <v>0</v>
      </c>
      <c r="W214" s="2">
        <f t="shared" si="107"/>
        <v>0</v>
      </c>
      <c r="X214" s="2">
        <f t="shared" si="108"/>
        <v>1</v>
      </c>
      <c r="Y214" s="2">
        <f t="shared" si="109"/>
        <v>0</v>
      </c>
      <c r="Z214" s="2">
        <f t="shared" si="110"/>
        <v>0</v>
      </c>
      <c r="AA214" s="2">
        <f t="shared" si="111"/>
        <v>0</v>
      </c>
      <c r="AB214" s="2">
        <f t="shared" si="112"/>
        <v>0</v>
      </c>
      <c r="AD214" s="2">
        <f t="shared" si="113"/>
        <v>1</v>
      </c>
      <c r="AE214" s="2">
        <f t="shared" si="114"/>
        <v>0</v>
      </c>
      <c r="AF214" s="2">
        <f t="shared" si="115"/>
        <v>1</v>
      </c>
      <c r="AG214" s="2">
        <f t="shared" si="116"/>
        <v>0</v>
      </c>
      <c r="AH214" s="2">
        <f t="shared" si="117"/>
        <v>1</v>
      </c>
      <c r="AI214" s="2">
        <f t="shared" si="118"/>
        <v>0</v>
      </c>
    </row>
    <row r="215" spans="1:35" ht="14.25" customHeight="1" x14ac:dyDescent="0.25">
      <c r="A215" s="29">
        <v>0</v>
      </c>
      <c r="B215" s="29">
        <v>2</v>
      </c>
      <c r="C215" s="29">
        <v>7</v>
      </c>
      <c r="D215" s="30" t="s">
        <v>63</v>
      </c>
      <c r="E215" s="30" t="s">
        <v>31</v>
      </c>
      <c r="F215" s="30" t="s">
        <v>138</v>
      </c>
      <c r="G215" s="30" t="s">
        <v>125</v>
      </c>
      <c r="H215" s="30" t="s">
        <v>165</v>
      </c>
      <c r="I215" s="29" t="s">
        <v>374</v>
      </c>
      <c r="J215" s="29">
        <v>99</v>
      </c>
      <c r="K215" s="29" t="s">
        <v>320</v>
      </c>
      <c r="L215" s="29" t="s">
        <v>318</v>
      </c>
      <c r="M215" s="30" t="s">
        <v>273</v>
      </c>
      <c r="N215" s="30" t="s">
        <v>886</v>
      </c>
      <c r="O215" s="31">
        <v>1</v>
      </c>
      <c r="P215" s="31">
        <v>1</v>
      </c>
      <c r="Q215" s="30"/>
      <c r="S215" s="2">
        <f t="shared" si="103"/>
        <v>0</v>
      </c>
      <c r="T215" s="2">
        <f t="shared" si="104"/>
        <v>0</v>
      </c>
      <c r="U215" s="2">
        <f t="shared" si="105"/>
        <v>0</v>
      </c>
      <c r="V215" s="2">
        <f t="shared" si="106"/>
        <v>0</v>
      </c>
      <c r="W215" s="2">
        <f t="shared" si="107"/>
        <v>0</v>
      </c>
      <c r="X215" s="2">
        <f t="shared" si="108"/>
        <v>0</v>
      </c>
      <c r="Y215" s="2">
        <f t="shared" si="109"/>
        <v>0</v>
      </c>
      <c r="Z215" s="2">
        <f t="shared" si="110"/>
        <v>0</v>
      </c>
      <c r="AA215" s="2">
        <f t="shared" si="111"/>
        <v>0</v>
      </c>
      <c r="AB215" s="2">
        <f t="shared" si="112"/>
        <v>0</v>
      </c>
      <c r="AD215" s="2">
        <f t="shared" si="113"/>
        <v>1</v>
      </c>
      <c r="AE215" s="2">
        <f t="shared" si="114"/>
        <v>0</v>
      </c>
      <c r="AF215" s="2">
        <f t="shared" si="115"/>
        <v>1</v>
      </c>
      <c r="AG215" s="2">
        <f t="shared" si="116"/>
        <v>0</v>
      </c>
      <c r="AH215" s="2">
        <f t="shared" si="117"/>
        <v>1</v>
      </c>
      <c r="AI215" s="2">
        <f t="shared" si="118"/>
        <v>0</v>
      </c>
    </row>
    <row r="216" spans="1:35" ht="14.25" customHeight="1" x14ac:dyDescent="0.25">
      <c r="A216" s="29">
        <v>0</v>
      </c>
      <c r="B216" s="29">
        <v>2</v>
      </c>
      <c r="C216" s="29">
        <v>7</v>
      </c>
      <c r="D216" s="30" t="s">
        <v>428</v>
      </c>
      <c r="E216" s="30" t="s">
        <v>31</v>
      </c>
      <c r="F216" s="30" t="s">
        <v>429</v>
      </c>
      <c r="G216" s="30" t="s">
        <v>126</v>
      </c>
      <c r="H216" s="30" t="s">
        <v>165</v>
      </c>
      <c r="I216" s="29" t="s">
        <v>591</v>
      </c>
      <c r="J216" s="29">
        <v>99</v>
      </c>
      <c r="K216" s="29" t="s">
        <v>318</v>
      </c>
      <c r="L216" s="29" t="s">
        <v>318</v>
      </c>
      <c r="M216" s="30" t="s">
        <v>273</v>
      </c>
      <c r="N216" s="30" t="s">
        <v>923</v>
      </c>
      <c r="O216" s="31">
        <v>1</v>
      </c>
      <c r="P216" s="31"/>
      <c r="Q216" s="30"/>
      <c r="S216" s="2">
        <f t="shared" si="103"/>
        <v>0</v>
      </c>
      <c r="T216" s="2">
        <f t="shared" si="104"/>
        <v>0</v>
      </c>
      <c r="U216" s="2">
        <f t="shared" si="105"/>
        <v>0</v>
      </c>
      <c r="V216" s="2">
        <f t="shared" si="106"/>
        <v>0</v>
      </c>
      <c r="W216" s="2">
        <f t="shared" si="107"/>
        <v>0</v>
      </c>
      <c r="X216" s="2">
        <f t="shared" si="108"/>
        <v>0</v>
      </c>
      <c r="Y216" s="2">
        <f t="shared" si="109"/>
        <v>0</v>
      </c>
      <c r="Z216" s="2">
        <f t="shared" si="110"/>
        <v>0</v>
      </c>
      <c r="AA216" s="2">
        <f t="shared" si="111"/>
        <v>0</v>
      </c>
      <c r="AB216" s="2">
        <f t="shared" si="112"/>
        <v>0</v>
      </c>
      <c r="AD216" s="2">
        <f t="shared" si="113"/>
        <v>0</v>
      </c>
      <c r="AE216" s="2">
        <f t="shared" si="114"/>
        <v>1</v>
      </c>
      <c r="AF216" s="2">
        <f t="shared" si="115"/>
        <v>0</v>
      </c>
      <c r="AG216" s="2">
        <f t="shared" si="116"/>
        <v>1</v>
      </c>
      <c r="AH216" s="2">
        <f t="shared" si="117"/>
        <v>0</v>
      </c>
      <c r="AI216" s="2">
        <f t="shared" si="118"/>
        <v>1</v>
      </c>
    </row>
    <row r="217" spans="1:35" ht="14.25" customHeight="1" x14ac:dyDescent="0.25">
      <c r="A217" s="29">
        <v>1</v>
      </c>
      <c r="B217" s="29">
        <v>2</v>
      </c>
      <c r="C217" s="29">
        <v>7</v>
      </c>
      <c r="D217" s="30" t="s">
        <v>428</v>
      </c>
      <c r="E217" s="30" t="s">
        <v>31</v>
      </c>
      <c r="F217" s="30" t="s">
        <v>661</v>
      </c>
      <c r="G217" s="30" t="s">
        <v>662</v>
      </c>
      <c r="H217" s="30" t="s">
        <v>165</v>
      </c>
      <c r="I217" s="29" t="s">
        <v>591</v>
      </c>
      <c r="J217" s="29">
        <v>99</v>
      </c>
      <c r="K217" s="29" t="s">
        <v>318</v>
      </c>
      <c r="L217" s="29" t="s">
        <v>318</v>
      </c>
      <c r="M217" s="30" t="s">
        <v>273</v>
      </c>
      <c r="N217" s="30" t="s">
        <v>923</v>
      </c>
      <c r="O217" s="31">
        <v>1</v>
      </c>
      <c r="P217" s="31"/>
      <c r="Q217" s="30"/>
      <c r="S217" s="2">
        <f t="shared" si="103"/>
        <v>0</v>
      </c>
      <c r="T217" s="2">
        <f t="shared" si="104"/>
        <v>0</v>
      </c>
      <c r="U217" s="2">
        <f t="shared" si="105"/>
        <v>0</v>
      </c>
      <c r="V217" s="2">
        <f t="shared" si="106"/>
        <v>0</v>
      </c>
      <c r="W217" s="2">
        <f t="shared" si="107"/>
        <v>0</v>
      </c>
      <c r="X217" s="2">
        <f t="shared" si="108"/>
        <v>0</v>
      </c>
      <c r="Y217" s="2">
        <f t="shared" si="109"/>
        <v>0</v>
      </c>
      <c r="Z217" s="2">
        <f t="shared" si="110"/>
        <v>0</v>
      </c>
      <c r="AA217" s="2">
        <f t="shared" si="111"/>
        <v>0</v>
      </c>
      <c r="AB217" s="2">
        <f t="shared" si="112"/>
        <v>0</v>
      </c>
      <c r="AD217" s="2">
        <f t="shared" si="113"/>
        <v>0</v>
      </c>
      <c r="AE217" s="2">
        <f t="shared" si="114"/>
        <v>1</v>
      </c>
      <c r="AF217" s="2">
        <f t="shared" si="115"/>
        <v>0</v>
      </c>
      <c r="AG217" s="2">
        <f t="shared" si="116"/>
        <v>0</v>
      </c>
      <c r="AH217" s="2">
        <f t="shared" si="117"/>
        <v>0</v>
      </c>
      <c r="AI217" s="2">
        <f t="shared" si="118"/>
        <v>0</v>
      </c>
    </row>
    <row r="218" spans="1:35" ht="14.25" customHeight="1" x14ac:dyDescent="0.25">
      <c r="A218" s="29">
        <v>0</v>
      </c>
      <c r="B218" s="29">
        <v>2</v>
      </c>
      <c r="C218" s="29">
        <v>7</v>
      </c>
      <c r="D218" s="30" t="s">
        <v>72</v>
      </c>
      <c r="E218" s="30" t="s">
        <v>31</v>
      </c>
      <c r="F218" s="30" t="s">
        <v>151</v>
      </c>
      <c r="G218" s="30" t="s">
        <v>99</v>
      </c>
      <c r="H218" s="30" t="s">
        <v>165</v>
      </c>
      <c r="I218" s="29" t="s">
        <v>195</v>
      </c>
      <c r="J218" s="29">
        <v>3</v>
      </c>
      <c r="K218" s="29" t="s">
        <v>320</v>
      </c>
      <c r="L218" s="29" t="s">
        <v>318</v>
      </c>
      <c r="M218" s="30" t="s">
        <v>273</v>
      </c>
      <c r="N218" s="30" t="s">
        <v>923</v>
      </c>
      <c r="O218" s="31">
        <v>1</v>
      </c>
      <c r="P218" s="31"/>
      <c r="Q218" s="30"/>
      <c r="S218" s="2">
        <f t="shared" si="103"/>
        <v>0</v>
      </c>
      <c r="T218" s="2">
        <f t="shared" si="104"/>
        <v>0</v>
      </c>
      <c r="U218" s="2">
        <f t="shared" si="105"/>
        <v>1</v>
      </c>
      <c r="V218" s="2">
        <f t="shared" si="106"/>
        <v>0</v>
      </c>
      <c r="W218" s="2">
        <f t="shared" si="107"/>
        <v>0</v>
      </c>
      <c r="X218" s="2">
        <f t="shared" si="108"/>
        <v>0</v>
      </c>
      <c r="Y218" s="2">
        <f t="shared" si="109"/>
        <v>0</v>
      </c>
      <c r="Z218" s="2">
        <f t="shared" si="110"/>
        <v>0</v>
      </c>
      <c r="AA218" s="2">
        <f t="shared" si="111"/>
        <v>0</v>
      </c>
      <c r="AB218" s="2">
        <f t="shared" si="112"/>
        <v>0</v>
      </c>
      <c r="AD218" s="2">
        <f t="shared" si="113"/>
        <v>0</v>
      </c>
      <c r="AE218" s="2">
        <f t="shared" si="114"/>
        <v>1</v>
      </c>
      <c r="AF218" s="2">
        <f t="shared" si="115"/>
        <v>0</v>
      </c>
      <c r="AG218" s="2">
        <f t="shared" si="116"/>
        <v>1</v>
      </c>
      <c r="AH218" s="2">
        <f t="shared" si="117"/>
        <v>0</v>
      </c>
      <c r="AI218" s="2">
        <f t="shared" si="118"/>
        <v>1</v>
      </c>
    </row>
    <row r="219" spans="1:35" ht="14.25" customHeight="1" x14ac:dyDescent="0.25">
      <c r="A219" s="29">
        <v>0</v>
      </c>
      <c r="B219" s="29">
        <v>2</v>
      </c>
      <c r="C219" s="29">
        <v>7</v>
      </c>
      <c r="D219" s="30" t="s">
        <v>305</v>
      </c>
      <c r="E219" s="30" t="s">
        <v>31</v>
      </c>
      <c r="F219" s="30" t="s">
        <v>817</v>
      </c>
      <c r="G219" s="30" t="s">
        <v>576</v>
      </c>
      <c r="H219" s="30" t="s">
        <v>165</v>
      </c>
      <c r="I219" s="29" t="s">
        <v>297</v>
      </c>
      <c r="J219" s="29">
        <v>99</v>
      </c>
      <c r="K219" s="29" t="s">
        <v>318</v>
      </c>
      <c r="L219" s="29" t="s">
        <v>318</v>
      </c>
      <c r="M219" s="30" t="s">
        <v>273</v>
      </c>
      <c r="N219" s="30" t="s">
        <v>928</v>
      </c>
      <c r="O219" s="31">
        <v>1</v>
      </c>
      <c r="P219" s="31"/>
      <c r="Q219" s="30"/>
      <c r="S219" s="2">
        <f t="shared" si="103"/>
        <v>0</v>
      </c>
      <c r="T219" s="2">
        <f t="shared" si="104"/>
        <v>0</v>
      </c>
      <c r="U219" s="2">
        <f t="shared" si="105"/>
        <v>0</v>
      </c>
      <c r="V219" s="2">
        <f t="shared" si="106"/>
        <v>0</v>
      </c>
      <c r="W219" s="2">
        <f t="shared" si="107"/>
        <v>0</v>
      </c>
      <c r="X219" s="2">
        <f t="shared" si="108"/>
        <v>0</v>
      </c>
      <c r="Y219" s="2">
        <f t="shared" si="109"/>
        <v>0</v>
      </c>
      <c r="Z219" s="2">
        <f t="shared" si="110"/>
        <v>0</v>
      </c>
      <c r="AA219" s="2">
        <f t="shared" si="111"/>
        <v>0</v>
      </c>
      <c r="AB219" s="2">
        <f t="shared" si="112"/>
        <v>0</v>
      </c>
      <c r="AD219" s="2">
        <f t="shared" si="113"/>
        <v>0</v>
      </c>
      <c r="AE219" s="2">
        <f t="shared" si="114"/>
        <v>1</v>
      </c>
      <c r="AF219" s="2">
        <f t="shared" si="115"/>
        <v>0</v>
      </c>
      <c r="AG219" s="2">
        <f t="shared" si="116"/>
        <v>1</v>
      </c>
      <c r="AH219" s="2">
        <f t="shared" si="117"/>
        <v>0</v>
      </c>
      <c r="AI219" s="2">
        <f t="shared" si="118"/>
        <v>1</v>
      </c>
    </row>
    <row r="220" spans="1:35" ht="14.25" customHeight="1" x14ac:dyDescent="0.25">
      <c r="A220" s="29">
        <v>0</v>
      </c>
      <c r="B220" s="29">
        <v>2</v>
      </c>
      <c r="C220" s="29">
        <v>7</v>
      </c>
      <c r="D220" s="30" t="s">
        <v>73</v>
      </c>
      <c r="E220" s="30" t="s">
        <v>31</v>
      </c>
      <c r="F220" s="30" t="s">
        <v>152</v>
      </c>
      <c r="G220" s="30" t="s">
        <v>120</v>
      </c>
      <c r="H220" s="30" t="s">
        <v>165</v>
      </c>
      <c r="I220" s="29" t="s">
        <v>196</v>
      </c>
      <c r="J220" s="29">
        <v>6</v>
      </c>
      <c r="K220" s="29" t="s">
        <v>320</v>
      </c>
      <c r="L220" s="29" t="s">
        <v>318</v>
      </c>
      <c r="M220" s="30" t="s">
        <v>273</v>
      </c>
      <c r="N220" s="30" t="s">
        <v>899</v>
      </c>
      <c r="O220" s="31">
        <v>1</v>
      </c>
      <c r="P220" s="31"/>
      <c r="Q220" s="30"/>
      <c r="S220" s="2">
        <f t="shared" si="103"/>
        <v>0</v>
      </c>
      <c r="T220" s="2">
        <f t="shared" si="104"/>
        <v>0</v>
      </c>
      <c r="U220" s="2">
        <f t="shared" si="105"/>
        <v>0</v>
      </c>
      <c r="V220" s="2">
        <f t="shared" si="106"/>
        <v>0</v>
      </c>
      <c r="W220" s="2">
        <f t="shared" si="107"/>
        <v>0</v>
      </c>
      <c r="X220" s="2">
        <f t="shared" si="108"/>
        <v>1</v>
      </c>
      <c r="Y220" s="2">
        <f t="shared" si="109"/>
        <v>0</v>
      </c>
      <c r="Z220" s="2">
        <f t="shared" si="110"/>
        <v>0</v>
      </c>
      <c r="AA220" s="2">
        <f t="shared" si="111"/>
        <v>0</v>
      </c>
      <c r="AB220" s="2">
        <f t="shared" si="112"/>
        <v>0</v>
      </c>
      <c r="AD220" s="2">
        <f t="shared" si="113"/>
        <v>0</v>
      </c>
      <c r="AE220" s="2">
        <f t="shared" si="114"/>
        <v>1</v>
      </c>
      <c r="AF220" s="2">
        <f t="shared" si="115"/>
        <v>0</v>
      </c>
      <c r="AG220" s="2">
        <f t="shared" si="116"/>
        <v>1</v>
      </c>
      <c r="AH220" s="2">
        <f t="shared" si="117"/>
        <v>0</v>
      </c>
      <c r="AI220" s="2">
        <f t="shared" si="118"/>
        <v>1</v>
      </c>
    </row>
    <row r="221" spans="1:35" ht="14.25" customHeight="1" x14ac:dyDescent="0.25">
      <c r="A221" s="29">
        <v>1</v>
      </c>
      <c r="B221" s="29">
        <v>2</v>
      </c>
      <c r="C221" s="29">
        <v>7</v>
      </c>
      <c r="D221" s="30" t="s">
        <v>73</v>
      </c>
      <c r="E221" s="30" t="s">
        <v>31</v>
      </c>
      <c r="F221" s="30" t="s">
        <v>310</v>
      </c>
      <c r="G221" s="30" t="s">
        <v>102</v>
      </c>
      <c r="H221" s="30" t="s">
        <v>165</v>
      </c>
      <c r="I221" s="29" t="s">
        <v>316</v>
      </c>
      <c r="J221" s="29">
        <v>4</v>
      </c>
      <c r="K221" s="29" t="s">
        <v>320</v>
      </c>
      <c r="L221" s="29" t="s">
        <v>318</v>
      </c>
      <c r="M221" s="30" t="s">
        <v>273</v>
      </c>
      <c r="N221" s="30" t="s">
        <v>899</v>
      </c>
      <c r="O221" s="31">
        <v>1</v>
      </c>
      <c r="P221" s="31"/>
      <c r="Q221" s="30"/>
      <c r="S221" s="2">
        <f t="shared" si="103"/>
        <v>0</v>
      </c>
      <c r="T221" s="2">
        <f t="shared" si="104"/>
        <v>0</v>
      </c>
      <c r="U221" s="2">
        <f t="shared" si="105"/>
        <v>0</v>
      </c>
      <c r="V221" s="2">
        <f t="shared" si="106"/>
        <v>1</v>
      </c>
      <c r="W221" s="2">
        <f t="shared" si="107"/>
        <v>0</v>
      </c>
      <c r="X221" s="2">
        <f t="shared" si="108"/>
        <v>0</v>
      </c>
      <c r="Y221" s="2">
        <f t="shared" si="109"/>
        <v>0</v>
      </c>
      <c r="Z221" s="2">
        <f t="shared" si="110"/>
        <v>0</v>
      </c>
      <c r="AA221" s="2">
        <f t="shared" si="111"/>
        <v>0</v>
      </c>
      <c r="AB221" s="2">
        <f t="shared" si="112"/>
        <v>0</v>
      </c>
      <c r="AD221" s="2">
        <f t="shared" si="113"/>
        <v>0</v>
      </c>
      <c r="AE221" s="2">
        <f t="shared" si="114"/>
        <v>1</v>
      </c>
      <c r="AF221" s="2">
        <f t="shared" si="115"/>
        <v>0</v>
      </c>
      <c r="AG221" s="2">
        <f t="shared" si="116"/>
        <v>0</v>
      </c>
      <c r="AH221" s="2">
        <f t="shared" si="117"/>
        <v>0</v>
      </c>
      <c r="AI221" s="2">
        <f t="shared" si="118"/>
        <v>0</v>
      </c>
    </row>
    <row r="222" spans="1:35" ht="14.25" customHeight="1" x14ac:dyDescent="0.25">
      <c r="A222" s="29">
        <v>0</v>
      </c>
      <c r="B222" s="29">
        <v>2</v>
      </c>
      <c r="C222" s="29">
        <v>7</v>
      </c>
      <c r="D222" s="30" t="s">
        <v>394</v>
      </c>
      <c r="E222" s="30" t="s">
        <v>31</v>
      </c>
      <c r="F222" s="30" t="s">
        <v>475</v>
      </c>
      <c r="G222" s="30" t="s">
        <v>476</v>
      </c>
      <c r="H222" s="30" t="s">
        <v>165</v>
      </c>
      <c r="I222" s="29" t="s">
        <v>395</v>
      </c>
      <c r="J222" s="29">
        <v>99</v>
      </c>
      <c r="K222" s="29" t="s">
        <v>318</v>
      </c>
      <c r="L222" s="29" t="s">
        <v>318</v>
      </c>
      <c r="M222" s="30" t="s">
        <v>273</v>
      </c>
      <c r="N222" s="30" t="s">
        <v>892</v>
      </c>
      <c r="O222" s="31">
        <v>1</v>
      </c>
      <c r="P222" s="31"/>
      <c r="Q222" s="30"/>
      <c r="S222" s="2">
        <f t="shared" si="103"/>
        <v>0</v>
      </c>
      <c r="T222" s="2">
        <f t="shared" si="104"/>
        <v>0</v>
      </c>
      <c r="U222" s="2">
        <f t="shared" si="105"/>
        <v>0</v>
      </c>
      <c r="V222" s="2">
        <f t="shared" si="106"/>
        <v>0</v>
      </c>
      <c r="W222" s="2">
        <f t="shared" si="107"/>
        <v>0</v>
      </c>
      <c r="X222" s="2">
        <f t="shared" si="108"/>
        <v>0</v>
      </c>
      <c r="Y222" s="2">
        <f t="shared" si="109"/>
        <v>0</v>
      </c>
      <c r="Z222" s="2">
        <f t="shared" si="110"/>
        <v>0</v>
      </c>
      <c r="AA222" s="2">
        <f t="shared" si="111"/>
        <v>0</v>
      </c>
      <c r="AB222" s="2">
        <f t="shared" si="112"/>
        <v>0</v>
      </c>
      <c r="AD222" s="2">
        <f t="shared" si="113"/>
        <v>0</v>
      </c>
      <c r="AE222" s="2">
        <f t="shared" si="114"/>
        <v>1</v>
      </c>
      <c r="AF222" s="2">
        <f t="shared" si="115"/>
        <v>0</v>
      </c>
      <c r="AG222" s="2">
        <f t="shared" si="116"/>
        <v>1</v>
      </c>
      <c r="AH222" s="2">
        <f t="shared" si="117"/>
        <v>0</v>
      </c>
      <c r="AI222" s="2">
        <f t="shared" si="118"/>
        <v>1</v>
      </c>
    </row>
    <row r="223" spans="1:35" ht="14.25" customHeight="1" x14ac:dyDescent="0.25">
      <c r="A223" s="32">
        <v>0</v>
      </c>
      <c r="B223" s="32">
        <v>2</v>
      </c>
      <c r="C223" s="32">
        <v>7</v>
      </c>
      <c r="D223" s="33" t="s">
        <v>567</v>
      </c>
      <c r="E223" s="33" t="s">
        <v>31</v>
      </c>
      <c r="F223" s="33" t="s">
        <v>577</v>
      </c>
      <c r="G223" s="33" t="s">
        <v>132</v>
      </c>
      <c r="H223" s="33" t="s">
        <v>165</v>
      </c>
      <c r="I223" s="32" t="s">
        <v>839</v>
      </c>
      <c r="J223" s="32">
        <v>3</v>
      </c>
      <c r="K223" s="32" t="s">
        <v>320</v>
      </c>
      <c r="L223" s="32" t="s">
        <v>318</v>
      </c>
      <c r="M223" s="33" t="s">
        <v>273</v>
      </c>
      <c r="N223" s="33" t="s">
        <v>922</v>
      </c>
      <c r="O223" s="34"/>
      <c r="P223" s="34"/>
      <c r="Q223" s="33"/>
      <c r="S223" s="2">
        <f t="shared" si="103"/>
        <v>0</v>
      </c>
      <c r="T223" s="2">
        <f t="shared" si="104"/>
        <v>0</v>
      </c>
      <c r="U223" s="2">
        <f t="shared" si="105"/>
        <v>1</v>
      </c>
      <c r="V223" s="2">
        <f t="shared" si="106"/>
        <v>0</v>
      </c>
      <c r="W223" s="2">
        <f t="shared" si="107"/>
        <v>0</v>
      </c>
      <c r="X223" s="2">
        <f t="shared" si="108"/>
        <v>0</v>
      </c>
      <c r="Y223" s="2">
        <f t="shared" si="109"/>
        <v>0</v>
      </c>
      <c r="Z223" s="2">
        <f t="shared" si="110"/>
        <v>0</v>
      </c>
      <c r="AA223" s="2">
        <f t="shared" si="111"/>
        <v>0</v>
      </c>
      <c r="AB223" s="2">
        <f t="shared" si="112"/>
        <v>0</v>
      </c>
      <c r="AD223" s="2">
        <f t="shared" si="113"/>
        <v>0</v>
      </c>
      <c r="AE223" s="2">
        <f t="shared" si="114"/>
        <v>0</v>
      </c>
      <c r="AF223" s="2">
        <f t="shared" si="115"/>
        <v>0</v>
      </c>
      <c r="AG223" s="2">
        <f t="shared" si="116"/>
        <v>0</v>
      </c>
      <c r="AH223" s="2">
        <f t="shared" si="117"/>
        <v>0</v>
      </c>
      <c r="AI223" s="2">
        <f t="shared" si="118"/>
        <v>1</v>
      </c>
    </row>
    <row r="224" spans="1:35" ht="14.25" customHeight="1" x14ac:dyDescent="0.25">
      <c r="A224" s="29">
        <v>0</v>
      </c>
      <c r="B224" s="29">
        <v>2</v>
      </c>
      <c r="C224" s="29">
        <v>7</v>
      </c>
      <c r="D224" s="30" t="s">
        <v>74</v>
      </c>
      <c r="E224" s="30" t="s">
        <v>31</v>
      </c>
      <c r="F224" s="30" t="s">
        <v>311</v>
      </c>
      <c r="G224" s="30" t="s">
        <v>103</v>
      </c>
      <c r="H224" s="30" t="s">
        <v>165</v>
      </c>
      <c r="I224" s="29" t="s">
        <v>840</v>
      </c>
      <c r="J224" s="29">
        <v>6</v>
      </c>
      <c r="K224" s="29" t="s">
        <v>318</v>
      </c>
      <c r="L224" s="29" t="s">
        <v>318</v>
      </c>
      <c r="M224" s="30" t="s">
        <v>273</v>
      </c>
      <c r="N224" s="30" t="s">
        <v>928</v>
      </c>
      <c r="O224" s="31">
        <v>1</v>
      </c>
      <c r="P224" s="31"/>
      <c r="Q224" s="30"/>
      <c r="S224" s="2">
        <f t="shared" si="103"/>
        <v>0</v>
      </c>
      <c r="T224" s="2">
        <f t="shared" si="104"/>
        <v>0</v>
      </c>
      <c r="U224" s="2">
        <f t="shared" si="105"/>
        <v>0</v>
      </c>
      <c r="V224" s="2">
        <f t="shared" si="106"/>
        <v>0</v>
      </c>
      <c r="W224" s="2">
        <f t="shared" si="107"/>
        <v>0</v>
      </c>
      <c r="X224" s="2">
        <f t="shared" si="108"/>
        <v>1</v>
      </c>
      <c r="Y224" s="2">
        <f t="shared" si="109"/>
        <v>0</v>
      </c>
      <c r="Z224" s="2">
        <f t="shared" si="110"/>
        <v>0</v>
      </c>
      <c r="AA224" s="2">
        <f t="shared" si="111"/>
        <v>0</v>
      </c>
      <c r="AB224" s="2">
        <f t="shared" si="112"/>
        <v>0</v>
      </c>
      <c r="AD224" s="2">
        <f t="shared" si="113"/>
        <v>0</v>
      </c>
      <c r="AE224" s="2">
        <f t="shared" si="114"/>
        <v>1</v>
      </c>
      <c r="AF224" s="2">
        <f t="shared" si="115"/>
        <v>0</v>
      </c>
      <c r="AG224" s="2">
        <f t="shared" si="116"/>
        <v>1</v>
      </c>
      <c r="AH224" s="2">
        <f t="shared" si="117"/>
        <v>0</v>
      </c>
      <c r="AI224" s="2">
        <f t="shared" si="118"/>
        <v>1</v>
      </c>
    </row>
    <row r="225" spans="1:35" ht="14.25" customHeight="1" x14ac:dyDescent="0.25">
      <c r="A225" s="32">
        <v>0</v>
      </c>
      <c r="B225" s="32">
        <v>2</v>
      </c>
      <c r="C225" s="32">
        <v>7</v>
      </c>
      <c r="D225" s="33" t="s">
        <v>68</v>
      </c>
      <c r="E225" s="33" t="s">
        <v>90</v>
      </c>
      <c r="F225" s="33" t="s">
        <v>146</v>
      </c>
      <c r="G225" s="33" t="s">
        <v>103</v>
      </c>
      <c r="H225" s="33" t="s">
        <v>165</v>
      </c>
      <c r="I225" s="32" t="s">
        <v>191</v>
      </c>
      <c r="J225" s="32">
        <v>6</v>
      </c>
      <c r="K225" s="32" t="s">
        <v>321</v>
      </c>
      <c r="L225" s="32" t="s">
        <v>333</v>
      </c>
      <c r="M225" s="33" t="s">
        <v>274</v>
      </c>
      <c r="N225" s="33" t="s">
        <v>922</v>
      </c>
      <c r="O225" s="34"/>
      <c r="P225" s="34"/>
      <c r="Q225" s="33"/>
      <c r="S225" s="2">
        <f t="shared" si="103"/>
        <v>0</v>
      </c>
      <c r="T225" s="2">
        <f t="shared" si="104"/>
        <v>0</v>
      </c>
      <c r="U225" s="2">
        <f t="shared" si="105"/>
        <v>0</v>
      </c>
      <c r="V225" s="2">
        <f t="shared" si="106"/>
        <v>0</v>
      </c>
      <c r="W225" s="2">
        <f t="shared" si="107"/>
        <v>0</v>
      </c>
      <c r="X225" s="2">
        <f t="shared" si="108"/>
        <v>1</v>
      </c>
      <c r="Y225" s="2">
        <f t="shared" si="109"/>
        <v>0</v>
      </c>
      <c r="Z225" s="2">
        <f t="shared" si="110"/>
        <v>0</v>
      </c>
      <c r="AA225" s="2">
        <f t="shared" si="111"/>
        <v>0</v>
      </c>
      <c r="AB225" s="2">
        <f t="shared" si="112"/>
        <v>0</v>
      </c>
      <c r="AD225" s="2">
        <f t="shared" si="113"/>
        <v>0</v>
      </c>
      <c r="AE225" s="2">
        <f t="shared" si="114"/>
        <v>0</v>
      </c>
      <c r="AF225" s="2">
        <f t="shared" si="115"/>
        <v>0</v>
      </c>
      <c r="AG225" s="2">
        <f t="shared" si="116"/>
        <v>0</v>
      </c>
      <c r="AH225" s="2">
        <f t="shared" si="117"/>
        <v>0</v>
      </c>
      <c r="AI225" s="2">
        <f t="shared" si="118"/>
        <v>1</v>
      </c>
    </row>
    <row r="226" spans="1:35" ht="14.25" customHeight="1" x14ac:dyDescent="0.25">
      <c r="A226" s="29">
        <v>0</v>
      </c>
      <c r="B226" s="29">
        <v>2</v>
      </c>
      <c r="C226" s="29">
        <v>7</v>
      </c>
      <c r="D226" s="30" t="s">
        <v>463</v>
      </c>
      <c r="E226" s="30" t="s">
        <v>31</v>
      </c>
      <c r="F226" s="30" t="s">
        <v>396</v>
      </c>
      <c r="G226" s="30" t="s">
        <v>479</v>
      </c>
      <c r="H226" s="30" t="s">
        <v>165</v>
      </c>
      <c r="I226" s="29" t="s">
        <v>489</v>
      </c>
      <c r="J226" s="29">
        <v>99</v>
      </c>
      <c r="K226" s="29" t="s">
        <v>377</v>
      </c>
      <c r="L226" s="29" t="s">
        <v>318</v>
      </c>
      <c r="M226" s="30" t="s">
        <v>273</v>
      </c>
      <c r="N226" s="30" t="s">
        <v>928</v>
      </c>
      <c r="O226" s="31">
        <v>1</v>
      </c>
      <c r="P226" s="31"/>
      <c r="Q226" s="30"/>
      <c r="S226" s="2">
        <f t="shared" si="103"/>
        <v>0</v>
      </c>
      <c r="T226" s="2">
        <f t="shared" si="104"/>
        <v>0</v>
      </c>
      <c r="U226" s="2">
        <f t="shared" si="105"/>
        <v>0</v>
      </c>
      <c r="V226" s="2">
        <f t="shared" si="106"/>
        <v>0</v>
      </c>
      <c r="W226" s="2">
        <f t="shared" si="107"/>
        <v>0</v>
      </c>
      <c r="X226" s="2">
        <f t="shared" si="108"/>
        <v>0</v>
      </c>
      <c r="Y226" s="2">
        <f t="shared" si="109"/>
        <v>0</v>
      </c>
      <c r="Z226" s="2">
        <f t="shared" si="110"/>
        <v>0</v>
      </c>
      <c r="AA226" s="2">
        <f t="shared" si="111"/>
        <v>0</v>
      </c>
      <c r="AB226" s="2">
        <f t="shared" si="112"/>
        <v>0</v>
      </c>
      <c r="AD226" s="2">
        <f t="shared" si="113"/>
        <v>0</v>
      </c>
      <c r="AE226" s="2">
        <f t="shared" si="114"/>
        <v>1</v>
      </c>
      <c r="AF226" s="2">
        <f t="shared" si="115"/>
        <v>0</v>
      </c>
      <c r="AG226" s="2">
        <f t="shared" si="116"/>
        <v>1</v>
      </c>
      <c r="AH226" s="2">
        <f t="shared" si="117"/>
        <v>0</v>
      </c>
      <c r="AI226" s="2">
        <f t="shared" si="118"/>
        <v>1</v>
      </c>
    </row>
    <row r="227" spans="1:35" ht="14.25" customHeight="1" x14ac:dyDescent="0.25">
      <c r="A227" s="29">
        <v>0</v>
      </c>
      <c r="B227" s="29">
        <v>2</v>
      </c>
      <c r="C227" s="29">
        <v>7</v>
      </c>
      <c r="D227" s="30" t="s">
        <v>505</v>
      </c>
      <c r="E227" s="30" t="s">
        <v>31</v>
      </c>
      <c r="F227" s="30" t="s">
        <v>506</v>
      </c>
      <c r="G227" s="30" t="s">
        <v>96</v>
      </c>
      <c r="H227" s="30" t="s">
        <v>165</v>
      </c>
      <c r="I227" s="29" t="s">
        <v>507</v>
      </c>
      <c r="J227" s="29">
        <v>3</v>
      </c>
      <c r="K227" s="29" t="s">
        <v>318</v>
      </c>
      <c r="L227" s="29" t="s">
        <v>318</v>
      </c>
      <c r="M227" s="30" t="s">
        <v>273</v>
      </c>
      <c r="N227" s="30" t="s">
        <v>906</v>
      </c>
      <c r="O227" s="31">
        <v>1</v>
      </c>
      <c r="P227" s="31"/>
      <c r="Q227" s="30"/>
      <c r="S227" s="2">
        <f t="shared" si="103"/>
        <v>0</v>
      </c>
      <c r="T227" s="2">
        <f t="shared" si="104"/>
        <v>0</v>
      </c>
      <c r="U227" s="2">
        <f t="shared" si="105"/>
        <v>1</v>
      </c>
      <c r="V227" s="2">
        <f t="shared" si="106"/>
        <v>0</v>
      </c>
      <c r="W227" s="2">
        <f t="shared" si="107"/>
        <v>0</v>
      </c>
      <c r="X227" s="2">
        <f t="shared" si="108"/>
        <v>0</v>
      </c>
      <c r="Y227" s="2">
        <f t="shared" si="109"/>
        <v>0</v>
      </c>
      <c r="Z227" s="2">
        <f t="shared" si="110"/>
        <v>0</v>
      </c>
      <c r="AA227" s="2">
        <f t="shared" si="111"/>
        <v>0</v>
      </c>
      <c r="AB227" s="2">
        <f t="shared" si="112"/>
        <v>0</v>
      </c>
      <c r="AD227" s="2">
        <f t="shared" si="113"/>
        <v>0</v>
      </c>
      <c r="AE227" s="2">
        <f t="shared" si="114"/>
        <v>1</v>
      </c>
      <c r="AF227" s="2">
        <f t="shared" si="115"/>
        <v>0</v>
      </c>
      <c r="AG227" s="2">
        <f t="shared" si="116"/>
        <v>1</v>
      </c>
      <c r="AH227" s="2">
        <f t="shared" si="117"/>
        <v>0</v>
      </c>
      <c r="AI227" s="2">
        <f t="shared" si="118"/>
        <v>1</v>
      </c>
    </row>
    <row r="228" spans="1:35" ht="14.25" customHeight="1" x14ac:dyDescent="0.25">
      <c r="A228" s="29">
        <v>0</v>
      </c>
      <c r="B228" s="29">
        <v>2</v>
      </c>
      <c r="C228" s="29">
        <v>7</v>
      </c>
      <c r="D228" s="30" t="s">
        <v>910</v>
      </c>
      <c r="E228" s="30" t="s">
        <v>911</v>
      </c>
      <c r="F228" s="30" t="s">
        <v>146</v>
      </c>
      <c r="G228" s="30" t="s">
        <v>103</v>
      </c>
      <c r="H228" s="30" t="s">
        <v>165</v>
      </c>
      <c r="I228" s="29" t="s">
        <v>33</v>
      </c>
      <c r="J228" s="29">
        <v>6</v>
      </c>
      <c r="K228" s="29" t="s">
        <v>377</v>
      </c>
      <c r="L228" s="29"/>
      <c r="M228" s="30"/>
      <c r="N228" s="30" t="s">
        <v>886</v>
      </c>
      <c r="O228" s="31">
        <v>1</v>
      </c>
      <c r="P228" s="31">
        <v>1</v>
      </c>
      <c r="Q228" s="30"/>
      <c r="S228" s="2">
        <f t="shared" si="103"/>
        <v>0</v>
      </c>
      <c r="T228" s="2">
        <f t="shared" si="104"/>
        <v>0</v>
      </c>
      <c r="U228" s="2">
        <f t="shared" si="105"/>
        <v>0</v>
      </c>
      <c r="V228" s="2">
        <f t="shared" si="106"/>
        <v>0</v>
      </c>
      <c r="W228" s="2">
        <f t="shared" si="107"/>
        <v>0</v>
      </c>
      <c r="X228" s="2">
        <f t="shared" si="108"/>
        <v>1</v>
      </c>
      <c r="Y228" s="2">
        <f t="shared" si="109"/>
        <v>0</v>
      </c>
      <c r="Z228" s="2">
        <f t="shared" si="110"/>
        <v>0</v>
      </c>
      <c r="AA228" s="2">
        <f t="shared" si="111"/>
        <v>0</v>
      </c>
      <c r="AB228" s="2">
        <f t="shared" si="112"/>
        <v>0</v>
      </c>
      <c r="AD228" s="2">
        <f t="shared" si="113"/>
        <v>1</v>
      </c>
      <c r="AE228" s="2">
        <f t="shared" si="114"/>
        <v>0</v>
      </c>
      <c r="AF228" s="2">
        <f t="shared" si="115"/>
        <v>1</v>
      </c>
      <c r="AG228" s="2">
        <f t="shared" si="116"/>
        <v>0</v>
      </c>
      <c r="AH228" s="2">
        <f t="shared" si="117"/>
        <v>1</v>
      </c>
      <c r="AI228" s="2">
        <f t="shared" si="118"/>
        <v>0</v>
      </c>
    </row>
    <row r="229" spans="1:35" ht="14.25" customHeight="1" x14ac:dyDescent="0.25">
      <c r="A229" s="29">
        <v>1</v>
      </c>
      <c r="B229" s="29">
        <v>2</v>
      </c>
      <c r="C229" s="29">
        <v>7</v>
      </c>
      <c r="D229" s="30" t="s">
        <v>910</v>
      </c>
      <c r="E229" s="30" t="s">
        <v>911</v>
      </c>
      <c r="F229" s="30" t="s">
        <v>912</v>
      </c>
      <c r="G229" s="30" t="s">
        <v>913</v>
      </c>
      <c r="H229" s="30" t="s">
        <v>165</v>
      </c>
      <c r="I229" s="29"/>
      <c r="J229" s="29"/>
      <c r="K229" s="29" t="s">
        <v>377</v>
      </c>
      <c r="L229" s="29"/>
      <c r="M229" s="30"/>
      <c r="N229" s="30" t="s">
        <v>886</v>
      </c>
      <c r="O229" s="31">
        <v>1</v>
      </c>
      <c r="P229" s="31">
        <v>1</v>
      </c>
      <c r="Q229" s="30"/>
      <c r="S229" s="2">
        <f t="shared" si="103"/>
        <v>0</v>
      </c>
      <c r="T229" s="2">
        <f t="shared" si="104"/>
        <v>0</v>
      </c>
      <c r="U229" s="2">
        <f t="shared" si="105"/>
        <v>0</v>
      </c>
      <c r="V229" s="2">
        <f t="shared" si="106"/>
        <v>0</v>
      </c>
      <c r="W229" s="2">
        <f t="shared" si="107"/>
        <v>0</v>
      </c>
      <c r="X229" s="2">
        <f t="shared" si="108"/>
        <v>0</v>
      </c>
      <c r="Y229" s="2">
        <f t="shared" si="109"/>
        <v>0</v>
      </c>
      <c r="Z229" s="2">
        <f t="shared" si="110"/>
        <v>0</v>
      </c>
      <c r="AA229" s="2">
        <f t="shared" si="111"/>
        <v>0</v>
      </c>
      <c r="AB229" s="2">
        <f t="shared" si="112"/>
        <v>0</v>
      </c>
      <c r="AD229" s="2">
        <f t="shared" si="113"/>
        <v>1</v>
      </c>
      <c r="AE229" s="2">
        <f t="shared" si="114"/>
        <v>0</v>
      </c>
      <c r="AF229" s="2">
        <f t="shared" si="115"/>
        <v>0</v>
      </c>
      <c r="AG229" s="2">
        <f t="shared" si="116"/>
        <v>0</v>
      </c>
      <c r="AH229" s="2">
        <f t="shared" si="117"/>
        <v>0</v>
      </c>
      <c r="AI229" s="2">
        <f t="shared" si="118"/>
        <v>0</v>
      </c>
    </row>
    <row r="230" spans="1:35" ht="14.25" customHeight="1" x14ac:dyDescent="0.25">
      <c r="A230" s="29">
        <v>0</v>
      </c>
      <c r="B230" s="29">
        <v>2</v>
      </c>
      <c r="C230" s="29">
        <v>7</v>
      </c>
      <c r="D230" s="30" t="s">
        <v>361</v>
      </c>
      <c r="E230" s="30" t="s">
        <v>31</v>
      </c>
      <c r="F230" s="30" t="s">
        <v>153</v>
      </c>
      <c r="G230" s="30" t="s">
        <v>109</v>
      </c>
      <c r="H230" s="30" t="s">
        <v>165</v>
      </c>
      <c r="I230" s="29" t="s">
        <v>197</v>
      </c>
      <c r="J230" s="29">
        <v>9</v>
      </c>
      <c r="K230" s="29" t="s">
        <v>320</v>
      </c>
      <c r="L230" s="29" t="s">
        <v>318</v>
      </c>
      <c r="M230" s="30" t="s">
        <v>273</v>
      </c>
      <c r="N230" s="30" t="s">
        <v>906</v>
      </c>
      <c r="O230" s="31">
        <v>1</v>
      </c>
      <c r="P230" s="31"/>
      <c r="Q230" s="30"/>
      <c r="S230" s="2">
        <f t="shared" si="103"/>
        <v>0</v>
      </c>
      <c r="T230" s="2">
        <f t="shared" si="104"/>
        <v>0</v>
      </c>
      <c r="U230" s="2">
        <f t="shared" si="105"/>
        <v>0</v>
      </c>
      <c r="V230" s="2">
        <f t="shared" si="106"/>
        <v>0</v>
      </c>
      <c r="W230" s="2">
        <f t="shared" si="107"/>
        <v>0</v>
      </c>
      <c r="X230" s="2">
        <f t="shared" si="108"/>
        <v>0</v>
      </c>
      <c r="Y230" s="2">
        <f t="shared" si="109"/>
        <v>0</v>
      </c>
      <c r="Z230" s="2">
        <f t="shared" si="110"/>
        <v>0</v>
      </c>
      <c r="AA230" s="2">
        <f t="shared" si="111"/>
        <v>1</v>
      </c>
      <c r="AB230" s="2">
        <f t="shared" si="112"/>
        <v>0</v>
      </c>
      <c r="AD230" s="2">
        <f t="shared" si="113"/>
        <v>0</v>
      </c>
      <c r="AE230" s="2">
        <f t="shared" si="114"/>
        <v>1</v>
      </c>
      <c r="AF230" s="2">
        <f t="shared" si="115"/>
        <v>0</v>
      </c>
      <c r="AG230" s="2">
        <f t="shared" si="116"/>
        <v>1</v>
      </c>
      <c r="AH230" s="2">
        <f t="shared" si="117"/>
        <v>0</v>
      </c>
      <c r="AI230" s="2">
        <f t="shared" si="118"/>
        <v>1</v>
      </c>
    </row>
    <row r="231" spans="1:35" ht="14.25" customHeight="1" x14ac:dyDescent="0.25">
      <c r="A231" s="29">
        <v>1</v>
      </c>
      <c r="B231" s="29">
        <v>2</v>
      </c>
      <c r="C231" s="29">
        <v>7</v>
      </c>
      <c r="D231" s="30" t="s">
        <v>361</v>
      </c>
      <c r="E231" s="30" t="s">
        <v>31</v>
      </c>
      <c r="F231" s="30" t="s">
        <v>368</v>
      </c>
      <c r="G231" s="30" t="s">
        <v>109</v>
      </c>
      <c r="H231" s="30" t="s">
        <v>165</v>
      </c>
      <c r="I231" s="29" t="s">
        <v>375</v>
      </c>
      <c r="J231" s="29">
        <v>9</v>
      </c>
      <c r="K231" s="29" t="s">
        <v>320</v>
      </c>
      <c r="L231" s="29" t="s">
        <v>318</v>
      </c>
      <c r="M231" s="30" t="s">
        <v>273</v>
      </c>
      <c r="N231" s="30" t="s">
        <v>906</v>
      </c>
      <c r="O231" s="31">
        <v>1</v>
      </c>
      <c r="P231" s="31"/>
      <c r="Q231" s="30" t="s">
        <v>951</v>
      </c>
      <c r="S231" s="2">
        <f t="shared" si="103"/>
        <v>0</v>
      </c>
      <c r="T231" s="2">
        <f t="shared" si="104"/>
        <v>0</v>
      </c>
      <c r="U231" s="2">
        <f t="shared" si="105"/>
        <v>0</v>
      </c>
      <c r="V231" s="2">
        <f t="shared" si="106"/>
        <v>0</v>
      </c>
      <c r="W231" s="2">
        <f t="shared" si="107"/>
        <v>0</v>
      </c>
      <c r="X231" s="2">
        <f t="shared" si="108"/>
        <v>0</v>
      </c>
      <c r="Y231" s="2">
        <f t="shared" si="109"/>
        <v>0</v>
      </c>
      <c r="Z231" s="2">
        <f t="shared" si="110"/>
        <v>0</v>
      </c>
      <c r="AA231" s="2">
        <f t="shared" si="111"/>
        <v>1</v>
      </c>
      <c r="AB231" s="2">
        <f t="shared" si="112"/>
        <v>0</v>
      </c>
      <c r="AD231" s="2">
        <f t="shared" si="113"/>
        <v>0</v>
      </c>
      <c r="AE231" s="2">
        <f t="shared" si="114"/>
        <v>1</v>
      </c>
      <c r="AF231" s="2">
        <f t="shared" si="115"/>
        <v>0</v>
      </c>
      <c r="AG231" s="2">
        <f t="shared" si="116"/>
        <v>0</v>
      </c>
      <c r="AH231" s="2">
        <f t="shared" si="117"/>
        <v>0</v>
      </c>
      <c r="AI231" s="2">
        <f t="shared" si="118"/>
        <v>0</v>
      </c>
    </row>
    <row r="232" spans="1:35" ht="14.25" customHeight="1" x14ac:dyDescent="0.25">
      <c r="A232" s="29">
        <v>0</v>
      </c>
      <c r="B232" s="29">
        <v>2</v>
      </c>
      <c r="C232" s="29">
        <v>7</v>
      </c>
      <c r="D232" s="30" t="s">
        <v>397</v>
      </c>
      <c r="E232" s="30" t="s">
        <v>31</v>
      </c>
      <c r="F232" s="30" t="s">
        <v>400</v>
      </c>
      <c r="G232" s="30" t="s">
        <v>480</v>
      </c>
      <c r="H232" s="30" t="s">
        <v>165</v>
      </c>
      <c r="I232" s="29" t="s">
        <v>492</v>
      </c>
      <c r="J232" s="29">
        <v>6</v>
      </c>
      <c r="K232" s="29" t="s">
        <v>319</v>
      </c>
      <c r="L232" s="29" t="s">
        <v>318</v>
      </c>
      <c r="M232" s="30" t="s">
        <v>273</v>
      </c>
      <c r="N232" s="30" t="s">
        <v>928</v>
      </c>
      <c r="O232" s="31">
        <v>1</v>
      </c>
      <c r="P232" s="31"/>
      <c r="Q232" s="30"/>
      <c r="S232" s="2">
        <f t="shared" si="103"/>
        <v>0</v>
      </c>
      <c r="T232" s="2">
        <f t="shared" si="104"/>
        <v>0</v>
      </c>
      <c r="U232" s="2">
        <f t="shared" si="105"/>
        <v>0</v>
      </c>
      <c r="V232" s="2">
        <f t="shared" si="106"/>
        <v>0</v>
      </c>
      <c r="W232" s="2">
        <f t="shared" si="107"/>
        <v>0</v>
      </c>
      <c r="X232" s="2">
        <f t="shared" si="108"/>
        <v>1</v>
      </c>
      <c r="Y232" s="2">
        <f t="shared" si="109"/>
        <v>0</v>
      </c>
      <c r="Z232" s="2">
        <f t="shared" si="110"/>
        <v>0</v>
      </c>
      <c r="AA232" s="2">
        <f t="shared" si="111"/>
        <v>0</v>
      </c>
      <c r="AB232" s="2">
        <f t="shared" si="112"/>
        <v>0</v>
      </c>
      <c r="AD232" s="2">
        <f t="shared" si="113"/>
        <v>0</v>
      </c>
      <c r="AE232" s="2">
        <f t="shared" si="114"/>
        <v>1</v>
      </c>
      <c r="AF232" s="2">
        <f t="shared" si="115"/>
        <v>0</v>
      </c>
      <c r="AG232" s="2">
        <f t="shared" si="116"/>
        <v>1</v>
      </c>
      <c r="AH232" s="2">
        <f t="shared" si="117"/>
        <v>0</v>
      </c>
      <c r="AI232" s="2">
        <f t="shared" si="118"/>
        <v>1</v>
      </c>
    </row>
    <row r="233" spans="1:35" ht="14.25" customHeight="1" x14ac:dyDescent="0.25">
      <c r="A233" s="29">
        <v>1</v>
      </c>
      <c r="B233" s="29">
        <v>2</v>
      </c>
      <c r="C233" s="29">
        <v>7</v>
      </c>
      <c r="D233" s="30" t="s">
        <v>397</v>
      </c>
      <c r="E233" s="30" t="s">
        <v>31</v>
      </c>
      <c r="F233" s="30" t="s">
        <v>398</v>
      </c>
      <c r="G233" s="30" t="s">
        <v>124</v>
      </c>
      <c r="H233" s="30" t="s">
        <v>165</v>
      </c>
      <c r="I233" s="29" t="s">
        <v>399</v>
      </c>
      <c r="J233" s="29">
        <v>7</v>
      </c>
      <c r="K233" s="29" t="s">
        <v>319</v>
      </c>
      <c r="L233" s="29" t="s">
        <v>318</v>
      </c>
      <c r="M233" s="30" t="s">
        <v>273</v>
      </c>
      <c r="N233" s="30" t="s">
        <v>928</v>
      </c>
      <c r="O233" s="31">
        <v>1</v>
      </c>
      <c r="P233" s="31"/>
      <c r="Q233" s="30"/>
      <c r="S233" s="2">
        <f t="shared" si="103"/>
        <v>0</v>
      </c>
      <c r="T233" s="2">
        <f t="shared" si="104"/>
        <v>0</v>
      </c>
      <c r="U233" s="2">
        <f t="shared" si="105"/>
        <v>0</v>
      </c>
      <c r="V233" s="2">
        <f t="shared" si="106"/>
        <v>0</v>
      </c>
      <c r="W233" s="2">
        <f t="shared" si="107"/>
        <v>0</v>
      </c>
      <c r="X233" s="2">
        <f t="shared" si="108"/>
        <v>0</v>
      </c>
      <c r="Y233" s="2">
        <f t="shared" si="109"/>
        <v>1</v>
      </c>
      <c r="Z233" s="2">
        <f t="shared" si="110"/>
        <v>0</v>
      </c>
      <c r="AA233" s="2">
        <f t="shared" si="111"/>
        <v>0</v>
      </c>
      <c r="AB233" s="2">
        <f t="shared" si="112"/>
        <v>0</v>
      </c>
      <c r="AD233" s="2">
        <f t="shared" si="113"/>
        <v>0</v>
      </c>
      <c r="AE233" s="2">
        <f t="shared" si="114"/>
        <v>1</v>
      </c>
      <c r="AF233" s="2">
        <f t="shared" si="115"/>
        <v>0</v>
      </c>
      <c r="AG233" s="2">
        <f t="shared" si="116"/>
        <v>0</v>
      </c>
      <c r="AH233" s="2">
        <f t="shared" si="117"/>
        <v>0</v>
      </c>
      <c r="AI233" s="2">
        <f t="shared" si="118"/>
        <v>0</v>
      </c>
    </row>
    <row r="234" spans="1:35" ht="14.25" customHeight="1" x14ac:dyDescent="0.25">
      <c r="A234" s="29">
        <v>1</v>
      </c>
      <c r="B234" s="29">
        <v>2</v>
      </c>
      <c r="C234" s="29">
        <v>7</v>
      </c>
      <c r="D234" s="30" t="s">
        <v>397</v>
      </c>
      <c r="E234" s="30" t="s">
        <v>31</v>
      </c>
      <c r="F234" s="30" t="s">
        <v>401</v>
      </c>
      <c r="G234" s="30" t="s">
        <v>402</v>
      </c>
      <c r="H234" s="30" t="s">
        <v>165</v>
      </c>
      <c r="I234" s="29" t="s">
        <v>493</v>
      </c>
      <c r="J234" s="29">
        <v>99</v>
      </c>
      <c r="K234" s="29" t="s">
        <v>319</v>
      </c>
      <c r="L234" s="29" t="s">
        <v>318</v>
      </c>
      <c r="M234" s="30" t="s">
        <v>273</v>
      </c>
      <c r="N234" s="30" t="s">
        <v>928</v>
      </c>
      <c r="O234" s="31">
        <v>1</v>
      </c>
      <c r="P234" s="31"/>
      <c r="Q234" s="30"/>
      <c r="S234" s="2">
        <f t="shared" si="103"/>
        <v>0</v>
      </c>
      <c r="T234" s="2">
        <f t="shared" si="104"/>
        <v>0</v>
      </c>
      <c r="U234" s="2">
        <f t="shared" si="105"/>
        <v>0</v>
      </c>
      <c r="V234" s="2">
        <f t="shared" si="106"/>
        <v>0</v>
      </c>
      <c r="W234" s="2">
        <f t="shared" si="107"/>
        <v>0</v>
      </c>
      <c r="X234" s="2">
        <f t="shared" si="108"/>
        <v>0</v>
      </c>
      <c r="Y234" s="2">
        <f t="shared" si="109"/>
        <v>0</v>
      </c>
      <c r="Z234" s="2">
        <f t="shared" si="110"/>
        <v>0</v>
      </c>
      <c r="AA234" s="2">
        <f t="shared" si="111"/>
        <v>0</v>
      </c>
      <c r="AB234" s="2">
        <f t="shared" si="112"/>
        <v>0</v>
      </c>
      <c r="AD234" s="2">
        <f t="shared" si="113"/>
        <v>0</v>
      </c>
      <c r="AE234" s="2">
        <f t="shared" si="114"/>
        <v>1</v>
      </c>
      <c r="AF234" s="2">
        <f t="shared" si="115"/>
        <v>0</v>
      </c>
      <c r="AG234" s="2">
        <f t="shared" si="116"/>
        <v>0</v>
      </c>
      <c r="AH234" s="2">
        <f t="shared" si="117"/>
        <v>0</v>
      </c>
      <c r="AI234" s="2">
        <f t="shared" si="118"/>
        <v>0</v>
      </c>
    </row>
    <row r="235" spans="1:35" ht="14.25" customHeight="1" x14ac:dyDescent="0.25">
      <c r="A235" s="29">
        <v>0</v>
      </c>
      <c r="B235" s="29">
        <v>2</v>
      </c>
      <c r="C235" s="29">
        <v>7</v>
      </c>
      <c r="D235" s="30" t="s">
        <v>464</v>
      </c>
      <c r="E235" s="30" t="s">
        <v>31</v>
      </c>
      <c r="F235" s="30" t="s">
        <v>430</v>
      </c>
      <c r="G235" s="30" t="s">
        <v>125</v>
      </c>
      <c r="H235" s="30" t="s">
        <v>165</v>
      </c>
      <c r="I235" s="29" t="s">
        <v>494</v>
      </c>
      <c r="J235" s="29">
        <v>99</v>
      </c>
      <c r="K235" s="29" t="s">
        <v>320</v>
      </c>
      <c r="L235" s="29" t="s">
        <v>318</v>
      </c>
      <c r="M235" s="30" t="s">
        <v>273</v>
      </c>
      <c r="N235" s="30" t="s">
        <v>904</v>
      </c>
      <c r="O235" s="31">
        <v>1</v>
      </c>
      <c r="P235" s="31"/>
      <c r="Q235" s="30"/>
      <c r="S235" s="2">
        <f t="shared" si="103"/>
        <v>0</v>
      </c>
      <c r="T235" s="2">
        <f t="shared" si="104"/>
        <v>0</v>
      </c>
      <c r="U235" s="2">
        <f t="shared" si="105"/>
        <v>0</v>
      </c>
      <c r="V235" s="2">
        <f t="shared" si="106"/>
        <v>0</v>
      </c>
      <c r="W235" s="2">
        <f t="shared" si="107"/>
        <v>0</v>
      </c>
      <c r="X235" s="2">
        <f t="shared" si="108"/>
        <v>0</v>
      </c>
      <c r="Y235" s="2">
        <f t="shared" si="109"/>
        <v>0</v>
      </c>
      <c r="Z235" s="2">
        <f t="shared" si="110"/>
        <v>0</v>
      </c>
      <c r="AA235" s="2">
        <f t="shared" si="111"/>
        <v>0</v>
      </c>
      <c r="AB235" s="2">
        <f t="shared" si="112"/>
        <v>0</v>
      </c>
      <c r="AD235" s="2">
        <f t="shared" si="113"/>
        <v>0</v>
      </c>
      <c r="AE235" s="2">
        <f t="shared" si="114"/>
        <v>1</v>
      </c>
      <c r="AF235" s="2">
        <f t="shared" si="115"/>
        <v>0</v>
      </c>
      <c r="AG235" s="2">
        <f t="shared" si="116"/>
        <v>1</v>
      </c>
      <c r="AH235" s="2">
        <f t="shared" si="117"/>
        <v>0</v>
      </c>
      <c r="AI235" s="2">
        <f t="shared" si="118"/>
        <v>1</v>
      </c>
    </row>
    <row r="236" spans="1:35" ht="14.25" customHeight="1" x14ac:dyDescent="0.25">
      <c r="A236" s="29">
        <v>1</v>
      </c>
      <c r="B236" s="29">
        <v>2</v>
      </c>
      <c r="C236" s="29">
        <v>7</v>
      </c>
      <c r="D236" s="30" t="s">
        <v>464</v>
      </c>
      <c r="E236" s="30" t="s">
        <v>31</v>
      </c>
      <c r="F236" s="30" t="s">
        <v>689</v>
      </c>
      <c r="G236" s="30" t="s">
        <v>140</v>
      </c>
      <c r="H236" s="30" t="s">
        <v>165</v>
      </c>
      <c r="I236" s="29" t="s">
        <v>694</v>
      </c>
      <c r="J236" s="29">
        <v>99</v>
      </c>
      <c r="K236" s="29" t="s">
        <v>320</v>
      </c>
      <c r="L236" s="29" t="s">
        <v>318</v>
      </c>
      <c r="M236" s="30" t="s">
        <v>273</v>
      </c>
      <c r="N236" s="30" t="s">
        <v>904</v>
      </c>
      <c r="O236" s="31">
        <v>1</v>
      </c>
      <c r="P236" s="31"/>
      <c r="Q236" s="30"/>
      <c r="S236" s="2">
        <f t="shared" si="103"/>
        <v>0</v>
      </c>
      <c r="T236" s="2">
        <f t="shared" si="104"/>
        <v>0</v>
      </c>
      <c r="U236" s="2">
        <f t="shared" si="105"/>
        <v>0</v>
      </c>
      <c r="V236" s="2">
        <f t="shared" si="106"/>
        <v>0</v>
      </c>
      <c r="W236" s="2">
        <f t="shared" si="107"/>
        <v>0</v>
      </c>
      <c r="X236" s="2">
        <f t="shared" si="108"/>
        <v>0</v>
      </c>
      <c r="Y236" s="2">
        <f t="shared" si="109"/>
        <v>0</v>
      </c>
      <c r="Z236" s="2">
        <f t="shared" si="110"/>
        <v>0</v>
      </c>
      <c r="AA236" s="2">
        <f t="shared" si="111"/>
        <v>0</v>
      </c>
      <c r="AB236" s="2">
        <f t="shared" si="112"/>
        <v>0</v>
      </c>
      <c r="AD236" s="2">
        <f t="shared" si="113"/>
        <v>0</v>
      </c>
      <c r="AE236" s="2">
        <f t="shared" si="114"/>
        <v>1</v>
      </c>
      <c r="AF236" s="2">
        <f t="shared" si="115"/>
        <v>0</v>
      </c>
      <c r="AG236" s="2">
        <f t="shared" si="116"/>
        <v>0</v>
      </c>
      <c r="AH236" s="2">
        <f t="shared" si="117"/>
        <v>0</v>
      </c>
      <c r="AI236" s="2">
        <f t="shared" si="118"/>
        <v>0</v>
      </c>
    </row>
    <row r="237" spans="1:35" ht="14.25" customHeight="1" x14ac:dyDescent="0.25">
      <c r="A237" s="29">
        <v>1</v>
      </c>
      <c r="B237" s="29">
        <v>2</v>
      </c>
      <c r="C237" s="29">
        <v>7</v>
      </c>
      <c r="D237" s="30" t="s">
        <v>464</v>
      </c>
      <c r="E237" s="30" t="s">
        <v>31</v>
      </c>
      <c r="F237" s="30" t="s">
        <v>1006</v>
      </c>
      <c r="G237" s="30" t="s">
        <v>103</v>
      </c>
      <c r="H237" s="30" t="s">
        <v>165</v>
      </c>
      <c r="I237" s="29" t="s">
        <v>33</v>
      </c>
      <c r="J237" s="29">
        <v>6</v>
      </c>
      <c r="K237" s="29" t="s">
        <v>320</v>
      </c>
      <c r="L237" s="29" t="s">
        <v>318</v>
      </c>
      <c r="M237" s="30" t="s">
        <v>273</v>
      </c>
      <c r="N237" s="30" t="s">
        <v>904</v>
      </c>
      <c r="O237" s="31">
        <v>1</v>
      </c>
      <c r="P237" s="31"/>
      <c r="Q237" s="30"/>
      <c r="S237" s="2">
        <f t="shared" ref="S237" si="119">IF(J237=$S$7,1,0)</f>
        <v>0</v>
      </c>
      <c r="T237" s="2">
        <f t="shared" ref="T237" si="120">IF(J237=$T$7,1,0)</f>
        <v>0</v>
      </c>
      <c r="U237" s="2">
        <f t="shared" ref="U237" si="121">IF(J237=$U$7,1,0)</f>
        <v>0</v>
      </c>
      <c r="V237" s="2">
        <f t="shared" ref="V237" si="122">IF(J237=$V$7,1,0)</f>
        <v>0</v>
      </c>
      <c r="W237" s="2">
        <f t="shared" ref="W237" si="123">IF(J237=$W$7,1,0)</f>
        <v>0</v>
      </c>
      <c r="X237" s="2">
        <f t="shared" ref="X237" si="124">IF(J237=$X$7,1,0)</f>
        <v>1</v>
      </c>
      <c r="Y237" s="2">
        <f t="shared" ref="Y237" si="125">IF(J237=$Y$7,1,0)</f>
        <v>0</v>
      </c>
      <c r="Z237" s="2">
        <f t="shared" ref="Z237" si="126">IF(J237=$Z$7,1,0)</f>
        <v>0</v>
      </c>
      <c r="AA237" s="2">
        <f t="shared" ref="AA237" si="127">IF(J237=$AA$7,1,0)</f>
        <v>0</v>
      </c>
      <c r="AB237" s="2">
        <f t="shared" ref="AB237" si="128">IF(J237=$AB$7,1,0)</f>
        <v>0</v>
      </c>
      <c r="AD237" s="2">
        <f t="shared" ref="AD237" si="129">+O237*P237</f>
        <v>0</v>
      </c>
      <c r="AE237" s="2">
        <f t="shared" ref="AE237" si="130">O237*(1-P237)</f>
        <v>1</v>
      </c>
      <c r="AF237" s="2">
        <f t="shared" ref="AF237" si="131">+O237*P237*(1-A237)</f>
        <v>0</v>
      </c>
      <c r="AG237" s="2">
        <f t="shared" ref="AG237" si="132">O237*(1-P237)*(1-A237)</f>
        <v>0</v>
      </c>
      <c r="AH237" s="2">
        <f t="shared" ref="AH237" si="133">+P237*(1-A237)</f>
        <v>0</v>
      </c>
      <c r="AI237" s="2">
        <f t="shared" ref="AI237" si="134">+(1-A237)*(1-P237)</f>
        <v>0</v>
      </c>
    </row>
    <row r="238" spans="1:35" ht="14.25" customHeight="1" x14ac:dyDescent="0.25">
      <c r="A238" s="29">
        <v>0</v>
      </c>
      <c r="B238" s="29">
        <v>2</v>
      </c>
      <c r="C238" s="29">
        <v>7</v>
      </c>
      <c r="D238" s="30" t="s">
        <v>79</v>
      </c>
      <c r="E238" s="30" t="s">
        <v>31</v>
      </c>
      <c r="F238" s="30" t="s">
        <v>162</v>
      </c>
      <c r="G238" s="30" t="s">
        <v>163</v>
      </c>
      <c r="H238" s="30" t="s">
        <v>165</v>
      </c>
      <c r="I238" s="29" t="s">
        <v>202</v>
      </c>
      <c r="J238" s="29">
        <v>5</v>
      </c>
      <c r="K238" s="29" t="s">
        <v>377</v>
      </c>
      <c r="L238" s="29" t="s">
        <v>318</v>
      </c>
      <c r="M238" s="30" t="s">
        <v>273</v>
      </c>
      <c r="N238" s="30" t="s">
        <v>906</v>
      </c>
      <c r="O238" s="31">
        <v>1</v>
      </c>
      <c r="P238" s="31"/>
      <c r="Q238" s="30"/>
      <c r="S238" s="2">
        <f t="shared" si="103"/>
        <v>0</v>
      </c>
      <c r="T238" s="2">
        <f t="shared" si="104"/>
        <v>0</v>
      </c>
      <c r="U238" s="2">
        <f t="shared" si="105"/>
        <v>0</v>
      </c>
      <c r="V238" s="2">
        <f t="shared" si="106"/>
        <v>0</v>
      </c>
      <c r="W238" s="2">
        <f t="shared" si="107"/>
        <v>1</v>
      </c>
      <c r="X238" s="2">
        <f t="shared" si="108"/>
        <v>0</v>
      </c>
      <c r="Y238" s="2">
        <f t="shared" si="109"/>
        <v>0</v>
      </c>
      <c r="Z238" s="2">
        <f t="shared" si="110"/>
        <v>0</v>
      </c>
      <c r="AA238" s="2">
        <f t="shared" si="111"/>
        <v>0</v>
      </c>
      <c r="AB238" s="2">
        <f t="shared" si="112"/>
        <v>0</v>
      </c>
      <c r="AD238" s="2">
        <f t="shared" si="113"/>
        <v>0</v>
      </c>
      <c r="AE238" s="2">
        <f t="shared" si="114"/>
        <v>1</v>
      </c>
      <c r="AF238" s="2">
        <f t="shared" si="115"/>
        <v>0</v>
      </c>
      <c r="AG238" s="2">
        <f t="shared" si="116"/>
        <v>1</v>
      </c>
      <c r="AH238" s="2">
        <f t="shared" si="117"/>
        <v>0</v>
      </c>
      <c r="AI238" s="2">
        <f t="shared" si="118"/>
        <v>1</v>
      </c>
    </row>
    <row r="239" spans="1:35" ht="14.25" customHeight="1" x14ac:dyDescent="0.25">
      <c r="A239" s="29">
        <v>0</v>
      </c>
      <c r="B239" s="29">
        <v>2</v>
      </c>
      <c r="C239" s="29">
        <v>7</v>
      </c>
      <c r="D239" s="30" t="s">
        <v>59</v>
      </c>
      <c r="E239" s="30" t="s">
        <v>87</v>
      </c>
      <c r="F239" s="30" t="s">
        <v>351</v>
      </c>
      <c r="G239" s="30" t="s">
        <v>103</v>
      </c>
      <c r="H239" s="30" t="s">
        <v>165</v>
      </c>
      <c r="I239" s="29" t="s">
        <v>350</v>
      </c>
      <c r="J239" s="29">
        <v>6</v>
      </c>
      <c r="K239" s="29" t="s">
        <v>320</v>
      </c>
      <c r="L239" s="29" t="s">
        <v>336</v>
      </c>
      <c r="M239" s="30" t="s">
        <v>275</v>
      </c>
      <c r="N239" s="30" t="s">
        <v>894</v>
      </c>
      <c r="O239" s="31">
        <v>1</v>
      </c>
      <c r="P239" s="31"/>
      <c r="Q239" s="30"/>
      <c r="S239" s="2">
        <f t="shared" si="103"/>
        <v>0</v>
      </c>
      <c r="T239" s="2">
        <f t="shared" si="104"/>
        <v>0</v>
      </c>
      <c r="U239" s="2">
        <f t="shared" si="105"/>
        <v>0</v>
      </c>
      <c r="V239" s="2">
        <f t="shared" si="106"/>
        <v>0</v>
      </c>
      <c r="W239" s="2">
        <f t="shared" si="107"/>
        <v>0</v>
      </c>
      <c r="X239" s="2">
        <f t="shared" si="108"/>
        <v>1</v>
      </c>
      <c r="Y239" s="2">
        <f t="shared" si="109"/>
        <v>0</v>
      </c>
      <c r="Z239" s="2">
        <f t="shared" si="110"/>
        <v>0</v>
      </c>
      <c r="AA239" s="2">
        <f t="shared" si="111"/>
        <v>0</v>
      </c>
      <c r="AB239" s="2">
        <f t="shared" si="112"/>
        <v>0</v>
      </c>
      <c r="AD239" s="2">
        <f t="shared" si="113"/>
        <v>0</v>
      </c>
      <c r="AE239" s="2">
        <f t="shared" si="114"/>
        <v>1</v>
      </c>
      <c r="AF239" s="2">
        <f t="shared" si="115"/>
        <v>0</v>
      </c>
      <c r="AG239" s="2">
        <f t="shared" si="116"/>
        <v>1</v>
      </c>
      <c r="AH239" s="2">
        <f t="shared" si="117"/>
        <v>0</v>
      </c>
      <c r="AI239" s="2">
        <f t="shared" si="118"/>
        <v>1</v>
      </c>
    </row>
    <row r="240" spans="1:35" ht="14.25" customHeight="1" x14ac:dyDescent="0.25">
      <c r="A240" s="29">
        <v>1</v>
      </c>
      <c r="B240" s="29">
        <v>2</v>
      </c>
      <c r="C240" s="29">
        <v>7</v>
      </c>
      <c r="D240" s="30" t="s">
        <v>59</v>
      </c>
      <c r="E240" s="30" t="s">
        <v>87</v>
      </c>
      <c r="F240" s="30" t="s">
        <v>123</v>
      </c>
      <c r="G240" s="30" t="s">
        <v>124</v>
      </c>
      <c r="H240" s="30" t="s">
        <v>165</v>
      </c>
      <c r="I240" s="29" t="s">
        <v>180</v>
      </c>
      <c r="J240" s="29">
        <v>7</v>
      </c>
      <c r="K240" s="29" t="s">
        <v>320</v>
      </c>
      <c r="L240" s="29" t="s">
        <v>336</v>
      </c>
      <c r="M240" s="30" t="s">
        <v>275</v>
      </c>
      <c r="N240" s="30" t="s">
        <v>894</v>
      </c>
      <c r="O240" s="31">
        <v>1</v>
      </c>
      <c r="P240" s="31"/>
      <c r="Q240" s="30"/>
      <c r="S240" s="2">
        <f t="shared" si="103"/>
        <v>0</v>
      </c>
      <c r="T240" s="2">
        <f t="shared" si="104"/>
        <v>0</v>
      </c>
      <c r="U240" s="2">
        <f t="shared" si="105"/>
        <v>0</v>
      </c>
      <c r="V240" s="2">
        <f t="shared" si="106"/>
        <v>0</v>
      </c>
      <c r="W240" s="2">
        <f t="shared" si="107"/>
        <v>0</v>
      </c>
      <c r="X240" s="2">
        <f t="shared" si="108"/>
        <v>0</v>
      </c>
      <c r="Y240" s="2">
        <f t="shared" si="109"/>
        <v>1</v>
      </c>
      <c r="Z240" s="2">
        <f t="shared" si="110"/>
        <v>0</v>
      </c>
      <c r="AA240" s="2">
        <f t="shared" si="111"/>
        <v>0</v>
      </c>
      <c r="AB240" s="2">
        <f t="shared" si="112"/>
        <v>0</v>
      </c>
      <c r="AD240" s="2">
        <f t="shared" si="113"/>
        <v>0</v>
      </c>
      <c r="AE240" s="2">
        <f t="shared" si="114"/>
        <v>1</v>
      </c>
      <c r="AF240" s="2">
        <f t="shared" si="115"/>
        <v>0</v>
      </c>
      <c r="AG240" s="2">
        <f t="shared" si="116"/>
        <v>0</v>
      </c>
      <c r="AH240" s="2">
        <f t="shared" si="117"/>
        <v>0</v>
      </c>
      <c r="AI240" s="2">
        <f t="shared" si="118"/>
        <v>0</v>
      </c>
    </row>
    <row r="241" spans="1:35" ht="14.25" customHeight="1" x14ac:dyDescent="0.25">
      <c r="A241" s="29">
        <v>1</v>
      </c>
      <c r="B241" s="29">
        <v>2</v>
      </c>
      <c r="C241" s="29">
        <v>7</v>
      </c>
      <c r="D241" s="30" t="s">
        <v>59</v>
      </c>
      <c r="E241" s="30" t="s">
        <v>87</v>
      </c>
      <c r="F241" s="30" t="s">
        <v>348</v>
      </c>
      <c r="G241" s="30" t="s">
        <v>93</v>
      </c>
      <c r="H241" s="30" t="s">
        <v>165</v>
      </c>
      <c r="I241" s="29" t="s">
        <v>349</v>
      </c>
      <c r="J241" s="29">
        <v>8</v>
      </c>
      <c r="K241" s="29" t="s">
        <v>320</v>
      </c>
      <c r="L241" s="29" t="s">
        <v>336</v>
      </c>
      <c r="M241" s="30" t="s">
        <v>275</v>
      </c>
      <c r="N241" s="30" t="s">
        <v>894</v>
      </c>
      <c r="O241" s="31">
        <v>1</v>
      </c>
      <c r="P241" s="31"/>
      <c r="Q241" s="30"/>
      <c r="S241" s="2">
        <f t="shared" si="103"/>
        <v>0</v>
      </c>
      <c r="T241" s="2">
        <f t="shared" si="104"/>
        <v>0</v>
      </c>
      <c r="U241" s="2">
        <f t="shared" si="105"/>
        <v>0</v>
      </c>
      <c r="V241" s="2">
        <f t="shared" si="106"/>
        <v>0</v>
      </c>
      <c r="W241" s="2">
        <f t="shared" si="107"/>
        <v>0</v>
      </c>
      <c r="X241" s="2">
        <f t="shared" si="108"/>
        <v>0</v>
      </c>
      <c r="Y241" s="2">
        <f t="shared" si="109"/>
        <v>0</v>
      </c>
      <c r="Z241" s="2">
        <f t="shared" si="110"/>
        <v>1</v>
      </c>
      <c r="AA241" s="2">
        <f t="shared" si="111"/>
        <v>0</v>
      </c>
      <c r="AB241" s="2">
        <f t="shared" si="112"/>
        <v>0</v>
      </c>
      <c r="AD241" s="2">
        <f t="shared" si="113"/>
        <v>0</v>
      </c>
      <c r="AE241" s="2">
        <f t="shared" si="114"/>
        <v>1</v>
      </c>
      <c r="AF241" s="2">
        <f t="shared" si="115"/>
        <v>0</v>
      </c>
      <c r="AG241" s="2">
        <f t="shared" si="116"/>
        <v>0</v>
      </c>
      <c r="AH241" s="2">
        <f t="shared" si="117"/>
        <v>0</v>
      </c>
      <c r="AI241" s="2">
        <f t="shared" si="118"/>
        <v>0</v>
      </c>
    </row>
    <row r="242" spans="1:35" ht="14.25" customHeight="1" x14ac:dyDescent="0.25">
      <c r="A242" s="20"/>
      <c r="B242" s="20"/>
      <c r="C242" s="20"/>
      <c r="D242" s="21"/>
      <c r="E242" s="21"/>
      <c r="F242" s="21"/>
      <c r="G242" s="21"/>
      <c r="H242" s="21"/>
      <c r="I242" s="20"/>
      <c r="J242" s="20"/>
      <c r="K242" s="20"/>
      <c r="L242" s="20"/>
      <c r="M242" s="21"/>
      <c r="N242" s="21"/>
      <c r="O242" s="20"/>
      <c r="P242" s="20"/>
      <c r="Q242" s="21"/>
    </row>
    <row r="243" spans="1:35" ht="14.25" customHeight="1" x14ac:dyDescent="0.25">
      <c r="A243" s="20"/>
      <c r="B243" s="20"/>
      <c r="C243" s="20"/>
      <c r="D243" s="21"/>
      <c r="E243" s="21"/>
      <c r="F243" s="21"/>
      <c r="G243" s="21"/>
      <c r="H243" s="21"/>
      <c r="I243" s="20"/>
      <c r="J243" s="20"/>
      <c r="K243" s="20"/>
      <c r="L243" s="20"/>
      <c r="M243" s="21"/>
      <c r="N243" s="21"/>
      <c r="O243" s="20"/>
      <c r="P243" s="20"/>
      <c r="Q243" s="21"/>
    </row>
    <row r="244" spans="1:35" ht="14.25" customHeight="1" x14ac:dyDescent="0.25">
      <c r="A244" s="20"/>
      <c r="B244" s="20"/>
      <c r="C244" s="20"/>
      <c r="D244" s="21"/>
      <c r="E244" s="21"/>
      <c r="F244" s="21"/>
      <c r="G244" s="21"/>
      <c r="H244" s="21"/>
      <c r="I244" s="20"/>
      <c r="J244" s="20"/>
      <c r="K244" s="20"/>
      <c r="L244" s="20"/>
      <c r="M244" s="21"/>
      <c r="N244" s="21"/>
      <c r="O244" s="20"/>
      <c r="P244" s="20"/>
      <c r="Q244" s="21"/>
    </row>
    <row r="245" spans="1:35" ht="14.25" customHeight="1" x14ac:dyDescent="0.25">
      <c r="A245" s="20"/>
      <c r="B245" s="20"/>
      <c r="C245" s="20"/>
      <c r="D245" s="21"/>
      <c r="E245" s="21"/>
      <c r="F245" s="21"/>
      <c r="G245" s="21"/>
      <c r="H245" s="21"/>
      <c r="I245" s="20"/>
      <c r="J245" s="20"/>
      <c r="K245" s="20"/>
      <c r="L245" s="20"/>
      <c r="M245" s="21"/>
      <c r="N245" s="21"/>
      <c r="O245" s="20"/>
      <c r="P245" s="20"/>
      <c r="Q245" s="21"/>
    </row>
    <row r="246" spans="1:35" ht="14.25" customHeight="1" x14ac:dyDescent="0.25">
      <c r="A246" s="20"/>
      <c r="B246" s="20"/>
      <c r="C246" s="20"/>
      <c r="D246" s="21"/>
      <c r="E246" s="21"/>
      <c r="F246" s="21"/>
      <c r="G246" s="21"/>
      <c r="H246" s="21"/>
      <c r="I246" s="20"/>
      <c r="J246" s="20"/>
      <c r="K246" s="20"/>
      <c r="L246" s="20"/>
      <c r="M246" s="21"/>
      <c r="N246" s="21"/>
      <c r="O246" s="20"/>
      <c r="P246" s="20"/>
      <c r="Q246" s="21"/>
    </row>
    <row r="247" spans="1:35" ht="14.25" customHeight="1" x14ac:dyDescent="0.25">
      <c r="A247" s="20"/>
      <c r="B247" s="20"/>
      <c r="C247" s="20"/>
      <c r="D247" s="21"/>
      <c r="E247" s="21"/>
      <c r="F247" s="21"/>
      <c r="G247" s="21"/>
      <c r="H247" s="21"/>
      <c r="I247" s="20"/>
      <c r="J247" s="20"/>
      <c r="K247" s="20"/>
      <c r="L247" s="20"/>
      <c r="M247" s="21"/>
      <c r="N247" s="21"/>
      <c r="O247" s="20"/>
      <c r="P247" s="20"/>
      <c r="Q247" s="21"/>
    </row>
    <row r="248" spans="1:35" ht="14.25" customHeight="1" x14ac:dyDescent="0.25">
      <c r="A248" s="20"/>
      <c r="B248" s="20"/>
      <c r="C248" s="20"/>
      <c r="D248" s="21"/>
      <c r="E248" s="21"/>
      <c r="F248" s="21"/>
      <c r="G248" s="21"/>
      <c r="H248" s="21"/>
      <c r="I248" s="20"/>
      <c r="J248" s="20"/>
      <c r="K248" s="20"/>
      <c r="L248" s="20"/>
      <c r="M248" s="21"/>
      <c r="N248" s="21"/>
      <c r="O248" s="20"/>
      <c r="P248" s="20"/>
      <c r="Q248" s="21"/>
    </row>
    <row r="249" spans="1:35" ht="14.25" customHeight="1" x14ac:dyDescent="0.25">
      <c r="A249" s="20"/>
      <c r="B249" s="20"/>
      <c r="C249" s="20"/>
      <c r="D249" s="21"/>
      <c r="E249" s="21"/>
      <c r="F249" s="21"/>
      <c r="G249" s="21"/>
      <c r="H249" s="21"/>
      <c r="I249" s="20"/>
      <c r="J249" s="20"/>
      <c r="K249" s="20"/>
      <c r="L249" s="20"/>
      <c r="M249" s="21"/>
      <c r="N249" s="21"/>
      <c r="O249" s="20"/>
      <c r="P249" s="20"/>
      <c r="Q249" s="21"/>
    </row>
    <row r="250" spans="1:35" ht="14.25" customHeight="1" x14ac:dyDescent="0.25">
      <c r="A250" s="20"/>
      <c r="B250" s="20"/>
      <c r="C250" s="20"/>
      <c r="D250" s="21"/>
      <c r="E250" s="21"/>
      <c r="F250" s="21"/>
      <c r="G250" s="21"/>
      <c r="H250" s="21"/>
      <c r="I250" s="20"/>
      <c r="J250" s="20"/>
      <c r="K250" s="20"/>
      <c r="L250" s="20"/>
      <c r="M250" s="21"/>
      <c r="N250" s="21"/>
      <c r="O250" s="20"/>
      <c r="P250" s="20"/>
      <c r="Q250" s="21"/>
    </row>
    <row r="251" spans="1:35" ht="14.25" customHeight="1" x14ac:dyDescent="0.25">
      <c r="A251" s="20"/>
      <c r="B251" s="20"/>
      <c r="C251" s="20"/>
      <c r="D251" s="21"/>
      <c r="E251" s="21"/>
      <c r="F251" s="21"/>
      <c r="G251" s="21"/>
      <c r="H251" s="21"/>
      <c r="I251" s="20"/>
      <c r="J251" s="20"/>
      <c r="K251" s="20"/>
      <c r="L251" s="20"/>
      <c r="M251" s="21"/>
      <c r="N251" s="21"/>
      <c r="O251" s="20"/>
      <c r="P251" s="20"/>
      <c r="Q251" s="21"/>
    </row>
    <row r="252" spans="1:35" ht="14.25" customHeight="1" x14ac:dyDescent="0.25">
      <c r="A252" s="20"/>
      <c r="B252" s="20"/>
      <c r="C252" s="20"/>
      <c r="D252" s="21"/>
      <c r="E252" s="21"/>
      <c r="F252" s="21"/>
      <c r="G252" s="21"/>
      <c r="H252" s="21"/>
      <c r="I252" s="20"/>
      <c r="J252" s="20"/>
      <c r="K252" s="20"/>
      <c r="L252" s="20"/>
      <c r="M252" s="21"/>
      <c r="N252" s="21"/>
      <c r="O252" s="20"/>
      <c r="P252" s="20"/>
      <c r="Q252" s="21"/>
    </row>
    <row r="253" spans="1:35" ht="14.25" customHeight="1" x14ac:dyDescent="0.25">
      <c r="A253" s="20"/>
      <c r="B253" s="20"/>
      <c r="C253" s="20"/>
      <c r="D253" s="21"/>
      <c r="E253" s="21"/>
      <c r="F253" s="21"/>
      <c r="G253" s="21"/>
      <c r="H253" s="21"/>
      <c r="I253" s="20"/>
      <c r="J253" s="20"/>
      <c r="K253" s="20"/>
      <c r="L253" s="20"/>
      <c r="M253" s="21"/>
      <c r="N253" s="21"/>
      <c r="O253" s="20"/>
      <c r="P253" s="20"/>
      <c r="Q253" s="21"/>
    </row>
    <row r="254" spans="1:35" ht="14.25" customHeight="1" x14ac:dyDescent="0.25">
      <c r="A254" s="20"/>
      <c r="B254" s="20"/>
      <c r="C254" s="20"/>
      <c r="D254" s="21"/>
      <c r="E254" s="21"/>
      <c r="F254" s="21"/>
      <c r="G254" s="21"/>
      <c r="H254" s="21"/>
      <c r="I254" s="20"/>
      <c r="J254" s="20"/>
      <c r="K254" s="20"/>
      <c r="L254" s="20"/>
      <c r="M254" s="21"/>
      <c r="N254" s="21"/>
      <c r="O254" s="20"/>
      <c r="P254" s="20"/>
      <c r="Q254" s="21"/>
    </row>
    <row r="255" spans="1:35" ht="14.25" customHeight="1" x14ac:dyDescent="0.25">
      <c r="A255" s="20"/>
      <c r="B255" s="20"/>
      <c r="C255" s="20"/>
      <c r="D255" s="21"/>
      <c r="E255" s="21"/>
      <c r="F255" s="21"/>
      <c r="G255" s="21"/>
      <c r="H255" s="21"/>
      <c r="I255" s="20"/>
      <c r="J255" s="20"/>
      <c r="K255" s="20"/>
      <c r="L255" s="20"/>
      <c r="M255" s="21"/>
      <c r="N255" s="21"/>
      <c r="O255" s="20"/>
      <c r="P255" s="20"/>
      <c r="Q255" s="21"/>
    </row>
    <row r="256" spans="1:35" ht="14.25" customHeight="1" x14ac:dyDescent="0.25">
      <c r="A256" s="20"/>
      <c r="B256" s="20"/>
      <c r="C256" s="20"/>
      <c r="D256" s="21"/>
      <c r="E256" s="21"/>
      <c r="F256" s="21"/>
      <c r="G256" s="21"/>
      <c r="H256" s="21"/>
      <c r="I256" s="20"/>
      <c r="J256" s="20"/>
      <c r="K256" s="20"/>
      <c r="L256" s="20"/>
      <c r="M256" s="21"/>
      <c r="N256" s="21"/>
      <c r="O256" s="20"/>
      <c r="P256" s="20"/>
      <c r="Q256" s="21"/>
    </row>
    <row r="257" spans="1:17" ht="14.25" customHeight="1" x14ac:dyDescent="0.25">
      <c r="A257" s="20"/>
      <c r="B257" s="20"/>
      <c r="C257" s="20"/>
      <c r="D257" s="21"/>
      <c r="E257" s="21"/>
      <c r="F257" s="21"/>
      <c r="G257" s="21"/>
      <c r="H257" s="21"/>
      <c r="I257" s="20"/>
      <c r="J257" s="20"/>
      <c r="K257" s="20"/>
      <c r="L257" s="20"/>
      <c r="M257" s="21"/>
      <c r="N257" s="21"/>
      <c r="O257" s="20"/>
      <c r="P257" s="20"/>
      <c r="Q257" s="21"/>
    </row>
    <row r="258" spans="1:17" ht="14.25" customHeight="1" x14ac:dyDescent="0.25">
      <c r="A258" s="20"/>
      <c r="B258" s="20"/>
      <c r="C258" s="20"/>
      <c r="D258" s="21"/>
      <c r="E258" s="21"/>
      <c r="F258" s="21"/>
      <c r="G258" s="21"/>
      <c r="H258" s="21"/>
      <c r="I258" s="20"/>
      <c r="J258" s="20"/>
      <c r="K258" s="20"/>
      <c r="L258" s="20"/>
      <c r="M258" s="21"/>
      <c r="N258" s="21"/>
      <c r="O258" s="20"/>
      <c r="P258" s="20"/>
      <c r="Q258" s="21"/>
    </row>
    <row r="259" spans="1:17" ht="14.25" customHeight="1" x14ac:dyDescent="0.25">
      <c r="A259" s="20"/>
      <c r="B259" s="20"/>
      <c r="C259" s="20"/>
      <c r="D259" s="21"/>
      <c r="E259" s="21"/>
      <c r="F259" s="21"/>
      <c r="G259" s="21"/>
      <c r="H259" s="21"/>
      <c r="I259" s="20"/>
      <c r="J259" s="20"/>
      <c r="K259" s="20"/>
      <c r="L259" s="20"/>
      <c r="M259" s="21"/>
      <c r="N259" s="21"/>
      <c r="O259" s="20"/>
      <c r="P259" s="20"/>
      <c r="Q259" s="21"/>
    </row>
    <row r="260" spans="1:17" ht="14.25" customHeight="1" x14ac:dyDescent="0.25">
      <c r="A260" s="20"/>
      <c r="B260" s="20"/>
      <c r="C260" s="20"/>
      <c r="D260" s="21"/>
      <c r="E260" s="21"/>
      <c r="F260" s="21"/>
      <c r="G260" s="21"/>
      <c r="H260" s="21"/>
      <c r="I260" s="20"/>
      <c r="J260" s="20"/>
      <c r="K260" s="20"/>
      <c r="L260" s="20"/>
      <c r="M260" s="21"/>
      <c r="N260" s="21"/>
      <c r="O260" s="20"/>
      <c r="P260" s="20"/>
      <c r="Q260" s="21"/>
    </row>
    <row r="261" spans="1:17" ht="14.25" customHeight="1" x14ac:dyDescent="0.25">
      <c r="A261" s="20"/>
      <c r="B261" s="20"/>
      <c r="C261" s="20"/>
      <c r="D261" s="21"/>
      <c r="E261" s="21"/>
      <c r="F261" s="21"/>
      <c r="G261" s="21"/>
      <c r="H261" s="21"/>
      <c r="I261" s="20"/>
      <c r="J261" s="20"/>
      <c r="K261" s="20"/>
      <c r="L261" s="20"/>
      <c r="M261" s="21"/>
      <c r="N261" s="21"/>
      <c r="O261" s="20"/>
      <c r="P261" s="20"/>
      <c r="Q261" s="21"/>
    </row>
    <row r="262" spans="1:17" ht="14.25" customHeight="1" x14ac:dyDescent="0.25">
      <c r="A262" s="20"/>
      <c r="B262" s="20"/>
      <c r="C262" s="20"/>
      <c r="D262" s="21"/>
      <c r="E262" s="21"/>
      <c r="F262" s="21"/>
      <c r="G262" s="21"/>
      <c r="H262" s="21"/>
      <c r="I262" s="20"/>
      <c r="J262" s="20"/>
      <c r="K262" s="20"/>
      <c r="L262" s="20"/>
      <c r="M262" s="21"/>
      <c r="N262" s="21"/>
      <c r="O262" s="20"/>
      <c r="P262" s="20"/>
      <c r="Q262" s="21"/>
    </row>
    <row r="263" spans="1:17" ht="14.25" customHeight="1" x14ac:dyDescent="0.25">
      <c r="A263" s="20"/>
      <c r="B263" s="20"/>
      <c r="C263" s="20"/>
      <c r="D263" s="21"/>
      <c r="E263" s="21"/>
      <c r="F263" s="21"/>
      <c r="G263" s="21"/>
      <c r="H263" s="21"/>
      <c r="I263" s="20"/>
      <c r="J263" s="20"/>
      <c r="K263" s="20"/>
      <c r="L263" s="20"/>
      <c r="M263" s="21"/>
      <c r="N263" s="21"/>
      <c r="O263" s="20"/>
      <c r="P263" s="20"/>
      <c r="Q263" s="21"/>
    </row>
    <row r="264" spans="1:17" ht="14.25" customHeight="1" x14ac:dyDescent="0.25">
      <c r="A264" s="20"/>
      <c r="B264" s="20"/>
      <c r="C264" s="20"/>
      <c r="D264" s="21"/>
      <c r="E264" s="21"/>
      <c r="F264" s="21"/>
      <c r="G264" s="21"/>
      <c r="H264" s="21"/>
      <c r="I264" s="20"/>
      <c r="J264" s="20"/>
      <c r="K264" s="20"/>
      <c r="L264" s="20"/>
      <c r="M264" s="21"/>
      <c r="N264" s="21"/>
      <c r="O264" s="20"/>
      <c r="P264" s="20"/>
      <c r="Q264" s="21"/>
    </row>
    <row r="265" spans="1:17" ht="14.25" customHeight="1" x14ac:dyDescent="0.25">
      <c r="A265" s="20"/>
      <c r="B265" s="20"/>
      <c r="C265" s="20"/>
      <c r="D265" s="21"/>
      <c r="E265" s="21"/>
      <c r="F265" s="21"/>
      <c r="G265" s="21"/>
      <c r="H265" s="21"/>
      <c r="I265" s="20"/>
      <c r="J265" s="20"/>
      <c r="K265" s="20"/>
      <c r="L265" s="20"/>
      <c r="M265" s="21"/>
      <c r="N265" s="21"/>
      <c r="O265" s="20"/>
      <c r="P265" s="20"/>
      <c r="Q265" s="21"/>
    </row>
    <row r="266" spans="1:17" ht="14.25" customHeight="1" x14ac:dyDescent="0.25">
      <c r="A266" s="20"/>
      <c r="B266" s="20"/>
      <c r="C266" s="20"/>
      <c r="D266" s="21"/>
      <c r="E266" s="21"/>
      <c r="F266" s="21"/>
      <c r="G266" s="21"/>
      <c r="H266" s="21"/>
      <c r="I266" s="20"/>
      <c r="J266" s="20"/>
      <c r="K266" s="20"/>
      <c r="L266" s="20"/>
      <c r="M266" s="21"/>
      <c r="N266" s="21"/>
      <c r="O266" s="20"/>
      <c r="P266" s="20"/>
      <c r="Q266" s="21"/>
    </row>
    <row r="267" spans="1:17" ht="14.25" customHeight="1" x14ac:dyDescent="0.25">
      <c r="A267" s="20"/>
      <c r="B267" s="20"/>
      <c r="C267" s="20"/>
      <c r="D267" s="21"/>
      <c r="E267" s="21"/>
      <c r="F267" s="21"/>
      <c r="G267" s="21"/>
      <c r="H267" s="21"/>
      <c r="I267" s="20"/>
      <c r="J267" s="20"/>
      <c r="K267" s="20"/>
      <c r="L267" s="20"/>
      <c r="M267" s="21"/>
      <c r="N267" s="21"/>
      <c r="O267" s="20"/>
      <c r="P267" s="20"/>
      <c r="Q267" s="21"/>
    </row>
    <row r="268" spans="1:17" ht="14.25" customHeight="1" x14ac:dyDescent="0.25">
      <c r="A268" s="20"/>
      <c r="B268" s="20"/>
      <c r="C268" s="20"/>
      <c r="D268" s="21"/>
      <c r="E268" s="21"/>
      <c r="F268" s="21"/>
      <c r="G268" s="21"/>
      <c r="H268" s="21"/>
      <c r="I268" s="20"/>
      <c r="J268" s="20"/>
      <c r="K268" s="20"/>
      <c r="L268" s="20"/>
      <c r="M268" s="21"/>
      <c r="N268" s="21"/>
      <c r="O268" s="20"/>
      <c r="P268" s="20"/>
      <c r="Q268" s="21"/>
    </row>
    <row r="269" spans="1:17" ht="14.25" customHeight="1" x14ac:dyDescent="0.25">
      <c r="A269" s="20"/>
      <c r="B269" s="20"/>
      <c r="C269" s="20"/>
      <c r="D269" s="21"/>
      <c r="E269" s="21"/>
      <c r="F269" s="21"/>
      <c r="G269" s="21"/>
      <c r="H269" s="21"/>
      <c r="I269" s="20"/>
      <c r="J269" s="20"/>
      <c r="K269" s="20"/>
      <c r="L269" s="20"/>
      <c r="M269" s="21"/>
      <c r="N269" s="21"/>
      <c r="O269" s="20"/>
      <c r="P269" s="20"/>
      <c r="Q269" s="21"/>
    </row>
    <row r="270" spans="1:17" ht="14.25" customHeight="1" x14ac:dyDescent="0.25">
      <c r="A270" s="20"/>
      <c r="B270" s="20"/>
      <c r="C270" s="20"/>
      <c r="D270" s="21"/>
      <c r="E270" s="21"/>
      <c r="F270" s="21"/>
      <c r="G270" s="21"/>
      <c r="H270" s="21"/>
      <c r="I270" s="20"/>
      <c r="J270" s="20"/>
      <c r="K270" s="20"/>
      <c r="L270" s="20"/>
      <c r="M270" s="21"/>
      <c r="N270" s="21"/>
      <c r="O270" s="20"/>
      <c r="P270" s="20"/>
      <c r="Q270" s="21"/>
    </row>
    <row r="271" spans="1:17" ht="14.25" customHeight="1" x14ac:dyDescent="0.25">
      <c r="A271" s="20"/>
      <c r="B271" s="20"/>
      <c r="C271" s="20"/>
      <c r="D271" s="21"/>
      <c r="E271" s="21"/>
      <c r="F271" s="21"/>
      <c r="G271" s="21"/>
      <c r="H271" s="21"/>
      <c r="I271" s="20"/>
      <c r="J271" s="20"/>
      <c r="K271" s="20"/>
      <c r="L271" s="20"/>
      <c r="M271" s="21"/>
      <c r="N271" s="21"/>
      <c r="O271" s="20"/>
      <c r="P271" s="20"/>
      <c r="Q271" s="21"/>
    </row>
    <row r="272" spans="1:17" ht="14.25" customHeight="1" x14ac:dyDescent="0.25">
      <c r="A272" s="20"/>
      <c r="B272" s="20"/>
      <c r="C272" s="20"/>
      <c r="D272" s="21"/>
      <c r="E272" s="21"/>
      <c r="F272" s="21"/>
      <c r="G272" s="21"/>
      <c r="H272" s="21"/>
      <c r="I272" s="20"/>
      <c r="J272" s="20"/>
      <c r="K272" s="20"/>
      <c r="L272" s="20"/>
      <c r="M272" s="21"/>
      <c r="N272" s="21"/>
      <c r="O272" s="20"/>
      <c r="P272" s="20"/>
      <c r="Q272" s="21"/>
    </row>
    <row r="273" spans="1:17" ht="14.25" customHeight="1" x14ac:dyDescent="0.25">
      <c r="A273" s="20"/>
      <c r="B273" s="20"/>
      <c r="C273" s="20"/>
      <c r="D273" s="21"/>
      <c r="E273" s="21"/>
      <c r="F273" s="21"/>
      <c r="G273" s="21"/>
      <c r="H273" s="21"/>
      <c r="I273" s="20"/>
      <c r="J273" s="20"/>
      <c r="K273" s="20"/>
      <c r="L273" s="20"/>
      <c r="M273" s="21"/>
      <c r="N273" s="21"/>
      <c r="O273" s="20"/>
      <c r="P273" s="20"/>
      <c r="Q273" s="21"/>
    </row>
    <row r="274" spans="1:17" ht="14.25" customHeight="1" x14ac:dyDescent="0.25">
      <c r="A274" s="20"/>
      <c r="B274" s="20"/>
      <c r="C274" s="20"/>
      <c r="D274" s="21"/>
      <c r="E274" s="21"/>
      <c r="F274" s="21"/>
      <c r="G274" s="21"/>
      <c r="H274" s="21"/>
      <c r="I274" s="20"/>
      <c r="J274" s="20"/>
      <c r="K274" s="20"/>
      <c r="L274" s="20"/>
      <c r="M274" s="21"/>
      <c r="N274" s="21"/>
      <c r="O274" s="20"/>
      <c r="P274" s="20"/>
      <c r="Q274" s="21"/>
    </row>
    <row r="275" spans="1:17" ht="14.25" customHeight="1" x14ac:dyDescent="0.25">
      <c r="A275" s="20"/>
      <c r="B275" s="20"/>
      <c r="C275" s="20"/>
      <c r="D275" s="21"/>
      <c r="E275" s="21"/>
      <c r="F275" s="21"/>
      <c r="G275" s="21"/>
      <c r="H275" s="21"/>
      <c r="I275" s="20"/>
      <c r="J275" s="20"/>
      <c r="K275" s="20"/>
      <c r="L275" s="20"/>
      <c r="M275" s="21"/>
      <c r="N275" s="21"/>
      <c r="O275" s="20"/>
      <c r="P275" s="20"/>
      <c r="Q275" s="21"/>
    </row>
    <row r="276" spans="1:17" ht="14.25" customHeight="1" x14ac:dyDescent="0.25">
      <c r="A276" s="20"/>
      <c r="B276" s="20"/>
      <c r="C276" s="20"/>
      <c r="D276" s="21"/>
      <c r="E276" s="21"/>
      <c r="F276" s="21"/>
      <c r="G276" s="21"/>
      <c r="H276" s="21"/>
      <c r="I276" s="20"/>
      <c r="J276" s="20"/>
      <c r="K276" s="20"/>
      <c r="L276" s="20"/>
      <c r="M276" s="21"/>
      <c r="N276" s="21"/>
      <c r="O276" s="20"/>
      <c r="P276" s="20"/>
      <c r="Q276" s="21"/>
    </row>
    <row r="277" spans="1:17" ht="14.25" customHeight="1" x14ac:dyDescent="0.25">
      <c r="A277" s="20"/>
      <c r="B277" s="20"/>
      <c r="C277" s="20"/>
      <c r="D277" s="21"/>
      <c r="E277" s="21"/>
      <c r="F277" s="21"/>
      <c r="G277" s="21"/>
      <c r="H277" s="21"/>
      <c r="I277" s="20"/>
      <c r="J277" s="20"/>
      <c r="K277" s="20"/>
      <c r="L277" s="20"/>
      <c r="M277" s="21"/>
      <c r="N277" s="21"/>
      <c r="O277" s="20"/>
      <c r="P277" s="20"/>
      <c r="Q277" s="21"/>
    </row>
    <row r="278" spans="1:17" ht="14.25" customHeight="1" x14ac:dyDescent="0.25">
      <c r="A278" s="20"/>
      <c r="B278" s="20"/>
      <c r="C278" s="20"/>
      <c r="D278" s="21"/>
      <c r="E278" s="21"/>
      <c r="F278" s="21"/>
      <c r="G278" s="21"/>
      <c r="H278" s="21"/>
      <c r="I278" s="20"/>
      <c r="J278" s="20"/>
      <c r="K278" s="20"/>
      <c r="L278" s="20"/>
      <c r="M278" s="21"/>
      <c r="N278" s="21"/>
      <c r="O278" s="20"/>
      <c r="P278" s="20"/>
      <c r="Q278" s="21"/>
    </row>
    <row r="279" spans="1:17" ht="14.25" customHeight="1" x14ac:dyDescent="0.25">
      <c r="A279" s="20"/>
      <c r="B279" s="20"/>
      <c r="C279" s="20"/>
      <c r="D279" s="21"/>
      <c r="E279" s="21"/>
      <c r="F279" s="21"/>
      <c r="G279" s="21"/>
      <c r="H279" s="21"/>
      <c r="I279" s="20"/>
      <c r="J279" s="20"/>
      <c r="K279" s="20"/>
      <c r="L279" s="20"/>
      <c r="M279" s="21"/>
      <c r="N279" s="21"/>
      <c r="O279" s="20"/>
      <c r="P279" s="20"/>
      <c r="Q279" s="21"/>
    </row>
    <row r="280" spans="1:17" ht="14.25" customHeight="1" x14ac:dyDescent="0.25">
      <c r="A280" s="20"/>
      <c r="B280" s="20"/>
      <c r="C280" s="20"/>
      <c r="D280" s="21"/>
      <c r="E280" s="21"/>
      <c r="F280" s="21"/>
      <c r="G280" s="21"/>
      <c r="H280" s="21"/>
      <c r="I280" s="20"/>
      <c r="J280" s="20"/>
      <c r="K280" s="20"/>
      <c r="L280" s="20"/>
      <c r="M280" s="21"/>
      <c r="N280" s="21"/>
      <c r="O280" s="20"/>
      <c r="P280" s="20"/>
      <c r="Q280" s="21"/>
    </row>
    <row r="281" spans="1:17" ht="14.25" customHeight="1" x14ac:dyDescent="0.25">
      <c r="A281" s="20"/>
      <c r="B281" s="20"/>
      <c r="C281" s="20"/>
      <c r="D281" s="21"/>
      <c r="E281" s="21"/>
      <c r="F281" s="21"/>
      <c r="G281" s="21"/>
      <c r="H281" s="21"/>
      <c r="I281" s="20"/>
      <c r="J281" s="20"/>
      <c r="K281" s="20"/>
      <c r="L281" s="20"/>
      <c r="M281" s="21"/>
      <c r="N281" s="21"/>
      <c r="O281" s="20"/>
      <c r="P281" s="20"/>
      <c r="Q281" s="21"/>
    </row>
    <row r="282" spans="1:17" ht="14.25" customHeight="1" x14ac:dyDescent="0.25">
      <c r="A282" s="20"/>
      <c r="B282" s="20"/>
      <c r="C282" s="20"/>
      <c r="D282" s="21"/>
      <c r="E282" s="21"/>
      <c r="F282" s="21"/>
      <c r="G282" s="21"/>
      <c r="H282" s="21"/>
      <c r="I282" s="20"/>
      <c r="J282" s="20"/>
      <c r="K282" s="20"/>
      <c r="L282" s="20"/>
      <c r="M282" s="21"/>
      <c r="N282" s="21"/>
      <c r="O282" s="20"/>
      <c r="P282" s="20"/>
      <c r="Q282" s="21"/>
    </row>
    <row r="283" spans="1:17" ht="14.25" customHeight="1" x14ac:dyDescent="0.25">
      <c r="A283" s="20"/>
      <c r="B283" s="20"/>
      <c r="C283" s="20"/>
      <c r="D283" s="21"/>
      <c r="E283" s="21"/>
      <c r="F283" s="21"/>
      <c r="G283" s="21"/>
      <c r="H283" s="21"/>
      <c r="I283" s="20"/>
      <c r="J283" s="20"/>
      <c r="K283" s="20"/>
      <c r="L283" s="20"/>
      <c r="M283" s="21"/>
      <c r="N283" s="21"/>
      <c r="O283" s="20"/>
      <c r="P283" s="20"/>
      <c r="Q283" s="21"/>
    </row>
    <row r="284" spans="1:17" ht="14.25" customHeight="1" x14ac:dyDescent="0.25">
      <c r="A284" s="20"/>
      <c r="B284" s="20"/>
      <c r="C284" s="20"/>
      <c r="D284" s="21"/>
      <c r="E284" s="21"/>
      <c r="F284" s="21"/>
      <c r="G284" s="21"/>
      <c r="H284" s="21"/>
      <c r="I284" s="20"/>
      <c r="J284" s="20"/>
      <c r="K284" s="20"/>
      <c r="L284" s="20"/>
      <c r="M284" s="21"/>
      <c r="N284" s="21"/>
      <c r="O284" s="20"/>
      <c r="P284" s="20"/>
      <c r="Q284" s="21"/>
    </row>
    <row r="285" spans="1:17" ht="14.25" customHeight="1" x14ac:dyDescent="0.25">
      <c r="A285" s="20"/>
      <c r="B285" s="20"/>
      <c r="C285" s="20"/>
      <c r="D285" s="21"/>
      <c r="E285" s="21"/>
      <c r="F285" s="21"/>
      <c r="G285" s="21"/>
      <c r="H285" s="21"/>
      <c r="I285" s="20"/>
      <c r="J285" s="20"/>
      <c r="K285" s="20"/>
      <c r="L285" s="20"/>
      <c r="M285" s="21"/>
      <c r="N285" s="21"/>
      <c r="O285" s="20"/>
      <c r="P285" s="20"/>
      <c r="Q285" s="21"/>
    </row>
    <row r="286" spans="1:17" ht="14.25" customHeight="1" x14ac:dyDescent="0.25">
      <c r="A286" s="20"/>
      <c r="B286" s="20"/>
      <c r="C286" s="20"/>
      <c r="D286" s="21"/>
      <c r="E286" s="21"/>
      <c r="F286" s="21"/>
      <c r="G286" s="21"/>
      <c r="H286" s="21"/>
      <c r="I286" s="20"/>
      <c r="J286" s="20"/>
      <c r="K286" s="20"/>
      <c r="L286" s="20"/>
      <c r="M286" s="21"/>
      <c r="N286" s="21"/>
      <c r="O286" s="20"/>
      <c r="P286" s="20"/>
      <c r="Q286" s="21"/>
    </row>
    <row r="287" spans="1:17" ht="14.25" customHeight="1" x14ac:dyDescent="0.25">
      <c r="A287" s="20"/>
      <c r="B287" s="20"/>
      <c r="C287" s="20"/>
      <c r="D287" s="21"/>
      <c r="E287" s="21"/>
      <c r="F287" s="21"/>
      <c r="G287" s="21"/>
      <c r="H287" s="21"/>
      <c r="I287" s="20"/>
      <c r="J287" s="20"/>
      <c r="K287" s="20"/>
      <c r="L287" s="20"/>
      <c r="M287" s="21"/>
      <c r="N287" s="21"/>
      <c r="O287" s="20"/>
      <c r="P287" s="20"/>
      <c r="Q287" s="21"/>
    </row>
    <row r="288" spans="1:17" ht="14.25" customHeight="1" x14ac:dyDescent="0.25">
      <c r="A288" s="20"/>
      <c r="B288" s="20"/>
      <c r="C288" s="20"/>
      <c r="D288" s="21"/>
      <c r="E288" s="21"/>
      <c r="F288" s="21"/>
      <c r="G288" s="21"/>
      <c r="H288" s="21"/>
      <c r="I288" s="20"/>
      <c r="J288" s="20"/>
      <c r="K288" s="20"/>
      <c r="L288" s="20"/>
      <c r="M288" s="21"/>
      <c r="N288" s="21"/>
      <c r="O288" s="20"/>
      <c r="P288" s="20"/>
      <c r="Q288" s="21"/>
    </row>
    <row r="289" spans="1:17" ht="14.25" customHeight="1" x14ac:dyDescent="0.25">
      <c r="A289" s="20"/>
      <c r="B289" s="20"/>
      <c r="C289" s="20"/>
      <c r="D289" s="21"/>
      <c r="E289" s="21"/>
      <c r="F289" s="21"/>
      <c r="G289" s="21"/>
      <c r="H289" s="21"/>
      <c r="I289" s="20"/>
      <c r="J289" s="20"/>
      <c r="K289" s="20"/>
      <c r="L289" s="20"/>
      <c r="M289" s="21"/>
      <c r="N289" s="21"/>
      <c r="O289" s="20"/>
      <c r="P289" s="20"/>
      <c r="Q289" s="21"/>
    </row>
    <row r="290" spans="1:17" ht="14.25" customHeight="1" x14ac:dyDescent="0.25">
      <c r="A290" s="20"/>
      <c r="B290" s="20"/>
      <c r="C290" s="20"/>
      <c r="D290" s="21"/>
      <c r="E290" s="21"/>
      <c r="F290" s="21"/>
      <c r="G290" s="21"/>
      <c r="H290" s="21"/>
      <c r="I290" s="20"/>
      <c r="J290" s="20"/>
      <c r="K290" s="20"/>
      <c r="L290" s="20"/>
      <c r="M290" s="21"/>
      <c r="N290" s="21"/>
      <c r="O290" s="20"/>
      <c r="P290" s="20"/>
      <c r="Q290" s="21"/>
    </row>
    <row r="291" spans="1:17" ht="14.25" customHeight="1" x14ac:dyDescent="0.25">
      <c r="A291" s="20"/>
      <c r="B291" s="20"/>
      <c r="C291" s="20"/>
      <c r="D291" s="21"/>
      <c r="E291" s="21"/>
      <c r="F291" s="21"/>
      <c r="G291" s="21"/>
      <c r="H291" s="21"/>
      <c r="I291" s="20"/>
      <c r="J291" s="20"/>
      <c r="K291" s="20"/>
      <c r="L291" s="20"/>
      <c r="M291" s="21"/>
      <c r="N291" s="21"/>
      <c r="O291" s="20"/>
      <c r="P291" s="20"/>
      <c r="Q291" s="21"/>
    </row>
    <row r="292" spans="1:17" ht="14.25" customHeight="1" x14ac:dyDescent="0.25">
      <c r="A292" s="20"/>
      <c r="B292" s="20"/>
      <c r="C292" s="20"/>
      <c r="D292" s="21"/>
      <c r="E292" s="21"/>
      <c r="F292" s="21"/>
      <c r="G292" s="21"/>
      <c r="H292" s="21"/>
      <c r="I292" s="20"/>
      <c r="J292" s="20"/>
      <c r="K292" s="20"/>
      <c r="L292" s="20"/>
      <c r="M292" s="21"/>
      <c r="N292" s="21"/>
      <c r="O292" s="20"/>
      <c r="P292" s="20"/>
      <c r="Q292" s="21"/>
    </row>
    <row r="293" spans="1:17" ht="14.25" customHeight="1" x14ac:dyDescent="0.25">
      <c r="A293" s="20"/>
      <c r="B293" s="20"/>
      <c r="C293" s="20"/>
      <c r="D293" s="21"/>
      <c r="E293" s="21"/>
      <c r="F293" s="21"/>
      <c r="G293" s="21"/>
      <c r="H293" s="21"/>
      <c r="I293" s="20"/>
      <c r="J293" s="20"/>
      <c r="K293" s="20"/>
      <c r="L293" s="20"/>
      <c r="M293" s="21"/>
      <c r="N293" s="21"/>
      <c r="O293" s="20"/>
      <c r="P293" s="20"/>
      <c r="Q293" s="21"/>
    </row>
    <row r="294" spans="1:17" ht="14.25" customHeight="1" x14ac:dyDescent="0.25">
      <c r="A294" s="20"/>
      <c r="B294" s="20"/>
      <c r="C294" s="20"/>
      <c r="D294" s="21"/>
      <c r="E294" s="21"/>
      <c r="F294" s="21"/>
      <c r="G294" s="21"/>
      <c r="H294" s="21"/>
      <c r="I294" s="20"/>
      <c r="J294" s="20"/>
      <c r="K294" s="20"/>
      <c r="L294" s="20"/>
      <c r="M294" s="21"/>
      <c r="N294" s="21"/>
      <c r="O294" s="20"/>
      <c r="P294" s="20"/>
      <c r="Q294" s="21"/>
    </row>
    <row r="295" spans="1:17" ht="14.25" customHeight="1" x14ac:dyDescent="0.25">
      <c r="A295" s="20"/>
      <c r="B295" s="20"/>
      <c r="C295" s="20"/>
      <c r="D295" s="21"/>
      <c r="E295" s="21"/>
      <c r="F295" s="21"/>
      <c r="G295" s="21"/>
      <c r="H295" s="21"/>
      <c r="I295" s="20"/>
      <c r="J295" s="20"/>
      <c r="K295" s="20"/>
      <c r="L295" s="20"/>
      <c r="M295" s="21"/>
      <c r="N295" s="21"/>
      <c r="O295" s="20"/>
      <c r="P295" s="20"/>
      <c r="Q295" s="21"/>
    </row>
    <row r="296" spans="1:17" ht="14.25" customHeight="1" x14ac:dyDescent="0.25">
      <c r="A296" s="20"/>
      <c r="B296" s="20"/>
      <c r="C296" s="20"/>
      <c r="D296" s="21"/>
      <c r="E296" s="21"/>
      <c r="F296" s="21"/>
      <c r="G296" s="21"/>
      <c r="H296" s="21"/>
      <c r="I296" s="20"/>
      <c r="J296" s="20"/>
      <c r="K296" s="20"/>
      <c r="L296" s="20"/>
      <c r="M296" s="21"/>
      <c r="N296" s="21"/>
      <c r="O296" s="20"/>
      <c r="P296" s="20"/>
      <c r="Q296" s="21"/>
    </row>
    <row r="297" spans="1:17" ht="14.25" customHeight="1" x14ac:dyDescent="0.25">
      <c r="A297" s="20"/>
      <c r="B297" s="20"/>
      <c r="C297" s="20"/>
      <c r="D297" s="21"/>
      <c r="E297" s="21"/>
      <c r="F297" s="21"/>
      <c r="G297" s="21"/>
      <c r="H297" s="21"/>
      <c r="I297" s="20"/>
      <c r="J297" s="20"/>
      <c r="K297" s="20"/>
      <c r="L297" s="20"/>
      <c r="M297" s="21"/>
      <c r="N297" s="21"/>
      <c r="O297" s="20"/>
      <c r="P297" s="20"/>
      <c r="Q297" s="21"/>
    </row>
    <row r="298" spans="1:17" ht="14.25" customHeight="1" x14ac:dyDescent="0.25">
      <c r="A298" s="20"/>
      <c r="B298" s="20"/>
      <c r="C298" s="20"/>
      <c r="D298" s="21"/>
      <c r="E298" s="21"/>
      <c r="F298" s="21"/>
      <c r="G298" s="21"/>
      <c r="H298" s="21"/>
      <c r="I298" s="20"/>
      <c r="J298" s="20"/>
      <c r="K298" s="20"/>
      <c r="L298" s="20"/>
      <c r="M298" s="21"/>
      <c r="N298" s="21"/>
      <c r="O298" s="20"/>
      <c r="P298" s="20"/>
      <c r="Q298" s="21"/>
    </row>
    <row r="299" spans="1:17" ht="14.25" customHeight="1" x14ac:dyDescent="0.25">
      <c r="A299" s="20"/>
      <c r="B299" s="20"/>
      <c r="C299" s="20"/>
      <c r="D299" s="21"/>
      <c r="E299" s="21"/>
      <c r="F299" s="21"/>
      <c r="G299" s="21"/>
      <c r="H299" s="21"/>
      <c r="I299" s="20"/>
      <c r="J299" s="20"/>
      <c r="K299" s="20"/>
      <c r="L299" s="20"/>
      <c r="M299" s="21"/>
      <c r="N299" s="21"/>
      <c r="O299" s="20"/>
      <c r="P299" s="20"/>
      <c r="Q299" s="21"/>
    </row>
    <row r="300" spans="1:17" ht="14.25" customHeight="1" x14ac:dyDescent="0.25">
      <c r="A300" s="20"/>
      <c r="B300" s="20"/>
      <c r="C300" s="20"/>
      <c r="D300" s="21"/>
      <c r="E300" s="21"/>
      <c r="F300" s="21"/>
      <c r="G300" s="21"/>
      <c r="H300" s="21"/>
      <c r="I300" s="20"/>
      <c r="J300" s="20"/>
      <c r="K300" s="20"/>
      <c r="L300" s="20"/>
      <c r="M300" s="21"/>
      <c r="N300" s="21"/>
      <c r="O300" s="20"/>
      <c r="P300" s="20"/>
      <c r="Q300" s="21"/>
    </row>
    <row r="301" spans="1:17" ht="14.25" customHeight="1" x14ac:dyDescent="0.25">
      <c r="A301" s="20"/>
      <c r="B301" s="20"/>
      <c r="C301" s="20"/>
      <c r="D301" s="21"/>
      <c r="E301" s="21"/>
      <c r="F301" s="21"/>
      <c r="G301" s="21"/>
      <c r="H301" s="21"/>
      <c r="I301" s="20"/>
      <c r="J301" s="20"/>
      <c r="K301" s="20"/>
      <c r="L301" s="20"/>
      <c r="M301" s="21"/>
      <c r="N301" s="21"/>
      <c r="O301" s="20"/>
      <c r="P301" s="20"/>
      <c r="Q301" s="21"/>
    </row>
    <row r="302" spans="1:17" ht="14.25" customHeight="1" x14ac:dyDescent="0.25">
      <c r="A302" s="20"/>
      <c r="B302" s="20"/>
      <c r="C302" s="20"/>
      <c r="D302" s="21"/>
      <c r="E302" s="21"/>
      <c r="F302" s="21"/>
      <c r="G302" s="21"/>
      <c r="H302" s="21"/>
      <c r="I302" s="20"/>
      <c r="J302" s="20"/>
      <c r="K302" s="20"/>
      <c r="L302" s="20"/>
      <c r="M302" s="21"/>
      <c r="N302" s="21"/>
      <c r="O302" s="20"/>
      <c r="P302" s="20"/>
      <c r="Q302" s="21"/>
    </row>
    <row r="303" spans="1:17" ht="14.25" customHeight="1" x14ac:dyDescent="0.25">
      <c r="A303" s="20"/>
      <c r="B303" s="20"/>
      <c r="C303" s="20"/>
      <c r="D303" s="21"/>
      <c r="E303" s="21"/>
      <c r="F303" s="21"/>
      <c r="G303" s="21"/>
      <c r="H303" s="21"/>
      <c r="I303" s="20"/>
      <c r="J303" s="20"/>
      <c r="K303" s="20"/>
      <c r="L303" s="20"/>
      <c r="M303" s="21"/>
      <c r="N303" s="21"/>
      <c r="O303" s="20"/>
      <c r="P303" s="20"/>
      <c r="Q303" s="21"/>
    </row>
    <row r="304" spans="1:17" ht="14.25" customHeight="1" x14ac:dyDescent="0.25">
      <c r="A304" s="20"/>
      <c r="B304" s="20"/>
      <c r="C304" s="20"/>
      <c r="D304" s="21"/>
      <c r="E304" s="21"/>
      <c r="F304" s="21"/>
      <c r="G304" s="21"/>
      <c r="H304" s="21"/>
      <c r="I304" s="20"/>
      <c r="J304" s="20"/>
      <c r="K304" s="20"/>
      <c r="L304" s="20"/>
      <c r="M304" s="21"/>
      <c r="N304" s="21"/>
      <c r="O304" s="20"/>
      <c r="P304" s="20"/>
      <c r="Q304" s="21"/>
    </row>
    <row r="305" spans="1:17" ht="14.25" customHeight="1" x14ac:dyDescent="0.25">
      <c r="A305" s="20"/>
      <c r="B305" s="20"/>
      <c r="C305" s="20"/>
      <c r="D305" s="21"/>
      <c r="E305" s="21"/>
      <c r="F305" s="21"/>
      <c r="G305" s="21"/>
      <c r="H305" s="21"/>
      <c r="I305" s="20"/>
      <c r="J305" s="20"/>
      <c r="K305" s="20"/>
      <c r="L305" s="20"/>
      <c r="M305" s="21"/>
      <c r="N305" s="21"/>
      <c r="O305" s="20"/>
      <c r="P305" s="20"/>
      <c r="Q305" s="21"/>
    </row>
    <row r="306" spans="1:17" ht="14.25" customHeight="1" x14ac:dyDescent="0.25">
      <c r="A306" s="20"/>
      <c r="B306" s="20"/>
      <c r="C306" s="20"/>
      <c r="D306" s="21"/>
      <c r="E306" s="21"/>
      <c r="F306" s="21"/>
      <c r="G306" s="21"/>
      <c r="H306" s="21"/>
      <c r="I306" s="20"/>
      <c r="J306" s="20"/>
      <c r="K306" s="20"/>
      <c r="L306" s="20"/>
      <c r="M306" s="21"/>
      <c r="N306" s="21"/>
      <c r="O306" s="20"/>
      <c r="P306" s="20"/>
      <c r="Q306" s="21"/>
    </row>
    <row r="307" spans="1:17" ht="14.25" customHeight="1" x14ac:dyDescent="0.25">
      <c r="A307" s="20"/>
      <c r="B307" s="20"/>
      <c r="C307" s="20"/>
      <c r="D307" s="21"/>
      <c r="E307" s="21"/>
      <c r="F307" s="21"/>
      <c r="G307" s="21"/>
      <c r="H307" s="21"/>
      <c r="I307" s="20"/>
      <c r="J307" s="20"/>
      <c r="K307" s="20"/>
      <c r="L307" s="20"/>
      <c r="M307" s="21"/>
      <c r="N307" s="21"/>
      <c r="O307" s="20"/>
      <c r="P307" s="20"/>
      <c r="Q307" s="21"/>
    </row>
    <row r="308" spans="1:17" ht="14.25" customHeight="1" x14ac:dyDescent="0.25">
      <c r="A308" s="20"/>
      <c r="B308" s="20"/>
      <c r="C308" s="20"/>
      <c r="D308" s="21"/>
      <c r="E308" s="21"/>
      <c r="F308" s="21"/>
      <c r="G308" s="21"/>
      <c r="H308" s="21"/>
      <c r="I308" s="20"/>
      <c r="J308" s="20"/>
      <c r="K308" s="20"/>
      <c r="L308" s="20"/>
      <c r="M308" s="21"/>
      <c r="N308" s="21"/>
      <c r="O308" s="20"/>
      <c r="P308" s="20"/>
      <c r="Q308" s="21"/>
    </row>
    <row r="309" spans="1:17" ht="14.25" customHeight="1" x14ac:dyDescent="0.25">
      <c r="A309" s="20"/>
      <c r="B309" s="20"/>
      <c r="C309" s="20"/>
      <c r="D309" s="21"/>
      <c r="E309" s="21"/>
      <c r="F309" s="21"/>
      <c r="G309" s="21"/>
      <c r="H309" s="21"/>
      <c r="I309" s="20"/>
      <c r="J309" s="20"/>
      <c r="K309" s="20"/>
      <c r="L309" s="20"/>
      <c r="M309" s="21"/>
      <c r="N309" s="21"/>
      <c r="O309" s="20"/>
      <c r="P309" s="20"/>
      <c r="Q309" s="21"/>
    </row>
    <row r="310" spans="1:17" ht="14.25" customHeight="1" x14ac:dyDescent="0.25">
      <c r="A310" s="20"/>
      <c r="B310" s="20"/>
      <c r="C310" s="20"/>
      <c r="D310" s="21"/>
      <c r="E310" s="21"/>
      <c r="F310" s="21"/>
      <c r="G310" s="21"/>
      <c r="H310" s="21"/>
      <c r="I310" s="20"/>
      <c r="J310" s="20"/>
      <c r="K310" s="20"/>
      <c r="L310" s="20"/>
      <c r="M310" s="21"/>
      <c r="N310" s="21"/>
      <c r="O310" s="20"/>
      <c r="P310" s="20"/>
      <c r="Q310" s="21"/>
    </row>
    <row r="311" spans="1:17" ht="14.25" customHeight="1" x14ac:dyDescent="0.25">
      <c r="A311" s="20"/>
      <c r="B311" s="20"/>
      <c r="C311" s="20"/>
      <c r="D311" s="21"/>
      <c r="E311" s="21"/>
      <c r="F311" s="21"/>
      <c r="G311" s="21"/>
      <c r="H311" s="21"/>
      <c r="I311" s="20"/>
      <c r="J311" s="20"/>
      <c r="K311" s="20"/>
      <c r="L311" s="20"/>
      <c r="M311" s="21"/>
      <c r="N311" s="21"/>
      <c r="O311" s="20"/>
      <c r="P311" s="20"/>
      <c r="Q311" s="21"/>
    </row>
    <row r="312" spans="1:17" ht="14.25" customHeight="1" x14ac:dyDescent="0.25">
      <c r="A312" s="20"/>
      <c r="B312" s="20"/>
      <c r="C312" s="20"/>
      <c r="D312" s="21"/>
      <c r="E312" s="21"/>
      <c r="F312" s="21"/>
      <c r="G312" s="21"/>
      <c r="H312" s="21"/>
      <c r="I312" s="20"/>
      <c r="J312" s="20"/>
      <c r="K312" s="20"/>
      <c r="L312" s="20"/>
      <c r="M312" s="21"/>
      <c r="N312" s="21"/>
      <c r="O312" s="20"/>
      <c r="P312" s="20"/>
      <c r="Q312" s="21"/>
    </row>
    <row r="313" spans="1:17" ht="14.25" customHeight="1" x14ac:dyDescent="0.25">
      <c r="A313" s="20"/>
      <c r="B313" s="20"/>
      <c r="C313" s="20"/>
      <c r="D313" s="21"/>
      <c r="E313" s="21"/>
      <c r="F313" s="21"/>
      <c r="G313" s="21"/>
      <c r="H313" s="21"/>
      <c r="I313" s="20"/>
      <c r="J313" s="20"/>
      <c r="K313" s="20"/>
      <c r="L313" s="20"/>
      <c r="M313" s="21"/>
      <c r="N313" s="21"/>
      <c r="O313" s="20"/>
      <c r="P313" s="20"/>
      <c r="Q313" s="21"/>
    </row>
    <row r="314" spans="1:17" ht="14.25" customHeight="1" x14ac:dyDescent="0.25">
      <c r="A314" s="20"/>
      <c r="B314" s="20"/>
      <c r="C314" s="20"/>
      <c r="D314" s="21"/>
      <c r="E314" s="21"/>
      <c r="F314" s="21"/>
      <c r="G314" s="21"/>
      <c r="H314" s="21"/>
      <c r="I314" s="20"/>
      <c r="J314" s="20"/>
      <c r="K314" s="20"/>
      <c r="L314" s="20"/>
      <c r="M314" s="21"/>
      <c r="N314" s="21"/>
      <c r="O314" s="20"/>
      <c r="P314" s="20"/>
      <c r="Q314" s="21"/>
    </row>
    <row r="315" spans="1:17" ht="14.25" customHeight="1" x14ac:dyDescent="0.25">
      <c r="A315" s="20"/>
      <c r="B315" s="20"/>
      <c r="C315" s="20"/>
      <c r="D315" s="21"/>
      <c r="E315" s="21"/>
      <c r="F315" s="21"/>
      <c r="G315" s="21"/>
      <c r="H315" s="21"/>
      <c r="I315" s="20"/>
      <c r="J315" s="20"/>
      <c r="K315" s="20"/>
      <c r="L315" s="20"/>
      <c r="M315" s="21"/>
      <c r="N315" s="21"/>
      <c r="O315" s="20"/>
      <c r="P315" s="20"/>
      <c r="Q315" s="21"/>
    </row>
    <row r="316" spans="1:17" ht="14.25" customHeight="1" x14ac:dyDescent="0.25">
      <c r="A316" s="20"/>
      <c r="B316" s="20"/>
      <c r="C316" s="20"/>
      <c r="D316" s="21"/>
      <c r="E316" s="21"/>
      <c r="F316" s="21"/>
      <c r="G316" s="21"/>
      <c r="H316" s="21"/>
      <c r="I316" s="20"/>
      <c r="J316" s="20"/>
      <c r="K316" s="20"/>
      <c r="L316" s="20"/>
      <c r="M316" s="21"/>
      <c r="N316" s="21"/>
      <c r="O316" s="20"/>
      <c r="P316" s="20"/>
      <c r="Q316" s="21"/>
    </row>
    <row r="317" spans="1:17" ht="14.25" customHeight="1" x14ac:dyDescent="0.25">
      <c r="A317" s="20"/>
      <c r="B317" s="20"/>
      <c r="C317" s="20"/>
      <c r="D317" s="21"/>
      <c r="E317" s="21"/>
      <c r="F317" s="21"/>
      <c r="G317" s="21"/>
      <c r="H317" s="21"/>
      <c r="I317" s="20"/>
      <c r="J317" s="20"/>
      <c r="K317" s="20"/>
      <c r="L317" s="20"/>
      <c r="M317" s="21"/>
      <c r="N317" s="21"/>
      <c r="O317" s="20"/>
      <c r="P317" s="20"/>
      <c r="Q317" s="21"/>
    </row>
    <row r="318" spans="1:17" ht="14.25" customHeight="1" x14ac:dyDescent="0.25">
      <c r="A318" s="20"/>
      <c r="B318" s="20"/>
      <c r="C318" s="20"/>
      <c r="D318" s="21"/>
      <c r="E318" s="21"/>
      <c r="F318" s="21"/>
      <c r="G318" s="21"/>
      <c r="H318" s="21"/>
      <c r="I318" s="20"/>
      <c r="J318" s="20"/>
      <c r="K318" s="20"/>
      <c r="L318" s="20"/>
      <c r="M318" s="21"/>
      <c r="N318" s="21"/>
      <c r="O318" s="20"/>
      <c r="P318" s="20"/>
      <c r="Q318" s="21"/>
    </row>
    <row r="319" spans="1:17" ht="14.25" customHeight="1" x14ac:dyDescent="0.25">
      <c r="A319" s="20"/>
      <c r="B319" s="20"/>
      <c r="C319" s="20"/>
      <c r="D319" s="21"/>
      <c r="E319" s="21"/>
      <c r="F319" s="21"/>
      <c r="G319" s="21"/>
      <c r="H319" s="21"/>
      <c r="I319" s="20"/>
      <c r="J319" s="20"/>
      <c r="K319" s="20"/>
      <c r="L319" s="20"/>
      <c r="M319" s="21"/>
      <c r="N319" s="21"/>
      <c r="O319" s="20"/>
      <c r="P319" s="20"/>
      <c r="Q319" s="21"/>
    </row>
    <row r="320" spans="1:17" ht="14.25" customHeight="1" x14ac:dyDescent="0.25">
      <c r="A320" s="20"/>
      <c r="B320" s="20"/>
      <c r="C320" s="20"/>
      <c r="D320" s="21"/>
      <c r="E320" s="21"/>
      <c r="F320" s="21"/>
      <c r="G320" s="21"/>
      <c r="H320" s="21"/>
      <c r="I320" s="20"/>
      <c r="J320" s="20"/>
      <c r="K320" s="20"/>
      <c r="L320" s="20"/>
      <c r="M320" s="21"/>
      <c r="N320" s="21"/>
      <c r="O320" s="20"/>
      <c r="P320" s="20"/>
      <c r="Q320" s="21"/>
    </row>
    <row r="321" spans="1:17" ht="14.25" customHeight="1" x14ac:dyDescent="0.25">
      <c r="A321" s="20"/>
      <c r="B321" s="20"/>
      <c r="C321" s="20"/>
      <c r="D321" s="21"/>
      <c r="E321" s="21"/>
      <c r="F321" s="21"/>
      <c r="G321" s="21"/>
      <c r="H321" s="21"/>
      <c r="I321" s="20"/>
      <c r="J321" s="20"/>
      <c r="K321" s="20"/>
      <c r="L321" s="20"/>
      <c r="M321" s="21"/>
      <c r="N321" s="21"/>
      <c r="O321" s="20"/>
      <c r="P321" s="20"/>
      <c r="Q321" s="21"/>
    </row>
    <row r="322" spans="1:17" ht="14.25" customHeight="1" x14ac:dyDescent="0.25">
      <c r="A322" s="20"/>
      <c r="B322" s="20"/>
      <c r="C322" s="20"/>
      <c r="D322" s="21"/>
      <c r="E322" s="21"/>
      <c r="F322" s="21"/>
      <c r="G322" s="21"/>
      <c r="H322" s="21"/>
      <c r="I322" s="20"/>
      <c r="J322" s="20"/>
      <c r="K322" s="20"/>
      <c r="L322" s="20"/>
      <c r="M322" s="21"/>
      <c r="N322" s="21"/>
      <c r="O322" s="20"/>
      <c r="P322" s="20"/>
      <c r="Q322" s="21"/>
    </row>
    <row r="323" spans="1:17" ht="14.25" customHeight="1" x14ac:dyDescent="0.25">
      <c r="A323" s="20"/>
      <c r="B323" s="20"/>
      <c r="C323" s="20"/>
      <c r="D323" s="21"/>
      <c r="E323" s="21"/>
      <c r="F323" s="21"/>
      <c r="G323" s="21"/>
      <c r="H323" s="21"/>
      <c r="I323" s="20"/>
      <c r="J323" s="20"/>
      <c r="K323" s="20"/>
      <c r="L323" s="20"/>
      <c r="M323" s="21"/>
      <c r="N323" s="21"/>
      <c r="O323" s="20"/>
      <c r="P323" s="20"/>
      <c r="Q323" s="21"/>
    </row>
    <row r="324" spans="1:17" ht="14.25" customHeight="1" x14ac:dyDescent="0.25">
      <c r="A324" s="20"/>
      <c r="B324" s="20"/>
      <c r="C324" s="20"/>
      <c r="D324" s="21"/>
      <c r="E324" s="21"/>
      <c r="F324" s="21"/>
      <c r="G324" s="21"/>
      <c r="H324" s="21"/>
      <c r="I324" s="20"/>
      <c r="J324" s="20"/>
      <c r="K324" s="20"/>
      <c r="L324" s="20"/>
      <c r="M324" s="21"/>
      <c r="N324" s="21"/>
      <c r="O324" s="20"/>
      <c r="P324" s="20"/>
      <c r="Q324" s="21"/>
    </row>
    <row r="325" spans="1:17" ht="14.25" customHeight="1" x14ac:dyDescent="0.25">
      <c r="A325" s="20"/>
      <c r="B325" s="20"/>
      <c r="C325" s="20"/>
      <c r="D325" s="21"/>
      <c r="E325" s="21"/>
      <c r="F325" s="21"/>
      <c r="G325" s="21"/>
      <c r="H325" s="21"/>
      <c r="I325" s="20"/>
      <c r="J325" s="20"/>
      <c r="K325" s="20"/>
      <c r="L325" s="20"/>
      <c r="M325" s="21"/>
      <c r="N325" s="21"/>
      <c r="O325" s="20"/>
      <c r="P325" s="20"/>
      <c r="Q325" s="21"/>
    </row>
    <row r="326" spans="1:17" ht="14.25" customHeight="1" x14ac:dyDescent="0.25">
      <c r="A326" s="20"/>
      <c r="B326" s="20"/>
      <c r="C326" s="20"/>
      <c r="D326" s="21"/>
      <c r="E326" s="21"/>
      <c r="F326" s="21"/>
      <c r="G326" s="21"/>
      <c r="H326" s="21"/>
      <c r="I326" s="20"/>
      <c r="J326" s="20"/>
      <c r="K326" s="20"/>
      <c r="L326" s="20"/>
      <c r="M326" s="21"/>
      <c r="N326" s="21"/>
      <c r="O326" s="20"/>
      <c r="P326" s="20"/>
      <c r="Q326" s="21"/>
    </row>
    <row r="327" spans="1:17" ht="14.25" customHeight="1" x14ac:dyDescent="0.25">
      <c r="A327" s="20"/>
      <c r="B327" s="20"/>
      <c r="C327" s="20"/>
      <c r="D327" s="21"/>
      <c r="E327" s="21"/>
      <c r="F327" s="21"/>
      <c r="G327" s="21"/>
      <c r="H327" s="21"/>
      <c r="I327" s="20"/>
      <c r="J327" s="20"/>
      <c r="K327" s="20"/>
      <c r="L327" s="20"/>
      <c r="M327" s="21"/>
      <c r="N327" s="21"/>
      <c r="O327" s="20"/>
      <c r="P327" s="20"/>
      <c r="Q327" s="21"/>
    </row>
    <row r="328" spans="1:17" ht="14.25" customHeight="1" x14ac:dyDescent="0.25">
      <c r="A328" s="20"/>
      <c r="B328" s="20"/>
      <c r="C328" s="20"/>
      <c r="D328" s="21"/>
      <c r="E328" s="21"/>
      <c r="F328" s="21"/>
      <c r="G328" s="21"/>
      <c r="H328" s="21"/>
      <c r="I328" s="20"/>
      <c r="J328" s="20"/>
      <c r="K328" s="20"/>
      <c r="L328" s="20"/>
      <c r="M328" s="21"/>
      <c r="N328" s="21"/>
      <c r="O328" s="20"/>
      <c r="P328" s="20"/>
      <c r="Q328" s="21"/>
    </row>
    <row r="329" spans="1:17" ht="14.25" customHeight="1" x14ac:dyDescent="0.25">
      <c r="A329" s="20"/>
      <c r="B329" s="20"/>
      <c r="C329" s="20"/>
      <c r="D329" s="21"/>
      <c r="E329" s="21"/>
      <c r="F329" s="21"/>
      <c r="G329" s="21"/>
      <c r="H329" s="21"/>
      <c r="I329" s="20"/>
      <c r="J329" s="20"/>
      <c r="K329" s="20"/>
      <c r="L329" s="20"/>
      <c r="M329" s="21"/>
      <c r="N329" s="21"/>
      <c r="O329" s="20"/>
      <c r="P329" s="20"/>
      <c r="Q329" s="21"/>
    </row>
    <row r="330" spans="1:17" ht="14.25" customHeight="1" x14ac:dyDescent="0.25">
      <c r="A330" s="20"/>
      <c r="B330" s="20"/>
      <c r="C330" s="20"/>
      <c r="D330" s="21"/>
      <c r="E330" s="21"/>
      <c r="F330" s="21"/>
      <c r="G330" s="21"/>
      <c r="H330" s="21"/>
      <c r="I330" s="20"/>
      <c r="J330" s="20"/>
      <c r="K330" s="20"/>
      <c r="L330" s="20"/>
      <c r="M330" s="21"/>
      <c r="N330" s="21"/>
      <c r="O330" s="20"/>
      <c r="P330" s="20"/>
      <c r="Q330" s="21"/>
    </row>
    <row r="331" spans="1:17" ht="14.25" customHeight="1" x14ac:dyDescent="0.25">
      <c r="A331" s="20"/>
      <c r="B331" s="20"/>
      <c r="C331" s="20"/>
      <c r="D331" s="21"/>
      <c r="E331" s="21"/>
      <c r="F331" s="21"/>
      <c r="G331" s="21"/>
      <c r="H331" s="21"/>
      <c r="I331" s="20"/>
      <c r="J331" s="20"/>
      <c r="K331" s="20"/>
      <c r="L331" s="20"/>
      <c r="M331" s="21"/>
      <c r="N331" s="21"/>
      <c r="O331" s="20"/>
      <c r="P331" s="20"/>
      <c r="Q331" s="21"/>
    </row>
    <row r="332" spans="1:17" ht="14.25" customHeight="1" x14ac:dyDescent="0.25">
      <c r="A332" s="20"/>
      <c r="B332" s="20"/>
      <c r="C332" s="20"/>
      <c r="D332" s="21"/>
      <c r="E332" s="21"/>
      <c r="F332" s="21"/>
      <c r="G332" s="21"/>
      <c r="H332" s="21"/>
      <c r="I332" s="20"/>
      <c r="J332" s="20"/>
      <c r="K332" s="20"/>
      <c r="L332" s="20"/>
      <c r="M332" s="21"/>
      <c r="N332" s="21"/>
      <c r="O332" s="20"/>
      <c r="P332" s="20"/>
      <c r="Q332" s="21"/>
    </row>
    <row r="333" spans="1:17" ht="14.25" customHeight="1" x14ac:dyDescent="0.25">
      <c r="A333" s="20"/>
      <c r="B333" s="20"/>
      <c r="C333" s="20"/>
      <c r="D333" s="21"/>
      <c r="E333" s="21"/>
      <c r="F333" s="21"/>
      <c r="G333" s="21"/>
      <c r="H333" s="21"/>
      <c r="I333" s="20"/>
      <c r="J333" s="20"/>
      <c r="K333" s="20"/>
      <c r="L333" s="20"/>
      <c r="M333" s="21"/>
      <c r="N333" s="21"/>
      <c r="O333" s="20"/>
      <c r="P333" s="20"/>
      <c r="Q333" s="21"/>
    </row>
    <row r="334" spans="1:17" ht="14.25" customHeight="1" x14ac:dyDescent="0.25">
      <c r="A334" s="20"/>
      <c r="B334" s="20"/>
      <c r="C334" s="20"/>
      <c r="D334" s="21"/>
      <c r="E334" s="21"/>
      <c r="F334" s="21"/>
      <c r="G334" s="21"/>
      <c r="H334" s="21"/>
      <c r="I334" s="20"/>
      <c r="J334" s="20"/>
      <c r="K334" s="20"/>
      <c r="L334" s="20"/>
      <c r="M334" s="21"/>
      <c r="N334" s="21"/>
      <c r="O334" s="20"/>
      <c r="P334" s="20"/>
      <c r="Q334" s="21"/>
    </row>
    <row r="335" spans="1:17" ht="14.25" customHeight="1" x14ac:dyDescent="0.25">
      <c r="A335" s="20"/>
      <c r="B335" s="20"/>
      <c r="C335" s="20"/>
      <c r="D335" s="21"/>
      <c r="E335" s="21"/>
      <c r="F335" s="21"/>
      <c r="G335" s="21"/>
      <c r="H335" s="21"/>
      <c r="I335" s="20"/>
      <c r="J335" s="20"/>
      <c r="K335" s="20"/>
      <c r="L335" s="20"/>
      <c r="M335" s="21"/>
      <c r="N335" s="21"/>
      <c r="O335" s="20"/>
      <c r="P335" s="20"/>
      <c r="Q335" s="21"/>
    </row>
    <row r="336" spans="1:17" ht="14.25" customHeight="1" x14ac:dyDescent="0.25">
      <c r="A336" s="20"/>
      <c r="B336" s="20"/>
      <c r="C336" s="20"/>
      <c r="D336" s="21"/>
      <c r="E336" s="21"/>
      <c r="F336" s="21"/>
      <c r="G336" s="21"/>
      <c r="H336" s="21"/>
      <c r="I336" s="20"/>
      <c r="J336" s="20"/>
      <c r="K336" s="20"/>
      <c r="L336" s="20"/>
      <c r="M336" s="21"/>
      <c r="N336" s="21"/>
      <c r="O336" s="20"/>
      <c r="P336" s="20"/>
      <c r="Q336" s="21"/>
    </row>
    <row r="337" spans="1:17" ht="14.25" customHeight="1" x14ac:dyDescent="0.25">
      <c r="A337" s="20"/>
      <c r="B337" s="20"/>
      <c r="C337" s="20"/>
      <c r="D337" s="21"/>
      <c r="E337" s="21"/>
      <c r="F337" s="21"/>
      <c r="G337" s="21"/>
      <c r="H337" s="21"/>
      <c r="I337" s="20"/>
      <c r="J337" s="20"/>
      <c r="K337" s="20"/>
      <c r="L337" s="20"/>
      <c r="M337" s="21"/>
      <c r="N337" s="21"/>
      <c r="O337" s="20"/>
      <c r="P337" s="20"/>
      <c r="Q337" s="21"/>
    </row>
    <row r="338" spans="1:17" ht="14.25" customHeight="1" x14ac:dyDescent="0.25">
      <c r="A338" s="20"/>
      <c r="B338" s="20"/>
      <c r="C338" s="20"/>
      <c r="D338" s="21"/>
      <c r="E338" s="21"/>
      <c r="F338" s="21"/>
      <c r="G338" s="21"/>
      <c r="H338" s="21"/>
      <c r="I338" s="20"/>
      <c r="J338" s="20"/>
      <c r="K338" s="20"/>
      <c r="L338" s="20"/>
      <c r="M338" s="21"/>
      <c r="N338" s="21"/>
      <c r="O338" s="20"/>
      <c r="P338" s="20"/>
      <c r="Q338" s="21"/>
    </row>
    <row r="339" spans="1:17" ht="14.25" customHeight="1" x14ac:dyDescent="0.25">
      <c r="A339" s="20"/>
      <c r="B339" s="20"/>
      <c r="C339" s="20"/>
      <c r="D339" s="21"/>
      <c r="E339" s="21"/>
      <c r="F339" s="21"/>
      <c r="G339" s="21"/>
      <c r="H339" s="21"/>
      <c r="I339" s="20"/>
      <c r="J339" s="20"/>
      <c r="K339" s="20"/>
      <c r="L339" s="20"/>
      <c r="M339" s="21"/>
      <c r="N339" s="21"/>
      <c r="O339" s="20"/>
      <c r="P339" s="20"/>
      <c r="Q339" s="21"/>
    </row>
    <row r="340" spans="1:17" ht="14.25" customHeight="1" x14ac:dyDescent="0.25">
      <c r="A340" s="20"/>
      <c r="B340" s="20"/>
      <c r="C340" s="20"/>
      <c r="D340" s="21"/>
      <c r="E340" s="21"/>
      <c r="F340" s="21"/>
      <c r="G340" s="21"/>
      <c r="H340" s="21"/>
      <c r="I340" s="20"/>
      <c r="J340" s="20"/>
      <c r="K340" s="20"/>
      <c r="L340" s="20"/>
      <c r="M340" s="21"/>
      <c r="N340" s="21"/>
      <c r="O340" s="20"/>
      <c r="P340" s="20"/>
      <c r="Q340" s="21"/>
    </row>
    <row r="341" spans="1:17" ht="14.25" customHeight="1" x14ac:dyDescent="0.25">
      <c r="A341" s="20"/>
      <c r="B341" s="20"/>
      <c r="C341" s="20"/>
      <c r="D341" s="21"/>
      <c r="E341" s="21"/>
      <c r="F341" s="21"/>
      <c r="G341" s="21"/>
      <c r="H341" s="21"/>
      <c r="I341" s="20"/>
      <c r="J341" s="20"/>
      <c r="K341" s="20"/>
      <c r="L341" s="20"/>
      <c r="M341" s="21"/>
      <c r="N341" s="21"/>
      <c r="O341" s="20"/>
      <c r="P341" s="20"/>
      <c r="Q341" s="21"/>
    </row>
    <row r="342" spans="1:17" ht="14.25" customHeight="1" x14ac:dyDescent="0.25">
      <c r="A342" s="20"/>
      <c r="B342" s="20"/>
      <c r="C342" s="20"/>
      <c r="D342" s="21"/>
      <c r="E342" s="21"/>
      <c r="F342" s="21"/>
      <c r="G342" s="21"/>
      <c r="H342" s="21"/>
      <c r="I342" s="20"/>
      <c r="J342" s="20"/>
      <c r="K342" s="20"/>
      <c r="L342" s="20"/>
      <c r="M342" s="21"/>
      <c r="N342" s="21"/>
      <c r="O342" s="20"/>
      <c r="P342" s="20"/>
      <c r="Q342" s="21"/>
    </row>
    <row r="343" spans="1:17" ht="14.25" customHeight="1" x14ac:dyDescent="0.25">
      <c r="A343" s="20"/>
      <c r="B343" s="20"/>
      <c r="C343" s="20"/>
      <c r="D343" s="21"/>
      <c r="E343" s="21"/>
      <c r="F343" s="21"/>
      <c r="G343" s="21"/>
      <c r="H343" s="21"/>
      <c r="I343" s="20"/>
      <c r="J343" s="20"/>
      <c r="K343" s="20"/>
      <c r="L343" s="20"/>
      <c r="M343" s="21"/>
      <c r="N343" s="21"/>
      <c r="O343" s="20"/>
      <c r="P343" s="20"/>
      <c r="Q343" s="21"/>
    </row>
    <row r="344" spans="1:17" ht="14.25" customHeight="1" x14ac:dyDescent="0.25">
      <c r="A344" s="20"/>
      <c r="B344" s="20"/>
      <c r="C344" s="20"/>
      <c r="D344" s="21"/>
      <c r="E344" s="21"/>
      <c r="F344" s="21"/>
      <c r="G344" s="21"/>
      <c r="H344" s="21"/>
      <c r="I344" s="20"/>
      <c r="J344" s="20"/>
      <c r="K344" s="20"/>
      <c r="L344" s="20"/>
      <c r="M344" s="21"/>
      <c r="N344" s="21"/>
      <c r="O344" s="20"/>
      <c r="P344" s="20"/>
      <c r="Q344" s="21"/>
    </row>
    <row r="345" spans="1:17" ht="14.25" customHeight="1" x14ac:dyDescent="0.25">
      <c r="A345" s="20"/>
      <c r="B345" s="20"/>
      <c r="C345" s="20"/>
      <c r="D345" s="21"/>
      <c r="E345" s="21"/>
      <c r="F345" s="21"/>
      <c r="G345" s="21"/>
      <c r="H345" s="21"/>
      <c r="I345" s="20"/>
      <c r="J345" s="20"/>
      <c r="K345" s="20"/>
      <c r="L345" s="20"/>
      <c r="M345" s="21"/>
      <c r="N345" s="21"/>
      <c r="O345" s="20"/>
      <c r="P345" s="20"/>
      <c r="Q345" s="21"/>
    </row>
    <row r="346" spans="1:17" ht="14.25" customHeight="1" x14ac:dyDescent="0.25">
      <c r="A346" s="20"/>
      <c r="B346" s="20"/>
      <c r="C346" s="20"/>
      <c r="D346" s="21"/>
      <c r="E346" s="21"/>
      <c r="F346" s="21"/>
      <c r="G346" s="21"/>
      <c r="H346" s="21"/>
      <c r="I346" s="20"/>
      <c r="J346" s="20"/>
      <c r="K346" s="20"/>
      <c r="L346" s="20"/>
      <c r="M346" s="21"/>
      <c r="N346" s="21"/>
      <c r="O346" s="20"/>
      <c r="P346" s="20"/>
      <c r="Q346" s="21"/>
    </row>
    <row r="347" spans="1:17" ht="14.25" customHeight="1" x14ac:dyDescent="0.25">
      <c r="A347" s="20"/>
      <c r="B347" s="20"/>
      <c r="C347" s="20"/>
      <c r="D347" s="21"/>
      <c r="E347" s="21"/>
      <c r="F347" s="21"/>
      <c r="G347" s="21"/>
      <c r="H347" s="21"/>
      <c r="I347" s="20"/>
      <c r="J347" s="20"/>
      <c r="K347" s="20"/>
      <c r="L347" s="20"/>
      <c r="M347" s="21"/>
      <c r="N347" s="21"/>
      <c r="O347" s="20"/>
      <c r="P347" s="20"/>
      <c r="Q347" s="21"/>
    </row>
    <row r="348" spans="1:17" ht="14.25" customHeight="1" x14ac:dyDescent="0.25">
      <c r="A348" s="20"/>
      <c r="B348" s="20"/>
      <c r="C348" s="20"/>
      <c r="D348" s="21"/>
      <c r="E348" s="21"/>
      <c r="F348" s="21"/>
      <c r="G348" s="21"/>
      <c r="H348" s="21"/>
      <c r="I348" s="20"/>
      <c r="J348" s="20"/>
      <c r="K348" s="20"/>
      <c r="L348" s="20"/>
      <c r="M348" s="21"/>
      <c r="N348" s="21"/>
      <c r="O348" s="20"/>
      <c r="P348" s="20"/>
      <c r="Q348" s="21"/>
    </row>
    <row r="349" spans="1:17" ht="14.25" customHeight="1" x14ac:dyDescent="0.25">
      <c r="A349" s="20"/>
      <c r="B349" s="20"/>
      <c r="C349" s="20"/>
      <c r="D349" s="21"/>
      <c r="E349" s="21"/>
      <c r="F349" s="21"/>
      <c r="G349" s="21"/>
      <c r="H349" s="21"/>
      <c r="I349" s="20"/>
      <c r="J349" s="20"/>
      <c r="K349" s="20"/>
      <c r="L349" s="20"/>
      <c r="M349" s="21"/>
      <c r="N349" s="21"/>
      <c r="O349" s="20"/>
      <c r="P349" s="20"/>
      <c r="Q349" s="21"/>
    </row>
    <row r="350" spans="1:17" ht="14.25" customHeight="1" x14ac:dyDescent="0.25">
      <c r="A350" s="20"/>
      <c r="B350" s="20"/>
      <c r="C350" s="20"/>
      <c r="D350" s="21"/>
      <c r="E350" s="21"/>
      <c r="F350" s="21"/>
      <c r="G350" s="21"/>
      <c r="H350" s="21"/>
      <c r="I350" s="20"/>
      <c r="J350" s="20"/>
      <c r="K350" s="20"/>
      <c r="L350" s="20"/>
      <c r="M350" s="21"/>
      <c r="N350" s="21"/>
      <c r="O350" s="20"/>
      <c r="P350" s="20"/>
      <c r="Q350" s="21"/>
    </row>
    <row r="351" spans="1:17" ht="14.25" customHeight="1" x14ac:dyDescent="0.25">
      <c r="A351" s="20"/>
      <c r="B351" s="20"/>
      <c r="C351" s="20"/>
      <c r="D351" s="21"/>
      <c r="E351" s="21"/>
      <c r="F351" s="21"/>
      <c r="G351" s="21"/>
      <c r="H351" s="21"/>
      <c r="I351" s="20"/>
      <c r="J351" s="20"/>
      <c r="K351" s="20"/>
      <c r="L351" s="20"/>
      <c r="M351" s="21"/>
      <c r="N351" s="21"/>
      <c r="O351" s="20"/>
      <c r="P351" s="20"/>
      <c r="Q351" s="21"/>
    </row>
    <row r="352" spans="1:17" ht="14.25" customHeight="1" x14ac:dyDescent="0.25">
      <c r="A352" s="20"/>
      <c r="B352" s="20"/>
      <c r="C352" s="20"/>
      <c r="D352" s="21"/>
      <c r="E352" s="21"/>
      <c r="F352" s="21"/>
      <c r="G352" s="21"/>
      <c r="H352" s="21"/>
      <c r="I352" s="20"/>
      <c r="J352" s="20"/>
      <c r="K352" s="20"/>
      <c r="L352" s="20"/>
      <c r="M352" s="21"/>
      <c r="N352" s="21"/>
      <c r="O352" s="20"/>
      <c r="P352" s="20"/>
      <c r="Q352" s="21"/>
    </row>
    <row r="353" spans="1:17" ht="14.25" customHeight="1" x14ac:dyDescent="0.25">
      <c r="A353" s="20"/>
      <c r="B353" s="20"/>
      <c r="C353" s="20"/>
      <c r="D353" s="21"/>
      <c r="E353" s="21"/>
      <c r="F353" s="21"/>
      <c r="G353" s="21"/>
      <c r="H353" s="21"/>
      <c r="I353" s="20"/>
      <c r="J353" s="20"/>
      <c r="K353" s="20"/>
      <c r="L353" s="20"/>
      <c r="M353" s="21"/>
      <c r="N353" s="21"/>
      <c r="O353" s="20"/>
      <c r="P353" s="20"/>
      <c r="Q353" s="21"/>
    </row>
    <row r="354" spans="1:17" ht="14.25" customHeight="1" x14ac:dyDescent="0.25">
      <c r="A354" s="20"/>
      <c r="B354" s="20"/>
      <c r="C354" s="20"/>
      <c r="D354" s="21"/>
      <c r="E354" s="21"/>
      <c r="F354" s="21"/>
      <c r="G354" s="21"/>
      <c r="H354" s="21"/>
      <c r="I354" s="20"/>
      <c r="J354" s="20"/>
      <c r="K354" s="20"/>
      <c r="L354" s="20"/>
      <c r="M354" s="21"/>
      <c r="N354" s="21"/>
      <c r="O354" s="20"/>
      <c r="P354" s="20"/>
      <c r="Q354" s="21"/>
    </row>
    <row r="355" spans="1:17" ht="14.25" customHeight="1" x14ac:dyDescent="0.25">
      <c r="A355" s="20"/>
      <c r="B355" s="20"/>
      <c r="C355" s="20"/>
      <c r="D355" s="21"/>
      <c r="E355" s="21"/>
      <c r="F355" s="21"/>
      <c r="G355" s="21"/>
      <c r="H355" s="21"/>
      <c r="I355" s="20"/>
      <c r="J355" s="20"/>
      <c r="K355" s="20"/>
      <c r="L355" s="20"/>
      <c r="M355" s="21"/>
      <c r="N355" s="21"/>
      <c r="O355" s="20"/>
      <c r="P355" s="20"/>
      <c r="Q355" s="21"/>
    </row>
    <row r="356" spans="1:17" ht="14.25" customHeight="1" x14ac:dyDescent="0.25">
      <c r="A356" s="20"/>
      <c r="B356" s="20"/>
      <c r="C356" s="20"/>
      <c r="D356" s="21"/>
      <c r="E356" s="21"/>
      <c r="F356" s="21"/>
      <c r="G356" s="21"/>
      <c r="H356" s="21"/>
      <c r="I356" s="20"/>
      <c r="J356" s="20"/>
      <c r="K356" s="20"/>
      <c r="L356" s="20"/>
      <c r="M356" s="21"/>
      <c r="N356" s="21"/>
      <c r="O356" s="20"/>
      <c r="P356" s="20"/>
      <c r="Q356" s="21"/>
    </row>
    <row r="357" spans="1:17" ht="14.25" customHeight="1" x14ac:dyDescent="0.25">
      <c r="A357" s="20"/>
      <c r="B357" s="20"/>
      <c r="C357" s="20"/>
      <c r="D357" s="21"/>
      <c r="E357" s="21"/>
      <c r="F357" s="21"/>
      <c r="G357" s="21"/>
      <c r="H357" s="21"/>
      <c r="I357" s="20"/>
      <c r="J357" s="20"/>
      <c r="K357" s="20"/>
      <c r="L357" s="20"/>
      <c r="M357" s="21"/>
      <c r="N357" s="21"/>
      <c r="O357" s="20"/>
      <c r="P357" s="20"/>
      <c r="Q357" s="21"/>
    </row>
    <row r="358" spans="1:17" ht="14.25" customHeight="1" x14ac:dyDescent="0.25">
      <c r="A358" s="20"/>
      <c r="B358" s="20"/>
      <c r="C358" s="20"/>
      <c r="D358" s="21"/>
      <c r="E358" s="21"/>
      <c r="F358" s="21"/>
      <c r="G358" s="21"/>
      <c r="H358" s="21"/>
      <c r="I358" s="20"/>
      <c r="J358" s="20"/>
      <c r="K358" s="20"/>
      <c r="L358" s="20"/>
      <c r="M358" s="21"/>
      <c r="N358" s="21"/>
      <c r="O358" s="20"/>
      <c r="P358" s="20"/>
      <c r="Q358" s="21"/>
    </row>
    <row r="359" spans="1:17" ht="14.25" customHeight="1" x14ac:dyDescent="0.25">
      <c r="A359" s="20"/>
      <c r="B359" s="20"/>
      <c r="C359" s="20"/>
      <c r="D359" s="21"/>
      <c r="E359" s="21"/>
      <c r="F359" s="21"/>
      <c r="G359" s="21"/>
      <c r="H359" s="21"/>
      <c r="I359" s="20"/>
      <c r="J359" s="20"/>
      <c r="K359" s="20"/>
      <c r="L359" s="20"/>
      <c r="M359" s="21"/>
      <c r="N359" s="21"/>
      <c r="O359" s="20"/>
      <c r="P359" s="20"/>
      <c r="Q359" s="21"/>
    </row>
    <row r="360" spans="1:17" ht="14.25" customHeight="1" x14ac:dyDescent="0.25">
      <c r="A360" s="20"/>
      <c r="B360" s="20"/>
      <c r="C360" s="20"/>
      <c r="D360" s="21"/>
      <c r="E360" s="21"/>
      <c r="F360" s="21"/>
      <c r="G360" s="21"/>
      <c r="H360" s="21"/>
      <c r="I360" s="20"/>
      <c r="J360" s="20"/>
      <c r="K360" s="20"/>
      <c r="L360" s="20"/>
      <c r="M360" s="21"/>
      <c r="N360" s="21"/>
      <c r="O360" s="20"/>
      <c r="P360" s="20"/>
      <c r="Q360" s="21"/>
    </row>
    <row r="361" spans="1:17" ht="14.25" customHeight="1" x14ac:dyDescent="0.25">
      <c r="A361" s="20"/>
      <c r="B361" s="20"/>
      <c r="C361" s="20"/>
      <c r="D361" s="21"/>
      <c r="E361" s="21"/>
      <c r="F361" s="21"/>
      <c r="G361" s="21"/>
      <c r="H361" s="21"/>
      <c r="I361" s="20"/>
      <c r="J361" s="20"/>
      <c r="K361" s="20"/>
      <c r="L361" s="20"/>
      <c r="M361" s="21"/>
      <c r="N361" s="21"/>
      <c r="O361" s="20"/>
      <c r="P361" s="20"/>
      <c r="Q361" s="21"/>
    </row>
    <row r="362" spans="1:17" ht="14.25" customHeight="1" x14ac:dyDescent="0.25">
      <c r="A362" s="20"/>
      <c r="B362" s="20"/>
      <c r="C362" s="20"/>
      <c r="D362" s="21"/>
      <c r="E362" s="21"/>
      <c r="F362" s="21"/>
      <c r="G362" s="21"/>
      <c r="H362" s="21"/>
      <c r="I362" s="20"/>
      <c r="J362" s="20"/>
      <c r="K362" s="20"/>
      <c r="L362" s="20"/>
      <c r="M362" s="21"/>
      <c r="N362" s="21"/>
      <c r="O362" s="20"/>
      <c r="P362" s="20"/>
      <c r="Q362" s="21"/>
    </row>
    <row r="363" spans="1:17" ht="14.25" customHeight="1" x14ac:dyDescent="0.25">
      <c r="A363" s="20"/>
      <c r="B363" s="20"/>
      <c r="C363" s="20"/>
      <c r="D363" s="21"/>
      <c r="E363" s="21"/>
      <c r="F363" s="21"/>
      <c r="G363" s="21"/>
      <c r="H363" s="21"/>
      <c r="I363" s="20"/>
      <c r="J363" s="20"/>
      <c r="K363" s="20"/>
      <c r="L363" s="20"/>
      <c r="M363" s="21"/>
      <c r="N363" s="21"/>
      <c r="O363" s="20"/>
      <c r="P363" s="20"/>
      <c r="Q363" s="21"/>
    </row>
    <row r="364" spans="1:17" ht="14.25" customHeight="1" x14ac:dyDescent="0.25">
      <c r="A364" s="20"/>
      <c r="B364" s="20"/>
      <c r="C364" s="20"/>
      <c r="D364" s="21"/>
      <c r="E364" s="21"/>
      <c r="F364" s="21"/>
      <c r="G364" s="21"/>
      <c r="H364" s="21"/>
      <c r="I364" s="20"/>
      <c r="J364" s="20"/>
      <c r="K364" s="20"/>
      <c r="L364" s="20"/>
      <c r="M364" s="21"/>
      <c r="N364" s="21"/>
      <c r="O364" s="20"/>
      <c r="P364" s="20"/>
      <c r="Q364" s="21"/>
    </row>
    <row r="365" spans="1:17" ht="14.25" customHeight="1" x14ac:dyDescent="0.25">
      <c r="A365" s="20"/>
      <c r="B365" s="20"/>
      <c r="C365" s="20"/>
      <c r="D365" s="21"/>
      <c r="E365" s="21"/>
      <c r="F365" s="21"/>
      <c r="G365" s="21"/>
      <c r="H365" s="21"/>
      <c r="I365" s="20"/>
      <c r="J365" s="20"/>
      <c r="K365" s="20"/>
      <c r="L365" s="20"/>
      <c r="M365" s="21"/>
      <c r="N365" s="21"/>
      <c r="O365" s="20"/>
      <c r="P365" s="20"/>
      <c r="Q365" s="21"/>
    </row>
    <row r="366" spans="1:17" ht="14.25" customHeight="1" x14ac:dyDescent="0.25">
      <c r="A366" s="20"/>
      <c r="B366" s="20"/>
      <c r="C366" s="20"/>
      <c r="D366" s="21"/>
      <c r="E366" s="21"/>
      <c r="F366" s="21"/>
      <c r="G366" s="21"/>
      <c r="H366" s="21"/>
      <c r="I366" s="20"/>
      <c r="J366" s="20"/>
      <c r="K366" s="20"/>
      <c r="L366" s="20"/>
      <c r="M366" s="21"/>
      <c r="N366" s="21"/>
      <c r="O366" s="20"/>
      <c r="P366" s="20"/>
      <c r="Q366" s="21"/>
    </row>
    <row r="367" spans="1:17" ht="14.25" customHeight="1" x14ac:dyDescent="0.25">
      <c r="A367" s="20"/>
      <c r="B367" s="20"/>
      <c r="C367" s="20"/>
      <c r="D367" s="21"/>
      <c r="E367" s="21"/>
      <c r="F367" s="21"/>
      <c r="G367" s="21"/>
      <c r="H367" s="21"/>
      <c r="I367" s="20"/>
      <c r="J367" s="20"/>
      <c r="K367" s="20"/>
      <c r="L367" s="20"/>
      <c r="M367" s="21"/>
      <c r="N367" s="21"/>
      <c r="O367" s="20"/>
      <c r="P367" s="20"/>
      <c r="Q367" s="21"/>
    </row>
    <row r="368" spans="1:17" ht="14.25" customHeight="1" x14ac:dyDescent="0.25">
      <c r="A368" s="20"/>
      <c r="B368" s="20"/>
      <c r="C368" s="20"/>
      <c r="D368" s="21"/>
      <c r="E368" s="21"/>
      <c r="F368" s="21"/>
      <c r="G368" s="21"/>
      <c r="H368" s="21"/>
      <c r="I368" s="20"/>
      <c r="J368" s="20"/>
      <c r="K368" s="20"/>
      <c r="L368" s="20"/>
      <c r="M368" s="21"/>
      <c r="N368" s="21"/>
      <c r="O368" s="20"/>
      <c r="P368" s="20"/>
      <c r="Q368" s="21"/>
    </row>
    <row r="369" spans="1:17" ht="14.25" customHeight="1" x14ac:dyDescent="0.25">
      <c r="A369" s="20"/>
      <c r="B369" s="20"/>
      <c r="C369" s="20"/>
      <c r="D369" s="21"/>
      <c r="E369" s="21"/>
      <c r="F369" s="21"/>
      <c r="G369" s="21"/>
      <c r="H369" s="21"/>
      <c r="I369" s="20"/>
      <c r="J369" s="20"/>
      <c r="K369" s="20"/>
      <c r="L369" s="20"/>
      <c r="M369" s="21"/>
      <c r="N369" s="21"/>
      <c r="O369" s="20"/>
      <c r="P369" s="20"/>
      <c r="Q369" s="21"/>
    </row>
    <row r="370" spans="1:17" ht="14.25" customHeight="1" x14ac:dyDescent="0.25">
      <c r="A370" s="20"/>
      <c r="B370" s="20"/>
      <c r="C370" s="20"/>
      <c r="D370" s="21"/>
      <c r="E370" s="21"/>
      <c r="F370" s="21"/>
      <c r="G370" s="21"/>
      <c r="H370" s="21"/>
      <c r="I370" s="20"/>
      <c r="J370" s="20"/>
      <c r="K370" s="20"/>
      <c r="L370" s="20"/>
      <c r="M370" s="21"/>
      <c r="N370" s="21"/>
      <c r="O370" s="20"/>
      <c r="P370" s="20"/>
      <c r="Q370" s="21"/>
    </row>
    <row r="371" spans="1:17" ht="14.25" customHeight="1" x14ac:dyDescent="0.25">
      <c r="A371" s="20"/>
      <c r="B371" s="20"/>
      <c r="C371" s="20"/>
      <c r="D371" s="21"/>
      <c r="E371" s="21"/>
      <c r="F371" s="21"/>
      <c r="G371" s="21"/>
      <c r="H371" s="21"/>
      <c r="I371" s="20"/>
      <c r="J371" s="20"/>
      <c r="K371" s="20"/>
      <c r="L371" s="20"/>
      <c r="M371" s="21"/>
      <c r="N371" s="21"/>
      <c r="O371" s="20"/>
      <c r="P371" s="20"/>
      <c r="Q371" s="21"/>
    </row>
    <row r="372" spans="1:17" ht="14.25" customHeight="1" x14ac:dyDescent="0.25">
      <c r="A372" s="20"/>
      <c r="B372" s="20"/>
      <c r="C372" s="20"/>
      <c r="D372" s="21"/>
      <c r="E372" s="21"/>
      <c r="F372" s="21"/>
      <c r="G372" s="21"/>
      <c r="H372" s="21"/>
      <c r="I372" s="20"/>
      <c r="J372" s="20"/>
      <c r="K372" s="20"/>
      <c r="L372" s="20"/>
      <c r="M372" s="21"/>
      <c r="N372" s="21"/>
      <c r="O372" s="20"/>
      <c r="P372" s="20"/>
      <c r="Q372" s="21"/>
    </row>
    <row r="373" spans="1:17" ht="14.25" customHeight="1" x14ac:dyDescent="0.25">
      <c r="A373" s="20"/>
      <c r="B373" s="20"/>
      <c r="C373" s="20"/>
      <c r="D373" s="21"/>
      <c r="E373" s="21"/>
      <c r="F373" s="21"/>
      <c r="G373" s="21"/>
      <c r="H373" s="21"/>
      <c r="I373" s="20"/>
      <c r="J373" s="20"/>
      <c r="K373" s="20"/>
      <c r="L373" s="20"/>
      <c r="M373" s="21"/>
      <c r="N373" s="21"/>
      <c r="O373" s="20"/>
      <c r="P373" s="20"/>
      <c r="Q373" s="21"/>
    </row>
    <row r="374" spans="1:17" ht="14.25" customHeight="1" x14ac:dyDescent="0.25">
      <c r="A374" s="20"/>
      <c r="B374" s="20"/>
      <c r="C374" s="20"/>
      <c r="D374" s="21"/>
      <c r="E374" s="21"/>
      <c r="F374" s="21"/>
      <c r="G374" s="21"/>
      <c r="H374" s="21"/>
      <c r="I374" s="20"/>
      <c r="J374" s="20"/>
      <c r="K374" s="20"/>
      <c r="L374" s="20"/>
      <c r="M374" s="21"/>
      <c r="N374" s="21"/>
      <c r="O374" s="20"/>
      <c r="P374" s="20"/>
      <c r="Q374" s="21"/>
    </row>
    <row r="375" spans="1:17" ht="14.25" customHeight="1" x14ac:dyDescent="0.25">
      <c r="A375" s="20"/>
      <c r="B375" s="20"/>
      <c r="C375" s="20"/>
      <c r="D375" s="21"/>
      <c r="E375" s="21"/>
      <c r="F375" s="21"/>
      <c r="G375" s="21"/>
      <c r="H375" s="21"/>
      <c r="I375" s="20"/>
      <c r="J375" s="20"/>
      <c r="K375" s="20"/>
      <c r="L375" s="20"/>
      <c r="M375" s="21"/>
      <c r="N375" s="21"/>
      <c r="O375" s="20"/>
      <c r="P375" s="20"/>
      <c r="Q375" s="21"/>
    </row>
    <row r="376" spans="1:17" ht="14.25" customHeight="1" x14ac:dyDescent="0.25">
      <c r="A376" s="20"/>
      <c r="B376" s="20"/>
      <c r="C376" s="20"/>
      <c r="D376" s="21"/>
      <c r="E376" s="21"/>
      <c r="F376" s="21"/>
      <c r="G376" s="21"/>
      <c r="H376" s="21"/>
      <c r="I376" s="20"/>
      <c r="J376" s="20"/>
      <c r="K376" s="20"/>
      <c r="L376" s="20"/>
      <c r="M376" s="21"/>
      <c r="N376" s="21"/>
      <c r="O376" s="20"/>
      <c r="P376" s="20"/>
      <c r="Q376" s="21"/>
    </row>
    <row r="377" spans="1:17" ht="14.25" customHeight="1" x14ac:dyDescent="0.25">
      <c r="A377" s="20"/>
      <c r="B377" s="20"/>
      <c r="C377" s="20"/>
      <c r="D377" s="21"/>
      <c r="E377" s="21"/>
      <c r="F377" s="21"/>
      <c r="G377" s="21"/>
      <c r="H377" s="21"/>
      <c r="I377" s="20"/>
      <c r="J377" s="20"/>
      <c r="K377" s="20"/>
      <c r="L377" s="20"/>
      <c r="M377" s="21"/>
      <c r="N377" s="21"/>
      <c r="O377" s="20"/>
      <c r="P377" s="20"/>
      <c r="Q377" s="21"/>
    </row>
    <row r="378" spans="1:17" ht="14.25" customHeight="1" x14ac:dyDescent="0.25">
      <c r="A378" s="20"/>
      <c r="B378" s="20"/>
      <c r="C378" s="20"/>
      <c r="D378" s="21"/>
      <c r="E378" s="21"/>
      <c r="F378" s="21"/>
      <c r="G378" s="21"/>
      <c r="H378" s="21"/>
      <c r="I378" s="20"/>
      <c r="J378" s="20"/>
      <c r="K378" s="20"/>
      <c r="L378" s="20"/>
      <c r="M378" s="21"/>
      <c r="N378" s="21"/>
      <c r="O378" s="20"/>
      <c r="P378" s="20"/>
      <c r="Q378" s="21"/>
    </row>
    <row r="379" spans="1:17" ht="14.25" customHeight="1" x14ac:dyDescent="0.25">
      <c r="A379" s="20"/>
      <c r="B379" s="20"/>
      <c r="C379" s="20"/>
      <c r="D379" s="21"/>
      <c r="E379" s="21"/>
      <c r="F379" s="21"/>
      <c r="G379" s="21"/>
      <c r="H379" s="21"/>
      <c r="I379" s="20"/>
      <c r="J379" s="20"/>
      <c r="K379" s="20"/>
      <c r="L379" s="20"/>
      <c r="M379" s="21"/>
      <c r="N379" s="21"/>
      <c r="O379" s="20"/>
      <c r="P379" s="20"/>
      <c r="Q379" s="21"/>
    </row>
    <row r="380" spans="1:17" ht="14.25" customHeight="1" x14ac:dyDescent="0.25">
      <c r="A380" s="20"/>
      <c r="B380" s="20"/>
      <c r="C380" s="20"/>
      <c r="D380" s="21"/>
      <c r="E380" s="21"/>
      <c r="F380" s="21"/>
      <c r="G380" s="21"/>
      <c r="H380" s="21"/>
      <c r="I380" s="20"/>
      <c r="J380" s="20"/>
      <c r="K380" s="20"/>
      <c r="L380" s="20"/>
      <c r="M380" s="21"/>
      <c r="N380" s="21"/>
      <c r="O380" s="20"/>
      <c r="P380" s="20"/>
      <c r="Q380" s="21"/>
    </row>
    <row r="381" spans="1:17" ht="14.25" customHeight="1" x14ac:dyDescent="0.25">
      <c r="A381" s="20"/>
      <c r="B381" s="20"/>
      <c r="C381" s="20"/>
      <c r="D381" s="21"/>
      <c r="E381" s="21"/>
      <c r="F381" s="21"/>
      <c r="G381" s="21"/>
      <c r="H381" s="21"/>
      <c r="I381" s="20"/>
      <c r="J381" s="20"/>
      <c r="K381" s="20"/>
      <c r="L381" s="20"/>
      <c r="M381" s="21"/>
      <c r="N381" s="21"/>
      <c r="O381" s="20"/>
      <c r="P381" s="20"/>
      <c r="Q381" s="21"/>
    </row>
    <row r="382" spans="1:17" ht="14.25" customHeight="1" x14ac:dyDescent="0.25">
      <c r="A382" s="20"/>
      <c r="B382" s="20"/>
      <c r="C382" s="20"/>
      <c r="D382" s="21"/>
      <c r="E382" s="21"/>
      <c r="F382" s="21"/>
      <c r="G382" s="21"/>
      <c r="H382" s="21"/>
      <c r="I382" s="20"/>
      <c r="J382" s="20"/>
      <c r="K382" s="20"/>
      <c r="L382" s="20"/>
      <c r="M382" s="21"/>
      <c r="N382" s="21"/>
      <c r="O382" s="20"/>
      <c r="P382" s="20"/>
      <c r="Q382" s="21"/>
    </row>
    <row r="383" spans="1:17" ht="14.25" customHeight="1" x14ac:dyDescent="0.25">
      <c r="A383" s="20"/>
      <c r="B383" s="20"/>
      <c r="C383" s="20"/>
      <c r="D383" s="21"/>
      <c r="E383" s="21"/>
      <c r="F383" s="21"/>
      <c r="G383" s="21"/>
      <c r="H383" s="21"/>
      <c r="I383" s="20"/>
      <c r="J383" s="20"/>
      <c r="K383" s="20"/>
      <c r="L383" s="20"/>
      <c r="M383" s="21"/>
      <c r="N383" s="21"/>
      <c r="O383" s="20"/>
      <c r="P383" s="20"/>
      <c r="Q383" s="21"/>
    </row>
    <row r="384" spans="1:17" ht="14.25" customHeight="1" x14ac:dyDescent="0.25">
      <c r="A384" s="20"/>
      <c r="B384" s="20"/>
      <c r="C384" s="20"/>
      <c r="D384" s="21"/>
      <c r="E384" s="21"/>
      <c r="F384" s="21"/>
      <c r="G384" s="21"/>
      <c r="H384" s="21"/>
      <c r="I384" s="20"/>
      <c r="J384" s="20"/>
      <c r="K384" s="20"/>
      <c r="L384" s="20"/>
      <c r="M384" s="21"/>
      <c r="N384" s="21"/>
      <c r="O384" s="20"/>
      <c r="P384" s="20"/>
      <c r="Q384" s="21"/>
    </row>
    <row r="385" spans="1:17" ht="14.25" customHeight="1" x14ac:dyDescent="0.25">
      <c r="A385" s="20"/>
      <c r="B385" s="20"/>
      <c r="C385" s="20"/>
      <c r="D385" s="21"/>
      <c r="E385" s="21"/>
      <c r="F385" s="21"/>
      <c r="G385" s="21"/>
      <c r="H385" s="21"/>
      <c r="I385" s="20"/>
      <c r="J385" s="20"/>
      <c r="K385" s="20"/>
      <c r="L385" s="20"/>
      <c r="M385" s="21"/>
      <c r="N385" s="21"/>
      <c r="O385" s="20"/>
      <c r="P385" s="20"/>
      <c r="Q385" s="21"/>
    </row>
    <row r="386" spans="1:17" ht="14.25" customHeight="1" x14ac:dyDescent="0.25">
      <c r="A386" s="20"/>
      <c r="B386" s="20"/>
      <c r="C386" s="20"/>
      <c r="D386" s="21"/>
      <c r="E386" s="21"/>
      <c r="F386" s="21"/>
      <c r="G386" s="21"/>
      <c r="H386" s="21"/>
      <c r="I386" s="20"/>
      <c r="J386" s="20"/>
      <c r="K386" s="20"/>
      <c r="L386" s="20"/>
      <c r="M386" s="21"/>
      <c r="N386" s="21"/>
      <c r="O386" s="20"/>
      <c r="P386" s="20"/>
      <c r="Q386" s="21"/>
    </row>
    <row r="387" spans="1:17" ht="14.25" customHeight="1" x14ac:dyDescent="0.25">
      <c r="A387" s="20"/>
      <c r="B387" s="20"/>
      <c r="C387" s="20"/>
      <c r="D387" s="21"/>
      <c r="E387" s="21"/>
      <c r="F387" s="21"/>
      <c r="G387" s="21"/>
      <c r="H387" s="21"/>
      <c r="I387" s="20"/>
      <c r="J387" s="20"/>
      <c r="K387" s="20"/>
      <c r="L387" s="20"/>
      <c r="M387" s="21"/>
      <c r="N387" s="21"/>
      <c r="O387" s="20"/>
      <c r="P387" s="20"/>
      <c r="Q387" s="21"/>
    </row>
    <row r="388" spans="1:17" ht="14.25" customHeight="1" x14ac:dyDescent="0.25">
      <c r="A388" s="20"/>
      <c r="B388" s="20"/>
      <c r="C388" s="20"/>
      <c r="D388" s="21"/>
      <c r="E388" s="21"/>
      <c r="F388" s="21"/>
      <c r="G388" s="21"/>
      <c r="H388" s="21"/>
      <c r="I388" s="20"/>
      <c r="J388" s="20"/>
      <c r="K388" s="20"/>
      <c r="L388" s="20"/>
      <c r="M388" s="21"/>
      <c r="N388" s="21"/>
      <c r="O388" s="20"/>
      <c r="P388" s="20"/>
      <c r="Q388" s="21"/>
    </row>
    <row r="389" spans="1:17" ht="14.25" customHeight="1" x14ac:dyDescent="0.25">
      <c r="A389" s="20"/>
      <c r="B389" s="20"/>
      <c r="C389" s="20"/>
      <c r="D389" s="21"/>
      <c r="E389" s="21"/>
      <c r="F389" s="21"/>
      <c r="G389" s="21"/>
      <c r="H389" s="21"/>
      <c r="I389" s="20"/>
      <c r="J389" s="20"/>
      <c r="K389" s="20"/>
      <c r="L389" s="20"/>
      <c r="M389" s="21"/>
      <c r="N389" s="21"/>
      <c r="O389" s="20"/>
      <c r="P389" s="20"/>
      <c r="Q389" s="21"/>
    </row>
    <row r="390" spans="1:17" ht="14.25" customHeight="1" x14ac:dyDescent="0.25">
      <c r="A390" s="20"/>
      <c r="B390" s="20"/>
      <c r="C390" s="20"/>
      <c r="D390" s="21"/>
      <c r="E390" s="21"/>
      <c r="F390" s="21"/>
      <c r="G390" s="21"/>
      <c r="H390" s="21"/>
      <c r="I390" s="20"/>
      <c r="J390" s="20"/>
      <c r="K390" s="20"/>
      <c r="L390" s="20"/>
      <c r="M390" s="21"/>
      <c r="N390" s="21"/>
      <c r="O390" s="20"/>
      <c r="P390" s="20"/>
      <c r="Q390" s="21"/>
    </row>
    <row r="391" spans="1:17" ht="14.25" customHeight="1" x14ac:dyDescent="0.25">
      <c r="A391" s="20"/>
      <c r="B391" s="20"/>
      <c r="C391" s="20"/>
      <c r="D391" s="21"/>
      <c r="E391" s="21"/>
      <c r="F391" s="21"/>
      <c r="G391" s="21"/>
      <c r="H391" s="21"/>
      <c r="I391" s="20"/>
      <c r="J391" s="20"/>
      <c r="K391" s="20"/>
      <c r="L391" s="20"/>
      <c r="M391" s="21"/>
      <c r="N391" s="21"/>
      <c r="O391" s="20"/>
      <c r="P391" s="20"/>
      <c r="Q391" s="21"/>
    </row>
    <row r="392" spans="1:17" ht="14.25" customHeight="1" x14ac:dyDescent="0.25">
      <c r="A392" s="20"/>
      <c r="B392" s="20"/>
      <c r="C392" s="20"/>
      <c r="D392" s="21"/>
      <c r="E392" s="21"/>
      <c r="F392" s="21"/>
      <c r="G392" s="21"/>
      <c r="H392" s="21"/>
      <c r="I392" s="20"/>
      <c r="J392" s="20"/>
      <c r="K392" s="20"/>
      <c r="L392" s="20"/>
      <c r="M392" s="21"/>
      <c r="N392" s="21"/>
      <c r="O392" s="20"/>
      <c r="P392" s="20"/>
      <c r="Q392" s="21"/>
    </row>
    <row r="393" spans="1:17" ht="14.25" customHeight="1" x14ac:dyDescent="0.25">
      <c r="A393" s="20"/>
      <c r="B393" s="20"/>
      <c r="C393" s="20"/>
      <c r="D393" s="21"/>
      <c r="E393" s="21"/>
      <c r="F393" s="21"/>
      <c r="G393" s="21"/>
      <c r="H393" s="21"/>
      <c r="I393" s="20"/>
      <c r="J393" s="20"/>
      <c r="K393" s="20"/>
      <c r="L393" s="20"/>
      <c r="M393" s="21"/>
      <c r="N393" s="21"/>
      <c r="O393" s="20"/>
      <c r="P393" s="20"/>
      <c r="Q393" s="21"/>
    </row>
    <row r="394" spans="1:17" ht="14.25" customHeight="1" x14ac:dyDescent="0.25">
      <c r="A394" s="20"/>
      <c r="B394" s="20"/>
      <c r="C394" s="20"/>
      <c r="D394" s="21"/>
      <c r="E394" s="21"/>
      <c r="F394" s="21"/>
      <c r="G394" s="21"/>
      <c r="H394" s="21"/>
      <c r="I394" s="20"/>
      <c r="J394" s="20"/>
      <c r="K394" s="20"/>
      <c r="L394" s="20"/>
      <c r="M394" s="21"/>
      <c r="N394" s="21"/>
      <c r="O394" s="20"/>
      <c r="P394" s="20"/>
      <c r="Q394" s="21"/>
    </row>
    <row r="395" spans="1:17" ht="14.25" customHeight="1" x14ac:dyDescent="0.25">
      <c r="A395" s="20"/>
      <c r="B395" s="20"/>
      <c r="C395" s="20"/>
      <c r="D395" s="21"/>
      <c r="E395" s="21"/>
      <c r="F395" s="21"/>
      <c r="G395" s="21"/>
      <c r="H395" s="21"/>
      <c r="I395" s="20"/>
      <c r="J395" s="20"/>
      <c r="K395" s="20"/>
      <c r="L395" s="20"/>
      <c r="M395" s="21"/>
      <c r="N395" s="21"/>
      <c r="O395" s="20"/>
      <c r="P395" s="20"/>
      <c r="Q395" s="21"/>
    </row>
    <row r="396" spans="1:17" ht="14.25" customHeight="1" x14ac:dyDescent="0.25">
      <c r="A396" s="20"/>
      <c r="B396" s="20"/>
      <c r="C396" s="20"/>
      <c r="D396" s="21"/>
      <c r="E396" s="21"/>
      <c r="F396" s="21"/>
      <c r="G396" s="21"/>
      <c r="H396" s="21"/>
      <c r="I396" s="20"/>
      <c r="J396" s="20"/>
      <c r="K396" s="20"/>
      <c r="L396" s="20"/>
      <c r="M396" s="21"/>
      <c r="N396" s="21"/>
      <c r="O396" s="20"/>
      <c r="P396" s="20"/>
      <c r="Q396" s="21"/>
    </row>
    <row r="397" spans="1:17" ht="14.25" customHeight="1" x14ac:dyDescent="0.25">
      <c r="A397" s="20"/>
      <c r="B397" s="20"/>
      <c r="C397" s="20"/>
      <c r="D397" s="21"/>
      <c r="E397" s="21"/>
      <c r="F397" s="21"/>
      <c r="G397" s="21"/>
      <c r="H397" s="21"/>
      <c r="I397" s="20"/>
      <c r="J397" s="20"/>
      <c r="K397" s="20"/>
      <c r="L397" s="20"/>
      <c r="M397" s="21"/>
      <c r="N397" s="21"/>
      <c r="O397" s="20"/>
      <c r="P397" s="20"/>
      <c r="Q397" s="21"/>
    </row>
    <row r="398" spans="1:17" ht="14.25" customHeight="1" x14ac:dyDescent="0.25">
      <c r="A398" s="20"/>
      <c r="B398" s="20"/>
      <c r="C398" s="20"/>
      <c r="D398" s="21"/>
      <c r="E398" s="21"/>
      <c r="F398" s="21"/>
      <c r="G398" s="21"/>
      <c r="H398" s="21"/>
      <c r="I398" s="20"/>
      <c r="J398" s="20"/>
      <c r="K398" s="20"/>
      <c r="L398" s="20"/>
      <c r="M398" s="21"/>
      <c r="N398" s="21"/>
      <c r="O398" s="20"/>
      <c r="P398" s="20"/>
      <c r="Q398" s="21"/>
    </row>
    <row r="399" spans="1:17" ht="14.25" customHeight="1" x14ac:dyDescent="0.25">
      <c r="A399" s="20"/>
      <c r="B399" s="20"/>
      <c r="C399" s="20"/>
      <c r="D399" s="21"/>
      <c r="E399" s="21"/>
      <c r="F399" s="21"/>
      <c r="G399" s="21"/>
      <c r="H399" s="21"/>
      <c r="I399" s="20"/>
      <c r="J399" s="20"/>
      <c r="K399" s="20"/>
      <c r="L399" s="20"/>
      <c r="M399" s="21"/>
      <c r="N399" s="21"/>
      <c r="O399" s="20"/>
      <c r="P399" s="20"/>
      <c r="Q399" s="21"/>
    </row>
    <row r="400" spans="1:17" ht="14.25" customHeight="1" x14ac:dyDescent="0.25">
      <c r="A400" s="20"/>
      <c r="B400" s="20"/>
      <c r="C400" s="20"/>
      <c r="D400" s="21"/>
      <c r="E400" s="21"/>
      <c r="F400" s="21"/>
      <c r="G400" s="21"/>
      <c r="H400" s="21"/>
      <c r="I400" s="20"/>
      <c r="J400" s="20"/>
      <c r="K400" s="20"/>
      <c r="L400" s="20"/>
      <c r="M400" s="21"/>
      <c r="N400" s="21"/>
      <c r="O400" s="20"/>
      <c r="P400" s="20"/>
      <c r="Q400" s="21"/>
    </row>
    <row r="401" spans="1:17" ht="14.25" customHeight="1" x14ac:dyDescent="0.25">
      <c r="A401" s="20"/>
      <c r="B401" s="20"/>
      <c r="C401" s="20"/>
      <c r="D401" s="21"/>
      <c r="E401" s="21"/>
      <c r="F401" s="21"/>
      <c r="G401" s="21"/>
      <c r="H401" s="21"/>
      <c r="I401" s="20"/>
      <c r="J401" s="20"/>
      <c r="K401" s="20"/>
      <c r="L401" s="20"/>
      <c r="M401" s="21"/>
      <c r="N401" s="21"/>
      <c r="O401" s="20"/>
      <c r="P401" s="20"/>
      <c r="Q401" s="21"/>
    </row>
    <row r="402" spans="1:17" ht="14.25" customHeight="1" x14ac:dyDescent="0.25">
      <c r="A402" s="20"/>
      <c r="B402" s="20"/>
      <c r="C402" s="20"/>
      <c r="D402" s="21"/>
      <c r="E402" s="21"/>
      <c r="F402" s="21"/>
      <c r="G402" s="21"/>
      <c r="H402" s="21"/>
      <c r="I402" s="20"/>
      <c r="J402" s="20"/>
      <c r="K402" s="20"/>
      <c r="L402" s="20"/>
      <c r="M402" s="21"/>
      <c r="N402" s="21"/>
      <c r="O402" s="20"/>
      <c r="P402" s="20"/>
      <c r="Q402" s="21"/>
    </row>
    <row r="403" spans="1:17" ht="14.25" customHeight="1" x14ac:dyDescent="0.25">
      <c r="A403" s="20"/>
      <c r="B403" s="20"/>
      <c r="C403" s="20"/>
      <c r="D403" s="21"/>
      <c r="E403" s="21"/>
      <c r="F403" s="21"/>
      <c r="G403" s="21"/>
      <c r="H403" s="21"/>
      <c r="I403" s="20"/>
      <c r="J403" s="20"/>
      <c r="K403" s="20"/>
      <c r="L403" s="20"/>
      <c r="M403" s="21"/>
      <c r="N403" s="21"/>
      <c r="O403" s="20"/>
      <c r="P403" s="20"/>
      <c r="Q403" s="21"/>
    </row>
    <row r="404" spans="1:17" ht="14.25" customHeight="1" x14ac:dyDescent="0.25">
      <c r="A404" s="20"/>
      <c r="B404" s="20"/>
      <c r="C404" s="20"/>
      <c r="D404" s="21"/>
      <c r="E404" s="21"/>
      <c r="F404" s="21"/>
      <c r="G404" s="21"/>
      <c r="H404" s="21"/>
      <c r="I404" s="20"/>
      <c r="J404" s="20"/>
      <c r="K404" s="20"/>
      <c r="L404" s="20"/>
      <c r="M404" s="21"/>
      <c r="N404" s="21"/>
      <c r="O404" s="20"/>
      <c r="P404" s="20"/>
      <c r="Q404" s="21"/>
    </row>
    <row r="405" spans="1:17" ht="14.25" customHeight="1" x14ac:dyDescent="0.25">
      <c r="A405" s="20"/>
      <c r="B405" s="20"/>
      <c r="C405" s="20"/>
      <c r="D405" s="21"/>
      <c r="E405" s="21"/>
      <c r="F405" s="21"/>
      <c r="G405" s="21"/>
      <c r="H405" s="21"/>
      <c r="I405" s="20"/>
      <c r="J405" s="20"/>
      <c r="K405" s="20"/>
      <c r="L405" s="20"/>
      <c r="M405" s="21"/>
      <c r="N405" s="21"/>
      <c r="O405" s="20"/>
      <c r="P405" s="20"/>
      <c r="Q405" s="21"/>
    </row>
    <row r="406" spans="1:17" ht="14.25" customHeight="1" x14ac:dyDescent="0.25">
      <c r="A406" s="20"/>
      <c r="B406" s="20"/>
      <c r="C406" s="20"/>
      <c r="D406" s="21"/>
      <c r="E406" s="21"/>
      <c r="F406" s="21"/>
      <c r="G406" s="21"/>
      <c r="H406" s="21"/>
      <c r="I406" s="20"/>
      <c r="J406" s="20"/>
      <c r="K406" s="20"/>
      <c r="L406" s="20"/>
      <c r="M406" s="21"/>
      <c r="N406" s="21"/>
      <c r="O406" s="20"/>
      <c r="P406" s="20"/>
      <c r="Q406" s="21"/>
    </row>
    <row r="407" spans="1:17" ht="14.25" customHeight="1" x14ac:dyDescent="0.25">
      <c r="A407" s="20"/>
      <c r="B407" s="20"/>
      <c r="C407" s="20"/>
      <c r="D407" s="21"/>
      <c r="E407" s="21"/>
      <c r="F407" s="21"/>
      <c r="G407" s="21"/>
      <c r="H407" s="21"/>
      <c r="I407" s="20"/>
      <c r="J407" s="20"/>
      <c r="K407" s="20"/>
      <c r="L407" s="20"/>
      <c r="M407" s="21"/>
      <c r="N407" s="21"/>
      <c r="O407" s="20"/>
      <c r="P407" s="20"/>
      <c r="Q407" s="21"/>
    </row>
    <row r="408" spans="1:17" ht="14.25" customHeight="1" x14ac:dyDescent="0.25">
      <c r="A408" s="20"/>
      <c r="B408" s="20"/>
      <c r="C408" s="20"/>
      <c r="D408" s="21"/>
      <c r="E408" s="21"/>
      <c r="F408" s="21"/>
      <c r="G408" s="21"/>
      <c r="H408" s="21"/>
      <c r="I408" s="20"/>
      <c r="J408" s="20"/>
      <c r="K408" s="20"/>
      <c r="L408" s="20"/>
      <c r="M408" s="21"/>
      <c r="N408" s="21"/>
      <c r="O408" s="20"/>
      <c r="P408" s="20"/>
      <c r="Q408" s="21"/>
    </row>
    <row r="409" spans="1:17" ht="14.25" customHeight="1" x14ac:dyDescent="0.25">
      <c r="A409" s="20"/>
      <c r="B409" s="20"/>
      <c r="C409" s="20"/>
      <c r="D409" s="21"/>
      <c r="E409" s="21"/>
      <c r="F409" s="21"/>
      <c r="G409" s="21"/>
      <c r="H409" s="21"/>
      <c r="I409" s="20"/>
      <c r="J409" s="20"/>
      <c r="K409" s="20"/>
      <c r="L409" s="20"/>
      <c r="M409" s="21"/>
      <c r="N409" s="21"/>
      <c r="O409" s="20"/>
      <c r="P409" s="20"/>
      <c r="Q409" s="21"/>
    </row>
    <row r="410" spans="1:17" ht="14.25" customHeight="1" x14ac:dyDescent="0.25">
      <c r="A410" s="20"/>
      <c r="B410" s="20"/>
      <c r="C410" s="20"/>
      <c r="D410" s="21"/>
      <c r="E410" s="21"/>
      <c r="F410" s="21"/>
      <c r="G410" s="21"/>
      <c r="H410" s="21"/>
      <c r="I410" s="20"/>
      <c r="J410" s="20"/>
      <c r="K410" s="20"/>
      <c r="L410" s="20"/>
      <c r="M410" s="21"/>
      <c r="N410" s="21"/>
      <c r="O410" s="20"/>
      <c r="P410" s="20"/>
      <c r="Q410" s="21"/>
    </row>
    <row r="411" spans="1:17" ht="14.25" customHeight="1" x14ac:dyDescent="0.25">
      <c r="A411" s="20"/>
      <c r="B411" s="20"/>
      <c r="C411" s="20"/>
      <c r="D411" s="21"/>
      <c r="E411" s="21"/>
      <c r="F411" s="21"/>
      <c r="G411" s="21"/>
      <c r="H411" s="21"/>
      <c r="I411" s="20"/>
      <c r="J411" s="20"/>
      <c r="K411" s="20"/>
      <c r="L411" s="20"/>
      <c r="M411" s="21"/>
      <c r="N411" s="21"/>
      <c r="O411" s="20"/>
      <c r="P411" s="20"/>
      <c r="Q411" s="21"/>
    </row>
    <row r="412" spans="1:17" ht="14.25" customHeight="1" x14ac:dyDescent="0.25">
      <c r="A412" s="20"/>
      <c r="B412" s="20"/>
      <c r="C412" s="20"/>
      <c r="D412" s="21"/>
      <c r="E412" s="21"/>
      <c r="F412" s="21"/>
      <c r="G412" s="21"/>
      <c r="H412" s="21"/>
      <c r="I412" s="20"/>
      <c r="J412" s="20"/>
      <c r="K412" s="20"/>
      <c r="L412" s="20"/>
      <c r="M412" s="21"/>
      <c r="N412" s="21"/>
      <c r="O412" s="20"/>
      <c r="P412" s="20"/>
      <c r="Q412" s="21"/>
    </row>
    <row r="413" spans="1:17" ht="14.25" customHeight="1" x14ac:dyDescent="0.25">
      <c r="A413" s="20"/>
      <c r="B413" s="20"/>
      <c r="C413" s="20"/>
      <c r="D413" s="21"/>
      <c r="E413" s="21"/>
      <c r="F413" s="21"/>
      <c r="G413" s="21"/>
      <c r="H413" s="21"/>
      <c r="I413" s="20"/>
      <c r="J413" s="20"/>
      <c r="K413" s="20"/>
      <c r="L413" s="20"/>
      <c r="M413" s="21"/>
      <c r="N413" s="21"/>
      <c r="O413" s="20"/>
      <c r="P413" s="20"/>
      <c r="Q413" s="21"/>
    </row>
    <row r="414" spans="1:17" ht="14.25" customHeight="1" x14ac:dyDescent="0.25">
      <c r="A414" s="20"/>
      <c r="B414" s="20"/>
      <c r="C414" s="20"/>
      <c r="D414" s="21"/>
      <c r="E414" s="21"/>
      <c r="F414" s="21"/>
      <c r="G414" s="21"/>
      <c r="H414" s="21"/>
      <c r="I414" s="20"/>
      <c r="J414" s="20"/>
      <c r="K414" s="20"/>
      <c r="L414" s="20"/>
      <c r="M414" s="21"/>
      <c r="N414" s="21"/>
      <c r="O414" s="20"/>
      <c r="P414" s="20"/>
      <c r="Q414" s="21"/>
    </row>
    <row r="415" spans="1:17" ht="14.25" customHeight="1" x14ac:dyDescent="0.25">
      <c r="A415" s="20"/>
      <c r="B415" s="20"/>
      <c r="C415" s="20"/>
      <c r="D415" s="21"/>
      <c r="E415" s="21"/>
      <c r="F415" s="21"/>
      <c r="G415" s="21"/>
      <c r="H415" s="21"/>
      <c r="I415" s="20"/>
      <c r="J415" s="20"/>
      <c r="K415" s="20"/>
      <c r="L415" s="20"/>
      <c r="M415" s="21"/>
      <c r="N415" s="21"/>
      <c r="O415" s="20"/>
      <c r="P415" s="20"/>
      <c r="Q415" s="21"/>
    </row>
    <row r="416" spans="1:17" ht="14.25" customHeight="1" x14ac:dyDescent="0.25">
      <c r="A416" s="20"/>
      <c r="B416" s="20"/>
      <c r="C416" s="20"/>
      <c r="D416" s="21"/>
      <c r="E416" s="21"/>
      <c r="F416" s="21"/>
      <c r="G416" s="21"/>
      <c r="H416" s="21"/>
      <c r="I416" s="20"/>
      <c r="J416" s="20"/>
      <c r="K416" s="20"/>
      <c r="L416" s="20"/>
      <c r="M416" s="21"/>
      <c r="N416" s="21"/>
      <c r="O416" s="20"/>
      <c r="P416" s="20"/>
      <c r="Q416" s="21"/>
    </row>
    <row r="417" spans="1:17" ht="14.25" customHeight="1" x14ac:dyDescent="0.25">
      <c r="A417" s="20"/>
      <c r="B417" s="20"/>
      <c r="C417" s="20"/>
      <c r="D417" s="21"/>
      <c r="E417" s="21"/>
      <c r="F417" s="21"/>
      <c r="G417" s="21"/>
      <c r="H417" s="21"/>
      <c r="I417" s="20"/>
      <c r="J417" s="20"/>
      <c r="K417" s="20"/>
      <c r="L417" s="20"/>
      <c r="M417" s="21"/>
      <c r="N417" s="21"/>
      <c r="O417" s="20"/>
      <c r="P417" s="20"/>
      <c r="Q417" s="21"/>
    </row>
    <row r="418" spans="1:17" ht="14.25" customHeight="1" x14ac:dyDescent="0.25">
      <c r="A418" s="20"/>
      <c r="B418" s="20"/>
      <c r="C418" s="20"/>
      <c r="D418" s="21"/>
      <c r="E418" s="21"/>
      <c r="F418" s="21"/>
      <c r="G418" s="21"/>
      <c r="H418" s="21"/>
      <c r="I418" s="20"/>
      <c r="J418" s="20"/>
      <c r="K418" s="20"/>
      <c r="L418" s="20"/>
      <c r="M418" s="21"/>
      <c r="N418" s="21"/>
      <c r="O418" s="20"/>
      <c r="P418" s="20"/>
      <c r="Q418" s="21"/>
    </row>
    <row r="419" spans="1:17" ht="14.25" customHeight="1" x14ac:dyDescent="0.25">
      <c r="A419" s="20"/>
      <c r="B419" s="20"/>
      <c r="C419" s="20"/>
      <c r="D419" s="21"/>
      <c r="E419" s="21"/>
      <c r="F419" s="21"/>
      <c r="G419" s="21"/>
      <c r="H419" s="21"/>
      <c r="I419" s="20"/>
      <c r="J419" s="20"/>
      <c r="K419" s="20"/>
      <c r="L419" s="20"/>
      <c r="M419" s="21"/>
      <c r="N419" s="21"/>
      <c r="O419" s="20"/>
      <c r="P419" s="20"/>
      <c r="Q419" s="21"/>
    </row>
    <row r="420" spans="1:17" ht="14.25" customHeight="1" x14ac:dyDescent="0.25">
      <c r="A420" s="20"/>
      <c r="B420" s="20"/>
      <c r="C420" s="20"/>
      <c r="D420" s="21"/>
      <c r="E420" s="21"/>
      <c r="F420" s="21"/>
      <c r="G420" s="21"/>
      <c r="H420" s="21"/>
      <c r="I420" s="20"/>
      <c r="J420" s="20"/>
      <c r="K420" s="20"/>
      <c r="L420" s="20"/>
      <c r="M420" s="21"/>
      <c r="N420" s="21"/>
      <c r="O420" s="20"/>
      <c r="P420" s="20"/>
      <c r="Q420" s="21"/>
    </row>
    <row r="421" spans="1:17" ht="14.25" customHeight="1" x14ac:dyDescent="0.25">
      <c r="A421" s="20"/>
      <c r="B421" s="20"/>
      <c r="C421" s="20"/>
      <c r="D421" s="21"/>
      <c r="E421" s="21"/>
      <c r="F421" s="21"/>
      <c r="G421" s="21"/>
      <c r="H421" s="21"/>
      <c r="I421" s="20"/>
      <c r="J421" s="20"/>
      <c r="K421" s="20"/>
      <c r="L421" s="20"/>
      <c r="M421" s="21"/>
      <c r="N421" s="21"/>
      <c r="O421" s="20"/>
      <c r="P421" s="20"/>
      <c r="Q421" s="21"/>
    </row>
    <row r="422" spans="1:17" ht="14.25" customHeight="1" x14ac:dyDescent="0.25">
      <c r="A422" s="20"/>
      <c r="B422" s="20"/>
      <c r="C422" s="20"/>
      <c r="D422" s="21"/>
      <c r="E422" s="21"/>
      <c r="F422" s="21"/>
      <c r="G422" s="21"/>
      <c r="H422" s="21"/>
      <c r="I422" s="20"/>
      <c r="J422" s="20"/>
      <c r="K422" s="20"/>
      <c r="L422" s="20"/>
      <c r="M422" s="21"/>
      <c r="N422" s="21"/>
      <c r="O422" s="20"/>
      <c r="P422" s="20"/>
      <c r="Q422" s="21"/>
    </row>
    <row r="423" spans="1:17" ht="14.25" customHeight="1" x14ac:dyDescent="0.25">
      <c r="A423" s="20"/>
      <c r="B423" s="20"/>
      <c r="C423" s="20"/>
      <c r="D423" s="21"/>
      <c r="E423" s="21"/>
      <c r="F423" s="21"/>
      <c r="G423" s="21"/>
      <c r="H423" s="21"/>
      <c r="I423" s="20"/>
      <c r="J423" s="20"/>
      <c r="K423" s="20"/>
      <c r="L423" s="20"/>
      <c r="M423" s="21"/>
      <c r="N423" s="21"/>
      <c r="O423" s="20"/>
      <c r="P423" s="20"/>
      <c r="Q423" s="21"/>
    </row>
    <row r="424" spans="1:17" ht="14.25" customHeight="1" x14ac:dyDescent="0.25">
      <c r="A424" s="20"/>
      <c r="B424" s="20"/>
      <c r="C424" s="20"/>
      <c r="D424" s="21"/>
      <c r="E424" s="21"/>
      <c r="F424" s="21"/>
      <c r="G424" s="21"/>
      <c r="H424" s="21"/>
      <c r="I424" s="20"/>
      <c r="J424" s="20"/>
      <c r="K424" s="20"/>
      <c r="L424" s="20"/>
      <c r="M424" s="21"/>
      <c r="N424" s="21"/>
      <c r="O424" s="20"/>
      <c r="P424" s="20"/>
      <c r="Q424" s="21"/>
    </row>
    <row r="425" spans="1:17" ht="14.25" customHeight="1" x14ac:dyDescent="0.25">
      <c r="A425" s="20"/>
      <c r="B425" s="20"/>
      <c r="C425" s="20"/>
      <c r="D425" s="21"/>
      <c r="E425" s="21"/>
      <c r="F425" s="21"/>
      <c r="G425" s="21"/>
      <c r="H425" s="21"/>
      <c r="I425" s="20"/>
      <c r="J425" s="20"/>
      <c r="K425" s="20"/>
      <c r="L425" s="20"/>
      <c r="M425" s="21"/>
      <c r="N425" s="21"/>
      <c r="O425" s="20"/>
      <c r="P425" s="20"/>
      <c r="Q425" s="21"/>
    </row>
    <row r="426" spans="1:17" ht="14.25" customHeight="1" x14ac:dyDescent="0.25">
      <c r="A426" s="20"/>
      <c r="B426" s="20"/>
      <c r="C426" s="20"/>
      <c r="D426" s="21"/>
      <c r="E426" s="21"/>
      <c r="F426" s="21"/>
      <c r="G426" s="21"/>
      <c r="H426" s="21"/>
      <c r="I426" s="20"/>
      <c r="J426" s="20"/>
      <c r="K426" s="20"/>
      <c r="L426" s="20"/>
      <c r="M426" s="21"/>
      <c r="N426" s="21"/>
      <c r="O426" s="20"/>
      <c r="P426" s="20"/>
      <c r="Q426" s="21"/>
    </row>
    <row r="427" spans="1:17" ht="14.25" customHeight="1" x14ac:dyDescent="0.25">
      <c r="A427" s="20"/>
      <c r="B427" s="20"/>
      <c r="C427" s="20"/>
      <c r="D427" s="21"/>
      <c r="E427" s="21"/>
      <c r="F427" s="21"/>
      <c r="G427" s="21"/>
      <c r="H427" s="21"/>
      <c r="I427" s="20"/>
      <c r="J427" s="20"/>
      <c r="K427" s="20"/>
      <c r="L427" s="20"/>
      <c r="M427" s="21"/>
      <c r="N427" s="21"/>
      <c r="O427" s="20"/>
      <c r="P427" s="20"/>
      <c r="Q427" s="21"/>
    </row>
    <row r="428" spans="1:17" ht="14.25" customHeight="1" x14ac:dyDescent="0.25">
      <c r="A428" s="20"/>
      <c r="B428" s="20"/>
      <c r="C428" s="20"/>
      <c r="D428" s="21"/>
      <c r="E428" s="21"/>
      <c r="F428" s="21"/>
      <c r="G428" s="21"/>
      <c r="H428" s="21"/>
      <c r="I428" s="20"/>
      <c r="J428" s="20"/>
      <c r="K428" s="20"/>
      <c r="L428" s="20"/>
      <c r="M428" s="21"/>
      <c r="N428" s="21"/>
      <c r="O428" s="20"/>
      <c r="P428" s="20"/>
      <c r="Q428" s="21"/>
    </row>
    <row r="429" spans="1:17" ht="14.25" customHeight="1" x14ac:dyDescent="0.25">
      <c r="A429" s="20"/>
      <c r="B429" s="20"/>
      <c r="C429" s="20"/>
      <c r="D429" s="21"/>
      <c r="E429" s="21"/>
      <c r="F429" s="21"/>
      <c r="G429" s="21"/>
      <c r="H429" s="21"/>
      <c r="I429" s="20"/>
      <c r="J429" s="20"/>
      <c r="K429" s="20"/>
      <c r="L429" s="20"/>
      <c r="M429" s="21"/>
      <c r="N429" s="21"/>
      <c r="O429" s="20"/>
      <c r="P429" s="20"/>
      <c r="Q429" s="21"/>
    </row>
    <row r="430" spans="1:17" ht="14.25" customHeight="1" x14ac:dyDescent="0.25">
      <c r="A430" s="20"/>
      <c r="B430" s="20"/>
      <c r="C430" s="20"/>
      <c r="D430" s="21"/>
      <c r="E430" s="21"/>
      <c r="F430" s="21"/>
      <c r="G430" s="21"/>
      <c r="H430" s="21"/>
      <c r="I430" s="20"/>
      <c r="J430" s="20"/>
      <c r="K430" s="20"/>
      <c r="L430" s="20"/>
      <c r="M430" s="21"/>
      <c r="N430" s="21"/>
      <c r="O430" s="20"/>
      <c r="P430" s="20"/>
      <c r="Q430" s="21"/>
    </row>
    <row r="431" spans="1:17" ht="14.25" customHeight="1" x14ac:dyDescent="0.25">
      <c r="A431" s="20"/>
      <c r="B431" s="20"/>
      <c r="C431" s="20"/>
      <c r="D431" s="21"/>
      <c r="E431" s="21"/>
      <c r="F431" s="21"/>
      <c r="G431" s="21"/>
      <c r="H431" s="21"/>
      <c r="I431" s="20"/>
      <c r="J431" s="20"/>
      <c r="K431" s="20"/>
      <c r="L431" s="20"/>
      <c r="M431" s="21"/>
      <c r="N431" s="21"/>
      <c r="O431" s="20"/>
      <c r="P431" s="20"/>
      <c r="Q431" s="21"/>
    </row>
    <row r="432" spans="1:17" ht="14.25" customHeight="1" x14ac:dyDescent="0.25">
      <c r="A432" s="20"/>
      <c r="B432" s="20"/>
      <c r="C432" s="20"/>
      <c r="D432" s="21"/>
      <c r="E432" s="21"/>
      <c r="F432" s="21"/>
      <c r="G432" s="21"/>
      <c r="H432" s="21"/>
      <c r="I432" s="20"/>
      <c r="J432" s="20"/>
      <c r="K432" s="20"/>
      <c r="L432" s="20"/>
      <c r="M432" s="21"/>
      <c r="N432" s="21"/>
      <c r="O432" s="20"/>
      <c r="P432" s="20"/>
      <c r="Q432" s="21"/>
    </row>
    <row r="433" spans="1:17" ht="14.25" customHeight="1" x14ac:dyDescent="0.25">
      <c r="A433" s="20"/>
      <c r="B433" s="20"/>
      <c r="C433" s="20"/>
      <c r="D433" s="21"/>
      <c r="E433" s="21"/>
      <c r="F433" s="21"/>
      <c r="G433" s="21"/>
      <c r="H433" s="21"/>
      <c r="I433" s="20"/>
      <c r="J433" s="20"/>
      <c r="K433" s="20"/>
      <c r="L433" s="20"/>
      <c r="M433" s="21"/>
      <c r="N433" s="21"/>
      <c r="O433" s="20"/>
      <c r="P433" s="20"/>
      <c r="Q433" s="21"/>
    </row>
    <row r="434" spans="1:17" ht="14.25" customHeight="1" x14ac:dyDescent="0.25">
      <c r="A434" s="20"/>
      <c r="B434" s="20"/>
      <c r="C434" s="20"/>
      <c r="D434" s="21"/>
      <c r="E434" s="21"/>
      <c r="F434" s="21"/>
      <c r="G434" s="21"/>
      <c r="H434" s="21"/>
      <c r="I434" s="20"/>
      <c r="J434" s="20"/>
      <c r="K434" s="20"/>
      <c r="L434" s="20"/>
      <c r="M434" s="21"/>
      <c r="N434" s="21"/>
      <c r="O434" s="20"/>
      <c r="P434" s="20"/>
      <c r="Q434" s="21"/>
    </row>
    <row r="435" spans="1:17" ht="14.25" customHeight="1" x14ac:dyDescent="0.25">
      <c r="A435" s="20"/>
      <c r="B435" s="20"/>
      <c r="C435" s="20"/>
      <c r="D435" s="21"/>
      <c r="E435" s="21"/>
      <c r="F435" s="21"/>
      <c r="G435" s="21"/>
      <c r="H435" s="21"/>
      <c r="I435" s="20"/>
      <c r="J435" s="20"/>
      <c r="K435" s="20"/>
      <c r="L435" s="20"/>
      <c r="M435" s="21"/>
      <c r="N435" s="21"/>
      <c r="O435" s="20"/>
      <c r="P435" s="20"/>
      <c r="Q435" s="21"/>
    </row>
    <row r="436" spans="1:17" ht="14.25" customHeight="1" x14ac:dyDescent="0.25">
      <c r="A436" s="20"/>
      <c r="B436" s="20"/>
      <c r="C436" s="20"/>
      <c r="D436" s="21"/>
      <c r="E436" s="21"/>
      <c r="F436" s="21"/>
      <c r="G436" s="21"/>
      <c r="H436" s="21"/>
      <c r="I436" s="20"/>
      <c r="J436" s="20"/>
      <c r="K436" s="20"/>
      <c r="L436" s="20"/>
      <c r="M436" s="21"/>
      <c r="N436" s="21"/>
      <c r="O436" s="20"/>
      <c r="P436" s="20"/>
      <c r="Q436" s="21"/>
    </row>
    <row r="437" spans="1:17" ht="14.25" customHeight="1" x14ac:dyDescent="0.25">
      <c r="A437" s="20"/>
      <c r="B437" s="20"/>
      <c r="C437" s="20"/>
      <c r="D437" s="21"/>
      <c r="E437" s="21"/>
      <c r="F437" s="21"/>
      <c r="G437" s="21"/>
      <c r="H437" s="21"/>
      <c r="I437" s="20"/>
      <c r="J437" s="20"/>
      <c r="K437" s="20"/>
      <c r="L437" s="20"/>
      <c r="M437" s="21"/>
      <c r="N437" s="21"/>
      <c r="O437" s="20"/>
      <c r="P437" s="20"/>
      <c r="Q437" s="21"/>
    </row>
    <row r="438" spans="1:17" ht="14.25" customHeight="1" x14ac:dyDescent="0.25">
      <c r="A438" s="20"/>
      <c r="B438" s="20"/>
      <c r="C438" s="20"/>
      <c r="D438" s="21"/>
      <c r="E438" s="21"/>
      <c r="F438" s="21"/>
      <c r="G438" s="21"/>
      <c r="H438" s="21"/>
      <c r="I438" s="20"/>
      <c r="J438" s="20"/>
      <c r="K438" s="20"/>
      <c r="L438" s="20"/>
      <c r="M438" s="21"/>
      <c r="N438" s="21"/>
      <c r="O438" s="20"/>
      <c r="P438" s="20"/>
      <c r="Q438" s="21"/>
    </row>
    <row r="439" spans="1:17" ht="14.25" customHeight="1" x14ac:dyDescent="0.25">
      <c r="A439" s="20"/>
      <c r="B439" s="20"/>
      <c r="C439" s="20"/>
      <c r="D439" s="21"/>
      <c r="E439" s="21"/>
      <c r="F439" s="21"/>
      <c r="G439" s="21"/>
      <c r="H439" s="21"/>
      <c r="I439" s="20"/>
      <c r="J439" s="20"/>
      <c r="K439" s="20"/>
      <c r="L439" s="20"/>
      <c r="M439" s="21"/>
      <c r="N439" s="21"/>
      <c r="O439" s="20"/>
      <c r="P439" s="20"/>
      <c r="Q439" s="21"/>
    </row>
    <row r="440" spans="1:17" ht="14.25" customHeight="1" x14ac:dyDescent="0.25">
      <c r="A440" s="20"/>
      <c r="B440" s="20"/>
      <c r="C440" s="20"/>
      <c r="D440" s="21"/>
      <c r="E440" s="21"/>
      <c r="F440" s="21"/>
      <c r="G440" s="21"/>
      <c r="H440" s="21"/>
      <c r="I440" s="20"/>
      <c r="J440" s="20"/>
      <c r="K440" s="20"/>
      <c r="L440" s="20"/>
      <c r="M440" s="21"/>
      <c r="N440" s="21"/>
      <c r="O440" s="20"/>
      <c r="P440" s="20"/>
      <c r="Q440" s="21"/>
    </row>
    <row r="441" spans="1:17" ht="14.25" customHeight="1" x14ac:dyDescent="0.25">
      <c r="A441" s="20"/>
      <c r="B441" s="20"/>
      <c r="C441" s="20"/>
      <c r="D441" s="21"/>
      <c r="E441" s="21"/>
      <c r="F441" s="21"/>
      <c r="G441" s="21"/>
      <c r="H441" s="21"/>
      <c r="I441" s="20"/>
      <c r="J441" s="20"/>
      <c r="K441" s="20"/>
      <c r="L441" s="20"/>
      <c r="M441" s="21"/>
      <c r="N441" s="21"/>
      <c r="O441" s="20"/>
      <c r="P441" s="20"/>
      <c r="Q441" s="21"/>
    </row>
    <row r="442" spans="1:17" ht="14.25" customHeight="1" x14ac:dyDescent="0.25">
      <c r="A442" s="20"/>
      <c r="B442" s="20"/>
      <c r="C442" s="20"/>
      <c r="D442" s="21"/>
      <c r="E442" s="21"/>
      <c r="F442" s="21"/>
      <c r="G442" s="21"/>
      <c r="H442" s="21"/>
      <c r="I442" s="20"/>
      <c r="J442" s="20"/>
      <c r="K442" s="20"/>
      <c r="L442" s="20"/>
      <c r="M442" s="21"/>
      <c r="N442" s="21"/>
      <c r="O442" s="20"/>
      <c r="P442" s="20"/>
      <c r="Q442" s="21"/>
    </row>
  </sheetData>
  <autoFilter ref="A7:AI241" xr:uid="{11EDAB9D-D4E1-484F-984E-C23E0F5BA036}">
    <sortState xmlns:xlrd2="http://schemas.microsoft.com/office/spreadsheetml/2017/richdata2" ref="A8:AI169">
      <sortCondition ref="J7:J155"/>
    </sortState>
  </autoFilter>
  <sortState xmlns:xlrd2="http://schemas.microsoft.com/office/spreadsheetml/2017/richdata2" ref="A8:Q241">
    <sortCondition ref="B8:B241"/>
    <sortCondition ref="C8:C241"/>
    <sortCondition ref="D8:D241"/>
    <sortCondition ref="A8:A241"/>
  </sortState>
  <phoneticPr fontId="0" type="noConversion"/>
  <hyperlinks>
    <hyperlink ref="I135" r:id="rId1" display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xr:uid="{D12CC89D-D1C4-46C6-A666-09D692238F70}"/>
  </hyperlinks>
  <pageMargins left="0.35433070866141736" right="0.35433070866141736" top="0.55118110236220474" bottom="0.59055118110236227" header="0.51181102362204722" footer="0.19685039370078741"/>
  <pageSetup paperSize="9" scale="91" fitToHeight="11" orientation="landscape" r:id="rId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2017-07-19T17:39:32Z</cp:lastPrinted>
  <dcterms:created xsi:type="dcterms:W3CDTF">2003-01-08T15:13:21Z</dcterms:created>
  <dcterms:modified xsi:type="dcterms:W3CDTF">2026-09-22T18:38:13Z</dcterms:modified>
</cp:coreProperties>
</file>