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1516D85-B3EA-46FB-993A-F5EE9A81F697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<sst xmlns="http://schemas.openxmlformats.org/spreadsheetml/2006/main" count="2127" uniqueCount="963">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</sst>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107" activePane="bottomLeft" state="frozen"/>
      <selection pane="bottomLeft" activeCell="A230" sqref="A230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46</v>
      </c>
      <c r="F3" s="7">
        <f>+AD6</f>
        <v>52</v>
      </c>
      <c r="G3" s="7">
        <f>+AF6</f>
        <v>39</v>
      </c>
      <c r="H3" s="7">
        <f>+E3-G3</f>
        <v>7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137</v>
      </c>
      <c r="F4" s="9">
        <f>+AE6</f>
        <v>62</v>
      </c>
      <c r="G4" s="9">
        <f>+AG6</f>
        <v>45</v>
      </c>
      <c r="H4" s="7">
        <f>+E4-G4</f>
        <v>92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183</v>
      </c>
      <c r="F5" s="11">
        <f>+F3+F4</f>
        <v>114</v>
      </c>
      <c r="G5" s="11">
        <f>+G3+G4</f>
        <v>84</v>
      </c>
      <c r="H5" s="11">
        <f>+H3+H4</f>
        <v>99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62</v>
      </c>
      <c r="AF6" s="2">
        <f t="shared" si="1"/>
        <v>39</v>
      </c>
      <c r="AG6" s="2">
        <f t="shared" si="1"/>
        <v>45</v>
      </c>
      <c r="AH6" s="2">
        <f t="shared" si="1"/>
        <v>46</v>
      </c>
      <c r="AI6" s="2">
        <f t="shared" si="1"/>
        <v>137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897</v>
      </c>
      <c r="O23" s="36"/>
      <c r="P23" s="36"/>
      <c r="Q23" s="35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907</v>
      </c>
      <c r="N31" s="35" t="s">
        <v>911</v>
      </c>
      <c r="O31" s="36"/>
      <c r="P31" s="36"/>
      <c r="Q31" s="35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34">
        <v>0</v>
      </c>
      <c r="B53" s="34">
        <v>1</v>
      </c>
      <c r="C53" s="34">
        <v>3</v>
      </c>
      <c r="D53" s="35" t="s">
        <v>56</v>
      </c>
      <c r="E53" s="35" t="s">
        <v>259</v>
      </c>
      <c r="F53" s="35" t="s">
        <v>111</v>
      </c>
      <c r="G53" s="35" t="s">
        <v>112</v>
      </c>
      <c r="H53" s="35" t="s">
        <v>165</v>
      </c>
      <c r="I53" s="34" t="s">
        <v>175</v>
      </c>
      <c r="J53" s="34">
        <v>99</v>
      </c>
      <c r="K53" s="34" t="s">
        <v>326</v>
      </c>
      <c r="L53" s="34">
        <v>65</v>
      </c>
      <c r="M53" s="35" t="s">
        <v>738</v>
      </c>
      <c r="N53" s="35" t="s">
        <v>930</v>
      </c>
      <c r="O53" s="36"/>
      <c r="P53" s="36"/>
      <c r="Q53" s="35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912</v>
      </c>
      <c r="N54" s="21"/>
      <c r="O54" s="7"/>
      <c r="P54" s="7"/>
      <c r="Q54" s="21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1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4</v>
      </c>
      <c r="D55" s="32" t="s">
        <v>252</v>
      </c>
      <c r="E55" s="32" t="s">
        <v>234</v>
      </c>
      <c r="F55" s="32" t="s">
        <v>235</v>
      </c>
      <c r="G55" s="32" t="s">
        <v>109</v>
      </c>
      <c r="H55" s="32" t="s">
        <v>165</v>
      </c>
      <c r="I55" s="31" t="s">
        <v>236</v>
      </c>
      <c r="J55" s="31">
        <v>9</v>
      </c>
      <c r="K55" s="31" t="s">
        <v>332</v>
      </c>
      <c r="L55" s="31" t="s">
        <v>345</v>
      </c>
      <c r="M55" s="32" t="s">
        <v>783</v>
      </c>
      <c r="N55" s="32" t="s">
        <v>895</v>
      </c>
      <c r="O55" s="33">
        <v>1</v>
      </c>
      <c r="P55" s="33">
        <v>1</v>
      </c>
      <c r="Q55" s="32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0</v>
      </c>
      <c r="AA55" s="2">
        <f t="shared" si="27"/>
        <v>1</v>
      </c>
      <c r="AB55" s="2">
        <f t="shared" si="28"/>
        <v>0</v>
      </c>
      <c r="AD55" s="2">
        <f t="shared" si="29"/>
        <v>1</v>
      </c>
      <c r="AE55" s="2">
        <f t="shared" si="30"/>
        <v>0</v>
      </c>
      <c r="AF55" s="2">
        <f t="shared" si="3"/>
        <v>1</v>
      </c>
      <c r="AG55" s="2">
        <f t="shared" si="4"/>
        <v>0</v>
      </c>
      <c r="AH55" s="2">
        <f t="shared" si="5"/>
        <v>1</v>
      </c>
      <c r="AI55" s="2">
        <f t="shared" si="6"/>
        <v>0</v>
      </c>
    </row>
    <row r="56" spans="1:35" ht="14.25" customHeight="1" x14ac:dyDescent="0.25">
      <c r="A56" s="34">
        <v>0</v>
      </c>
      <c r="B56" s="34">
        <v>1</v>
      </c>
      <c r="C56" s="34">
        <v>4</v>
      </c>
      <c r="D56" s="35" t="s">
        <v>307</v>
      </c>
      <c r="E56" s="35" t="s">
        <v>29</v>
      </c>
      <c r="F56" s="35" t="s">
        <v>283</v>
      </c>
      <c r="G56" s="35" t="s">
        <v>284</v>
      </c>
      <c r="H56" s="35" t="s">
        <v>165</v>
      </c>
      <c r="I56" s="34" t="s">
        <v>285</v>
      </c>
      <c r="J56" s="34">
        <v>99</v>
      </c>
      <c r="K56" s="34" t="s">
        <v>378</v>
      </c>
      <c r="L56" s="34" t="s">
        <v>334</v>
      </c>
      <c r="M56" s="35" t="s">
        <v>266</v>
      </c>
      <c r="N56" s="35" t="s">
        <v>931</v>
      </c>
      <c r="O56" s="36"/>
      <c r="P56" s="36"/>
      <c r="Q56" s="35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0</v>
      </c>
      <c r="AB56" s="2">
        <f t="shared" si="28"/>
        <v>0</v>
      </c>
      <c r="AD56" s="2">
        <f t="shared" si="29"/>
        <v>0</v>
      </c>
      <c r="AE56" s="2">
        <f t="shared" si="30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714</v>
      </c>
      <c r="E57" s="21" t="s">
        <v>711</v>
      </c>
      <c r="F57" s="21" t="s">
        <v>710</v>
      </c>
      <c r="G57" s="21" t="s">
        <v>303</v>
      </c>
      <c r="H57" s="21" t="s">
        <v>165</v>
      </c>
      <c r="I57" s="20" t="s">
        <v>712</v>
      </c>
      <c r="J57" s="20">
        <v>99</v>
      </c>
      <c r="K57" s="20" t="s">
        <v>378</v>
      </c>
      <c r="L57" s="20">
        <v>55</v>
      </c>
      <c r="M57" s="21" t="s">
        <v>709</v>
      </c>
      <c r="N57" s="21"/>
      <c r="O57" s="7"/>
      <c r="P57" s="7"/>
      <c r="Q57" s="21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34">
        <v>0</v>
      </c>
      <c r="B58" s="34">
        <v>1</v>
      </c>
      <c r="C58" s="34">
        <v>5</v>
      </c>
      <c r="D58" s="35" t="s">
        <v>889</v>
      </c>
      <c r="E58" s="35" t="s">
        <v>892</v>
      </c>
      <c r="F58" s="35" t="s">
        <v>890</v>
      </c>
      <c r="G58" s="35" t="s">
        <v>403</v>
      </c>
      <c r="H58" s="35" t="s">
        <v>165</v>
      </c>
      <c r="I58" s="34" t="s">
        <v>891</v>
      </c>
      <c r="J58" s="34"/>
      <c r="K58" s="34" t="s">
        <v>378</v>
      </c>
      <c r="L58" s="34">
        <v>55</v>
      </c>
      <c r="M58" s="35" t="s">
        <v>893</v>
      </c>
      <c r="N58" s="35" t="s">
        <v>930</v>
      </c>
      <c r="O58" s="36"/>
      <c r="P58" s="36"/>
      <c r="Q58" s="35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874</v>
      </c>
      <c r="E59" s="32" t="s">
        <v>805</v>
      </c>
      <c r="F59" s="32" t="s">
        <v>875</v>
      </c>
      <c r="G59" s="32" t="s">
        <v>309</v>
      </c>
      <c r="H59" s="32" t="s">
        <v>165</v>
      </c>
      <c r="I59" s="31" t="s">
        <v>876</v>
      </c>
      <c r="J59" s="31"/>
      <c r="K59" s="31" t="s">
        <v>378</v>
      </c>
      <c r="L59" s="31">
        <v>50</v>
      </c>
      <c r="M59" s="32" t="s">
        <v>877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806</v>
      </c>
      <c r="E60" s="21" t="s">
        <v>805</v>
      </c>
      <c r="F60" s="21" t="s">
        <v>839</v>
      </c>
      <c r="G60" s="21" t="s">
        <v>93</v>
      </c>
      <c r="H60" s="21" t="s">
        <v>165</v>
      </c>
      <c r="I60" s="20" t="s">
        <v>853</v>
      </c>
      <c r="J60" s="20">
        <v>8</v>
      </c>
      <c r="K60" s="20" t="s">
        <v>332</v>
      </c>
      <c r="L60" s="20">
        <v>50</v>
      </c>
      <c r="M60" s="21" t="s">
        <v>877</v>
      </c>
      <c r="N60" s="21"/>
      <c r="O60" s="7"/>
      <c r="P60" s="7"/>
      <c r="Q60" s="21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1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31">
        <v>0</v>
      </c>
      <c r="B61" s="31">
        <v>1</v>
      </c>
      <c r="C61" s="31">
        <v>5</v>
      </c>
      <c r="D61" s="32" t="s">
        <v>871</v>
      </c>
      <c r="E61" s="32" t="s">
        <v>805</v>
      </c>
      <c r="F61" s="32" t="s">
        <v>872</v>
      </c>
      <c r="G61" s="32" t="s">
        <v>370</v>
      </c>
      <c r="H61" s="32" t="s">
        <v>165</v>
      </c>
      <c r="I61" s="31" t="s">
        <v>873</v>
      </c>
      <c r="J61" s="31"/>
      <c r="K61" s="31" t="s">
        <v>378</v>
      </c>
      <c r="L61" s="31">
        <v>45</v>
      </c>
      <c r="M61" s="32" t="s">
        <v>420</v>
      </c>
      <c r="N61" s="32" t="s">
        <v>895</v>
      </c>
      <c r="O61" s="33">
        <v>1</v>
      </c>
      <c r="P61" s="33">
        <v>1</v>
      </c>
      <c r="Q61" s="32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0</v>
      </c>
      <c r="AA61" s="2">
        <f t="shared" si="27"/>
        <v>0</v>
      </c>
      <c r="AB61" s="2">
        <f t="shared" si="28"/>
        <v>0</v>
      </c>
      <c r="AD61" s="2">
        <f t="shared" si="29"/>
        <v>1</v>
      </c>
      <c r="AE61" s="2">
        <f t="shared" si="30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57</v>
      </c>
      <c r="E62" s="32" t="s">
        <v>259</v>
      </c>
      <c r="F62" s="32" t="s">
        <v>113</v>
      </c>
      <c r="G62" s="32" t="s">
        <v>114</v>
      </c>
      <c r="H62" s="32" t="s">
        <v>165</v>
      </c>
      <c r="I62" s="31" t="s">
        <v>176</v>
      </c>
      <c r="J62" s="31">
        <v>99</v>
      </c>
      <c r="K62" s="31" t="s">
        <v>378</v>
      </c>
      <c r="L62" s="31">
        <v>30</v>
      </c>
      <c r="M62" s="32" t="s">
        <v>266</v>
      </c>
      <c r="N62" s="32" t="s">
        <v>914</v>
      </c>
      <c r="O62" s="33">
        <v>1</v>
      </c>
      <c r="P62" s="33"/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0</v>
      </c>
      <c r="AE62" s="2">
        <f t="shared" si="30"/>
        <v>1</v>
      </c>
      <c r="AF62" s="2">
        <f t="shared" si="3"/>
        <v>0</v>
      </c>
      <c r="AG62" s="2">
        <f t="shared" si="4"/>
        <v>1</v>
      </c>
      <c r="AH62" s="2">
        <f t="shared" si="5"/>
        <v>0</v>
      </c>
      <c r="AI62" s="2">
        <f t="shared" si="6"/>
        <v>1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358</v>
      </c>
      <c r="E63" s="32" t="s">
        <v>363</v>
      </c>
      <c r="F63" s="32" t="s">
        <v>294</v>
      </c>
      <c r="G63" s="32" t="s">
        <v>129</v>
      </c>
      <c r="H63" s="32" t="s">
        <v>165</v>
      </c>
      <c r="I63" s="31" t="s">
        <v>295</v>
      </c>
      <c r="J63" s="31">
        <v>99</v>
      </c>
      <c r="K63" s="31" t="s">
        <v>378</v>
      </c>
      <c r="L63" s="31">
        <v>42</v>
      </c>
      <c r="M63" s="32" t="s">
        <v>420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4">
        <v>0</v>
      </c>
      <c r="B64" s="34">
        <v>1</v>
      </c>
      <c r="C64" s="34">
        <v>5</v>
      </c>
      <c r="D64" s="35" t="s">
        <v>557</v>
      </c>
      <c r="E64" s="35" t="s">
        <v>296</v>
      </c>
      <c r="F64" s="35" t="s">
        <v>558</v>
      </c>
      <c r="G64" s="35" t="s">
        <v>592</v>
      </c>
      <c r="H64" s="35" t="s">
        <v>165</v>
      </c>
      <c r="I64" s="34" t="s">
        <v>559</v>
      </c>
      <c r="J64" s="34">
        <v>99</v>
      </c>
      <c r="K64" s="34" t="s">
        <v>330</v>
      </c>
      <c r="L64" s="34" t="s">
        <v>597</v>
      </c>
      <c r="M64" s="35" t="s">
        <v>420</v>
      </c>
      <c r="N64" s="35" t="s">
        <v>911</v>
      </c>
      <c r="O64" s="36"/>
      <c r="P64" s="36"/>
      <c r="Q64" s="35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78</v>
      </c>
      <c r="E65" s="32" t="s">
        <v>259</v>
      </c>
      <c r="F65" s="32" t="s">
        <v>161</v>
      </c>
      <c r="G65" s="32" t="s">
        <v>95</v>
      </c>
      <c r="H65" s="32" t="s">
        <v>165</v>
      </c>
      <c r="I65" s="31" t="s">
        <v>372</v>
      </c>
      <c r="J65" s="31">
        <v>99</v>
      </c>
      <c r="K65" s="31" t="s">
        <v>329</v>
      </c>
      <c r="L65" s="31" t="s">
        <v>341</v>
      </c>
      <c r="M65" s="32" t="s">
        <v>787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4">
        <v>0</v>
      </c>
      <c r="B66" s="34">
        <v>1</v>
      </c>
      <c r="C66" s="34">
        <v>5</v>
      </c>
      <c r="D66" s="35" t="s">
        <v>290</v>
      </c>
      <c r="E66" s="35" t="s">
        <v>296</v>
      </c>
      <c r="F66" s="35" t="s">
        <v>291</v>
      </c>
      <c r="G66" s="35" t="s">
        <v>96</v>
      </c>
      <c r="H66" s="35" t="s">
        <v>165</v>
      </c>
      <c r="I66" s="34" t="s">
        <v>292</v>
      </c>
      <c r="J66" s="34">
        <v>3</v>
      </c>
      <c r="K66" s="34" t="s">
        <v>378</v>
      </c>
      <c r="L66" s="34" t="s">
        <v>335</v>
      </c>
      <c r="M66" s="35" t="s">
        <v>496</v>
      </c>
      <c r="N66" s="35" t="s">
        <v>931</v>
      </c>
      <c r="O66" s="36"/>
      <c r="P66" s="36"/>
      <c r="Q66" s="35"/>
      <c r="S66" s="2">
        <f t="shared" si="19"/>
        <v>0</v>
      </c>
      <c r="T66" s="2">
        <f t="shared" si="20"/>
        <v>0</v>
      </c>
      <c r="U66" s="2">
        <f t="shared" si="21"/>
        <v>1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744</v>
      </c>
      <c r="N67" s="21"/>
      <c r="O67" s="7"/>
      <c r="P67" s="7"/>
      <c r="Q67" s="21"/>
      <c r="S67" s="2">
        <f t="shared" si="19"/>
        <v>0</v>
      </c>
      <c r="T67" s="2">
        <f t="shared" si="20"/>
        <v>0</v>
      </c>
      <c r="U67" s="2">
        <f t="shared" si="21"/>
        <v>0</v>
      </c>
      <c r="V67" s="2">
        <f t="shared" si="22"/>
        <v>0</v>
      </c>
      <c r="W67" s="2">
        <f t="shared" si="23"/>
        <v>1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34">
        <v>0</v>
      </c>
      <c r="B68" s="34">
        <v>1</v>
      </c>
      <c r="C68" s="34">
        <v>5</v>
      </c>
      <c r="D68" s="35" t="s">
        <v>46</v>
      </c>
      <c r="E68" s="35" t="s">
        <v>469</v>
      </c>
      <c r="F68" s="35" t="s">
        <v>693</v>
      </c>
      <c r="G68" s="35" t="s">
        <v>93</v>
      </c>
      <c r="H68" s="35" t="s">
        <v>165</v>
      </c>
      <c r="I68" s="34" t="s">
        <v>166</v>
      </c>
      <c r="J68" s="34">
        <v>8</v>
      </c>
      <c r="K68" s="34" t="s">
        <v>326</v>
      </c>
      <c r="L68" s="34" t="s">
        <v>346</v>
      </c>
      <c r="M68" s="35" t="s">
        <v>420</v>
      </c>
      <c r="N68" s="35" t="s">
        <v>896</v>
      </c>
      <c r="O68" s="36"/>
      <c r="P68" s="36"/>
      <c r="Q68" s="35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0</v>
      </c>
      <c r="X68" s="2">
        <f t="shared" si="24"/>
        <v>0</v>
      </c>
      <c r="Y68" s="2">
        <f t="shared" si="25"/>
        <v>0</v>
      </c>
      <c r="Z68" s="2">
        <f t="shared" si="26"/>
        <v>1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816</v>
      </c>
      <c r="E69" s="35" t="s">
        <v>264</v>
      </c>
      <c r="F69" s="35" t="s">
        <v>118</v>
      </c>
      <c r="G69" s="35" t="s">
        <v>119</v>
      </c>
      <c r="H69" s="35" t="s">
        <v>165</v>
      </c>
      <c r="I69" s="34" t="s">
        <v>178</v>
      </c>
      <c r="J69" s="34">
        <v>8</v>
      </c>
      <c r="K69" s="34" t="s">
        <v>329</v>
      </c>
      <c r="L69" s="34" t="s">
        <v>343</v>
      </c>
      <c r="M69" s="35" t="s">
        <v>266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817</v>
      </c>
      <c r="E70" s="21" t="s">
        <v>805</v>
      </c>
      <c r="F70" s="21" t="s">
        <v>807</v>
      </c>
      <c r="G70" s="21" t="s">
        <v>117</v>
      </c>
      <c r="H70" s="21" t="s">
        <v>165</v>
      </c>
      <c r="I70" s="20" t="s">
        <v>808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19"/>
        <v>1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0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840</v>
      </c>
      <c r="G71" s="21" t="s">
        <v>96</v>
      </c>
      <c r="H71" s="21" t="s">
        <v>165</v>
      </c>
      <c r="I71" s="20" t="s">
        <v>809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0</v>
      </c>
      <c r="T71" s="2">
        <f t="shared" si="20"/>
        <v>0</v>
      </c>
      <c r="U71" s="2">
        <f t="shared" si="21"/>
        <v>1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6</v>
      </c>
      <c r="D72" s="32" t="s">
        <v>810</v>
      </c>
      <c r="E72" s="32" t="s">
        <v>261</v>
      </c>
      <c r="F72" s="32" t="s">
        <v>772</v>
      </c>
      <c r="G72" s="32" t="s">
        <v>519</v>
      </c>
      <c r="H72" s="32" t="s">
        <v>165</v>
      </c>
      <c r="I72" s="31" t="s">
        <v>773</v>
      </c>
      <c r="J72" s="31">
        <v>99</v>
      </c>
      <c r="K72" s="31" t="s">
        <v>326</v>
      </c>
      <c r="L72" s="31" t="s">
        <v>40</v>
      </c>
      <c r="M72" s="32" t="s">
        <v>40</v>
      </c>
      <c r="N72" s="32" t="s">
        <v>895</v>
      </c>
      <c r="O72" s="33">
        <v>1</v>
      </c>
      <c r="P72" s="33">
        <v>1</v>
      </c>
      <c r="Q72" s="32"/>
      <c r="S72" s="2">
        <f t="shared" si="19"/>
        <v>0</v>
      </c>
      <c r="T72" s="2">
        <f t="shared" si="20"/>
        <v>0</v>
      </c>
      <c r="U72" s="2">
        <f t="shared" si="21"/>
        <v>0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1</v>
      </c>
      <c r="AE72" s="2">
        <f t="shared" si="30"/>
        <v>0</v>
      </c>
      <c r="AF72" s="2">
        <f t="shared" ref="AF72:AF135" si="31">+O72*P72*(1-A72)</f>
        <v>1</v>
      </c>
      <c r="AG72" s="2">
        <f t="shared" ref="AG72:AG135" si="32">O72*(1-P72)*(1-A72)</f>
        <v>0</v>
      </c>
      <c r="AH72" s="2">
        <f t="shared" ref="AH72:AH135" si="33">+P72*(1-A72)</f>
        <v>1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299</v>
      </c>
      <c r="E73" s="32" t="s">
        <v>258</v>
      </c>
      <c r="F73" s="32" t="s">
        <v>300</v>
      </c>
      <c r="G73" s="32" t="s">
        <v>309</v>
      </c>
      <c r="H73" s="32" t="s">
        <v>165</v>
      </c>
      <c r="I73" s="31" t="s">
        <v>301</v>
      </c>
      <c r="J73" s="31">
        <v>1</v>
      </c>
      <c r="K73" s="31" t="s">
        <v>323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1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227</v>
      </c>
      <c r="E74" s="32" t="s">
        <v>674</v>
      </c>
      <c r="F74" s="32" t="s">
        <v>666</v>
      </c>
      <c r="G74" s="32" t="s">
        <v>667</v>
      </c>
      <c r="H74" s="32" t="s">
        <v>165</v>
      </c>
      <c r="I74" s="31" t="s">
        <v>668</v>
      </c>
      <c r="J74" s="31"/>
      <c r="K74" s="31" t="s">
        <v>332</v>
      </c>
      <c r="L74" s="31">
        <v>45</v>
      </c>
      <c r="M74" s="32" t="s">
        <v>754</v>
      </c>
      <c r="N74" s="32" t="s">
        <v>901</v>
      </c>
      <c r="O74" s="33">
        <v>1</v>
      </c>
      <c r="P74" s="33"/>
      <c r="Q74" s="32"/>
      <c r="S74" s="2">
        <f t="shared" si="19"/>
        <v>0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0</v>
      </c>
      <c r="AE74" s="2">
        <f t="shared" si="30"/>
        <v>1</v>
      </c>
      <c r="AF74" s="2">
        <f t="shared" si="31"/>
        <v>0</v>
      </c>
      <c r="AG74" s="2">
        <f t="shared" si="32"/>
        <v>1</v>
      </c>
      <c r="AH74" s="2">
        <f t="shared" si="33"/>
        <v>0</v>
      </c>
      <c r="AI74" s="2">
        <f t="shared" si="34"/>
        <v>1</v>
      </c>
    </row>
    <row r="75" spans="1:35" ht="14.25" customHeight="1" x14ac:dyDescent="0.25">
      <c r="A75" s="31">
        <v>1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228</v>
      </c>
      <c r="G75" s="32" t="s">
        <v>122</v>
      </c>
      <c r="H75" s="32" t="s">
        <v>165</v>
      </c>
      <c r="I75" s="31" t="s">
        <v>229</v>
      </c>
      <c r="J75" s="31">
        <v>6</v>
      </c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1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0</v>
      </c>
      <c r="AH75" s="2">
        <f t="shared" si="33"/>
        <v>0</v>
      </c>
      <c r="AI75" s="2">
        <f t="shared" si="34"/>
        <v>0</v>
      </c>
    </row>
    <row r="76" spans="1:35" ht="14.25" customHeight="1" x14ac:dyDescent="0.25">
      <c r="A76" s="31">
        <v>0</v>
      </c>
      <c r="B76" s="31">
        <v>1</v>
      </c>
      <c r="C76" s="31">
        <v>6</v>
      </c>
      <c r="D76" s="32" t="s">
        <v>719</v>
      </c>
      <c r="E76" s="32" t="s">
        <v>258</v>
      </c>
      <c r="F76" s="32" t="s">
        <v>720</v>
      </c>
      <c r="G76" s="32" t="s">
        <v>130</v>
      </c>
      <c r="H76" s="32" t="s">
        <v>165</v>
      </c>
      <c r="I76" s="31" t="s">
        <v>721</v>
      </c>
      <c r="J76" s="31"/>
      <c r="K76" s="31" t="s">
        <v>329</v>
      </c>
      <c r="L76" s="31">
        <v>35</v>
      </c>
      <c r="M76" s="32" t="s">
        <v>884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0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1</v>
      </c>
      <c r="AH76" s="2">
        <f t="shared" si="33"/>
        <v>0</v>
      </c>
      <c r="AI76" s="2">
        <f t="shared" si="34"/>
        <v>1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70</v>
      </c>
      <c r="E77" s="32" t="s">
        <v>258</v>
      </c>
      <c r="F77" s="32" t="s">
        <v>149</v>
      </c>
      <c r="G77" s="32" t="s">
        <v>130</v>
      </c>
      <c r="H77" s="32" t="s">
        <v>165</v>
      </c>
      <c r="I77" s="31" t="s">
        <v>193</v>
      </c>
      <c r="J77" s="31">
        <v>10</v>
      </c>
      <c r="K77" s="31" t="s">
        <v>326</v>
      </c>
      <c r="L77" s="31">
        <v>40</v>
      </c>
      <c r="M77" s="32" t="s">
        <v>936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1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241</v>
      </c>
      <c r="E78" s="32" t="s">
        <v>261</v>
      </c>
      <c r="F78" s="32" t="s">
        <v>242</v>
      </c>
      <c r="G78" s="32" t="s">
        <v>243</v>
      </c>
      <c r="H78" s="32" t="s">
        <v>165</v>
      </c>
      <c r="I78" s="31" t="s">
        <v>244</v>
      </c>
      <c r="J78" s="31">
        <v>9</v>
      </c>
      <c r="K78" s="31" t="s">
        <v>328</v>
      </c>
      <c r="L78" s="31" t="s">
        <v>40</v>
      </c>
      <c r="M78" s="32" t="s">
        <v>40</v>
      </c>
      <c r="N78" s="32" t="s">
        <v>895</v>
      </c>
      <c r="O78" s="33">
        <v>1</v>
      </c>
      <c r="P78" s="33">
        <v>1</v>
      </c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1</v>
      </c>
      <c r="AB78" s="2">
        <f t="shared" si="28"/>
        <v>0</v>
      </c>
      <c r="AD78" s="2">
        <f t="shared" si="29"/>
        <v>1</v>
      </c>
      <c r="AE78" s="2">
        <f t="shared" si="30"/>
        <v>0</v>
      </c>
      <c r="AF78" s="2">
        <f t="shared" si="31"/>
        <v>1</v>
      </c>
      <c r="AG78" s="2">
        <f t="shared" si="32"/>
        <v>0</v>
      </c>
      <c r="AH78" s="2">
        <f t="shared" si="33"/>
        <v>1</v>
      </c>
      <c r="AI78" s="2">
        <f t="shared" si="34"/>
        <v>0</v>
      </c>
    </row>
    <row r="79" spans="1:35" ht="14.25" customHeight="1" x14ac:dyDescent="0.25">
      <c r="A79" s="34">
        <v>0</v>
      </c>
      <c r="B79" s="34">
        <v>1</v>
      </c>
      <c r="C79" s="34">
        <v>6</v>
      </c>
      <c r="D79" s="35" t="s">
        <v>359</v>
      </c>
      <c r="E79" s="35" t="s">
        <v>261</v>
      </c>
      <c r="F79" s="35" t="s">
        <v>293</v>
      </c>
      <c r="G79" s="35" t="s">
        <v>127</v>
      </c>
      <c r="H79" s="35" t="s">
        <v>165</v>
      </c>
      <c r="I79" s="34" t="s">
        <v>487</v>
      </c>
      <c r="J79" s="34">
        <v>2</v>
      </c>
      <c r="K79" s="34" t="s">
        <v>330</v>
      </c>
      <c r="L79" s="34" t="s">
        <v>334</v>
      </c>
      <c r="M79" s="35" t="s">
        <v>206</v>
      </c>
      <c r="N79" s="35" t="s">
        <v>931</v>
      </c>
      <c r="O79" s="36"/>
      <c r="P79" s="36"/>
      <c r="Q79" s="35"/>
      <c r="S79" s="2">
        <f t="shared" si="19"/>
        <v>0</v>
      </c>
      <c r="T79" s="2">
        <f t="shared" si="20"/>
        <v>1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0</v>
      </c>
      <c r="AB79" s="2">
        <f t="shared" si="28"/>
        <v>0</v>
      </c>
      <c r="AD79" s="2">
        <f t="shared" si="29"/>
        <v>0</v>
      </c>
      <c r="AE79" s="2">
        <f t="shared" si="30"/>
        <v>0</v>
      </c>
      <c r="AF79" s="2">
        <f t="shared" si="31"/>
        <v>0</v>
      </c>
      <c r="AG79" s="2">
        <f t="shared" si="32"/>
        <v>0</v>
      </c>
      <c r="AH79" s="2">
        <f t="shared" si="33"/>
        <v>0</v>
      </c>
      <c r="AI79" s="2">
        <f t="shared" si="34"/>
        <v>1</v>
      </c>
    </row>
    <row r="80" spans="1:35" ht="14.25" customHeight="1" x14ac:dyDescent="0.25">
      <c r="A80" s="28">
        <v>0</v>
      </c>
      <c r="B80" s="28">
        <v>1</v>
      </c>
      <c r="C80" s="28">
        <v>6</v>
      </c>
      <c r="D80" s="29" t="s">
        <v>53</v>
      </c>
      <c r="E80" s="29" t="s">
        <v>258</v>
      </c>
      <c r="F80" s="29" t="s">
        <v>106</v>
      </c>
      <c r="G80" s="29" t="s">
        <v>107</v>
      </c>
      <c r="H80" s="29" t="s">
        <v>165</v>
      </c>
      <c r="I80" s="28" t="s">
        <v>172</v>
      </c>
      <c r="J80" s="28">
        <v>99</v>
      </c>
      <c r="K80" s="28" t="s">
        <v>324</v>
      </c>
      <c r="L80" s="28" t="s">
        <v>40</v>
      </c>
      <c r="M80" s="29" t="s">
        <v>40</v>
      </c>
      <c r="N80" s="29"/>
      <c r="O80" s="30"/>
      <c r="P80" s="30">
        <v>1</v>
      </c>
      <c r="Q80" s="29"/>
      <c r="S80" s="2">
        <f t="shared" si="19"/>
        <v>0</v>
      </c>
      <c r="T80" s="2">
        <f t="shared" si="20"/>
        <v>0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1</v>
      </c>
      <c r="AI80" s="2">
        <f t="shared" si="34"/>
        <v>0</v>
      </c>
    </row>
    <row r="81" spans="1:35" ht="14.25" customHeight="1" x14ac:dyDescent="0.25">
      <c r="A81" s="31">
        <v>0</v>
      </c>
      <c r="B81" s="31">
        <v>1</v>
      </c>
      <c r="C81" s="31">
        <v>6</v>
      </c>
      <c r="D81" s="32" t="s">
        <v>286</v>
      </c>
      <c r="E81" s="32" t="s">
        <v>258</v>
      </c>
      <c r="F81" s="32" t="s">
        <v>287</v>
      </c>
      <c r="G81" s="32" t="s">
        <v>96</v>
      </c>
      <c r="H81" s="32" t="s">
        <v>165</v>
      </c>
      <c r="I81" s="31" t="s">
        <v>843</v>
      </c>
      <c r="J81" s="31">
        <v>3</v>
      </c>
      <c r="K81" s="31" t="s">
        <v>330</v>
      </c>
      <c r="L81" s="31" t="s">
        <v>346</v>
      </c>
      <c r="M81" s="32" t="s">
        <v>767</v>
      </c>
      <c r="N81" s="32" t="s">
        <v>903</v>
      </c>
      <c r="O81" s="33">
        <v>1</v>
      </c>
      <c r="P81" s="33"/>
      <c r="Q81" s="32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1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1</v>
      </c>
      <c r="AF81" s="2">
        <f t="shared" si="31"/>
        <v>0</v>
      </c>
      <c r="AG81" s="2">
        <f t="shared" si="32"/>
        <v>1</v>
      </c>
      <c r="AH81" s="2">
        <f t="shared" si="33"/>
        <v>0</v>
      </c>
      <c r="AI81" s="2">
        <f t="shared" si="34"/>
        <v>1</v>
      </c>
    </row>
    <row r="82" spans="1:35" ht="14.25" customHeight="1" x14ac:dyDescent="0.25">
      <c r="A82" s="34">
        <v>0</v>
      </c>
      <c r="B82" s="34">
        <v>1</v>
      </c>
      <c r="C82" s="34">
        <v>6</v>
      </c>
      <c r="D82" s="35" t="s">
        <v>61</v>
      </c>
      <c r="E82" s="35" t="s">
        <v>261</v>
      </c>
      <c r="F82" s="35" t="s">
        <v>131</v>
      </c>
      <c r="G82" s="35" t="s">
        <v>132</v>
      </c>
      <c r="H82" s="35" t="s">
        <v>165</v>
      </c>
      <c r="I82" s="34" t="s">
        <v>182</v>
      </c>
      <c r="J82" s="34">
        <v>99</v>
      </c>
      <c r="K82" s="34" t="s">
        <v>329</v>
      </c>
      <c r="L82" s="34" t="s">
        <v>856</v>
      </c>
      <c r="M82" s="35" t="s">
        <v>700</v>
      </c>
      <c r="N82" s="35" t="s">
        <v>902</v>
      </c>
      <c r="O82" s="36"/>
      <c r="P82" s="36"/>
      <c r="Q82" s="35"/>
      <c r="S82" s="2">
        <f t="shared" si="35"/>
        <v>0</v>
      </c>
      <c r="T82" s="2">
        <f t="shared" si="36"/>
        <v>0</v>
      </c>
      <c r="U82" s="2">
        <f t="shared" si="37"/>
        <v>0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0</v>
      </c>
      <c r="AF82" s="2">
        <f t="shared" si="31"/>
        <v>0</v>
      </c>
      <c r="AG82" s="2">
        <f t="shared" si="32"/>
        <v>0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1">
        <v>0</v>
      </c>
      <c r="B83" s="31">
        <v>1</v>
      </c>
      <c r="C83" s="31">
        <v>6</v>
      </c>
      <c r="D83" s="32" t="s">
        <v>251</v>
      </c>
      <c r="E83" s="32" t="s">
        <v>261</v>
      </c>
      <c r="F83" s="32" t="s">
        <v>590</v>
      </c>
      <c r="G83" s="32" t="s">
        <v>132</v>
      </c>
      <c r="H83" s="32" t="s">
        <v>165</v>
      </c>
      <c r="I83" s="31" t="s">
        <v>224</v>
      </c>
      <c r="J83" s="31">
        <v>99</v>
      </c>
      <c r="K83" s="31" t="s">
        <v>331</v>
      </c>
      <c r="L83" s="31" t="s">
        <v>335</v>
      </c>
      <c r="M83" s="32" t="s">
        <v>751</v>
      </c>
      <c r="N83" s="32" t="s">
        <v>901</v>
      </c>
      <c r="O83" s="33">
        <v>1</v>
      </c>
      <c r="P83" s="33"/>
      <c r="Q83" s="32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1</v>
      </c>
      <c r="AF83" s="2">
        <f t="shared" si="31"/>
        <v>0</v>
      </c>
      <c r="AG83" s="2">
        <f t="shared" si="32"/>
        <v>1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0</v>
      </c>
      <c r="AF84" s="2">
        <f t="shared" si="31"/>
        <v>0</v>
      </c>
      <c r="AG84" s="2">
        <f t="shared" si="32"/>
        <v>0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8">
        <v>0</v>
      </c>
      <c r="B85" s="28">
        <v>1</v>
      </c>
      <c r="C85" s="28">
        <v>6</v>
      </c>
      <c r="D85" s="29" t="s">
        <v>249</v>
      </c>
      <c r="E85" s="29" t="s">
        <v>261</v>
      </c>
      <c r="F85" s="29" t="s">
        <v>255</v>
      </c>
      <c r="G85" s="29" t="s">
        <v>125</v>
      </c>
      <c r="H85" s="29" t="s">
        <v>165</v>
      </c>
      <c r="I85" s="28" t="s">
        <v>222</v>
      </c>
      <c r="J85" s="28">
        <v>99</v>
      </c>
      <c r="K85" s="28" t="s">
        <v>330</v>
      </c>
      <c r="L85" s="28" t="s">
        <v>40</v>
      </c>
      <c r="M85" s="29" t="s">
        <v>40</v>
      </c>
      <c r="N85" s="29"/>
      <c r="O85" s="30"/>
      <c r="P85" s="30">
        <v>1</v>
      </c>
      <c r="Q85" s="29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1</v>
      </c>
      <c r="AI85" s="2">
        <f t="shared" si="34"/>
        <v>0</v>
      </c>
    </row>
    <row r="86" spans="1:35" ht="14.25" customHeight="1" x14ac:dyDescent="0.25">
      <c r="A86" s="20">
        <v>0</v>
      </c>
      <c r="B86" s="20">
        <v>1</v>
      </c>
      <c r="C86" s="20">
        <v>6</v>
      </c>
      <c r="D86" s="21" t="s">
        <v>735</v>
      </c>
      <c r="E86" s="21" t="s">
        <v>258</v>
      </c>
      <c r="F86" s="21" t="s">
        <v>736</v>
      </c>
      <c r="G86" s="21" t="s">
        <v>737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734</v>
      </c>
      <c r="N86" s="21"/>
      <c r="O86" s="7"/>
      <c r="P86" s="7"/>
      <c r="Q86" s="21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0</v>
      </c>
      <c r="AI86" s="2">
        <f t="shared" si="34"/>
        <v>1</v>
      </c>
    </row>
    <row r="87" spans="1:35" ht="14.25" customHeight="1" x14ac:dyDescent="0.25">
      <c r="A87" s="34">
        <v>0</v>
      </c>
      <c r="B87" s="34">
        <v>1</v>
      </c>
      <c r="C87" s="34">
        <v>6</v>
      </c>
      <c r="D87" s="35" t="s">
        <v>541</v>
      </c>
      <c r="E87" s="35" t="s">
        <v>575</v>
      </c>
      <c r="F87" s="35" t="s">
        <v>831</v>
      </c>
      <c r="G87" s="35" t="s">
        <v>542</v>
      </c>
      <c r="H87" s="35" t="s">
        <v>165</v>
      </c>
      <c r="I87" s="34" t="s">
        <v>543</v>
      </c>
      <c r="J87" s="34">
        <v>99</v>
      </c>
      <c r="K87" s="34" t="s">
        <v>330</v>
      </c>
      <c r="L87" s="34" t="s">
        <v>334</v>
      </c>
      <c r="M87" s="35" t="s">
        <v>745</v>
      </c>
      <c r="N87" s="35" t="s">
        <v>902</v>
      </c>
      <c r="O87" s="36"/>
      <c r="P87" s="36"/>
      <c r="Q87" s="35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1">
        <v>0</v>
      </c>
      <c r="B88" s="31">
        <v>1</v>
      </c>
      <c r="C88" s="31">
        <v>6</v>
      </c>
      <c r="D88" s="32" t="s">
        <v>360</v>
      </c>
      <c r="E88" s="32" t="s">
        <v>576</v>
      </c>
      <c r="F88" s="32" t="s">
        <v>136</v>
      </c>
      <c r="G88" s="32" t="s">
        <v>137</v>
      </c>
      <c r="H88" s="32" t="s">
        <v>165</v>
      </c>
      <c r="I88" s="31" t="s">
        <v>184</v>
      </c>
      <c r="J88" s="31">
        <v>1</v>
      </c>
      <c r="K88" s="31" t="s">
        <v>378</v>
      </c>
      <c r="L88" s="31">
        <v>92</v>
      </c>
      <c r="M88" s="32" t="s">
        <v>784</v>
      </c>
      <c r="N88" s="32" t="s">
        <v>909</v>
      </c>
      <c r="O88" s="33">
        <v>1</v>
      </c>
      <c r="P88" s="33"/>
      <c r="Q88" s="32"/>
      <c r="S88" s="2">
        <f t="shared" si="35"/>
        <v>1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1</v>
      </c>
      <c r="AF88" s="2">
        <f t="shared" si="31"/>
        <v>0</v>
      </c>
      <c r="AG88" s="2">
        <f t="shared" si="32"/>
        <v>1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20">
        <v>0</v>
      </c>
      <c r="B89" s="20">
        <v>1</v>
      </c>
      <c r="C89" s="20">
        <v>6</v>
      </c>
      <c r="D89" s="21" t="s">
        <v>80</v>
      </c>
      <c r="E89" s="21" t="s">
        <v>258</v>
      </c>
      <c r="F89" s="21" t="s">
        <v>135</v>
      </c>
      <c r="G89" s="21" t="s">
        <v>92</v>
      </c>
      <c r="H89" s="21" t="s">
        <v>165</v>
      </c>
      <c r="I89" s="20" t="s">
        <v>203</v>
      </c>
      <c r="J89" s="20">
        <v>2</v>
      </c>
      <c r="K89" s="20" t="s">
        <v>329</v>
      </c>
      <c r="L89" s="20">
        <v>35</v>
      </c>
      <c r="M89" s="21" t="s">
        <v>267</v>
      </c>
      <c r="N89" s="21"/>
      <c r="O89" s="7"/>
      <c r="P89" s="7"/>
      <c r="Q89" s="21"/>
      <c r="S89" s="2">
        <f t="shared" si="35"/>
        <v>0</v>
      </c>
      <c r="T89" s="2">
        <f t="shared" si="36"/>
        <v>1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0</v>
      </c>
      <c r="AF89" s="2">
        <f t="shared" si="31"/>
        <v>0</v>
      </c>
      <c r="AG89" s="2">
        <f t="shared" si="32"/>
        <v>0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31">
        <v>0</v>
      </c>
      <c r="B90" s="31">
        <v>1</v>
      </c>
      <c r="C90" s="31">
        <v>7</v>
      </c>
      <c r="D90" s="32" t="s">
        <v>41</v>
      </c>
      <c r="E90" s="32" t="s">
        <v>32</v>
      </c>
      <c r="F90" s="32" t="s">
        <v>366</v>
      </c>
      <c r="G90" s="32" t="s">
        <v>91</v>
      </c>
      <c r="H90" s="32" t="s">
        <v>165</v>
      </c>
      <c r="I90" s="31" t="s">
        <v>374</v>
      </c>
      <c r="J90" s="31">
        <v>6</v>
      </c>
      <c r="K90" s="31" t="s">
        <v>318</v>
      </c>
      <c r="L90" s="31" t="s">
        <v>335</v>
      </c>
      <c r="M90" s="32" t="s">
        <v>298</v>
      </c>
      <c r="N90" s="32" t="s">
        <v>914</v>
      </c>
      <c r="O90" s="33">
        <v>1</v>
      </c>
      <c r="P90" s="33"/>
      <c r="Q90" s="3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1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1</v>
      </c>
      <c r="AF90" s="2">
        <f t="shared" si="31"/>
        <v>0</v>
      </c>
      <c r="AG90" s="2">
        <f t="shared" si="32"/>
        <v>1</v>
      </c>
      <c r="AH90" s="2">
        <f t="shared" si="33"/>
        <v>0</v>
      </c>
      <c r="AI90" s="2">
        <f t="shared" si="34"/>
        <v>1</v>
      </c>
    </row>
    <row r="91" spans="1:35" ht="14.25" customHeight="1" x14ac:dyDescent="0.25">
      <c r="A91" s="31">
        <v>1</v>
      </c>
      <c r="B91" s="31">
        <v>1</v>
      </c>
      <c r="C91" s="31">
        <v>7</v>
      </c>
      <c r="D91" s="32" t="s">
        <v>41</v>
      </c>
      <c r="E91" s="32" t="s">
        <v>32</v>
      </c>
      <c r="F91" s="32" t="s">
        <v>142</v>
      </c>
      <c r="G91" s="32" t="s">
        <v>130</v>
      </c>
      <c r="H91" s="32" t="s">
        <v>165</v>
      </c>
      <c r="I91" s="31" t="s">
        <v>188</v>
      </c>
      <c r="J91" s="31">
        <v>10</v>
      </c>
      <c r="K91" s="31" t="s">
        <v>318</v>
      </c>
      <c r="L91" s="31" t="s">
        <v>335</v>
      </c>
      <c r="M91" s="32" t="s">
        <v>298</v>
      </c>
      <c r="N91" s="32" t="s">
        <v>914</v>
      </c>
      <c r="O91" s="33">
        <v>1</v>
      </c>
      <c r="P91" s="33"/>
      <c r="Q91" s="32"/>
      <c r="S91" s="2">
        <f t="shared" si="35"/>
        <v>0</v>
      </c>
      <c r="T91" s="2">
        <f t="shared" si="36"/>
        <v>0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1</v>
      </c>
      <c r="AD91" s="2">
        <f t="shared" si="45"/>
        <v>0</v>
      </c>
      <c r="AE91" s="2">
        <f t="shared" si="46"/>
        <v>1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0</v>
      </c>
    </row>
    <row r="92" spans="1:35" ht="14.25" customHeight="1" x14ac:dyDescent="0.25">
      <c r="A92" s="31">
        <v>1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143</v>
      </c>
      <c r="G92" s="32" t="s">
        <v>122</v>
      </c>
      <c r="H92" s="32" t="s">
        <v>165</v>
      </c>
      <c r="I92" s="31" t="s">
        <v>189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0</v>
      </c>
      <c r="AH92" s="2">
        <f t="shared" si="33"/>
        <v>0</v>
      </c>
      <c r="AI92" s="2">
        <f t="shared" si="34"/>
        <v>0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671</v>
      </c>
      <c r="G93" s="32" t="s">
        <v>673</v>
      </c>
      <c r="H93" s="32" t="s">
        <v>165</v>
      </c>
      <c r="I93" s="31" t="s">
        <v>672</v>
      </c>
      <c r="J93" s="31">
        <v>99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0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365</v>
      </c>
      <c r="G94" s="32" t="s">
        <v>93</v>
      </c>
      <c r="H94" s="32" t="s">
        <v>165</v>
      </c>
      <c r="I94" s="31" t="s">
        <v>373</v>
      </c>
      <c r="J94" s="31">
        <v>8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0</v>
      </c>
      <c r="Y94" s="2">
        <f t="shared" si="41"/>
        <v>0</v>
      </c>
      <c r="Z94" s="2">
        <f t="shared" si="42"/>
        <v>1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245</v>
      </c>
      <c r="G95" s="32" t="s">
        <v>125</v>
      </c>
      <c r="H95" s="32" t="s">
        <v>165</v>
      </c>
      <c r="I95" s="31" t="s">
        <v>246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0</v>
      </c>
      <c r="B96" s="31">
        <v>1</v>
      </c>
      <c r="C96" s="31">
        <v>7</v>
      </c>
      <c r="D96" s="32" t="s">
        <v>571</v>
      </c>
      <c r="E96" s="32" t="s">
        <v>32</v>
      </c>
      <c r="F96" s="32" t="s">
        <v>586</v>
      </c>
      <c r="G96" s="32" t="s">
        <v>309</v>
      </c>
      <c r="H96" s="32" t="s">
        <v>165</v>
      </c>
      <c r="I96" s="31" t="s">
        <v>528</v>
      </c>
      <c r="J96" s="31">
        <v>1</v>
      </c>
      <c r="K96" s="31" t="s">
        <v>321</v>
      </c>
      <c r="L96" s="31" t="s">
        <v>40</v>
      </c>
      <c r="M96" s="32" t="s">
        <v>40</v>
      </c>
      <c r="N96" s="32" t="s">
        <v>895</v>
      </c>
      <c r="O96" s="33">
        <v>1</v>
      </c>
      <c r="P96" s="33">
        <v>1</v>
      </c>
      <c r="Q96" s="32"/>
      <c r="S96" s="2">
        <f t="shared" si="35"/>
        <v>1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0</v>
      </c>
      <c r="AA96" s="2">
        <f t="shared" si="43"/>
        <v>0</v>
      </c>
      <c r="AB96" s="2">
        <f t="shared" si="44"/>
        <v>0</v>
      </c>
      <c r="AD96" s="2">
        <f t="shared" si="45"/>
        <v>1</v>
      </c>
      <c r="AE96" s="2">
        <f t="shared" si="46"/>
        <v>0</v>
      </c>
      <c r="AF96" s="2">
        <f t="shared" si="31"/>
        <v>1</v>
      </c>
      <c r="AG96" s="2">
        <f t="shared" si="32"/>
        <v>0</v>
      </c>
      <c r="AH96" s="2">
        <f t="shared" si="33"/>
        <v>1</v>
      </c>
      <c r="AI96" s="2">
        <f t="shared" si="34"/>
        <v>0</v>
      </c>
    </row>
    <row r="97" spans="1:35" ht="14.25" customHeight="1" x14ac:dyDescent="0.25">
      <c r="A97" s="31">
        <v>0</v>
      </c>
      <c r="B97" s="31">
        <v>1</v>
      </c>
      <c r="C97" s="31">
        <v>7</v>
      </c>
      <c r="D97" s="32" t="s">
        <v>237</v>
      </c>
      <c r="E97" s="32" t="s">
        <v>238</v>
      </c>
      <c r="F97" s="32" t="s">
        <v>239</v>
      </c>
      <c r="G97" s="32" t="s">
        <v>96</v>
      </c>
      <c r="H97" s="32" t="s">
        <v>165</v>
      </c>
      <c r="I97" s="31" t="s">
        <v>240</v>
      </c>
      <c r="J97" s="31">
        <v>3</v>
      </c>
      <c r="K97" s="31" t="s">
        <v>321</v>
      </c>
      <c r="L97" s="31" t="s">
        <v>335</v>
      </c>
      <c r="M97" s="32" t="s">
        <v>340</v>
      </c>
      <c r="N97" s="32" t="s">
        <v>910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1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1</v>
      </c>
      <c r="AH97" s="2">
        <f t="shared" si="33"/>
        <v>0</v>
      </c>
      <c r="AI97" s="2">
        <f t="shared" si="34"/>
        <v>1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230</v>
      </c>
      <c r="E98" s="32" t="s">
        <v>32</v>
      </c>
      <c r="F98" s="32" t="s">
        <v>669</v>
      </c>
      <c r="G98" s="32" t="s">
        <v>96</v>
      </c>
      <c r="H98" s="32" t="s">
        <v>165</v>
      </c>
      <c r="I98" s="31" t="s">
        <v>841</v>
      </c>
      <c r="J98" s="31">
        <v>1</v>
      </c>
      <c r="K98" s="31" t="s">
        <v>320</v>
      </c>
      <c r="L98" s="31" t="s">
        <v>343</v>
      </c>
      <c r="M98" s="32" t="s">
        <v>752</v>
      </c>
      <c r="N98" s="32" t="s">
        <v>903</v>
      </c>
      <c r="O98" s="33">
        <v>1</v>
      </c>
      <c r="P98" s="33"/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0</v>
      </c>
      <c r="AE98" s="2">
        <f t="shared" si="46"/>
        <v>1</v>
      </c>
      <c r="AF98" s="2">
        <f t="shared" si="31"/>
        <v>0</v>
      </c>
      <c r="AG98" s="2">
        <f t="shared" si="32"/>
        <v>1</v>
      </c>
      <c r="AH98" s="2">
        <f t="shared" si="33"/>
        <v>0</v>
      </c>
      <c r="AI98" s="2">
        <f t="shared" si="34"/>
        <v>1</v>
      </c>
    </row>
    <row r="99" spans="1:35" ht="14.25" customHeight="1" x14ac:dyDescent="0.25">
      <c r="A99" s="31">
        <v>1</v>
      </c>
      <c r="B99" s="31">
        <v>1</v>
      </c>
      <c r="C99" s="31">
        <v>7</v>
      </c>
      <c r="D99" s="32" t="s">
        <v>230</v>
      </c>
      <c r="E99" s="32" t="s">
        <v>32</v>
      </c>
      <c r="F99" s="32" t="s">
        <v>257</v>
      </c>
      <c r="G99" s="32" t="s">
        <v>38</v>
      </c>
      <c r="H99" s="32" t="s">
        <v>165</v>
      </c>
      <c r="I99" s="31" t="s">
        <v>231</v>
      </c>
      <c r="J99" s="31">
        <v>1</v>
      </c>
      <c r="K99" s="31" t="s">
        <v>320</v>
      </c>
      <c r="L99" s="31" t="s">
        <v>343</v>
      </c>
      <c r="M99" s="32" t="s">
        <v>752</v>
      </c>
      <c r="N99" s="32" t="s">
        <v>903</v>
      </c>
      <c r="O99" s="33">
        <v>1</v>
      </c>
      <c r="P99" s="33"/>
      <c r="Q99" s="32"/>
      <c r="S99" s="2">
        <f t="shared" si="35"/>
        <v>1</v>
      </c>
      <c r="T99" s="2">
        <f t="shared" si="36"/>
        <v>0</v>
      </c>
      <c r="U99" s="2">
        <f t="shared" si="37"/>
        <v>0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0</v>
      </c>
      <c r="AH99" s="2">
        <f t="shared" si="33"/>
        <v>0</v>
      </c>
      <c r="AI99" s="2">
        <f t="shared" si="34"/>
        <v>0</v>
      </c>
    </row>
    <row r="100" spans="1:35" ht="14.25" customHeight="1" x14ac:dyDescent="0.25">
      <c r="A100" s="31">
        <v>1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473</v>
      </c>
      <c r="G100" s="32" t="s">
        <v>92</v>
      </c>
      <c r="H100" s="32" t="s">
        <v>165</v>
      </c>
      <c r="I100" s="31" t="s">
        <v>485</v>
      </c>
      <c r="J100" s="31">
        <v>2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0</v>
      </c>
      <c r="T100" s="2">
        <f t="shared" si="36"/>
        <v>1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0</v>
      </c>
      <c r="AH100" s="2">
        <f t="shared" si="33"/>
        <v>0</v>
      </c>
      <c r="AI100" s="2">
        <f t="shared" si="34"/>
        <v>0</v>
      </c>
    </row>
    <row r="101" spans="1:35" ht="14.25" customHeight="1" x14ac:dyDescent="0.25">
      <c r="A101" s="31">
        <v>0</v>
      </c>
      <c r="B101" s="31">
        <v>1</v>
      </c>
      <c r="C101" s="31">
        <v>7</v>
      </c>
      <c r="D101" s="32" t="s">
        <v>446</v>
      </c>
      <c r="E101" s="32" t="s">
        <v>32</v>
      </c>
      <c r="F101" s="32" t="s">
        <v>657</v>
      </c>
      <c r="G101" s="32" t="s">
        <v>96</v>
      </c>
      <c r="H101" s="32" t="s">
        <v>165</v>
      </c>
      <c r="I101" s="31" t="s">
        <v>658</v>
      </c>
      <c r="J101" s="31">
        <v>3</v>
      </c>
      <c r="K101" s="31" t="s">
        <v>320</v>
      </c>
      <c r="L101" s="31" t="s">
        <v>40</v>
      </c>
      <c r="M101" s="32" t="s">
        <v>40</v>
      </c>
      <c r="N101" s="32" t="s">
        <v>895</v>
      </c>
      <c r="O101" s="33">
        <v>1</v>
      </c>
      <c r="P101" s="33">
        <v>1</v>
      </c>
      <c r="Q101" s="32"/>
      <c r="S101" s="2">
        <f t="shared" si="35"/>
        <v>0</v>
      </c>
      <c r="T101" s="2">
        <f t="shared" si="36"/>
        <v>0</v>
      </c>
      <c r="U101" s="2">
        <f t="shared" si="37"/>
        <v>1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1</v>
      </c>
      <c r="AE101" s="2">
        <f t="shared" si="46"/>
        <v>0</v>
      </c>
      <c r="AF101" s="2">
        <f t="shared" si="31"/>
        <v>1</v>
      </c>
      <c r="AG101" s="2">
        <f t="shared" si="32"/>
        <v>0</v>
      </c>
      <c r="AH101" s="2">
        <f t="shared" si="33"/>
        <v>1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446</v>
      </c>
      <c r="E102" s="32" t="s">
        <v>32</v>
      </c>
      <c r="F102" s="32" t="s">
        <v>447</v>
      </c>
      <c r="G102" s="32" t="s">
        <v>145</v>
      </c>
      <c r="H102" s="32" t="s">
        <v>165</v>
      </c>
      <c r="I102" s="31" t="s">
        <v>448</v>
      </c>
      <c r="J102" s="31">
        <v>2</v>
      </c>
      <c r="K102" s="31" t="s">
        <v>320</v>
      </c>
      <c r="L102" s="31" t="s">
        <v>40</v>
      </c>
      <c r="M102" s="32" t="s">
        <v>40</v>
      </c>
      <c r="N102" s="32" t="s">
        <v>895</v>
      </c>
      <c r="O102" s="33">
        <v>1</v>
      </c>
      <c r="P102" s="33">
        <v>1</v>
      </c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1</v>
      </c>
      <c r="AE102" s="2">
        <f t="shared" si="46"/>
        <v>0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1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837</v>
      </c>
      <c r="G103" s="32" t="s">
        <v>124</v>
      </c>
      <c r="H103" s="32" t="s">
        <v>165</v>
      </c>
      <c r="I103" s="31" t="s">
        <v>851</v>
      </c>
      <c r="J103" s="31">
        <v>99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0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0</v>
      </c>
      <c r="AG103" s="2">
        <f t="shared" si="32"/>
        <v>0</v>
      </c>
      <c r="AH103" s="2">
        <f t="shared" si="33"/>
        <v>0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838</v>
      </c>
      <c r="G104" s="32" t="s">
        <v>103</v>
      </c>
      <c r="H104" s="32" t="s">
        <v>165</v>
      </c>
      <c r="I104" s="31" t="s">
        <v>852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4">
        <v>0</v>
      </c>
      <c r="B105" s="34">
        <v>1</v>
      </c>
      <c r="C105" s="34">
        <v>7</v>
      </c>
      <c r="D105" s="35" t="s">
        <v>71</v>
      </c>
      <c r="E105" s="35" t="s">
        <v>32</v>
      </c>
      <c r="F105" s="35" t="s">
        <v>150</v>
      </c>
      <c r="G105" s="35" t="s">
        <v>92</v>
      </c>
      <c r="H105" s="35" t="s">
        <v>165</v>
      </c>
      <c r="I105" s="34" t="s">
        <v>194</v>
      </c>
      <c r="J105" s="34">
        <v>2</v>
      </c>
      <c r="K105" s="34" t="s">
        <v>320</v>
      </c>
      <c r="L105" s="34" t="s">
        <v>335</v>
      </c>
      <c r="M105" s="35" t="s">
        <v>268</v>
      </c>
      <c r="N105" s="35" t="s">
        <v>931</v>
      </c>
      <c r="O105" s="36"/>
      <c r="P105" s="36"/>
      <c r="Q105" s="35"/>
      <c r="S105" s="2">
        <f t="shared" si="35"/>
        <v>0</v>
      </c>
      <c r="T105" s="2">
        <f t="shared" si="36"/>
        <v>1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0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1</v>
      </c>
    </row>
    <row r="106" spans="1:35" ht="14.25" customHeight="1" x14ac:dyDescent="0.25">
      <c r="A106" s="34">
        <v>1</v>
      </c>
      <c r="B106" s="34">
        <v>1</v>
      </c>
      <c r="C106" s="34">
        <v>7</v>
      </c>
      <c r="D106" s="35" t="s">
        <v>71</v>
      </c>
      <c r="E106" s="35" t="s">
        <v>32</v>
      </c>
      <c r="F106" s="35" t="s">
        <v>315</v>
      </c>
      <c r="G106" s="35" t="s">
        <v>154</v>
      </c>
      <c r="H106" s="35" t="s">
        <v>165</v>
      </c>
      <c r="I106" s="34" t="s">
        <v>317</v>
      </c>
      <c r="J106" s="34">
        <v>99</v>
      </c>
      <c r="K106" s="34" t="s">
        <v>320</v>
      </c>
      <c r="L106" s="34" t="s">
        <v>335</v>
      </c>
      <c r="M106" s="35" t="s">
        <v>268</v>
      </c>
      <c r="N106" s="35" t="s">
        <v>931</v>
      </c>
      <c r="O106" s="36"/>
      <c r="P106" s="36"/>
      <c r="Q106" s="35"/>
      <c r="S106" s="2">
        <f t="shared" si="35"/>
        <v>0</v>
      </c>
      <c r="T106" s="2">
        <f t="shared" si="36"/>
        <v>0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0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1">
        <v>0</v>
      </c>
      <c r="B107" s="31">
        <v>1</v>
      </c>
      <c r="C107" s="31">
        <v>7</v>
      </c>
      <c r="D107" s="32" t="s">
        <v>948</v>
      </c>
      <c r="E107" s="32" t="s">
        <v>32</v>
      </c>
      <c r="F107" s="32" t="s">
        <v>949</v>
      </c>
      <c r="G107" s="32"/>
      <c r="H107" s="32" t="s">
        <v>165</v>
      </c>
      <c r="I107" s="31" t="s">
        <v>950</v>
      </c>
      <c r="J107" s="31"/>
      <c r="K107" s="31" t="s">
        <v>378</v>
      </c>
      <c r="L107" s="31">
        <v>30</v>
      </c>
      <c r="M107" s="32" t="s">
        <v>951</v>
      </c>
      <c r="N107" s="32" t="s">
        <v>895</v>
      </c>
      <c r="O107" s="33">
        <v>1</v>
      </c>
      <c r="P107" s="33">
        <v>1</v>
      </c>
      <c r="Q107" s="32"/>
      <c r="S107" s="2">
        <f t="shared" si="35"/>
        <v>0</v>
      </c>
      <c r="T107" s="2">
        <f t="shared" si="36"/>
        <v>0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1</v>
      </c>
      <c r="AE107" s="2">
        <f t="shared" si="46"/>
        <v>0</v>
      </c>
      <c r="AF107" s="2">
        <f t="shared" si="31"/>
        <v>1</v>
      </c>
      <c r="AG107" s="2">
        <f t="shared" si="32"/>
        <v>0</v>
      </c>
      <c r="AH107" s="2">
        <f t="shared" si="33"/>
        <v>1</v>
      </c>
      <c r="AI107" s="2">
        <f t="shared" si="34"/>
        <v>0</v>
      </c>
    </row>
    <row r="108" spans="1:35" ht="14.25" customHeight="1" x14ac:dyDescent="0.25">
      <c r="A108" s="34">
        <v>0</v>
      </c>
      <c r="B108" s="34">
        <v>1</v>
      </c>
      <c r="C108" s="34">
        <v>7</v>
      </c>
      <c r="D108" s="35" t="s">
        <v>647</v>
      </c>
      <c r="E108" s="35" t="s">
        <v>32</v>
      </c>
      <c r="F108" s="35" t="s">
        <v>649</v>
      </c>
      <c r="G108" s="35" t="s">
        <v>117</v>
      </c>
      <c r="H108" s="35" t="s">
        <v>165</v>
      </c>
      <c r="I108" s="34" t="s">
        <v>694</v>
      </c>
      <c r="J108" s="34">
        <v>1</v>
      </c>
      <c r="K108" s="34" t="s">
        <v>320</v>
      </c>
      <c r="L108" s="34" t="s">
        <v>335</v>
      </c>
      <c r="M108" s="35" t="s">
        <v>648</v>
      </c>
      <c r="N108" s="35" t="s">
        <v>897</v>
      </c>
      <c r="O108" s="36"/>
      <c r="P108" s="36"/>
      <c r="Q108" s="35"/>
      <c r="S108" s="2">
        <f t="shared" si="35"/>
        <v>1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1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548</v>
      </c>
      <c r="E109" s="32" t="s">
        <v>32</v>
      </c>
      <c r="F109" s="32" t="s">
        <v>549</v>
      </c>
      <c r="G109" s="32" t="s">
        <v>550</v>
      </c>
      <c r="H109" s="32" t="s">
        <v>165</v>
      </c>
      <c r="I109" s="31" t="s">
        <v>551</v>
      </c>
      <c r="J109" s="31">
        <v>99</v>
      </c>
      <c r="K109" s="31" t="s">
        <v>320</v>
      </c>
      <c r="L109" s="31">
        <v>30</v>
      </c>
      <c r="M109" s="32" t="s">
        <v>298</v>
      </c>
      <c r="N109" s="32" t="s">
        <v>915</v>
      </c>
      <c r="O109" s="33">
        <v>1</v>
      </c>
      <c r="P109" s="33"/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0</v>
      </c>
      <c r="AE109" s="2">
        <f t="shared" si="46"/>
        <v>1</v>
      </c>
      <c r="AF109" s="2">
        <f t="shared" si="31"/>
        <v>0</v>
      </c>
      <c r="AG109" s="2">
        <f t="shared" si="32"/>
        <v>1</v>
      </c>
      <c r="AH109" s="2">
        <f t="shared" si="33"/>
        <v>0</v>
      </c>
      <c r="AI109" s="2">
        <f t="shared" si="34"/>
        <v>1</v>
      </c>
    </row>
    <row r="110" spans="1:35" ht="14.25" customHeight="1" x14ac:dyDescent="0.25">
      <c r="A110" s="31">
        <v>1</v>
      </c>
      <c r="B110" s="31">
        <v>1</v>
      </c>
      <c r="C110" s="31">
        <v>7</v>
      </c>
      <c r="D110" s="32" t="s">
        <v>548</v>
      </c>
      <c r="E110" s="32" t="s">
        <v>32</v>
      </c>
      <c r="F110" s="32" t="s">
        <v>662</v>
      </c>
      <c r="G110" s="32" t="s">
        <v>40</v>
      </c>
      <c r="H110" s="32" t="s">
        <v>165</v>
      </c>
      <c r="I110" s="31" t="s">
        <v>695</v>
      </c>
      <c r="J110" s="31"/>
      <c r="K110" s="31" t="s">
        <v>320</v>
      </c>
      <c r="L110" s="31">
        <v>30</v>
      </c>
      <c r="M110" s="32" t="s">
        <v>298</v>
      </c>
      <c r="N110" s="32" t="s">
        <v>915</v>
      </c>
      <c r="O110" s="33">
        <v>1</v>
      </c>
      <c r="P110" s="33"/>
      <c r="Q110" s="32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1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0</v>
      </c>
    </row>
    <row r="111" spans="1:35" ht="14.25" customHeight="1" x14ac:dyDescent="0.25">
      <c r="A111" s="31">
        <v>0</v>
      </c>
      <c r="B111" s="31">
        <v>2</v>
      </c>
      <c r="C111" s="31">
        <v>1</v>
      </c>
      <c r="D111" s="32" t="s">
        <v>670</v>
      </c>
      <c r="E111" s="32" t="s">
        <v>44</v>
      </c>
      <c r="F111" s="32" t="s">
        <v>619</v>
      </c>
      <c r="G111" s="32" t="s">
        <v>471</v>
      </c>
      <c r="H111" s="32" t="s">
        <v>165</v>
      </c>
      <c r="I111" s="31" t="s">
        <v>620</v>
      </c>
      <c r="J111" s="31">
        <v>99</v>
      </c>
      <c r="K111" s="31" t="s">
        <v>318</v>
      </c>
      <c r="L111" s="31" t="s">
        <v>318</v>
      </c>
      <c r="M111" s="32" t="s">
        <v>269</v>
      </c>
      <c r="N111" s="32" t="s">
        <v>895</v>
      </c>
      <c r="O111" s="33">
        <v>1</v>
      </c>
      <c r="P111" s="33">
        <v>1</v>
      </c>
      <c r="Q111" s="32"/>
      <c r="S111" s="2">
        <f t="shared" si="35"/>
        <v>0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1</v>
      </c>
      <c r="AE111" s="2">
        <f t="shared" si="46"/>
        <v>0</v>
      </c>
      <c r="AF111" s="2">
        <f t="shared" si="31"/>
        <v>1</v>
      </c>
      <c r="AG111" s="2">
        <f t="shared" si="32"/>
        <v>0</v>
      </c>
      <c r="AH111" s="2">
        <f t="shared" si="33"/>
        <v>1</v>
      </c>
      <c r="AI111" s="2">
        <f t="shared" si="34"/>
        <v>0</v>
      </c>
    </row>
    <row r="112" spans="1:35" ht="14.25" customHeight="1" x14ac:dyDescent="0.25">
      <c r="A112" s="31">
        <v>1</v>
      </c>
      <c r="B112" s="31">
        <v>2</v>
      </c>
      <c r="C112" s="31">
        <v>1</v>
      </c>
      <c r="D112" s="32" t="s">
        <v>670</v>
      </c>
      <c r="E112" s="32" t="s">
        <v>44</v>
      </c>
      <c r="F112" s="32" t="s">
        <v>621</v>
      </c>
      <c r="G112" s="32" t="s">
        <v>91</v>
      </c>
      <c r="H112" s="32" t="s">
        <v>165</v>
      </c>
      <c r="I112" s="31" t="s">
        <v>620</v>
      </c>
      <c r="J112" s="31">
        <v>1</v>
      </c>
      <c r="K112" s="31" t="s">
        <v>318</v>
      </c>
      <c r="L112" s="31" t="s">
        <v>318</v>
      </c>
      <c r="M112" s="32" t="s">
        <v>269</v>
      </c>
      <c r="N112" s="32" t="s">
        <v>895</v>
      </c>
      <c r="O112" s="33">
        <v>1</v>
      </c>
      <c r="P112" s="33">
        <v>1</v>
      </c>
      <c r="Q112" s="32"/>
      <c r="S112" s="2">
        <f t="shared" si="35"/>
        <v>1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1</v>
      </c>
      <c r="AE112" s="2">
        <f t="shared" si="46"/>
        <v>0</v>
      </c>
      <c r="AF112" s="2">
        <f t="shared" si="31"/>
        <v>0</v>
      </c>
      <c r="AG112" s="2">
        <f t="shared" si="32"/>
        <v>0</v>
      </c>
      <c r="AH112" s="2">
        <f t="shared" si="33"/>
        <v>0</v>
      </c>
      <c r="AI112" s="2">
        <f t="shared" si="34"/>
        <v>0</v>
      </c>
    </row>
    <row r="113" spans="1:35" ht="14.25" customHeight="1" x14ac:dyDescent="0.25">
      <c r="A113" s="20">
        <v>0</v>
      </c>
      <c r="B113" s="20">
        <v>2</v>
      </c>
      <c r="C113" s="20">
        <v>1</v>
      </c>
      <c r="D113" s="21" t="s">
        <v>795</v>
      </c>
      <c r="E113" s="21" t="s">
        <v>470</v>
      </c>
      <c r="F113" s="21" t="s">
        <v>796</v>
      </c>
      <c r="G113" s="21" t="s">
        <v>114</v>
      </c>
      <c r="H113" s="21" t="s">
        <v>165</v>
      </c>
      <c r="I113" s="20" t="s">
        <v>797</v>
      </c>
      <c r="J113" s="20">
        <v>99</v>
      </c>
      <c r="K113" s="20" t="s">
        <v>378</v>
      </c>
      <c r="L113" s="20">
        <v>6</v>
      </c>
      <c r="M113" s="21" t="s">
        <v>944</v>
      </c>
      <c r="N113" s="21"/>
      <c r="O113" s="7"/>
      <c r="P113" s="7"/>
      <c r="Q113" s="21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0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1</v>
      </c>
    </row>
    <row r="114" spans="1:35" ht="14.25" customHeight="1" x14ac:dyDescent="0.25">
      <c r="A114" s="31">
        <v>0</v>
      </c>
      <c r="B114" s="31">
        <v>2</v>
      </c>
      <c r="C114" s="31">
        <v>1</v>
      </c>
      <c r="D114" s="32" t="s">
        <v>790</v>
      </c>
      <c r="E114" s="32" t="s">
        <v>470</v>
      </c>
      <c r="F114" s="32" t="s">
        <v>791</v>
      </c>
      <c r="G114" s="32" t="s">
        <v>103</v>
      </c>
      <c r="H114" s="32" t="s">
        <v>165</v>
      </c>
      <c r="I114" s="31" t="s">
        <v>792</v>
      </c>
      <c r="J114" s="31">
        <v>2</v>
      </c>
      <c r="K114" s="31" t="s">
        <v>321</v>
      </c>
      <c r="L114" s="31">
        <v>15</v>
      </c>
      <c r="M114" s="32" t="s">
        <v>864</v>
      </c>
      <c r="N114" s="32" t="s">
        <v>895</v>
      </c>
      <c r="O114" s="33">
        <v>1</v>
      </c>
      <c r="P114" s="33">
        <v>1</v>
      </c>
      <c r="Q114" s="32"/>
      <c r="S114" s="2">
        <f t="shared" si="35"/>
        <v>0</v>
      </c>
      <c r="T114" s="2">
        <f t="shared" si="36"/>
        <v>1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1</v>
      </c>
      <c r="AE114" s="2">
        <f t="shared" si="46"/>
        <v>0</v>
      </c>
      <c r="AF114" s="2">
        <f t="shared" si="31"/>
        <v>1</v>
      </c>
      <c r="AG114" s="2">
        <f t="shared" si="32"/>
        <v>0</v>
      </c>
      <c r="AH114" s="2">
        <f t="shared" si="33"/>
        <v>1</v>
      </c>
      <c r="AI114" s="2">
        <f t="shared" si="34"/>
        <v>0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531</v>
      </c>
      <c r="E115" s="32" t="s">
        <v>470</v>
      </c>
      <c r="F115" s="32" t="s">
        <v>536</v>
      </c>
      <c r="G115" s="32" t="s">
        <v>471</v>
      </c>
      <c r="H115" s="32" t="s">
        <v>165</v>
      </c>
      <c r="I115" s="31" t="s">
        <v>538</v>
      </c>
      <c r="J115" s="31">
        <v>99</v>
      </c>
      <c r="K115" s="31" t="s">
        <v>318</v>
      </c>
      <c r="L115" s="31">
        <v>13</v>
      </c>
      <c r="M115" s="32" t="s">
        <v>864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531</v>
      </c>
      <c r="E116" s="32" t="s">
        <v>470</v>
      </c>
      <c r="F116" s="32" t="s">
        <v>532</v>
      </c>
      <c r="G116" s="32" t="s">
        <v>92</v>
      </c>
      <c r="H116" s="32" t="s">
        <v>165</v>
      </c>
      <c r="I116" s="31" t="s">
        <v>533</v>
      </c>
      <c r="J116" s="31">
        <v>2</v>
      </c>
      <c r="K116" s="31" t="s">
        <v>318</v>
      </c>
      <c r="L116" s="31">
        <v>13</v>
      </c>
      <c r="M116" s="32" t="s">
        <v>865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0</v>
      </c>
      <c r="T116" s="2">
        <f t="shared" si="36"/>
        <v>1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31">
        <v>1</v>
      </c>
      <c r="B117" s="31">
        <v>2</v>
      </c>
      <c r="C117" s="31">
        <v>1</v>
      </c>
      <c r="D117" s="32" t="s">
        <v>531</v>
      </c>
      <c r="E117" s="32" t="s">
        <v>470</v>
      </c>
      <c r="F117" s="32" t="s">
        <v>537</v>
      </c>
      <c r="G117" s="32" t="s">
        <v>405</v>
      </c>
      <c r="H117" s="32" t="s">
        <v>165</v>
      </c>
      <c r="I117" s="31" t="s">
        <v>539</v>
      </c>
      <c r="J117" s="31">
        <v>99</v>
      </c>
      <c r="K117" s="31" t="s">
        <v>318</v>
      </c>
      <c r="L117" s="31">
        <v>13</v>
      </c>
      <c r="M117" s="32" t="s">
        <v>866</v>
      </c>
      <c r="N117" s="32" t="s">
        <v>895</v>
      </c>
      <c r="O117" s="33">
        <v>1</v>
      </c>
      <c r="P117" s="33">
        <v>1</v>
      </c>
      <c r="Q117" s="32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1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0</v>
      </c>
    </row>
    <row r="118" spans="1:35" ht="14.25" customHeight="1" x14ac:dyDescent="0.25">
      <c r="A118" s="31">
        <v>1</v>
      </c>
      <c r="B118" s="31">
        <v>2</v>
      </c>
      <c r="C118" s="31">
        <v>1</v>
      </c>
      <c r="D118" s="32" t="s">
        <v>531</v>
      </c>
      <c r="E118" s="32" t="s">
        <v>470</v>
      </c>
      <c r="F118" s="32" t="s">
        <v>778</v>
      </c>
      <c r="G118" s="32" t="s">
        <v>779</v>
      </c>
      <c r="H118" s="32" t="s">
        <v>165</v>
      </c>
      <c r="I118" s="31" t="s">
        <v>33</v>
      </c>
      <c r="J118" s="31">
        <v>99</v>
      </c>
      <c r="K118" s="31" t="s">
        <v>318</v>
      </c>
      <c r="L118" s="31">
        <v>13</v>
      </c>
      <c r="M118" s="32" t="s">
        <v>867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0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0</v>
      </c>
      <c r="AG118" s="2">
        <f t="shared" si="32"/>
        <v>0</v>
      </c>
      <c r="AH118" s="2">
        <f t="shared" si="33"/>
        <v>0</v>
      </c>
      <c r="AI118" s="2">
        <f t="shared" si="34"/>
        <v>0</v>
      </c>
    </row>
    <row r="119" spans="1:35" ht="14.25" customHeight="1" x14ac:dyDescent="0.25">
      <c r="A119" s="31">
        <v>1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780</v>
      </c>
      <c r="G119" s="32" t="s">
        <v>820</v>
      </c>
      <c r="H119" s="32" t="s">
        <v>165</v>
      </c>
      <c r="I119" s="31" t="s">
        <v>538</v>
      </c>
      <c r="J119" s="31">
        <v>3</v>
      </c>
      <c r="K119" s="31" t="s">
        <v>318</v>
      </c>
      <c r="L119" s="31">
        <v>13</v>
      </c>
      <c r="M119" s="32" t="s">
        <v>868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1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0</v>
      </c>
      <c r="AG119" s="2">
        <f t="shared" si="32"/>
        <v>0</v>
      </c>
      <c r="AH119" s="2">
        <f t="shared" si="33"/>
        <v>0</v>
      </c>
      <c r="AI119" s="2">
        <f t="shared" si="34"/>
        <v>0</v>
      </c>
    </row>
    <row r="120" spans="1:35" ht="14.25" customHeight="1" x14ac:dyDescent="0.25">
      <c r="A120" s="31">
        <v>0</v>
      </c>
      <c r="B120" s="31">
        <v>2</v>
      </c>
      <c r="C120" s="31">
        <v>1</v>
      </c>
      <c r="D120" s="32" t="s">
        <v>663</v>
      </c>
      <c r="E120" s="32" t="s">
        <v>35</v>
      </c>
      <c r="F120" s="32" t="s">
        <v>635</v>
      </c>
      <c r="G120" s="32" t="s">
        <v>688</v>
      </c>
      <c r="H120" s="32" t="s">
        <v>165</v>
      </c>
      <c r="I120" s="31" t="s">
        <v>636</v>
      </c>
      <c r="J120" s="31">
        <v>99</v>
      </c>
      <c r="K120" s="31" t="s">
        <v>318</v>
      </c>
      <c r="L120" s="31" t="s">
        <v>318</v>
      </c>
      <c r="M120" s="32" t="s">
        <v>269</v>
      </c>
      <c r="N120" s="32" t="s">
        <v>901</v>
      </c>
      <c r="O120" s="33">
        <v>1</v>
      </c>
      <c r="P120" s="33"/>
      <c r="Q120" s="32"/>
      <c r="S120" s="2">
        <f t="shared" si="35"/>
        <v>0</v>
      </c>
      <c r="T120" s="2">
        <f t="shared" si="36"/>
        <v>0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0</v>
      </c>
      <c r="AE120" s="2">
        <f t="shared" si="46"/>
        <v>1</v>
      </c>
      <c r="AF120" s="2">
        <f t="shared" si="31"/>
        <v>0</v>
      </c>
      <c r="AG120" s="2">
        <f t="shared" si="32"/>
        <v>1</v>
      </c>
      <c r="AH120" s="2">
        <f t="shared" si="33"/>
        <v>0</v>
      </c>
      <c r="AI120" s="2">
        <f t="shared" si="34"/>
        <v>1</v>
      </c>
    </row>
    <row r="121" spans="1:35" ht="14.25" customHeight="1" x14ac:dyDescent="0.25">
      <c r="A121" s="31">
        <v>0</v>
      </c>
      <c r="B121" s="31">
        <v>2</v>
      </c>
      <c r="C121" s="31">
        <v>1</v>
      </c>
      <c r="D121" s="32" t="s">
        <v>938</v>
      </c>
      <c r="E121" s="32" t="s">
        <v>470</v>
      </c>
      <c r="F121" s="32" t="s">
        <v>939</v>
      </c>
      <c r="G121" s="32" t="s">
        <v>38</v>
      </c>
      <c r="H121" s="32" t="s">
        <v>165</v>
      </c>
      <c r="I121" s="31" t="s">
        <v>940</v>
      </c>
      <c r="J121" s="31">
        <v>1</v>
      </c>
      <c r="K121" s="31" t="s">
        <v>378</v>
      </c>
      <c r="L121" s="31"/>
      <c r="M121" s="32"/>
      <c r="N121" s="32" t="s">
        <v>895</v>
      </c>
      <c r="O121" s="33">
        <v>1</v>
      </c>
      <c r="P121" s="33">
        <v>1</v>
      </c>
      <c r="Q121" s="32"/>
      <c r="S121" s="2">
        <f t="shared" si="35"/>
        <v>1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1</v>
      </c>
      <c r="AG121" s="2">
        <f t="shared" si="32"/>
        <v>0</v>
      </c>
      <c r="AH121" s="2">
        <f t="shared" si="33"/>
        <v>1</v>
      </c>
      <c r="AI121" s="2">
        <f t="shared" si="34"/>
        <v>0</v>
      </c>
    </row>
    <row r="122" spans="1:35" ht="14.25" customHeight="1" x14ac:dyDescent="0.25">
      <c r="A122" s="31">
        <v>0</v>
      </c>
      <c r="B122" s="31">
        <v>2</v>
      </c>
      <c r="C122" s="31">
        <v>1</v>
      </c>
      <c r="D122" s="32" t="s">
        <v>761</v>
      </c>
      <c r="E122" s="32" t="s">
        <v>470</v>
      </c>
      <c r="F122" s="32" t="s">
        <v>762</v>
      </c>
      <c r="G122" s="32" t="s">
        <v>821</v>
      </c>
      <c r="H122" s="32" t="s">
        <v>165</v>
      </c>
      <c r="I122" s="31" t="s">
        <v>763</v>
      </c>
      <c r="J122" s="31">
        <v>99</v>
      </c>
      <c r="K122" s="31" t="s">
        <v>320</v>
      </c>
      <c r="L122" s="31"/>
      <c r="M122" s="32" t="s">
        <v>708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1</v>
      </c>
      <c r="AG122" s="2">
        <f t="shared" si="32"/>
        <v>0</v>
      </c>
      <c r="AH122" s="2">
        <f t="shared" si="33"/>
        <v>1</v>
      </c>
      <c r="AI122" s="2">
        <f t="shared" si="34"/>
        <v>0</v>
      </c>
    </row>
    <row r="123" spans="1:35" ht="14.25" customHeight="1" x14ac:dyDescent="0.25">
      <c r="A123" s="31">
        <v>0</v>
      </c>
      <c r="B123" s="31">
        <v>2</v>
      </c>
      <c r="C123" s="31">
        <v>1</v>
      </c>
      <c r="D123" s="32" t="s">
        <v>680</v>
      </c>
      <c r="E123" s="32" t="s">
        <v>211</v>
      </c>
      <c r="F123" s="32" t="s">
        <v>223</v>
      </c>
      <c r="G123" s="32" t="s">
        <v>96</v>
      </c>
      <c r="H123" s="32" t="s">
        <v>165</v>
      </c>
      <c r="I123" s="31" t="s">
        <v>486</v>
      </c>
      <c r="J123" s="31">
        <v>3</v>
      </c>
      <c r="K123" s="31" t="s">
        <v>319</v>
      </c>
      <c r="L123" s="31" t="s">
        <v>318</v>
      </c>
      <c r="M123" s="32" t="s">
        <v>269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1</v>
      </c>
      <c r="AG123" s="2">
        <f t="shared" si="32"/>
        <v>0</v>
      </c>
      <c r="AH123" s="2">
        <f t="shared" si="33"/>
        <v>1</v>
      </c>
      <c r="AI123" s="2">
        <f t="shared" si="34"/>
        <v>0</v>
      </c>
    </row>
    <row r="124" spans="1:35" ht="14.25" customHeight="1" x14ac:dyDescent="0.25">
      <c r="A124" s="31">
        <v>1</v>
      </c>
      <c r="B124" s="31">
        <v>2</v>
      </c>
      <c r="C124" s="31">
        <v>1</v>
      </c>
      <c r="D124" s="32" t="s">
        <v>680</v>
      </c>
      <c r="E124" s="32" t="s">
        <v>211</v>
      </c>
      <c r="F124" s="32" t="s">
        <v>651</v>
      </c>
      <c r="G124" s="32" t="s">
        <v>92</v>
      </c>
      <c r="H124" s="32" t="s">
        <v>165</v>
      </c>
      <c r="I124" s="31" t="s">
        <v>652</v>
      </c>
      <c r="J124" s="31">
        <v>2</v>
      </c>
      <c r="K124" s="31" t="s">
        <v>319</v>
      </c>
      <c r="L124" s="31" t="s">
        <v>318</v>
      </c>
      <c r="M124" s="32" t="s">
        <v>269</v>
      </c>
      <c r="N124" s="32" t="s">
        <v>895</v>
      </c>
      <c r="O124" s="33">
        <v>1</v>
      </c>
      <c r="P124" s="33">
        <v>1</v>
      </c>
      <c r="Q124" s="32"/>
      <c r="S124" s="2">
        <f t="shared" si="35"/>
        <v>0</v>
      </c>
      <c r="T124" s="2">
        <f t="shared" si="36"/>
        <v>1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1</v>
      </c>
      <c r="AE124" s="2">
        <f t="shared" si="46"/>
        <v>0</v>
      </c>
      <c r="AF124" s="2">
        <f t="shared" si="31"/>
        <v>0</v>
      </c>
      <c r="AG124" s="2">
        <f t="shared" si="32"/>
        <v>0</v>
      </c>
      <c r="AH124" s="2">
        <f t="shared" si="33"/>
        <v>0</v>
      </c>
      <c r="AI124" s="2">
        <f t="shared" si="34"/>
        <v>0</v>
      </c>
    </row>
    <row r="125" spans="1:35" ht="14.25" customHeight="1" x14ac:dyDescent="0.25">
      <c r="A125" s="31">
        <v>1</v>
      </c>
      <c r="B125" s="31">
        <v>2</v>
      </c>
      <c r="C125" s="31">
        <v>1</v>
      </c>
      <c r="D125" s="32" t="s">
        <v>680</v>
      </c>
      <c r="E125" s="32" t="s">
        <v>211</v>
      </c>
      <c r="F125" s="32" t="s">
        <v>650</v>
      </c>
      <c r="G125" s="32" t="s">
        <v>40</v>
      </c>
      <c r="H125" s="32" t="s">
        <v>165</v>
      </c>
      <c r="I125" s="31" t="s">
        <v>653</v>
      </c>
      <c r="J125" s="31">
        <v>4</v>
      </c>
      <c r="K125" s="31" t="s">
        <v>319</v>
      </c>
      <c r="L125" s="31" t="s">
        <v>318</v>
      </c>
      <c r="M125" s="32" t="s">
        <v>269</v>
      </c>
      <c r="N125" s="32" t="s">
        <v>895</v>
      </c>
      <c r="O125" s="33">
        <v>1</v>
      </c>
      <c r="P125" s="33">
        <v>1</v>
      </c>
      <c r="Q125" s="32"/>
      <c r="S125" s="2">
        <f t="shared" si="35"/>
        <v>0</v>
      </c>
      <c r="T125" s="2">
        <f t="shared" si="36"/>
        <v>0</v>
      </c>
      <c r="U125" s="2">
        <f t="shared" si="37"/>
        <v>0</v>
      </c>
      <c r="V125" s="2">
        <f t="shared" si="38"/>
        <v>1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0</v>
      </c>
      <c r="AG125" s="2">
        <f t="shared" si="32"/>
        <v>0</v>
      </c>
      <c r="AH125" s="2">
        <f t="shared" si="33"/>
        <v>0</v>
      </c>
      <c r="AI125" s="2">
        <f t="shared" si="34"/>
        <v>0</v>
      </c>
    </row>
    <row r="126" spans="1:35" ht="14.25" customHeight="1" x14ac:dyDescent="0.25">
      <c r="A126" s="34">
        <v>0</v>
      </c>
      <c r="B126" s="34">
        <v>2</v>
      </c>
      <c r="C126" s="34">
        <v>1</v>
      </c>
      <c r="D126" s="35" t="s">
        <v>461</v>
      </c>
      <c r="E126" s="35" t="s">
        <v>468</v>
      </c>
      <c r="F126" s="35" t="s">
        <v>474</v>
      </c>
      <c r="G126" s="35" t="s">
        <v>475</v>
      </c>
      <c r="H126" s="35" t="s">
        <v>165</v>
      </c>
      <c r="I126" s="34" t="s">
        <v>409</v>
      </c>
      <c r="J126" s="34">
        <v>99</v>
      </c>
      <c r="K126" s="34" t="s">
        <v>320</v>
      </c>
      <c r="L126" s="34" t="s">
        <v>318</v>
      </c>
      <c r="M126" s="35" t="s">
        <v>269</v>
      </c>
      <c r="N126" s="35" t="s">
        <v>931</v>
      </c>
      <c r="O126" s="36"/>
      <c r="P126" s="36"/>
      <c r="Q126" s="35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0</v>
      </c>
      <c r="AE126" s="2">
        <f t="shared" si="46"/>
        <v>0</v>
      </c>
      <c r="AF126" s="2">
        <f t="shared" si="31"/>
        <v>0</v>
      </c>
      <c r="AG126" s="2">
        <f t="shared" si="32"/>
        <v>0</v>
      </c>
      <c r="AH126" s="2">
        <f t="shared" si="33"/>
        <v>0</v>
      </c>
      <c r="AI126" s="2">
        <f t="shared" si="34"/>
        <v>1</v>
      </c>
    </row>
    <row r="127" spans="1:35" ht="14.25" customHeight="1" x14ac:dyDescent="0.25">
      <c r="A127" s="20">
        <v>0</v>
      </c>
      <c r="B127" s="20">
        <v>2</v>
      </c>
      <c r="C127" s="20">
        <v>1</v>
      </c>
      <c r="D127" s="21" t="s">
        <v>50</v>
      </c>
      <c r="E127" s="21" t="s">
        <v>44</v>
      </c>
      <c r="F127" s="21" t="s">
        <v>253</v>
      </c>
      <c r="G127" s="21" t="s">
        <v>102</v>
      </c>
      <c r="H127" s="21" t="s">
        <v>165</v>
      </c>
      <c r="I127" s="20" t="s">
        <v>170</v>
      </c>
      <c r="J127" s="20">
        <v>4</v>
      </c>
      <c r="K127" s="20" t="s">
        <v>378</v>
      </c>
      <c r="L127" s="20" t="s">
        <v>318</v>
      </c>
      <c r="M127" s="21" t="s">
        <v>269</v>
      </c>
      <c r="N127" s="21"/>
      <c r="O127" s="7"/>
      <c r="P127" s="7"/>
      <c r="Q127" s="21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0</v>
      </c>
      <c r="AE127" s="2">
        <f t="shared" si="46"/>
        <v>0</v>
      </c>
      <c r="AF127" s="2">
        <f t="shared" si="31"/>
        <v>0</v>
      </c>
      <c r="AG127" s="2">
        <f t="shared" si="32"/>
        <v>0</v>
      </c>
      <c r="AH127" s="2">
        <f t="shared" si="33"/>
        <v>0</v>
      </c>
      <c r="AI127" s="2">
        <f t="shared" si="34"/>
        <v>1</v>
      </c>
    </row>
    <row r="128" spans="1:35" ht="14.25" customHeight="1" x14ac:dyDescent="0.25">
      <c r="A128" s="31">
        <v>0</v>
      </c>
      <c r="B128" s="31">
        <v>2</v>
      </c>
      <c r="C128" s="31">
        <v>1</v>
      </c>
      <c r="D128" s="32" t="s">
        <v>941</v>
      </c>
      <c r="E128" s="32" t="s">
        <v>942</v>
      </c>
      <c r="F128" s="32" t="s">
        <v>943</v>
      </c>
      <c r="G128" s="32"/>
      <c r="H128" s="32" t="s">
        <v>165</v>
      </c>
      <c r="I128" s="31" t="s">
        <v>33</v>
      </c>
      <c r="J128" s="31"/>
      <c r="K128" s="31" t="s">
        <v>378</v>
      </c>
      <c r="L128" s="31"/>
      <c r="M128" s="32"/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1</v>
      </c>
      <c r="AG128" s="2">
        <f t="shared" si="32"/>
        <v>0</v>
      </c>
      <c r="AH128" s="2">
        <f t="shared" si="33"/>
        <v>1</v>
      </c>
      <c r="AI128" s="2">
        <f t="shared" si="34"/>
        <v>0</v>
      </c>
    </row>
    <row r="129" spans="1:35" ht="14.25" customHeight="1" x14ac:dyDescent="0.25">
      <c r="A129" s="31">
        <v>0</v>
      </c>
      <c r="B129" s="31">
        <v>2</v>
      </c>
      <c r="C129" s="31">
        <v>1</v>
      </c>
      <c r="D129" s="32" t="s">
        <v>916</v>
      </c>
      <c r="E129" s="32" t="s">
        <v>35</v>
      </c>
      <c r="F129" s="32" t="s">
        <v>917</v>
      </c>
      <c r="G129" s="32"/>
      <c r="H129" s="32" t="s">
        <v>165</v>
      </c>
      <c r="I129" s="31" t="s">
        <v>918</v>
      </c>
      <c r="J129" s="31">
        <v>99</v>
      </c>
      <c r="K129" s="31" t="s">
        <v>378</v>
      </c>
      <c r="L129" s="31"/>
      <c r="M129" s="32"/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1</v>
      </c>
      <c r="AG129" s="2">
        <f t="shared" si="32"/>
        <v>0</v>
      </c>
      <c r="AH129" s="2">
        <f t="shared" si="33"/>
        <v>1</v>
      </c>
      <c r="AI129" s="2">
        <f t="shared" si="34"/>
        <v>0</v>
      </c>
    </row>
    <row r="130" spans="1:35" ht="14.25" customHeight="1" x14ac:dyDescent="0.25">
      <c r="A130" s="31">
        <v>0</v>
      </c>
      <c r="B130" s="31">
        <v>2</v>
      </c>
      <c r="C130" s="31">
        <v>1</v>
      </c>
      <c r="D130" s="32" t="s">
        <v>552</v>
      </c>
      <c r="E130" s="32" t="s">
        <v>211</v>
      </c>
      <c r="F130" s="32" t="s">
        <v>553</v>
      </c>
      <c r="G130" s="32" t="s">
        <v>554</v>
      </c>
      <c r="H130" s="32" t="s">
        <v>165</v>
      </c>
      <c r="I130" s="31" t="s">
        <v>33</v>
      </c>
      <c r="J130" s="31">
        <v>99</v>
      </c>
      <c r="K130" s="31" t="s">
        <v>321</v>
      </c>
      <c r="L130" s="31">
        <v>8</v>
      </c>
      <c r="M130" s="32" t="s">
        <v>864</v>
      </c>
      <c r="N130" s="32" t="s">
        <v>895</v>
      </c>
      <c r="O130" s="33">
        <v>1</v>
      </c>
      <c r="P130" s="33">
        <v>1</v>
      </c>
      <c r="Q130" s="3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1</v>
      </c>
      <c r="AE130" s="2">
        <f t="shared" si="46"/>
        <v>0</v>
      </c>
      <c r="AF130" s="2">
        <f t="shared" si="31"/>
        <v>1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1">
        <v>0</v>
      </c>
      <c r="B131" s="31">
        <v>2</v>
      </c>
      <c r="C131" s="31">
        <v>1</v>
      </c>
      <c r="D131" s="32" t="s">
        <v>225</v>
      </c>
      <c r="E131" s="32" t="s">
        <v>44</v>
      </c>
      <c r="F131" s="32" t="s">
        <v>825</v>
      </c>
      <c r="G131" s="32" t="s">
        <v>130</v>
      </c>
      <c r="H131" s="32" t="s">
        <v>165</v>
      </c>
      <c r="I131" s="31" t="s">
        <v>226</v>
      </c>
      <c r="J131" s="31">
        <v>10</v>
      </c>
      <c r="K131" s="31" t="s">
        <v>321</v>
      </c>
      <c r="L131" s="31">
        <v>5</v>
      </c>
      <c r="M131" s="32" t="s">
        <v>269</v>
      </c>
      <c r="N131" s="32" t="s">
        <v>895</v>
      </c>
      <c r="O131" s="33">
        <v>1</v>
      </c>
      <c r="P131" s="33">
        <v>1</v>
      </c>
      <c r="Q131" s="32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1</v>
      </c>
      <c r="AD131" s="2">
        <f t="shared" si="45"/>
        <v>1</v>
      </c>
      <c r="AE131" s="2">
        <f t="shared" si="46"/>
        <v>0</v>
      </c>
      <c r="AF131" s="2">
        <f t="shared" si="31"/>
        <v>1</v>
      </c>
      <c r="AG131" s="2">
        <f t="shared" si="32"/>
        <v>0</v>
      </c>
      <c r="AH131" s="2">
        <f t="shared" si="33"/>
        <v>1</v>
      </c>
      <c r="AI131" s="2">
        <f t="shared" si="34"/>
        <v>0</v>
      </c>
    </row>
    <row r="132" spans="1:35" ht="14.25" customHeight="1" x14ac:dyDescent="0.25">
      <c r="A132" s="31">
        <v>0</v>
      </c>
      <c r="B132" s="31">
        <v>2</v>
      </c>
      <c r="C132" s="31">
        <v>1</v>
      </c>
      <c r="D132" s="32" t="s">
        <v>352</v>
      </c>
      <c r="E132" s="32" t="s">
        <v>470</v>
      </c>
      <c r="F132" s="32" t="s">
        <v>353</v>
      </c>
      <c r="G132" s="32" t="s">
        <v>243</v>
      </c>
      <c r="H132" s="32" t="s">
        <v>165</v>
      </c>
      <c r="I132" s="31" t="s">
        <v>488</v>
      </c>
      <c r="J132" s="31">
        <v>9</v>
      </c>
      <c r="K132" s="31" t="s">
        <v>320</v>
      </c>
      <c r="L132" s="31">
        <v>11</v>
      </c>
      <c r="M132" s="32" t="s">
        <v>869</v>
      </c>
      <c r="N132" s="32" t="s">
        <v>901</v>
      </c>
      <c r="O132" s="33">
        <v>1</v>
      </c>
      <c r="P132" s="33"/>
      <c r="Q132" s="32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1</v>
      </c>
      <c r="AB132" s="2">
        <f t="shared" si="44"/>
        <v>0</v>
      </c>
      <c r="AD132" s="2">
        <f t="shared" si="45"/>
        <v>0</v>
      </c>
      <c r="AE132" s="2">
        <f t="shared" si="46"/>
        <v>1</v>
      </c>
      <c r="AF132" s="2">
        <f t="shared" si="31"/>
        <v>0</v>
      </c>
      <c r="AG132" s="2">
        <f t="shared" si="32"/>
        <v>1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1</v>
      </c>
      <c r="B133" s="31">
        <v>2</v>
      </c>
      <c r="C133" s="31">
        <v>1</v>
      </c>
      <c r="D133" s="32" t="s">
        <v>352</v>
      </c>
      <c r="E133" s="32" t="s">
        <v>470</v>
      </c>
      <c r="F133" s="32" t="s">
        <v>581</v>
      </c>
      <c r="G133" s="32" t="s">
        <v>555</v>
      </c>
      <c r="H133" s="32" t="s">
        <v>165</v>
      </c>
      <c r="I133" s="31" t="s">
        <v>556</v>
      </c>
      <c r="J133" s="31">
        <v>99</v>
      </c>
      <c r="K133" s="31" t="s">
        <v>320</v>
      </c>
      <c r="L133" s="31">
        <v>11</v>
      </c>
      <c r="M133" s="32" t="s">
        <v>870</v>
      </c>
      <c r="N133" s="32" t="s">
        <v>901</v>
      </c>
      <c r="O133" s="33">
        <v>1</v>
      </c>
      <c r="P133" s="33"/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0</v>
      </c>
      <c r="AE133" s="2">
        <f t="shared" si="46"/>
        <v>1</v>
      </c>
      <c r="AF133" s="2">
        <f t="shared" si="31"/>
        <v>0</v>
      </c>
      <c r="AG133" s="2">
        <f t="shared" si="32"/>
        <v>0</v>
      </c>
      <c r="AH133" s="2">
        <f t="shared" si="33"/>
        <v>0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247</v>
      </c>
      <c r="E134" s="32" t="s">
        <v>35</v>
      </c>
      <c r="F134" s="32" t="s">
        <v>209</v>
      </c>
      <c r="G134" s="32" t="s">
        <v>93</v>
      </c>
      <c r="H134" s="32" t="s">
        <v>165</v>
      </c>
      <c r="I134" s="31" t="s">
        <v>210</v>
      </c>
      <c r="J134" s="31">
        <v>8</v>
      </c>
      <c r="K134" s="31" t="s">
        <v>319</v>
      </c>
      <c r="L134" s="31" t="s">
        <v>318</v>
      </c>
      <c r="M134" s="32" t="s">
        <v>269</v>
      </c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1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361</v>
      </c>
      <c r="E135" s="32" t="s">
        <v>470</v>
      </c>
      <c r="F135" s="32" t="s">
        <v>583</v>
      </c>
      <c r="G135" s="32" t="s">
        <v>91</v>
      </c>
      <c r="H135" s="32" t="s">
        <v>165</v>
      </c>
      <c r="I135" s="31" t="s">
        <v>357</v>
      </c>
      <c r="J135" s="31">
        <v>1</v>
      </c>
      <c r="K135" s="31" t="s">
        <v>321</v>
      </c>
      <c r="L135" s="31" t="s">
        <v>325</v>
      </c>
      <c r="M135" s="32" t="s">
        <v>497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55</v>
      </c>
      <c r="E136" s="32" t="s">
        <v>470</v>
      </c>
      <c r="F136" s="32" t="s">
        <v>110</v>
      </c>
      <c r="G136" s="32" t="s">
        <v>99</v>
      </c>
      <c r="H136" s="32" t="s">
        <v>165</v>
      </c>
      <c r="I136" s="31" t="s">
        <v>174</v>
      </c>
      <c r="J136" s="31">
        <v>3</v>
      </c>
      <c r="K136" s="31" t="s">
        <v>320</v>
      </c>
      <c r="L136" s="31" t="s">
        <v>325</v>
      </c>
      <c r="M136" s="32" t="s">
        <v>497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1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47</v>
      </c>
      <c r="E137" s="32" t="s">
        <v>82</v>
      </c>
      <c r="F137" s="32" t="s">
        <v>829</v>
      </c>
      <c r="G137" s="32" t="s">
        <v>93</v>
      </c>
      <c r="H137" s="32" t="s">
        <v>165</v>
      </c>
      <c r="I137" s="31" t="s">
        <v>167</v>
      </c>
      <c r="J137" s="31">
        <v>8</v>
      </c>
      <c r="K137" s="31" t="s">
        <v>320</v>
      </c>
      <c r="L137" s="31" t="s">
        <v>318</v>
      </c>
      <c r="M137" s="32" t="s">
        <v>269</v>
      </c>
      <c r="N137" s="32" t="s">
        <v>915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1</v>
      </c>
      <c r="AA137" s="2">
        <f t="shared" si="43"/>
        <v>0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47</v>
      </c>
      <c r="E138" s="32" t="s">
        <v>82</v>
      </c>
      <c r="F138" s="32" t="s">
        <v>98</v>
      </c>
      <c r="G138" s="32" t="s">
        <v>99</v>
      </c>
      <c r="H138" s="32" t="s">
        <v>165</v>
      </c>
      <c r="I138" s="31" t="s">
        <v>492</v>
      </c>
      <c r="J138" s="31">
        <v>3</v>
      </c>
      <c r="K138" s="31" t="s">
        <v>320</v>
      </c>
      <c r="L138" s="31" t="s">
        <v>318</v>
      </c>
      <c r="M138" s="32" t="s">
        <v>269</v>
      </c>
      <c r="N138" s="32" t="s">
        <v>915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1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923</v>
      </c>
      <c r="E139" s="32" t="s">
        <v>35</v>
      </c>
      <c r="F139" s="32" t="s">
        <v>924</v>
      </c>
      <c r="G139" s="32" t="s">
        <v>132</v>
      </c>
      <c r="H139" s="32" t="s">
        <v>165</v>
      </c>
      <c r="I139" s="31" t="s">
        <v>925</v>
      </c>
      <c r="J139" s="31">
        <v>99</v>
      </c>
      <c r="K139" s="31" t="s">
        <v>378</v>
      </c>
      <c r="L139" s="31"/>
      <c r="M139" s="32"/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455</v>
      </c>
      <c r="E140" s="32" t="s">
        <v>456</v>
      </c>
      <c r="F140" s="32" t="s">
        <v>457</v>
      </c>
      <c r="G140" s="32" t="s">
        <v>458</v>
      </c>
      <c r="H140" s="32" t="s">
        <v>165</v>
      </c>
      <c r="I140" s="31" t="s">
        <v>459</v>
      </c>
      <c r="J140" s="31">
        <v>99</v>
      </c>
      <c r="K140" s="31" t="s">
        <v>318</v>
      </c>
      <c r="L140" s="31" t="s">
        <v>321</v>
      </c>
      <c r="M140" s="32" t="s">
        <v>269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0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560</v>
      </c>
      <c r="E141" s="32" t="s">
        <v>35</v>
      </c>
      <c r="F141" s="32" t="s">
        <v>832</v>
      </c>
      <c r="G141" s="32" t="s">
        <v>519</v>
      </c>
      <c r="H141" s="32" t="s">
        <v>165</v>
      </c>
      <c r="I141" s="31" t="s">
        <v>561</v>
      </c>
      <c r="J141" s="31">
        <v>99</v>
      </c>
      <c r="K141" s="31" t="s">
        <v>318</v>
      </c>
      <c r="L141" s="31">
        <v>5</v>
      </c>
      <c r="M141" s="32" t="s">
        <v>269</v>
      </c>
      <c r="N141" s="32" t="s">
        <v>901</v>
      </c>
      <c r="O141" s="33">
        <v>1</v>
      </c>
      <c r="P141" s="33"/>
      <c r="Q141" s="32" t="s">
        <v>959</v>
      </c>
      <c r="S141" s="2">
        <f t="shared" si="35"/>
        <v>0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0</v>
      </c>
      <c r="AE141" s="2">
        <f t="shared" si="46"/>
        <v>1</v>
      </c>
      <c r="AF141" s="2">
        <f t="shared" si="47"/>
        <v>0</v>
      </c>
      <c r="AG141" s="2">
        <f t="shared" si="48"/>
        <v>1</v>
      </c>
      <c r="AH141" s="2">
        <f t="shared" si="49"/>
        <v>0</v>
      </c>
      <c r="AI141" s="2">
        <f t="shared" si="50"/>
        <v>1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392</v>
      </c>
      <c r="E142" s="32" t="s">
        <v>37</v>
      </c>
      <c r="F142" s="32" t="s">
        <v>483</v>
      </c>
      <c r="G142" s="32" t="s">
        <v>130</v>
      </c>
      <c r="H142" s="32" t="s">
        <v>165</v>
      </c>
      <c r="I142" s="31" t="s">
        <v>393</v>
      </c>
      <c r="J142" s="31">
        <v>10</v>
      </c>
      <c r="K142" s="31" t="s">
        <v>319</v>
      </c>
      <c r="L142" s="31">
        <v>5</v>
      </c>
      <c r="M142" s="32" t="s">
        <v>269</v>
      </c>
      <c r="N142" s="32" t="s">
        <v>901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1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0</v>
      </c>
      <c r="B143" s="31">
        <v>2</v>
      </c>
      <c r="C143" s="31">
        <v>1</v>
      </c>
      <c r="D143" s="32" t="s">
        <v>248</v>
      </c>
      <c r="E143" s="32" t="s">
        <v>37</v>
      </c>
      <c r="F143" s="32" t="s">
        <v>232</v>
      </c>
      <c r="G143" s="32" t="s">
        <v>585</v>
      </c>
      <c r="H143" s="32" t="s">
        <v>165</v>
      </c>
      <c r="I143" s="31" t="s">
        <v>265</v>
      </c>
      <c r="J143" s="31">
        <v>99</v>
      </c>
      <c r="K143" s="31" t="s">
        <v>320</v>
      </c>
      <c r="L143" s="31">
        <v>5</v>
      </c>
      <c r="M143" s="32" t="s">
        <v>269</v>
      </c>
      <c r="N143" s="32" t="s">
        <v>901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1</v>
      </c>
      <c r="AH143" s="2">
        <f t="shared" si="49"/>
        <v>0</v>
      </c>
      <c r="AI143" s="2">
        <f t="shared" si="50"/>
        <v>1</v>
      </c>
    </row>
    <row r="144" spans="1:35" ht="14.25" customHeight="1" x14ac:dyDescent="0.25">
      <c r="A144" s="20">
        <v>0</v>
      </c>
      <c r="B144" s="20">
        <v>2</v>
      </c>
      <c r="C144" s="20">
        <v>2</v>
      </c>
      <c r="D144" s="21" t="s">
        <v>724</v>
      </c>
      <c r="E144" s="21" t="s">
        <v>818</v>
      </c>
      <c r="F144" s="21" t="s">
        <v>725</v>
      </c>
      <c r="G144" s="21" t="s">
        <v>96</v>
      </c>
      <c r="H144" s="21" t="s">
        <v>165</v>
      </c>
      <c r="I144" s="20" t="s">
        <v>726</v>
      </c>
      <c r="J144" s="20">
        <v>3</v>
      </c>
      <c r="K144" s="20" t="s">
        <v>319</v>
      </c>
      <c r="L144" s="20">
        <v>35</v>
      </c>
      <c r="M144" s="21" t="s">
        <v>885</v>
      </c>
      <c r="N144" s="21"/>
      <c r="O144" s="7"/>
      <c r="P144" s="7"/>
      <c r="Q144" s="21"/>
      <c r="S144" s="2">
        <f t="shared" si="35"/>
        <v>0</v>
      </c>
      <c r="T144" s="2">
        <f t="shared" si="36"/>
        <v>0</v>
      </c>
      <c r="U144" s="2">
        <f t="shared" si="37"/>
        <v>1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</row>
    <row r="145" spans="1:35" ht="14.25" customHeight="1" x14ac:dyDescent="0.25">
      <c r="A145" s="31">
        <v>0</v>
      </c>
      <c r="B145" s="31">
        <v>2</v>
      </c>
      <c r="C145" s="31">
        <v>2</v>
      </c>
      <c r="D145" s="32" t="s">
        <v>503</v>
      </c>
      <c r="E145" s="32" t="s">
        <v>675</v>
      </c>
      <c r="F145" s="32" t="s">
        <v>504</v>
      </c>
      <c r="G145" s="32" t="s">
        <v>137</v>
      </c>
      <c r="H145" s="32" t="s">
        <v>165</v>
      </c>
      <c r="I145" s="31" t="s">
        <v>505</v>
      </c>
      <c r="J145" s="31">
        <v>1</v>
      </c>
      <c r="K145" s="31" t="s">
        <v>318</v>
      </c>
      <c r="L145" s="31">
        <v>45</v>
      </c>
      <c r="M145" s="32" t="s">
        <v>886</v>
      </c>
      <c r="N145" s="32" t="s">
        <v>901</v>
      </c>
      <c r="O145" s="33">
        <v>1</v>
      </c>
      <c r="P145" s="33"/>
      <c r="Q145" s="32"/>
      <c r="S145" s="2">
        <f t="shared" ref="S145:S208" si="51">IF(J145=$S$7,1,0)</f>
        <v>1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0</v>
      </c>
      <c r="AE145" s="2">
        <f t="shared" ref="AE145:AE208" si="62">O145*(1-P145)</f>
        <v>1</v>
      </c>
      <c r="AF145" s="2">
        <f t="shared" si="47"/>
        <v>0</v>
      </c>
      <c r="AG145" s="2">
        <f t="shared" si="48"/>
        <v>1</v>
      </c>
      <c r="AH145" s="2">
        <f t="shared" si="49"/>
        <v>0</v>
      </c>
      <c r="AI145" s="2">
        <f t="shared" si="50"/>
        <v>1</v>
      </c>
    </row>
    <row r="146" spans="1:35" ht="14.25" customHeight="1" x14ac:dyDescent="0.25">
      <c r="A146" s="34">
        <v>0</v>
      </c>
      <c r="B146" s="34">
        <v>2</v>
      </c>
      <c r="C146" s="34">
        <v>2</v>
      </c>
      <c r="D146" s="35" t="s">
        <v>798</v>
      </c>
      <c r="E146" s="35"/>
      <c r="F146" s="35" t="s">
        <v>799</v>
      </c>
      <c r="G146" s="35" t="s">
        <v>309</v>
      </c>
      <c r="H146" s="35" t="s">
        <v>165</v>
      </c>
      <c r="I146" s="34" t="s">
        <v>33</v>
      </c>
      <c r="J146" s="34">
        <v>1</v>
      </c>
      <c r="K146" s="34" t="s">
        <v>378</v>
      </c>
      <c r="L146" s="34">
        <v>40</v>
      </c>
      <c r="M146" s="35" t="s">
        <v>800</v>
      </c>
      <c r="N146" s="35" t="s">
        <v>931</v>
      </c>
      <c r="O146" s="36"/>
      <c r="P146" s="36"/>
      <c r="Q146" s="35"/>
      <c r="S146" s="2">
        <f t="shared" si="51"/>
        <v>1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2</v>
      </c>
      <c r="D147" s="32" t="s">
        <v>728</v>
      </c>
      <c r="E147" s="32" t="s">
        <v>30</v>
      </c>
      <c r="F147" s="32" t="s">
        <v>789</v>
      </c>
      <c r="G147" s="32" t="s">
        <v>40</v>
      </c>
      <c r="H147" s="32" t="s">
        <v>165</v>
      </c>
      <c r="I147" s="31" t="s">
        <v>33</v>
      </c>
      <c r="J147" s="31">
        <v>99</v>
      </c>
      <c r="K147" s="31" t="s">
        <v>320</v>
      </c>
      <c r="L147" s="31" t="s">
        <v>345</v>
      </c>
      <c r="M147" s="32" t="s">
        <v>729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0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2</v>
      </c>
      <c r="D148" s="32" t="s">
        <v>523</v>
      </c>
      <c r="E148" s="32" t="s">
        <v>524</v>
      </c>
      <c r="F148" s="32" t="s">
        <v>515</v>
      </c>
      <c r="G148" s="32" t="s">
        <v>516</v>
      </c>
      <c r="H148" s="32" t="s">
        <v>165</v>
      </c>
      <c r="I148" s="31" t="s">
        <v>33</v>
      </c>
      <c r="J148" s="31">
        <v>99</v>
      </c>
      <c r="K148" s="31" t="s">
        <v>320</v>
      </c>
      <c r="L148" s="31" t="s">
        <v>40</v>
      </c>
      <c r="M148" s="32" t="s">
        <v>40</v>
      </c>
      <c r="N148" s="32" t="s">
        <v>895</v>
      </c>
      <c r="O148" s="33">
        <v>1</v>
      </c>
      <c r="P148" s="33">
        <v>1</v>
      </c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1</v>
      </c>
      <c r="AE148" s="2">
        <f t="shared" si="62"/>
        <v>0</v>
      </c>
      <c r="AF148" s="2">
        <f t="shared" si="47"/>
        <v>1</v>
      </c>
      <c r="AG148" s="2">
        <f t="shared" si="48"/>
        <v>0</v>
      </c>
      <c r="AH148" s="2">
        <f t="shared" si="49"/>
        <v>1</v>
      </c>
      <c r="AI148" s="2">
        <f t="shared" si="50"/>
        <v>0</v>
      </c>
    </row>
    <row r="149" spans="1:35" ht="14.25" customHeight="1" x14ac:dyDescent="0.25">
      <c r="A149" s="31">
        <v>1</v>
      </c>
      <c r="B149" s="31">
        <v>2</v>
      </c>
      <c r="C149" s="31">
        <v>2</v>
      </c>
      <c r="D149" s="32" t="s">
        <v>523</v>
      </c>
      <c r="E149" s="32" t="s">
        <v>524</v>
      </c>
      <c r="F149" s="32" t="s">
        <v>782</v>
      </c>
      <c r="G149" s="32" t="s">
        <v>130</v>
      </c>
      <c r="H149" s="32" t="s">
        <v>165</v>
      </c>
      <c r="I149" s="31" t="s">
        <v>33</v>
      </c>
      <c r="J149" s="31"/>
      <c r="K149" s="31" t="s">
        <v>320</v>
      </c>
      <c r="L149" s="31" t="s">
        <v>40</v>
      </c>
      <c r="M149" s="32" t="s">
        <v>40</v>
      </c>
      <c r="N149" s="32" t="s">
        <v>895</v>
      </c>
      <c r="O149" s="33">
        <v>1</v>
      </c>
      <c r="P149" s="33">
        <v>1</v>
      </c>
      <c r="Q149" s="32"/>
      <c r="S149" s="2">
        <f t="shared" si="51"/>
        <v>0</v>
      </c>
      <c r="T149" s="2">
        <f t="shared" si="52"/>
        <v>0</v>
      </c>
      <c r="U149" s="2">
        <f t="shared" si="53"/>
        <v>0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1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0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54</v>
      </c>
      <c r="E150" s="32" t="s">
        <v>84</v>
      </c>
      <c r="F150" s="32" t="s">
        <v>108</v>
      </c>
      <c r="G150" s="32" t="s">
        <v>40</v>
      </c>
      <c r="H150" s="32" t="s">
        <v>165</v>
      </c>
      <c r="I150" s="31" t="s">
        <v>173</v>
      </c>
      <c r="J150" s="31">
        <v>4</v>
      </c>
      <c r="K150" s="31" t="s">
        <v>320</v>
      </c>
      <c r="L150" s="31" t="s">
        <v>336</v>
      </c>
      <c r="M150" s="32" t="s">
        <v>337</v>
      </c>
      <c r="N150" s="32" t="s">
        <v>913</v>
      </c>
      <c r="O150" s="33">
        <v>1</v>
      </c>
      <c r="P150" s="33"/>
      <c r="Q150" s="32"/>
      <c r="S150" s="2">
        <f t="shared" si="51"/>
        <v>0</v>
      </c>
      <c r="T150" s="2">
        <f t="shared" si="52"/>
        <v>0</v>
      </c>
      <c r="U150" s="2">
        <f t="shared" si="53"/>
        <v>0</v>
      </c>
      <c r="V150" s="2">
        <f t="shared" si="54"/>
        <v>1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1">
        <v>1</v>
      </c>
      <c r="B151" s="31">
        <v>2</v>
      </c>
      <c r="C151" s="31">
        <v>2</v>
      </c>
      <c r="D151" s="32" t="s">
        <v>54</v>
      </c>
      <c r="E151" s="32" t="s">
        <v>84</v>
      </c>
      <c r="F151" s="32" t="s">
        <v>727</v>
      </c>
      <c r="G151" s="32" t="s">
        <v>585</v>
      </c>
      <c r="H151" s="32" t="s">
        <v>165</v>
      </c>
      <c r="I151" s="31" t="s">
        <v>33</v>
      </c>
      <c r="J151" s="31">
        <v>99</v>
      </c>
      <c r="K151" s="31" t="s">
        <v>320</v>
      </c>
      <c r="L151" s="31" t="s">
        <v>336</v>
      </c>
      <c r="M151" s="32" t="s">
        <v>337</v>
      </c>
      <c r="N151" s="32" t="s">
        <v>913</v>
      </c>
      <c r="O151" s="33">
        <v>1</v>
      </c>
      <c r="P151" s="33"/>
      <c r="Q151" s="32"/>
      <c r="S151" s="2">
        <f t="shared" si="51"/>
        <v>0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1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682</v>
      </c>
      <c r="E152" s="32" t="s">
        <v>677</v>
      </c>
      <c r="F152" s="32" t="s">
        <v>478</v>
      </c>
      <c r="G152" s="32" t="s">
        <v>122</v>
      </c>
      <c r="H152" s="32" t="s">
        <v>165</v>
      </c>
      <c r="I152" s="31" t="s">
        <v>419</v>
      </c>
      <c r="J152" s="31">
        <v>6</v>
      </c>
      <c r="K152" s="31" t="s">
        <v>319</v>
      </c>
      <c r="L152" s="31" t="s">
        <v>339</v>
      </c>
      <c r="M152" s="32" t="s">
        <v>746</v>
      </c>
      <c r="N152" s="32" t="s">
        <v>903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1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4">
        <v>0</v>
      </c>
      <c r="B153" s="34">
        <v>2</v>
      </c>
      <c r="C153" s="34">
        <v>2</v>
      </c>
      <c r="D153" s="35" t="s">
        <v>437</v>
      </c>
      <c r="E153" s="35" t="s">
        <v>30</v>
      </c>
      <c r="F153" s="35" t="s">
        <v>955</v>
      </c>
      <c r="G153" s="35" t="s">
        <v>580</v>
      </c>
      <c r="H153" s="35" t="s">
        <v>165</v>
      </c>
      <c r="I153" s="34" t="s">
        <v>594</v>
      </c>
      <c r="J153" s="34">
        <v>99</v>
      </c>
      <c r="K153" s="34" t="s">
        <v>378</v>
      </c>
      <c r="L153" s="34">
        <v>35</v>
      </c>
      <c r="M153" s="35" t="s">
        <v>600</v>
      </c>
      <c r="N153" s="35" t="s">
        <v>902</v>
      </c>
      <c r="O153" s="36"/>
      <c r="P153" s="36"/>
      <c r="Q153" s="35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0</v>
      </c>
      <c r="AE153" s="2">
        <f t="shared" si="62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</row>
    <row r="154" spans="1:35" ht="14.25" customHeight="1" x14ac:dyDescent="0.25">
      <c r="A154" s="28">
        <v>0</v>
      </c>
      <c r="B154" s="28">
        <v>2</v>
      </c>
      <c r="C154" s="28">
        <v>2</v>
      </c>
      <c r="D154" s="29" t="s">
        <v>562</v>
      </c>
      <c r="E154" s="29" t="s">
        <v>563</v>
      </c>
      <c r="F154" s="29" t="s">
        <v>564</v>
      </c>
      <c r="G154" s="29" t="s">
        <v>565</v>
      </c>
      <c r="H154" s="29" t="s">
        <v>165</v>
      </c>
      <c r="I154" s="28" t="s">
        <v>566</v>
      </c>
      <c r="J154" s="28">
        <v>99</v>
      </c>
      <c r="K154" s="28" t="s">
        <v>320</v>
      </c>
      <c r="L154" s="28" t="s">
        <v>40</v>
      </c>
      <c r="M154" s="29" t="s">
        <v>40</v>
      </c>
      <c r="N154" s="29"/>
      <c r="O154" s="30"/>
      <c r="P154" s="30">
        <v>1</v>
      </c>
      <c r="Q154" s="29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0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1</v>
      </c>
      <c r="AI154" s="2">
        <f t="shared" si="50"/>
        <v>0</v>
      </c>
    </row>
    <row r="155" spans="1:35" ht="14.25" customHeight="1" x14ac:dyDescent="0.25">
      <c r="A155" s="28">
        <v>0</v>
      </c>
      <c r="B155" s="28">
        <v>2</v>
      </c>
      <c r="C155" s="28">
        <v>2</v>
      </c>
      <c r="D155" s="29" t="s">
        <v>945</v>
      </c>
      <c r="E155" s="29" t="s">
        <v>946</v>
      </c>
      <c r="F155" s="29" t="s">
        <v>96</v>
      </c>
      <c r="G155" s="29"/>
      <c r="H155" s="29" t="s">
        <v>165</v>
      </c>
      <c r="I155" s="28" t="s">
        <v>947</v>
      </c>
      <c r="J155" s="28"/>
      <c r="K155" s="28" t="s">
        <v>378</v>
      </c>
      <c r="L155" s="28"/>
      <c r="M155" s="29"/>
      <c r="N155" s="29"/>
      <c r="O155" s="30"/>
      <c r="P155" s="30">
        <v>1</v>
      </c>
      <c r="Q155" s="29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0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0</v>
      </c>
      <c r="AF155" s="2">
        <f t="shared" si="47"/>
        <v>0</v>
      </c>
      <c r="AG155" s="2">
        <f t="shared" si="48"/>
        <v>0</v>
      </c>
      <c r="AH155" s="2">
        <f t="shared" si="49"/>
        <v>1</v>
      </c>
      <c r="AI155" s="2">
        <f t="shared" si="50"/>
        <v>0</v>
      </c>
    </row>
    <row r="156" spans="1:35" ht="14.25" customHeight="1" x14ac:dyDescent="0.25">
      <c r="A156" s="34">
        <v>0</v>
      </c>
      <c r="B156" s="34">
        <v>2</v>
      </c>
      <c r="C156" s="34">
        <v>2</v>
      </c>
      <c r="D156" s="35" t="s">
        <v>713</v>
      </c>
      <c r="E156" s="35" t="s">
        <v>30</v>
      </c>
      <c r="F156" s="35" t="s">
        <v>715</v>
      </c>
      <c r="G156" s="35" t="s">
        <v>716</v>
      </c>
      <c r="H156" s="35" t="s">
        <v>165</v>
      </c>
      <c r="I156" s="34" t="s">
        <v>717</v>
      </c>
      <c r="J156" s="34">
        <v>99</v>
      </c>
      <c r="K156" s="34" t="s">
        <v>320</v>
      </c>
      <c r="L156" s="34" t="s">
        <v>335</v>
      </c>
      <c r="M156" s="35" t="s">
        <v>718</v>
      </c>
      <c r="N156" s="35" t="s">
        <v>898</v>
      </c>
      <c r="O156" s="36"/>
      <c r="P156" s="36"/>
      <c r="Q156" s="35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0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1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442</v>
      </c>
      <c r="E157" s="32" t="s">
        <v>443</v>
      </c>
      <c r="F157" s="32" t="s">
        <v>445</v>
      </c>
      <c r="G157" s="32" t="s">
        <v>93</v>
      </c>
      <c r="H157" s="32" t="s">
        <v>165</v>
      </c>
      <c r="I157" s="31" t="s">
        <v>444</v>
      </c>
      <c r="J157" s="31">
        <v>8</v>
      </c>
      <c r="K157" s="31" t="s">
        <v>318</v>
      </c>
      <c r="L157" s="31">
        <v>40</v>
      </c>
      <c r="M157" s="32" t="s">
        <v>887</v>
      </c>
      <c r="N157" s="32" t="s">
        <v>909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0</v>
      </c>
      <c r="Y157" s="2">
        <f t="shared" si="57"/>
        <v>0</v>
      </c>
      <c r="Z157" s="2">
        <f t="shared" si="58"/>
        <v>1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815</v>
      </c>
      <c r="E158" s="35" t="s">
        <v>456</v>
      </c>
      <c r="F158" s="35" t="s">
        <v>794</v>
      </c>
      <c r="G158" s="35" t="s">
        <v>673</v>
      </c>
      <c r="H158" s="35" t="s">
        <v>165</v>
      </c>
      <c r="I158" s="34" t="s">
        <v>793</v>
      </c>
      <c r="J158" s="34">
        <v>99</v>
      </c>
      <c r="K158" s="34" t="s">
        <v>319</v>
      </c>
      <c r="L158" s="34">
        <v>20</v>
      </c>
      <c r="M158" s="35" t="s">
        <v>900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34">
        <v>0</v>
      </c>
      <c r="B159" s="34">
        <v>2</v>
      </c>
      <c r="C159" s="34">
        <v>2</v>
      </c>
      <c r="D159" s="35" t="s">
        <v>722</v>
      </c>
      <c r="E159" s="35" t="s">
        <v>819</v>
      </c>
      <c r="F159" s="35" t="s">
        <v>833</v>
      </c>
      <c r="G159" s="35" t="s">
        <v>137</v>
      </c>
      <c r="H159" s="35" t="s">
        <v>165</v>
      </c>
      <c r="I159" s="34" t="s">
        <v>723</v>
      </c>
      <c r="J159" s="34">
        <v>1</v>
      </c>
      <c r="K159" s="34" t="s">
        <v>318</v>
      </c>
      <c r="L159" s="34">
        <v>40</v>
      </c>
      <c r="M159" s="35" t="s">
        <v>888</v>
      </c>
      <c r="N159" s="35" t="s">
        <v>897</v>
      </c>
      <c r="O159" s="36"/>
      <c r="P159" s="36"/>
      <c r="Q159" s="35"/>
      <c r="S159" s="2">
        <f t="shared" si="51"/>
        <v>1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</row>
    <row r="160" spans="1:35" ht="14.25" customHeight="1" x14ac:dyDescent="0.25">
      <c r="A160" s="28">
        <v>0</v>
      </c>
      <c r="B160" s="28">
        <v>2</v>
      </c>
      <c r="C160" s="28">
        <v>2</v>
      </c>
      <c r="D160" s="29" t="s">
        <v>466</v>
      </c>
      <c r="E160" s="29" t="s">
        <v>30</v>
      </c>
      <c r="F160" s="29" t="s">
        <v>424</v>
      </c>
      <c r="G160" s="29" t="s">
        <v>160</v>
      </c>
      <c r="H160" s="29" t="s">
        <v>165</v>
      </c>
      <c r="I160" s="28" t="s">
        <v>425</v>
      </c>
      <c r="J160" s="28">
        <v>1</v>
      </c>
      <c r="K160" s="28" t="s">
        <v>321</v>
      </c>
      <c r="L160" s="28" t="s">
        <v>40</v>
      </c>
      <c r="M160" s="29" t="s">
        <v>40</v>
      </c>
      <c r="N160" s="29"/>
      <c r="O160" s="30"/>
      <c r="P160" s="30">
        <v>1</v>
      </c>
      <c r="Q160" s="29"/>
      <c r="S160" s="2">
        <f t="shared" si="51"/>
        <v>1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31">
        <v>0</v>
      </c>
      <c r="B161" s="31">
        <v>2</v>
      </c>
      <c r="C161" s="31">
        <v>3</v>
      </c>
      <c r="D161" s="32" t="s">
        <v>354</v>
      </c>
      <c r="E161" s="32" t="s">
        <v>83</v>
      </c>
      <c r="F161" s="32" t="s">
        <v>355</v>
      </c>
      <c r="G161" s="32" t="s">
        <v>370</v>
      </c>
      <c r="H161" s="32" t="s">
        <v>165</v>
      </c>
      <c r="I161" s="31" t="s">
        <v>356</v>
      </c>
      <c r="J161" s="31">
        <v>99</v>
      </c>
      <c r="K161" s="31" t="s">
        <v>321</v>
      </c>
      <c r="L161" s="31" t="s">
        <v>40</v>
      </c>
      <c r="M161" s="32" t="s">
        <v>40</v>
      </c>
      <c r="N161" s="32" t="s">
        <v>895</v>
      </c>
      <c r="O161" s="33">
        <v>1</v>
      </c>
      <c r="P161" s="33">
        <v>1</v>
      </c>
      <c r="Q161" s="32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1</v>
      </c>
      <c r="AE161" s="2">
        <f t="shared" si="62"/>
        <v>0</v>
      </c>
      <c r="AF161" s="2">
        <f t="shared" si="47"/>
        <v>1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1">
        <v>0</v>
      </c>
      <c r="B162" s="31">
        <v>2</v>
      </c>
      <c r="C162" s="31">
        <v>3</v>
      </c>
      <c r="D162" s="32" t="s">
        <v>801</v>
      </c>
      <c r="E162" s="32" t="s">
        <v>573</v>
      </c>
      <c r="F162" s="32" t="s">
        <v>957</v>
      </c>
      <c r="G162" s="32" t="s">
        <v>38</v>
      </c>
      <c r="H162" s="32" t="s">
        <v>165</v>
      </c>
      <c r="I162" s="31">
        <v>2799979385</v>
      </c>
      <c r="J162" s="31">
        <v>1</v>
      </c>
      <c r="K162" s="31" t="s">
        <v>318</v>
      </c>
      <c r="L162" s="31" t="s">
        <v>329</v>
      </c>
      <c r="M162" s="32" t="s">
        <v>270</v>
      </c>
      <c r="N162" s="32" t="s">
        <v>895</v>
      </c>
      <c r="O162" s="33">
        <v>1</v>
      </c>
      <c r="P162" s="33">
        <v>1</v>
      </c>
      <c r="Q162" s="32"/>
      <c r="S162" s="2">
        <f t="shared" si="51"/>
        <v>1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1</v>
      </c>
      <c r="AE162" s="2">
        <f t="shared" si="62"/>
        <v>0</v>
      </c>
      <c r="AF162" s="2">
        <f t="shared" si="47"/>
        <v>1</v>
      </c>
      <c r="AG162" s="2">
        <f t="shared" si="48"/>
        <v>0</v>
      </c>
      <c r="AH162" s="2">
        <f t="shared" si="49"/>
        <v>1</v>
      </c>
      <c r="AI162" s="2">
        <f t="shared" si="50"/>
        <v>0</v>
      </c>
    </row>
    <row r="163" spans="1:35" ht="14.25" customHeight="1" x14ac:dyDescent="0.25">
      <c r="A163" s="31">
        <v>1</v>
      </c>
      <c r="B163" s="31">
        <v>2</v>
      </c>
      <c r="C163" s="31">
        <v>3</v>
      </c>
      <c r="D163" s="32" t="s">
        <v>801</v>
      </c>
      <c r="E163" s="32" t="s">
        <v>573</v>
      </c>
      <c r="F163" s="32" t="s">
        <v>824</v>
      </c>
      <c r="G163" s="32" t="s">
        <v>160</v>
      </c>
      <c r="H163" s="32" t="s">
        <v>165</v>
      </c>
      <c r="I163" s="31" t="s">
        <v>502</v>
      </c>
      <c r="J163" s="31">
        <v>1</v>
      </c>
      <c r="K163" s="31" t="s">
        <v>318</v>
      </c>
      <c r="L163" s="31" t="s">
        <v>329</v>
      </c>
      <c r="M163" s="32" t="s">
        <v>270</v>
      </c>
      <c r="N163" s="32" t="s">
        <v>895</v>
      </c>
      <c r="O163" s="33">
        <v>1</v>
      </c>
      <c r="P163" s="33">
        <v>1</v>
      </c>
      <c r="Q163" s="32"/>
      <c r="S163" s="2">
        <f t="shared" si="51"/>
        <v>1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0</v>
      </c>
      <c r="AA163" s="2">
        <f t="shared" si="59"/>
        <v>0</v>
      </c>
      <c r="AB163" s="2">
        <f t="shared" si="60"/>
        <v>0</v>
      </c>
      <c r="AD163" s="2">
        <f t="shared" si="61"/>
        <v>1</v>
      </c>
      <c r="AE163" s="2">
        <f t="shared" si="62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0</v>
      </c>
    </row>
    <row r="164" spans="1:35" ht="14.25" customHeight="1" x14ac:dyDescent="0.25">
      <c r="A164" s="20">
        <v>0</v>
      </c>
      <c r="B164" s="20">
        <v>2</v>
      </c>
      <c r="C164" s="20">
        <v>3</v>
      </c>
      <c r="D164" s="21" t="s">
        <v>449</v>
      </c>
      <c r="E164" s="21" t="s">
        <v>450</v>
      </c>
      <c r="F164" s="21" t="s">
        <v>451</v>
      </c>
      <c r="G164" s="21" t="s">
        <v>107</v>
      </c>
      <c r="H164" s="21" t="s">
        <v>165</v>
      </c>
      <c r="I164" s="20" t="s">
        <v>452</v>
      </c>
      <c r="J164" s="20">
        <v>99</v>
      </c>
      <c r="K164" s="20" t="s">
        <v>378</v>
      </c>
      <c r="L164" s="20">
        <v>10</v>
      </c>
      <c r="M164" s="21" t="s">
        <v>601</v>
      </c>
      <c r="N164" s="21"/>
      <c r="O164" s="7"/>
      <c r="P164" s="7"/>
      <c r="Q164" s="21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1">
        <v>0</v>
      </c>
      <c r="B165" s="31">
        <v>2</v>
      </c>
      <c r="C165" s="31">
        <v>3</v>
      </c>
      <c r="D165" s="32" t="s">
        <v>48</v>
      </c>
      <c r="E165" s="32" t="s">
        <v>83</v>
      </c>
      <c r="F165" s="32" t="s">
        <v>100</v>
      </c>
      <c r="G165" s="32" t="s">
        <v>96</v>
      </c>
      <c r="H165" s="32" t="s">
        <v>165</v>
      </c>
      <c r="I165" s="31" t="s">
        <v>168</v>
      </c>
      <c r="J165" s="31">
        <v>3</v>
      </c>
      <c r="K165" s="31" t="s">
        <v>321</v>
      </c>
      <c r="L165" s="31" t="s">
        <v>329</v>
      </c>
      <c r="M165" s="32" t="s">
        <v>270</v>
      </c>
      <c r="N165" s="32" t="s">
        <v>895</v>
      </c>
      <c r="O165" s="33">
        <v>1</v>
      </c>
      <c r="P165" s="33">
        <v>1</v>
      </c>
      <c r="Q165" s="32"/>
      <c r="S165" s="2">
        <f t="shared" si="51"/>
        <v>0</v>
      </c>
      <c r="T165" s="2">
        <f t="shared" si="52"/>
        <v>0</v>
      </c>
      <c r="U165" s="2">
        <f t="shared" si="53"/>
        <v>1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1</v>
      </c>
      <c r="AE165" s="2">
        <f t="shared" si="62"/>
        <v>0</v>
      </c>
      <c r="AF165" s="2">
        <f t="shared" si="47"/>
        <v>1</v>
      </c>
      <c r="AG165" s="2">
        <f t="shared" si="48"/>
        <v>0</v>
      </c>
      <c r="AH165" s="2">
        <f t="shared" si="49"/>
        <v>1</v>
      </c>
      <c r="AI165" s="2">
        <f t="shared" si="50"/>
        <v>0</v>
      </c>
    </row>
    <row r="166" spans="1:35" ht="14.25" customHeight="1" x14ac:dyDescent="0.25">
      <c r="A166" s="31">
        <v>0</v>
      </c>
      <c r="B166" s="31">
        <v>2</v>
      </c>
      <c r="C166" s="31">
        <v>3</v>
      </c>
      <c r="D166" s="32" t="s">
        <v>933</v>
      </c>
      <c r="E166" s="32"/>
      <c r="F166" s="32" t="s">
        <v>934</v>
      </c>
      <c r="G166" s="32"/>
      <c r="H166" s="32" t="s">
        <v>165</v>
      </c>
      <c r="I166" s="31" t="s">
        <v>935</v>
      </c>
      <c r="J166" s="31"/>
      <c r="K166" s="31" t="s">
        <v>378</v>
      </c>
      <c r="L166" s="31"/>
      <c r="M166" s="32"/>
      <c r="N166" s="32" t="s">
        <v>895</v>
      </c>
      <c r="O166" s="33">
        <v>1</v>
      </c>
      <c r="P166" s="33">
        <v>1</v>
      </c>
      <c r="Q166" s="32"/>
      <c r="S166" s="2">
        <f t="shared" si="51"/>
        <v>0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1</v>
      </c>
      <c r="AE166" s="2">
        <f t="shared" si="62"/>
        <v>0</v>
      </c>
      <c r="AF166" s="2">
        <f t="shared" si="47"/>
        <v>1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20">
        <v>0</v>
      </c>
      <c r="B167" s="20">
        <v>2</v>
      </c>
      <c r="C167" s="20">
        <v>3</v>
      </c>
      <c r="D167" s="21" t="s">
        <v>654</v>
      </c>
      <c r="E167" s="21" t="s">
        <v>37</v>
      </c>
      <c r="F167" s="21" t="s">
        <v>655</v>
      </c>
      <c r="G167" s="21" t="s">
        <v>117</v>
      </c>
      <c r="H167" s="21" t="s">
        <v>165</v>
      </c>
      <c r="I167" s="20" t="s">
        <v>656</v>
      </c>
      <c r="J167" s="20">
        <v>1</v>
      </c>
      <c r="K167" s="20" t="s">
        <v>319</v>
      </c>
      <c r="L167" s="20" t="s">
        <v>329</v>
      </c>
      <c r="M167" s="21" t="s">
        <v>270</v>
      </c>
      <c r="N167" s="21"/>
      <c r="O167" s="7"/>
      <c r="P167" s="7"/>
      <c r="Q167" s="21"/>
      <c r="S167" s="2">
        <f t="shared" si="51"/>
        <v>1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0</v>
      </c>
      <c r="AE167" s="2">
        <f t="shared" si="62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</row>
    <row r="168" spans="1:35" ht="14.25" customHeight="1" x14ac:dyDescent="0.25">
      <c r="A168" s="34">
        <v>0</v>
      </c>
      <c r="B168" s="34">
        <v>2</v>
      </c>
      <c r="C168" s="34">
        <v>4</v>
      </c>
      <c r="D168" s="35" t="s">
        <v>546</v>
      </c>
      <c r="E168" s="35" t="s">
        <v>29</v>
      </c>
      <c r="F168" s="35" t="s">
        <v>407</v>
      </c>
      <c r="G168" s="35" t="s">
        <v>405</v>
      </c>
      <c r="H168" s="35" t="s">
        <v>165</v>
      </c>
      <c r="I168" s="34" t="s">
        <v>547</v>
      </c>
      <c r="J168" s="34">
        <v>99</v>
      </c>
      <c r="K168" s="34" t="s">
        <v>378</v>
      </c>
      <c r="L168" s="34">
        <v>35</v>
      </c>
      <c r="M168" s="35" t="s">
        <v>928</v>
      </c>
      <c r="N168" s="35" t="s">
        <v>930</v>
      </c>
      <c r="O168" s="36"/>
      <c r="P168" s="36"/>
      <c r="Q168" s="35"/>
      <c r="S168" s="2">
        <f t="shared" si="51"/>
        <v>0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0</v>
      </c>
      <c r="AE168" s="2">
        <f t="shared" si="62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</row>
    <row r="169" spans="1:35" ht="14.25" customHeight="1" x14ac:dyDescent="0.25">
      <c r="A169" s="34">
        <v>0</v>
      </c>
      <c r="B169" s="34">
        <v>2</v>
      </c>
      <c r="C169" s="34">
        <v>4</v>
      </c>
      <c r="D169" s="35" t="s">
        <v>62</v>
      </c>
      <c r="E169" s="35" t="s">
        <v>36</v>
      </c>
      <c r="F169" s="35" t="s">
        <v>134</v>
      </c>
      <c r="G169" s="35" t="s">
        <v>40</v>
      </c>
      <c r="H169" s="35" t="s">
        <v>165</v>
      </c>
      <c r="I169" s="34" t="s">
        <v>183</v>
      </c>
      <c r="J169" s="34">
        <v>4</v>
      </c>
      <c r="K169" s="34" t="s">
        <v>320</v>
      </c>
      <c r="L169" s="34" t="s">
        <v>855</v>
      </c>
      <c r="M169" s="35" t="s">
        <v>747</v>
      </c>
      <c r="N169" s="35" t="s">
        <v>931</v>
      </c>
      <c r="O169" s="36"/>
      <c r="P169" s="36"/>
      <c r="Q169" s="35"/>
      <c r="S169" s="2">
        <f t="shared" si="51"/>
        <v>0</v>
      </c>
      <c r="T169" s="2">
        <f t="shared" si="52"/>
        <v>0</v>
      </c>
      <c r="U169" s="2">
        <f t="shared" si="53"/>
        <v>0</v>
      </c>
      <c r="V169" s="2">
        <f t="shared" si="54"/>
        <v>1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0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</row>
    <row r="170" spans="1:35" ht="14.25" customHeight="1" x14ac:dyDescent="0.25">
      <c r="A170" s="34">
        <v>0</v>
      </c>
      <c r="B170" s="34">
        <v>2</v>
      </c>
      <c r="C170" s="34">
        <v>4</v>
      </c>
      <c r="D170" s="35" t="s">
        <v>65</v>
      </c>
      <c r="E170" s="35" t="s">
        <v>88</v>
      </c>
      <c r="F170" s="35" t="s">
        <v>141</v>
      </c>
      <c r="G170" s="35" t="s">
        <v>140</v>
      </c>
      <c r="H170" s="35" t="s">
        <v>165</v>
      </c>
      <c r="I170" s="34" t="s">
        <v>186</v>
      </c>
      <c r="J170" s="34">
        <v>99</v>
      </c>
      <c r="K170" s="34" t="s">
        <v>320</v>
      </c>
      <c r="L170" s="34" t="s">
        <v>338</v>
      </c>
      <c r="M170" s="35" t="s">
        <v>205</v>
      </c>
      <c r="N170" s="35" t="s">
        <v>897</v>
      </c>
      <c r="O170" s="36"/>
      <c r="P170" s="36"/>
      <c r="Q170" s="35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4">
        <v>0</v>
      </c>
      <c r="B171" s="34">
        <v>2</v>
      </c>
      <c r="C171" s="34">
        <v>4</v>
      </c>
      <c r="D171" s="35" t="s">
        <v>81</v>
      </c>
      <c r="E171" s="35" t="s">
        <v>36</v>
      </c>
      <c r="F171" s="35" t="s">
        <v>367</v>
      </c>
      <c r="G171" s="35" t="s">
        <v>642</v>
      </c>
      <c r="H171" s="35" t="s">
        <v>165</v>
      </c>
      <c r="I171" s="34" t="s">
        <v>204</v>
      </c>
      <c r="J171" s="34">
        <v>4</v>
      </c>
      <c r="K171" s="34" t="s">
        <v>318</v>
      </c>
      <c r="L171" s="34" t="s">
        <v>856</v>
      </c>
      <c r="M171" s="35" t="s">
        <v>748</v>
      </c>
      <c r="N171" s="35" t="s">
        <v>931</v>
      </c>
      <c r="O171" s="36"/>
      <c r="P171" s="36"/>
      <c r="Q171" s="35"/>
      <c r="S171" s="2">
        <f t="shared" si="51"/>
        <v>0</v>
      </c>
      <c r="T171" s="2">
        <f t="shared" si="52"/>
        <v>0</v>
      </c>
      <c r="U171" s="2">
        <f t="shared" si="53"/>
        <v>0</v>
      </c>
      <c r="V171" s="2">
        <f t="shared" si="54"/>
        <v>1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0</v>
      </c>
      <c r="AE171" s="2">
        <f t="shared" si="62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1</v>
      </c>
    </row>
    <row r="172" spans="1:35" ht="14.25" customHeight="1" x14ac:dyDescent="0.25">
      <c r="A172" s="34">
        <v>1</v>
      </c>
      <c r="B172" s="34">
        <v>2</v>
      </c>
      <c r="C172" s="34">
        <v>4</v>
      </c>
      <c r="D172" s="35" t="s">
        <v>81</v>
      </c>
      <c r="E172" s="35" t="s">
        <v>36</v>
      </c>
      <c r="F172" s="35" t="s">
        <v>164</v>
      </c>
      <c r="G172" s="35" t="s">
        <v>130</v>
      </c>
      <c r="H172" s="35" t="s">
        <v>165</v>
      </c>
      <c r="I172" s="34" t="s">
        <v>204</v>
      </c>
      <c r="J172" s="34">
        <v>10</v>
      </c>
      <c r="K172" s="34" t="s">
        <v>318</v>
      </c>
      <c r="L172" s="34" t="s">
        <v>856</v>
      </c>
      <c r="M172" s="35" t="s">
        <v>748</v>
      </c>
      <c r="N172" s="35" t="s">
        <v>931</v>
      </c>
      <c r="O172" s="36"/>
      <c r="P172" s="36"/>
      <c r="Q172" s="35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1</v>
      </c>
      <c r="AD172" s="2">
        <f t="shared" si="61"/>
        <v>0</v>
      </c>
      <c r="AE172" s="2">
        <f t="shared" si="62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</row>
    <row r="173" spans="1:35" ht="14.25" customHeight="1" x14ac:dyDescent="0.25">
      <c r="A173" s="34">
        <v>1</v>
      </c>
      <c r="B173" s="34">
        <v>2</v>
      </c>
      <c r="C173" s="34">
        <v>4</v>
      </c>
      <c r="D173" s="35" t="s">
        <v>81</v>
      </c>
      <c r="E173" s="35" t="s">
        <v>36</v>
      </c>
      <c r="F173" s="35" t="s">
        <v>802</v>
      </c>
      <c r="G173" s="35" t="s">
        <v>107</v>
      </c>
      <c r="H173" s="35" t="s">
        <v>165</v>
      </c>
      <c r="I173" s="34" t="s">
        <v>803</v>
      </c>
      <c r="J173" s="34">
        <v>99</v>
      </c>
      <c r="K173" s="34" t="s">
        <v>318</v>
      </c>
      <c r="L173" s="34" t="s">
        <v>856</v>
      </c>
      <c r="M173" s="35" t="s">
        <v>748</v>
      </c>
      <c r="N173" s="35" t="s">
        <v>931</v>
      </c>
      <c r="O173" s="36"/>
      <c r="P173" s="36"/>
      <c r="Q173" s="35"/>
      <c r="S173" s="2">
        <f t="shared" si="51"/>
        <v>0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</row>
    <row r="174" spans="1:35" ht="14.25" customHeight="1" x14ac:dyDescent="0.25">
      <c r="A174" s="20">
        <v>0</v>
      </c>
      <c r="B174" s="20">
        <v>2</v>
      </c>
      <c r="C174" s="20">
        <v>4</v>
      </c>
      <c r="D174" s="21" t="s">
        <v>288</v>
      </c>
      <c r="E174" s="21" t="s">
        <v>85</v>
      </c>
      <c r="F174" s="21" t="s">
        <v>368</v>
      </c>
      <c r="G174" s="21" t="s">
        <v>308</v>
      </c>
      <c r="H174" s="21" t="s">
        <v>165</v>
      </c>
      <c r="I174" s="20" t="s">
        <v>289</v>
      </c>
      <c r="J174" s="20">
        <v>6</v>
      </c>
      <c r="K174" s="20" t="s">
        <v>319</v>
      </c>
      <c r="L174" s="20">
        <v>30</v>
      </c>
      <c r="M174" s="40" t="s">
        <v>905</v>
      </c>
      <c r="N174" s="21"/>
      <c r="O174" s="7"/>
      <c r="P174" s="7"/>
      <c r="Q174" s="21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1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567</v>
      </c>
      <c r="E175" s="35" t="s">
        <v>36</v>
      </c>
      <c r="F175" s="35" t="s">
        <v>529</v>
      </c>
      <c r="G175" s="35" t="s">
        <v>103</v>
      </c>
      <c r="H175" s="35" t="s">
        <v>165</v>
      </c>
      <c r="I175" s="34" t="s">
        <v>530</v>
      </c>
      <c r="J175" s="34">
        <v>6</v>
      </c>
      <c r="K175" s="34" t="s">
        <v>318</v>
      </c>
      <c r="L175" s="34">
        <v>35</v>
      </c>
      <c r="M175" s="35" t="s">
        <v>699</v>
      </c>
      <c r="N175" s="35" t="s">
        <v>930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0</v>
      </c>
      <c r="W175" s="2">
        <f t="shared" si="55"/>
        <v>0</v>
      </c>
      <c r="X175" s="2">
        <f t="shared" si="56"/>
        <v>1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20">
        <v>0</v>
      </c>
      <c r="B176" s="20">
        <v>2</v>
      </c>
      <c r="C176" s="20">
        <v>4</v>
      </c>
      <c r="D176" s="21" t="s">
        <v>813</v>
      </c>
      <c r="E176" s="21" t="s">
        <v>29</v>
      </c>
      <c r="F176" s="21" t="s">
        <v>826</v>
      </c>
      <c r="G176" s="21" t="s">
        <v>827</v>
      </c>
      <c r="H176" s="21" t="s">
        <v>165</v>
      </c>
      <c r="I176" s="20" t="s">
        <v>846</v>
      </c>
      <c r="J176" s="20">
        <v>99</v>
      </c>
      <c r="K176" s="20" t="s">
        <v>318</v>
      </c>
      <c r="L176" s="20" t="s">
        <v>343</v>
      </c>
      <c r="M176" s="21" t="s">
        <v>646</v>
      </c>
      <c r="N176" s="21"/>
      <c r="O176" s="7"/>
      <c r="P176" s="7"/>
      <c r="Q176" s="21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20">
        <v>0</v>
      </c>
      <c r="B177" s="20">
        <v>2</v>
      </c>
      <c r="C177" s="20">
        <v>4</v>
      </c>
      <c r="D177" s="21" t="s">
        <v>569</v>
      </c>
      <c r="E177" s="21" t="s">
        <v>36</v>
      </c>
      <c r="F177" s="21" t="s">
        <v>582</v>
      </c>
      <c r="G177" s="21" t="s">
        <v>519</v>
      </c>
      <c r="H177" s="21" t="s">
        <v>165</v>
      </c>
      <c r="I177" s="20" t="s">
        <v>540</v>
      </c>
      <c r="J177" s="20">
        <v>7</v>
      </c>
      <c r="K177" s="20" t="s">
        <v>378</v>
      </c>
      <c r="L177" s="20">
        <v>30</v>
      </c>
      <c r="M177" s="21" t="s">
        <v>602</v>
      </c>
      <c r="N177" s="21"/>
      <c r="O177" s="7"/>
      <c r="P177" s="7"/>
      <c r="Q177" s="21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0</v>
      </c>
      <c r="W177" s="2">
        <f t="shared" si="55"/>
        <v>0</v>
      </c>
      <c r="X177" s="2">
        <f t="shared" si="56"/>
        <v>0</v>
      </c>
      <c r="Y177" s="2">
        <f t="shared" si="57"/>
        <v>1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0</v>
      </c>
      <c r="B178" s="34">
        <v>2</v>
      </c>
      <c r="C178" s="34">
        <v>4</v>
      </c>
      <c r="D178" s="35" t="s">
        <v>684</v>
      </c>
      <c r="E178" s="35" t="s">
        <v>678</v>
      </c>
      <c r="F178" s="35" t="s">
        <v>615</v>
      </c>
      <c r="G178" s="35" t="s">
        <v>125</v>
      </c>
      <c r="H178" s="35" t="s">
        <v>165</v>
      </c>
      <c r="I178" s="34" t="s">
        <v>616</v>
      </c>
      <c r="J178" s="34">
        <v>99</v>
      </c>
      <c r="K178" s="34" t="s">
        <v>318</v>
      </c>
      <c r="L178" s="34" t="s">
        <v>343</v>
      </c>
      <c r="M178" s="35" t="s">
        <v>788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0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</row>
    <row r="179" spans="1:35" ht="14.25" customHeight="1" x14ac:dyDescent="0.25">
      <c r="A179" s="31">
        <v>0</v>
      </c>
      <c r="B179" s="31">
        <v>2</v>
      </c>
      <c r="C179" s="31">
        <v>4</v>
      </c>
      <c r="D179" s="32" t="s">
        <v>768</v>
      </c>
      <c r="E179" s="32" t="s">
        <v>769</v>
      </c>
      <c r="F179" s="32" t="s">
        <v>770</v>
      </c>
      <c r="G179" s="32"/>
      <c r="H179" s="32" t="s">
        <v>165</v>
      </c>
      <c r="I179" s="31" t="s">
        <v>771</v>
      </c>
      <c r="J179" s="31">
        <v>99</v>
      </c>
      <c r="K179" s="31" t="s">
        <v>378</v>
      </c>
      <c r="L179" s="31">
        <v>35</v>
      </c>
      <c r="M179" s="32" t="s">
        <v>952</v>
      </c>
      <c r="N179" s="32" t="s">
        <v>901</v>
      </c>
      <c r="O179" s="33">
        <v>1</v>
      </c>
      <c r="P179" s="33"/>
      <c r="Q179" s="32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1</v>
      </c>
      <c r="AF179" s="2">
        <f t="shared" si="47"/>
        <v>0</v>
      </c>
      <c r="AG179" s="2">
        <f t="shared" si="48"/>
        <v>1</v>
      </c>
      <c r="AH179" s="2">
        <f t="shared" si="49"/>
        <v>0</v>
      </c>
      <c r="AI179" s="2">
        <f t="shared" si="50"/>
        <v>1</v>
      </c>
    </row>
    <row r="180" spans="1:35" ht="14.25" customHeight="1" x14ac:dyDescent="0.25">
      <c r="A180" s="34">
        <v>0</v>
      </c>
      <c r="B180" s="34">
        <v>2</v>
      </c>
      <c r="C180" s="34">
        <v>4</v>
      </c>
      <c r="D180" s="35" t="s">
        <v>67</v>
      </c>
      <c r="E180" s="35" t="s">
        <v>89</v>
      </c>
      <c r="F180" s="35" t="s">
        <v>144</v>
      </c>
      <c r="G180" s="35" t="s">
        <v>129</v>
      </c>
      <c r="H180" s="35" t="s">
        <v>165</v>
      </c>
      <c r="I180" s="34" t="s">
        <v>190</v>
      </c>
      <c r="J180" s="34">
        <v>99</v>
      </c>
      <c r="K180" s="34" t="s">
        <v>321</v>
      </c>
      <c r="L180" s="34" t="s">
        <v>333</v>
      </c>
      <c r="M180" s="35" t="s">
        <v>703</v>
      </c>
      <c r="N180" s="35" t="s">
        <v>896</v>
      </c>
      <c r="O180" s="36"/>
      <c r="P180" s="36"/>
      <c r="Q180" s="35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34">
        <v>0</v>
      </c>
      <c r="B181" s="34">
        <v>2</v>
      </c>
      <c r="C181" s="34">
        <v>4</v>
      </c>
      <c r="D181" s="35" t="s">
        <v>426</v>
      </c>
      <c r="E181" s="35" t="s">
        <v>234</v>
      </c>
      <c r="F181" s="35" t="s">
        <v>427</v>
      </c>
      <c r="G181" s="35" t="s">
        <v>96</v>
      </c>
      <c r="H181" s="35" t="s">
        <v>165</v>
      </c>
      <c r="I181" s="34" t="s">
        <v>428</v>
      </c>
      <c r="J181" s="34">
        <v>3</v>
      </c>
      <c r="K181" s="34" t="s">
        <v>318</v>
      </c>
      <c r="L181" s="34" t="s">
        <v>339</v>
      </c>
      <c r="M181" s="35" t="s">
        <v>749</v>
      </c>
      <c r="N181" s="35" t="s">
        <v>911</v>
      </c>
      <c r="O181" s="36"/>
      <c r="P181" s="36"/>
      <c r="Q181" s="35"/>
      <c r="S181" s="2">
        <f t="shared" si="51"/>
        <v>0</v>
      </c>
      <c r="T181" s="2">
        <f t="shared" si="52"/>
        <v>0</v>
      </c>
      <c r="U181" s="2">
        <f t="shared" si="53"/>
        <v>1</v>
      </c>
      <c r="V181" s="2">
        <f t="shared" si="54"/>
        <v>0</v>
      </c>
      <c r="W181" s="2">
        <f t="shared" si="55"/>
        <v>0</v>
      </c>
      <c r="X181" s="2">
        <f t="shared" si="56"/>
        <v>0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214</v>
      </c>
      <c r="E182" s="35" t="s">
        <v>36</v>
      </c>
      <c r="F182" s="35" t="s">
        <v>213</v>
      </c>
      <c r="G182" s="35" t="s">
        <v>97</v>
      </c>
      <c r="H182" s="35" t="s">
        <v>165</v>
      </c>
      <c r="I182" s="34" t="s">
        <v>212</v>
      </c>
      <c r="J182" s="34">
        <v>99</v>
      </c>
      <c r="K182" s="34" t="s">
        <v>378</v>
      </c>
      <c r="L182" s="34">
        <v>25</v>
      </c>
      <c r="M182" s="35" t="s">
        <v>929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34">
        <v>0</v>
      </c>
      <c r="B183" s="34">
        <v>2</v>
      </c>
      <c r="C183" s="34">
        <v>4</v>
      </c>
      <c r="D183" s="35" t="s">
        <v>215</v>
      </c>
      <c r="E183" s="35" t="s">
        <v>216</v>
      </c>
      <c r="F183" s="35" t="s">
        <v>217</v>
      </c>
      <c r="G183" s="35" t="s">
        <v>107</v>
      </c>
      <c r="H183" s="35" t="s">
        <v>165</v>
      </c>
      <c r="I183" s="34" t="s">
        <v>218</v>
      </c>
      <c r="J183" s="34">
        <v>99</v>
      </c>
      <c r="K183" s="34" t="s">
        <v>378</v>
      </c>
      <c r="L183" s="34">
        <v>25</v>
      </c>
      <c r="M183" s="35" t="s">
        <v>498</v>
      </c>
      <c r="N183" s="35" t="s">
        <v>931</v>
      </c>
      <c r="O183" s="36"/>
      <c r="P183" s="36"/>
      <c r="Q183" s="35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34">
        <v>0</v>
      </c>
      <c r="B184" s="34">
        <v>2</v>
      </c>
      <c r="C184" s="34">
        <v>5</v>
      </c>
      <c r="D184" s="35" t="s">
        <v>421</v>
      </c>
      <c r="E184" s="35" t="s">
        <v>423</v>
      </c>
      <c r="F184" s="35" t="s">
        <v>577</v>
      </c>
      <c r="G184" s="35" t="s">
        <v>154</v>
      </c>
      <c r="H184" s="35" t="s">
        <v>165</v>
      </c>
      <c r="I184" s="34" t="s">
        <v>422</v>
      </c>
      <c r="J184" s="34">
        <v>99</v>
      </c>
      <c r="K184" s="34" t="s">
        <v>378</v>
      </c>
      <c r="L184" s="34">
        <v>30</v>
      </c>
      <c r="M184" s="35" t="s">
        <v>603</v>
      </c>
      <c r="N184" s="35" t="s">
        <v>931</v>
      </c>
      <c r="O184" s="36"/>
      <c r="P184" s="36"/>
      <c r="Q184" s="35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1">
        <v>0</v>
      </c>
      <c r="B185" s="31">
        <v>2</v>
      </c>
      <c r="C185" s="31">
        <v>5</v>
      </c>
      <c r="D185" s="32" t="s">
        <v>404</v>
      </c>
      <c r="E185" s="32" t="s">
        <v>29</v>
      </c>
      <c r="F185" s="32" t="s">
        <v>287</v>
      </c>
      <c r="G185" s="32" t="s">
        <v>96</v>
      </c>
      <c r="H185" s="32" t="s">
        <v>165</v>
      </c>
      <c r="I185" s="31" t="s">
        <v>491</v>
      </c>
      <c r="J185" s="31">
        <v>3</v>
      </c>
      <c r="K185" s="31" t="s">
        <v>319</v>
      </c>
      <c r="L185" s="31" t="s">
        <v>334</v>
      </c>
      <c r="M185" s="32" t="s">
        <v>753</v>
      </c>
      <c r="N185" s="32" t="s">
        <v>901</v>
      </c>
      <c r="O185" s="33">
        <v>1</v>
      </c>
      <c r="P185" s="33"/>
      <c r="Q185" s="32"/>
      <c r="S185" s="2">
        <f t="shared" si="51"/>
        <v>0</v>
      </c>
      <c r="T185" s="2">
        <f t="shared" si="52"/>
        <v>0</v>
      </c>
      <c r="U185" s="2">
        <f t="shared" si="53"/>
        <v>1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1</v>
      </c>
      <c r="AF185" s="2">
        <f t="shared" si="47"/>
        <v>0</v>
      </c>
      <c r="AG185" s="2">
        <f t="shared" si="48"/>
        <v>1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5</v>
      </c>
      <c r="D186" s="32" t="s">
        <v>570</v>
      </c>
      <c r="E186" s="32" t="s">
        <v>36</v>
      </c>
      <c r="F186" s="32" t="s">
        <v>961</v>
      </c>
      <c r="G186" s="32" t="s">
        <v>673</v>
      </c>
      <c r="H186" s="32" t="s">
        <v>165</v>
      </c>
      <c r="I186" s="31" t="s">
        <v>33</v>
      </c>
      <c r="J186" s="31">
        <v>99</v>
      </c>
      <c r="K186" s="31" t="s">
        <v>320</v>
      </c>
      <c r="L186" s="31" t="s">
        <v>335</v>
      </c>
      <c r="M186" s="32" t="s">
        <v>604</v>
      </c>
      <c r="N186" s="32" t="s">
        <v>915</v>
      </c>
      <c r="O186" s="33">
        <v>1</v>
      </c>
      <c r="P186" s="33"/>
      <c r="Q186" s="32" t="s">
        <v>962</v>
      </c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20">
        <v>0</v>
      </c>
      <c r="B187" s="20">
        <v>2</v>
      </c>
      <c r="C187" s="20">
        <v>5</v>
      </c>
      <c r="D187" s="21" t="s">
        <v>233</v>
      </c>
      <c r="E187" s="21" t="s">
        <v>86</v>
      </c>
      <c r="F187" s="21" t="s">
        <v>254</v>
      </c>
      <c r="G187" s="21" t="s">
        <v>130</v>
      </c>
      <c r="H187" s="21" t="s">
        <v>165</v>
      </c>
      <c r="I187" s="20" t="s">
        <v>595</v>
      </c>
      <c r="J187" s="20">
        <v>10</v>
      </c>
      <c r="K187" s="20" t="s">
        <v>378</v>
      </c>
      <c r="L187" s="20" t="s">
        <v>333</v>
      </c>
      <c r="M187" s="21" t="s">
        <v>271</v>
      </c>
      <c r="N187" s="21"/>
      <c r="O187" s="7"/>
      <c r="P187" s="7"/>
      <c r="Q187" s="21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1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5</v>
      </c>
      <c r="D188" s="35" t="s">
        <v>629</v>
      </c>
      <c r="E188" s="35" t="s">
        <v>29</v>
      </c>
      <c r="F188" s="35" t="s">
        <v>631</v>
      </c>
      <c r="G188" s="35" t="s">
        <v>830</v>
      </c>
      <c r="H188" s="35" t="s">
        <v>165</v>
      </c>
      <c r="I188" s="34" t="s">
        <v>632</v>
      </c>
      <c r="J188" s="34">
        <v>99</v>
      </c>
      <c r="K188" s="34" t="s">
        <v>320</v>
      </c>
      <c r="L188" s="34" t="s">
        <v>341</v>
      </c>
      <c r="M188" s="35" t="s">
        <v>786</v>
      </c>
      <c r="N188" s="35" t="s">
        <v>902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5</v>
      </c>
      <c r="D189" s="35" t="s">
        <v>814</v>
      </c>
      <c r="E189" s="35" t="s">
        <v>29</v>
      </c>
      <c r="F189" s="35" t="s">
        <v>644</v>
      </c>
      <c r="G189" s="35" t="s">
        <v>516</v>
      </c>
      <c r="H189" s="35" t="s">
        <v>165</v>
      </c>
      <c r="I189" s="34" t="s">
        <v>645</v>
      </c>
      <c r="J189" s="34">
        <v>99</v>
      </c>
      <c r="K189" s="34" t="s">
        <v>320</v>
      </c>
      <c r="L189" s="34" t="s">
        <v>346</v>
      </c>
      <c r="M189" s="35" t="s">
        <v>643</v>
      </c>
      <c r="N189" s="35" t="s">
        <v>898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6</v>
      </c>
      <c r="D190" s="35" t="s">
        <v>681</v>
      </c>
      <c r="E190" s="35" t="s">
        <v>34</v>
      </c>
      <c r="F190" s="35" t="s">
        <v>823</v>
      </c>
      <c r="G190" s="35" t="s">
        <v>96</v>
      </c>
      <c r="H190" s="35" t="s">
        <v>165</v>
      </c>
      <c r="I190" s="34" t="s">
        <v>617</v>
      </c>
      <c r="J190" s="34">
        <v>1</v>
      </c>
      <c r="K190" s="34" t="s">
        <v>318</v>
      </c>
      <c r="L190" s="34" t="s">
        <v>343</v>
      </c>
      <c r="M190" s="35" t="s">
        <v>618</v>
      </c>
      <c r="N190" s="35" t="s">
        <v>931</v>
      </c>
      <c r="O190" s="36"/>
      <c r="P190" s="36"/>
      <c r="Q190" s="35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6</v>
      </c>
      <c r="D191" s="35" t="s">
        <v>52</v>
      </c>
      <c r="E191" s="35" t="s">
        <v>34</v>
      </c>
      <c r="F191" s="35" t="s">
        <v>105</v>
      </c>
      <c r="G191" s="35" t="s">
        <v>39</v>
      </c>
      <c r="H191" s="35" t="s">
        <v>165</v>
      </c>
      <c r="I191" s="34" t="s">
        <v>849</v>
      </c>
      <c r="J191" s="34">
        <v>8</v>
      </c>
      <c r="K191" s="34" t="s">
        <v>318</v>
      </c>
      <c r="L191" s="34" t="s">
        <v>339</v>
      </c>
      <c r="M191" s="35" t="s">
        <v>272</v>
      </c>
      <c r="N191" s="35" t="s">
        <v>911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1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4">
        <v>0</v>
      </c>
      <c r="B192" s="34">
        <v>2</v>
      </c>
      <c r="C192" s="34">
        <v>6</v>
      </c>
      <c r="D192" s="35" t="s">
        <v>463</v>
      </c>
      <c r="E192" s="35" t="s">
        <v>34</v>
      </c>
      <c r="F192" s="35" t="s">
        <v>956</v>
      </c>
      <c r="G192" s="35" t="s">
        <v>103</v>
      </c>
      <c r="H192" s="35" t="s">
        <v>165</v>
      </c>
      <c r="I192" s="34" t="s">
        <v>394</v>
      </c>
      <c r="J192" s="34">
        <v>6</v>
      </c>
      <c r="K192" s="34" t="s">
        <v>321</v>
      </c>
      <c r="L192" s="34" t="s">
        <v>339</v>
      </c>
      <c r="M192" s="35" t="s">
        <v>701</v>
      </c>
      <c r="N192" s="35" t="s">
        <v>930</v>
      </c>
      <c r="O192" s="36"/>
      <c r="P192" s="36"/>
      <c r="Q192" s="35"/>
      <c r="S192" s="2">
        <f t="shared" si="51"/>
        <v>0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1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6</v>
      </c>
      <c r="D193" s="32" t="s">
        <v>685</v>
      </c>
      <c r="E193" s="32" t="s">
        <v>34</v>
      </c>
      <c r="F193" s="32" t="s">
        <v>605</v>
      </c>
      <c r="G193" s="32" t="s">
        <v>163</v>
      </c>
      <c r="H193" s="32" t="s">
        <v>165</v>
      </c>
      <c r="I193" s="31" t="s">
        <v>696</v>
      </c>
      <c r="J193" s="31">
        <v>5</v>
      </c>
      <c r="K193" s="31" t="s">
        <v>320</v>
      </c>
      <c r="L193" s="31">
        <v>30</v>
      </c>
      <c r="M193" s="32" t="s">
        <v>750</v>
      </c>
      <c r="N193" s="32" t="s">
        <v>914</v>
      </c>
      <c r="O193" s="33">
        <v>1</v>
      </c>
      <c r="P193" s="33"/>
      <c r="Q193" s="32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1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34">
        <v>0</v>
      </c>
      <c r="B194" s="34">
        <v>2</v>
      </c>
      <c r="C194" s="34">
        <v>6</v>
      </c>
      <c r="D194" s="35" t="s">
        <v>58</v>
      </c>
      <c r="E194" s="35" t="s">
        <v>34</v>
      </c>
      <c r="F194" s="35" t="s">
        <v>482</v>
      </c>
      <c r="G194" s="35" t="s">
        <v>103</v>
      </c>
      <c r="H194" s="35" t="s">
        <v>165</v>
      </c>
      <c r="I194" s="34" t="s">
        <v>179</v>
      </c>
      <c r="J194" s="34">
        <v>6</v>
      </c>
      <c r="K194" s="34" t="s">
        <v>321</v>
      </c>
      <c r="L194" s="34" t="s">
        <v>339</v>
      </c>
      <c r="M194" s="35" t="s">
        <v>702</v>
      </c>
      <c r="N194" s="35" t="s">
        <v>930</v>
      </c>
      <c r="O194" s="36"/>
      <c r="P194" s="36"/>
      <c r="Q194" s="35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6</v>
      </c>
      <c r="D195" s="35" t="s">
        <v>612</v>
      </c>
      <c r="E195" s="35" t="s">
        <v>34</v>
      </c>
      <c r="F195" s="35" t="s">
        <v>613</v>
      </c>
      <c r="G195" s="35" t="s">
        <v>516</v>
      </c>
      <c r="H195" s="35" t="s">
        <v>165</v>
      </c>
      <c r="I195" s="34" t="s">
        <v>614</v>
      </c>
      <c r="J195" s="34"/>
      <c r="K195" s="34" t="s">
        <v>378</v>
      </c>
      <c r="L195" s="34">
        <v>30</v>
      </c>
      <c r="M195" s="35" t="s">
        <v>272</v>
      </c>
      <c r="N195" s="35" t="s">
        <v>898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6</v>
      </c>
      <c r="D196" s="35" t="s">
        <v>534</v>
      </c>
      <c r="E196" s="35" t="s">
        <v>679</v>
      </c>
      <c r="F196" s="35" t="s">
        <v>953</v>
      </c>
      <c r="G196" s="35" t="s">
        <v>584</v>
      </c>
      <c r="H196" s="35" t="s">
        <v>165</v>
      </c>
      <c r="I196" s="34" t="s">
        <v>535</v>
      </c>
      <c r="J196" s="34">
        <v>2</v>
      </c>
      <c r="K196" s="34" t="s">
        <v>320</v>
      </c>
      <c r="L196" s="34" t="s">
        <v>339</v>
      </c>
      <c r="M196" s="35" t="s">
        <v>272</v>
      </c>
      <c r="N196" s="35" t="s">
        <v>899</v>
      </c>
      <c r="O196" s="36"/>
      <c r="P196" s="36"/>
      <c r="Q196" s="35"/>
      <c r="S196" s="2">
        <f t="shared" si="51"/>
        <v>0</v>
      </c>
      <c r="T196" s="2">
        <f t="shared" si="52"/>
        <v>1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1</v>
      </c>
      <c r="B197" s="34">
        <v>2</v>
      </c>
      <c r="C197" s="34">
        <v>6</v>
      </c>
      <c r="D197" s="35" t="s">
        <v>534</v>
      </c>
      <c r="E197" s="35" t="s">
        <v>679</v>
      </c>
      <c r="F197" s="35" t="s">
        <v>954</v>
      </c>
      <c r="G197" s="35" t="s">
        <v>103</v>
      </c>
      <c r="H197" s="35" t="s">
        <v>165</v>
      </c>
      <c r="I197" s="34" t="s">
        <v>848</v>
      </c>
      <c r="J197" s="34">
        <v>6</v>
      </c>
      <c r="K197" s="34" t="s">
        <v>320</v>
      </c>
      <c r="L197" s="34" t="s">
        <v>339</v>
      </c>
      <c r="M197" s="35" t="s">
        <v>272</v>
      </c>
      <c r="N197" s="35" t="s">
        <v>899</v>
      </c>
      <c r="O197" s="36"/>
      <c r="P197" s="36"/>
      <c r="Q197" s="35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1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0</v>
      </c>
    </row>
    <row r="198" spans="1:35" ht="14.25" customHeight="1" x14ac:dyDescent="0.25">
      <c r="A198" s="31">
        <v>0</v>
      </c>
      <c r="B198" s="31">
        <v>2</v>
      </c>
      <c r="C198" s="31">
        <v>7</v>
      </c>
      <c r="D198" s="32" t="s">
        <v>410</v>
      </c>
      <c r="E198" s="32" t="s">
        <v>31</v>
      </c>
      <c r="F198" s="32" t="s">
        <v>411</v>
      </c>
      <c r="G198" s="32" t="s">
        <v>471</v>
      </c>
      <c r="H198" s="32" t="s">
        <v>165</v>
      </c>
      <c r="I198" s="31" t="s">
        <v>412</v>
      </c>
      <c r="J198" s="31">
        <v>9</v>
      </c>
      <c r="K198" s="31" t="s">
        <v>320</v>
      </c>
      <c r="L198" s="31" t="s">
        <v>318</v>
      </c>
      <c r="M198" s="32" t="s">
        <v>273</v>
      </c>
      <c r="N198" s="32" t="s">
        <v>895</v>
      </c>
      <c r="O198" s="33">
        <v>1</v>
      </c>
      <c r="P198" s="33">
        <v>1</v>
      </c>
      <c r="Q198" s="32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1</v>
      </c>
      <c r="AB198" s="2">
        <f t="shared" si="60"/>
        <v>0</v>
      </c>
      <c r="AD198" s="2">
        <f t="shared" si="61"/>
        <v>1</v>
      </c>
      <c r="AE198" s="2">
        <f t="shared" si="62"/>
        <v>0</v>
      </c>
      <c r="AF198" s="2">
        <f t="shared" si="47"/>
        <v>1</v>
      </c>
      <c r="AG198" s="2">
        <f t="shared" si="48"/>
        <v>0</v>
      </c>
      <c r="AH198" s="2">
        <f t="shared" si="49"/>
        <v>1</v>
      </c>
      <c r="AI198" s="2">
        <f t="shared" si="50"/>
        <v>0</v>
      </c>
    </row>
    <row r="199" spans="1:35" ht="14.25" customHeight="1" x14ac:dyDescent="0.25">
      <c r="A199" s="31">
        <v>0</v>
      </c>
      <c r="B199" s="31">
        <v>2</v>
      </c>
      <c r="C199" s="31">
        <v>7</v>
      </c>
      <c r="D199" s="32" t="s">
        <v>926</v>
      </c>
      <c r="E199" s="32" t="s">
        <v>920</v>
      </c>
      <c r="F199" s="32" t="s">
        <v>924</v>
      </c>
      <c r="G199" s="32" t="s">
        <v>132</v>
      </c>
      <c r="H199" s="32" t="s">
        <v>165</v>
      </c>
      <c r="I199" s="31" t="s">
        <v>927</v>
      </c>
      <c r="J199" s="31">
        <v>99</v>
      </c>
      <c r="K199" s="31" t="s">
        <v>378</v>
      </c>
      <c r="L199" s="31"/>
      <c r="M199" s="32"/>
      <c r="N199" s="32" t="s">
        <v>895</v>
      </c>
      <c r="O199" s="33">
        <v>1</v>
      </c>
      <c r="P199" s="33">
        <v>1</v>
      </c>
      <c r="Q199" s="32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1</v>
      </c>
      <c r="AE199" s="2">
        <f t="shared" si="62"/>
        <v>0</v>
      </c>
      <c r="AF199" s="2">
        <f t="shared" si="47"/>
        <v>1</v>
      </c>
      <c r="AG199" s="2">
        <f t="shared" si="48"/>
        <v>0</v>
      </c>
      <c r="AH199" s="2">
        <f t="shared" si="49"/>
        <v>1</v>
      </c>
      <c r="AI199" s="2">
        <f t="shared" si="50"/>
        <v>0</v>
      </c>
    </row>
    <row r="200" spans="1:35" ht="14.25" customHeight="1" x14ac:dyDescent="0.25">
      <c r="A200" s="31">
        <v>0</v>
      </c>
      <c r="B200" s="31">
        <v>2</v>
      </c>
      <c r="C200" s="31">
        <v>7</v>
      </c>
      <c r="D200" s="32" t="s">
        <v>520</v>
      </c>
      <c r="E200" s="32" t="s">
        <v>31</v>
      </c>
      <c r="F200" s="32" t="s">
        <v>521</v>
      </c>
      <c r="G200" s="32" t="s">
        <v>124</v>
      </c>
      <c r="H200" s="32" t="s">
        <v>165</v>
      </c>
      <c r="I200" s="31" t="s">
        <v>522</v>
      </c>
      <c r="J200" s="31">
        <v>7</v>
      </c>
      <c r="K200" s="31" t="s">
        <v>319</v>
      </c>
      <c r="L200" s="31" t="s">
        <v>318</v>
      </c>
      <c r="M200" s="32" t="s">
        <v>273</v>
      </c>
      <c r="N200" s="32" t="s">
        <v>901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7</v>
      </c>
      <c r="D201" s="35" t="s">
        <v>432</v>
      </c>
      <c r="E201" s="35" t="s">
        <v>31</v>
      </c>
      <c r="F201" s="35" t="s">
        <v>433</v>
      </c>
      <c r="G201" s="35" t="s">
        <v>117</v>
      </c>
      <c r="H201" s="35" t="s">
        <v>165</v>
      </c>
      <c r="I201" s="34" t="s">
        <v>484</v>
      </c>
      <c r="J201" s="34">
        <v>1</v>
      </c>
      <c r="K201" s="34" t="s">
        <v>320</v>
      </c>
      <c r="L201" s="34" t="s">
        <v>318</v>
      </c>
      <c r="M201" s="35" t="s">
        <v>273</v>
      </c>
      <c r="N201" s="35" t="s">
        <v>931</v>
      </c>
      <c r="O201" s="36"/>
      <c r="P201" s="36"/>
      <c r="Q201" s="35"/>
      <c r="S201" s="2">
        <f t="shared" si="51"/>
        <v>1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1">
        <v>0</v>
      </c>
      <c r="B202" s="31">
        <v>2</v>
      </c>
      <c r="C202" s="31">
        <v>7</v>
      </c>
      <c r="D202" s="32" t="s">
        <v>462</v>
      </c>
      <c r="E202" s="32" t="s">
        <v>31</v>
      </c>
      <c r="F202" s="32" t="s">
        <v>155</v>
      </c>
      <c r="G202" s="32" t="s">
        <v>122</v>
      </c>
      <c r="H202" s="32" t="s">
        <v>165</v>
      </c>
      <c r="I202" s="31" t="s">
        <v>198</v>
      </c>
      <c r="J202" s="31">
        <v>6</v>
      </c>
      <c r="K202" s="31" t="s">
        <v>321</v>
      </c>
      <c r="L202" s="31" t="s">
        <v>318</v>
      </c>
      <c r="M202" s="32" t="s">
        <v>273</v>
      </c>
      <c r="N202" s="32" t="s">
        <v>895</v>
      </c>
      <c r="O202" s="33">
        <v>1</v>
      </c>
      <c r="P202" s="33">
        <v>1</v>
      </c>
      <c r="Q202" s="32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1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1</v>
      </c>
      <c r="AE202" s="2">
        <f t="shared" si="62"/>
        <v>0</v>
      </c>
      <c r="AF202" s="2">
        <f t="shared" si="63"/>
        <v>1</v>
      </c>
      <c r="AG202" s="2">
        <f t="shared" si="64"/>
        <v>0</v>
      </c>
      <c r="AH202" s="2">
        <f t="shared" si="65"/>
        <v>1</v>
      </c>
      <c r="AI202" s="2">
        <f t="shared" si="66"/>
        <v>0</v>
      </c>
    </row>
    <row r="203" spans="1:35" ht="14.25" customHeight="1" x14ac:dyDescent="0.25">
      <c r="A203" s="31">
        <v>0</v>
      </c>
      <c r="B203" s="31">
        <v>2</v>
      </c>
      <c r="C203" s="31">
        <v>7</v>
      </c>
      <c r="D203" s="32" t="s">
        <v>63</v>
      </c>
      <c r="E203" s="32" t="s">
        <v>31</v>
      </c>
      <c r="F203" s="32" t="s">
        <v>138</v>
      </c>
      <c r="G203" s="32" t="s">
        <v>125</v>
      </c>
      <c r="H203" s="32" t="s">
        <v>165</v>
      </c>
      <c r="I203" s="31" t="s">
        <v>375</v>
      </c>
      <c r="J203" s="31">
        <v>99</v>
      </c>
      <c r="K203" s="31" t="s">
        <v>320</v>
      </c>
      <c r="L203" s="31" t="s">
        <v>318</v>
      </c>
      <c r="M203" s="32" t="s">
        <v>273</v>
      </c>
      <c r="N203" s="32" t="s">
        <v>895</v>
      </c>
      <c r="O203" s="33">
        <v>1</v>
      </c>
      <c r="P203" s="33">
        <v>1</v>
      </c>
      <c r="Q203" s="32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1</v>
      </c>
      <c r="AE203" s="2">
        <f t="shared" si="62"/>
        <v>0</v>
      </c>
      <c r="AF203" s="2">
        <f t="shared" si="63"/>
        <v>1</v>
      </c>
      <c r="AG203" s="2">
        <f t="shared" si="64"/>
        <v>0</v>
      </c>
      <c r="AH203" s="2">
        <f t="shared" si="65"/>
        <v>1</v>
      </c>
      <c r="AI203" s="2">
        <f t="shared" si="66"/>
        <v>0</v>
      </c>
    </row>
    <row r="204" spans="1:35" ht="14.25" customHeight="1" x14ac:dyDescent="0.25">
      <c r="A204" s="31">
        <v>0</v>
      </c>
      <c r="B204" s="31">
        <v>2</v>
      </c>
      <c r="C204" s="31">
        <v>7</v>
      </c>
      <c r="D204" s="32" t="s">
        <v>429</v>
      </c>
      <c r="E204" s="32" t="s">
        <v>31</v>
      </c>
      <c r="F204" s="32" t="s">
        <v>430</v>
      </c>
      <c r="G204" s="32" t="s">
        <v>126</v>
      </c>
      <c r="H204" s="32" t="s">
        <v>165</v>
      </c>
      <c r="I204" s="31" t="s">
        <v>593</v>
      </c>
      <c r="J204" s="31">
        <v>99</v>
      </c>
      <c r="K204" s="31" t="s">
        <v>318</v>
      </c>
      <c r="L204" s="31" t="s">
        <v>318</v>
      </c>
      <c r="M204" s="32" t="s">
        <v>273</v>
      </c>
      <c r="N204" s="32" t="s">
        <v>932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1</v>
      </c>
      <c r="AH204" s="2">
        <f t="shared" si="65"/>
        <v>0</v>
      </c>
      <c r="AI204" s="2">
        <f t="shared" si="66"/>
        <v>1</v>
      </c>
    </row>
    <row r="205" spans="1:35" ht="14.25" customHeight="1" x14ac:dyDescent="0.25">
      <c r="A205" s="31">
        <v>1</v>
      </c>
      <c r="B205" s="31">
        <v>2</v>
      </c>
      <c r="C205" s="31">
        <v>7</v>
      </c>
      <c r="D205" s="32" t="s">
        <v>429</v>
      </c>
      <c r="E205" s="32" t="s">
        <v>31</v>
      </c>
      <c r="F205" s="32" t="s">
        <v>664</v>
      </c>
      <c r="G205" s="32" t="s">
        <v>665</v>
      </c>
      <c r="H205" s="32" t="s">
        <v>165</v>
      </c>
      <c r="I205" s="31" t="s">
        <v>593</v>
      </c>
      <c r="J205" s="31">
        <v>99</v>
      </c>
      <c r="K205" s="31" t="s">
        <v>318</v>
      </c>
      <c r="L205" s="31" t="s">
        <v>318</v>
      </c>
      <c r="M205" s="32" t="s">
        <v>273</v>
      </c>
      <c r="N205" s="32" t="s">
        <v>932</v>
      </c>
      <c r="O205" s="33">
        <v>1</v>
      </c>
      <c r="P205" s="33"/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D205" s="2">
        <f t="shared" si="61"/>
        <v>0</v>
      </c>
      <c r="AE205" s="2">
        <f t="shared" si="62"/>
        <v>1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72</v>
      </c>
      <c r="E206" s="32" t="s">
        <v>31</v>
      </c>
      <c r="F206" s="32" t="s">
        <v>151</v>
      </c>
      <c r="G206" s="32" t="s">
        <v>99</v>
      </c>
      <c r="H206" s="32" t="s">
        <v>165</v>
      </c>
      <c r="I206" s="31" t="s">
        <v>195</v>
      </c>
      <c r="J206" s="31">
        <v>3</v>
      </c>
      <c r="K206" s="31" t="s">
        <v>320</v>
      </c>
      <c r="L206" s="31" t="s">
        <v>318</v>
      </c>
      <c r="M206" s="32" t="s">
        <v>273</v>
      </c>
      <c r="N206" s="32" t="s">
        <v>932</v>
      </c>
      <c r="O206" s="33">
        <v>1</v>
      </c>
      <c r="P206" s="33"/>
      <c r="Q206" s="32"/>
      <c r="S206" s="2">
        <f t="shared" si="51"/>
        <v>0</v>
      </c>
      <c r="T206" s="2">
        <f t="shared" si="52"/>
        <v>0</v>
      </c>
      <c r="U206" s="2">
        <f t="shared" si="53"/>
        <v>1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</row>
    <row r="207" spans="1:35" ht="14.25" customHeight="1" x14ac:dyDescent="0.25">
      <c r="A207" s="34">
        <v>0</v>
      </c>
      <c r="B207" s="34">
        <v>2</v>
      </c>
      <c r="C207" s="34">
        <v>7</v>
      </c>
      <c r="D207" s="35" t="s">
        <v>305</v>
      </c>
      <c r="E207" s="35" t="s">
        <v>31</v>
      </c>
      <c r="F207" s="35" t="s">
        <v>822</v>
      </c>
      <c r="G207" s="35" t="s">
        <v>578</v>
      </c>
      <c r="H207" s="35" t="s">
        <v>165</v>
      </c>
      <c r="I207" s="34" t="s">
        <v>297</v>
      </c>
      <c r="J207" s="34">
        <v>99</v>
      </c>
      <c r="K207" s="34" t="s">
        <v>318</v>
      </c>
      <c r="L207" s="34" t="s">
        <v>318</v>
      </c>
      <c r="M207" s="35" t="s">
        <v>273</v>
      </c>
      <c r="N207" s="35" t="s">
        <v>930</v>
      </c>
      <c r="O207" s="36"/>
      <c r="P207" s="36"/>
      <c r="Q207" s="35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0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73</v>
      </c>
      <c r="E208" s="35" t="s">
        <v>31</v>
      </c>
      <c r="F208" s="35" t="s">
        <v>152</v>
      </c>
      <c r="G208" s="35" t="s">
        <v>120</v>
      </c>
      <c r="H208" s="35" t="s">
        <v>165</v>
      </c>
      <c r="I208" s="34" t="s">
        <v>196</v>
      </c>
      <c r="J208" s="34">
        <v>6</v>
      </c>
      <c r="K208" s="34" t="s">
        <v>320</v>
      </c>
      <c r="L208" s="34" t="s">
        <v>318</v>
      </c>
      <c r="M208" s="35" t="s">
        <v>273</v>
      </c>
      <c r="N208" s="35" t="s">
        <v>897</v>
      </c>
      <c r="O208" s="36"/>
      <c r="P208" s="36"/>
      <c r="Q208" s="35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1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4">
        <v>1</v>
      </c>
      <c r="B209" s="34">
        <v>2</v>
      </c>
      <c r="C209" s="34">
        <v>7</v>
      </c>
      <c r="D209" s="35" t="s">
        <v>73</v>
      </c>
      <c r="E209" s="35" t="s">
        <v>31</v>
      </c>
      <c r="F209" s="35" t="s">
        <v>310</v>
      </c>
      <c r="G209" s="35" t="s">
        <v>102</v>
      </c>
      <c r="H209" s="35" t="s">
        <v>165</v>
      </c>
      <c r="I209" s="34" t="s">
        <v>316</v>
      </c>
      <c r="J209" s="34">
        <v>4</v>
      </c>
      <c r="K209" s="34" t="s">
        <v>320</v>
      </c>
      <c r="L209" s="34" t="s">
        <v>318</v>
      </c>
      <c r="M209" s="35" t="s">
        <v>273</v>
      </c>
      <c r="N209" s="35" t="s">
        <v>897</v>
      </c>
      <c r="O209" s="36"/>
      <c r="P209" s="36"/>
      <c r="Q209" s="35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1</v>
      </c>
      <c r="W209" s="2">
        <f t="shared" ref="W209:W228" si="71">IF(J209=$W$7,1,0)</f>
        <v>0</v>
      </c>
      <c r="X209" s="2">
        <f t="shared" ref="X209:X228" si="72">IF(J209=$X$7,1,0)</f>
        <v>0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0</v>
      </c>
      <c r="AE209" s="2">
        <f t="shared" ref="AE209:AE228" si="78">O209*(1-P209)</f>
        <v>0</v>
      </c>
      <c r="AF209" s="2">
        <f t="shared" si="63"/>
        <v>0</v>
      </c>
      <c r="AG209" s="2">
        <f t="shared" si="64"/>
        <v>0</v>
      </c>
      <c r="AH209" s="2">
        <f t="shared" si="65"/>
        <v>0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395</v>
      </c>
      <c r="E210" s="32" t="s">
        <v>31</v>
      </c>
      <c r="F210" s="32" t="s">
        <v>476</v>
      </c>
      <c r="G210" s="32" t="s">
        <v>477</v>
      </c>
      <c r="H210" s="32" t="s">
        <v>165</v>
      </c>
      <c r="I210" s="31" t="s">
        <v>396</v>
      </c>
      <c r="J210" s="31">
        <v>99</v>
      </c>
      <c r="K210" s="31" t="s">
        <v>318</v>
      </c>
      <c r="L210" s="31" t="s">
        <v>318</v>
      </c>
      <c r="M210" s="32" t="s">
        <v>273</v>
      </c>
      <c r="N210" s="32" t="s">
        <v>901</v>
      </c>
      <c r="O210" s="33">
        <v>1</v>
      </c>
      <c r="P210" s="33"/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0</v>
      </c>
      <c r="AE210" s="2">
        <f t="shared" si="78"/>
        <v>1</v>
      </c>
      <c r="AF210" s="2">
        <f t="shared" si="63"/>
        <v>0</v>
      </c>
      <c r="AG210" s="2">
        <f t="shared" si="64"/>
        <v>1</v>
      </c>
      <c r="AH210" s="2">
        <f t="shared" si="65"/>
        <v>0</v>
      </c>
      <c r="AI210" s="2">
        <f t="shared" si="66"/>
        <v>1</v>
      </c>
    </row>
    <row r="211" spans="1:35" ht="14.25" customHeight="1" x14ac:dyDescent="0.25">
      <c r="A211" s="34">
        <v>0</v>
      </c>
      <c r="B211" s="34">
        <v>2</v>
      </c>
      <c r="C211" s="34">
        <v>7</v>
      </c>
      <c r="D211" s="35" t="s">
        <v>568</v>
      </c>
      <c r="E211" s="35" t="s">
        <v>31</v>
      </c>
      <c r="F211" s="35" t="s">
        <v>579</v>
      </c>
      <c r="G211" s="35" t="s">
        <v>132</v>
      </c>
      <c r="H211" s="35" t="s">
        <v>165</v>
      </c>
      <c r="I211" s="34" t="s">
        <v>844</v>
      </c>
      <c r="J211" s="34">
        <v>3</v>
      </c>
      <c r="K211" s="34" t="s">
        <v>320</v>
      </c>
      <c r="L211" s="34" t="s">
        <v>318</v>
      </c>
      <c r="M211" s="35" t="s">
        <v>273</v>
      </c>
      <c r="N211" s="35" t="s">
        <v>931</v>
      </c>
      <c r="O211" s="36"/>
      <c r="P211" s="36"/>
      <c r="Q211" s="35"/>
      <c r="S211" s="2">
        <f t="shared" si="67"/>
        <v>0</v>
      </c>
      <c r="T211" s="2">
        <f t="shared" si="68"/>
        <v>0</v>
      </c>
      <c r="U211" s="2">
        <f t="shared" si="69"/>
        <v>1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4">
        <v>0</v>
      </c>
      <c r="B212" s="34">
        <v>2</v>
      </c>
      <c r="C212" s="34">
        <v>7</v>
      </c>
      <c r="D212" s="35" t="s">
        <v>74</v>
      </c>
      <c r="E212" s="35" t="s">
        <v>31</v>
      </c>
      <c r="F212" s="35" t="s">
        <v>311</v>
      </c>
      <c r="G212" s="35" t="s">
        <v>103</v>
      </c>
      <c r="H212" s="35" t="s">
        <v>165</v>
      </c>
      <c r="I212" s="34" t="s">
        <v>845</v>
      </c>
      <c r="J212" s="34">
        <v>6</v>
      </c>
      <c r="K212" s="34" t="s">
        <v>318</v>
      </c>
      <c r="L212" s="34" t="s">
        <v>318</v>
      </c>
      <c r="M212" s="35" t="s">
        <v>273</v>
      </c>
      <c r="N212" s="35" t="s">
        <v>930</v>
      </c>
      <c r="O212" s="36"/>
      <c r="P212" s="36"/>
      <c r="Q212" s="35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1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0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1</v>
      </c>
    </row>
    <row r="213" spans="1:35" ht="14.25" customHeight="1" x14ac:dyDescent="0.25">
      <c r="A213" s="34">
        <v>0</v>
      </c>
      <c r="B213" s="34">
        <v>2</v>
      </c>
      <c r="C213" s="34">
        <v>7</v>
      </c>
      <c r="D213" s="35" t="s">
        <v>68</v>
      </c>
      <c r="E213" s="35" t="s">
        <v>90</v>
      </c>
      <c r="F213" s="35" t="s">
        <v>146</v>
      </c>
      <c r="G213" s="35" t="s">
        <v>103</v>
      </c>
      <c r="H213" s="35" t="s">
        <v>165</v>
      </c>
      <c r="I213" s="34" t="s">
        <v>191</v>
      </c>
      <c r="J213" s="34">
        <v>6</v>
      </c>
      <c r="K213" s="34" t="s">
        <v>321</v>
      </c>
      <c r="L213" s="34" t="s">
        <v>333</v>
      </c>
      <c r="M213" s="35" t="s">
        <v>274</v>
      </c>
      <c r="N213" s="35" t="s">
        <v>931</v>
      </c>
      <c r="O213" s="36"/>
      <c r="P213" s="36"/>
      <c r="Q213" s="35"/>
      <c r="S213" s="2">
        <f t="shared" si="67"/>
        <v>0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1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0</v>
      </c>
      <c r="AF213" s="2">
        <f t="shared" si="63"/>
        <v>0</v>
      </c>
      <c r="AG213" s="2">
        <f t="shared" si="64"/>
        <v>0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1">
        <v>0</v>
      </c>
      <c r="B214" s="31">
        <v>2</v>
      </c>
      <c r="C214" s="31">
        <v>7</v>
      </c>
      <c r="D214" s="32" t="s">
        <v>464</v>
      </c>
      <c r="E214" s="32" t="s">
        <v>31</v>
      </c>
      <c r="F214" s="32" t="s">
        <v>397</v>
      </c>
      <c r="G214" s="32" t="s">
        <v>480</v>
      </c>
      <c r="H214" s="32" t="s">
        <v>165</v>
      </c>
      <c r="I214" s="31" t="s">
        <v>490</v>
      </c>
      <c r="J214" s="31">
        <v>99</v>
      </c>
      <c r="K214" s="31" t="s">
        <v>378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1</v>
      </c>
      <c r="AF214" s="2">
        <f t="shared" si="63"/>
        <v>0</v>
      </c>
      <c r="AG214" s="2">
        <f t="shared" si="64"/>
        <v>1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1">
        <v>0</v>
      </c>
      <c r="B215" s="31">
        <v>2</v>
      </c>
      <c r="C215" s="31">
        <v>7</v>
      </c>
      <c r="D215" s="32" t="s">
        <v>506</v>
      </c>
      <c r="E215" s="32" t="s">
        <v>31</v>
      </c>
      <c r="F215" s="32" t="s">
        <v>507</v>
      </c>
      <c r="G215" s="32" t="s">
        <v>96</v>
      </c>
      <c r="H215" s="32" t="s">
        <v>165</v>
      </c>
      <c r="I215" s="31" t="s">
        <v>508</v>
      </c>
      <c r="J215" s="31">
        <v>3</v>
      </c>
      <c r="K215" s="31" t="s">
        <v>318</v>
      </c>
      <c r="L215" s="31" t="s">
        <v>318</v>
      </c>
      <c r="M215" s="32" t="s">
        <v>273</v>
      </c>
      <c r="N215" s="32" t="s">
        <v>915</v>
      </c>
      <c r="O215" s="33">
        <v>1</v>
      </c>
      <c r="P215" s="33"/>
      <c r="Q215" s="32"/>
      <c r="S215" s="2">
        <f t="shared" si="67"/>
        <v>0</v>
      </c>
      <c r="T215" s="2">
        <f t="shared" si="68"/>
        <v>0</v>
      </c>
      <c r="U215" s="2">
        <f t="shared" si="69"/>
        <v>1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1</v>
      </c>
      <c r="AF215" s="2">
        <f t="shared" si="63"/>
        <v>0</v>
      </c>
      <c r="AG215" s="2">
        <f t="shared" si="64"/>
        <v>1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1">
        <v>0</v>
      </c>
      <c r="B216" s="31">
        <v>2</v>
      </c>
      <c r="C216" s="31">
        <v>7</v>
      </c>
      <c r="D216" s="32" t="s">
        <v>919</v>
      </c>
      <c r="E216" s="32" t="s">
        <v>920</v>
      </c>
      <c r="F216" s="32" t="s">
        <v>146</v>
      </c>
      <c r="G216" s="32" t="s">
        <v>103</v>
      </c>
      <c r="H216" s="32" t="s">
        <v>165</v>
      </c>
      <c r="I216" s="31" t="s">
        <v>33</v>
      </c>
      <c r="J216" s="31">
        <v>6</v>
      </c>
      <c r="K216" s="31" t="s">
        <v>378</v>
      </c>
      <c r="L216" s="31"/>
      <c r="M216" s="32"/>
      <c r="N216" s="32" t="s">
        <v>895</v>
      </c>
      <c r="O216" s="33">
        <v>1</v>
      </c>
      <c r="P216" s="33">
        <v>1</v>
      </c>
      <c r="Q216" s="32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1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1</v>
      </c>
      <c r="AE216" s="2">
        <f t="shared" si="78"/>
        <v>0</v>
      </c>
      <c r="AF216" s="2">
        <f t="shared" si="63"/>
        <v>1</v>
      </c>
      <c r="AG216" s="2">
        <f t="shared" si="64"/>
        <v>0</v>
      </c>
      <c r="AH216" s="2">
        <f t="shared" si="65"/>
        <v>1</v>
      </c>
      <c r="AI216" s="2">
        <f t="shared" si="66"/>
        <v>0</v>
      </c>
    </row>
    <row r="217" spans="1:35" ht="14.25" customHeight="1" x14ac:dyDescent="0.25">
      <c r="A217" s="31">
        <v>1</v>
      </c>
      <c r="B217" s="31">
        <v>2</v>
      </c>
      <c r="C217" s="31">
        <v>7</v>
      </c>
      <c r="D217" s="32" t="s">
        <v>919</v>
      </c>
      <c r="E217" s="32" t="s">
        <v>920</v>
      </c>
      <c r="F217" s="32" t="s">
        <v>921</v>
      </c>
      <c r="G217" s="32" t="s">
        <v>922</v>
      </c>
      <c r="H217" s="32" t="s">
        <v>165</v>
      </c>
      <c r="I217" s="31"/>
      <c r="J217" s="31"/>
      <c r="K217" s="31" t="s">
        <v>378</v>
      </c>
      <c r="L217" s="31"/>
      <c r="M217" s="32"/>
      <c r="N217" s="32" t="s">
        <v>895</v>
      </c>
      <c r="O217" s="33">
        <v>1</v>
      </c>
      <c r="P217" s="33">
        <v>1</v>
      </c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1</v>
      </c>
      <c r="AE217" s="2">
        <f t="shared" si="78"/>
        <v>0</v>
      </c>
      <c r="AF217" s="2">
        <f t="shared" si="63"/>
        <v>0</v>
      </c>
      <c r="AG217" s="2">
        <f t="shared" si="64"/>
        <v>0</v>
      </c>
      <c r="AH217" s="2">
        <f t="shared" si="65"/>
        <v>0</v>
      </c>
      <c r="AI217" s="2">
        <f t="shared" si="66"/>
        <v>0</v>
      </c>
    </row>
    <row r="218" spans="1:35" ht="14.25" customHeight="1" x14ac:dyDescent="0.25">
      <c r="A218" s="31">
        <v>0</v>
      </c>
      <c r="B218" s="31">
        <v>2</v>
      </c>
      <c r="C218" s="31">
        <v>7</v>
      </c>
      <c r="D218" s="32" t="s">
        <v>362</v>
      </c>
      <c r="E218" s="32" t="s">
        <v>31</v>
      </c>
      <c r="F218" s="32" t="s">
        <v>153</v>
      </c>
      <c r="G218" s="32" t="s">
        <v>109</v>
      </c>
      <c r="H218" s="32" t="s">
        <v>165</v>
      </c>
      <c r="I218" s="31" t="s">
        <v>197</v>
      </c>
      <c r="J218" s="31">
        <v>9</v>
      </c>
      <c r="K218" s="31" t="s">
        <v>320</v>
      </c>
      <c r="L218" s="31" t="s">
        <v>318</v>
      </c>
      <c r="M218" s="32" t="s">
        <v>273</v>
      </c>
      <c r="N218" s="32" t="s">
        <v>915</v>
      </c>
      <c r="O218" s="33">
        <v>1</v>
      </c>
      <c r="P218" s="33"/>
      <c r="Q218" s="32"/>
      <c r="S218" s="2">
        <f t="shared" si="67"/>
        <v>0</v>
      </c>
      <c r="T218" s="2">
        <f t="shared" si="68"/>
        <v>0</v>
      </c>
      <c r="U218" s="2">
        <f t="shared" si="69"/>
        <v>0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1</v>
      </c>
      <c r="AB218" s="2">
        <f t="shared" si="76"/>
        <v>0</v>
      </c>
      <c r="AD218" s="2">
        <f t="shared" si="77"/>
        <v>0</v>
      </c>
      <c r="AE218" s="2">
        <f t="shared" si="78"/>
        <v>1</v>
      </c>
      <c r="AF218" s="2">
        <f t="shared" si="63"/>
        <v>0</v>
      </c>
      <c r="AG218" s="2">
        <f t="shared" si="64"/>
        <v>1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1">
        <v>1</v>
      </c>
      <c r="B219" s="31">
        <v>2</v>
      </c>
      <c r="C219" s="31">
        <v>7</v>
      </c>
      <c r="D219" s="32" t="s">
        <v>362</v>
      </c>
      <c r="E219" s="32" t="s">
        <v>31</v>
      </c>
      <c r="F219" s="32" t="s">
        <v>369</v>
      </c>
      <c r="G219" s="32" t="s">
        <v>109</v>
      </c>
      <c r="H219" s="32" t="s">
        <v>165</v>
      </c>
      <c r="I219" s="31" t="s">
        <v>376</v>
      </c>
      <c r="J219" s="31">
        <v>9</v>
      </c>
      <c r="K219" s="31" t="s">
        <v>320</v>
      </c>
      <c r="L219" s="31" t="s">
        <v>318</v>
      </c>
      <c r="M219" s="32" t="s">
        <v>273</v>
      </c>
      <c r="N219" s="32" t="s">
        <v>915</v>
      </c>
      <c r="O219" s="33">
        <v>1</v>
      </c>
      <c r="P219" s="33"/>
      <c r="Q219" s="32" t="s">
        <v>960</v>
      </c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0</v>
      </c>
      <c r="Y219" s="2">
        <f t="shared" si="73"/>
        <v>0</v>
      </c>
      <c r="Z219" s="2">
        <f t="shared" si="74"/>
        <v>0</v>
      </c>
      <c r="AA219" s="2">
        <f t="shared" si="75"/>
        <v>1</v>
      </c>
      <c r="AB219" s="2">
        <f t="shared" si="76"/>
        <v>0</v>
      </c>
      <c r="AD219" s="2">
        <f t="shared" si="77"/>
        <v>0</v>
      </c>
      <c r="AE219" s="2">
        <f t="shared" si="78"/>
        <v>1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0</v>
      </c>
    </row>
    <row r="220" spans="1:35" ht="14.25" customHeight="1" x14ac:dyDescent="0.25">
      <c r="A220" s="31">
        <v>0</v>
      </c>
      <c r="B220" s="31">
        <v>2</v>
      </c>
      <c r="C220" s="31">
        <v>7</v>
      </c>
      <c r="D220" s="32" t="s">
        <v>398</v>
      </c>
      <c r="E220" s="32" t="s">
        <v>31</v>
      </c>
      <c r="F220" s="32" t="s">
        <v>401</v>
      </c>
      <c r="G220" s="32" t="s">
        <v>481</v>
      </c>
      <c r="H220" s="32" t="s">
        <v>165</v>
      </c>
      <c r="I220" s="31" t="s">
        <v>493</v>
      </c>
      <c r="J220" s="31">
        <v>6</v>
      </c>
      <c r="K220" s="31" t="s">
        <v>319</v>
      </c>
      <c r="L220" s="31" t="s">
        <v>318</v>
      </c>
      <c r="M220" s="32" t="s">
        <v>273</v>
      </c>
      <c r="N220" s="32" t="s">
        <v>937</v>
      </c>
      <c r="O220" s="33">
        <v>1</v>
      </c>
      <c r="P220" s="33"/>
      <c r="Q220" s="32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1</v>
      </c>
      <c r="AF220" s="2">
        <f t="shared" si="63"/>
        <v>0</v>
      </c>
      <c r="AG220" s="2">
        <f t="shared" si="64"/>
        <v>1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1</v>
      </c>
      <c r="B221" s="31">
        <v>2</v>
      </c>
      <c r="C221" s="31">
        <v>7</v>
      </c>
      <c r="D221" s="32" t="s">
        <v>398</v>
      </c>
      <c r="E221" s="32" t="s">
        <v>31</v>
      </c>
      <c r="F221" s="32" t="s">
        <v>399</v>
      </c>
      <c r="G221" s="32" t="s">
        <v>124</v>
      </c>
      <c r="H221" s="32" t="s">
        <v>165</v>
      </c>
      <c r="I221" s="31" t="s">
        <v>400</v>
      </c>
      <c r="J221" s="31">
        <v>7</v>
      </c>
      <c r="K221" s="31" t="s">
        <v>319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1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0</v>
      </c>
      <c r="AH221" s="2">
        <f t="shared" si="65"/>
        <v>0</v>
      </c>
      <c r="AI221" s="2">
        <f t="shared" si="66"/>
        <v>0</v>
      </c>
    </row>
    <row r="222" spans="1:35" ht="14.25" customHeight="1" x14ac:dyDescent="0.25">
      <c r="A222" s="31">
        <v>1</v>
      </c>
      <c r="B222" s="31">
        <v>2</v>
      </c>
      <c r="C222" s="31">
        <v>7</v>
      </c>
      <c r="D222" s="32" t="s">
        <v>398</v>
      </c>
      <c r="E222" s="32" t="s">
        <v>31</v>
      </c>
      <c r="F222" s="32" t="s">
        <v>402</v>
      </c>
      <c r="G222" s="32" t="s">
        <v>403</v>
      </c>
      <c r="H222" s="32" t="s">
        <v>165</v>
      </c>
      <c r="I222" s="31" t="s">
        <v>494</v>
      </c>
      <c r="J222" s="31">
        <v>99</v>
      </c>
      <c r="K222" s="31" t="s">
        <v>319</v>
      </c>
      <c r="L222" s="31" t="s">
        <v>318</v>
      </c>
      <c r="M222" s="32" t="s">
        <v>273</v>
      </c>
      <c r="N222" s="32" t="s">
        <v>937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0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0</v>
      </c>
      <c r="AH222" s="2">
        <f t="shared" si="65"/>
        <v>0</v>
      </c>
      <c r="AI222" s="2">
        <f t="shared" si="66"/>
        <v>0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465</v>
      </c>
      <c r="E223" s="32" t="s">
        <v>31</v>
      </c>
      <c r="F223" s="32" t="s">
        <v>431</v>
      </c>
      <c r="G223" s="32" t="s">
        <v>125</v>
      </c>
      <c r="H223" s="32" t="s">
        <v>165</v>
      </c>
      <c r="I223" s="31" t="s">
        <v>495</v>
      </c>
      <c r="J223" s="31">
        <v>99</v>
      </c>
      <c r="K223" s="31" t="s">
        <v>320</v>
      </c>
      <c r="L223" s="31" t="s">
        <v>318</v>
      </c>
      <c r="M223" s="32" t="s">
        <v>273</v>
      </c>
      <c r="N223" s="32" t="s">
        <v>913</v>
      </c>
      <c r="O223" s="33">
        <v>1</v>
      </c>
      <c r="P223" s="33"/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0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0</v>
      </c>
      <c r="AE223" s="2">
        <f t="shared" si="78"/>
        <v>1</v>
      </c>
      <c r="AF223" s="2">
        <f t="shared" si="63"/>
        <v>0</v>
      </c>
      <c r="AG223" s="2">
        <f t="shared" si="64"/>
        <v>1</v>
      </c>
      <c r="AH223" s="2">
        <f t="shared" si="65"/>
        <v>0</v>
      </c>
      <c r="AI223" s="2">
        <f t="shared" si="66"/>
        <v>1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465</v>
      </c>
      <c r="E224" s="32" t="s">
        <v>31</v>
      </c>
      <c r="F224" s="32" t="s">
        <v>692</v>
      </c>
      <c r="G224" s="32" t="s">
        <v>140</v>
      </c>
      <c r="H224" s="32" t="s">
        <v>165</v>
      </c>
      <c r="I224" s="31" t="s">
        <v>697</v>
      </c>
      <c r="J224" s="31">
        <v>99</v>
      </c>
      <c r="K224" s="31" t="s">
        <v>320</v>
      </c>
      <c r="L224" s="31" t="s">
        <v>318</v>
      </c>
      <c r="M224" s="32" t="s">
        <v>273</v>
      </c>
      <c r="N224" s="32" t="s">
        <v>913</v>
      </c>
      <c r="O224" s="33">
        <v>1</v>
      </c>
      <c r="P224" s="33"/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0</v>
      </c>
      <c r="AE224" s="2">
        <f t="shared" si="78"/>
        <v>1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79</v>
      </c>
      <c r="E225" s="32" t="s">
        <v>31</v>
      </c>
      <c r="F225" s="32" t="s">
        <v>162</v>
      </c>
      <c r="G225" s="32" t="s">
        <v>163</v>
      </c>
      <c r="H225" s="32" t="s">
        <v>165</v>
      </c>
      <c r="I225" s="31" t="s">
        <v>202</v>
      </c>
      <c r="J225" s="31">
        <v>5</v>
      </c>
      <c r="K225" s="31" t="s">
        <v>378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1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0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4">
        <v>0</v>
      </c>
      <c r="B226" s="34">
        <v>2</v>
      </c>
      <c r="C226" s="34">
        <v>7</v>
      </c>
      <c r="D226" s="35" t="s">
        <v>59</v>
      </c>
      <c r="E226" s="35" t="s">
        <v>87</v>
      </c>
      <c r="F226" s="35" t="s">
        <v>351</v>
      </c>
      <c r="G226" s="35" t="s">
        <v>103</v>
      </c>
      <c r="H226" s="35" t="s">
        <v>165</v>
      </c>
      <c r="I226" s="34" t="s">
        <v>350</v>
      </c>
      <c r="J226" s="34">
        <v>6</v>
      </c>
      <c r="K226" s="34" t="s">
        <v>320</v>
      </c>
      <c r="L226" s="34" t="s">
        <v>336</v>
      </c>
      <c r="M226" s="35" t="s">
        <v>275</v>
      </c>
      <c r="N226" s="35" t="s">
        <v>902</v>
      </c>
      <c r="O226" s="36"/>
      <c r="P226" s="36"/>
      <c r="Q226" s="35"/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1</v>
      </c>
      <c r="Y226" s="2">
        <f t="shared" si="73"/>
        <v>0</v>
      </c>
      <c r="Z226" s="2">
        <f t="shared" si="74"/>
        <v>0</v>
      </c>
      <c r="AA226" s="2">
        <f t="shared" si="75"/>
        <v>0</v>
      </c>
      <c r="AB226" s="2">
        <f t="shared" si="76"/>
        <v>0</v>
      </c>
      <c r="AD226" s="2">
        <f t="shared" si="77"/>
        <v>0</v>
      </c>
      <c r="AE226" s="2">
        <f t="shared" si="78"/>
        <v>0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1</v>
      </c>
    </row>
    <row r="227" spans="1:35" ht="14.25" customHeight="1" x14ac:dyDescent="0.25">
      <c r="A227" s="34">
        <v>1</v>
      </c>
      <c r="B227" s="34">
        <v>2</v>
      </c>
      <c r="C227" s="34">
        <v>7</v>
      </c>
      <c r="D227" s="35" t="s">
        <v>59</v>
      </c>
      <c r="E227" s="35" t="s">
        <v>87</v>
      </c>
      <c r="F227" s="35" t="s">
        <v>123</v>
      </c>
      <c r="G227" s="35" t="s">
        <v>124</v>
      </c>
      <c r="H227" s="35" t="s">
        <v>165</v>
      </c>
      <c r="I227" s="34" t="s">
        <v>180</v>
      </c>
      <c r="J227" s="34">
        <v>7</v>
      </c>
      <c r="K227" s="34" t="s">
        <v>320</v>
      </c>
      <c r="L227" s="34" t="s">
        <v>336</v>
      </c>
      <c r="M227" s="35" t="s">
        <v>275</v>
      </c>
      <c r="N227" s="35" t="s">
        <v>902</v>
      </c>
      <c r="O227" s="36"/>
      <c r="P227" s="36"/>
      <c r="Q227" s="35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0</v>
      </c>
      <c r="Y227" s="2">
        <f t="shared" si="73"/>
        <v>1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0</v>
      </c>
      <c r="AF227" s="2">
        <f t="shared" si="63"/>
        <v>0</v>
      </c>
      <c r="AG227" s="2">
        <f t="shared" si="64"/>
        <v>0</v>
      </c>
      <c r="AH227" s="2">
        <f t="shared" si="65"/>
        <v>0</v>
      </c>
      <c r="AI227" s="2">
        <f t="shared" si="66"/>
        <v>0</v>
      </c>
    </row>
    <row r="228" spans="1:35" ht="14.25" customHeight="1" x14ac:dyDescent="0.25">
      <c r="A228" s="34">
        <v>1</v>
      </c>
      <c r="B228" s="34">
        <v>2</v>
      </c>
      <c r="C228" s="34">
        <v>7</v>
      </c>
      <c r="D228" s="35" t="s">
        <v>59</v>
      </c>
      <c r="E228" s="35" t="s">
        <v>87</v>
      </c>
      <c r="F228" s="35" t="s">
        <v>348</v>
      </c>
      <c r="G228" s="35" t="s">
        <v>93</v>
      </c>
      <c r="H228" s="35" t="s">
        <v>165</v>
      </c>
      <c r="I228" s="34" t="s">
        <v>349</v>
      </c>
      <c r="J228" s="34">
        <v>8</v>
      </c>
      <c r="K228" s="34" t="s">
        <v>320</v>
      </c>
      <c r="L228" s="34" t="s">
        <v>336</v>
      </c>
      <c r="M228" s="35" t="s">
        <v>275</v>
      </c>
      <c r="N228" s="35" t="s">
        <v>902</v>
      </c>
      <c r="O228" s="36"/>
      <c r="P228" s="36"/>
      <c r="Q228" s="35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0</v>
      </c>
      <c r="Z228" s="2">
        <f t="shared" si="74"/>
        <v>1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0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20"/>
      <c r="B229" s="20"/>
      <c r="C229" s="20"/>
      <c r="D229" s="21"/>
      <c r="E229" s="21"/>
      <c r="F229" s="21"/>
      <c r="G229" s="21"/>
      <c r="H229" s="21"/>
      <c r="I229" s="20"/>
      <c r="J229" s="20"/>
      <c r="K229" s="20"/>
      <c r="L229" s="20"/>
      <c r="M229" s="21"/>
      <c r="N229" s="21"/>
      <c r="O229" s="20"/>
      <c r="P229" s="20"/>
      <c r="Q229" s="21"/>
    </row>
    <row r="230" spans="1:35" ht="14.25" customHeight="1" x14ac:dyDescent="0.25">
      <c r="A230" s="20"/>
      <c r="B230" s="20"/>
      <c r="C230" s="20"/>
      <c r="D230" s="21"/>
      <c r="E230" s="21"/>
      <c r="F230" s="21"/>
      <c r="G230" s="21"/>
      <c r="H230" s="21"/>
      <c r="I230" s="20"/>
      <c r="J230" s="20"/>
      <c r="K230" s="20"/>
      <c r="L230" s="20"/>
      <c r="M230" s="21"/>
      <c r="N230" s="21"/>
      <c r="O230" s="20"/>
      <c r="P230" s="20"/>
      <c r="Q230" s="21"/>
    </row>
    <row r="231" spans="1:35" ht="14.25" customHeight="1" x14ac:dyDescent="0.25">
      <c r="A231" s="20"/>
      <c r="B231" s="20"/>
      <c r="C231" s="20"/>
      <c r="D231" s="21"/>
      <c r="E231" s="21"/>
      <c r="F231" s="21"/>
      <c r="G231" s="21"/>
      <c r="H231" s="21"/>
      <c r="I231" s="20"/>
      <c r="J231" s="20"/>
      <c r="K231" s="20"/>
      <c r="L231" s="20"/>
      <c r="M231" s="21"/>
      <c r="N231" s="21"/>
      <c r="O231" s="20"/>
      <c r="P231" s="20"/>
      <c r="Q231" s="21"/>
    </row>
    <row r="232" spans="1:35" ht="14.25" customHeight="1" x14ac:dyDescent="0.25">
      <c r="A232" s="20"/>
      <c r="B232" s="20"/>
      <c r="C232" s="20"/>
      <c r="D232" s="21"/>
      <c r="E232" s="21"/>
      <c r="F232" s="21"/>
      <c r="G232" s="21"/>
      <c r="H232" s="21"/>
      <c r="I232" s="20"/>
      <c r="J232" s="20"/>
      <c r="K232" s="20"/>
      <c r="L232" s="20"/>
      <c r="M232" s="21"/>
      <c r="N232" s="21"/>
      <c r="O232" s="20"/>
      <c r="P232" s="20"/>
      <c r="Q232" s="21"/>
    </row>
    <row r="233" spans="1:35" ht="14.25" customHeight="1" x14ac:dyDescent="0.25">
      <c r="A233" s="20"/>
      <c r="B233" s="20"/>
      <c r="C233" s="20"/>
      <c r="D233" s="21"/>
      <c r="E233" s="21"/>
      <c r="F233" s="21"/>
      <c r="G233" s="21"/>
      <c r="H233" s="21"/>
      <c r="I233" s="20"/>
      <c r="J233" s="20"/>
      <c r="K233" s="20"/>
      <c r="L233" s="20"/>
      <c r="M233" s="21"/>
      <c r="N233" s="21"/>
      <c r="O233" s="20"/>
      <c r="P233" s="20"/>
      <c r="Q233" s="21"/>
    </row>
    <row r="234" spans="1:35" ht="14.25" customHeight="1" x14ac:dyDescent="0.25">
      <c r="A234" s="20"/>
      <c r="B234" s="20"/>
      <c r="C234" s="20"/>
      <c r="D234" s="21"/>
      <c r="E234" s="21"/>
      <c r="F234" s="21"/>
      <c r="G234" s="21"/>
      <c r="H234" s="21"/>
      <c r="I234" s="20"/>
      <c r="J234" s="20"/>
      <c r="K234" s="20"/>
      <c r="L234" s="20"/>
      <c r="M234" s="21"/>
      <c r="N234" s="21"/>
      <c r="O234" s="20"/>
      <c r="P234" s="20"/>
      <c r="Q234" s="21"/>
    </row>
    <row r="235" spans="1:35" ht="14.25" customHeight="1" x14ac:dyDescent="0.25">
      <c r="A235" s="20"/>
      <c r="B235" s="20"/>
      <c r="C235" s="20"/>
      <c r="D235" s="21"/>
      <c r="E235" s="21"/>
      <c r="F235" s="21"/>
      <c r="G235" s="21"/>
      <c r="H235" s="21"/>
      <c r="I235" s="20"/>
      <c r="J235" s="20"/>
      <c r="K235" s="20"/>
      <c r="L235" s="20"/>
      <c r="M235" s="21"/>
      <c r="N235" s="21"/>
      <c r="O235" s="20"/>
      <c r="P235" s="20"/>
      <c r="Q235" s="21"/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P228">
    <sortCondition ref="B8:B228"/>
    <sortCondition ref="C8:C228"/>
    <sortCondition ref="D8:D228"/>
    <sortCondition ref="A8:A228"/>
  </sortState>
  <phoneticPr fontId="0" type="noConversion"/>
  <hyperlinks>
    <hyperlink ref="I129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2026-05-29T09:50:12Z</dcterms:modified>
</cp:coreProperties>
</file>