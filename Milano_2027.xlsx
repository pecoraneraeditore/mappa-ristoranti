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83452A5-1CB8-4DE9-A184-8FEFA37FF289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<sst xmlns="http://schemas.openxmlformats.org/spreadsheetml/2006/main" count="2203" uniqueCount="1003">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</sst>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83" activePane="bottomLeft" state="frozen"/>
      <selection pane="bottomLeft" activeCell="D241" sqref="D241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83</v>
      </c>
      <c r="G4" s="9">
        <f>+AG6</f>
        <v>64</v>
      </c>
      <c r="H4" s="7">
        <f>+E4-G4</f>
        <v>77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192</v>
      </c>
      <c r="F5" s="11">
        <f>+F3+F4</f>
        <v>142</v>
      </c>
      <c r="G5" s="11">
        <f>+G3+G4</f>
        <v>110</v>
      </c>
      <c r="H5" s="11">
        <f>+H3+H4</f>
        <v>82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83</v>
      </c>
      <c r="AF6" s="2">
        <f t="shared" si="1"/>
        <v>46</v>
      </c>
      <c r="AG6" s="2">
        <f t="shared" si="1"/>
        <v>64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3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3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842</v>
      </c>
      <c r="J23" s="32">
        <v>99</v>
      </c>
      <c r="K23" s="32" t="s">
        <v>325</v>
      </c>
      <c r="L23" s="32">
        <v>45</v>
      </c>
      <c r="M23" s="33" t="s">
        <v>906</v>
      </c>
      <c r="N23" s="33" t="s">
        <v>931</v>
      </c>
      <c r="O23" s="34"/>
      <c r="P23" s="34"/>
      <c r="Q23" s="33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857</v>
      </c>
      <c r="M24" s="33" t="s">
        <v>740</v>
      </c>
      <c r="N24" s="33" t="s">
        <v>902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857</v>
      </c>
      <c r="M25" s="21" t="s">
        <v>781</v>
      </c>
      <c r="N25" s="21"/>
      <c r="O25" s="7"/>
      <c r="P25" s="7"/>
      <c r="Q25" s="21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910</v>
      </c>
      <c r="O26" s="31">
        <v>1</v>
      </c>
      <c r="P26" s="31"/>
      <c r="Q26" s="30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895</v>
      </c>
      <c r="O27" s="31">
        <v>1</v>
      </c>
      <c r="P27" s="31">
        <v>1</v>
      </c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1</v>
      </c>
      <c r="AE27" s="2">
        <f t="shared" si="30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</row>
    <row r="28" spans="1:35" ht="14.25" customHeight="1" x14ac:dyDescent="0.3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896</v>
      </c>
      <c r="O28" s="34"/>
      <c r="P28" s="34"/>
      <c r="Q28" s="33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0</v>
      </c>
      <c r="AE28" s="2">
        <f t="shared" si="30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</row>
    <row r="29" spans="1:35" ht="14.25" customHeight="1" x14ac:dyDescent="0.3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881</v>
      </c>
      <c r="N29" s="33" t="s">
        <v>899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907</v>
      </c>
      <c r="N30" s="30" t="s">
        <v>914</v>
      </c>
      <c r="O30" s="31">
        <v>1</v>
      </c>
      <c r="P30" s="31"/>
      <c r="Q30" s="30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1</v>
      </c>
      <c r="AF30" s="2">
        <f t="shared" si="3"/>
        <v>0</v>
      </c>
      <c r="AG30" s="2">
        <f t="shared" si="4"/>
        <v>1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32">
        <v>0</v>
      </c>
      <c r="B31" s="32">
        <v>1</v>
      </c>
      <c r="C31" s="32">
        <v>2</v>
      </c>
      <c r="D31" s="33" t="s">
        <v>219</v>
      </c>
      <c r="E31" s="33" t="s">
        <v>263</v>
      </c>
      <c r="F31" s="33" t="s">
        <v>220</v>
      </c>
      <c r="G31" s="33" t="s">
        <v>103</v>
      </c>
      <c r="H31" s="33" t="s">
        <v>165</v>
      </c>
      <c r="I31" s="32" t="s">
        <v>221</v>
      </c>
      <c r="J31" s="32">
        <v>6</v>
      </c>
      <c r="K31" s="32" t="s">
        <v>326</v>
      </c>
      <c r="L31" s="32" t="s">
        <v>343</v>
      </c>
      <c r="M31" s="33" t="s">
        <v>344</v>
      </c>
      <c r="N31" s="33" t="s">
        <v>902</v>
      </c>
      <c r="O31" s="34"/>
      <c r="P31" s="34"/>
      <c r="Q31" s="33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1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20">
        <v>0</v>
      </c>
      <c r="B32" s="20">
        <v>1</v>
      </c>
      <c r="C32" s="20">
        <v>2</v>
      </c>
      <c r="D32" s="21" t="s">
        <v>804</v>
      </c>
      <c r="E32" s="21" t="s">
        <v>262</v>
      </c>
      <c r="F32" s="21" t="s">
        <v>755</v>
      </c>
      <c r="G32" s="21" t="s">
        <v>689</v>
      </c>
      <c r="H32" s="21" t="s">
        <v>165</v>
      </c>
      <c r="I32" s="20" t="s">
        <v>847</v>
      </c>
      <c r="J32" s="20">
        <v>4</v>
      </c>
      <c r="K32" s="20" t="s">
        <v>326</v>
      </c>
      <c r="L32" s="20">
        <v>130</v>
      </c>
      <c r="M32" s="21" t="s">
        <v>882</v>
      </c>
      <c r="N32" s="21"/>
      <c r="O32" s="7"/>
      <c r="P32" s="7"/>
      <c r="Q32" s="21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1</v>
      </c>
      <c r="W32" s="2">
        <f t="shared" si="23"/>
        <v>0</v>
      </c>
      <c r="X32" s="2">
        <f t="shared" si="24"/>
        <v>0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3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895</v>
      </c>
      <c r="O33" s="31">
        <v>1</v>
      </c>
      <c r="P33" s="31">
        <v>1</v>
      </c>
      <c r="Q33" s="30"/>
      <c r="R33" s="2"/>
      <c r="S33" s="2">
        <f t="shared" si="19"/>
        <v>0</v>
      </c>
      <c r="T33" s="2">
        <f t="shared" si="20"/>
        <v>0</v>
      </c>
      <c r="U33" s="2">
        <f t="shared" si="21"/>
        <v>1</v>
      </c>
      <c r="V33" s="2">
        <f t="shared" si="22"/>
        <v>0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1</v>
      </c>
      <c r="AE33" s="2">
        <f t="shared" si="30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</row>
    <row r="34" spans="1:16384" s="3" customFormat="1" ht="14.25" customHeight="1" x14ac:dyDescent="0.3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883</v>
      </c>
      <c r="N34" s="30" t="s">
        <v>908</v>
      </c>
      <c r="O34" s="31">
        <v>1</v>
      </c>
      <c r="P34" s="31"/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0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1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0</v>
      </c>
      <c r="AE34" s="2">
        <f t="shared" si="30"/>
        <v>1</v>
      </c>
      <c r="AF34" s="2">
        <f t="shared" si="3"/>
        <v>0</v>
      </c>
      <c r="AG34" s="2">
        <f t="shared" si="4"/>
        <v>1</v>
      </c>
      <c r="AH34" s="2">
        <f t="shared" si="5"/>
        <v>0</v>
      </c>
      <c r="AI34" s="2">
        <f t="shared" si="6"/>
        <v>1</v>
      </c>
    </row>
    <row r="35" spans="1:16384" s="3" customFormat="1" ht="14.25" customHeight="1" x14ac:dyDescent="0.3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742</v>
      </c>
      <c r="N35" s="21"/>
      <c r="O35" s="7"/>
      <c r="P35" s="7"/>
      <c r="Q35" s="21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0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3">
      <c r="A36" s="32">
        <v>0</v>
      </c>
      <c r="B36" s="32">
        <v>1</v>
      </c>
      <c r="C36" s="32">
        <v>3</v>
      </c>
      <c r="D36" s="33" t="s">
        <v>302</v>
      </c>
      <c r="E36" s="33" t="s">
        <v>263</v>
      </c>
      <c r="F36" s="33" t="s">
        <v>312</v>
      </c>
      <c r="G36" s="33" t="s">
        <v>40</v>
      </c>
      <c r="H36" s="33" t="s">
        <v>303</v>
      </c>
      <c r="I36" s="32" t="s">
        <v>304</v>
      </c>
      <c r="J36" s="32">
        <v>99</v>
      </c>
      <c r="K36" s="32" t="s">
        <v>378</v>
      </c>
      <c r="L36" s="32">
        <v>90</v>
      </c>
      <c r="M36" s="33" t="s">
        <v>598</v>
      </c>
      <c r="N36" s="33" t="s">
        <v>911</v>
      </c>
      <c r="O36" s="34"/>
      <c r="P36" s="34"/>
      <c r="Q36" s="33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3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895</v>
      </c>
      <c r="O37" s="31">
        <v>1</v>
      </c>
      <c r="P37" s="31">
        <v>1</v>
      </c>
      <c r="Q37" s="30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1</v>
      </c>
      <c r="AE37" s="2">
        <f t="shared" si="30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</row>
    <row r="38" spans="1:16384" s="3" customFormat="1" ht="14.25" customHeight="1" x14ac:dyDescent="0.3">
      <c r="A38" s="20">
        <v>0</v>
      </c>
      <c r="B38" s="20">
        <v>1</v>
      </c>
      <c r="C38" s="20">
        <v>3</v>
      </c>
      <c r="D38" s="21" t="s">
        <v>811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854</v>
      </c>
      <c r="M38" s="21" t="s">
        <v>599</v>
      </c>
      <c r="N38" s="21"/>
      <c r="O38" s="7"/>
      <c r="P38" s="7"/>
      <c r="Q38" s="21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1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0</v>
      </c>
      <c r="AE38" s="2">
        <f t="shared" si="30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</row>
    <row r="39" spans="1:16384" s="3" customFormat="1" ht="14.25" customHeight="1" x14ac:dyDescent="0.3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858</v>
      </c>
      <c r="M39" s="30" t="s">
        <v>743</v>
      </c>
      <c r="N39" s="30" t="s">
        <v>914</v>
      </c>
      <c r="O39" s="31">
        <v>1</v>
      </c>
      <c r="P39" s="31"/>
      <c r="Q39" s="30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1</v>
      </c>
      <c r="AF39" s="2">
        <f t="shared" si="3"/>
        <v>0</v>
      </c>
      <c r="AG39" s="2">
        <f t="shared" si="4"/>
        <v>1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3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862</v>
      </c>
      <c r="M40" s="33" t="s">
        <v>785</v>
      </c>
      <c r="N40" s="33" t="s">
        <v>911</v>
      </c>
      <c r="O40" s="34"/>
      <c r="P40" s="34"/>
      <c r="Q40" s="33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0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3">
      <c r="A41" s="29">
        <v>0</v>
      </c>
      <c r="B41" s="29">
        <v>1</v>
      </c>
      <c r="C41" s="29">
        <v>3</v>
      </c>
      <c r="D41" s="30" t="s">
        <v>756</v>
      </c>
      <c r="E41" s="30" t="s">
        <v>757</v>
      </c>
      <c r="F41" s="30" t="s">
        <v>758</v>
      </c>
      <c r="G41" s="30" t="s">
        <v>92</v>
      </c>
      <c r="H41" s="30" t="s">
        <v>165</v>
      </c>
      <c r="I41" s="29" t="s">
        <v>759</v>
      </c>
      <c r="J41" s="29">
        <v>1</v>
      </c>
      <c r="K41" s="29" t="s">
        <v>378</v>
      </c>
      <c r="L41" s="29">
        <v>35</v>
      </c>
      <c r="M41" s="30" t="s">
        <v>760</v>
      </c>
      <c r="N41" s="30" t="s">
        <v>903</v>
      </c>
      <c r="O41" s="31">
        <v>1</v>
      </c>
      <c r="P41" s="31"/>
      <c r="Q41" s="30"/>
      <c r="R41" s="2"/>
      <c r="S41" s="2">
        <f t="shared" si="19"/>
        <v>1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3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743</v>
      </c>
      <c r="N42" s="30" t="s">
        <v>909</v>
      </c>
      <c r="O42" s="31">
        <v>1</v>
      </c>
      <c r="P42" s="31"/>
      <c r="Q42" s="30"/>
      <c r="R42" s="2"/>
      <c r="S42" s="2">
        <f t="shared" si="19"/>
        <v>0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3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902</v>
      </c>
      <c r="O43" s="34"/>
      <c r="P43" s="34"/>
      <c r="Q43" s="33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3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909</v>
      </c>
      <c r="O44" s="31">
        <v>1</v>
      </c>
      <c r="P44" s="31"/>
      <c r="Q44" s="30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1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1</v>
      </c>
      <c r="AF44" s="2">
        <f t="shared" si="3"/>
        <v>0</v>
      </c>
      <c r="AG44" s="2">
        <f t="shared" si="4"/>
        <v>1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3">
      <c r="A45" s="32">
        <v>0</v>
      </c>
      <c r="B45" s="32">
        <v>1</v>
      </c>
      <c r="C45" s="32">
        <v>3</v>
      </c>
      <c r="D45" s="33" t="s">
        <v>774</v>
      </c>
      <c r="E45" s="33" t="s">
        <v>259</v>
      </c>
      <c r="F45" s="33" t="s">
        <v>775</v>
      </c>
      <c r="G45" s="33" t="s">
        <v>103</v>
      </c>
      <c r="H45" s="33" t="s">
        <v>165</v>
      </c>
      <c r="I45" s="32" t="s">
        <v>776</v>
      </c>
      <c r="J45" s="32">
        <v>6</v>
      </c>
      <c r="K45" s="32" t="s">
        <v>378</v>
      </c>
      <c r="L45" s="32">
        <v>70</v>
      </c>
      <c r="M45" s="33" t="s">
        <v>777</v>
      </c>
      <c r="N45" s="33" t="s">
        <v>911</v>
      </c>
      <c r="O45" s="34"/>
      <c r="P45" s="34"/>
      <c r="Q45" s="33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1</v>
      </c>
      <c r="Y45" s="2">
        <f t="shared" si="25"/>
        <v>0</v>
      </c>
      <c r="Z45" s="2">
        <f t="shared" si="26"/>
        <v>0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3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828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743</v>
      </c>
      <c r="N46" s="33" t="s">
        <v>896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0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3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909</v>
      </c>
      <c r="O47" s="31">
        <v>1</v>
      </c>
      <c r="P47" s="31"/>
      <c r="Q47" s="30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1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3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3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0</v>
      </c>
      <c r="AA49" s="2">
        <f t="shared" si="27"/>
        <v>0</v>
      </c>
      <c r="AB49" s="2">
        <f t="shared" si="28"/>
        <v>1</v>
      </c>
      <c r="AD49" s="2">
        <f t="shared" si="29"/>
        <v>0</v>
      </c>
      <c r="AE49" s="2">
        <f t="shared" si="30"/>
        <v>0</v>
      </c>
      <c r="AF49" s="2">
        <f t="shared" si="3"/>
        <v>0</v>
      </c>
      <c r="AG49" s="2">
        <f t="shared" si="4"/>
        <v>0</v>
      </c>
      <c r="AH49" s="2">
        <f t="shared" si="5"/>
        <v>1</v>
      </c>
      <c r="AI49" s="2">
        <f t="shared" si="6"/>
        <v>0</v>
      </c>
    </row>
    <row r="50" spans="1:35" ht="14.25" customHeight="1" x14ac:dyDescent="0.3">
      <c r="A50" s="32">
        <v>0</v>
      </c>
      <c r="B50" s="32">
        <v>1</v>
      </c>
      <c r="C50" s="32">
        <v>3</v>
      </c>
      <c r="D50" s="33" t="s">
        <v>637</v>
      </c>
      <c r="E50" s="33" t="s">
        <v>638</v>
      </c>
      <c r="F50" s="33" t="s">
        <v>639</v>
      </c>
      <c r="G50" s="33" t="s">
        <v>516</v>
      </c>
      <c r="H50" s="33" t="s">
        <v>165</v>
      </c>
      <c r="I50" s="32" t="s">
        <v>640</v>
      </c>
      <c r="J50" s="32"/>
      <c r="K50" s="32" t="s">
        <v>378</v>
      </c>
      <c r="L50" s="32">
        <v>55</v>
      </c>
      <c r="M50" s="33" t="s">
        <v>641</v>
      </c>
      <c r="N50" s="33" t="s">
        <v>930</v>
      </c>
      <c r="O50" s="34"/>
      <c r="P50" s="34"/>
      <c r="Q50" s="33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0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0</v>
      </c>
      <c r="AI50" s="2">
        <f t="shared" si="6"/>
        <v>1</v>
      </c>
    </row>
    <row r="51" spans="1:35" ht="14.25" customHeight="1" x14ac:dyDescent="0.3">
      <c r="A51" s="32">
        <v>0</v>
      </c>
      <c r="B51" s="32">
        <v>1</v>
      </c>
      <c r="C51" s="32">
        <v>3</v>
      </c>
      <c r="D51" s="33" t="s">
        <v>730</v>
      </c>
      <c r="E51" s="33" t="s">
        <v>259</v>
      </c>
      <c r="F51" s="33" t="s">
        <v>834</v>
      </c>
      <c r="G51" s="33" t="s">
        <v>733</v>
      </c>
      <c r="H51" s="33" t="s">
        <v>165</v>
      </c>
      <c r="I51" s="32" t="s">
        <v>732</v>
      </c>
      <c r="J51" s="32">
        <v>99</v>
      </c>
      <c r="K51" s="32" t="s">
        <v>331</v>
      </c>
      <c r="L51" s="32" t="s">
        <v>346</v>
      </c>
      <c r="M51" s="33" t="s">
        <v>731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20">
        <v>0</v>
      </c>
      <c r="B52" s="20">
        <v>1</v>
      </c>
      <c r="C52" s="20">
        <v>3</v>
      </c>
      <c r="D52" s="21" t="s">
        <v>988</v>
      </c>
      <c r="E52" s="21" t="s">
        <v>259</v>
      </c>
      <c r="F52" s="21" t="s">
        <v>989</v>
      </c>
      <c r="G52" s="21" t="s">
        <v>990</v>
      </c>
      <c r="H52" s="21" t="s">
        <v>165</v>
      </c>
      <c r="I52" s="20" t="s">
        <v>991</v>
      </c>
      <c r="J52" s="20"/>
      <c r="K52" s="20" t="s">
        <v>378</v>
      </c>
      <c r="L52" s="20">
        <v>65</v>
      </c>
      <c r="M52" s="21" t="s">
        <v>992</v>
      </c>
      <c r="N52" s="21"/>
      <c r="O52" s="20"/>
      <c r="P52" s="20"/>
      <c r="Q52" s="21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738</v>
      </c>
      <c r="N53" s="33" t="s">
        <v>930</v>
      </c>
      <c r="O53" s="34"/>
      <c r="P53" s="34"/>
      <c r="Q53" s="33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912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783</v>
      </c>
      <c r="N55" s="30" t="s">
        <v>895</v>
      </c>
      <c r="O55" s="31">
        <v>1</v>
      </c>
      <c r="P55" s="31">
        <v>1</v>
      </c>
      <c r="Q55" s="30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3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931</v>
      </c>
      <c r="O56" s="34"/>
      <c r="P56" s="34"/>
      <c r="Q56" s="33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3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9">
        <v>0</v>
      </c>
      <c r="B58" s="29">
        <v>1</v>
      </c>
      <c r="C58" s="29">
        <v>5</v>
      </c>
      <c r="D58" s="30" t="s">
        <v>889</v>
      </c>
      <c r="E58" s="30" t="s">
        <v>892</v>
      </c>
      <c r="F58" s="30" t="s">
        <v>890</v>
      </c>
      <c r="G58" s="30" t="s">
        <v>403</v>
      </c>
      <c r="H58" s="30" t="s">
        <v>165</v>
      </c>
      <c r="I58" s="29" t="s">
        <v>891</v>
      </c>
      <c r="J58" s="29"/>
      <c r="K58" s="29" t="s">
        <v>378</v>
      </c>
      <c r="L58" s="29">
        <v>55</v>
      </c>
      <c r="M58" s="30" t="s">
        <v>893</v>
      </c>
      <c r="N58" s="30" t="s">
        <v>937</v>
      </c>
      <c r="O58" s="31">
        <v>1</v>
      </c>
      <c r="P58" s="31"/>
      <c r="Q58" s="30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1</v>
      </c>
      <c r="AF58" s="2">
        <f t="shared" si="3"/>
        <v>0</v>
      </c>
      <c r="AG58" s="2">
        <f t="shared" si="4"/>
        <v>1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29">
        <v>0</v>
      </c>
      <c r="B59" s="29">
        <v>1</v>
      </c>
      <c r="C59" s="29">
        <v>5</v>
      </c>
      <c r="D59" s="30" t="s">
        <v>874</v>
      </c>
      <c r="E59" s="30" t="s">
        <v>805</v>
      </c>
      <c r="F59" s="30" t="s">
        <v>875</v>
      </c>
      <c r="G59" s="30" t="s">
        <v>309</v>
      </c>
      <c r="H59" s="30" t="s">
        <v>165</v>
      </c>
      <c r="I59" s="29" t="s">
        <v>876</v>
      </c>
      <c r="J59" s="29"/>
      <c r="K59" s="29" t="s">
        <v>378</v>
      </c>
      <c r="L59" s="29">
        <v>50</v>
      </c>
      <c r="M59" s="30" t="s">
        <v>877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0" t="s">
        <v>853</v>
      </c>
      <c r="J60" s="20">
        <v>8</v>
      </c>
      <c r="K60" s="20" t="s">
        <v>332</v>
      </c>
      <c r="L60" s="20">
        <v>50</v>
      </c>
      <c r="M60" s="21" t="s">
        <v>877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9">
        <v>0</v>
      </c>
      <c r="B61" s="29">
        <v>1</v>
      </c>
      <c r="C61" s="29">
        <v>5</v>
      </c>
      <c r="D61" s="30" t="s">
        <v>871</v>
      </c>
      <c r="E61" s="30" t="s">
        <v>805</v>
      </c>
      <c r="F61" s="30" t="s">
        <v>872</v>
      </c>
      <c r="G61" s="30" t="s">
        <v>370</v>
      </c>
      <c r="H61" s="30" t="s">
        <v>165</v>
      </c>
      <c r="I61" s="29" t="s">
        <v>873</v>
      </c>
      <c r="J61" s="29"/>
      <c r="K61" s="29" t="s">
        <v>378</v>
      </c>
      <c r="L61" s="29">
        <v>45</v>
      </c>
      <c r="M61" s="30" t="s">
        <v>420</v>
      </c>
      <c r="N61" s="30" t="s">
        <v>895</v>
      </c>
      <c r="O61" s="31">
        <v>1</v>
      </c>
      <c r="P61" s="31">
        <v>1</v>
      </c>
      <c r="Q61" s="30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3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914</v>
      </c>
      <c r="O62" s="31">
        <v>1</v>
      </c>
      <c r="P62" s="31"/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3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787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932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896</v>
      </c>
      <c r="O68" s="34"/>
      <c r="P68" s="34"/>
      <c r="Q68" s="33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2">
        <v>0</v>
      </c>
      <c r="B69" s="32">
        <v>1</v>
      </c>
      <c r="C69" s="32">
        <v>5</v>
      </c>
      <c r="D69" s="33" t="s">
        <v>816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3">
      <c r="A72" s="29">
        <v>0</v>
      </c>
      <c r="B72" s="29">
        <v>1</v>
      </c>
      <c r="C72" s="29">
        <v>6</v>
      </c>
      <c r="D72" s="30" t="s">
        <v>810</v>
      </c>
      <c r="E72" s="30" t="s">
        <v>261</v>
      </c>
      <c r="F72" s="30" t="s">
        <v>772</v>
      </c>
      <c r="G72" s="30" t="s">
        <v>519</v>
      </c>
      <c r="H72" s="30" t="s">
        <v>165</v>
      </c>
      <c r="I72" s="29" t="s">
        <v>773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895</v>
      </c>
      <c r="O72" s="31">
        <v>1</v>
      </c>
      <c r="P72" s="31">
        <v>1</v>
      </c>
      <c r="Q72" s="30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14" si="31">+O72*P72*(1-A72)</f>
        <v>1</v>
      </c>
      <c r="AG72" s="2">
        <f t="shared" ref="AG72:AG114" si="32">O72*(1-P72)*(1-A72)</f>
        <v>0</v>
      </c>
      <c r="AH72" s="2">
        <f t="shared" ref="AH72:AH114" si="33">+P72*(1-A72)</f>
        <v>1</v>
      </c>
      <c r="AI72" s="2">
        <f t="shared" ref="AI72:AI114" si="34">+(1-A72)*(1-P72)</f>
        <v>0</v>
      </c>
    </row>
    <row r="73" spans="1:35" ht="14.25" customHeight="1" x14ac:dyDescent="0.3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754</v>
      </c>
      <c r="N74" s="30" t="s">
        <v>901</v>
      </c>
      <c r="O74" s="31">
        <v>1</v>
      </c>
      <c r="P74" s="31"/>
      <c r="Q74" s="30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3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3">
      <c r="A76" s="29">
        <v>0</v>
      </c>
      <c r="B76" s="29">
        <v>1</v>
      </c>
      <c r="C76" s="29">
        <v>6</v>
      </c>
      <c r="D76" s="30" t="s">
        <v>719</v>
      </c>
      <c r="E76" s="30" t="s">
        <v>258</v>
      </c>
      <c r="F76" s="30" t="s">
        <v>720</v>
      </c>
      <c r="G76" s="30" t="s">
        <v>130</v>
      </c>
      <c r="H76" s="30" t="s">
        <v>165</v>
      </c>
      <c r="I76" s="29" t="s">
        <v>721</v>
      </c>
      <c r="J76" s="29"/>
      <c r="K76" s="29" t="s">
        <v>329</v>
      </c>
      <c r="L76" s="29">
        <v>35</v>
      </c>
      <c r="M76" s="30" t="s">
        <v>884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3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936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895</v>
      </c>
      <c r="O78" s="31">
        <v>1</v>
      </c>
      <c r="P78" s="31">
        <v>1</v>
      </c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3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931</v>
      </c>
      <c r="O79" s="34"/>
      <c r="P79" s="34"/>
      <c r="Q79" s="33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3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895</v>
      </c>
      <c r="O80" s="31">
        <v>1</v>
      </c>
      <c r="P80" s="31">
        <v>1</v>
      </c>
      <c r="Q80" s="30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1</v>
      </c>
      <c r="AE80" s="2">
        <f t="shared" si="30"/>
        <v>0</v>
      </c>
      <c r="AF80" s="2">
        <f t="shared" si="31"/>
        <v>1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16384" s="3" customFormat="1" ht="14.25" customHeight="1" x14ac:dyDescent="0.3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843</v>
      </c>
      <c r="J81" s="29">
        <v>3</v>
      </c>
      <c r="K81" s="29" t="s">
        <v>330</v>
      </c>
      <c r="L81" s="29" t="s">
        <v>346</v>
      </c>
      <c r="M81" s="30" t="s">
        <v>767</v>
      </c>
      <c r="N81" s="30" t="s">
        <v>903</v>
      </c>
      <c r="O81" s="31">
        <v>1</v>
      </c>
      <c r="P81" s="31"/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1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0</v>
      </c>
      <c r="AE81" s="21">
        <f t="shared" ref="AE81:AE114" si="46">O81*(1-P81)</f>
        <v>1</v>
      </c>
      <c r="AF81" s="7">
        <f t="shared" si="31"/>
        <v>0</v>
      </c>
      <c r="AG81" s="7">
        <f t="shared" si="32"/>
        <v>1</v>
      </c>
      <c r="AH81" s="21">
        <f t="shared" si="33"/>
        <v>0</v>
      </c>
      <c r="AI81" s="20">
        <f t="shared" si="34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3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856</v>
      </c>
      <c r="M82" s="33" t="s">
        <v>700</v>
      </c>
      <c r="N82" s="33" t="s">
        <v>902</v>
      </c>
      <c r="O82" s="34"/>
      <c r="P82" s="34"/>
      <c r="Q82" s="33"/>
      <c r="R82" s="2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3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751</v>
      </c>
      <c r="N83" s="30" t="s">
        <v>901</v>
      </c>
      <c r="O83" s="31">
        <v>1</v>
      </c>
      <c r="P83" s="31"/>
      <c r="Q83" s="30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3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3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16384" s="3" customFormat="1" ht="14.25" customHeight="1" x14ac:dyDescent="0.3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Q86" s="21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16384" s="3" customFormat="1" ht="14.25" customHeight="1" x14ac:dyDescent="0.3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831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745</v>
      </c>
      <c r="N87" s="33" t="s">
        <v>902</v>
      </c>
      <c r="O87" s="34"/>
      <c r="P87" s="34"/>
      <c r="Q87" s="33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3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784</v>
      </c>
      <c r="N88" s="30" t="s">
        <v>909</v>
      </c>
      <c r="O88" s="31">
        <v>1</v>
      </c>
      <c r="P88" s="31"/>
      <c r="Q88" s="30"/>
      <c r="R88" s="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3">
      <c r="A89" s="26">
        <v>0</v>
      </c>
      <c r="B89" s="26">
        <v>1</v>
      </c>
      <c r="C89" s="26">
        <v>6</v>
      </c>
      <c r="D89" s="27" t="s">
        <v>984</v>
      </c>
      <c r="E89" s="27" t="s">
        <v>258</v>
      </c>
      <c r="F89" s="27" t="s">
        <v>985</v>
      </c>
      <c r="G89" s="27" t="s">
        <v>986</v>
      </c>
      <c r="H89" s="27" t="s">
        <v>165</v>
      </c>
      <c r="I89" s="26" t="s">
        <v>987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35"/>
        <v>0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1</v>
      </c>
      <c r="AI89" s="2">
        <f t="shared" si="34"/>
        <v>0</v>
      </c>
    </row>
    <row r="90" spans="1:16384" s="3" customFormat="1" ht="14.25" customHeight="1" x14ac:dyDescent="0.3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35"/>
        <v>0</v>
      </c>
      <c r="T90" s="2">
        <f t="shared" si="36"/>
        <v>1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0</v>
      </c>
      <c r="AI90" s="2">
        <f t="shared" si="34"/>
        <v>1</v>
      </c>
    </row>
    <row r="91" spans="1:16384" s="3" customFormat="1" ht="14.25" customHeight="1" x14ac:dyDescent="0.3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914</v>
      </c>
      <c r="O91" s="31">
        <v>1</v>
      </c>
      <c r="P91" s="31"/>
      <c r="Q91" s="30"/>
      <c r="R91" s="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1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1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3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0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1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16384" s="3" customFormat="1" ht="14.25" customHeight="1" x14ac:dyDescent="0.3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1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3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3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1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3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895</v>
      </c>
      <c r="O97" s="31">
        <v>1</v>
      </c>
      <c r="P97" s="31">
        <v>1</v>
      </c>
      <c r="Q97" s="30"/>
      <c r="S97" s="2">
        <f t="shared" si="35"/>
        <v>1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1</v>
      </c>
      <c r="AE97" s="2">
        <f t="shared" si="46"/>
        <v>0</v>
      </c>
      <c r="AF97" s="2">
        <f t="shared" si="31"/>
        <v>1</v>
      </c>
      <c r="AG97" s="2">
        <f t="shared" si="32"/>
        <v>0</v>
      </c>
      <c r="AH97" s="2">
        <f t="shared" si="33"/>
        <v>1</v>
      </c>
      <c r="AI97" s="2">
        <f t="shared" si="34"/>
        <v>0</v>
      </c>
    </row>
    <row r="98" spans="1:35" ht="14.25" customHeight="1" x14ac:dyDescent="0.3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910</v>
      </c>
      <c r="O98" s="31">
        <v>1</v>
      </c>
      <c r="P98" s="31"/>
      <c r="Q98" s="30"/>
      <c r="S98" s="2">
        <f t="shared" si="35"/>
        <v>0</v>
      </c>
      <c r="T98" s="2">
        <f t="shared" si="36"/>
        <v>0</v>
      </c>
      <c r="U98" s="2">
        <f t="shared" si="37"/>
        <v>1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3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841</v>
      </c>
      <c r="J99" s="29">
        <v>1</v>
      </c>
      <c r="K99" s="29" t="s">
        <v>320</v>
      </c>
      <c r="L99" s="29" t="s">
        <v>343</v>
      </c>
      <c r="M99" s="30" t="s">
        <v>752</v>
      </c>
      <c r="N99" s="30" t="s">
        <v>903</v>
      </c>
      <c r="O99" s="31">
        <v>1</v>
      </c>
      <c r="P99" s="31"/>
      <c r="Q99" s="30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3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0</v>
      </c>
      <c r="T101" s="2">
        <f t="shared" si="36"/>
        <v>1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895</v>
      </c>
      <c r="O102" s="31">
        <v>1</v>
      </c>
      <c r="P102" s="31">
        <v>1</v>
      </c>
      <c r="Q102" s="30"/>
      <c r="S102" s="2">
        <f t="shared" si="35"/>
        <v>0</v>
      </c>
      <c r="T102" s="2">
        <f t="shared" si="36"/>
        <v>0</v>
      </c>
      <c r="U102" s="2">
        <f t="shared" si="37"/>
        <v>1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1</v>
      </c>
      <c r="AG102" s="2">
        <f t="shared" si="32"/>
        <v>0</v>
      </c>
      <c r="AH102" s="2">
        <f t="shared" si="33"/>
        <v>1</v>
      </c>
      <c r="AI102" s="2">
        <f t="shared" si="34"/>
        <v>0</v>
      </c>
    </row>
    <row r="103" spans="1:35" ht="14.25" customHeight="1" x14ac:dyDescent="0.3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1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3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837</v>
      </c>
      <c r="G104" s="30" t="s">
        <v>124</v>
      </c>
      <c r="H104" s="30" t="s">
        <v>165</v>
      </c>
      <c r="I104" s="29" t="s">
        <v>851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0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838</v>
      </c>
      <c r="G105" s="30" t="s">
        <v>103</v>
      </c>
      <c r="H105" s="30" t="s">
        <v>165</v>
      </c>
      <c r="I105" s="29" t="s">
        <v>852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931</v>
      </c>
      <c r="O106" s="34"/>
      <c r="P106" s="34"/>
      <c r="Q106" s="33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1</v>
      </c>
    </row>
    <row r="107" spans="1:35" ht="14.25" customHeight="1" x14ac:dyDescent="0.3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0</v>
      </c>
    </row>
    <row r="108" spans="1:35" ht="14.25" customHeight="1" x14ac:dyDescent="0.3">
      <c r="A108" s="29">
        <v>0</v>
      </c>
      <c r="B108" s="29">
        <v>1</v>
      </c>
      <c r="C108" s="29">
        <v>7</v>
      </c>
      <c r="D108" s="30" t="s">
        <v>948</v>
      </c>
      <c r="E108" s="30" t="s">
        <v>32</v>
      </c>
      <c r="F108" s="30" t="s">
        <v>949</v>
      </c>
      <c r="G108" s="30"/>
      <c r="H108" s="30" t="s">
        <v>165</v>
      </c>
      <c r="I108" s="29" t="s">
        <v>950</v>
      </c>
      <c r="J108" s="29"/>
      <c r="K108" s="29" t="s">
        <v>378</v>
      </c>
      <c r="L108" s="29">
        <v>30</v>
      </c>
      <c r="M108" s="30" t="s">
        <v>951</v>
      </c>
      <c r="N108" s="30" t="s">
        <v>895</v>
      </c>
      <c r="O108" s="31">
        <v>1</v>
      </c>
      <c r="P108" s="31">
        <v>1</v>
      </c>
      <c r="Q108" s="30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1</v>
      </c>
      <c r="AE108" s="2">
        <f t="shared" si="46"/>
        <v>0</v>
      </c>
      <c r="AF108" s="2">
        <f t="shared" si="31"/>
        <v>1</v>
      </c>
      <c r="AG108" s="2">
        <f t="shared" si="32"/>
        <v>0</v>
      </c>
      <c r="AH108" s="2">
        <f t="shared" si="33"/>
        <v>1</v>
      </c>
      <c r="AI108" s="2">
        <f t="shared" si="34"/>
        <v>0</v>
      </c>
    </row>
    <row r="109" spans="1:35" ht="14.25" customHeight="1" x14ac:dyDescent="0.3">
      <c r="A109" s="20">
        <v>0</v>
      </c>
      <c r="B109" s="20">
        <v>1</v>
      </c>
      <c r="C109" s="20">
        <v>7</v>
      </c>
      <c r="D109" s="21" t="s">
        <v>963</v>
      </c>
      <c r="E109" s="21" t="s">
        <v>32</v>
      </c>
      <c r="F109" s="21" t="s">
        <v>964</v>
      </c>
      <c r="G109" s="21"/>
      <c r="H109" s="21" t="s">
        <v>165</v>
      </c>
      <c r="I109" s="20" t="s">
        <v>965</v>
      </c>
      <c r="J109" s="20"/>
      <c r="K109" s="20" t="s">
        <v>378</v>
      </c>
      <c r="L109" s="20">
        <v>40</v>
      </c>
      <c r="M109" s="21" t="s">
        <v>966</v>
      </c>
      <c r="N109" s="21"/>
      <c r="O109" s="7"/>
      <c r="P109" s="7"/>
      <c r="Q109" s="21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0</v>
      </c>
      <c r="AF109" s="2">
        <f t="shared" si="31"/>
        <v>0</v>
      </c>
      <c r="AG109" s="2">
        <f t="shared" si="32"/>
        <v>0</v>
      </c>
      <c r="AH109" s="2">
        <f t="shared" si="33"/>
        <v>0</v>
      </c>
      <c r="AI109" s="2">
        <f t="shared" si="34"/>
        <v>1</v>
      </c>
    </row>
    <row r="110" spans="1:35" ht="14.25" customHeight="1" x14ac:dyDescent="0.3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897</v>
      </c>
      <c r="O110" s="34"/>
      <c r="P110" s="34"/>
      <c r="Q110" s="33"/>
      <c r="S110" s="2">
        <f t="shared" si="35"/>
        <v>1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915</v>
      </c>
      <c r="O111" s="31">
        <v>1</v>
      </c>
      <c r="P111" s="31"/>
      <c r="Q111" s="30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1</v>
      </c>
      <c r="AF111" s="2">
        <f t="shared" si="31"/>
        <v>0</v>
      </c>
      <c r="AG111" s="2">
        <f t="shared" si="32"/>
        <v>1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3">
      <c r="A113" s="20">
        <v>0</v>
      </c>
      <c r="B113" s="20">
        <v>1</v>
      </c>
      <c r="C113" s="20">
        <v>7</v>
      </c>
      <c r="D113" s="21" t="s">
        <v>967</v>
      </c>
      <c r="E113" s="21" t="s">
        <v>32</v>
      </c>
      <c r="F113" s="21" t="s">
        <v>968</v>
      </c>
      <c r="G113" s="21" t="s">
        <v>403</v>
      </c>
      <c r="H113" s="21" t="s">
        <v>165</v>
      </c>
      <c r="I113" s="20" t="s">
        <v>969</v>
      </c>
      <c r="J113" s="20"/>
      <c r="K113" s="20" t="s">
        <v>378</v>
      </c>
      <c r="L113" s="20">
        <v>50</v>
      </c>
      <c r="M113" s="21" t="s">
        <v>970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3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895</v>
      </c>
      <c r="O114" s="31">
        <v>1</v>
      </c>
      <c r="P114" s="31">
        <v>1</v>
      </c>
      <c r="Q114" s="30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3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1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0</v>
      </c>
      <c r="AG115" s="2">
        <f t="shared" ref="AG115:AG178" si="60">O115*(1-P115)*(1-A115)</f>
        <v>0</v>
      </c>
      <c r="AH115" s="2">
        <f t="shared" ref="AH115:AH178" si="61">+P115*(1-A115)</f>
        <v>0</v>
      </c>
      <c r="AI115" s="2">
        <f t="shared" ref="AI115:AI178" si="62">+(1-A115)*(1-P115)</f>
        <v>0</v>
      </c>
    </row>
    <row r="116" spans="1:35" ht="14.25" customHeight="1" x14ac:dyDescent="0.3">
      <c r="A116" s="29">
        <v>0</v>
      </c>
      <c r="B116" s="29">
        <v>2</v>
      </c>
      <c r="C116" s="29">
        <v>1</v>
      </c>
      <c r="D116" s="30" t="s">
        <v>993</v>
      </c>
      <c r="E116" s="30" t="s">
        <v>44</v>
      </c>
      <c r="F116" s="30" t="s">
        <v>994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895</v>
      </c>
      <c r="O116" s="31">
        <v>1</v>
      </c>
      <c r="P116" s="31">
        <v>1</v>
      </c>
      <c r="Q116" s="30" t="s">
        <v>995</v>
      </c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1</v>
      </c>
      <c r="AG116" s="2">
        <f t="shared" si="60"/>
        <v>0</v>
      </c>
      <c r="AH116" s="2">
        <f t="shared" si="61"/>
        <v>1</v>
      </c>
      <c r="AI116" s="2">
        <f t="shared" si="62"/>
        <v>0</v>
      </c>
    </row>
    <row r="117" spans="1:35" ht="14.25" customHeight="1" x14ac:dyDescent="0.3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47"/>
        <v>0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0</v>
      </c>
      <c r="AE117" s="2">
        <f t="shared" si="58"/>
        <v>0</v>
      </c>
      <c r="AF117" s="2">
        <f t="shared" si="59"/>
        <v>0</v>
      </c>
      <c r="AG117" s="2">
        <f t="shared" si="60"/>
        <v>0</v>
      </c>
      <c r="AH117" s="2">
        <f t="shared" si="61"/>
        <v>0</v>
      </c>
      <c r="AI117" s="2">
        <f t="shared" si="62"/>
        <v>1</v>
      </c>
    </row>
    <row r="118" spans="1:35" ht="14.25" customHeight="1" x14ac:dyDescent="0.3">
      <c r="A118" s="29">
        <v>0</v>
      </c>
      <c r="B118" s="29">
        <v>2</v>
      </c>
      <c r="C118" s="29">
        <v>1</v>
      </c>
      <c r="D118" s="30" t="s">
        <v>790</v>
      </c>
      <c r="E118" s="30" t="s">
        <v>470</v>
      </c>
      <c r="F118" s="30" t="s">
        <v>791</v>
      </c>
      <c r="G118" s="30" t="s">
        <v>103</v>
      </c>
      <c r="H118" s="30" t="s">
        <v>165</v>
      </c>
      <c r="I118" s="29" t="s">
        <v>792</v>
      </c>
      <c r="J118" s="29">
        <v>2</v>
      </c>
      <c r="K118" s="29" t="s">
        <v>321</v>
      </c>
      <c r="L118" s="29">
        <v>15</v>
      </c>
      <c r="M118" s="30" t="s">
        <v>864</v>
      </c>
      <c r="N118" s="30" t="s">
        <v>895</v>
      </c>
      <c r="O118" s="31">
        <v>1</v>
      </c>
      <c r="P118" s="31">
        <v>1</v>
      </c>
      <c r="Q118" s="30"/>
      <c r="S118" s="2">
        <f t="shared" si="47"/>
        <v>0</v>
      </c>
      <c r="T118" s="2">
        <f t="shared" si="48"/>
        <v>1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1</v>
      </c>
      <c r="AE118" s="2">
        <f t="shared" si="58"/>
        <v>0</v>
      </c>
      <c r="AF118" s="2">
        <f t="shared" si="59"/>
        <v>1</v>
      </c>
      <c r="AG118" s="2">
        <f t="shared" si="60"/>
        <v>0</v>
      </c>
      <c r="AH118" s="2">
        <f t="shared" si="61"/>
        <v>1</v>
      </c>
      <c r="AI118" s="2">
        <f t="shared" si="62"/>
        <v>0</v>
      </c>
    </row>
    <row r="119" spans="1:35" ht="14.25" customHeight="1" x14ac:dyDescent="0.3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0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3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865</v>
      </c>
      <c r="N120" s="30" t="s">
        <v>895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1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0</v>
      </c>
      <c r="AG120" s="2">
        <f t="shared" si="60"/>
        <v>0</v>
      </c>
      <c r="AH120" s="2">
        <f t="shared" si="61"/>
        <v>0</v>
      </c>
      <c r="AI120" s="2">
        <f t="shared" si="62"/>
        <v>0</v>
      </c>
    </row>
    <row r="121" spans="1:35" ht="14.25" customHeight="1" x14ac:dyDescent="0.3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866</v>
      </c>
      <c r="N121" s="30" t="s">
        <v>895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0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3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778</v>
      </c>
      <c r="G122" s="30" t="s">
        <v>779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867</v>
      </c>
      <c r="N122" s="30" t="s">
        <v>895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3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780</v>
      </c>
      <c r="G123" s="30" t="s">
        <v>820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868</v>
      </c>
      <c r="N123" s="30" t="s">
        <v>895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1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3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901</v>
      </c>
      <c r="O124" s="31">
        <v>1</v>
      </c>
      <c r="P124" s="31"/>
      <c r="Q124" s="30"/>
      <c r="S124" s="2">
        <f t="shared" si="47"/>
        <v>0</v>
      </c>
      <c r="T124" s="2">
        <f t="shared" si="48"/>
        <v>0</v>
      </c>
      <c r="U124" s="2">
        <f t="shared" si="49"/>
        <v>0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0</v>
      </c>
      <c r="AE124" s="2">
        <f t="shared" si="58"/>
        <v>1</v>
      </c>
      <c r="AF124" s="2">
        <f t="shared" si="59"/>
        <v>0</v>
      </c>
      <c r="AG124" s="2">
        <f t="shared" si="60"/>
        <v>1</v>
      </c>
      <c r="AH124" s="2">
        <f t="shared" si="61"/>
        <v>0</v>
      </c>
      <c r="AI124" s="2">
        <f t="shared" si="62"/>
        <v>1</v>
      </c>
    </row>
    <row r="125" spans="1:35" ht="14.25" customHeight="1" x14ac:dyDescent="0.3">
      <c r="A125" s="29">
        <v>0</v>
      </c>
      <c r="B125" s="29">
        <v>2</v>
      </c>
      <c r="C125" s="29">
        <v>1</v>
      </c>
      <c r="D125" s="30" t="s">
        <v>938</v>
      </c>
      <c r="E125" s="30" t="s">
        <v>470</v>
      </c>
      <c r="F125" s="30" t="s">
        <v>939</v>
      </c>
      <c r="G125" s="30" t="s">
        <v>38</v>
      </c>
      <c r="H125" s="30" t="s">
        <v>165</v>
      </c>
      <c r="I125" s="29" t="s">
        <v>940</v>
      </c>
      <c r="J125" s="29">
        <v>1</v>
      </c>
      <c r="K125" s="29" t="s">
        <v>378</v>
      </c>
      <c r="L125" s="29"/>
      <c r="M125" s="30"/>
      <c r="N125" s="30" t="s">
        <v>895</v>
      </c>
      <c r="O125" s="31">
        <v>1</v>
      </c>
      <c r="P125" s="31">
        <v>1</v>
      </c>
      <c r="Q125" s="30"/>
      <c r="S125" s="2">
        <f t="shared" si="47"/>
        <v>1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1</v>
      </c>
      <c r="AE125" s="2">
        <f t="shared" si="58"/>
        <v>0</v>
      </c>
      <c r="AF125" s="2">
        <f t="shared" si="59"/>
        <v>1</v>
      </c>
      <c r="AG125" s="2">
        <f t="shared" si="60"/>
        <v>0</v>
      </c>
      <c r="AH125" s="2">
        <f t="shared" si="61"/>
        <v>1</v>
      </c>
      <c r="AI125" s="2">
        <f t="shared" si="62"/>
        <v>0</v>
      </c>
    </row>
    <row r="126" spans="1:35" ht="14.25" customHeight="1" x14ac:dyDescent="0.3">
      <c r="A126" s="29">
        <v>0</v>
      </c>
      <c r="B126" s="29">
        <v>2</v>
      </c>
      <c r="C126" s="29">
        <v>1</v>
      </c>
      <c r="D126" s="30" t="s">
        <v>761</v>
      </c>
      <c r="E126" s="30" t="s">
        <v>470</v>
      </c>
      <c r="F126" s="30" t="s">
        <v>762</v>
      </c>
      <c r="G126" s="30" t="s">
        <v>821</v>
      </c>
      <c r="H126" s="30" t="s">
        <v>165</v>
      </c>
      <c r="I126" s="29" t="s">
        <v>763</v>
      </c>
      <c r="J126" s="29">
        <v>99</v>
      </c>
      <c r="K126" s="29" t="s">
        <v>320</v>
      </c>
      <c r="L126" s="29"/>
      <c r="M126" s="30" t="s">
        <v>708</v>
      </c>
      <c r="N126" s="30" t="s">
        <v>895</v>
      </c>
      <c r="O126" s="31">
        <v>1</v>
      </c>
      <c r="P126" s="31">
        <v>1</v>
      </c>
      <c r="Q126" s="30"/>
      <c r="S126" s="2">
        <f t="shared" si="47"/>
        <v>0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3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895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1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3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1</v>
      </c>
      <c r="U128" s="2">
        <f t="shared" si="49"/>
        <v>0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0</v>
      </c>
      <c r="AG128" s="2">
        <f t="shared" si="60"/>
        <v>0</v>
      </c>
      <c r="AH128" s="2">
        <f t="shared" si="61"/>
        <v>0</v>
      </c>
      <c r="AI128" s="2">
        <f t="shared" si="62"/>
        <v>0</v>
      </c>
    </row>
    <row r="129" spans="1:16384" s="3" customFormat="1" ht="14.25" customHeight="1" x14ac:dyDescent="0.3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0</v>
      </c>
      <c r="U129" s="2">
        <f t="shared" si="49"/>
        <v>0</v>
      </c>
      <c r="V129" s="2">
        <f t="shared" si="50"/>
        <v>1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3">
      <c r="A130" s="29">
        <v>0</v>
      </c>
      <c r="B130" s="29">
        <v>2</v>
      </c>
      <c r="C130" s="29">
        <v>1</v>
      </c>
      <c r="D130" s="30" t="s">
        <v>976</v>
      </c>
      <c r="E130" s="30" t="s">
        <v>470</v>
      </c>
      <c r="F130" s="30" t="s">
        <v>977</v>
      </c>
      <c r="G130" s="30"/>
      <c r="H130" s="30" t="s">
        <v>165</v>
      </c>
      <c r="I130" s="29" t="s">
        <v>978</v>
      </c>
      <c r="J130" s="29"/>
      <c r="K130" s="29" t="s">
        <v>378</v>
      </c>
      <c r="L130" s="29"/>
      <c r="M130" s="30"/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0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1</v>
      </c>
      <c r="AG130" s="2">
        <f t="shared" si="60"/>
        <v>0</v>
      </c>
      <c r="AH130" s="2">
        <f t="shared" si="61"/>
        <v>1</v>
      </c>
      <c r="AI130" s="2">
        <f t="shared" si="62"/>
        <v>0</v>
      </c>
    </row>
    <row r="131" spans="1:16384" s="3" customFormat="1" ht="14.25" customHeight="1" x14ac:dyDescent="0.3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932</v>
      </c>
      <c r="O131" s="31">
        <v>1</v>
      </c>
      <c r="P131" s="31"/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0</v>
      </c>
      <c r="AE131" s="2">
        <f t="shared" si="58"/>
        <v>1</v>
      </c>
      <c r="AF131" s="2">
        <f t="shared" si="59"/>
        <v>0</v>
      </c>
      <c r="AG131" s="2">
        <f t="shared" si="60"/>
        <v>1</v>
      </c>
      <c r="AH131" s="2">
        <f t="shared" si="61"/>
        <v>0</v>
      </c>
      <c r="AI131" s="2">
        <f t="shared" si="62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3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1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0</v>
      </c>
      <c r="AF132" s="2">
        <f t="shared" si="59"/>
        <v>0</v>
      </c>
      <c r="AG132" s="2">
        <f t="shared" si="60"/>
        <v>0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3">
      <c r="A133" s="29">
        <v>0</v>
      </c>
      <c r="B133" s="29">
        <v>2</v>
      </c>
      <c r="C133" s="29">
        <v>1</v>
      </c>
      <c r="D133" s="30" t="s">
        <v>941</v>
      </c>
      <c r="E133" s="30" t="s">
        <v>942</v>
      </c>
      <c r="F133" s="30" t="s">
        <v>943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895</v>
      </c>
      <c r="O133" s="31">
        <v>1</v>
      </c>
      <c r="P133" s="31">
        <v>1</v>
      </c>
      <c r="Q133" s="30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0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1</v>
      </c>
      <c r="AE133" s="2">
        <f t="shared" si="58"/>
        <v>0</v>
      </c>
      <c r="AF133" s="2">
        <f t="shared" si="59"/>
        <v>1</v>
      </c>
      <c r="AG133" s="2">
        <f t="shared" si="60"/>
        <v>0</v>
      </c>
      <c r="AH133" s="2">
        <f t="shared" si="61"/>
        <v>1</v>
      </c>
      <c r="AI133" s="2">
        <f t="shared" si="62"/>
        <v>0</v>
      </c>
    </row>
    <row r="134" spans="1:16384" s="3" customFormat="1" ht="14.25" customHeight="1" x14ac:dyDescent="0.3">
      <c r="A134" s="29">
        <v>0</v>
      </c>
      <c r="B134" s="29">
        <v>2</v>
      </c>
      <c r="C134" s="29">
        <v>1</v>
      </c>
      <c r="D134" s="30" t="s">
        <v>916</v>
      </c>
      <c r="E134" s="30" t="s">
        <v>35</v>
      </c>
      <c r="F134" s="30" t="s">
        <v>917</v>
      </c>
      <c r="G134" s="30"/>
      <c r="H134" s="30" t="s">
        <v>165</v>
      </c>
      <c r="I134" s="29" t="s">
        <v>918</v>
      </c>
      <c r="J134" s="29">
        <v>99</v>
      </c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3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864</v>
      </c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3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825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1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3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869</v>
      </c>
      <c r="N137" s="30" t="s">
        <v>901</v>
      </c>
      <c r="O137" s="31">
        <v>1</v>
      </c>
      <c r="P137" s="31"/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1</v>
      </c>
      <c r="AB137" s="2">
        <f t="shared" si="56"/>
        <v>0</v>
      </c>
      <c r="AC137" s="2"/>
      <c r="AD137" s="2">
        <f t="shared" si="57"/>
        <v>0</v>
      </c>
      <c r="AE137" s="2">
        <f t="shared" si="58"/>
        <v>1</v>
      </c>
      <c r="AF137" s="2">
        <f t="shared" si="59"/>
        <v>0</v>
      </c>
      <c r="AG137" s="2">
        <f t="shared" si="60"/>
        <v>1</v>
      </c>
      <c r="AH137" s="2">
        <f t="shared" si="61"/>
        <v>0</v>
      </c>
      <c r="AI137" s="2">
        <f t="shared" si="62"/>
        <v>1</v>
      </c>
    </row>
    <row r="138" spans="1:16384" s="3" customFormat="1" ht="14.25" customHeight="1" x14ac:dyDescent="0.3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870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0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0</v>
      </c>
      <c r="AH138" s="2">
        <f t="shared" si="61"/>
        <v>0</v>
      </c>
      <c r="AI138" s="2">
        <f t="shared" si="62"/>
        <v>0</v>
      </c>
    </row>
    <row r="139" spans="1:16384" s="3" customFormat="1" ht="14.25" customHeight="1" x14ac:dyDescent="0.3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895</v>
      </c>
      <c r="O139" s="31">
        <v>1</v>
      </c>
      <c r="P139" s="31">
        <v>1</v>
      </c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1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1</v>
      </c>
      <c r="AE139" s="2">
        <f t="shared" si="58"/>
        <v>0</v>
      </c>
      <c r="AF139" s="2">
        <f t="shared" si="59"/>
        <v>1</v>
      </c>
      <c r="AG139" s="2">
        <f t="shared" si="60"/>
        <v>0</v>
      </c>
      <c r="AH139" s="2">
        <f t="shared" si="61"/>
        <v>1</v>
      </c>
      <c r="AI139" s="2">
        <f t="shared" si="62"/>
        <v>0</v>
      </c>
    </row>
    <row r="140" spans="1:16384" s="3" customFormat="1" ht="14.25" customHeight="1" x14ac:dyDescent="0.3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1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0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3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0</v>
      </c>
      <c r="T141" s="2">
        <f t="shared" si="48"/>
        <v>0</v>
      </c>
      <c r="U141" s="2">
        <f t="shared" si="49"/>
        <v>1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3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829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915</v>
      </c>
      <c r="O142" s="31">
        <v>1</v>
      </c>
      <c r="P142" s="31"/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0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1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0</v>
      </c>
      <c r="AE142" s="2">
        <f t="shared" si="58"/>
        <v>1</v>
      </c>
      <c r="AF142" s="2">
        <f t="shared" si="59"/>
        <v>0</v>
      </c>
      <c r="AG142" s="2">
        <f t="shared" si="60"/>
        <v>1</v>
      </c>
      <c r="AH142" s="2">
        <f t="shared" si="61"/>
        <v>0</v>
      </c>
      <c r="AI142" s="2">
        <f t="shared" si="62"/>
        <v>1</v>
      </c>
    </row>
    <row r="143" spans="1:16384" s="3" customFormat="1" ht="14.25" customHeight="1" x14ac:dyDescent="0.3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1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0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0</v>
      </c>
      <c r="AH143" s="2">
        <f t="shared" si="61"/>
        <v>0</v>
      </c>
      <c r="AI143" s="2">
        <f t="shared" si="62"/>
        <v>0</v>
      </c>
    </row>
    <row r="144" spans="1:16384" s="3" customFormat="1" ht="14.25" customHeight="1" x14ac:dyDescent="0.3">
      <c r="A144" s="29">
        <v>0</v>
      </c>
      <c r="B144" s="29">
        <v>2</v>
      </c>
      <c r="C144" s="29">
        <v>1</v>
      </c>
      <c r="D144" s="30" t="s">
        <v>923</v>
      </c>
      <c r="E144" s="30" t="s">
        <v>35</v>
      </c>
      <c r="F144" s="30" t="s">
        <v>924</v>
      </c>
      <c r="G144" s="30" t="s">
        <v>132</v>
      </c>
      <c r="H144" s="30" t="s">
        <v>165</v>
      </c>
      <c r="I144" s="29" t="s">
        <v>925</v>
      </c>
      <c r="J144" s="29">
        <v>99</v>
      </c>
      <c r="K144" s="29" t="s">
        <v>378</v>
      </c>
      <c r="L144" s="29"/>
      <c r="M144" s="30"/>
      <c r="N144" s="30" t="s">
        <v>895</v>
      </c>
      <c r="O144" s="31">
        <v>1</v>
      </c>
      <c r="P144" s="31">
        <v>1</v>
      </c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0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1</v>
      </c>
      <c r="AE144" s="2">
        <f t="shared" si="58"/>
        <v>0</v>
      </c>
      <c r="AF144" s="2">
        <f t="shared" si="59"/>
        <v>1</v>
      </c>
      <c r="AG144" s="2">
        <f t="shared" si="60"/>
        <v>0</v>
      </c>
      <c r="AH144" s="2">
        <f t="shared" si="61"/>
        <v>1</v>
      </c>
      <c r="AI144" s="2">
        <f t="shared" si="62"/>
        <v>0</v>
      </c>
    </row>
    <row r="145" spans="1:16384" s="3" customFormat="1" ht="14.25" customHeight="1" x14ac:dyDescent="0.3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3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832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901</v>
      </c>
      <c r="O146" s="31">
        <v>1</v>
      </c>
      <c r="P146" s="31"/>
      <c r="Q146" s="30" t="s">
        <v>959</v>
      </c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0</v>
      </c>
      <c r="AE146" s="2">
        <f t="shared" si="58"/>
        <v>1</v>
      </c>
      <c r="AF146" s="2">
        <f t="shared" si="59"/>
        <v>0</v>
      </c>
      <c r="AG146" s="2">
        <f t="shared" si="60"/>
        <v>1</v>
      </c>
      <c r="AH146" s="2">
        <f t="shared" si="61"/>
        <v>0</v>
      </c>
      <c r="AI146" s="2">
        <f t="shared" si="62"/>
        <v>1</v>
      </c>
    </row>
    <row r="147" spans="1:16384" s="3" customFormat="1" ht="14.25" customHeight="1" x14ac:dyDescent="0.3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/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1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3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0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3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R149" s="2"/>
      <c r="S149" s="2">
        <f t="shared" si="47"/>
        <v>0</v>
      </c>
      <c r="T149" s="2">
        <f t="shared" si="48"/>
        <v>0</v>
      </c>
      <c r="U149" s="2">
        <f t="shared" si="49"/>
        <v>1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0</v>
      </c>
      <c r="AF149" s="2">
        <f t="shared" si="59"/>
        <v>0</v>
      </c>
      <c r="AG149" s="2">
        <f t="shared" si="60"/>
        <v>0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3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886</v>
      </c>
      <c r="N150" s="30" t="s">
        <v>901</v>
      </c>
      <c r="O150" s="31">
        <v>1</v>
      </c>
      <c r="P150" s="31"/>
      <c r="Q150" s="30"/>
      <c r="R150" s="2"/>
      <c r="S150" s="2">
        <f t="shared" si="47"/>
        <v>1</v>
      </c>
      <c r="T150" s="2">
        <f t="shared" si="48"/>
        <v>0</v>
      </c>
      <c r="U150" s="2">
        <f t="shared" si="49"/>
        <v>0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1</v>
      </c>
      <c r="AF150" s="2">
        <f t="shared" si="59"/>
        <v>0</v>
      </c>
      <c r="AG150" s="2">
        <f t="shared" si="60"/>
        <v>1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3">
      <c r="A151" s="32">
        <v>0</v>
      </c>
      <c r="B151" s="32">
        <v>2</v>
      </c>
      <c r="C151" s="32">
        <v>2</v>
      </c>
      <c r="D151" s="33" t="s">
        <v>798</v>
      </c>
      <c r="E151" s="33"/>
      <c r="F151" s="33" t="s">
        <v>799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800</v>
      </c>
      <c r="N151" s="33" t="s">
        <v>931</v>
      </c>
      <c r="O151" s="34"/>
      <c r="P151" s="34"/>
      <c r="Q151" s="33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0</v>
      </c>
      <c r="AF151" s="2">
        <f t="shared" si="59"/>
        <v>0</v>
      </c>
      <c r="AG151" s="2">
        <f t="shared" si="60"/>
        <v>0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3">
      <c r="A152" s="29">
        <v>0</v>
      </c>
      <c r="B152" s="29">
        <v>2</v>
      </c>
      <c r="C152" s="29">
        <v>2</v>
      </c>
      <c r="D152" s="30" t="s">
        <v>728</v>
      </c>
      <c r="E152" s="30" t="s">
        <v>30</v>
      </c>
      <c r="F152" s="30" t="s">
        <v>789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729</v>
      </c>
      <c r="N152" s="30" t="s">
        <v>901</v>
      </c>
      <c r="O152" s="31">
        <v>1</v>
      </c>
      <c r="P152" s="31"/>
      <c r="Q152" s="30"/>
      <c r="R152" s="2"/>
      <c r="S152" s="2">
        <f t="shared" si="47"/>
        <v>0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1</v>
      </c>
      <c r="AF152" s="2">
        <f t="shared" si="59"/>
        <v>0</v>
      </c>
      <c r="AG152" s="2">
        <f t="shared" si="60"/>
        <v>1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3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895</v>
      </c>
      <c r="O153" s="31">
        <v>1</v>
      </c>
      <c r="P153" s="31">
        <v>1</v>
      </c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1</v>
      </c>
      <c r="AE153" s="2">
        <f t="shared" si="58"/>
        <v>0</v>
      </c>
      <c r="AF153" s="2">
        <f t="shared" si="59"/>
        <v>1</v>
      </c>
      <c r="AG153" s="2">
        <f t="shared" si="60"/>
        <v>0</v>
      </c>
      <c r="AH153" s="2">
        <f t="shared" si="61"/>
        <v>1</v>
      </c>
      <c r="AI153" s="2">
        <f t="shared" si="62"/>
        <v>0</v>
      </c>
    </row>
    <row r="154" spans="1:16384" s="3" customFormat="1" ht="14.25" customHeight="1" x14ac:dyDescent="0.3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782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0</v>
      </c>
      <c r="AG154" s="2">
        <f t="shared" si="60"/>
        <v>0</v>
      </c>
      <c r="AH154" s="2">
        <f t="shared" si="61"/>
        <v>0</v>
      </c>
      <c r="AI154" s="2">
        <f t="shared" si="62"/>
        <v>0</v>
      </c>
    </row>
    <row r="155" spans="1:16384" s="3" customFormat="1" ht="14.25" customHeight="1" x14ac:dyDescent="0.3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913</v>
      </c>
      <c r="O155" s="31">
        <v>1</v>
      </c>
      <c r="P155" s="31"/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1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0</v>
      </c>
      <c r="AE155" s="2">
        <f t="shared" si="58"/>
        <v>1</v>
      </c>
      <c r="AF155" s="2">
        <f t="shared" si="59"/>
        <v>0</v>
      </c>
      <c r="AG155" s="2">
        <f t="shared" si="60"/>
        <v>1</v>
      </c>
      <c r="AH155" s="2">
        <f t="shared" si="61"/>
        <v>0</v>
      </c>
      <c r="AI155" s="2">
        <f t="shared" si="62"/>
        <v>1</v>
      </c>
    </row>
    <row r="156" spans="1:16384" s="3" customFormat="1" ht="14.25" customHeight="1" x14ac:dyDescent="0.3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727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0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0</v>
      </c>
      <c r="AH156" s="2">
        <f t="shared" si="61"/>
        <v>0</v>
      </c>
      <c r="AI156" s="2">
        <f t="shared" si="62"/>
        <v>0</v>
      </c>
    </row>
    <row r="157" spans="1:16384" s="3" customFormat="1" ht="14.25" customHeight="1" x14ac:dyDescent="0.3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746</v>
      </c>
      <c r="N157" s="30" t="s">
        <v>903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1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1</v>
      </c>
      <c r="AH157" s="2">
        <f t="shared" si="61"/>
        <v>0</v>
      </c>
      <c r="AI157" s="2">
        <f t="shared" si="62"/>
        <v>1</v>
      </c>
    </row>
    <row r="158" spans="1:16384" s="3" customFormat="1" ht="14.25" customHeight="1" x14ac:dyDescent="0.3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955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902</v>
      </c>
      <c r="O158" s="34"/>
      <c r="P158" s="34"/>
      <c r="Q158" s="33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0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0</v>
      </c>
      <c r="AF158" s="2">
        <f t="shared" si="59"/>
        <v>0</v>
      </c>
      <c r="AG158" s="2">
        <f t="shared" si="60"/>
        <v>0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3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895</v>
      </c>
      <c r="O159" s="31">
        <v>1</v>
      </c>
      <c r="P159" s="31">
        <v>1</v>
      </c>
      <c r="Q159" s="30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1</v>
      </c>
      <c r="AE159" s="2">
        <f t="shared" si="58"/>
        <v>0</v>
      </c>
      <c r="AF159" s="2">
        <f t="shared" si="59"/>
        <v>1</v>
      </c>
      <c r="AG159" s="2">
        <f t="shared" si="60"/>
        <v>0</v>
      </c>
      <c r="AH159" s="2">
        <f t="shared" si="61"/>
        <v>1</v>
      </c>
      <c r="AI159" s="2">
        <f t="shared" si="62"/>
        <v>0</v>
      </c>
    </row>
    <row r="160" spans="1:16384" s="3" customFormat="1" ht="14.25" customHeight="1" x14ac:dyDescent="0.3">
      <c r="A160" s="26">
        <v>0</v>
      </c>
      <c r="B160" s="26">
        <v>2</v>
      </c>
      <c r="C160" s="26">
        <v>2</v>
      </c>
      <c r="D160" s="27" t="s">
        <v>971</v>
      </c>
      <c r="E160" s="27" t="s">
        <v>972</v>
      </c>
      <c r="F160" s="27" t="s">
        <v>973</v>
      </c>
      <c r="G160" s="27" t="s">
        <v>974</v>
      </c>
      <c r="H160" s="27" t="s">
        <v>165</v>
      </c>
      <c r="I160" s="26" t="s">
        <v>975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0</v>
      </c>
      <c r="AE160" s="2">
        <f t="shared" si="58"/>
        <v>0</v>
      </c>
      <c r="AF160" s="2">
        <f t="shared" si="59"/>
        <v>0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3">
      <c r="A161" s="29">
        <v>0</v>
      </c>
      <c r="B161" s="29">
        <v>2</v>
      </c>
      <c r="C161" s="29">
        <v>2</v>
      </c>
      <c r="D161" s="30" t="s">
        <v>999</v>
      </c>
      <c r="E161" s="30" t="s">
        <v>996</v>
      </c>
      <c r="F161" s="30" t="s">
        <v>997</v>
      </c>
      <c r="G161" s="30" t="s">
        <v>137</v>
      </c>
      <c r="H161" s="30" t="s">
        <v>165</v>
      </c>
      <c r="I161" s="29" t="s">
        <v>998</v>
      </c>
      <c r="J161" s="29">
        <v>1</v>
      </c>
      <c r="K161" s="29" t="s">
        <v>378</v>
      </c>
      <c r="L161" s="29"/>
      <c r="M161" s="30"/>
      <c r="N161" s="30" t="s">
        <v>895</v>
      </c>
      <c r="O161" s="31">
        <v>1</v>
      </c>
      <c r="P161" s="31">
        <v>1</v>
      </c>
      <c r="Q161" s="30" t="s">
        <v>1000</v>
      </c>
      <c r="R161" s="2"/>
      <c r="S161" s="2">
        <f t="shared" si="47"/>
        <v>1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1</v>
      </c>
      <c r="AE161" s="2">
        <f t="shared" si="58"/>
        <v>0</v>
      </c>
      <c r="AF161" s="2">
        <f t="shared" si="59"/>
        <v>1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3">
      <c r="A162" s="29">
        <v>0</v>
      </c>
      <c r="B162" s="29">
        <v>2</v>
      </c>
      <c r="C162" s="29">
        <v>2</v>
      </c>
      <c r="D162" s="30" t="s">
        <v>945</v>
      </c>
      <c r="E162" s="30" t="s">
        <v>470</v>
      </c>
      <c r="F162" s="30" t="s">
        <v>946</v>
      </c>
      <c r="G162" s="30" t="s">
        <v>96</v>
      </c>
      <c r="H162" s="30" t="s">
        <v>165</v>
      </c>
      <c r="I162" s="29" t="s">
        <v>947</v>
      </c>
      <c r="J162" s="29"/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1002</v>
      </c>
      <c r="R162" s="20"/>
      <c r="S162" s="2">
        <f t="shared" si="47"/>
        <v>0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3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 t="s">
        <v>335</v>
      </c>
      <c r="M163" s="30" t="s">
        <v>718</v>
      </c>
      <c r="N163" s="30" t="s">
        <v>915</v>
      </c>
      <c r="O163" s="31">
        <v>1</v>
      </c>
      <c r="P163" s="31"/>
      <c r="Q163" s="30" t="s">
        <v>1001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0</v>
      </c>
      <c r="AE163" s="2">
        <f t="shared" si="58"/>
        <v>1</v>
      </c>
      <c r="AF163" s="2">
        <f t="shared" si="59"/>
        <v>0</v>
      </c>
      <c r="AG163" s="2">
        <f t="shared" si="60"/>
        <v>1</v>
      </c>
      <c r="AH163" s="2">
        <f t="shared" si="61"/>
        <v>0</v>
      </c>
      <c r="AI163" s="2">
        <f t="shared" si="62"/>
        <v>1</v>
      </c>
    </row>
    <row r="164" spans="1:16384" s="3" customFormat="1" ht="14.25" customHeight="1" x14ac:dyDescent="0.3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887</v>
      </c>
      <c r="N164" s="30" t="s">
        <v>909</v>
      </c>
      <c r="O164" s="31">
        <v>1</v>
      </c>
      <c r="P164" s="31"/>
      <c r="Q164" s="30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1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3">
      <c r="A165" s="32">
        <v>0</v>
      </c>
      <c r="B165" s="32">
        <v>2</v>
      </c>
      <c r="C165" s="32">
        <v>2</v>
      </c>
      <c r="D165" s="33" t="s">
        <v>815</v>
      </c>
      <c r="E165" s="33" t="s">
        <v>456</v>
      </c>
      <c r="F165" s="33" t="s">
        <v>794</v>
      </c>
      <c r="G165" s="33" t="s">
        <v>673</v>
      </c>
      <c r="H165" s="33" t="s">
        <v>165</v>
      </c>
      <c r="I165" s="32" t="s">
        <v>793</v>
      </c>
      <c r="J165" s="32">
        <v>99</v>
      </c>
      <c r="K165" s="32" t="s">
        <v>319</v>
      </c>
      <c r="L165" s="32">
        <v>20</v>
      </c>
      <c r="M165" s="33" t="s">
        <v>900</v>
      </c>
      <c r="N165" s="33" t="s">
        <v>902</v>
      </c>
      <c r="O165" s="34"/>
      <c r="P165" s="34"/>
      <c r="Q165" s="33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0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0</v>
      </c>
      <c r="AF165" s="2">
        <f t="shared" si="59"/>
        <v>0</v>
      </c>
      <c r="AG165" s="2">
        <f t="shared" si="60"/>
        <v>0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3">
      <c r="A166" s="32">
        <v>0</v>
      </c>
      <c r="B166" s="32">
        <v>2</v>
      </c>
      <c r="C166" s="32">
        <v>2</v>
      </c>
      <c r="D166" s="33" t="s">
        <v>722</v>
      </c>
      <c r="E166" s="33" t="s">
        <v>819</v>
      </c>
      <c r="F166" s="33" t="s">
        <v>833</v>
      </c>
      <c r="G166" s="33" t="s">
        <v>137</v>
      </c>
      <c r="H166" s="33" t="s">
        <v>165</v>
      </c>
      <c r="I166" s="32" t="s">
        <v>723</v>
      </c>
      <c r="J166" s="32">
        <v>1</v>
      </c>
      <c r="K166" s="32" t="s">
        <v>318</v>
      </c>
      <c r="L166" s="32">
        <v>40</v>
      </c>
      <c r="M166" s="33" t="s">
        <v>888</v>
      </c>
      <c r="N166" s="33" t="s">
        <v>897</v>
      </c>
      <c r="O166" s="34"/>
      <c r="P166" s="34"/>
      <c r="Q166" s="33"/>
      <c r="R166" s="2"/>
      <c r="S166" s="2">
        <f t="shared" si="47"/>
        <v>1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3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1</v>
      </c>
      <c r="AI167" s="2">
        <f t="shared" si="62"/>
        <v>0</v>
      </c>
    </row>
    <row r="168" spans="1:16384" s="3" customFormat="1" ht="14.25" customHeight="1" x14ac:dyDescent="0.3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895</v>
      </c>
      <c r="O168" s="31">
        <v>1</v>
      </c>
      <c r="P168" s="31">
        <v>1</v>
      </c>
      <c r="Q168" s="30"/>
      <c r="R168" s="2"/>
      <c r="S168" s="2">
        <f t="shared" si="47"/>
        <v>0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1</v>
      </c>
      <c r="AE168" s="2">
        <f t="shared" si="58"/>
        <v>0</v>
      </c>
      <c r="AF168" s="2">
        <f t="shared" si="59"/>
        <v>1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3">
      <c r="A169" s="29">
        <v>0</v>
      </c>
      <c r="B169" s="29">
        <v>2</v>
      </c>
      <c r="C169" s="29">
        <v>3</v>
      </c>
      <c r="D169" s="30" t="s">
        <v>801</v>
      </c>
      <c r="E169" s="30" t="s">
        <v>573</v>
      </c>
      <c r="F169" s="30" t="s">
        <v>957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1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3">
      <c r="A170" s="29">
        <v>1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824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0</v>
      </c>
      <c r="AG170" s="2">
        <f t="shared" si="60"/>
        <v>0</v>
      </c>
      <c r="AH170" s="2">
        <f t="shared" si="61"/>
        <v>0</v>
      </c>
      <c r="AI170" s="2">
        <f t="shared" si="62"/>
        <v>0</v>
      </c>
    </row>
    <row r="171" spans="1:16384" s="3" customFormat="1" ht="14.25" customHeight="1" x14ac:dyDescent="0.3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47"/>
        <v>0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0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1</v>
      </c>
    </row>
    <row r="172" spans="1:16384" s="3" customFormat="1" ht="14.25" customHeight="1" x14ac:dyDescent="0.3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895</v>
      </c>
      <c r="O172" s="31">
        <v>1</v>
      </c>
      <c r="P172" s="31">
        <v>1</v>
      </c>
      <c r="Q172" s="30"/>
      <c r="R172" s="2"/>
      <c r="S172" s="2">
        <f t="shared" si="47"/>
        <v>0</v>
      </c>
      <c r="T172" s="2">
        <f t="shared" si="48"/>
        <v>0</v>
      </c>
      <c r="U172" s="2">
        <f t="shared" si="49"/>
        <v>1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1</v>
      </c>
      <c r="AE172" s="2">
        <f t="shared" si="58"/>
        <v>0</v>
      </c>
      <c r="AF172" s="2">
        <f t="shared" si="59"/>
        <v>1</v>
      </c>
      <c r="AG172" s="2">
        <f t="shared" si="60"/>
        <v>0</v>
      </c>
      <c r="AH172" s="2">
        <f t="shared" si="61"/>
        <v>1</v>
      </c>
      <c r="AI172" s="2">
        <f t="shared" si="62"/>
        <v>0</v>
      </c>
    </row>
    <row r="173" spans="1:16384" s="3" customFormat="1" ht="14.25" customHeight="1" x14ac:dyDescent="0.3">
      <c r="A173" s="29">
        <v>0</v>
      </c>
      <c r="B173" s="29">
        <v>2</v>
      </c>
      <c r="C173" s="29">
        <v>3</v>
      </c>
      <c r="D173" s="30" t="s">
        <v>933</v>
      </c>
      <c r="E173" s="30"/>
      <c r="F173" s="30" t="s">
        <v>934</v>
      </c>
      <c r="G173" s="30"/>
      <c r="H173" s="30" t="s">
        <v>165</v>
      </c>
      <c r="I173" s="29" t="s">
        <v>935</v>
      </c>
      <c r="J173" s="29"/>
      <c r="K173" s="29" t="s">
        <v>378</v>
      </c>
      <c r="L173" s="29"/>
      <c r="M173" s="30"/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0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3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47"/>
        <v>1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0</v>
      </c>
      <c r="AE174" s="2">
        <f t="shared" si="58"/>
        <v>0</v>
      </c>
      <c r="AF174" s="2">
        <f t="shared" si="59"/>
        <v>0</v>
      </c>
      <c r="AG174" s="2">
        <f t="shared" si="60"/>
        <v>0</v>
      </c>
      <c r="AH174" s="2">
        <f t="shared" si="61"/>
        <v>0</v>
      </c>
      <c r="AI174" s="2">
        <f t="shared" si="62"/>
        <v>1</v>
      </c>
    </row>
    <row r="175" spans="1:16384" s="3" customFormat="1" ht="14.25" customHeight="1" x14ac:dyDescent="0.3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928</v>
      </c>
      <c r="N175" s="30" t="s">
        <v>937</v>
      </c>
      <c r="O175" s="31">
        <v>1</v>
      </c>
      <c r="P175" s="31"/>
      <c r="Q175" s="30"/>
      <c r="R175" s="2"/>
      <c r="S175" s="2">
        <f t="shared" si="47"/>
        <v>0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1</v>
      </c>
      <c r="AF175" s="2">
        <f t="shared" si="59"/>
        <v>0</v>
      </c>
      <c r="AG175" s="2">
        <f t="shared" si="60"/>
        <v>1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3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855</v>
      </c>
      <c r="M176" s="30" t="s">
        <v>747</v>
      </c>
      <c r="N176" s="30" t="s">
        <v>932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1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3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897</v>
      </c>
      <c r="O177" s="34"/>
      <c r="P177" s="34"/>
      <c r="Q177" s="33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0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0</v>
      </c>
      <c r="AF177" s="2">
        <f t="shared" si="59"/>
        <v>0</v>
      </c>
      <c r="AG177" s="2">
        <f t="shared" si="60"/>
        <v>0</v>
      </c>
      <c r="AH177" s="2">
        <f t="shared" si="61"/>
        <v>0</v>
      </c>
      <c r="AI177" s="2">
        <f t="shared" si="62"/>
        <v>1</v>
      </c>
    </row>
    <row r="178" spans="1:35" ht="14.25" customHeight="1" x14ac:dyDescent="0.3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856</v>
      </c>
      <c r="M178" s="33" t="s">
        <v>748</v>
      </c>
      <c r="N178" s="33" t="s">
        <v>931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1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3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0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1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0</v>
      </c>
    </row>
    <row r="180" spans="1:35" ht="14.25" customHeight="1" x14ac:dyDescent="0.3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802</v>
      </c>
      <c r="G180" s="33" t="s">
        <v>107</v>
      </c>
      <c r="H180" s="33" t="s">
        <v>165</v>
      </c>
      <c r="I180" s="32" t="s">
        <v>803</v>
      </c>
      <c r="J180" s="32">
        <v>99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0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3">
      <c r="A181" s="20">
        <v>0</v>
      </c>
      <c r="B181" s="20">
        <v>2</v>
      </c>
      <c r="C181" s="20">
        <v>4</v>
      </c>
      <c r="D181" s="21" t="s">
        <v>979</v>
      </c>
      <c r="E181" s="21" t="s">
        <v>980</v>
      </c>
      <c r="F181" s="21" t="s">
        <v>981</v>
      </c>
      <c r="G181" s="21" t="s">
        <v>982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983</v>
      </c>
      <c r="N181" s="21"/>
      <c r="O181" s="20"/>
      <c r="P181" s="20"/>
      <c r="Q181" s="21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1</v>
      </c>
    </row>
    <row r="182" spans="1:35" ht="14.25" customHeight="1" x14ac:dyDescent="0.3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905</v>
      </c>
      <c r="N182" s="21"/>
      <c r="O182" s="7"/>
      <c r="P182" s="7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1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3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937</v>
      </c>
      <c r="O183" s="31">
        <v>1</v>
      </c>
      <c r="P183" s="31"/>
      <c r="Q183" s="30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1</v>
      </c>
      <c r="AF183" s="2">
        <f t="shared" si="75"/>
        <v>0</v>
      </c>
      <c r="AG183" s="2">
        <f t="shared" si="76"/>
        <v>1</v>
      </c>
      <c r="AH183" s="2">
        <f t="shared" si="77"/>
        <v>0</v>
      </c>
      <c r="AI183" s="2">
        <f t="shared" si="78"/>
        <v>1</v>
      </c>
    </row>
    <row r="184" spans="1:35" ht="14.25" customHeight="1" x14ac:dyDescent="0.3">
      <c r="A184" s="20">
        <v>0</v>
      </c>
      <c r="B184" s="20">
        <v>2</v>
      </c>
      <c r="C184" s="20">
        <v>4</v>
      </c>
      <c r="D184" s="21" t="s">
        <v>813</v>
      </c>
      <c r="E184" s="21" t="s">
        <v>29</v>
      </c>
      <c r="F184" s="21" t="s">
        <v>826</v>
      </c>
      <c r="G184" s="21" t="s">
        <v>827</v>
      </c>
      <c r="H184" s="21" t="s">
        <v>165</v>
      </c>
      <c r="I184" s="20" t="s">
        <v>846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0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3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1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3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788</v>
      </c>
      <c r="N186" s="33" t="s">
        <v>931</v>
      </c>
      <c r="O186" s="34"/>
      <c r="P186" s="34"/>
      <c r="Q186" s="33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0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3">
      <c r="A187" s="29">
        <v>0</v>
      </c>
      <c r="B187" s="29">
        <v>2</v>
      </c>
      <c r="C187" s="29">
        <v>4</v>
      </c>
      <c r="D187" s="30" t="s">
        <v>768</v>
      </c>
      <c r="E187" s="30" t="s">
        <v>769</v>
      </c>
      <c r="F187" s="30" t="s">
        <v>770</v>
      </c>
      <c r="G187" s="30"/>
      <c r="H187" s="30" t="s">
        <v>165</v>
      </c>
      <c r="I187" s="29" t="s">
        <v>771</v>
      </c>
      <c r="J187" s="29">
        <v>99</v>
      </c>
      <c r="K187" s="29" t="s">
        <v>378</v>
      </c>
      <c r="L187" s="29">
        <v>35</v>
      </c>
      <c r="M187" s="30" t="s">
        <v>952</v>
      </c>
      <c r="N187" s="30" t="s">
        <v>901</v>
      </c>
      <c r="O187" s="31">
        <v>1</v>
      </c>
      <c r="P187" s="31"/>
      <c r="Q187" s="30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1</v>
      </c>
      <c r="AF187" s="2">
        <f t="shared" si="91"/>
        <v>0</v>
      </c>
      <c r="AG187" s="2">
        <f t="shared" si="92"/>
        <v>1</v>
      </c>
      <c r="AH187" s="2">
        <f t="shared" si="93"/>
        <v>0</v>
      </c>
      <c r="AI187" s="2">
        <f t="shared" si="94"/>
        <v>1</v>
      </c>
    </row>
    <row r="188" spans="1:35" ht="14.25" customHeight="1" x14ac:dyDescent="0.3">
      <c r="A188" s="32">
        <v>0</v>
      </c>
      <c r="B188" s="32">
        <v>2</v>
      </c>
      <c r="C188" s="32">
        <v>4</v>
      </c>
      <c r="D188" s="33" t="s">
        <v>67</v>
      </c>
      <c r="E188" s="33" t="s">
        <v>89</v>
      </c>
      <c r="F188" s="33" t="s">
        <v>144</v>
      </c>
      <c r="G188" s="33" t="s">
        <v>129</v>
      </c>
      <c r="H188" s="33" t="s">
        <v>165</v>
      </c>
      <c r="I188" s="32" t="s">
        <v>190</v>
      </c>
      <c r="J188" s="32">
        <v>99</v>
      </c>
      <c r="K188" s="32" t="s">
        <v>321</v>
      </c>
      <c r="L188" s="32" t="s">
        <v>333</v>
      </c>
      <c r="M188" s="33" t="s">
        <v>703</v>
      </c>
      <c r="N188" s="33" t="s">
        <v>896</v>
      </c>
      <c r="O188" s="34"/>
      <c r="P188" s="34"/>
      <c r="Q188" s="33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0</v>
      </c>
      <c r="AF188" s="2">
        <f t="shared" si="91"/>
        <v>0</v>
      </c>
      <c r="AG188" s="2">
        <f t="shared" si="92"/>
        <v>0</v>
      </c>
      <c r="AH188" s="2">
        <f t="shared" si="93"/>
        <v>0</v>
      </c>
      <c r="AI188" s="2">
        <f t="shared" si="94"/>
        <v>1</v>
      </c>
    </row>
    <row r="189" spans="1:35" ht="14.25" customHeight="1" x14ac:dyDescent="0.3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749</v>
      </c>
      <c r="N189" s="33" t="s">
        <v>911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1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3">
      <c r="A190" s="32">
        <v>0</v>
      </c>
      <c r="B190" s="32">
        <v>2</v>
      </c>
      <c r="C190" s="32">
        <v>4</v>
      </c>
      <c r="D190" s="33" t="s">
        <v>214</v>
      </c>
      <c r="E190" s="33" t="s">
        <v>36</v>
      </c>
      <c r="F190" s="33" t="s">
        <v>213</v>
      </c>
      <c r="G190" s="33" t="s">
        <v>97</v>
      </c>
      <c r="H190" s="33" t="s">
        <v>165</v>
      </c>
      <c r="I190" s="32" t="s">
        <v>212</v>
      </c>
      <c r="J190" s="32">
        <v>99</v>
      </c>
      <c r="K190" s="32" t="s">
        <v>378</v>
      </c>
      <c r="L190" s="32">
        <v>25</v>
      </c>
      <c r="M190" s="33" t="s">
        <v>929</v>
      </c>
      <c r="N190" s="33" t="s">
        <v>930</v>
      </c>
      <c r="O190" s="34"/>
      <c r="P190" s="34"/>
      <c r="Q190" s="33"/>
      <c r="S190" s="2">
        <f t="shared" si="79"/>
        <v>0</v>
      </c>
      <c r="T190" s="2">
        <f t="shared" si="80"/>
        <v>0</v>
      </c>
      <c r="U190" s="2">
        <f t="shared" si="81"/>
        <v>0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0</v>
      </c>
      <c r="AF190" s="2">
        <f t="shared" si="91"/>
        <v>0</v>
      </c>
      <c r="AG190" s="2">
        <f t="shared" si="92"/>
        <v>0</v>
      </c>
      <c r="AH190" s="2">
        <f t="shared" si="93"/>
        <v>0</v>
      </c>
      <c r="AI190" s="2">
        <f t="shared" si="94"/>
        <v>1</v>
      </c>
    </row>
    <row r="191" spans="1:35" ht="14.25" customHeight="1" x14ac:dyDescent="0.3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931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3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931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3">
      <c r="A193" s="29">
        <v>0</v>
      </c>
      <c r="B193" s="29">
        <v>2</v>
      </c>
      <c r="C193" s="29">
        <v>5</v>
      </c>
      <c r="D193" s="30" t="s">
        <v>764</v>
      </c>
      <c r="E193" s="30" t="s">
        <v>263</v>
      </c>
      <c r="F193" s="30" t="s">
        <v>765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908</v>
      </c>
      <c r="O193" s="31">
        <v>1</v>
      </c>
      <c r="P193" s="31"/>
      <c r="Q193" s="30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1</v>
      </c>
      <c r="AF193" s="2">
        <f t="shared" si="91"/>
        <v>0</v>
      </c>
      <c r="AG193" s="2">
        <f t="shared" si="92"/>
        <v>1</v>
      </c>
      <c r="AH193" s="2">
        <f t="shared" si="93"/>
        <v>0</v>
      </c>
      <c r="AI193" s="2">
        <f t="shared" si="94"/>
        <v>1</v>
      </c>
    </row>
    <row r="194" spans="1:35" ht="14.25" customHeight="1" x14ac:dyDescent="0.3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3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3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3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3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3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3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3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956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937</v>
      </c>
      <c r="O201" s="31">
        <v>1</v>
      </c>
      <c r="P201" s="31"/>
      <c r="Q201" s="30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1</v>
      </c>
      <c r="AF201" s="2">
        <f t="shared" si="91"/>
        <v>0</v>
      </c>
      <c r="AG201" s="2">
        <f t="shared" si="92"/>
        <v>1</v>
      </c>
      <c r="AH201" s="2">
        <f t="shared" si="93"/>
        <v>0</v>
      </c>
      <c r="AI201" s="2">
        <f t="shared" si="94"/>
        <v>1</v>
      </c>
    </row>
    <row r="202" spans="1:35" ht="14.25" customHeight="1" x14ac:dyDescent="0.3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3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937</v>
      </c>
      <c r="O203" s="31">
        <v>1</v>
      </c>
      <c r="P203" s="31"/>
      <c r="Q203" s="30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1</v>
      </c>
      <c r="AF203" s="2">
        <f t="shared" si="95"/>
        <v>0</v>
      </c>
      <c r="AG203" s="2">
        <f t="shared" si="96"/>
        <v>1</v>
      </c>
      <c r="AH203" s="2">
        <f t="shared" si="97"/>
        <v>0</v>
      </c>
      <c r="AI203" s="2">
        <f t="shared" si="98"/>
        <v>1</v>
      </c>
    </row>
    <row r="204" spans="1:35" ht="14.25" customHeight="1" x14ac:dyDescent="0.3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3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3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3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3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3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3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3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3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3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3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3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3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3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3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3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3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3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845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937</v>
      </c>
      <c r="O221" s="31">
        <v>1</v>
      </c>
      <c r="P221" s="31"/>
      <c r="Q221" s="30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1</v>
      </c>
      <c r="AF221" s="2">
        <f t="shared" si="95"/>
        <v>0</v>
      </c>
      <c r="AG221" s="2">
        <f t="shared" si="96"/>
        <v>1</v>
      </c>
      <c r="AH221" s="2">
        <f t="shared" si="97"/>
        <v>0</v>
      </c>
      <c r="AI221" s="2">
        <f t="shared" si="98"/>
        <v>1</v>
      </c>
    </row>
    <row r="222" spans="1:35" ht="14.25" customHeight="1" x14ac:dyDescent="0.3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3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3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3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3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3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3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3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3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3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3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3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3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3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3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3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3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3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2026-07-29T19:23:05Z</dcterms:modified>
</cp:coreProperties>
</file>