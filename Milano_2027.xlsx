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3A71B036-19F4-436C-951F-5566CE22FC1E}" xr6:coauthVersionLast="47" xr6:coauthVersionMax="47" xr10:uidLastSave="{00000000-0000-0000-0000-000000000000}"/>
  <bookViews>
    <workbookView xWindow="-120" yWindow="-120" windowWidth="29040" windowHeight="15840" tabRatio="665" xr2:uid="{0118EB4B-1337-43BA-A7E3-0EBAC20BAF10}"/>
  </bookViews>
  <sheets>
    <sheet name="Tavole e pause golose" sheetId="6" r:id="rId1"/>
  </sheets>
  <definedNames>
    <definedName name="_xlnm._FilterDatabase" localSheetId="0" hidden="1">'Tavole e pause golose'!$A$7:$AI$242</definedName>
    <definedName name="_xlnm.Print_Area" localSheetId="0">'Tavole e pause golose'!$B$7:$I$7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5" i="6" l="1"/>
  <c r="AH125" i="6"/>
  <c r="AG125" i="6"/>
  <c r="AF125" i="6"/>
  <c r="AE125" i="6"/>
  <c r="AD125" i="6"/>
  <c r="AB125" i="6"/>
  <c r="AA125" i="6"/>
  <c r="Z125" i="6"/>
  <c r="Y125" i="6"/>
  <c r="X125" i="6"/>
  <c r="W125" i="6"/>
  <c r="V125" i="6"/>
  <c r="U125" i="6"/>
  <c r="T125" i="6"/>
  <c r="S125" i="6"/>
  <c r="AI124" i="6"/>
  <c r="AH124" i="6"/>
  <c r="AG124" i="6"/>
  <c r="AF124" i="6"/>
  <c r="AE124" i="6"/>
  <c r="AD124" i="6"/>
  <c r="AB124" i="6"/>
  <c r="AA124" i="6"/>
  <c r="Z124" i="6"/>
  <c r="Y124" i="6"/>
  <c r="X124" i="6"/>
  <c r="W124" i="6"/>
  <c r="V124" i="6"/>
  <c r="U124" i="6"/>
  <c r="T124" i="6"/>
  <c r="S124" i="6"/>
  <c r="S241" i="6"/>
  <c r="S242" i="6"/>
  <c r="AD242" i="6"/>
  <c r="AE242" i="6"/>
  <c r="AF242" i="6"/>
  <c r="AG242" i="6"/>
  <c r="AH242" i="6"/>
  <c r="AI242" i="6"/>
  <c r="AI237" i="6"/>
  <c r="AH237" i="6"/>
  <c r="AG237" i="6"/>
  <c r="AF237" i="6"/>
  <c r="AE237" i="6"/>
  <c r="AD237" i="6"/>
  <c r="S237" i="6"/>
  <c r="AI146" i="6"/>
  <c r="AH146" i="6"/>
  <c r="AG146" i="6"/>
  <c r="AF146" i="6"/>
  <c r="AE146" i="6"/>
  <c r="AD146" i="6"/>
  <c r="S146" i="6"/>
  <c r="AI142" i="6"/>
  <c r="AH142" i="6"/>
  <c r="AG142" i="6"/>
  <c r="AF142" i="6"/>
  <c r="AE142" i="6"/>
  <c r="AD142" i="6"/>
  <c r="S142" i="6"/>
  <c r="AI129" i="6"/>
  <c r="AH129" i="6"/>
  <c r="AG129" i="6"/>
  <c r="AF129" i="6"/>
  <c r="AE129" i="6"/>
  <c r="AD129" i="6"/>
  <c r="S129" i="6"/>
  <c r="S11" i="6"/>
  <c r="AD11" i="6"/>
  <c r="AE11" i="6"/>
  <c r="AF11" i="6"/>
  <c r="AG11" i="6"/>
  <c r="AH11" i="6"/>
  <c r="AI11" i="6"/>
  <c r="S12" i="6"/>
  <c r="AD12" i="6"/>
  <c r="AE12" i="6"/>
  <c r="AF12" i="6"/>
  <c r="AG12" i="6"/>
  <c r="AH12" i="6"/>
  <c r="AI12" i="6"/>
  <c r="S13" i="6"/>
  <c r="AD13" i="6"/>
  <c r="AE13" i="6"/>
  <c r="AF13" i="6"/>
  <c r="AG13" i="6"/>
  <c r="AH13" i="6"/>
  <c r="AI13" i="6"/>
  <c r="S14" i="6"/>
  <c r="AD14" i="6"/>
  <c r="AE14" i="6"/>
  <c r="AF14" i="6"/>
  <c r="AG14" i="6"/>
  <c r="AH14" i="6"/>
  <c r="AI14" i="6"/>
  <c r="S15" i="6"/>
  <c r="AD15" i="6"/>
  <c r="AE15" i="6"/>
  <c r="AF15" i="6"/>
  <c r="AG15" i="6"/>
  <c r="AH15" i="6"/>
  <c r="AI15" i="6"/>
  <c r="S16" i="6"/>
  <c r="AD16" i="6"/>
  <c r="AE16" i="6"/>
  <c r="AF16" i="6"/>
  <c r="AG16" i="6"/>
  <c r="AH16" i="6"/>
  <c r="AI16" i="6"/>
  <c r="S17" i="6"/>
  <c r="AD17" i="6"/>
  <c r="AE17" i="6"/>
  <c r="AF17" i="6"/>
  <c r="AG17" i="6"/>
  <c r="AH17" i="6"/>
  <c r="AI17" i="6"/>
  <c r="S18" i="6"/>
  <c r="AD18" i="6"/>
  <c r="AE18" i="6"/>
  <c r="AF18" i="6"/>
  <c r="AG18" i="6"/>
  <c r="AH18" i="6"/>
  <c r="AI18" i="6"/>
  <c r="S19" i="6"/>
  <c r="AD19" i="6"/>
  <c r="AE19" i="6"/>
  <c r="AF19" i="6"/>
  <c r="AG19" i="6"/>
  <c r="AH19" i="6"/>
  <c r="AI19" i="6"/>
  <c r="S20" i="6"/>
  <c r="AD20" i="6"/>
  <c r="AE20" i="6"/>
  <c r="AF20" i="6"/>
  <c r="AG20" i="6"/>
  <c r="AH20" i="6"/>
  <c r="AI20" i="6"/>
  <c r="S21" i="6"/>
  <c r="AD21" i="6"/>
  <c r="AE21" i="6"/>
  <c r="AF21" i="6"/>
  <c r="AG21" i="6"/>
  <c r="AH21" i="6"/>
  <c r="AI21" i="6"/>
  <c r="S22" i="6"/>
  <c r="AD22" i="6"/>
  <c r="AE22" i="6"/>
  <c r="AF22" i="6"/>
  <c r="AG22" i="6"/>
  <c r="AH22" i="6"/>
  <c r="AI22" i="6"/>
  <c r="S23" i="6"/>
  <c r="AD23" i="6"/>
  <c r="AE23" i="6"/>
  <c r="AF23" i="6"/>
  <c r="AG23" i="6"/>
  <c r="AH23" i="6"/>
  <c r="AI23" i="6"/>
  <c r="S24" i="6"/>
  <c r="AD24" i="6"/>
  <c r="AE24" i="6"/>
  <c r="AF24" i="6"/>
  <c r="AG24" i="6"/>
  <c r="AH24" i="6"/>
  <c r="AI24" i="6"/>
  <c r="S25" i="6"/>
  <c r="AD25" i="6"/>
  <c r="AE25" i="6"/>
  <c r="AF25" i="6"/>
  <c r="AG25" i="6"/>
  <c r="AH25" i="6"/>
  <c r="AI25" i="6"/>
  <c r="S26" i="6"/>
  <c r="AD26" i="6"/>
  <c r="AE26" i="6"/>
  <c r="AF26" i="6"/>
  <c r="AG26" i="6"/>
  <c r="AH26" i="6"/>
  <c r="AI26" i="6"/>
  <c r="S27" i="6"/>
  <c r="AD27" i="6"/>
  <c r="AE27" i="6"/>
  <c r="AF27" i="6"/>
  <c r="AG27" i="6"/>
  <c r="AH27" i="6"/>
  <c r="AI27" i="6"/>
  <c r="S28" i="6"/>
  <c r="AD28" i="6"/>
  <c r="AE28" i="6"/>
  <c r="AF28" i="6"/>
  <c r="AG28" i="6"/>
  <c r="AH28" i="6"/>
  <c r="AI28" i="6"/>
  <c r="S29" i="6"/>
  <c r="AD29" i="6"/>
  <c r="AE29" i="6"/>
  <c r="AF29" i="6"/>
  <c r="AG29" i="6"/>
  <c r="AH29" i="6"/>
  <c r="AI29" i="6"/>
  <c r="S30" i="6"/>
  <c r="AD30" i="6"/>
  <c r="AE30" i="6"/>
  <c r="AF30" i="6"/>
  <c r="AG30" i="6"/>
  <c r="AH30" i="6"/>
  <c r="AI30" i="6"/>
  <c r="S31" i="6"/>
  <c r="AD31" i="6"/>
  <c r="AE31" i="6"/>
  <c r="AF31" i="6"/>
  <c r="AG31" i="6"/>
  <c r="AH31" i="6"/>
  <c r="AI31" i="6"/>
  <c r="S32" i="6"/>
  <c r="AD32" i="6"/>
  <c r="AE32" i="6"/>
  <c r="AF32" i="6"/>
  <c r="AG32" i="6"/>
  <c r="AH32" i="6"/>
  <c r="AI32" i="6"/>
  <c r="S33" i="6"/>
  <c r="AD33" i="6"/>
  <c r="AE33" i="6"/>
  <c r="AF33" i="6"/>
  <c r="AG33" i="6"/>
  <c r="AH33" i="6"/>
  <c r="AI33" i="6"/>
  <c r="S34" i="6"/>
  <c r="AD34" i="6"/>
  <c r="AE34" i="6"/>
  <c r="AF34" i="6"/>
  <c r="AG34" i="6"/>
  <c r="AH34" i="6"/>
  <c r="AI34" i="6"/>
  <c r="S35" i="6"/>
  <c r="AD35" i="6"/>
  <c r="AE35" i="6"/>
  <c r="AF35" i="6"/>
  <c r="AG35" i="6"/>
  <c r="AH35" i="6"/>
  <c r="AI35" i="6"/>
  <c r="S36" i="6"/>
  <c r="AD36" i="6"/>
  <c r="AE36" i="6"/>
  <c r="AF36" i="6"/>
  <c r="AG36" i="6"/>
  <c r="AH36" i="6"/>
  <c r="AI36" i="6"/>
  <c r="S37" i="6"/>
  <c r="AD37" i="6"/>
  <c r="AE37" i="6"/>
  <c r="AF37" i="6"/>
  <c r="AG37" i="6"/>
  <c r="AH37" i="6"/>
  <c r="AI37" i="6"/>
  <c r="S38" i="6"/>
  <c r="AD38" i="6"/>
  <c r="AE38" i="6"/>
  <c r="AF38" i="6"/>
  <c r="AG38" i="6"/>
  <c r="AH38" i="6"/>
  <c r="AI38" i="6"/>
  <c r="S39" i="6"/>
  <c r="AD39" i="6"/>
  <c r="AE39" i="6"/>
  <c r="AF39" i="6"/>
  <c r="AG39" i="6"/>
  <c r="AH39" i="6"/>
  <c r="AI39" i="6"/>
  <c r="S40" i="6"/>
  <c r="AD40" i="6"/>
  <c r="AE40" i="6"/>
  <c r="AF40" i="6"/>
  <c r="AG40" i="6"/>
  <c r="AH40" i="6"/>
  <c r="AI40" i="6"/>
  <c r="S41" i="6"/>
  <c r="AD41" i="6"/>
  <c r="AE41" i="6"/>
  <c r="AF41" i="6"/>
  <c r="AG41" i="6"/>
  <c r="AH41" i="6"/>
  <c r="AI41" i="6"/>
  <c r="S42" i="6"/>
  <c r="AD42" i="6"/>
  <c r="AE42" i="6"/>
  <c r="AF42" i="6"/>
  <c r="AG42" i="6"/>
  <c r="AH42" i="6"/>
  <c r="AI42" i="6"/>
  <c r="S43" i="6"/>
  <c r="AD43" i="6"/>
  <c r="AE43" i="6"/>
  <c r="AF43" i="6"/>
  <c r="AG43" i="6"/>
  <c r="AH43" i="6"/>
  <c r="AI43" i="6"/>
  <c r="S44" i="6"/>
  <c r="AD44" i="6"/>
  <c r="AE44" i="6"/>
  <c r="AF44" i="6"/>
  <c r="AG44" i="6"/>
  <c r="AH44" i="6"/>
  <c r="AI44" i="6"/>
  <c r="S45" i="6"/>
  <c r="AD45" i="6"/>
  <c r="AE45" i="6"/>
  <c r="AF45" i="6"/>
  <c r="AG45" i="6"/>
  <c r="AH45" i="6"/>
  <c r="AI45" i="6"/>
  <c r="S46" i="6"/>
  <c r="AD46" i="6"/>
  <c r="AE46" i="6"/>
  <c r="AF46" i="6"/>
  <c r="AG46" i="6"/>
  <c r="AH46" i="6"/>
  <c r="AI46" i="6"/>
  <c r="S47" i="6"/>
  <c r="AD47" i="6"/>
  <c r="AE47" i="6"/>
  <c r="AF47" i="6"/>
  <c r="AG47" i="6"/>
  <c r="AH47" i="6"/>
  <c r="AI47" i="6"/>
  <c r="S48" i="6"/>
  <c r="AD48" i="6"/>
  <c r="AE48" i="6"/>
  <c r="AF48" i="6"/>
  <c r="AG48" i="6"/>
  <c r="AH48" i="6"/>
  <c r="AI48" i="6"/>
  <c r="S49" i="6"/>
  <c r="AD49" i="6"/>
  <c r="AE49" i="6"/>
  <c r="AF49" i="6"/>
  <c r="AG49" i="6"/>
  <c r="AH49" i="6"/>
  <c r="AI49" i="6"/>
  <c r="S50" i="6"/>
  <c r="AD50" i="6"/>
  <c r="AE50" i="6"/>
  <c r="AF50" i="6"/>
  <c r="AG50" i="6"/>
  <c r="AH50" i="6"/>
  <c r="AI50" i="6"/>
  <c r="S51" i="6"/>
  <c r="AD51" i="6"/>
  <c r="AE51" i="6"/>
  <c r="AF51" i="6"/>
  <c r="AG51" i="6"/>
  <c r="AH51" i="6"/>
  <c r="AI51" i="6"/>
  <c r="S52" i="6"/>
  <c r="AD52" i="6"/>
  <c r="AE52" i="6"/>
  <c r="AF52" i="6"/>
  <c r="AG52" i="6"/>
  <c r="AH52" i="6"/>
  <c r="AI52" i="6"/>
  <c r="S53" i="6"/>
  <c r="AD53" i="6"/>
  <c r="AE53" i="6"/>
  <c r="AF53" i="6"/>
  <c r="AG53" i="6"/>
  <c r="AH53" i="6"/>
  <c r="AI53" i="6"/>
  <c r="S54" i="6"/>
  <c r="AD54" i="6"/>
  <c r="AE54" i="6"/>
  <c r="AF54" i="6"/>
  <c r="AG54" i="6"/>
  <c r="AH54" i="6"/>
  <c r="AI54" i="6"/>
  <c r="S55" i="6"/>
  <c r="AD55" i="6"/>
  <c r="AE55" i="6"/>
  <c r="AF55" i="6"/>
  <c r="AG55" i="6"/>
  <c r="AH55" i="6"/>
  <c r="AI55" i="6"/>
  <c r="S56" i="6"/>
  <c r="AD56" i="6"/>
  <c r="AE56" i="6"/>
  <c r="AF56" i="6"/>
  <c r="AG56" i="6"/>
  <c r="AH56" i="6"/>
  <c r="AI56" i="6"/>
  <c r="S57" i="6"/>
  <c r="AD57" i="6"/>
  <c r="AE57" i="6"/>
  <c r="AF57" i="6"/>
  <c r="AG57" i="6"/>
  <c r="AH57" i="6"/>
  <c r="AI57" i="6"/>
  <c r="S58" i="6"/>
  <c r="AD58" i="6"/>
  <c r="AE58" i="6"/>
  <c r="AF58" i="6"/>
  <c r="AG58" i="6"/>
  <c r="AH58" i="6"/>
  <c r="AI58" i="6"/>
  <c r="S59" i="6"/>
  <c r="AD59" i="6"/>
  <c r="AE59" i="6"/>
  <c r="AF59" i="6"/>
  <c r="AG59" i="6"/>
  <c r="AH59" i="6"/>
  <c r="AI59" i="6"/>
  <c r="S60" i="6"/>
  <c r="AD60" i="6"/>
  <c r="AE60" i="6"/>
  <c r="AF60" i="6"/>
  <c r="AG60" i="6"/>
  <c r="AH60" i="6"/>
  <c r="AI60" i="6"/>
  <c r="S61" i="6"/>
  <c r="AD61" i="6"/>
  <c r="AE61" i="6"/>
  <c r="AF61" i="6"/>
  <c r="AG61" i="6"/>
  <c r="AH61" i="6"/>
  <c r="AI61" i="6"/>
  <c r="S62" i="6"/>
  <c r="AD62" i="6"/>
  <c r="AE62" i="6"/>
  <c r="AF62" i="6"/>
  <c r="AG62" i="6"/>
  <c r="AH62" i="6"/>
  <c r="AI62" i="6"/>
  <c r="S63" i="6"/>
  <c r="AD63" i="6"/>
  <c r="AE63" i="6"/>
  <c r="AF63" i="6"/>
  <c r="AG63" i="6"/>
  <c r="AH63" i="6"/>
  <c r="AI63" i="6"/>
  <c r="S64" i="6"/>
  <c r="AD64" i="6"/>
  <c r="AE64" i="6"/>
  <c r="AF64" i="6"/>
  <c r="AG64" i="6"/>
  <c r="AH64" i="6"/>
  <c r="AI64" i="6"/>
  <c r="S65" i="6"/>
  <c r="AD65" i="6"/>
  <c r="AE65" i="6"/>
  <c r="AF65" i="6"/>
  <c r="AG65" i="6"/>
  <c r="AH65" i="6"/>
  <c r="AI65" i="6"/>
  <c r="S66" i="6"/>
  <c r="AD66" i="6"/>
  <c r="AE66" i="6"/>
  <c r="AF66" i="6"/>
  <c r="AG66" i="6"/>
  <c r="AH66" i="6"/>
  <c r="AI66" i="6"/>
  <c r="S67" i="6"/>
  <c r="AD67" i="6"/>
  <c r="AE67" i="6"/>
  <c r="AF67" i="6"/>
  <c r="AG67" i="6"/>
  <c r="AH67" i="6"/>
  <c r="AI67" i="6"/>
  <c r="S68" i="6"/>
  <c r="AD68" i="6"/>
  <c r="AE68" i="6"/>
  <c r="AF68" i="6"/>
  <c r="AG68" i="6"/>
  <c r="AH68" i="6"/>
  <c r="AI68" i="6"/>
  <c r="S69" i="6"/>
  <c r="AD69" i="6"/>
  <c r="AE69" i="6"/>
  <c r="AF69" i="6"/>
  <c r="AG69" i="6"/>
  <c r="AH69" i="6"/>
  <c r="AI69" i="6"/>
  <c r="S70" i="6"/>
  <c r="AD70" i="6"/>
  <c r="AE70" i="6"/>
  <c r="AF70" i="6"/>
  <c r="AG70" i="6"/>
  <c r="AH70" i="6"/>
  <c r="AI70" i="6"/>
  <c r="S71" i="6"/>
  <c r="AD71" i="6"/>
  <c r="AE71" i="6"/>
  <c r="AF71" i="6"/>
  <c r="AG71" i="6"/>
  <c r="AH71" i="6"/>
  <c r="AI71" i="6"/>
  <c r="S72" i="6"/>
  <c r="AD72" i="6"/>
  <c r="AE72" i="6"/>
  <c r="AF72" i="6"/>
  <c r="AG72" i="6"/>
  <c r="AH72" i="6"/>
  <c r="AI72" i="6"/>
  <c r="S73" i="6"/>
  <c r="AD73" i="6"/>
  <c r="AE73" i="6"/>
  <c r="AF73" i="6"/>
  <c r="AG73" i="6"/>
  <c r="AH73" i="6"/>
  <c r="AI73" i="6"/>
  <c r="S74" i="6"/>
  <c r="AD74" i="6"/>
  <c r="AE74" i="6"/>
  <c r="AF74" i="6"/>
  <c r="AG74" i="6"/>
  <c r="AH74" i="6"/>
  <c r="AI74" i="6"/>
  <c r="S75" i="6"/>
  <c r="AD75" i="6"/>
  <c r="AE75" i="6"/>
  <c r="AF75" i="6"/>
  <c r="AG75" i="6"/>
  <c r="AH75" i="6"/>
  <c r="AI75" i="6"/>
  <c r="S76" i="6"/>
  <c r="AD76" i="6"/>
  <c r="AE76" i="6"/>
  <c r="AF76" i="6"/>
  <c r="AG76" i="6"/>
  <c r="AH76" i="6"/>
  <c r="AI76" i="6"/>
  <c r="S77" i="6"/>
  <c r="AD77" i="6"/>
  <c r="AE77" i="6"/>
  <c r="AF77" i="6"/>
  <c r="AG77" i="6"/>
  <c r="AH77" i="6"/>
  <c r="AI77" i="6"/>
  <c r="S78" i="6"/>
  <c r="AD78" i="6"/>
  <c r="AE78" i="6"/>
  <c r="AF78" i="6"/>
  <c r="AG78" i="6"/>
  <c r="AH78" i="6"/>
  <c r="AI78" i="6"/>
  <c r="S79" i="6"/>
  <c r="AD79" i="6"/>
  <c r="AE79" i="6"/>
  <c r="AF79" i="6"/>
  <c r="AG79" i="6"/>
  <c r="AH79" i="6"/>
  <c r="AI79" i="6"/>
  <c r="S80" i="6"/>
  <c r="AD80" i="6"/>
  <c r="AE80" i="6"/>
  <c r="AF80" i="6"/>
  <c r="AG80" i="6"/>
  <c r="AH80" i="6"/>
  <c r="AI80" i="6"/>
  <c r="S81" i="6"/>
  <c r="AD81" i="6"/>
  <c r="AE81" i="6"/>
  <c r="AF81" i="6"/>
  <c r="AG81" i="6"/>
  <c r="AH81" i="6"/>
  <c r="AI81" i="6"/>
  <c r="S82" i="6"/>
  <c r="AD82" i="6"/>
  <c r="AE82" i="6"/>
  <c r="AF82" i="6"/>
  <c r="AG82" i="6"/>
  <c r="AH82" i="6"/>
  <c r="AI82" i="6"/>
  <c r="S83" i="6"/>
  <c r="AD83" i="6"/>
  <c r="AE83" i="6"/>
  <c r="AF83" i="6"/>
  <c r="AG83" i="6"/>
  <c r="AH83" i="6"/>
  <c r="AI83" i="6"/>
  <c r="S84" i="6"/>
  <c r="AD84" i="6"/>
  <c r="AE84" i="6"/>
  <c r="AF84" i="6"/>
  <c r="AG84" i="6"/>
  <c r="AH84" i="6"/>
  <c r="AI84" i="6"/>
  <c r="S85" i="6"/>
  <c r="AD85" i="6"/>
  <c r="AE85" i="6"/>
  <c r="AF85" i="6"/>
  <c r="AG85" i="6"/>
  <c r="AH85" i="6"/>
  <c r="AI85" i="6"/>
  <c r="S86" i="6"/>
  <c r="AD86" i="6"/>
  <c r="AE86" i="6"/>
  <c r="AF86" i="6"/>
  <c r="AG86" i="6"/>
  <c r="AH86" i="6"/>
  <c r="AI86" i="6"/>
  <c r="S87" i="6"/>
  <c r="AD87" i="6"/>
  <c r="AE87" i="6"/>
  <c r="AF87" i="6"/>
  <c r="AG87" i="6"/>
  <c r="AH87" i="6"/>
  <c r="AI87" i="6"/>
  <c r="S88" i="6"/>
  <c r="AD88" i="6"/>
  <c r="AE88" i="6"/>
  <c r="AF88" i="6"/>
  <c r="AG88" i="6"/>
  <c r="AH88" i="6"/>
  <c r="AI88" i="6"/>
  <c r="S89" i="6"/>
  <c r="AD89" i="6"/>
  <c r="AE89" i="6"/>
  <c r="AF89" i="6"/>
  <c r="AG89" i="6"/>
  <c r="AH89" i="6"/>
  <c r="AI89" i="6"/>
  <c r="S90" i="6"/>
  <c r="AD90" i="6"/>
  <c r="AE90" i="6"/>
  <c r="AF90" i="6"/>
  <c r="AG90" i="6"/>
  <c r="AH90" i="6"/>
  <c r="AI90" i="6"/>
  <c r="S91" i="6"/>
  <c r="AD91" i="6"/>
  <c r="AE91" i="6"/>
  <c r="AF91" i="6"/>
  <c r="AG91" i="6"/>
  <c r="AH91" i="6"/>
  <c r="AI91" i="6"/>
  <c r="S92" i="6"/>
  <c r="AD92" i="6"/>
  <c r="AE92" i="6"/>
  <c r="AF92" i="6"/>
  <c r="AG92" i="6"/>
  <c r="AH92" i="6"/>
  <c r="AI92" i="6"/>
  <c r="S93" i="6"/>
  <c r="AD93" i="6"/>
  <c r="AE93" i="6"/>
  <c r="AF93" i="6"/>
  <c r="AG93" i="6"/>
  <c r="AH93" i="6"/>
  <c r="AI93" i="6"/>
  <c r="S94" i="6"/>
  <c r="AD94" i="6"/>
  <c r="AE94" i="6"/>
  <c r="AF94" i="6"/>
  <c r="AG94" i="6"/>
  <c r="AH94" i="6"/>
  <c r="AI94" i="6"/>
  <c r="S95" i="6"/>
  <c r="AD95" i="6"/>
  <c r="AE95" i="6"/>
  <c r="AF95" i="6"/>
  <c r="AG95" i="6"/>
  <c r="AH95" i="6"/>
  <c r="AI95" i="6"/>
  <c r="S96" i="6"/>
  <c r="AD96" i="6"/>
  <c r="AE96" i="6"/>
  <c r="AF96" i="6"/>
  <c r="AG96" i="6"/>
  <c r="AH96" i="6"/>
  <c r="AI96" i="6"/>
  <c r="S97" i="6"/>
  <c r="AD97" i="6"/>
  <c r="AE97" i="6"/>
  <c r="AF97" i="6"/>
  <c r="AG97" i="6"/>
  <c r="AH97" i="6"/>
  <c r="AI97" i="6"/>
  <c r="S98" i="6"/>
  <c r="AD98" i="6"/>
  <c r="AE98" i="6"/>
  <c r="AF98" i="6"/>
  <c r="AG98" i="6"/>
  <c r="AH98" i="6"/>
  <c r="AI98" i="6"/>
  <c r="S99" i="6"/>
  <c r="AD99" i="6"/>
  <c r="AE99" i="6"/>
  <c r="AF99" i="6"/>
  <c r="AG99" i="6"/>
  <c r="AH99" i="6"/>
  <c r="AI99" i="6"/>
  <c r="S100" i="6"/>
  <c r="AD100" i="6"/>
  <c r="AE100" i="6"/>
  <c r="AF100" i="6"/>
  <c r="AG100" i="6"/>
  <c r="AH100" i="6"/>
  <c r="AI100" i="6"/>
  <c r="S101" i="6"/>
  <c r="AD101" i="6"/>
  <c r="AE101" i="6"/>
  <c r="AF101" i="6"/>
  <c r="AG101" i="6"/>
  <c r="AH101" i="6"/>
  <c r="AI101" i="6"/>
  <c r="S102" i="6"/>
  <c r="AD102" i="6"/>
  <c r="AE102" i="6"/>
  <c r="AF102" i="6"/>
  <c r="AG102" i="6"/>
  <c r="AH102" i="6"/>
  <c r="AI102" i="6"/>
  <c r="S103" i="6"/>
  <c r="AD103" i="6"/>
  <c r="AE103" i="6"/>
  <c r="AF103" i="6"/>
  <c r="AG103" i="6"/>
  <c r="AH103" i="6"/>
  <c r="AI103" i="6"/>
  <c r="S104" i="6"/>
  <c r="AD104" i="6"/>
  <c r="AE104" i="6"/>
  <c r="AF104" i="6"/>
  <c r="AG104" i="6"/>
  <c r="AH104" i="6"/>
  <c r="AI104" i="6"/>
  <c r="S105" i="6"/>
  <c r="AD105" i="6"/>
  <c r="AE105" i="6"/>
  <c r="AF105" i="6"/>
  <c r="AG105" i="6"/>
  <c r="AH105" i="6"/>
  <c r="AI105" i="6"/>
  <c r="S106" i="6"/>
  <c r="AD106" i="6"/>
  <c r="AE106" i="6"/>
  <c r="AF106" i="6"/>
  <c r="AG106" i="6"/>
  <c r="AH106" i="6"/>
  <c r="AI106" i="6"/>
  <c r="S107" i="6"/>
  <c r="AD107" i="6"/>
  <c r="AE107" i="6"/>
  <c r="AF107" i="6"/>
  <c r="AG107" i="6"/>
  <c r="AH107" i="6"/>
  <c r="AI107" i="6"/>
  <c r="S108" i="6"/>
  <c r="AD108" i="6"/>
  <c r="AE108" i="6"/>
  <c r="AF108" i="6"/>
  <c r="AG108" i="6"/>
  <c r="AH108" i="6"/>
  <c r="AI108" i="6"/>
  <c r="S109" i="6"/>
  <c r="AD109" i="6"/>
  <c r="AE109" i="6"/>
  <c r="AF109" i="6"/>
  <c r="AG109" i="6"/>
  <c r="AH109" i="6"/>
  <c r="AI109" i="6"/>
  <c r="S110" i="6"/>
  <c r="AD110" i="6"/>
  <c r="AE110" i="6"/>
  <c r="AF110" i="6"/>
  <c r="AG110" i="6"/>
  <c r="AH110" i="6"/>
  <c r="AI110" i="6"/>
  <c r="S111" i="6"/>
  <c r="AD111" i="6"/>
  <c r="AE111" i="6"/>
  <c r="AF111" i="6"/>
  <c r="AG111" i="6"/>
  <c r="AH111" i="6"/>
  <c r="AI111" i="6"/>
  <c r="S112" i="6"/>
  <c r="AD112" i="6"/>
  <c r="AE112" i="6"/>
  <c r="AF112" i="6"/>
  <c r="AG112" i="6"/>
  <c r="AH112" i="6"/>
  <c r="AI112" i="6"/>
  <c r="S113" i="6"/>
  <c r="AD113" i="6"/>
  <c r="AE113" i="6"/>
  <c r="AF113" i="6"/>
  <c r="AG113" i="6"/>
  <c r="AH113" i="6"/>
  <c r="AI113" i="6"/>
  <c r="S114" i="6"/>
  <c r="AD114" i="6"/>
  <c r="AE114" i="6"/>
  <c r="AF114" i="6"/>
  <c r="AG114" i="6"/>
  <c r="AH114" i="6"/>
  <c r="AI114" i="6"/>
  <c r="S115" i="6"/>
  <c r="AD115" i="6"/>
  <c r="AE115" i="6"/>
  <c r="AF115" i="6"/>
  <c r="AG115" i="6"/>
  <c r="AH115" i="6"/>
  <c r="AI115" i="6"/>
  <c r="S116" i="6"/>
  <c r="AD116" i="6"/>
  <c r="AE116" i="6"/>
  <c r="AF116" i="6"/>
  <c r="AG116" i="6"/>
  <c r="AH116" i="6"/>
  <c r="AI116" i="6"/>
  <c r="S117" i="6"/>
  <c r="AD117" i="6"/>
  <c r="AE117" i="6"/>
  <c r="AF117" i="6"/>
  <c r="AG117" i="6"/>
  <c r="AH117" i="6"/>
  <c r="AI117" i="6"/>
  <c r="S118" i="6"/>
  <c r="AD118" i="6"/>
  <c r="AE118" i="6"/>
  <c r="AF118" i="6"/>
  <c r="AG118" i="6"/>
  <c r="AH118" i="6"/>
  <c r="AI118" i="6"/>
  <c r="S119" i="6"/>
  <c r="AD119" i="6"/>
  <c r="AE119" i="6"/>
  <c r="AF119" i="6"/>
  <c r="AG119" i="6"/>
  <c r="AH119" i="6"/>
  <c r="AI119" i="6"/>
  <c r="S120" i="6"/>
  <c r="AD120" i="6"/>
  <c r="AE120" i="6"/>
  <c r="AF120" i="6"/>
  <c r="AG120" i="6"/>
  <c r="AH120" i="6"/>
  <c r="AI120" i="6"/>
  <c r="S121" i="6"/>
  <c r="AD121" i="6"/>
  <c r="AE121" i="6"/>
  <c r="AF121" i="6"/>
  <c r="AG121" i="6"/>
  <c r="AH121" i="6"/>
  <c r="AI121" i="6"/>
  <c r="S122" i="6"/>
  <c r="AD122" i="6"/>
  <c r="AE122" i="6"/>
  <c r="AF122" i="6"/>
  <c r="AG122" i="6"/>
  <c r="AH122" i="6"/>
  <c r="AI122" i="6"/>
  <c r="S123" i="6"/>
  <c r="AD123" i="6"/>
  <c r="AE123" i="6"/>
  <c r="AF123" i="6"/>
  <c r="AG123" i="6"/>
  <c r="AH123" i="6"/>
  <c r="AI123" i="6"/>
  <c r="S126" i="6"/>
  <c r="AD126" i="6"/>
  <c r="AE126" i="6"/>
  <c r="AF126" i="6"/>
  <c r="AG126" i="6"/>
  <c r="AH126" i="6"/>
  <c r="AI126" i="6"/>
  <c r="S127" i="6"/>
  <c r="AD127" i="6"/>
  <c r="AE127" i="6"/>
  <c r="AF127" i="6"/>
  <c r="AG127" i="6"/>
  <c r="AH127" i="6"/>
  <c r="AI127" i="6"/>
  <c r="S128" i="6"/>
  <c r="AD128" i="6"/>
  <c r="AE128" i="6"/>
  <c r="AF128" i="6"/>
  <c r="AG128" i="6"/>
  <c r="AH128" i="6"/>
  <c r="AI128" i="6"/>
  <c r="S130" i="6"/>
  <c r="AD130" i="6"/>
  <c r="AE130" i="6"/>
  <c r="AF130" i="6"/>
  <c r="AG130" i="6"/>
  <c r="AH130" i="6"/>
  <c r="AI130" i="6"/>
  <c r="S131" i="6"/>
  <c r="AD131" i="6"/>
  <c r="AE131" i="6"/>
  <c r="AF131" i="6"/>
  <c r="AG131" i="6"/>
  <c r="AH131" i="6"/>
  <c r="AI131" i="6"/>
  <c r="S132" i="6"/>
  <c r="AD132" i="6"/>
  <c r="AE132" i="6"/>
  <c r="AF132" i="6"/>
  <c r="AG132" i="6"/>
  <c r="AH132" i="6"/>
  <c r="AI132" i="6"/>
  <c r="S133" i="6"/>
  <c r="AD133" i="6"/>
  <c r="AE133" i="6"/>
  <c r="AF133" i="6"/>
  <c r="AG133" i="6"/>
  <c r="AH133" i="6"/>
  <c r="AI133" i="6"/>
  <c r="S134" i="6"/>
  <c r="AD134" i="6"/>
  <c r="AE134" i="6"/>
  <c r="AF134" i="6"/>
  <c r="AG134" i="6"/>
  <c r="AH134" i="6"/>
  <c r="AI134" i="6"/>
  <c r="S135" i="6"/>
  <c r="AD135" i="6"/>
  <c r="AE135" i="6"/>
  <c r="AF135" i="6"/>
  <c r="AG135" i="6"/>
  <c r="AH135" i="6"/>
  <c r="AI135" i="6"/>
  <c r="S136" i="6"/>
  <c r="AD136" i="6"/>
  <c r="AE136" i="6"/>
  <c r="AF136" i="6"/>
  <c r="AG136" i="6"/>
  <c r="AH136" i="6"/>
  <c r="AI136" i="6"/>
  <c r="S137" i="6"/>
  <c r="AD137" i="6"/>
  <c r="AE137" i="6"/>
  <c r="AF137" i="6"/>
  <c r="AG137" i="6"/>
  <c r="AH137" i="6"/>
  <c r="AI137" i="6"/>
  <c r="S138" i="6"/>
  <c r="AD138" i="6"/>
  <c r="AE138" i="6"/>
  <c r="AF138" i="6"/>
  <c r="AG138" i="6"/>
  <c r="AH138" i="6"/>
  <c r="AI138" i="6"/>
  <c r="S139" i="6"/>
  <c r="AD139" i="6"/>
  <c r="AE139" i="6"/>
  <c r="AF139" i="6"/>
  <c r="AG139" i="6"/>
  <c r="AH139" i="6"/>
  <c r="AI139" i="6"/>
  <c r="S140" i="6"/>
  <c r="AD140" i="6"/>
  <c r="AE140" i="6"/>
  <c r="AF140" i="6"/>
  <c r="AG140" i="6"/>
  <c r="AH140" i="6"/>
  <c r="AI140" i="6"/>
  <c r="S141" i="6"/>
  <c r="AD141" i="6"/>
  <c r="AE141" i="6"/>
  <c r="AF141" i="6"/>
  <c r="AG141" i="6"/>
  <c r="AH141" i="6"/>
  <c r="AI141" i="6"/>
  <c r="S143" i="6"/>
  <c r="AD143" i="6"/>
  <c r="AE143" i="6"/>
  <c r="AF143" i="6"/>
  <c r="AG143" i="6"/>
  <c r="AH143" i="6"/>
  <c r="AI143" i="6"/>
  <c r="S144" i="6"/>
  <c r="AD144" i="6"/>
  <c r="AE144" i="6"/>
  <c r="AF144" i="6"/>
  <c r="AG144" i="6"/>
  <c r="AH144" i="6"/>
  <c r="AI144" i="6"/>
  <c r="S145" i="6"/>
  <c r="AD145" i="6"/>
  <c r="AE145" i="6"/>
  <c r="AF145" i="6"/>
  <c r="AG145" i="6"/>
  <c r="AH145" i="6"/>
  <c r="AI145" i="6"/>
  <c r="S147" i="6"/>
  <c r="AD147" i="6"/>
  <c r="AE147" i="6"/>
  <c r="AF147" i="6"/>
  <c r="AG147" i="6"/>
  <c r="AH147" i="6"/>
  <c r="AI147" i="6"/>
  <c r="S148" i="6"/>
  <c r="AD148" i="6"/>
  <c r="AE148" i="6"/>
  <c r="AF148" i="6"/>
  <c r="AG148" i="6"/>
  <c r="AH148" i="6"/>
  <c r="AI148" i="6"/>
  <c r="S149" i="6"/>
  <c r="AD149" i="6"/>
  <c r="AE149" i="6"/>
  <c r="AF149" i="6"/>
  <c r="AG149" i="6"/>
  <c r="AH149" i="6"/>
  <c r="AI149" i="6"/>
  <c r="S150" i="6"/>
  <c r="AD150" i="6"/>
  <c r="AE150" i="6"/>
  <c r="AF150" i="6"/>
  <c r="AG150" i="6"/>
  <c r="AH150" i="6"/>
  <c r="AI150" i="6"/>
  <c r="S151" i="6"/>
  <c r="AD151" i="6"/>
  <c r="AE151" i="6"/>
  <c r="AF151" i="6"/>
  <c r="AG151" i="6"/>
  <c r="AH151" i="6"/>
  <c r="AI151" i="6"/>
  <c r="S152" i="6"/>
  <c r="AD152" i="6"/>
  <c r="AE152" i="6"/>
  <c r="AF152" i="6"/>
  <c r="AG152" i="6"/>
  <c r="AH152" i="6"/>
  <c r="AI152" i="6"/>
  <c r="S153" i="6"/>
  <c r="AD153" i="6"/>
  <c r="AE153" i="6"/>
  <c r="AF153" i="6"/>
  <c r="AG153" i="6"/>
  <c r="AH153" i="6"/>
  <c r="AI153" i="6"/>
  <c r="S154" i="6"/>
  <c r="AD154" i="6"/>
  <c r="AE154" i="6"/>
  <c r="AF154" i="6"/>
  <c r="AG154" i="6"/>
  <c r="AH154" i="6"/>
  <c r="AI154" i="6"/>
  <c r="S155" i="6"/>
  <c r="AD155" i="6"/>
  <c r="AE155" i="6"/>
  <c r="AF155" i="6"/>
  <c r="AG155" i="6"/>
  <c r="AH155" i="6"/>
  <c r="AI155" i="6"/>
  <c r="S156" i="6"/>
  <c r="AD156" i="6"/>
  <c r="AE156" i="6"/>
  <c r="AF156" i="6"/>
  <c r="AG156" i="6"/>
  <c r="AH156" i="6"/>
  <c r="AI156" i="6"/>
  <c r="S157" i="6"/>
  <c r="AD157" i="6"/>
  <c r="AE157" i="6"/>
  <c r="AF157" i="6"/>
  <c r="AG157" i="6"/>
  <c r="AH157" i="6"/>
  <c r="AI157" i="6"/>
  <c r="S158" i="6"/>
  <c r="AD158" i="6"/>
  <c r="AE158" i="6"/>
  <c r="AF158" i="6"/>
  <c r="AG158" i="6"/>
  <c r="AH158" i="6"/>
  <c r="AI158" i="6"/>
  <c r="S159" i="6"/>
  <c r="AD159" i="6"/>
  <c r="AE159" i="6"/>
  <c r="AF159" i="6"/>
  <c r="AG159" i="6"/>
  <c r="AH159" i="6"/>
  <c r="AI159" i="6"/>
  <c r="S160" i="6"/>
  <c r="AD160" i="6"/>
  <c r="AE160" i="6"/>
  <c r="AF160" i="6"/>
  <c r="AG160" i="6"/>
  <c r="AH160" i="6"/>
  <c r="AI160" i="6"/>
  <c r="S161" i="6"/>
  <c r="AD161" i="6"/>
  <c r="AE161" i="6"/>
  <c r="AF161" i="6"/>
  <c r="AG161" i="6"/>
  <c r="AH161" i="6"/>
  <c r="AI161" i="6"/>
  <c r="S162" i="6"/>
  <c r="AD162" i="6"/>
  <c r="AE162" i="6"/>
  <c r="AF162" i="6"/>
  <c r="AG162" i="6"/>
  <c r="AH162" i="6"/>
  <c r="AI162" i="6"/>
  <c r="S163" i="6"/>
  <c r="AD163" i="6"/>
  <c r="AE163" i="6"/>
  <c r="AF163" i="6"/>
  <c r="AG163" i="6"/>
  <c r="AH163" i="6"/>
  <c r="AI163" i="6"/>
  <c r="S164" i="6"/>
  <c r="AD164" i="6"/>
  <c r="AE164" i="6"/>
  <c r="AF164" i="6"/>
  <c r="AG164" i="6"/>
  <c r="AH164" i="6"/>
  <c r="AI164" i="6"/>
  <c r="S165" i="6"/>
  <c r="AD165" i="6"/>
  <c r="AE165" i="6"/>
  <c r="AF165" i="6"/>
  <c r="AG165" i="6"/>
  <c r="AH165" i="6"/>
  <c r="AI165" i="6"/>
  <c r="S166" i="6"/>
  <c r="AD166" i="6"/>
  <c r="AE166" i="6"/>
  <c r="AF166" i="6"/>
  <c r="AG166" i="6"/>
  <c r="AH166" i="6"/>
  <c r="AI166" i="6"/>
  <c r="S167" i="6"/>
  <c r="AD167" i="6"/>
  <c r="AE167" i="6"/>
  <c r="AF167" i="6"/>
  <c r="AG167" i="6"/>
  <c r="AH167" i="6"/>
  <c r="AI167" i="6"/>
  <c r="S168" i="6"/>
  <c r="AD168" i="6"/>
  <c r="AE168" i="6"/>
  <c r="AF168" i="6"/>
  <c r="AG168" i="6"/>
  <c r="AH168" i="6"/>
  <c r="AI168" i="6"/>
  <c r="S169" i="6"/>
  <c r="AD169" i="6"/>
  <c r="AE169" i="6"/>
  <c r="AF169" i="6"/>
  <c r="AG169" i="6"/>
  <c r="AH169" i="6"/>
  <c r="AI169" i="6"/>
  <c r="S170" i="6"/>
  <c r="AD170" i="6"/>
  <c r="AE170" i="6"/>
  <c r="AF170" i="6"/>
  <c r="AG170" i="6"/>
  <c r="AH170" i="6"/>
  <c r="AI170" i="6"/>
  <c r="S171" i="6"/>
  <c r="AD171" i="6"/>
  <c r="AE171" i="6"/>
  <c r="AF171" i="6"/>
  <c r="AG171" i="6"/>
  <c r="AH171" i="6"/>
  <c r="AI171" i="6"/>
  <c r="S172" i="6"/>
  <c r="AD172" i="6"/>
  <c r="AE172" i="6"/>
  <c r="AF172" i="6"/>
  <c r="AG172" i="6"/>
  <c r="AH172" i="6"/>
  <c r="AI172" i="6"/>
  <c r="S173" i="6"/>
  <c r="AD173" i="6"/>
  <c r="AE173" i="6"/>
  <c r="AF173" i="6"/>
  <c r="AG173" i="6"/>
  <c r="AH173" i="6"/>
  <c r="AI173" i="6"/>
  <c r="S174" i="6"/>
  <c r="AD174" i="6"/>
  <c r="AE174" i="6"/>
  <c r="AF174" i="6"/>
  <c r="AG174" i="6"/>
  <c r="AH174" i="6"/>
  <c r="AI174" i="6"/>
  <c r="S175" i="6"/>
  <c r="AD175" i="6"/>
  <c r="AE175" i="6"/>
  <c r="AF175" i="6"/>
  <c r="AG175" i="6"/>
  <c r="AH175" i="6"/>
  <c r="AI175" i="6"/>
  <c r="S176" i="6"/>
  <c r="AD176" i="6"/>
  <c r="AE176" i="6"/>
  <c r="AF176" i="6"/>
  <c r="AG176" i="6"/>
  <c r="AH176" i="6"/>
  <c r="AI176" i="6"/>
  <c r="S177" i="6"/>
  <c r="AD177" i="6"/>
  <c r="AE177" i="6"/>
  <c r="AF177" i="6"/>
  <c r="AG177" i="6"/>
  <c r="AH177" i="6"/>
  <c r="AI177" i="6"/>
  <c r="S178" i="6"/>
  <c r="AD178" i="6"/>
  <c r="AE178" i="6"/>
  <c r="AF178" i="6"/>
  <c r="AG178" i="6"/>
  <c r="AH178" i="6"/>
  <c r="AI178" i="6"/>
  <c r="S179" i="6"/>
  <c r="AD179" i="6"/>
  <c r="AE179" i="6"/>
  <c r="AF179" i="6"/>
  <c r="AG179" i="6"/>
  <c r="AH179" i="6"/>
  <c r="AI179" i="6"/>
  <c r="S180" i="6"/>
  <c r="AD180" i="6"/>
  <c r="AE180" i="6"/>
  <c r="AF180" i="6"/>
  <c r="AG180" i="6"/>
  <c r="AH180" i="6"/>
  <c r="AI180" i="6"/>
  <c r="S181" i="6"/>
  <c r="AD181" i="6"/>
  <c r="AE181" i="6"/>
  <c r="AF181" i="6"/>
  <c r="AG181" i="6"/>
  <c r="AH181" i="6"/>
  <c r="AI181" i="6"/>
  <c r="S182" i="6"/>
  <c r="AD182" i="6"/>
  <c r="AE182" i="6"/>
  <c r="AF182" i="6"/>
  <c r="AG182" i="6"/>
  <c r="AH182" i="6"/>
  <c r="AI182" i="6"/>
  <c r="S183" i="6"/>
  <c r="AD183" i="6"/>
  <c r="AE183" i="6"/>
  <c r="AF183" i="6"/>
  <c r="AG183" i="6"/>
  <c r="AH183" i="6"/>
  <c r="AI183" i="6"/>
  <c r="S184" i="6"/>
  <c r="AD184" i="6"/>
  <c r="AE184" i="6"/>
  <c r="AF184" i="6"/>
  <c r="AG184" i="6"/>
  <c r="AH184" i="6"/>
  <c r="AI184" i="6"/>
  <c r="S185" i="6"/>
  <c r="AD185" i="6"/>
  <c r="AE185" i="6"/>
  <c r="AF185" i="6"/>
  <c r="AG185" i="6"/>
  <c r="AH185" i="6"/>
  <c r="AI185" i="6"/>
  <c r="S186" i="6"/>
  <c r="AD186" i="6"/>
  <c r="AE186" i="6"/>
  <c r="AF186" i="6"/>
  <c r="AG186" i="6"/>
  <c r="AH186" i="6"/>
  <c r="AI186" i="6"/>
  <c r="S187" i="6"/>
  <c r="AD187" i="6"/>
  <c r="AE187" i="6"/>
  <c r="AF187" i="6"/>
  <c r="AG187" i="6"/>
  <c r="AH187" i="6"/>
  <c r="AI187" i="6"/>
  <c r="S188" i="6"/>
  <c r="AD188" i="6"/>
  <c r="AE188" i="6"/>
  <c r="AF188" i="6"/>
  <c r="AG188" i="6"/>
  <c r="AH188" i="6"/>
  <c r="AI188" i="6"/>
  <c r="S189" i="6"/>
  <c r="AD189" i="6"/>
  <c r="AE189" i="6"/>
  <c r="AF189" i="6"/>
  <c r="AG189" i="6"/>
  <c r="AH189" i="6"/>
  <c r="AI189" i="6"/>
  <c r="S190" i="6"/>
  <c r="AD190" i="6"/>
  <c r="AE190" i="6"/>
  <c r="AF190" i="6"/>
  <c r="AG190" i="6"/>
  <c r="AH190" i="6"/>
  <c r="AI190" i="6"/>
  <c r="S191" i="6"/>
  <c r="AD191" i="6"/>
  <c r="AE191" i="6"/>
  <c r="AF191" i="6"/>
  <c r="AG191" i="6"/>
  <c r="AH191" i="6"/>
  <c r="AI191" i="6"/>
  <c r="S192" i="6"/>
  <c r="AD192" i="6"/>
  <c r="AE192" i="6"/>
  <c r="AF192" i="6"/>
  <c r="AG192" i="6"/>
  <c r="AH192" i="6"/>
  <c r="AI192" i="6"/>
  <c r="S193" i="6"/>
  <c r="AD193" i="6"/>
  <c r="AE193" i="6"/>
  <c r="AF193" i="6"/>
  <c r="AG193" i="6"/>
  <c r="AH193" i="6"/>
  <c r="AI193" i="6"/>
  <c r="S194" i="6"/>
  <c r="AD194" i="6"/>
  <c r="AE194" i="6"/>
  <c r="AF194" i="6"/>
  <c r="AG194" i="6"/>
  <c r="AH194" i="6"/>
  <c r="AI194" i="6"/>
  <c r="S195" i="6"/>
  <c r="AD195" i="6"/>
  <c r="AE195" i="6"/>
  <c r="AF195" i="6"/>
  <c r="AG195" i="6"/>
  <c r="AH195" i="6"/>
  <c r="AI195" i="6"/>
  <c r="S196" i="6"/>
  <c r="AD196" i="6"/>
  <c r="AE196" i="6"/>
  <c r="AF196" i="6"/>
  <c r="AG196" i="6"/>
  <c r="AH196" i="6"/>
  <c r="AI196" i="6"/>
  <c r="S197" i="6"/>
  <c r="AD197" i="6"/>
  <c r="AE197" i="6"/>
  <c r="AF197" i="6"/>
  <c r="AG197" i="6"/>
  <c r="AH197" i="6"/>
  <c r="AI197" i="6"/>
  <c r="S198" i="6"/>
  <c r="AD198" i="6"/>
  <c r="AE198" i="6"/>
  <c r="AF198" i="6"/>
  <c r="AG198" i="6"/>
  <c r="AH198" i="6"/>
  <c r="AI198" i="6"/>
  <c r="S199" i="6"/>
  <c r="AD199" i="6"/>
  <c r="AE199" i="6"/>
  <c r="AF199" i="6"/>
  <c r="AG199" i="6"/>
  <c r="AH199" i="6"/>
  <c r="AI199" i="6"/>
  <c r="S200" i="6"/>
  <c r="AD200" i="6"/>
  <c r="AE200" i="6"/>
  <c r="AF200" i="6"/>
  <c r="AG200" i="6"/>
  <c r="AH200" i="6"/>
  <c r="AI200" i="6"/>
  <c r="S201" i="6"/>
  <c r="AD201" i="6"/>
  <c r="AE201" i="6"/>
  <c r="AF201" i="6"/>
  <c r="AG201" i="6"/>
  <c r="AH201" i="6"/>
  <c r="AI201" i="6"/>
  <c r="S202" i="6"/>
  <c r="AD202" i="6"/>
  <c r="AE202" i="6"/>
  <c r="AF202" i="6"/>
  <c r="AG202" i="6"/>
  <c r="AH202" i="6"/>
  <c r="AI202" i="6"/>
  <c r="S203" i="6"/>
  <c r="AD203" i="6"/>
  <c r="AE203" i="6"/>
  <c r="AF203" i="6"/>
  <c r="AG203" i="6"/>
  <c r="AH203" i="6"/>
  <c r="AI203" i="6"/>
  <c r="S204" i="6"/>
  <c r="AD204" i="6"/>
  <c r="AE204" i="6"/>
  <c r="AF204" i="6"/>
  <c r="AG204" i="6"/>
  <c r="AH204" i="6"/>
  <c r="AI204" i="6"/>
  <c r="S205" i="6"/>
  <c r="AD205" i="6"/>
  <c r="AE205" i="6"/>
  <c r="AF205" i="6"/>
  <c r="AG205" i="6"/>
  <c r="AH205" i="6"/>
  <c r="AI205" i="6"/>
  <c r="S206" i="6"/>
  <c r="AD206" i="6"/>
  <c r="AE206" i="6"/>
  <c r="AF206" i="6"/>
  <c r="AG206" i="6"/>
  <c r="AH206" i="6"/>
  <c r="AI206" i="6"/>
  <c r="S207" i="6"/>
  <c r="AD207" i="6"/>
  <c r="AE207" i="6"/>
  <c r="AF207" i="6"/>
  <c r="AG207" i="6"/>
  <c r="AH207" i="6"/>
  <c r="AI207" i="6"/>
  <c r="S208" i="6"/>
  <c r="AD208" i="6"/>
  <c r="AE208" i="6"/>
  <c r="AF208" i="6"/>
  <c r="AG208" i="6"/>
  <c r="AH208" i="6"/>
  <c r="AI208" i="6"/>
  <c r="S209" i="6"/>
  <c r="AD209" i="6"/>
  <c r="AE209" i="6"/>
  <c r="AF209" i="6"/>
  <c r="AG209" i="6"/>
  <c r="AH209" i="6"/>
  <c r="AI209" i="6"/>
  <c r="S210" i="6"/>
  <c r="AD210" i="6"/>
  <c r="AE210" i="6"/>
  <c r="AF210" i="6"/>
  <c r="AG210" i="6"/>
  <c r="AH210" i="6"/>
  <c r="AI210" i="6"/>
  <c r="S211" i="6"/>
  <c r="AD211" i="6"/>
  <c r="AE211" i="6"/>
  <c r="AF211" i="6"/>
  <c r="AG211" i="6"/>
  <c r="AH211" i="6"/>
  <c r="AI211" i="6"/>
  <c r="S212" i="6"/>
  <c r="AD212" i="6"/>
  <c r="AE212" i="6"/>
  <c r="AF212" i="6"/>
  <c r="AG212" i="6"/>
  <c r="AH212" i="6"/>
  <c r="AI212" i="6"/>
  <c r="S213" i="6"/>
  <c r="AD213" i="6"/>
  <c r="AE213" i="6"/>
  <c r="AF213" i="6"/>
  <c r="AG213" i="6"/>
  <c r="AH213" i="6"/>
  <c r="AI213" i="6"/>
  <c r="S214" i="6"/>
  <c r="AD214" i="6"/>
  <c r="AE214" i="6"/>
  <c r="AF214" i="6"/>
  <c r="AG214" i="6"/>
  <c r="AH214" i="6"/>
  <c r="AI214" i="6"/>
  <c r="S215" i="6"/>
  <c r="AD215" i="6"/>
  <c r="AE215" i="6"/>
  <c r="AF215" i="6"/>
  <c r="AG215" i="6"/>
  <c r="AH215" i="6"/>
  <c r="AI215" i="6"/>
  <c r="S216" i="6"/>
  <c r="AD216" i="6"/>
  <c r="AE216" i="6"/>
  <c r="AF216" i="6"/>
  <c r="AG216" i="6"/>
  <c r="AH216" i="6"/>
  <c r="AI216" i="6"/>
  <c r="S217" i="6"/>
  <c r="AD217" i="6"/>
  <c r="AE217" i="6"/>
  <c r="AF217" i="6"/>
  <c r="AG217" i="6"/>
  <c r="AH217" i="6"/>
  <c r="AI217" i="6"/>
  <c r="S218" i="6"/>
  <c r="AD218" i="6"/>
  <c r="AE218" i="6"/>
  <c r="AF218" i="6"/>
  <c r="AG218" i="6"/>
  <c r="AH218" i="6"/>
  <c r="AI218" i="6"/>
  <c r="S219" i="6"/>
  <c r="AD219" i="6"/>
  <c r="AE219" i="6"/>
  <c r="AF219" i="6"/>
  <c r="AG219" i="6"/>
  <c r="AH219" i="6"/>
  <c r="AI219" i="6"/>
  <c r="S220" i="6"/>
  <c r="AD220" i="6"/>
  <c r="AE220" i="6"/>
  <c r="AF220" i="6"/>
  <c r="AG220" i="6"/>
  <c r="AH220" i="6"/>
  <c r="AI220" i="6"/>
  <c r="S221" i="6"/>
  <c r="AD221" i="6"/>
  <c r="AE221" i="6"/>
  <c r="AF221" i="6"/>
  <c r="AG221" i="6"/>
  <c r="AH221" i="6"/>
  <c r="AI221" i="6"/>
  <c r="S222" i="6"/>
  <c r="AD222" i="6"/>
  <c r="AE222" i="6"/>
  <c r="AF222" i="6"/>
  <c r="AG222" i="6"/>
  <c r="AH222" i="6"/>
  <c r="AI222" i="6"/>
  <c r="S223" i="6"/>
  <c r="AD223" i="6"/>
  <c r="AE223" i="6"/>
  <c r="AF223" i="6"/>
  <c r="AG223" i="6"/>
  <c r="AH223" i="6"/>
  <c r="AI223" i="6"/>
  <c r="S224" i="6"/>
  <c r="AD224" i="6"/>
  <c r="AE224" i="6"/>
  <c r="AF224" i="6"/>
  <c r="AG224" i="6"/>
  <c r="AH224" i="6"/>
  <c r="AI224" i="6"/>
  <c r="S225" i="6"/>
  <c r="AD225" i="6"/>
  <c r="AE225" i="6"/>
  <c r="AF225" i="6"/>
  <c r="AG225" i="6"/>
  <c r="AH225" i="6"/>
  <c r="AI225" i="6"/>
  <c r="S226" i="6"/>
  <c r="AD226" i="6"/>
  <c r="AE226" i="6"/>
  <c r="AF226" i="6"/>
  <c r="AG226" i="6"/>
  <c r="AH226" i="6"/>
  <c r="AI226" i="6"/>
  <c r="S227" i="6"/>
  <c r="AD227" i="6"/>
  <c r="AE227" i="6"/>
  <c r="AF227" i="6"/>
  <c r="AG227" i="6"/>
  <c r="AH227" i="6"/>
  <c r="AI227" i="6"/>
  <c r="S228" i="6"/>
  <c r="AD228" i="6"/>
  <c r="AE228" i="6"/>
  <c r="AF228" i="6"/>
  <c r="AG228" i="6"/>
  <c r="AH228" i="6"/>
  <c r="AI228" i="6"/>
  <c r="S229" i="6"/>
  <c r="AD229" i="6"/>
  <c r="AE229" i="6"/>
  <c r="AF229" i="6"/>
  <c r="AG229" i="6"/>
  <c r="AH229" i="6"/>
  <c r="AI229" i="6"/>
  <c r="S230" i="6"/>
  <c r="AD230" i="6"/>
  <c r="AE230" i="6"/>
  <c r="AF230" i="6"/>
  <c r="AG230" i="6"/>
  <c r="AH230" i="6"/>
  <c r="AI230" i="6"/>
  <c r="S231" i="6"/>
  <c r="AD231" i="6"/>
  <c r="AE231" i="6"/>
  <c r="AF231" i="6"/>
  <c r="AG231" i="6"/>
  <c r="AH231" i="6"/>
  <c r="AI231" i="6"/>
  <c r="S232" i="6"/>
  <c r="AD232" i="6"/>
  <c r="AE232" i="6"/>
  <c r="AF232" i="6"/>
  <c r="AG232" i="6"/>
  <c r="AH232" i="6"/>
  <c r="AI232" i="6"/>
  <c r="S233" i="6"/>
  <c r="AD233" i="6"/>
  <c r="AE233" i="6"/>
  <c r="AF233" i="6"/>
  <c r="AG233" i="6"/>
  <c r="AH233" i="6"/>
  <c r="AI233" i="6"/>
  <c r="S234" i="6"/>
  <c r="AD234" i="6"/>
  <c r="AE234" i="6"/>
  <c r="AF234" i="6"/>
  <c r="AG234" i="6"/>
  <c r="AH234" i="6"/>
  <c r="AI234" i="6"/>
  <c r="S235" i="6"/>
  <c r="AD235" i="6"/>
  <c r="AE235" i="6"/>
  <c r="AF235" i="6"/>
  <c r="AG235" i="6"/>
  <c r="AH235" i="6"/>
  <c r="AI235" i="6"/>
  <c r="S236" i="6"/>
  <c r="AD236" i="6"/>
  <c r="AE236" i="6"/>
  <c r="AF236" i="6"/>
  <c r="AG236" i="6"/>
  <c r="AH236" i="6"/>
  <c r="AI236" i="6"/>
  <c r="S238" i="6"/>
  <c r="AD238" i="6"/>
  <c r="AE238" i="6"/>
  <c r="AF238" i="6"/>
  <c r="AG238" i="6"/>
  <c r="AH238" i="6"/>
  <c r="AI238" i="6"/>
  <c r="S239" i="6"/>
  <c r="AD239" i="6"/>
  <c r="AE239" i="6"/>
  <c r="AF239" i="6"/>
  <c r="AG239" i="6"/>
  <c r="AH239" i="6"/>
  <c r="AI239" i="6"/>
  <c r="S240" i="6"/>
  <c r="AD240" i="6"/>
  <c r="AE240" i="6"/>
  <c r="AF240" i="6"/>
  <c r="AG240" i="6"/>
  <c r="AH240" i="6"/>
  <c r="AI240" i="6"/>
  <c r="AD241" i="6"/>
  <c r="AE241" i="6"/>
  <c r="AF241" i="6"/>
  <c r="AG241" i="6"/>
  <c r="AH241" i="6"/>
  <c r="AI241" i="6"/>
  <c r="S10" i="6"/>
  <c r="AD10" i="6"/>
  <c r="AE10" i="6"/>
  <c r="AF10" i="6"/>
  <c r="AG10" i="6"/>
  <c r="AH10" i="6"/>
  <c r="AI10" i="6"/>
  <c r="S9" i="6"/>
  <c r="AD9" i="6"/>
  <c r="AE9" i="6"/>
  <c r="AF9" i="6"/>
  <c r="AG9" i="6"/>
  <c r="AH9" i="6"/>
  <c r="AI9" i="6"/>
  <c r="T7" i="6"/>
  <c r="T239" i="6" s="1"/>
  <c r="S8" i="6"/>
  <c r="AD8" i="6"/>
  <c r="AE8" i="6"/>
  <c r="AF8" i="6"/>
  <c r="AG8" i="6"/>
  <c r="AH8" i="6"/>
  <c r="AI8" i="6"/>
  <c r="T242" i="6" l="1"/>
  <c r="T241" i="6"/>
  <c r="T237" i="6"/>
  <c r="T146" i="6"/>
  <c r="T234" i="6"/>
  <c r="T142" i="6"/>
  <c r="T202" i="6"/>
  <c r="T206" i="6"/>
  <c r="T236" i="6"/>
  <c r="T204" i="6"/>
  <c r="T129" i="6"/>
  <c r="T208" i="6"/>
  <c r="T210" i="6"/>
  <c r="T212" i="6"/>
  <c r="T214" i="6"/>
  <c r="T183" i="6"/>
  <c r="T216" i="6"/>
  <c r="T184" i="6"/>
  <c r="T218" i="6"/>
  <c r="T186" i="6"/>
  <c r="T220" i="6"/>
  <c r="T188" i="6"/>
  <c r="T222" i="6"/>
  <c r="T190" i="6"/>
  <c r="T224" i="6"/>
  <c r="T192" i="6"/>
  <c r="T226" i="6"/>
  <c r="T194" i="6"/>
  <c r="T228" i="6"/>
  <c r="T196" i="6"/>
  <c r="T230" i="6"/>
  <c r="T198" i="6"/>
  <c r="T232" i="6"/>
  <c r="T200" i="6"/>
  <c r="T240" i="6"/>
  <c r="T238" i="6"/>
  <c r="T235" i="6"/>
  <c r="T233" i="6"/>
  <c r="T231" i="6"/>
  <c r="T229" i="6"/>
  <c r="T227" i="6"/>
  <c r="T225" i="6"/>
  <c r="T223" i="6"/>
  <c r="T221" i="6"/>
  <c r="T219" i="6"/>
  <c r="T217" i="6"/>
  <c r="T215" i="6"/>
  <c r="T213" i="6"/>
  <c r="T211" i="6"/>
  <c r="T209" i="6"/>
  <c r="T207" i="6"/>
  <c r="T205" i="6"/>
  <c r="T203" i="6"/>
  <c r="T201" i="6"/>
  <c r="T199" i="6"/>
  <c r="T197" i="6"/>
  <c r="T195" i="6"/>
  <c r="T193" i="6"/>
  <c r="T191" i="6"/>
  <c r="T189" i="6"/>
  <c r="T187" i="6"/>
  <c r="T185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6" i="6"/>
  <c r="T127" i="6"/>
  <c r="T128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3" i="6"/>
  <c r="T144" i="6"/>
  <c r="T145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0" i="6"/>
  <c r="U7" i="6"/>
  <c r="T9" i="6"/>
  <c r="T8" i="6"/>
  <c r="AH6" i="6"/>
  <c r="E3" i="6" s="1"/>
  <c r="S5" i="6"/>
  <c r="AD6" i="6"/>
  <c r="F3" i="6" s="1"/>
  <c r="AI6" i="6"/>
  <c r="E4" i="6" s="1"/>
  <c r="AF6" i="6"/>
  <c r="G3" i="6" s="1"/>
  <c r="AE6" i="6"/>
  <c r="F4" i="6" s="1"/>
  <c r="AG6" i="6"/>
  <c r="G4" i="6" s="1"/>
  <c r="U241" i="6" l="1"/>
  <c r="U242" i="6"/>
  <c r="U146" i="6"/>
  <c r="U237" i="6"/>
  <c r="U129" i="6"/>
  <c r="U142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6" i="6"/>
  <c r="U127" i="6"/>
  <c r="U128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3" i="6"/>
  <c r="U144" i="6"/>
  <c r="U145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95" i="6"/>
  <c r="U239" i="6"/>
  <c r="U218" i="6"/>
  <c r="U226" i="6"/>
  <c r="U224" i="6"/>
  <c r="U186" i="6"/>
  <c r="U194" i="6"/>
  <c r="U202" i="6"/>
  <c r="U210" i="6"/>
  <c r="U221" i="6"/>
  <c r="U235" i="6"/>
  <c r="U215" i="6"/>
  <c r="U236" i="6"/>
  <c r="U232" i="6"/>
  <c r="U191" i="6"/>
  <c r="U199" i="6"/>
  <c r="U207" i="6"/>
  <c r="U223" i="6"/>
  <c r="U234" i="6"/>
  <c r="U230" i="6"/>
  <c r="U208" i="6"/>
  <c r="U188" i="6"/>
  <c r="U196" i="6"/>
  <c r="U204" i="6"/>
  <c r="U212" i="6"/>
  <c r="U220" i="6"/>
  <c r="U228" i="6"/>
  <c r="U231" i="6"/>
  <c r="U238" i="6"/>
  <c r="U205" i="6"/>
  <c r="U185" i="6"/>
  <c r="U193" i="6"/>
  <c r="U201" i="6"/>
  <c r="U209" i="6"/>
  <c r="U217" i="6"/>
  <c r="U225" i="6"/>
  <c r="U216" i="6"/>
  <c r="U229" i="6"/>
  <c r="U190" i="6"/>
  <c r="U198" i="6"/>
  <c r="U206" i="6"/>
  <c r="U214" i="6"/>
  <c r="U222" i="6"/>
  <c r="U233" i="6"/>
  <c r="U192" i="6"/>
  <c r="U187" i="6"/>
  <c r="U195" i="6"/>
  <c r="U203" i="6"/>
  <c r="U211" i="6"/>
  <c r="U219" i="6"/>
  <c r="U227" i="6"/>
  <c r="U240" i="6"/>
  <c r="U200" i="6"/>
  <c r="U189" i="6"/>
  <c r="U184" i="6"/>
  <c r="U213" i="6"/>
  <c r="U197" i="6"/>
  <c r="T5" i="6"/>
  <c r="U8" i="6"/>
  <c r="V7" i="6"/>
  <c r="U10" i="6"/>
  <c r="U9" i="6"/>
  <c r="H4" i="6"/>
  <c r="H3" i="6"/>
  <c r="E5" i="6"/>
  <c r="F5" i="6"/>
  <c r="G5" i="6"/>
  <c r="V241" i="6" l="1"/>
  <c r="V242" i="6"/>
  <c r="V146" i="6"/>
  <c r="V237" i="6"/>
  <c r="V129" i="6"/>
  <c r="V142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6" i="6"/>
  <c r="V127" i="6"/>
  <c r="V128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3" i="6"/>
  <c r="V144" i="6"/>
  <c r="V145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92" i="6"/>
  <c r="V95" i="6"/>
  <c r="V94" i="6"/>
  <c r="V91" i="6"/>
  <c r="V93" i="6"/>
  <c r="V90" i="6"/>
  <c r="V189" i="6"/>
  <c r="V197" i="6"/>
  <c r="V205" i="6"/>
  <c r="V213" i="6"/>
  <c r="V221" i="6"/>
  <c r="V229" i="6"/>
  <c r="V232" i="6"/>
  <c r="V235" i="6"/>
  <c r="V239" i="6"/>
  <c r="V225" i="6"/>
  <c r="V186" i="6"/>
  <c r="V194" i="6"/>
  <c r="V202" i="6"/>
  <c r="V210" i="6"/>
  <c r="V218" i="6"/>
  <c r="V226" i="6"/>
  <c r="V217" i="6"/>
  <c r="V209" i="6"/>
  <c r="V219" i="6"/>
  <c r="V191" i="6"/>
  <c r="V199" i="6"/>
  <c r="V207" i="6"/>
  <c r="V215" i="6"/>
  <c r="V223" i="6"/>
  <c r="V193" i="6"/>
  <c r="V203" i="6"/>
  <c r="V234" i="6"/>
  <c r="V220" i="6"/>
  <c r="V228" i="6"/>
  <c r="V231" i="6"/>
  <c r="V238" i="6"/>
  <c r="V214" i="6"/>
  <c r="V188" i="6"/>
  <c r="V196" i="6"/>
  <c r="V204" i="6"/>
  <c r="V212" i="6"/>
  <c r="V198" i="6"/>
  <c r="V240" i="6"/>
  <c r="V185" i="6"/>
  <c r="V201" i="6"/>
  <c r="V222" i="6"/>
  <c r="V190" i="6"/>
  <c r="V206" i="6"/>
  <c r="V230" i="6"/>
  <c r="V233" i="6"/>
  <c r="V236" i="6"/>
  <c r="V195" i="6"/>
  <c r="V227" i="6"/>
  <c r="V187" i="6"/>
  <c r="V211" i="6"/>
  <c r="V184" i="6"/>
  <c r="V192" i="6"/>
  <c r="V200" i="6"/>
  <c r="V208" i="6"/>
  <c r="V216" i="6"/>
  <c r="V224" i="6"/>
  <c r="V9" i="6"/>
  <c r="V8" i="6"/>
  <c r="V10" i="6"/>
  <c r="W7" i="6"/>
  <c r="U5" i="6"/>
  <c r="H5" i="6"/>
  <c r="W241" i="6" l="1"/>
  <c r="W242" i="6"/>
  <c r="W146" i="6"/>
  <c r="W237" i="6"/>
  <c r="W129" i="6"/>
  <c r="W142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6" i="6"/>
  <c r="W127" i="6"/>
  <c r="W128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3" i="6"/>
  <c r="W144" i="6"/>
  <c r="W145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8" i="6"/>
  <c r="W239" i="6"/>
  <c r="W240" i="6"/>
  <c r="V5" i="6"/>
  <c r="W10" i="6"/>
  <c r="W8" i="6"/>
  <c r="X7" i="6"/>
  <c r="W9" i="6"/>
  <c r="X241" i="6" l="1"/>
  <c r="X242" i="6"/>
  <c r="X146" i="6"/>
  <c r="X237" i="6"/>
  <c r="X129" i="6"/>
  <c r="X142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6" i="6"/>
  <c r="X127" i="6"/>
  <c r="X128" i="6"/>
  <c r="X130" i="6"/>
  <c r="X131" i="6"/>
  <c r="X132" i="6"/>
  <c r="X133" i="6"/>
  <c r="X134" i="6"/>
  <c r="X135" i="6"/>
  <c r="X136" i="6"/>
  <c r="X137" i="6"/>
  <c r="X138" i="6"/>
  <c r="X139" i="6"/>
  <c r="X155" i="6"/>
  <c r="X171" i="6"/>
  <c r="X140" i="6"/>
  <c r="X158" i="6"/>
  <c r="X174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8" i="6"/>
  <c r="X239" i="6"/>
  <c r="X240" i="6"/>
  <c r="X144" i="6"/>
  <c r="X161" i="6"/>
  <c r="X177" i="6"/>
  <c r="X148" i="6"/>
  <c r="X164" i="6"/>
  <c r="X180" i="6"/>
  <c r="X151" i="6"/>
  <c r="X167" i="6"/>
  <c r="X154" i="6"/>
  <c r="X170" i="6"/>
  <c r="X157" i="6"/>
  <c r="X173" i="6"/>
  <c r="X143" i="6"/>
  <c r="X160" i="6"/>
  <c r="X176" i="6"/>
  <c r="X147" i="6"/>
  <c r="X163" i="6"/>
  <c r="X179" i="6"/>
  <c r="X150" i="6"/>
  <c r="X166" i="6"/>
  <c r="X182" i="6"/>
  <c r="X153" i="6"/>
  <c r="X169" i="6"/>
  <c r="X156" i="6"/>
  <c r="X172" i="6"/>
  <c r="X141" i="6"/>
  <c r="X159" i="6"/>
  <c r="X175" i="6"/>
  <c r="X152" i="6"/>
  <c r="X145" i="6"/>
  <c r="X181" i="6"/>
  <c r="X165" i="6"/>
  <c r="X149" i="6"/>
  <c r="X178" i="6"/>
  <c r="X162" i="6"/>
  <c r="X168" i="6"/>
  <c r="X10" i="6"/>
  <c r="X8" i="6"/>
  <c r="X9" i="6"/>
  <c r="Y7" i="6"/>
  <c r="W5" i="6"/>
  <c r="Y242" i="6" l="1"/>
  <c r="Y241" i="6"/>
  <c r="Y146" i="6"/>
  <c r="Y237" i="6"/>
  <c r="Y129" i="6"/>
  <c r="Y142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6" i="6"/>
  <c r="Y127" i="6"/>
  <c r="Y128" i="6"/>
  <c r="Y130" i="6"/>
  <c r="Y131" i="6"/>
  <c r="Y132" i="6"/>
  <c r="Y133" i="6"/>
  <c r="Y134" i="6"/>
  <c r="Y135" i="6"/>
  <c r="Y136" i="6"/>
  <c r="Y137" i="6"/>
  <c r="Y138" i="6"/>
  <c r="Y139" i="6"/>
  <c r="Y94" i="6"/>
  <c r="Y152" i="6"/>
  <c r="Y168" i="6"/>
  <c r="Y155" i="6"/>
  <c r="Y171" i="6"/>
  <c r="Y140" i="6"/>
  <c r="Y158" i="6"/>
  <c r="Y174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8" i="6"/>
  <c r="Y239" i="6"/>
  <c r="Y240" i="6"/>
  <c r="Y93" i="6"/>
  <c r="Y144" i="6"/>
  <c r="Y161" i="6"/>
  <c r="Y177" i="6"/>
  <c r="Y148" i="6"/>
  <c r="Y164" i="6"/>
  <c r="Y180" i="6"/>
  <c r="Y151" i="6"/>
  <c r="Y167" i="6"/>
  <c r="Y154" i="6"/>
  <c r="Y170" i="6"/>
  <c r="Y157" i="6"/>
  <c r="Y173" i="6"/>
  <c r="Y143" i="6"/>
  <c r="Y160" i="6"/>
  <c r="Y176" i="6"/>
  <c r="Y147" i="6"/>
  <c r="Y163" i="6"/>
  <c r="Y179" i="6"/>
  <c r="Y150" i="6"/>
  <c r="Y166" i="6"/>
  <c r="Y182" i="6"/>
  <c r="Y153" i="6"/>
  <c r="Y169" i="6"/>
  <c r="Y156" i="6"/>
  <c r="Y172" i="6"/>
  <c r="Y162" i="6"/>
  <c r="Y175" i="6"/>
  <c r="Y145" i="6"/>
  <c r="Y181" i="6"/>
  <c r="Y159" i="6"/>
  <c r="Y165" i="6"/>
  <c r="Y141" i="6"/>
  <c r="Y149" i="6"/>
  <c r="Y178" i="6"/>
  <c r="Y10" i="6"/>
  <c r="Y9" i="6"/>
  <c r="Y8" i="6"/>
  <c r="Z7" i="6"/>
  <c r="X5" i="6"/>
  <c r="Z242" i="6" l="1"/>
  <c r="Z241" i="6"/>
  <c r="Z146" i="6"/>
  <c r="Z237" i="6"/>
  <c r="Z129" i="6"/>
  <c r="Z142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6" i="6"/>
  <c r="Z127" i="6"/>
  <c r="Z128" i="6"/>
  <c r="Z130" i="6"/>
  <c r="Z131" i="6"/>
  <c r="Z132" i="6"/>
  <c r="Z133" i="6"/>
  <c r="Z134" i="6"/>
  <c r="Z135" i="6"/>
  <c r="Z136" i="6"/>
  <c r="Z137" i="6"/>
  <c r="Z138" i="6"/>
  <c r="Z139" i="6"/>
  <c r="Z149" i="6"/>
  <c r="Z165" i="6"/>
  <c r="Z181" i="6"/>
  <c r="Z224" i="6"/>
  <c r="Z228" i="6"/>
  <c r="Z231" i="6"/>
  <c r="Z234" i="6"/>
  <c r="Z239" i="6"/>
  <c r="Z152" i="6"/>
  <c r="Z168" i="6"/>
  <c r="Z225" i="6"/>
  <c r="Z230" i="6"/>
  <c r="Z236" i="6"/>
  <c r="Z155" i="6"/>
  <c r="Z171" i="6"/>
  <c r="Z222" i="6"/>
  <c r="Z227" i="6"/>
  <c r="Z232" i="6"/>
  <c r="Z235" i="6"/>
  <c r="Z240" i="6"/>
  <c r="Z140" i="6"/>
  <c r="Z158" i="6"/>
  <c r="Z174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3" i="6"/>
  <c r="Z226" i="6"/>
  <c r="Z229" i="6"/>
  <c r="Z233" i="6"/>
  <c r="Z238" i="6"/>
  <c r="Z144" i="6"/>
  <c r="Z161" i="6"/>
  <c r="Z177" i="6"/>
  <c r="Z148" i="6"/>
  <c r="Z164" i="6"/>
  <c r="Z180" i="6"/>
  <c r="Z151" i="6"/>
  <c r="Z167" i="6"/>
  <c r="Z154" i="6"/>
  <c r="Z170" i="6"/>
  <c r="Z157" i="6"/>
  <c r="Z173" i="6"/>
  <c r="Z143" i="6"/>
  <c r="Z160" i="6"/>
  <c r="Z176" i="6"/>
  <c r="Z147" i="6"/>
  <c r="Z163" i="6"/>
  <c r="Z179" i="6"/>
  <c r="Z150" i="6"/>
  <c r="Z166" i="6"/>
  <c r="Z182" i="6"/>
  <c r="Z153" i="6"/>
  <c r="Z169" i="6"/>
  <c r="Z156" i="6"/>
  <c r="Z162" i="6"/>
  <c r="Z175" i="6"/>
  <c r="Z145" i="6"/>
  <c r="Z159" i="6"/>
  <c r="Z178" i="6"/>
  <c r="Z141" i="6"/>
  <c r="Z172" i="6"/>
  <c r="Z8" i="6"/>
  <c r="Z10" i="6"/>
  <c r="AA7" i="6"/>
  <c r="Z9" i="6"/>
  <c r="Y5" i="6"/>
  <c r="AA242" i="6" l="1"/>
  <c r="AA241" i="6"/>
  <c r="AA146" i="6"/>
  <c r="AA237" i="6"/>
  <c r="AA129" i="6"/>
  <c r="AA142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90" i="6"/>
  <c r="AA92" i="6"/>
  <c r="AA85" i="6"/>
  <c r="AA87" i="6"/>
  <c r="AA89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6" i="6"/>
  <c r="AA127" i="6"/>
  <c r="AA128" i="6"/>
  <c r="AA130" i="6"/>
  <c r="AA131" i="6"/>
  <c r="AA91" i="6"/>
  <c r="AA94" i="6"/>
  <c r="AA145" i="6"/>
  <c r="AA162" i="6"/>
  <c r="AA178" i="6"/>
  <c r="AA213" i="6"/>
  <c r="AA217" i="6"/>
  <c r="AA221" i="6"/>
  <c r="AA225" i="6"/>
  <c r="AA229" i="6"/>
  <c r="AA233" i="6"/>
  <c r="AA239" i="6"/>
  <c r="AA132" i="6"/>
  <c r="AA134" i="6"/>
  <c r="AA136" i="6"/>
  <c r="AA138" i="6"/>
  <c r="AA149" i="6"/>
  <c r="AA165" i="6"/>
  <c r="AA181" i="6"/>
  <c r="AA211" i="6"/>
  <c r="AA215" i="6"/>
  <c r="AA222" i="6"/>
  <c r="AA226" i="6"/>
  <c r="AA230" i="6"/>
  <c r="AA236" i="6"/>
  <c r="AA152" i="6"/>
  <c r="AA168" i="6"/>
  <c r="AA209" i="6"/>
  <c r="AA216" i="6"/>
  <c r="AA220" i="6"/>
  <c r="AA224" i="6"/>
  <c r="AA228" i="6"/>
  <c r="AA231" i="6"/>
  <c r="AA235" i="6"/>
  <c r="AA240" i="6"/>
  <c r="AA155" i="6"/>
  <c r="AA171" i="6"/>
  <c r="AA210" i="6"/>
  <c r="AA218" i="6"/>
  <c r="AA223" i="6"/>
  <c r="AA227" i="6"/>
  <c r="AA232" i="6"/>
  <c r="AA238" i="6"/>
  <c r="AA93" i="6"/>
  <c r="AA140" i="6"/>
  <c r="AA158" i="6"/>
  <c r="AA174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12" i="6"/>
  <c r="AA214" i="6"/>
  <c r="AA219" i="6"/>
  <c r="AA234" i="6"/>
  <c r="AA144" i="6"/>
  <c r="AA161" i="6"/>
  <c r="AA177" i="6"/>
  <c r="AA148" i="6"/>
  <c r="AA164" i="6"/>
  <c r="AA180" i="6"/>
  <c r="AA151" i="6"/>
  <c r="AA167" i="6"/>
  <c r="AA154" i="6"/>
  <c r="AA170" i="6"/>
  <c r="AA133" i="6"/>
  <c r="AA135" i="6"/>
  <c r="AA137" i="6"/>
  <c r="AA139" i="6"/>
  <c r="AA157" i="6"/>
  <c r="AA173" i="6"/>
  <c r="AA143" i="6"/>
  <c r="AA160" i="6"/>
  <c r="AA176" i="6"/>
  <c r="AA147" i="6"/>
  <c r="AA163" i="6"/>
  <c r="AA179" i="6"/>
  <c r="AA150" i="6"/>
  <c r="AA166" i="6"/>
  <c r="AA182" i="6"/>
  <c r="AA86" i="6"/>
  <c r="AA156" i="6"/>
  <c r="AA172" i="6"/>
  <c r="AA175" i="6"/>
  <c r="AA169" i="6"/>
  <c r="AA159" i="6"/>
  <c r="AA153" i="6"/>
  <c r="AA88" i="6"/>
  <c r="AA141" i="6"/>
  <c r="Z5" i="6"/>
  <c r="AA9" i="6"/>
  <c r="AA8" i="6"/>
  <c r="AB7" i="6"/>
  <c r="AA10" i="6"/>
  <c r="AB242" i="6" l="1"/>
  <c r="AB241" i="6"/>
  <c r="AB146" i="6"/>
  <c r="AB237" i="6"/>
  <c r="AB129" i="6"/>
  <c r="AB142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3" i="6"/>
  <c r="AB90" i="6"/>
  <c r="AB92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6" i="6"/>
  <c r="AB127" i="6"/>
  <c r="AB128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3" i="6"/>
  <c r="AB144" i="6"/>
  <c r="AB145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91" i="6"/>
  <c r="AB94" i="6"/>
  <c r="AB217" i="6"/>
  <c r="AB222" i="6"/>
  <c r="AB227" i="6"/>
  <c r="AB231" i="6"/>
  <c r="AB233" i="6"/>
  <c r="AB220" i="6"/>
  <c r="AB224" i="6"/>
  <c r="AB219" i="6"/>
  <c r="AB226" i="6"/>
  <c r="AB218" i="6"/>
  <c r="AB225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21" i="6"/>
  <c r="AB223" i="6"/>
  <c r="AB228" i="6"/>
  <c r="AB229" i="6"/>
  <c r="AB232" i="6"/>
  <c r="AB235" i="6"/>
  <c r="AB239" i="6"/>
  <c r="AB236" i="6"/>
  <c r="AB240" i="6"/>
  <c r="AB234" i="6"/>
  <c r="AB238" i="6"/>
  <c r="AB230" i="6"/>
  <c r="AA5" i="6"/>
  <c r="AB9" i="6"/>
  <c r="AB10" i="6"/>
  <c r="AB8" i="6"/>
  <c r="AB5" i="6" l="1"/>
</calcChain>
</file>

<file path=xl/sharedStrings.xml><?xml version="1.0" encoding="utf-8"?>
<sst xmlns="http://schemas.openxmlformats.org/spreadsheetml/2006/main" count="2242" uniqueCount="1001">
  <si>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</si>
  <si>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</si>
  <si>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</si>
  <si>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</si>
  <si>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</si>
  <si>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</si>
  <si>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</si>
  <si>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</si>
  <si>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</si>
  <si>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</si>
  <si>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</si>
  <si>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</si>
  <si>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</si>
  <si>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</si>
  <si>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</si>
  <si>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</si>
  <si>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</si>
  <si>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</si>
  <si>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</si>
  <si>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</si>
  <si>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</si>
  <si>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</si>
  <si>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</si>
  <si>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</si>
  <si>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</si>
  <si>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</si>
  <si>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</si>
  <si>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</si>
  <si>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</si>
  <si>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enoteca con cucina</t>
  </si>
  <si>
    <t>bistrot</t>
  </si>
  <si>
    <t>gelateria</t>
  </si>
  <si>
    <t>pizzeria</t>
  </si>
  <si>
    <t>n.d.</t>
  </si>
  <si>
    <t>cocktail bar</t>
  </si>
  <si>
    <t>pasticceria / caffetteria</t>
  </si>
  <si>
    <t>enoteca</t>
  </si>
  <si>
    <t>bar / pasticceria</t>
  </si>
  <si>
    <t>Centro</t>
  </si>
  <si>
    <t>Crocetta</t>
  </si>
  <si>
    <t/>
  </si>
  <si>
    <t>Berberè</t>
  </si>
  <si>
    <t>Cod_Percorso</t>
  </si>
  <si>
    <t>non recensibile</t>
  </si>
  <si>
    <t>pasticceria</t>
  </si>
  <si>
    <t>Città</t>
  </si>
  <si>
    <t>Trippa</t>
  </si>
  <si>
    <t>Pavè</t>
  </si>
  <si>
    <t>La Teiera Eclettica</t>
  </si>
  <si>
    <t>Un posto a Milano</t>
  </si>
  <si>
    <t>I Dolci Namura</t>
  </si>
  <si>
    <t>Joia</t>
  </si>
  <si>
    <t>Lacerba</t>
  </si>
  <si>
    <t>Iyo</t>
  </si>
  <si>
    <t>La Ravioleria Sarpi</t>
  </si>
  <si>
    <t>Orsonero Coffee</t>
  </si>
  <si>
    <t>Trattoria del Nuovo Macello</t>
  </si>
  <si>
    <t>Osteria del Biliardo</t>
  </si>
  <si>
    <t>Rita</t>
  </si>
  <si>
    <t>Trapizzino</t>
  </si>
  <si>
    <t>Manna</t>
  </si>
  <si>
    <t>Le Nove Scodelle</t>
  </si>
  <si>
    <t>Cantine Isola</t>
  </si>
  <si>
    <t>Gelateria Paganelli</t>
  </si>
  <si>
    <t>Morelli</t>
  </si>
  <si>
    <t>Ceresio 7</t>
  </si>
  <si>
    <t>28 Posti</t>
  </si>
  <si>
    <t>Tipografia Alimentare</t>
  </si>
  <si>
    <t>Macelleria Popolare</t>
  </si>
  <si>
    <t>Contraste</t>
  </si>
  <si>
    <t>Casa Ramen Super</t>
  </si>
  <si>
    <t>Dry</t>
  </si>
  <si>
    <t>Gelato Giusto</t>
  </si>
  <si>
    <t>Gusto 17</t>
  </si>
  <si>
    <t>La Gelateria della Musica</t>
  </si>
  <si>
    <t>Erba Brusca</t>
  </si>
  <si>
    <t>Ratanà</t>
  </si>
  <si>
    <t>Il Liberty</t>
  </si>
  <si>
    <t>Trattoria Mirta</t>
  </si>
  <si>
    <t>Tra le righe Gelato &amp; Friends</t>
  </si>
  <si>
    <t>Zazà Ramen</t>
  </si>
  <si>
    <t>Cru</t>
  </si>
  <si>
    <t>forno / pasticceria / bistrot</t>
  </si>
  <si>
    <t>negozio con sala da tè</t>
  </si>
  <si>
    <t>ravioleria cinese</t>
  </si>
  <si>
    <t>vineria / ristorante</t>
  </si>
  <si>
    <t>panineria</t>
  </si>
  <si>
    <t>street food romanesco</t>
  </si>
  <si>
    <t>ristorante / american bar</t>
  </si>
  <si>
    <t>caffetteria / enoteca</t>
  </si>
  <si>
    <t>macelleria con cucina</t>
  </si>
  <si>
    <t>Colonne di San Lorenzo</t>
  </si>
  <si>
    <t>Brera</t>
  </si>
  <si>
    <t>Porta Romana</t>
  </si>
  <si>
    <t>Montenapoleone</t>
  </si>
  <si>
    <t>Casoretto</t>
  </si>
  <si>
    <t>Porta Venezia</t>
  </si>
  <si>
    <t>Bocconi</t>
  </si>
  <si>
    <t>Via Felice Casati, 27</t>
  </si>
  <si>
    <t>Buenos Aires</t>
  </si>
  <si>
    <t>Via Melzo, 30</t>
  </si>
  <si>
    <t>Via Cuccagna, 2</t>
  </si>
  <si>
    <t>Sempione</t>
  </si>
  <si>
    <t>Navigli</t>
  </si>
  <si>
    <t>Via Panfilo Castaldi, 18</t>
  </si>
  <si>
    <t>Via Orti, 4</t>
  </si>
  <si>
    <t>Via Piero della Francesca, 74</t>
  </si>
  <si>
    <t>Cenisio</t>
  </si>
  <si>
    <t>Via Paolo Sarpi, 27</t>
  </si>
  <si>
    <t>Porta Vittoria</t>
  </si>
  <si>
    <t>Via Giuseppe Broggi, 15</t>
  </si>
  <si>
    <t>Via Cesare Lombroso, 20</t>
  </si>
  <si>
    <t>Piazzale Martini</t>
  </si>
  <si>
    <t>Via Enrico Cialdini, 107</t>
  </si>
  <si>
    <t>Affori</t>
  </si>
  <si>
    <t>Via Montecuccoli, 6</t>
  </si>
  <si>
    <t>Primaticcio</t>
  </si>
  <si>
    <t>Duomo</t>
  </si>
  <si>
    <t>Via Pier Candido Decembrio, 33</t>
  </si>
  <si>
    <t>Corso Lodi</t>
  </si>
  <si>
    <t>Tortona</t>
  </si>
  <si>
    <t>Via Corsico, 1</t>
  </si>
  <si>
    <t>Porta Genova</t>
  </si>
  <si>
    <t>Via Marghera, 12</t>
  </si>
  <si>
    <t>Wagner</t>
  </si>
  <si>
    <t>Stazione Centrale</t>
  </si>
  <si>
    <t>Maggiolina</t>
  </si>
  <si>
    <t>Garibaldi</t>
  </si>
  <si>
    <t>Piazzale Governo Provvisorio, 6</t>
  </si>
  <si>
    <t>Turro</t>
  </si>
  <si>
    <t>Isola</t>
  </si>
  <si>
    <t>Viale Monza, 4</t>
  </si>
  <si>
    <t>Loreto</t>
  </si>
  <si>
    <t>Porta Ticinese</t>
  </si>
  <si>
    <t>Via Paolo Sarpi, 30</t>
  </si>
  <si>
    <t>Via Solferino, 48</t>
  </si>
  <si>
    <t>Corso Italia, 6</t>
  </si>
  <si>
    <t>Missori</t>
  </si>
  <si>
    <t>Via Adda, 3</t>
  </si>
  <si>
    <t>Via Aristotile Fioravanti, 4</t>
  </si>
  <si>
    <t>Monumentale</t>
  </si>
  <si>
    <t>Via Ceresio, 7</t>
  </si>
  <si>
    <t>Via Sebenico, 21</t>
  </si>
  <si>
    <t>Via Vigevano, 8</t>
  </si>
  <si>
    <t>Via Dolomiti, 1</t>
  </si>
  <si>
    <t>Moscova</t>
  </si>
  <si>
    <t>Piazza XXIV Maggio - Mercato Coperto</t>
  </si>
  <si>
    <t>Via Giuseppe Meda, 2</t>
  </si>
  <si>
    <t>Bastioni di Porta Nuova</t>
  </si>
  <si>
    <t>Via Ugo Bassi, 26</t>
  </si>
  <si>
    <t>Via Solferino, 33</t>
  </si>
  <si>
    <t>Via San Gregorio, 17</t>
  </si>
  <si>
    <t>Via Savona, 17</t>
  </si>
  <si>
    <t>Via Cesare Battisti, 21</t>
  </si>
  <si>
    <t>Repubblica</t>
  </si>
  <si>
    <t>Via Vigevano, 27</t>
  </si>
  <si>
    <t>Alzaia Naviglio Pavese, 286</t>
  </si>
  <si>
    <t>Chiesa Rossa</t>
  </si>
  <si>
    <t>Via Bernardino Corio, 8</t>
  </si>
  <si>
    <t>Via Gaetano de Castillia, 28</t>
  </si>
  <si>
    <t>Sant'Ambrogio</t>
  </si>
  <si>
    <t>Piazza San Materno, 12</t>
  </si>
  <si>
    <t>Via Teodosio, 44</t>
  </si>
  <si>
    <t>Lambrate</t>
  </si>
  <si>
    <t>Via Ugo Bassi, 24</t>
  </si>
  <si>
    <t>Milano</t>
  </si>
  <si>
    <t>327/6687908</t>
  </si>
  <si>
    <t>02/83630074</t>
  </si>
  <si>
    <t>02/29419101</t>
  </si>
  <si>
    <t>02/5457785</t>
  </si>
  <si>
    <t>02/34534176</t>
  </si>
  <si>
    <t>02/29522124</t>
  </si>
  <si>
    <t>02/45476898</t>
  </si>
  <si>
    <t>331/8870596</t>
  </si>
  <si>
    <t>366/5477441</t>
  </si>
  <si>
    <t>02/59902122</t>
  </si>
  <si>
    <t>02/36756256</t>
  </si>
  <si>
    <t>02/416886</t>
  </si>
  <si>
    <t>02/45487032</t>
  </si>
  <si>
    <t>02/8372865</t>
  </si>
  <si>
    <t>02/4693265</t>
  </si>
  <si>
    <t>02/26809153</t>
  </si>
  <si>
    <t>331/8001116</t>
  </si>
  <si>
    <t>02/3315249</t>
  </si>
  <si>
    <t>02/89093781</t>
  </si>
  <si>
    <t>02/80010918</t>
  </si>
  <si>
    <t>02/31039221</t>
  </si>
  <si>
    <t>02/8392377</t>
  </si>
  <si>
    <t>02/36707820</t>
  </si>
  <si>
    <t>02/36758428</t>
  </si>
  <si>
    <t>02/83537868</t>
  </si>
  <si>
    <t>02/39468368</t>
  </si>
  <si>
    <t>02/49536597</t>
  </si>
  <si>
    <t>02/83529210</t>
  </si>
  <si>
    <t>02/63793414</t>
  </si>
  <si>
    <t>02/29510284</t>
  </si>
  <si>
    <t>02/39811835</t>
  </si>
  <si>
    <t>02/94383619</t>
  </si>
  <si>
    <t>02/39811258</t>
  </si>
  <si>
    <t>02/55190020</t>
  </si>
  <si>
    <t>02/87128855</t>
  </si>
  <si>
    <t>02/29011439</t>
  </si>
  <si>
    <t>02/91762549</t>
  </si>
  <si>
    <t>02/36799000</t>
  </si>
  <si>
    <t>342/3040081</t>
  </si>
  <si>
    <t>formula aperitivo</t>
  </si>
  <si>
    <t>menù degustazione</t>
  </si>
  <si>
    <t>Via Mercalli ang. Via S.F. d'Assisi</t>
  </si>
  <si>
    <t>02/62065383</t>
  </si>
  <si>
    <t>Corso Lodi, 15</t>
  </si>
  <si>
    <t>02/36536410</t>
  </si>
  <si>
    <t>bakery / caffetteria</t>
  </si>
  <si>
    <t>02/32960708</t>
  </si>
  <si>
    <t>Via Salasco, 21</t>
  </si>
  <si>
    <t>Vinodromo</t>
  </si>
  <si>
    <t>Wineria</t>
  </si>
  <si>
    <t>wine bar</t>
  </si>
  <si>
    <t>Piazza Carlo Caneva, 4</t>
  </si>
  <si>
    <t>02/39464196</t>
  </si>
  <si>
    <t>Nebbia</t>
  </si>
  <si>
    <t>Via Evangelista Torricelli, 15</t>
  </si>
  <si>
    <t>02/82781557</t>
  </si>
  <si>
    <t>338/3582658</t>
  </si>
  <si>
    <t>Via Melzo, 22</t>
  </si>
  <si>
    <t>02/49787361</t>
  </si>
  <si>
    <t>L'ile Douce</t>
  </si>
  <si>
    <t>02/49780658</t>
  </si>
  <si>
    <t>Bussarakham</t>
  </si>
  <si>
    <t>Via Valenza, 13</t>
  </si>
  <si>
    <t>02/89422415</t>
  </si>
  <si>
    <t>Da Zero</t>
  </si>
  <si>
    <t>02/83529189</t>
  </si>
  <si>
    <t>Via Federico Faruffini, 2</t>
  </si>
  <si>
    <t>Porcobrado</t>
  </si>
  <si>
    <t>vineria con cucina</t>
  </si>
  <si>
    <t>Viale Premuda, 44</t>
  </si>
  <si>
    <t>02/23189915</t>
  </si>
  <si>
    <t>Crosta</t>
  </si>
  <si>
    <t>forno / pizzeria</t>
  </si>
  <si>
    <t>Via Bellotti, 13</t>
  </si>
  <si>
    <t>02/38248570</t>
  </si>
  <si>
    <t>Gong - Oriental Attitude</t>
  </si>
  <si>
    <t>Corso Concordia, 8</t>
  </si>
  <si>
    <t>Piazza Risorgimento</t>
  </si>
  <si>
    <t>02/76023873</t>
  </si>
  <si>
    <t>Via Alfredo Cappellini, 18</t>
  </si>
  <si>
    <t>02/38316849</t>
  </si>
  <si>
    <t>Marlà</t>
  </si>
  <si>
    <t>Ziva</t>
  </si>
  <si>
    <t>Mu dimsum</t>
  </si>
  <si>
    <t>bu:r</t>
  </si>
  <si>
    <t>Mao Hunan</t>
  </si>
  <si>
    <t>CIZ - cantina e cucina</t>
  </si>
  <si>
    <t>Via Lodovico Castelvetro, 16</t>
  </si>
  <si>
    <t>Via Jacopo dal Verme, 17</t>
  </si>
  <si>
    <t>Via Aminto Caretto, 3</t>
  </si>
  <si>
    <t>Viale Monte Grappa, 6</t>
  </si>
  <si>
    <t>Via Bernardino Luini, 9</t>
  </si>
  <si>
    <t>giapponese</t>
  </si>
  <si>
    <t>tradizionale</t>
  </si>
  <si>
    <t>ricercata</t>
  </si>
  <si>
    <t>cinese</t>
  </si>
  <si>
    <t>creativa</t>
  </si>
  <si>
    <t>tradizionale con spunti creativi</t>
  </si>
  <si>
    <t>ligure</t>
  </si>
  <si>
    <t>02/99266436</t>
  </si>
  <si>
    <t>primo, secondo e dolce (o antipasto)</t>
  </si>
  <si>
    <t>2 tipi di ramen</t>
  </si>
  <si>
    <t>1 focaccia, 1 pizza, 1 cocktail</t>
  </si>
  <si>
    <t>1 caffè, 1 cappuccino, 1 lievito</t>
  </si>
  <si>
    <t>tè + fetta di torta o dolce monoporzione</t>
  </si>
  <si>
    <t>2 panini diversi o un panino e un tagliere</t>
  </si>
  <si>
    <t>2 cocktail diversi</t>
  </si>
  <si>
    <t>1 cono o 1 coppetta con tre gusti+panna</t>
  </si>
  <si>
    <t>2 panini diversi o due preparazioni diverse</t>
  </si>
  <si>
    <t>2 trapizzini diversi + 1 supplì</t>
  </si>
  <si>
    <t>02/87318897</t>
  </si>
  <si>
    <t>Ristorante Berton</t>
  </si>
  <si>
    <t>Via Mike Bongiorno, 13</t>
  </si>
  <si>
    <t>02/67075801</t>
  </si>
  <si>
    <t>Mater Bistrot</t>
  </si>
  <si>
    <t>Via Pasquale Sottocorno, 1</t>
  </si>
  <si>
    <t>02/91321602</t>
  </si>
  <si>
    <t>Via Gerolamo Turroni, 2</t>
  </si>
  <si>
    <t>Piazzale Susa</t>
  </si>
  <si>
    <t>351/8578998</t>
  </si>
  <si>
    <t>Kanpai</t>
  </si>
  <si>
    <t>Via Melzo, 12</t>
  </si>
  <si>
    <t>Enoteca Naturale</t>
  </si>
  <si>
    <t>02/82770589</t>
  </si>
  <si>
    <t>Trattoria Sabbioneda</t>
  </si>
  <si>
    <t>Via Alessandro Tadino, 32</t>
  </si>
  <si>
    <t>02/29521014</t>
  </si>
  <si>
    <t>Via Privata Nino Bonnet, 11</t>
  </si>
  <si>
    <t>Via Popoli Uniti, 26</t>
  </si>
  <si>
    <t>02/28381700</t>
  </si>
  <si>
    <t>milanese</t>
  </si>
  <si>
    <t>02/4818134</t>
  </si>
  <si>
    <t>2 pizze diverse + 1 antipasto</t>
  </si>
  <si>
    <t>Bentoteca</t>
  </si>
  <si>
    <t>Via San Calocero, 3</t>
  </si>
  <si>
    <t>340/8357453</t>
  </si>
  <si>
    <t>Antica Osteria Magenes</t>
  </si>
  <si>
    <t>Gaggiano</t>
  </si>
  <si>
    <t>02/9085125</t>
  </si>
  <si>
    <t>GnomoGelato</t>
  </si>
  <si>
    <t>Seta</t>
  </si>
  <si>
    <t>O|Nest</t>
  </si>
  <si>
    <t>Piazza XXIV Maggio</t>
  </si>
  <si>
    <t>Carrobbio</t>
  </si>
  <si>
    <t>Via Luigi Cagnola, 10</t>
  </si>
  <si>
    <t>Via Lodovico il Moro, 3</t>
  </si>
  <si>
    <t>Via Cavour, 7 - fraz. Barate</t>
  </si>
  <si>
    <t>Ticinese</t>
  </si>
  <si>
    <t>Via Monte di Pietà, 18</t>
  </si>
  <si>
    <t>Viale Vittorio Veneto, 28</t>
  </si>
  <si>
    <t>02/49709618</t>
  </si>
  <si>
    <t>02/63471564</t>
  </si>
  <si>
    <t>4</t>
  </si>
  <si>
    <t>3,5</t>
  </si>
  <si>
    <t>4,5</t>
  </si>
  <si>
    <t>5</t>
  </si>
  <si>
    <t>8+</t>
  </si>
  <si>
    <t>9-</t>
  </si>
  <si>
    <t>9</t>
  </si>
  <si>
    <t>8</t>
  </si>
  <si>
    <t>8-</t>
  </si>
  <si>
    <t>9+</t>
  </si>
  <si>
    <t>8½</t>
  </si>
  <si>
    <t>7</t>
  </si>
  <si>
    <t>7½</t>
  </si>
  <si>
    <t>7-</t>
  </si>
  <si>
    <t>7+</t>
  </si>
  <si>
    <t>15</t>
  </si>
  <si>
    <t>35</t>
  </si>
  <si>
    <t>25</t>
  </si>
  <si>
    <t>10</t>
  </si>
  <si>
    <t>1 raviolo, 1 crepe, 1 panino al vapore</t>
  </si>
  <si>
    <t>18</t>
  </si>
  <si>
    <t>20</t>
  </si>
  <si>
    <t>2 pizze diverse + 1 dolce</t>
  </si>
  <si>
    <t>40</t>
  </si>
  <si>
    <t>48</t>
  </si>
  <si>
    <t>30</t>
  </si>
  <si>
    <t>antipasto, primo e dolce o primo, secondo e dolce</t>
  </si>
  <si>
    <t>45</t>
  </si>
  <si>
    <t>50</t>
  </si>
  <si>
    <t>Motelombroso</t>
  </si>
  <si>
    <t>Corso Lodi, 1</t>
  </si>
  <si>
    <t>02/49716304</t>
  </si>
  <si>
    <t>02/91570928</t>
  </si>
  <si>
    <t>Ripa di Porta Ticinese, 2</t>
  </si>
  <si>
    <t>Loste Cafè</t>
  </si>
  <si>
    <t>Via Francesco Guicciardini, 3</t>
  </si>
  <si>
    <t>Eastern Leaves</t>
  </si>
  <si>
    <t>Via Macedonio Melloni, 32</t>
  </si>
  <si>
    <t>02/36706513</t>
  </si>
  <si>
    <t>389/1078092</t>
  </si>
  <si>
    <t>Il Gusto della Nebbia</t>
  </si>
  <si>
    <t>Wicky’s Innovative Japanese Cuisine</t>
  </si>
  <si>
    <t>Nowhere - Coffee &amp; Community</t>
  </si>
  <si>
    <t>Pavè Gelati&amp;Granite</t>
  </si>
  <si>
    <t>friulana</t>
  </si>
  <si>
    <t>Alzaia Naviglio Pavese, 256</t>
  </si>
  <si>
    <t>Via Carlo Botta, 4</t>
  </si>
  <si>
    <t>Corso di Porta Ticinese, 1</t>
  </si>
  <si>
    <t>Via Santa Croce, 19/A</t>
  </si>
  <si>
    <t>Via Cadore, 30</t>
  </si>
  <si>
    <t>Porta Monforte</t>
  </si>
  <si>
    <t>333/1855267</t>
  </si>
  <si>
    <t>338/6251114</t>
  </si>
  <si>
    <t>02/50030751</t>
  </si>
  <si>
    <t>02/49784877</t>
  </si>
  <si>
    <t>02/42441183</t>
  </si>
  <si>
    <t>02/37905496</t>
  </si>
  <si>
    <t>9½</t>
  </si>
  <si>
    <t>novità</t>
  </si>
  <si>
    <t>Ristorante D'O</t>
  </si>
  <si>
    <t>Piazza della Chiesa, 14</t>
  </si>
  <si>
    <t>Fraz. San Pietro all'olmo</t>
  </si>
  <si>
    <t>Cornaredo</t>
  </si>
  <si>
    <t>02/9362209</t>
  </si>
  <si>
    <t>La Cucina dei Frigoriferi Milanesi</t>
  </si>
  <si>
    <t>Via Giovanni Battista Piranesi, 10</t>
  </si>
  <si>
    <t>02/39666784</t>
  </si>
  <si>
    <t>Al Garghet</t>
  </si>
  <si>
    <t>Via Selvanesco, 36</t>
  </si>
  <si>
    <t>02/534698</t>
  </si>
  <si>
    <t>Mido</t>
  </si>
  <si>
    <t>araba</t>
  </si>
  <si>
    <t>Tre Chicchere</t>
  </si>
  <si>
    <t>02/69007248</t>
  </si>
  <si>
    <t>02/39562875</t>
  </si>
  <si>
    <t>Il Massimo del Gelato</t>
  </si>
  <si>
    <t>02/3494943</t>
  </si>
  <si>
    <t>Via Salvatore Pianell, 45</t>
  </si>
  <si>
    <t>Rigoletto</t>
  </si>
  <si>
    <t>Via San Siro, 2</t>
  </si>
  <si>
    <t>02/4981820</t>
  </si>
  <si>
    <t>Via Cola di Rienzo, 2</t>
  </si>
  <si>
    <t>Piazza Po, 10</t>
  </si>
  <si>
    <t>Washington</t>
  </si>
  <si>
    <t>Osteria alla Concorrenza</t>
  </si>
  <si>
    <t>Conciliazione</t>
  </si>
  <si>
    <t>Insieme</t>
  </si>
  <si>
    <t>Via Giovanni Rasori, 12</t>
  </si>
  <si>
    <t>391/7182416</t>
  </si>
  <si>
    <t>02/49713413</t>
  </si>
  <si>
    <t>Alberto Marchetti</t>
  </si>
  <si>
    <t>Viale Monte Nero, 73</t>
  </si>
  <si>
    <t>02/5463245</t>
  </si>
  <si>
    <t>Locanda del Menarost</t>
  </si>
  <si>
    <t>02/73951036</t>
  </si>
  <si>
    <t>Remulass</t>
  </si>
  <si>
    <t>Via Nino Bixio, 21</t>
  </si>
  <si>
    <t>02/52517356</t>
  </si>
  <si>
    <t>328/6641670</t>
  </si>
  <si>
    <t>02/49775083</t>
  </si>
  <si>
    <t>antipasto, primo, secondo e dolce</t>
  </si>
  <si>
    <t>Barba</t>
  </si>
  <si>
    <t>02/36515846</t>
  </si>
  <si>
    <t>cocktail bar con cucina</t>
  </si>
  <si>
    <t>Via Caminadella, 21</t>
  </si>
  <si>
    <t>02/35999463</t>
  </si>
  <si>
    <t>Vineria Eretica</t>
  </si>
  <si>
    <t>Via Rosolino Pilo, 14</t>
  </si>
  <si>
    <t>02/45942171</t>
  </si>
  <si>
    <t>Gelateria Prossima Fermata</t>
  </si>
  <si>
    <t>Via Melchiorre Gioia, 131</t>
  </si>
  <si>
    <t>Via Vitruvio, 38</t>
  </si>
  <si>
    <t>Ciacco</t>
  </si>
  <si>
    <t>Via Spadari, 13</t>
  </si>
  <si>
    <t>Via Alfredo Cappellini, 25</t>
  </si>
  <si>
    <t>Moebius</t>
  </si>
  <si>
    <t>02/36643680</t>
  </si>
  <si>
    <t>Lile in cucina</t>
  </si>
  <si>
    <t>Antica Trattoria Monluè</t>
  </si>
  <si>
    <t>Via Monluè, 75</t>
  </si>
  <si>
    <t>Linate</t>
  </si>
  <si>
    <t>02/7610246</t>
  </si>
  <si>
    <t>Stadera - gastronomia contemporanea</t>
  </si>
  <si>
    <t>gastronomia con cucina</t>
  </si>
  <si>
    <t>340/6056240</t>
  </si>
  <si>
    <t>Largo della Crocetta, 1</t>
  </si>
  <si>
    <t>Denis - pizza di montagna</t>
  </si>
  <si>
    <t>Via Statuto, 16</t>
  </si>
  <si>
    <t>375/7988835</t>
  </si>
  <si>
    <t>La Medina</t>
  </si>
  <si>
    <t>sala da tè marocchina</t>
  </si>
  <si>
    <t>Via Tolentino, 1</t>
  </si>
  <si>
    <t>388/7940829</t>
  </si>
  <si>
    <t>Andrea Aprea</t>
  </si>
  <si>
    <t>02/38273030</t>
  </si>
  <si>
    <t>Signor Lievito</t>
  </si>
  <si>
    <t>panificio / caffetteria</t>
  </si>
  <si>
    <t>Via Maestri Campionesi, 26</t>
  </si>
  <si>
    <t>Viale Umbria</t>
  </si>
  <si>
    <t>02/91678209</t>
  </si>
  <si>
    <t>Altatto</t>
  </si>
  <si>
    <t>Fòla</t>
  </si>
  <si>
    <t>Gelateria LatteNeve</t>
  </si>
  <si>
    <t>Mag cafè</t>
  </si>
  <si>
    <t>Orto Gelato</t>
  </si>
  <si>
    <t>Terra Gelato</t>
  </si>
  <si>
    <t>Zibo - campo base</t>
  </si>
  <si>
    <t>vegetariana</t>
  </si>
  <si>
    <t>pasticceria / gastronomia</t>
  </si>
  <si>
    <t>tradizionale rivisitata</t>
  </si>
  <si>
    <t>caffetteria specialty</t>
  </si>
  <si>
    <t>Piazza Cinque Giornate</t>
  </si>
  <si>
    <t>Corso Venezia, 52 c/o Fondazione Luigi Rovati</t>
  </si>
  <si>
    <t>Via dell'Orso, 4</t>
  </si>
  <si>
    <t>Via Luigi Varanini, 12</t>
  </si>
  <si>
    <t>Pasteur</t>
  </si>
  <si>
    <t>Via Lodovico Castelvetro, 18</t>
  </si>
  <si>
    <t>Gerusalemme</t>
  </si>
  <si>
    <t>Via Vigevano, 9</t>
  </si>
  <si>
    <t>Via Pietro Custodi, 4</t>
  </si>
  <si>
    <t>Ca' Granda</t>
  </si>
  <si>
    <t>Via Savona</t>
  </si>
  <si>
    <t>Via Angelo Fumagalli, 1</t>
  </si>
  <si>
    <t>Via Gian Antonio Boltraffio, 12</t>
  </si>
  <si>
    <t>02/39663592</t>
  </si>
  <si>
    <t>02/83419934</t>
  </si>
  <si>
    <t>02/91763465</t>
  </si>
  <si>
    <t>351/9866676</t>
  </si>
  <si>
    <t>02/45375475</t>
  </si>
  <si>
    <t>02/8375249</t>
  </si>
  <si>
    <t>02/09954588</t>
  </si>
  <si>
    <t>02/91672012</t>
  </si>
  <si>
    <t>02/37905491</t>
  </si>
  <si>
    <t>02/38239075</t>
  </si>
  <si>
    <t>02/22228447</t>
  </si>
  <si>
    <t>02/91948458</t>
  </si>
  <si>
    <t>primo, secono e dolce</t>
  </si>
  <si>
    <t>1 caffè, 1 cappuccino, 1 caffè specialty, 1 brioche</t>
  </si>
  <si>
    <t>1 calice di vino + tagliere misto formaggi e salumi, 1 sfizio</t>
  </si>
  <si>
    <t>siciliana</t>
  </si>
  <si>
    <t>Via Adige, 9</t>
  </si>
  <si>
    <t>02/83967642</t>
  </si>
  <si>
    <t>02/72021136</t>
  </si>
  <si>
    <t>Gastronomia Yamamoto</t>
  </si>
  <si>
    <t>Via Amedei, 5</t>
  </si>
  <si>
    <t>02/36741426</t>
  </si>
  <si>
    <t>Out of the Box</t>
  </si>
  <si>
    <t>Via Marcello Malpighi, 7</t>
  </si>
  <si>
    <t>02/36637300</t>
  </si>
  <si>
    <t>toscana</t>
  </si>
  <si>
    <t>1 antipasto (no salumi e formaggi), 1 primo, 1 secondo (no hamburger) e 1 dolce</t>
  </si>
  <si>
    <t>02/47755016</t>
  </si>
  <si>
    <t>Gli Orti del Belvedere</t>
  </si>
  <si>
    <t>Via Orti, 10</t>
  </si>
  <si>
    <t>02/49781425</t>
  </si>
  <si>
    <t>Via Bonvesin de la Riva, 3</t>
  </si>
  <si>
    <t>Risorgimento</t>
  </si>
  <si>
    <t>Via San Protaso, 5</t>
  </si>
  <si>
    <t>02/36517496</t>
  </si>
  <si>
    <t>Buonarroti</t>
  </si>
  <si>
    <t>Carmen Gelato</t>
  </si>
  <si>
    <t>Via Carlo Ravizza, 3</t>
  </si>
  <si>
    <t>02/84230543</t>
  </si>
  <si>
    <t>Katsusanderia</t>
  </si>
  <si>
    <t>street food giapponese</t>
  </si>
  <si>
    <t>Frangente</t>
  </si>
  <si>
    <t>Via Panfilo Castaldi, 4</t>
  </si>
  <si>
    <t>02/96844851</t>
  </si>
  <si>
    <t>375/5426086</t>
  </si>
  <si>
    <t>Via Vigevano, 6</t>
  </si>
  <si>
    <t>340/8587572</t>
  </si>
  <si>
    <t>Cafezal Specialty Coffee</t>
  </si>
  <si>
    <t>Via Solferino, 27</t>
  </si>
  <si>
    <t>02/62695506</t>
  </si>
  <si>
    <t>Tripstillery</t>
  </si>
  <si>
    <t>02/62061443</t>
  </si>
  <si>
    <t>Viale Premuda, 14</t>
  </si>
  <si>
    <t>Corso Magenta, 96</t>
  </si>
  <si>
    <t>02/36579282</t>
  </si>
  <si>
    <t>02/49519174</t>
  </si>
  <si>
    <t>02/36534945</t>
  </si>
  <si>
    <t>Tanishka</t>
  </si>
  <si>
    <t>Ponte Nuovo</t>
  </si>
  <si>
    <t>344/4236436</t>
  </si>
  <si>
    <t>Viale Umbria, 126</t>
  </si>
  <si>
    <t>Sine by Di Pinto</t>
  </si>
  <si>
    <t>Brylla</t>
  </si>
  <si>
    <t>02/64089167</t>
  </si>
  <si>
    <t>Modus</t>
  </si>
  <si>
    <t>Via Andrea Maffei, 12</t>
  </si>
  <si>
    <t>Viale Monte Nero</t>
  </si>
  <si>
    <t>02/82860006</t>
  </si>
  <si>
    <t>Le Polveri - panificio diurno</t>
  </si>
  <si>
    <t>Via Vespri Siciliani, 16</t>
  </si>
  <si>
    <t>Giambellino</t>
  </si>
  <si>
    <t>Certosa</t>
  </si>
  <si>
    <t>02/82763525</t>
  </si>
  <si>
    <t>Trattoria Masuelli San Marco</t>
  </si>
  <si>
    <t>Viale Umbria, 80</t>
  </si>
  <si>
    <t>02/55184138</t>
  </si>
  <si>
    <t>Tiemì</t>
  </si>
  <si>
    <t>02/82874844</t>
  </si>
  <si>
    <t>Pan</t>
  </si>
  <si>
    <t>bakery con cucina</t>
  </si>
  <si>
    <t>Via Leopoldo Cicognara, 19</t>
  </si>
  <si>
    <t>Dateo</t>
  </si>
  <si>
    <t>340/8551831</t>
  </si>
  <si>
    <t>Flor. | born to be wine</t>
  </si>
  <si>
    <t>La Bottega del Gelato Cardelli dal 1964</t>
  </si>
  <si>
    <t>Millésime 1990 - sorsi di Francia</t>
  </si>
  <si>
    <t>Palinurobar</t>
  </si>
  <si>
    <t>Confine - Pizza e Cantina</t>
  </si>
  <si>
    <t>confetteria</t>
  </si>
  <si>
    <t>ricercata / vegetariana</t>
  </si>
  <si>
    <t>cingalese</t>
  </si>
  <si>
    <t>fusion / giapponese</t>
  </si>
  <si>
    <t>Via San Gregorio, 40</t>
  </si>
  <si>
    <t>Pagano</t>
  </si>
  <si>
    <t>Via Giovanni Battista Pergolesi, 3</t>
  </si>
  <si>
    <t>Maciachini</t>
  </si>
  <si>
    <t>Via Varesina, 204</t>
  </si>
  <si>
    <t>Via Raffaello Sanzio, 4</t>
  </si>
  <si>
    <t>Via Vetere, 14</t>
  </si>
  <si>
    <t>Varesine</t>
  </si>
  <si>
    <t>De Angeli</t>
  </si>
  <si>
    <t>Piazza Guglielmo Massaia</t>
  </si>
  <si>
    <t>Cordusio</t>
  </si>
  <si>
    <t>Calvairate</t>
  </si>
  <si>
    <t>Via Giuseppe Compagnoni, 24</t>
  </si>
  <si>
    <t>Via Nicola Antonio Porpora, 5</t>
  </si>
  <si>
    <t>Corso Lodi, 19, ang. Via Lazzaro Papi</t>
  </si>
  <si>
    <t>Parco Vittorio</t>
  </si>
  <si>
    <t>333/3112637</t>
  </si>
  <si>
    <t>02/36735997</t>
  </si>
  <si>
    <t>02/87030181 - 338/3339120</t>
  </si>
  <si>
    <t>02/45488997</t>
  </si>
  <si>
    <t>60</t>
  </si>
  <si>
    <t>menù "mini gioco"</t>
  </si>
  <si>
    <t>1antipasto, 1 primo, 1 secondo, 1 dolce</t>
  </si>
  <si>
    <t>1 antipasto, 1 primo, 1 secondo (no insalate e vellutate)</t>
  </si>
  <si>
    <t>1 tè piccolo + 3 dolcetti diversi</t>
  </si>
  <si>
    <t>1 calice + 2 piatti salati (no cose semplici e a base di sole verdure)</t>
  </si>
  <si>
    <t>1 appetizer, 1 special (tranne verdure e zuppe), 1 hamburger</t>
  </si>
  <si>
    <t>1 calice di vino + due piatti diversi (non di verdure)</t>
  </si>
  <si>
    <t>Via Nicola Antonio Porpora, 169</t>
  </si>
  <si>
    <t>Verso - Capitaneo</t>
  </si>
  <si>
    <t>Piazza Duomo, 21</t>
  </si>
  <si>
    <t>02/89750929</t>
  </si>
  <si>
    <t>Osteria Lagrandissima</t>
  </si>
  <si>
    <t>Via Ponte Nuovo, 25</t>
  </si>
  <si>
    <t>342/5593532</t>
  </si>
  <si>
    <t>Scott Bar</t>
  </si>
  <si>
    <t>Viale Bianca Maria, 4</t>
  </si>
  <si>
    <t>02/00244399</t>
  </si>
  <si>
    <t>Via Giovanni Schiaparelli, 14</t>
  </si>
  <si>
    <t>02/91571797</t>
  </si>
  <si>
    <t>02/36580751</t>
  </si>
  <si>
    <t>2 cocktail diversi + 1 piadina</t>
  </si>
  <si>
    <t>Viale Premuda, 12</t>
  </si>
  <si>
    <t>02/36799016</t>
  </si>
  <si>
    <t>Via Molino delle Armi, 23</t>
  </si>
  <si>
    <t>Via Pomè, 10</t>
  </si>
  <si>
    <t>Rho</t>
  </si>
  <si>
    <t>abruzzese</t>
  </si>
  <si>
    <t>02/91327868</t>
  </si>
  <si>
    <t>Via Antonio Porpora, 154</t>
  </si>
  <si>
    <t>Trattoria Sincera</t>
  </si>
  <si>
    <t>389/8741577</t>
  </si>
  <si>
    <t>Silvano - vini e cibi al banco</t>
  </si>
  <si>
    <t>osteria</t>
  </si>
  <si>
    <t>Piazza Morbegno, 2</t>
  </si>
  <si>
    <t>02/72193827</t>
  </si>
  <si>
    <t>Spore</t>
  </si>
  <si>
    <t>389/9191929</t>
  </si>
  <si>
    <t>Via Giacomo Boni, 25</t>
  </si>
  <si>
    <t>02/83555166</t>
  </si>
  <si>
    <t>Ricci Osteria</t>
  </si>
  <si>
    <t>pugliese</t>
  </si>
  <si>
    <t>Via Pasquale Sottocorno, 27</t>
  </si>
  <si>
    <t>02/49705612</t>
  </si>
  <si>
    <t>1 antipasto (no salumi e formaggi), 1 primo, 1 secondo, 1 dolce. Dalla foto del menù che manderete si deciderà il rimborso</t>
  </si>
  <si>
    <t>1 tagliere, 2 piatti (no dolce), 1 calice</t>
  </si>
  <si>
    <t>Via Pasquale Sottocorno, 17</t>
  </si>
  <si>
    <t>347/2402269</t>
  </si>
  <si>
    <t>2 piatti salati (no olive, no finta pasticcera), 1 calice</t>
  </si>
  <si>
    <t>Materia</t>
  </si>
  <si>
    <t>Via del Torchio, 1</t>
  </si>
  <si>
    <t>Corso Sempione, 10</t>
  </si>
  <si>
    <t>Piazza S. Simpliciano, 7</t>
  </si>
  <si>
    <t>02/49479421</t>
  </si>
  <si>
    <t>02/38318769</t>
  </si>
  <si>
    <t>Pasticceria Passerini dal 1919</t>
  </si>
  <si>
    <t>Via Victor Hugo, 4</t>
  </si>
  <si>
    <t>02/8693614</t>
  </si>
  <si>
    <t>Via Melzo, 16</t>
  </si>
  <si>
    <t>375/5862098</t>
  </si>
  <si>
    <t>Autem</t>
  </si>
  <si>
    <t>Via Serviliano Lattuada, 2</t>
  </si>
  <si>
    <t>351/2780368</t>
  </si>
  <si>
    <t>Corso Magenta, 25</t>
  </si>
  <si>
    <t>Clèa Pasticceria Culinaria</t>
  </si>
  <si>
    <t>Via Alfredo Albertini, 6</t>
  </si>
  <si>
    <t>Sarpi</t>
  </si>
  <si>
    <t>Via Felice Bellotti, 13</t>
  </si>
  <si>
    <t>Viale Piave</t>
  </si>
  <si>
    <t>02/66661066</t>
  </si>
  <si>
    <t>Piazza Guglielmo Oberdan, 12</t>
  </si>
  <si>
    <t>Adolfo Stefanelli</t>
  </si>
  <si>
    <t>Via Bartolomeo Eustachi, 13</t>
  </si>
  <si>
    <t>02/40130281</t>
  </si>
  <si>
    <t>Città Studi</t>
  </si>
  <si>
    <t>thailandese</t>
  </si>
  <si>
    <t>gastronomia giapponese</t>
  </si>
  <si>
    <t>pesce</t>
  </si>
  <si>
    <t>coreana</t>
  </si>
  <si>
    <t>cocktail bar / ristorante</t>
  </si>
  <si>
    <t>cocktail bar / distilleria</t>
  </si>
  <si>
    <t>Égalité</t>
  </si>
  <si>
    <t>Kilburn</t>
  </si>
  <si>
    <t>Li - Sei Deli</t>
  </si>
  <si>
    <t>Mezzolitro Vini e Cucina</t>
  </si>
  <si>
    <t>Nik’s &amp; Co</t>
  </si>
  <si>
    <t>Norah was drunk</t>
  </si>
  <si>
    <t>Particolare Milano</t>
  </si>
  <si>
    <t>Pastamadre</t>
  </si>
  <si>
    <t>Magenta</t>
  </si>
  <si>
    <t>Chinatown</t>
  </si>
  <si>
    <t>Via Gerolamo Tiraboschi, 5</t>
  </si>
  <si>
    <t>Via Passo Buole, 4</t>
  </si>
  <si>
    <t>Via Losanna, 46</t>
  </si>
  <si>
    <t>Via Giorgio Vasari, 1</t>
  </si>
  <si>
    <t>02/49714985</t>
  </si>
  <si>
    <t>02/82860326</t>
  </si>
  <si>
    <t>02/83428246 - 375/7746998</t>
  </si>
  <si>
    <t>02/36795439</t>
  </si>
  <si>
    <t>6½</t>
  </si>
  <si>
    <t>due piatti salati e un calice di vino</t>
  </si>
  <si>
    <t>2 scodelle diverse</t>
  </si>
  <si>
    <t>2 cocktail</t>
  </si>
  <si>
    <t>1 cocktail + un piatto salato</t>
  </si>
  <si>
    <t>c.m.</t>
  </si>
  <si>
    <t>c.c.</t>
  </si>
  <si>
    <t>Piatti da provare</t>
  </si>
  <si>
    <t>pl.</t>
  </si>
  <si>
    <t>1 espresso, 1 caffè specialty con altro metodo d'infusione,1 lievito</t>
  </si>
  <si>
    <t>menù della tradizione</t>
  </si>
  <si>
    <t>Via Privata Gerli, 3</t>
  </si>
  <si>
    <t xml:space="preserve">tradizionale </t>
  </si>
  <si>
    <t xml:space="preserve"> 02/9085276</t>
  </si>
  <si>
    <t>Sandì</t>
  </si>
  <si>
    <t xml:space="preserve">Antica Trattoria del Gallo </t>
  </si>
  <si>
    <t>Via Francesco Hayez, 13</t>
  </si>
  <si>
    <t>Viale Abruzzi</t>
  </si>
  <si>
    <t>02/82046200</t>
  </si>
  <si>
    <t>Casa Nori</t>
  </si>
  <si>
    <t>Via Antonio Pollaiuolo, 5</t>
  </si>
  <si>
    <t>02/36742016</t>
  </si>
  <si>
    <t>Via Stampa</t>
  </si>
  <si>
    <t>02/30554088</t>
  </si>
  <si>
    <t>Brolo Milano - orto con cucina</t>
  </si>
  <si>
    <t>Via Melzo, 19</t>
  </si>
  <si>
    <t>02/89772534</t>
  </si>
  <si>
    <t>Via Marghera, 35</t>
  </si>
  <si>
    <t>June Collective</t>
  </si>
  <si>
    <t>3 piatti salati (non solo vegetariani e anche con un primo) + 1 dolce</t>
  </si>
  <si>
    <t>Sottobosco</t>
  </si>
  <si>
    <t>1 antipasto (no salumi e formaggi, no verdure) 1 primo,1 secodo,1 dolce</t>
  </si>
  <si>
    <t>02/39289510</t>
  </si>
  <si>
    <t>Brenta</t>
  </si>
  <si>
    <t>menùdegustazione da 75 euro</t>
  </si>
  <si>
    <t>Sakeya</t>
  </si>
  <si>
    <t>Via Cesare da Sesto, 1</t>
  </si>
  <si>
    <t>Sant'Agostino</t>
  </si>
  <si>
    <t>1 antipasto,1 primo,1 secondo,1 dolce</t>
  </si>
  <si>
    <t>menù degustazione Porta Nuova</t>
  </si>
  <si>
    <t>1antipasto (no verdure, no salumi e formaggi), 1 primo, 1 secondo, 1 dolce</t>
  </si>
  <si>
    <t>1 antipasto, 1 primo, 1 secondo, 1 dolce (no piatti semplici e di verdure o formagi e salumi)</t>
  </si>
  <si>
    <t>1 antipasto, 1 primo,1 secondo, 1 dolce</t>
  </si>
  <si>
    <t>1 antipasto (no verdure, no salumi e formaggi), 1 primo (no zuppe), 1 secondo, 1 dolce</t>
  </si>
  <si>
    <t>1 piatto principale dal menù "viaggio in" (no COLORATO), 2 piatti dal menù "viaggio in treno Ella" (NO PETTIES), magari scegliendo qualche piatto a base di carne o pesce</t>
  </si>
  <si>
    <t>1 bibimbap, 1 sandwich, 1 dolce</t>
  </si>
  <si>
    <t>2 calici di vino + gli stuzzichini compresi nel prezzo</t>
  </si>
  <si>
    <t>calice di vino + 1 crustone, 1 sfizio o un sandwich (no cose semplici e a base di verdure)</t>
  </si>
  <si>
    <t>1 calice, 1 tagliere, 1 piattino</t>
  </si>
  <si>
    <t>2 cocktail diversi + 1 piatto della cucina</t>
  </si>
  <si>
    <t xml:space="preserve">3 piatti del menù </t>
  </si>
  <si>
    <t>due pizze diverse e 1 sfizio fritto</t>
  </si>
  <si>
    <t>1 crostone o una focaccia, 2 piatti dalla cucina (no giardineria o solo verdure)</t>
  </si>
  <si>
    <t>1 antipasto,1 pasta,1 secondo (carne o pesce), 1 dolce (no piatti semplici, no frutta per il dessert)</t>
  </si>
  <si>
    <t>Via Giulio Cesare Procaccini, 33</t>
  </si>
  <si>
    <t>Il Lughino</t>
  </si>
  <si>
    <t>vegano</t>
  </si>
  <si>
    <t>Via Solferino, 12</t>
  </si>
  <si>
    <t>02/6598972</t>
  </si>
  <si>
    <t>1 antipasto, 1 lasagna, 1 secondo, 1 dolce</t>
  </si>
  <si>
    <t>Ditta Artigianale</t>
  </si>
  <si>
    <t>Corso Magenta, 31</t>
  </si>
  <si>
    <t>02/99250284</t>
  </si>
  <si>
    <t>Cucina Franca</t>
  </si>
  <si>
    <t>Via Friuli, 78</t>
  </si>
  <si>
    <t>Horto Restaurant Milano</t>
  </si>
  <si>
    <t xml:space="preserve">1 cocktail, 1 bao, 1 piatto principale (carne o pesce), 1 piatto di pasta (noodles o riso) </t>
  </si>
  <si>
    <t>Shiua</t>
  </si>
  <si>
    <t>enoteca / wine bar</t>
  </si>
  <si>
    <t>Via Solari, 43</t>
  </si>
  <si>
    <t>345/0229180</t>
  </si>
  <si>
    <t>Via Raffaello Sanzio, 22</t>
  </si>
  <si>
    <t>02/4693206</t>
  </si>
  <si>
    <t>Osteria Conchetta</t>
  </si>
  <si>
    <t>Via Conchetta, 8</t>
  </si>
  <si>
    <t>02/8372917</t>
  </si>
  <si>
    <t>menù "Rassicuro"</t>
  </si>
  <si>
    <t>Viale Piero e Alberto Pirelli, 10</t>
  </si>
  <si>
    <t>Bicocca</t>
  </si>
  <si>
    <t>Via San Gregorio, 29</t>
  </si>
  <si>
    <t>1 antipasto,1 primo,1 secondo, 1 dolce</t>
  </si>
  <si>
    <t>Piazzale Lagosta, 7 - Mercato Isola</t>
  </si>
  <si>
    <t>antipasto, primo e secondo (no salumi e formaggi, no verdure)</t>
  </si>
  <si>
    <t>menù degustazione Uchiumi</t>
  </si>
  <si>
    <t xml:space="preserve">Menù degustazione Origini e Tradizioni </t>
  </si>
  <si>
    <t>3 piatti salati (no sfizi di apertura o sole verdure) + dolce</t>
  </si>
  <si>
    <t>antipasto, primo e secondo (no piatti semplici e di sole verdure)</t>
  </si>
  <si>
    <t>1 cocktail signature + 3 tapas</t>
  </si>
  <si>
    <t>Via Varesina, 162 c/o Certosa District</t>
  </si>
  <si>
    <t>Bugan Coffee Lab</t>
  </si>
  <si>
    <t>Via Vigevano, 15</t>
  </si>
  <si>
    <t>339/8943065</t>
  </si>
  <si>
    <t>351/8731109</t>
  </si>
  <si>
    <t>Via Donatello, 22</t>
  </si>
  <si>
    <t>Bar Affori</t>
  </si>
  <si>
    <t>Via Alessandro Astesani, 15</t>
  </si>
  <si>
    <t>02/66203236</t>
  </si>
  <si>
    <t>Hygge</t>
  </si>
  <si>
    <t>Via Giuseppe Sapeto, 3</t>
  </si>
  <si>
    <t>2 piatti principali (no sole verdure), 1 dolce,1 specialty coffee (no espresso)</t>
  </si>
  <si>
    <t>La Corte - Romanengo 1780</t>
  </si>
  <si>
    <t>Procaccini Milano</t>
  </si>
  <si>
    <t>romana</t>
  </si>
  <si>
    <t>Giulio Pane e Ojo</t>
  </si>
  <si>
    <t>Via Festa del Perdono, 1</t>
  </si>
  <si>
    <t>02/92863557</t>
  </si>
  <si>
    <t>02/22224091</t>
  </si>
  <si>
    <t>Ba Restaurant</t>
  </si>
  <si>
    <t>Cous-Cous</t>
  </si>
  <si>
    <t>Il Luogo - Aimo e Nadia</t>
  </si>
  <si>
    <t>Mesté - vino e fornelli</t>
  </si>
  <si>
    <t>Temp enoteca</t>
  </si>
  <si>
    <t>Tone - Bread Lab.</t>
  </si>
  <si>
    <t>U Barba - osteria genovese</t>
  </si>
  <si>
    <t>Velavevodetto</t>
  </si>
  <si>
    <t>negozio con cucina</t>
  </si>
  <si>
    <t>bakery / bistrot</t>
  </si>
  <si>
    <t>Viale Tunisia</t>
  </si>
  <si>
    <t>Cadorna</t>
  </si>
  <si>
    <t>Via Francesco Cherubini, 3</t>
  </si>
  <si>
    <t>Via Panfilo Castaldi, 35</t>
  </si>
  <si>
    <t>Via Caminadella, 23</t>
  </si>
  <si>
    <t>Via Luigi Porro Lambertenghi, 15</t>
  </si>
  <si>
    <t>Via Corrado II il Salico, 12</t>
  </si>
  <si>
    <t>Morivione</t>
  </si>
  <si>
    <t>Crescenzago</t>
  </si>
  <si>
    <t>Via della Commenda, 25</t>
  </si>
  <si>
    <t>NoLo</t>
  </si>
  <si>
    <t>Via Privata Antonio Meucci, 50</t>
  </si>
  <si>
    <t>Via Tiziano, 13</t>
  </si>
  <si>
    <t>Via Stampa, 8</t>
  </si>
  <si>
    <t>Piazza San Luigi, 5</t>
  </si>
  <si>
    <t>Via Bonaventura Zumbini, 39</t>
  </si>
  <si>
    <t>Barona</t>
  </si>
  <si>
    <t>Via Carlo Ravizza, 8</t>
  </si>
  <si>
    <t>Via Ripa di Porta Ticinese, 67</t>
  </si>
  <si>
    <t>Via Lodovico Muratori, 10</t>
  </si>
  <si>
    <t>Largo Bellintani, 1</t>
  </si>
  <si>
    <t>02/47704656</t>
  </si>
  <si>
    <t>02/87380711 - 351/5166021</t>
  </si>
  <si>
    <t>02/38269862 - 347/5188347</t>
  </si>
  <si>
    <t>02/2940 0076</t>
  </si>
  <si>
    <t>02/39288619</t>
  </si>
  <si>
    <t>346/8061538</t>
  </si>
  <si>
    <t>02/77091277</t>
  </si>
  <si>
    <t>345/2182186</t>
  </si>
  <si>
    <t>02/ 545 5475</t>
  </si>
  <si>
    <t>02/38584247</t>
  </si>
  <si>
    <t>331/7119559</t>
  </si>
  <si>
    <t>331/7144601</t>
  </si>
  <si>
    <t>02/5456189 - 340/5806641</t>
  </si>
  <si>
    <t>55</t>
  </si>
  <si>
    <t>12</t>
  </si>
  <si>
    <t>22</t>
  </si>
  <si>
    <t>70</t>
  </si>
  <si>
    <t>65</t>
  </si>
  <si>
    <t>165</t>
  </si>
  <si>
    <t>190</t>
  </si>
  <si>
    <t>110</t>
  </si>
  <si>
    <t>v.2026</t>
  </si>
  <si>
    <t>1 espresso, 1 caffè specialty con altro metodo d'infusione, 1 cappuccino, 1 lievito</t>
  </si>
  <si>
    <t>1 caffè, 1 cappuccino, 1 caffè specialty, 1 lievito</t>
  </si>
  <si>
    <t>2 caffè, 1 cappuccino, 1 caffè specialty, 1 lievito</t>
  </si>
  <si>
    <t>Nonna Maria Osteria Romana</t>
  </si>
  <si>
    <t>Via Macedonio Melloni, 9</t>
  </si>
  <si>
    <t>02/49436609</t>
  </si>
  <si>
    <t>Felice a Testaccio</t>
  </si>
  <si>
    <t>Via del Torchio, 4</t>
  </si>
  <si>
    <t>02/80506690</t>
  </si>
  <si>
    <t>antipasto, primo, secondo, dolce</t>
  </si>
  <si>
    <t>menù degustazione contemporaneità</t>
  </si>
  <si>
    <t xml:space="preserve">menù vegetariano </t>
  </si>
  <si>
    <t>menù da 3 piatti+dolce</t>
  </si>
  <si>
    <t>menù degustazione mare o terra</t>
  </si>
  <si>
    <t>menù degustazione classico /contemporaneo</t>
  </si>
  <si>
    <t>menù degustazione da 4 portate</t>
  </si>
  <si>
    <t>1 handrolls, 1 altro piatto del menù (no vegetariano), 1 sushi, 1 dolce</t>
  </si>
  <si>
    <t>1 primo, 1 secondo, 1 antipasto o 1 dolce</t>
  </si>
  <si>
    <t>due piatti salati (no sezione antipasti) + 1 dolce</t>
  </si>
  <si>
    <t>1 piatto dalla gastronomia (no verdure stufate, no piatti salumi e formaggi), 2 piatti dalla cucina</t>
  </si>
  <si>
    <t>2 piatti salati (1 piatto di pasta e un secondo, oppure 1 antipasto e un primo; no solo verdure e formaggi e salumi) + 1 dolce</t>
  </si>
  <si>
    <t>Ba' Ghetto</t>
  </si>
  <si>
    <t>Via Sardegna, 45</t>
  </si>
  <si>
    <t>02/4694643</t>
  </si>
  <si>
    <t>romano - ebraica</t>
  </si>
  <si>
    <t xml:space="preserve">1 antipasto,1 primo, 1 secondo, 1 dolce (della tradizione romana, quindi non hummus, no pinsa,no risotto, né piatti di altre tradizioni) </t>
  </si>
  <si>
    <t>menù esattezza</t>
  </si>
  <si>
    <t>Fernanda D'Arienzo</t>
  </si>
  <si>
    <t>1 piatto a scelta (possibilmente non semplice), 1 kachapuri, 1 dolce</t>
  </si>
  <si>
    <t>Domiziana Caliari</t>
  </si>
  <si>
    <t>Giulia Pietracaprina</t>
  </si>
  <si>
    <t>menù degustazione 75€</t>
  </si>
  <si>
    <t>1 calice di vino e due preparazioni salate (non cose semplici)</t>
  </si>
  <si>
    <t>menù da 45€</t>
  </si>
  <si>
    <t>menù degustazione da 90€</t>
  </si>
  <si>
    <t>Raffaella Fasano</t>
  </si>
  <si>
    <t>William Gray</t>
  </si>
  <si>
    <t>Angela Iacono</t>
  </si>
  <si>
    <t>1 antipasto (no verdure), 1 primo, 1 secondo (no verdure), 1 dolce</t>
  </si>
  <si>
    <t>Giulia Maria Bellucci</t>
  </si>
  <si>
    <t>Maria Vittoria Ottaviano</t>
  </si>
  <si>
    <t>Ilaria Leone</t>
  </si>
  <si>
    <t>La Mary</t>
  </si>
  <si>
    <t>Via Marcona, 70</t>
  </si>
  <si>
    <t>02/36599229</t>
  </si>
  <si>
    <t>Pantera Pizza Rustica</t>
  </si>
  <si>
    <t>pizzeria al taglio</t>
  </si>
  <si>
    <t>Via Giacomo Watt, 2</t>
  </si>
  <si>
    <t>345/2576231</t>
  </si>
  <si>
    <t>Sfoglia Pastry Lab</t>
  </si>
  <si>
    <t>Via Nicola Piccinni, 3</t>
  </si>
  <si>
    <t>345/1662856</t>
  </si>
  <si>
    <t>Bonci - pizza in teglia</t>
  </si>
  <si>
    <t>340/8223165</t>
  </si>
  <si>
    <t>2 piatti cucinati (non cose semplici di sole verdure)+ 1 calice di vino</t>
  </si>
  <si>
    <t>1 tagliere misto di formaggi e salumi+1calice di vino</t>
  </si>
  <si>
    <t>Antonio Landi</t>
  </si>
  <si>
    <t>Momenteeria</t>
  </si>
  <si>
    <t>Via Giosuè Carducci, 38</t>
  </si>
  <si>
    <t>02/36532185</t>
  </si>
  <si>
    <t>1 piatto da condividere (no rape, no kimchi), 1 ramen, 1 bao. Non tutto vegetariano</t>
  </si>
  <si>
    <t>Alice D'Adda</t>
  </si>
  <si>
    <t>Coffee Studio 7gr.</t>
  </si>
  <si>
    <t>Corso Venezia, 31</t>
  </si>
  <si>
    <t>02/38238682</t>
  </si>
  <si>
    <t>La Bruma</t>
  </si>
  <si>
    <t>bakery</t>
  </si>
  <si>
    <t>Piazza Vetra, 21</t>
  </si>
  <si>
    <t>1 espresso specialty, 1 caffè specialty con altro metodo di estrazione, 1 cappuccino, 1 lievito</t>
  </si>
  <si>
    <t xml:space="preserve">Rito </t>
  </si>
  <si>
    <t>Via Achille Maiocchi, 18</t>
  </si>
  <si>
    <t>02/38241909</t>
  </si>
  <si>
    <t>Due Forni</t>
  </si>
  <si>
    <t>Viale Monte Nero, 23</t>
  </si>
  <si>
    <t>02/09978710</t>
  </si>
  <si>
    <t>1 fritto, 1 pizza stile romano, 1 pizza stile contemporaneo, farciture diverse</t>
  </si>
  <si>
    <t xml:space="preserve">due piatti (no stuzzichini o piatti semplici)+ calice di vino </t>
  </si>
  <si>
    <t>Piazza Alvar Aalto</t>
  </si>
  <si>
    <t>Via Ascanio Sforza, 9</t>
  </si>
  <si>
    <t>Piazzale Carlo Maciachini, 18</t>
  </si>
  <si>
    <t>Ripa di Porta Ticinese, 43</t>
  </si>
  <si>
    <t>Via Alessandro Manzoni, 5</t>
  </si>
  <si>
    <t>GPS</t>
  </si>
  <si>
    <t>45.472113239686124, 9.157788011970972</t>
  </si>
  <si>
    <t>45.4577024810705, 9.212648146393095</t>
  </si>
  <si>
    <t>Via Giovanni Paisiello, 28</t>
  </si>
  <si>
    <t>45.48178824491754, 9.220205980253644</t>
  </si>
  <si>
    <t>Futura</t>
  </si>
  <si>
    <t>Via Pietro Borsieri, 28</t>
  </si>
  <si>
    <t>342/1405728</t>
  </si>
  <si>
    <t>Sasà Martucci</t>
  </si>
  <si>
    <t>Via Romolo Gessi, 12</t>
  </si>
  <si>
    <t>02/35997778</t>
  </si>
  <si>
    <t>1 fritto (no patatine), 2 pizze diverse, 1 dolce</t>
  </si>
  <si>
    <t>Pappare' Milano Symbiosis</t>
  </si>
  <si>
    <t>caffetteria / brunch</t>
  </si>
  <si>
    <t>Via Orobia, 16</t>
  </si>
  <si>
    <t>Fondazione Prada</t>
  </si>
  <si>
    <t>351/9645683</t>
  </si>
  <si>
    <t>Fatum</t>
  </si>
  <si>
    <t>Via Andrea Solari, 6</t>
  </si>
  <si>
    <t xml:space="preserve">n.d. </t>
  </si>
  <si>
    <t>Da Franz</t>
  </si>
  <si>
    <t xml:space="preserve">vineria con cucina </t>
  </si>
  <si>
    <t>Via Ascanio Sforza, 47</t>
  </si>
  <si>
    <t>Alzaia Naviglio Pavese</t>
  </si>
  <si>
    <t>3 piatti salati e 1 calice di vino</t>
  </si>
  <si>
    <t xml:space="preserve">Yajiri Maison </t>
  </si>
  <si>
    <t>Via Carlo Goldoni 36</t>
  </si>
  <si>
    <t>Piazza Tricolore</t>
  </si>
  <si>
    <t>351/3172407</t>
  </si>
  <si>
    <t>Trattoria da Panciroli</t>
  </si>
  <si>
    <t>Via Gaudenzio Ferrari, 1</t>
  </si>
  <si>
    <t>Darsena</t>
  </si>
  <si>
    <t>02/38260809</t>
  </si>
  <si>
    <t>1 antipasto,1 primo, 1 secondo, 1 dolce</t>
  </si>
  <si>
    <t>Corso Italia, 3</t>
  </si>
  <si>
    <t>45.4596998373381, 9.188318879752167</t>
  </si>
  <si>
    <t>street food dal mondo</t>
  </si>
  <si>
    <t>Corso Italia, 44</t>
  </si>
  <si>
    <t>340/1201336</t>
  </si>
  <si>
    <t xml:space="preserve">PAS - a vegetarian trip </t>
  </si>
  <si>
    <t>45.45580083288939, 9.187218264086697</t>
  </si>
  <si>
    <t>45.47529435352009, 9.216154882209004</t>
  </si>
  <si>
    <t>45.47543999195287, 9.21405778895491</t>
  </si>
  <si>
    <t>1 piatto “per cominciare” (no ostriche),1 piatto “a seguire”, 1 piatto “speciali del giorno</t>
  </si>
  <si>
    <t>1 calice di vino e due preparazioni (no semplici cetriolini e giardiniera, ma cose più strutturate)</t>
  </si>
  <si>
    <t>tre piatti salati (non piatti semplici e di sole verdure; due dalla sezione paradiso e uno da quella inferno) + dolce</t>
  </si>
  <si>
    <t>1 supplì, 1 margherita, 1 pizza speciale, 1 pain au chocolat</t>
  </si>
  <si>
    <t>1 antipasto (no salumi e sole verdure), 2 pizze da scegliere tra le classiche, le stagionali e le contemporanee, diverse dall’anno prima</t>
  </si>
  <si>
    <t>La Cucina del Mìbabbo</t>
  </si>
  <si>
    <t>Osteria della Stazione l'Originale</t>
  </si>
  <si>
    <t>Alberto Magri</t>
  </si>
  <si>
    <t>Via Vincenzo Cappelli, 2</t>
  </si>
  <si>
    <t>Corso Como</t>
  </si>
  <si>
    <t>389/2337666</t>
  </si>
  <si>
    <t>Via Giovanni Battista Pirelli, 36</t>
  </si>
  <si>
    <t>Via Paolo Lomazzo, 20</t>
  </si>
  <si>
    <t>China Town</t>
  </si>
  <si>
    <t>Corso San Gottargo, 1</t>
  </si>
  <si>
    <t>Burbero</t>
  </si>
  <si>
    <t>wine bar con cucina</t>
  </si>
  <si>
    <t>Via Pioppette, 3</t>
  </si>
  <si>
    <t>45.457673495022625, 9.181482874531815</t>
  </si>
  <si>
    <t>Via Vincenzo Cappelli, 3</t>
  </si>
  <si>
    <t>Piazza Gae Aulenti</t>
  </si>
  <si>
    <t>Piazza Ventiquattro Maggio</t>
  </si>
  <si>
    <t>menù Sine Confine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</si>
</sst>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0" fontId="6" fillId="0" borderId="0"/>
    <xf numFmtId="0" fontId="3" fillId="0" borderId="0"/>
    <xf numFmtId="0" fontId="12" fillId="0" borderId="0"/>
    <xf numFmtId="0" fontId="3" fillId="0" borderId="0"/>
    <xf numFmtId="0" fontId="5" fillId="0" borderId="0"/>
    <xf numFmtId="0" fontId="7" fillId="0" borderId="0"/>
    <xf numFmtId="0" fontId="10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7" applyFont="1" applyAlignment="1">
      <alignment horizontal="center" vertical="center" wrapText="1"/>
    </xf>
    <xf numFmtId="0" fontId="3" fillId="0" borderId="0" xfId="7" applyFont="1" applyAlignment="1">
      <alignment horizontal="left" vertical="center" wrapText="1"/>
    </xf>
    <xf numFmtId="0" fontId="1" fillId="6" borderId="0" xfId="7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0" xfId="8" applyFont="1" applyAlignment="1">
      <alignment horizontal="center" wrapText="1"/>
    </xf>
    <xf numFmtId="0" fontId="8" fillId="0" borderId="0" xfId="8" applyFont="1" applyAlignment="1">
      <alignment wrapText="1"/>
    </xf>
    <xf numFmtId="0" fontId="2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9" fillId="8" borderId="1" xfId="8" applyFont="1" applyFill="1" applyBorder="1" applyAlignment="1">
      <alignment horizontal="center" wrapText="1"/>
    </xf>
    <xf numFmtId="0" fontId="1" fillId="9" borderId="0" xfId="0" applyFont="1" applyFill="1" applyAlignment="1">
      <alignment horizontal="center" vertical="center"/>
    </xf>
    <xf numFmtId="0" fontId="8" fillId="8" borderId="0" xfId="8" applyFont="1" applyFill="1" applyAlignment="1">
      <alignment horizontal="center" wrapText="1"/>
    </xf>
    <xf numFmtId="0" fontId="8" fillId="8" borderId="0" xfId="8" applyFont="1" applyFill="1" applyAlignment="1">
      <alignment wrapText="1"/>
    </xf>
    <xf numFmtId="0" fontId="14" fillId="8" borderId="0" xfId="0" applyFont="1" applyFill="1" applyAlignment="1">
      <alignment horizontal="center" vertical="center"/>
    </xf>
    <xf numFmtId="0" fontId="8" fillId="10" borderId="0" xfId="8" applyFont="1" applyFill="1" applyAlignment="1">
      <alignment horizontal="center" wrapText="1"/>
    </xf>
    <xf numFmtId="0" fontId="8" fillId="10" borderId="0" xfId="8" applyFont="1" applyFill="1" applyAlignment="1">
      <alignment wrapText="1"/>
    </xf>
    <xf numFmtId="0" fontId="14" fillId="10" borderId="0" xfId="0" applyFont="1" applyFill="1" applyAlignment="1">
      <alignment horizontal="center" vertical="center"/>
    </xf>
    <xf numFmtId="0" fontId="9" fillId="11" borderId="5" xfId="9" applyFont="1" applyFill="1" applyBorder="1" applyAlignment="1">
      <alignment horizontal="center"/>
    </xf>
    <xf numFmtId="0" fontId="9" fillId="11" borderId="5" xfId="9" applyFont="1" applyFill="1" applyBorder="1" applyAlignment="1">
      <alignment horizontal="left"/>
    </xf>
    <xf numFmtId="0" fontId="9" fillId="11" borderId="5" xfId="8" applyFont="1" applyFill="1" applyBorder="1" applyAlignment="1">
      <alignment horizontal="center"/>
    </xf>
    <xf numFmtId="0" fontId="15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</cellXfs>
  <cellStyles count="22">
    <cellStyle name="Collegamento ipertestuale 2" xfId="1" xr:uid="{2788721C-0ABA-497F-9AE6-A95B78DB2F1D}"/>
    <cellStyle name="Migliaia 2" xfId="2" xr:uid="{B9B463EB-B348-49B7-837C-A24D24CE8926}"/>
    <cellStyle name="Normale" xfId="0" builtinId="0"/>
    <cellStyle name="Normale 2" xfId="3" xr:uid="{9178685C-F2D9-4816-90AA-153EBB0FE6AA}"/>
    <cellStyle name="Normale 2 2" xfId="4" xr:uid="{4959F407-72A3-44EC-9341-D0089B0EAF10}"/>
    <cellStyle name="Normale 3" xfId="5" xr:uid="{8EE0F8BA-4D41-43DC-B8B2-E2AF07BEA1A6}"/>
    <cellStyle name="Normale 4" xfId="6" xr:uid="{F56C21B5-581A-4B4A-8445-321A0C48D67E}"/>
    <cellStyle name="Normale_Ristoranti" xfId="7" xr:uid="{9F3F8766-7C02-41FF-BE92-E5661FD7A6A5}"/>
    <cellStyle name="Normale_Tavole e pause golose" xfId="8" xr:uid="{2799C0EF-28BD-4F88-9AAA-2B4301276974}"/>
    <cellStyle name="Normale_Tavole e pause golose_1" xfId="9" xr:uid="{1E888B8C-CB17-4A4A-96C7-D5E1BB55CC32}"/>
    <cellStyle name="Percentuale 2" xfId="10" xr:uid="{D8694C04-A1F6-44C3-A748-DF03D5B96913}"/>
    <cellStyle name="Percentuale 2 2" xfId="11" xr:uid="{4D72DCD8-4463-4957-B457-C598A1316068}"/>
    <cellStyle name="Percentuale 2 2 2" xfId="12" xr:uid="{39B3C725-E486-46ED-8BBA-42C65BFF9B67}"/>
    <cellStyle name="Percentuale 2 2 2 2" xfId="13" xr:uid="{B9CB2C74-5AC0-4A5A-9627-EA63C805D09E}"/>
    <cellStyle name="Percentuale 2 3" xfId="14" xr:uid="{A1AF4389-5E49-470B-8903-6DA0ADBDD320}"/>
    <cellStyle name="Percentuale 2 3 2" xfId="15" xr:uid="{11E03A72-64D7-46B2-9103-6E4114A4AF9D}"/>
    <cellStyle name="Percentuale 3" xfId="16" xr:uid="{38B9AE97-BEA2-428C-8201-6B9385D435E3}"/>
    <cellStyle name="Percentuale 3 2" xfId="17" xr:uid="{016E4612-E87C-4314-928D-598D3F079DE2}"/>
    <cellStyle name="Percentuale 3 2 2" xfId="18" xr:uid="{4CC0E7F9-2ADD-48A5-9BBF-62483E77D123}"/>
    <cellStyle name="Percentuale 3 2 2 2" xfId="19" xr:uid="{7E3426E9-D042-4615-BED8-B498E8A11884}"/>
    <cellStyle name="Percentuale 3 3" xfId="20" xr:uid="{EA813C11-AC3A-4BC0-B74A-F5F16D5606CB}"/>
    <cellStyle name="Percentuale 3 3 2" xfId="21" xr:uid="{876ABEA9-E37B-4A1B-8A7E-066CDD034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84B6-1CBC-4DBA-8DB0-4B5AAE0841E6}">
  <sheetPr>
    <pageSetUpPr fitToPage="1"/>
  </sheetPr>
  <dimension ref="A1:XFD442"/>
  <sheetViews>
    <sheetView tabSelected="1" zoomScale="110" zoomScaleNormal="110" workbookViewId="0">
      <pane ySplit="7" topLeftCell="A168" activePane="bottomLeft" state="frozen"/>
      <selection pane="bottomLeft" activeCell="A183" sqref="A183:XFD183"/>
    </sheetView>
  </sheetViews>
  <sheetFormatPr defaultColWidth="9.140625" defaultRowHeight="14.25" customHeight="1" x14ac:dyDescent="0.2"/>
  <cols>
    <col min="1" max="1" width="4.140625" style="2" customWidth="1"/>
    <col min="2" max="3" width="6.28515625" style="2" customWidth="1"/>
    <col min="4" max="4" width="35.140625" style="3" customWidth="1"/>
    <col min="5" max="5" width="24.140625" style="2" customWidth="1"/>
    <col min="6" max="6" width="25.28515625" style="3" customWidth="1"/>
    <col min="7" max="7" width="16.7109375" style="2" customWidth="1"/>
    <col min="8" max="8" width="12.28515625" style="2" customWidth="1"/>
    <col min="9" max="9" width="16.140625" style="2" customWidth="1"/>
    <col min="10" max="11" width="8.28515625" style="2" customWidth="1"/>
    <col min="12" max="12" width="10.140625" style="14" customWidth="1"/>
    <col min="13" max="13" width="29" style="15" customWidth="1"/>
    <col min="14" max="14" width="25.28515625" style="3" customWidth="1"/>
    <col min="15" max="15" width="7.140625" style="2" customWidth="1"/>
    <col min="16" max="16" width="7" style="2" customWidth="1"/>
    <col min="17" max="17" width="12.28515625" style="2" customWidth="1"/>
    <col min="18" max="18" width="7.42578125" style="2" customWidth="1"/>
    <col min="19" max="19" width="9.28515625" style="2" customWidth="1"/>
    <col min="20" max="20" width="8.28515625" style="2" customWidth="1"/>
    <col min="21" max="21" width="5.7109375" style="2" customWidth="1"/>
    <col min="22" max="27" width="9.42578125" style="2" bestFit="1" customWidth="1"/>
    <col min="28" max="28" width="10.85546875" style="2" bestFit="1" customWidth="1"/>
    <col min="29" max="29" width="7" style="2" customWidth="1"/>
    <col min="30" max="30" width="21.85546875" style="2" customWidth="1"/>
    <col min="31" max="31" width="27.28515625" style="2" customWidth="1"/>
    <col min="32" max="32" width="14.28515625" style="2" customWidth="1"/>
    <col min="33" max="33" width="19.85546875" style="2" customWidth="1"/>
    <col min="34" max="34" width="15.140625" style="2" customWidth="1"/>
    <col min="35" max="35" width="18.140625" style="2" customWidth="1"/>
    <col min="36" max="16384" width="9.140625" style="3"/>
  </cols>
  <sheetData>
    <row r="1" spans="1:35" ht="14.25" customHeight="1" x14ac:dyDescent="0.2">
      <c r="F1" s="2"/>
    </row>
    <row r="2" spans="1:35" ht="14.25" customHeight="1" x14ac:dyDescent="0.2">
      <c r="D2" s="17" t="s">
        <v>8</v>
      </c>
      <c r="E2" s="4" t="s">
        <v>26</v>
      </c>
      <c r="F2" s="4" t="s">
        <v>27</v>
      </c>
      <c r="G2" s="4" t="s">
        <v>28</v>
      </c>
      <c r="H2" s="4" t="s">
        <v>22</v>
      </c>
      <c r="I2" s="5" t="s">
        <v>9</v>
      </c>
      <c r="J2" s="6"/>
      <c r="K2" s="6"/>
      <c r="N2" s="22"/>
    </row>
    <row r="3" spans="1:35" ht="14.25" customHeight="1" x14ac:dyDescent="0.2">
      <c r="D3" s="3" t="s">
        <v>2</v>
      </c>
      <c r="E3" s="7">
        <f>+AH6</f>
        <v>52</v>
      </c>
      <c r="F3" s="7">
        <f>+AD6</f>
        <v>68</v>
      </c>
      <c r="G3" s="7">
        <f>+AF6</f>
        <v>51</v>
      </c>
      <c r="H3" s="7">
        <f>+E3-G3</f>
        <v>1</v>
      </c>
      <c r="I3" s="8" t="s">
        <v>10</v>
      </c>
      <c r="J3" s="23" t="s">
        <v>18</v>
      </c>
      <c r="K3" s="1" t="s">
        <v>21</v>
      </c>
    </row>
    <row r="4" spans="1:35" ht="14.25" customHeight="1" x14ac:dyDescent="0.25">
      <c r="D4" s="18" t="s">
        <v>3</v>
      </c>
      <c r="E4" s="9">
        <f>+AI6</f>
        <v>141</v>
      </c>
      <c r="F4" s="9">
        <f>+AE6</f>
        <v>133</v>
      </c>
      <c r="G4" s="9">
        <f>+AG6</f>
        <v>109</v>
      </c>
      <c r="H4" s="7">
        <f>+E4-G4</f>
        <v>32</v>
      </c>
      <c r="I4" s="24" t="s">
        <v>16</v>
      </c>
      <c r="J4" s="10" t="s">
        <v>17</v>
      </c>
      <c r="K4" s="16" t="s">
        <v>43</v>
      </c>
    </row>
    <row r="5" spans="1:35" ht="14.25" customHeight="1" x14ac:dyDescent="0.2">
      <c r="D5" s="19" t="s">
        <v>12</v>
      </c>
      <c r="E5" s="11">
        <f>+E3+E4</f>
        <v>193</v>
      </c>
      <c r="F5" s="11">
        <f>+F3+F4</f>
        <v>201</v>
      </c>
      <c r="G5" s="11">
        <f>+G3+G4</f>
        <v>160</v>
      </c>
      <c r="H5" s="11">
        <f>+H3+H4</f>
        <v>33</v>
      </c>
      <c r="I5" s="25" t="s">
        <v>43</v>
      </c>
      <c r="J5" s="12"/>
      <c r="K5" s="12"/>
      <c r="N5" s="13"/>
      <c r="R5" s="12"/>
      <c r="S5" s="12">
        <f t="shared" ref="S5:AB5" si="0">SUM(S8:S1884)</f>
        <v>25</v>
      </c>
      <c r="T5" s="12">
        <f t="shared" si="0"/>
        <v>10</v>
      </c>
      <c r="U5" s="12">
        <f t="shared" si="0"/>
        <v>21</v>
      </c>
      <c r="V5" s="12">
        <f t="shared" si="0"/>
        <v>6</v>
      </c>
      <c r="W5" s="12">
        <f t="shared" si="0"/>
        <v>3</v>
      </c>
      <c r="X5" s="12">
        <f t="shared" si="0"/>
        <v>22</v>
      </c>
      <c r="Y5" s="12">
        <f t="shared" si="0"/>
        <v>4</v>
      </c>
      <c r="Z5" s="12">
        <f t="shared" si="0"/>
        <v>17</v>
      </c>
      <c r="AA5" s="12">
        <f t="shared" si="0"/>
        <v>6</v>
      </c>
      <c r="AB5" s="12">
        <f t="shared" si="0"/>
        <v>8</v>
      </c>
      <c r="AC5" s="12"/>
      <c r="AD5" s="12"/>
      <c r="AE5" s="12"/>
      <c r="AF5" s="12"/>
      <c r="AG5" s="12"/>
    </row>
    <row r="6" spans="1:35" ht="14.25" customHeight="1" x14ac:dyDescent="0.2">
      <c r="F6" s="2"/>
      <c r="S6" s="2" t="s">
        <v>15</v>
      </c>
      <c r="T6" s="2" t="s">
        <v>15</v>
      </c>
      <c r="U6" s="2" t="s">
        <v>15</v>
      </c>
      <c r="V6" s="2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B6" s="2" t="s">
        <v>15</v>
      </c>
      <c r="AD6" s="2">
        <f t="shared" ref="AD6:AI6" si="1">SUM(AD8:AD1883)</f>
        <v>68</v>
      </c>
      <c r="AE6" s="2">
        <f t="shared" si="1"/>
        <v>133</v>
      </c>
      <c r="AF6" s="2">
        <f t="shared" si="1"/>
        <v>51</v>
      </c>
      <c r="AG6" s="2">
        <f t="shared" si="1"/>
        <v>109</v>
      </c>
      <c r="AH6" s="2">
        <f t="shared" si="1"/>
        <v>52</v>
      </c>
      <c r="AI6" s="2">
        <f t="shared" si="1"/>
        <v>141</v>
      </c>
    </row>
    <row r="7" spans="1:35" s="37" customFormat="1" ht="14.25" customHeight="1" x14ac:dyDescent="0.25">
      <c r="A7" s="32" t="s">
        <v>701</v>
      </c>
      <c r="B7" s="32" t="s">
        <v>698</v>
      </c>
      <c r="C7" s="32" t="s">
        <v>699</v>
      </c>
      <c r="D7" s="33" t="s">
        <v>13</v>
      </c>
      <c r="E7" s="33" t="s">
        <v>25</v>
      </c>
      <c r="F7" s="33" t="s">
        <v>14</v>
      </c>
      <c r="G7" s="33" t="s">
        <v>20</v>
      </c>
      <c r="H7" s="33" t="s">
        <v>45</v>
      </c>
      <c r="I7" s="32" t="s">
        <v>11</v>
      </c>
      <c r="J7" s="32" t="s">
        <v>42</v>
      </c>
      <c r="K7" s="32" t="s">
        <v>852</v>
      </c>
      <c r="L7" s="32" t="s">
        <v>19</v>
      </c>
      <c r="M7" s="33" t="s">
        <v>700</v>
      </c>
      <c r="N7" s="34" t="s">
        <v>0</v>
      </c>
      <c r="O7" s="33" t="s">
        <v>1</v>
      </c>
      <c r="P7" s="33" t="s">
        <v>2</v>
      </c>
      <c r="Q7" s="33" t="s">
        <v>935</v>
      </c>
      <c r="R7" s="36"/>
      <c r="S7" s="36">
        <v>1</v>
      </c>
      <c r="T7" s="36">
        <f>+S7+1</f>
        <v>2</v>
      </c>
      <c r="U7" s="36">
        <f t="shared" ref="U7:AB7" si="2">+T7+1</f>
        <v>3</v>
      </c>
      <c r="V7" s="36">
        <f t="shared" si="2"/>
        <v>4</v>
      </c>
      <c r="W7" s="36">
        <f t="shared" si="2"/>
        <v>5</v>
      </c>
      <c r="X7" s="36">
        <f t="shared" si="2"/>
        <v>6</v>
      </c>
      <c r="Y7" s="36">
        <f t="shared" si="2"/>
        <v>7</v>
      </c>
      <c r="Z7" s="36">
        <f t="shared" si="2"/>
        <v>8</v>
      </c>
      <c r="AA7" s="36">
        <f t="shared" si="2"/>
        <v>9</v>
      </c>
      <c r="AB7" s="36">
        <f t="shared" si="2"/>
        <v>10</v>
      </c>
      <c r="AC7" s="36"/>
      <c r="AD7" s="36" t="s">
        <v>23</v>
      </c>
      <c r="AE7" s="36" t="s">
        <v>24</v>
      </c>
      <c r="AF7" s="36" t="s">
        <v>4</v>
      </c>
      <c r="AG7" s="36" t="s">
        <v>5</v>
      </c>
      <c r="AH7" s="36" t="s">
        <v>6</v>
      </c>
      <c r="AI7" s="36" t="s">
        <v>7</v>
      </c>
    </row>
    <row r="8" spans="1:35" ht="14.25" customHeight="1" x14ac:dyDescent="0.25">
      <c r="A8" s="29">
        <v>0</v>
      </c>
      <c r="B8" s="29">
        <v>1</v>
      </c>
      <c r="C8" s="29">
        <v>1</v>
      </c>
      <c r="D8" s="30" t="s">
        <v>451</v>
      </c>
      <c r="E8" s="30" t="s">
        <v>260</v>
      </c>
      <c r="F8" s="30" t="s">
        <v>470</v>
      </c>
      <c r="G8" s="30" t="s">
        <v>96</v>
      </c>
      <c r="H8" s="30" t="s">
        <v>165</v>
      </c>
      <c r="I8" s="29" t="s">
        <v>452</v>
      </c>
      <c r="J8" s="29">
        <v>3</v>
      </c>
      <c r="K8" s="29" t="s">
        <v>323</v>
      </c>
      <c r="L8" s="29">
        <v>260</v>
      </c>
      <c r="M8" s="30" t="s">
        <v>863</v>
      </c>
      <c r="N8" s="30" t="s">
        <v>889</v>
      </c>
      <c r="O8" s="31">
        <v>1</v>
      </c>
      <c r="P8" s="31"/>
      <c r="Q8" s="30"/>
      <c r="S8" s="2">
        <f>IF(J8=$S$7,1,0)</f>
        <v>0</v>
      </c>
      <c r="T8" s="2">
        <f>IF(J8=$T$7,1,0)</f>
        <v>0</v>
      </c>
      <c r="U8" s="2">
        <f>IF(J8=$U$7,1,0)</f>
        <v>1</v>
      </c>
      <c r="V8" s="2">
        <f>IF(J8=$V$7,1,0)</f>
        <v>0</v>
      </c>
      <c r="W8" s="2">
        <f>IF(J8=$W$7,1,0)</f>
        <v>0</v>
      </c>
      <c r="X8" s="2">
        <f>IF(J8=$X$7,1,0)</f>
        <v>0</v>
      </c>
      <c r="Y8" s="2">
        <f>IF(J8=$Y$7,1,0)</f>
        <v>0</v>
      </c>
      <c r="Z8" s="2">
        <f>IF(J8=$Z$7,1,0)</f>
        <v>0</v>
      </c>
      <c r="AA8" s="2">
        <f>IF(J8=$AA$7,1,0)</f>
        <v>0</v>
      </c>
      <c r="AB8" s="2">
        <f>IF(J8=$AB$7,1,0)</f>
        <v>0</v>
      </c>
      <c r="AD8" s="2">
        <f>+O8*P8</f>
        <v>0</v>
      </c>
      <c r="AE8" s="2">
        <f>O8*(1-P8)</f>
        <v>1</v>
      </c>
      <c r="AF8" s="2">
        <f t="shared" ref="AF8:AF10" si="3">+O8*P8*(1-A8)</f>
        <v>0</v>
      </c>
      <c r="AG8" s="2">
        <f t="shared" ref="AG8:AG10" si="4">O8*(1-P8)*(1-A8)</f>
        <v>1</v>
      </c>
      <c r="AH8" s="2">
        <f t="shared" ref="AH8:AH10" si="5">+P8*(1-A8)</f>
        <v>0</v>
      </c>
      <c r="AI8" s="2">
        <f t="shared" ref="AI8:AI10" si="6">+(1-A8)*(1-P8)</f>
        <v>1</v>
      </c>
    </row>
    <row r="9" spans="1:35" ht="14.25" customHeight="1" x14ac:dyDescent="0.25">
      <c r="A9" s="29">
        <v>0</v>
      </c>
      <c r="B9" s="29">
        <v>1</v>
      </c>
      <c r="C9" s="29">
        <v>1</v>
      </c>
      <c r="D9" s="30" t="s">
        <v>654</v>
      </c>
      <c r="E9" s="30" t="s">
        <v>260</v>
      </c>
      <c r="F9" s="30" t="s">
        <v>655</v>
      </c>
      <c r="G9" s="30" t="s">
        <v>93</v>
      </c>
      <c r="H9" s="30" t="s">
        <v>165</v>
      </c>
      <c r="I9" s="29" t="s">
        <v>656</v>
      </c>
      <c r="J9" s="29">
        <v>8</v>
      </c>
      <c r="K9" s="29" t="s">
        <v>328</v>
      </c>
      <c r="L9" s="29" t="s">
        <v>40</v>
      </c>
      <c r="M9" s="30" t="s">
        <v>40</v>
      </c>
      <c r="N9" s="30" t="s">
        <v>880</v>
      </c>
      <c r="O9" s="31">
        <v>1</v>
      </c>
      <c r="P9" s="31">
        <v>1</v>
      </c>
      <c r="Q9" s="30"/>
      <c r="S9" s="2">
        <f>IF(J9=$S$7,1,0)</f>
        <v>0</v>
      </c>
      <c r="T9" s="2">
        <f>IF(J9=$T$7,1,0)</f>
        <v>0</v>
      </c>
      <c r="U9" s="2">
        <f>IF(J9=$U$7,1,0)</f>
        <v>0</v>
      </c>
      <c r="V9" s="2">
        <f>IF(J9=$V$7,1,0)</f>
        <v>0</v>
      </c>
      <c r="W9" s="2">
        <f>IF(J9=$W$7,1,0)</f>
        <v>0</v>
      </c>
      <c r="X9" s="2">
        <f>IF(J9=$X$7,1,0)</f>
        <v>0</v>
      </c>
      <c r="Y9" s="2">
        <f>IF(J9=$Y$7,1,0)</f>
        <v>0</v>
      </c>
      <c r="Z9" s="2">
        <f>IF(J9=$Z$7,1,0)</f>
        <v>1</v>
      </c>
      <c r="AA9" s="2">
        <f>IF(J9=$AA$7,1,0)</f>
        <v>0</v>
      </c>
      <c r="AB9" s="2">
        <f>IF(J9=$AB$7,1,0)</f>
        <v>0</v>
      </c>
      <c r="AD9" s="2">
        <f>+O9*P9</f>
        <v>1</v>
      </c>
      <c r="AE9" s="2">
        <f>O9*(1-P9)</f>
        <v>0</v>
      </c>
      <c r="AF9" s="2">
        <f t="shared" si="3"/>
        <v>1</v>
      </c>
      <c r="AG9" s="2">
        <f t="shared" si="4"/>
        <v>0</v>
      </c>
      <c r="AH9" s="2">
        <f t="shared" si="5"/>
        <v>1</v>
      </c>
      <c r="AI9" s="2">
        <f t="shared" si="6"/>
        <v>0</v>
      </c>
    </row>
    <row r="10" spans="1:35" ht="14.25" customHeight="1" x14ac:dyDescent="0.25">
      <c r="A10" s="29">
        <v>0</v>
      </c>
      <c r="B10" s="29">
        <v>1</v>
      </c>
      <c r="C10" s="29">
        <v>1</v>
      </c>
      <c r="D10" s="30" t="s">
        <v>250</v>
      </c>
      <c r="E10" s="30" t="s">
        <v>260</v>
      </c>
      <c r="F10" s="30" t="s">
        <v>207</v>
      </c>
      <c r="G10" s="30" t="s">
        <v>313</v>
      </c>
      <c r="H10" s="30" t="s">
        <v>165</v>
      </c>
      <c r="I10" s="29" t="s">
        <v>208</v>
      </c>
      <c r="J10" s="29">
        <v>6</v>
      </c>
      <c r="K10" s="29" t="s">
        <v>327</v>
      </c>
      <c r="L10" s="29" t="s">
        <v>40</v>
      </c>
      <c r="M10" s="30" t="s">
        <v>40</v>
      </c>
      <c r="N10" s="30" t="s">
        <v>880</v>
      </c>
      <c r="O10" s="31">
        <v>1</v>
      </c>
      <c r="P10" s="31">
        <v>1</v>
      </c>
      <c r="Q10" s="30"/>
      <c r="S10" s="2">
        <f>IF(J10=$S$7,1,0)</f>
        <v>0</v>
      </c>
      <c r="T10" s="2">
        <f>IF(J10=$T$7,1,0)</f>
        <v>0</v>
      </c>
      <c r="U10" s="2">
        <f>IF(J10=$U$7,1,0)</f>
        <v>0</v>
      </c>
      <c r="V10" s="2">
        <f>IF(J10=$V$7,1,0)</f>
        <v>0</v>
      </c>
      <c r="W10" s="2">
        <f>IF(J10=$W$7,1,0)</f>
        <v>0</v>
      </c>
      <c r="X10" s="2">
        <f>IF(J10=$X$7,1,0)</f>
        <v>1</v>
      </c>
      <c r="Y10" s="2">
        <f>IF(J10=$Y$7,1,0)</f>
        <v>0</v>
      </c>
      <c r="Z10" s="2">
        <f>IF(J10=$Z$7,1,0)</f>
        <v>0</v>
      </c>
      <c r="AA10" s="2">
        <f>IF(J10=$AA$7,1,0)</f>
        <v>0</v>
      </c>
      <c r="AB10" s="2">
        <f>IF(J10=$AB$7,1,0)</f>
        <v>0</v>
      </c>
      <c r="AD10" s="2">
        <f>+O10*P10</f>
        <v>1</v>
      </c>
      <c r="AE10" s="2">
        <f>O10*(1-P10)</f>
        <v>0</v>
      </c>
      <c r="AF10" s="2">
        <f t="shared" si="3"/>
        <v>1</v>
      </c>
      <c r="AG10" s="2">
        <f t="shared" si="4"/>
        <v>0</v>
      </c>
      <c r="AH10" s="2">
        <f t="shared" si="5"/>
        <v>1</v>
      </c>
      <c r="AI10" s="2">
        <f t="shared" si="6"/>
        <v>0</v>
      </c>
    </row>
    <row r="11" spans="1:35" ht="14.25" customHeight="1" x14ac:dyDescent="0.25">
      <c r="A11" s="29">
        <v>0</v>
      </c>
      <c r="B11" s="29">
        <v>1</v>
      </c>
      <c r="C11" s="29">
        <v>1</v>
      </c>
      <c r="D11" s="30" t="s">
        <v>69</v>
      </c>
      <c r="E11" s="30" t="s">
        <v>260</v>
      </c>
      <c r="F11" s="30" t="s">
        <v>147</v>
      </c>
      <c r="G11" s="30" t="s">
        <v>103</v>
      </c>
      <c r="H11" s="30" t="s">
        <v>165</v>
      </c>
      <c r="I11" s="29" t="s">
        <v>192</v>
      </c>
      <c r="J11" s="29">
        <v>6</v>
      </c>
      <c r="K11" s="29" t="s">
        <v>323</v>
      </c>
      <c r="L11" s="29">
        <v>190</v>
      </c>
      <c r="M11" s="30" t="s">
        <v>206</v>
      </c>
      <c r="N11" s="30" t="s">
        <v>894</v>
      </c>
      <c r="O11" s="31">
        <v>1</v>
      </c>
      <c r="P11" s="31"/>
      <c r="Q11" s="30"/>
      <c r="S11" s="2">
        <f t="shared" ref="S11:S74" si="7">IF(J11=$S$7,1,0)</f>
        <v>0</v>
      </c>
      <c r="T11" s="2">
        <f t="shared" ref="T11:T74" si="8">IF(J11=$T$7,1,0)</f>
        <v>0</v>
      </c>
      <c r="U11" s="2">
        <f t="shared" ref="U11:U74" si="9">IF(J11=$U$7,1,0)</f>
        <v>0</v>
      </c>
      <c r="V11" s="2">
        <f t="shared" ref="V11:V74" si="10">IF(J11=$V$7,1,0)</f>
        <v>0</v>
      </c>
      <c r="W11" s="2">
        <f t="shared" ref="W11:W74" si="11">IF(J11=$W$7,1,0)</f>
        <v>0</v>
      </c>
      <c r="X11" s="2">
        <f t="shared" ref="X11:X74" si="12">IF(J11=$X$7,1,0)</f>
        <v>1</v>
      </c>
      <c r="Y11" s="2">
        <f t="shared" ref="Y11:Y74" si="13">IF(J11=$Y$7,1,0)</f>
        <v>0</v>
      </c>
      <c r="Z11" s="2">
        <f t="shared" ref="Z11:Z74" si="14">IF(J11=$Z$7,1,0)</f>
        <v>0</v>
      </c>
      <c r="AA11" s="2">
        <f t="shared" ref="AA11:AA74" si="15">IF(J11=$AA$7,1,0)</f>
        <v>0</v>
      </c>
      <c r="AB11" s="2">
        <f t="shared" ref="AB11:AB74" si="16">IF(J11=$AB$7,1,0)</f>
        <v>0</v>
      </c>
      <c r="AD11" s="2">
        <f t="shared" ref="AD11:AD74" si="17">+O11*P11</f>
        <v>0</v>
      </c>
      <c r="AE11" s="2">
        <f t="shared" ref="AE11:AE74" si="18">O11*(1-P11)</f>
        <v>1</v>
      </c>
      <c r="AF11" s="2">
        <f t="shared" ref="AF11:AF74" si="19">+O11*P11*(1-A11)</f>
        <v>0</v>
      </c>
      <c r="AG11" s="2">
        <f t="shared" ref="AG11:AG74" si="20">O11*(1-P11)*(1-A11)</f>
        <v>1</v>
      </c>
      <c r="AH11" s="2">
        <f t="shared" ref="AH11:AH74" si="21">+P11*(1-A11)</f>
        <v>0</v>
      </c>
      <c r="AI11" s="2">
        <f t="shared" ref="AI11:AI74" si="22">+(1-A11)*(1-P11)</f>
        <v>1</v>
      </c>
    </row>
    <row r="12" spans="1:35" ht="14.25" customHeight="1" x14ac:dyDescent="0.25">
      <c r="A12" s="29">
        <v>0</v>
      </c>
      <c r="B12" s="29">
        <v>1</v>
      </c>
      <c r="C12" s="29">
        <v>1</v>
      </c>
      <c r="D12" s="30" t="s">
        <v>758</v>
      </c>
      <c r="E12" s="30" t="s">
        <v>260</v>
      </c>
      <c r="F12" s="30" t="s">
        <v>515</v>
      </c>
      <c r="G12" s="30" t="s">
        <v>584</v>
      </c>
      <c r="H12" s="30" t="s">
        <v>165</v>
      </c>
      <c r="I12" s="29" t="s">
        <v>516</v>
      </c>
      <c r="J12" s="29">
        <v>1</v>
      </c>
      <c r="K12" s="29" t="s">
        <v>376</v>
      </c>
      <c r="L12" s="29">
        <v>160</v>
      </c>
      <c r="M12" s="30" t="s">
        <v>864</v>
      </c>
      <c r="N12" s="30" t="s">
        <v>889</v>
      </c>
      <c r="O12" s="31">
        <v>1</v>
      </c>
      <c r="P12" s="31"/>
      <c r="Q12" s="30"/>
      <c r="S12" s="2">
        <f t="shared" si="7"/>
        <v>1</v>
      </c>
      <c r="T12" s="2">
        <f t="shared" si="8"/>
        <v>0</v>
      </c>
      <c r="U12" s="2">
        <f t="shared" si="9"/>
        <v>0</v>
      </c>
      <c r="V12" s="2">
        <f t="shared" si="10"/>
        <v>0</v>
      </c>
      <c r="W12" s="2">
        <f t="shared" si="11"/>
        <v>0</v>
      </c>
      <c r="X12" s="2">
        <f t="shared" si="12"/>
        <v>0</v>
      </c>
      <c r="Y12" s="2">
        <f t="shared" si="13"/>
        <v>0</v>
      </c>
      <c r="Z12" s="2">
        <f t="shared" si="14"/>
        <v>0</v>
      </c>
      <c r="AA12" s="2">
        <f t="shared" si="15"/>
        <v>0</v>
      </c>
      <c r="AB12" s="2">
        <f t="shared" si="16"/>
        <v>0</v>
      </c>
      <c r="AD12" s="2">
        <f t="shared" si="17"/>
        <v>0</v>
      </c>
      <c r="AE12" s="2">
        <f t="shared" si="18"/>
        <v>1</v>
      </c>
      <c r="AF12" s="2">
        <f t="shared" si="19"/>
        <v>0</v>
      </c>
      <c r="AG12" s="2">
        <f t="shared" si="20"/>
        <v>1</v>
      </c>
      <c r="AH12" s="2">
        <f t="shared" si="21"/>
        <v>0</v>
      </c>
      <c r="AI12" s="2">
        <f t="shared" si="22"/>
        <v>1</v>
      </c>
    </row>
    <row r="13" spans="1:35" ht="14.25" customHeight="1" x14ac:dyDescent="0.25">
      <c r="A13" s="29">
        <v>0</v>
      </c>
      <c r="B13" s="29">
        <v>1</v>
      </c>
      <c r="C13" s="29">
        <v>1</v>
      </c>
      <c r="D13" s="30" t="s">
        <v>802</v>
      </c>
      <c r="E13" s="30" t="s">
        <v>260</v>
      </c>
      <c r="F13" s="30" t="s">
        <v>115</v>
      </c>
      <c r="G13" s="30" t="s">
        <v>116</v>
      </c>
      <c r="H13" s="30" t="s">
        <v>165</v>
      </c>
      <c r="I13" s="29" t="s">
        <v>177</v>
      </c>
      <c r="J13" s="29">
        <v>99</v>
      </c>
      <c r="K13" s="29" t="s">
        <v>327</v>
      </c>
      <c r="L13" s="29">
        <v>210</v>
      </c>
      <c r="M13" s="30" t="s">
        <v>865</v>
      </c>
      <c r="N13" s="30" t="s">
        <v>882</v>
      </c>
      <c r="O13" s="31">
        <v>1</v>
      </c>
      <c r="P13" s="31"/>
      <c r="Q13" s="30"/>
      <c r="S13" s="2">
        <f t="shared" si="7"/>
        <v>0</v>
      </c>
      <c r="T13" s="2">
        <f t="shared" si="8"/>
        <v>0</v>
      </c>
      <c r="U13" s="2">
        <f t="shared" si="9"/>
        <v>0</v>
      </c>
      <c r="V13" s="2">
        <f t="shared" si="10"/>
        <v>0</v>
      </c>
      <c r="W13" s="2">
        <f t="shared" si="11"/>
        <v>0</v>
      </c>
      <c r="X13" s="2">
        <f t="shared" si="12"/>
        <v>0</v>
      </c>
      <c r="Y13" s="2">
        <f t="shared" si="13"/>
        <v>0</v>
      </c>
      <c r="Z13" s="2">
        <f t="shared" si="14"/>
        <v>0</v>
      </c>
      <c r="AA13" s="2">
        <f t="shared" si="15"/>
        <v>0</v>
      </c>
      <c r="AB13" s="2">
        <f t="shared" si="16"/>
        <v>0</v>
      </c>
      <c r="AD13" s="2">
        <f t="shared" si="17"/>
        <v>0</v>
      </c>
      <c r="AE13" s="2">
        <f t="shared" si="18"/>
        <v>1</v>
      </c>
      <c r="AF13" s="2">
        <f t="shared" si="19"/>
        <v>0</v>
      </c>
      <c r="AG13" s="2">
        <f t="shared" si="20"/>
        <v>1</v>
      </c>
      <c r="AH13" s="2">
        <f t="shared" si="21"/>
        <v>0</v>
      </c>
      <c r="AI13" s="2">
        <f t="shared" si="22"/>
        <v>1</v>
      </c>
    </row>
    <row r="14" spans="1:35" ht="14.25" customHeight="1" x14ac:dyDescent="0.25">
      <c r="A14" s="29">
        <v>0</v>
      </c>
      <c r="B14" s="29">
        <v>1</v>
      </c>
      <c r="C14" s="29">
        <v>1</v>
      </c>
      <c r="D14" s="30" t="s">
        <v>51</v>
      </c>
      <c r="E14" s="30" t="s">
        <v>571</v>
      </c>
      <c r="F14" s="30" t="s">
        <v>104</v>
      </c>
      <c r="G14" s="30" t="s">
        <v>96</v>
      </c>
      <c r="H14" s="30" t="s">
        <v>165</v>
      </c>
      <c r="I14" s="29" t="s">
        <v>171</v>
      </c>
      <c r="J14" s="29">
        <v>3</v>
      </c>
      <c r="K14" s="29" t="s">
        <v>328</v>
      </c>
      <c r="L14" s="29" t="s">
        <v>40</v>
      </c>
      <c r="M14" s="30" t="s">
        <v>40</v>
      </c>
      <c r="N14" s="30" t="s">
        <v>880</v>
      </c>
      <c r="O14" s="31">
        <v>1</v>
      </c>
      <c r="P14" s="31">
        <v>1</v>
      </c>
      <c r="Q14" s="30"/>
      <c r="S14" s="2">
        <f t="shared" si="7"/>
        <v>0</v>
      </c>
      <c r="T14" s="2">
        <f t="shared" si="8"/>
        <v>0</v>
      </c>
      <c r="U14" s="2">
        <f t="shared" si="9"/>
        <v>1</v>
      </c>
      <c r="V14" s="2">
        <f t="shared" si="10"/>
        <v>0</v>
      </c>
      <c r="W14" s="2">
        <f t="shared" si="11"/>
        <v>0</v>
      </c>
      <c r="X14" s="2">
        <f t="shared" si="12"/>
        <v>0</v>
      </c>
      <c r="Y14" s="2">
        <f t="shared" si="13"/>
        <v>0</v>
      </c>
      <c r="Z14" s="2">
        <f t="shared" si="14"/>
        <v>0</v>
      </c>
      <c r="AA14" s="2">
        <f t="shared" si="15"/>
        <v>0</v>
      </c>
      <c r="AB14" s="2">
        <f t="shared" si="16"/>
        <v>0</v>
      </c>
      <c r="AD14" s="2">
        <f t="shared" si="17"/>
        <v>1</v>
      </c>
      <c r="AE14" s="2">
        <f t="shared" si="18"/>
        <v>0</v>
      </c>
      <c r="AF14" s="2">
        <f t="shared" si="19"/>
        <v>1</v>
      </c>
      <c r="AG14" s="2">
        <f t="shared" si="20"/>
        <v>0</v>
      </c>
      <c r="AH14" s="2">
        <f t="shared" si="21"/>
        <v>1</v>
      </c>
      <c r="AI14" s="2">
        <f t="shared" si="22"/>
        <v>0</v>
      </c>
    </row>
    <row r="15" spans="1:35" ht="14.25" customHeight="1" x14ac:dyDescent="0.25">
      <c r="A15" s="29">
        <v>0</v>
      </c>
      <c r="B15" s="29">
        <v>1</v>
      </c>
      <c r="C15" s="29">
        <v>1</v>
      </c>
      <c r="D15" s="30" t="s">
        <v>64</v>
      </c>
      <c r="E15" s="30" t="s">
        <v>262</v>
      </c>
      <c r="F15" s="30" t="s">
        <v>139</v>
      </c>
      <c r="G15" s="30" t="s">
        <v>140</v>
      </c>
      <c r="H15" s="30" t="s">
        <v>165</v>
      </c>
      <c r="I15" s="29" t="s">
        <v>185</v>
      </c>
      <c r="J15" s="29">
        <v>99</v>
      </c>
      <c r="K15" s="29" t="s">
        <v>325</v>
      </c>
      <c r="L15" s="29" t="s">
        <v>851</v>
      </c>
      <c r="M15" s="30" t="s">
        <v>731</v>
      </c>
      <c r="N15" s="30" t="s">
        <v>914</v>
      </c>
      <c r="O15" s="31">
        <v>1</v>
      </c>
      <c r="P15" s="31"/>
      <c r="Q15" s="30"/>
      <c r="S15" s="2">
        <f t="shared" si="7"/>
        <v>0</v>
      </c>
      <c r="T15" s="2">
        <f t="shared" si="8"/>
        <v>0</v>
      </c>
      <c r="U15" s="2">
        <f t="shared" si="9"/>
        <v>0</v>
      </c>
      <c r="V15" s="2">
        <f t="shared" si="10"/>
        <v>0</v>
      </c>
      <c r="W15" s="2">
        <f t="shared" si="11"/>
        <v>0</v>
      </c>
      <c r="X15" s="2">
        <f t="shared" si="12"/>
        <v>0</v>
      </c>
      <c r="Y15" s="2">
        <f t="shared" si="13"/>
        <v>0</v>
      </c>
      <c r="Z15" s="2">
        <f t="shared" si="14"/>
        <v>0</v>
      </c>
      <c r="AA15" s="2">
        <f t="shared" si="15"/>
        <v>0</v>
      </c>
      <c r="AB15" s="2">
        <f t="shared" si="16"/>
        <v>0</v>
      </c>
      <c r="AD15" s="2">
        <f t="shared" si="17"/>
        <v>0</v>
      </c>
      <c r="AE15" s="2">
        <f t="shared" si="18"/>
        <v>1</v>
      </c>
      <c r="AF15" s="2">
        <f t="shared" si="19"/>
        <v>0</v>
      </c>
      <c r="AG15" s="2">
        <f t="shared" si="20"/>
        <v>1</v>
      </c>
      <c r="AH15" s="2">
        <f t="shared" si="21"/>
        <v>0</v>
      </c>
      <c r="AI15" s="2">
        <f t="shared" si="22"/>
        <v>1</v>
      </c>
    </row>
    <row r="16" spans="1:35" ht="14.25" customHeight="1" x14ac:dyDescent="0.25">
      <c r="A16" s="20">
        <v>0</v>
      </c>
      <c r="B16" s="20">
        <v>1</v>
      </c>
      <c r="C16" s="20">
        <v>1</v>
      </c>
      <c r="D16" s="21" t="s">
        <v>277</v>
      </c>
      <c r="E16" s="21" t="s">
        <v>260</v>
      </c>
      <c r="F16" s="21" t="s">
        <v>278</v>
      </c>
      <c r="G16" s="21" t="s">
        <v>581</v>
      </c>
      <c r="H16" s="21" t="s">
        <v>165</v>
      </c>
      <c r="I16" s="20" t="s">
        <v>279</v>
      </c>
      <c r="J16" s="20">
        <v>99</v>
      </c>
      <c r="K16" s="20" t="s">
        <v>328</v>
      </c>
      <c r="L16" s="20" t="s">
        <v>849</v>
      </c>
      <c r="M16" s="21" t="s">
        <v>732</v>
      </c>
      <c r="N16" s="21"/>
      <c r="O16" s="7"/>
      <c r="P16" s="7"/>
      <c r="Q16" s="21"/>
      <c r="S16" s="2">
        <f t="shared" si="7"/>
        <v>0</v>
      </c>
      <c r="T16" s="2">
        <f t="shared" si="8"/>
        <v>0</v>
      </c>
      <c r="U16" s="2">
        <f t="shared" si="9"/>
        <v>0</v>
      </c>
      <c r="V16" s="2">
        <f t="shared" si="10"/>
        <v>0</v>
      </c>
      <c r="W16" s="2">
        <f t="shared" si="11"/>
        <v>0</v>
      </c>
      <c r="X16" s="2">
        <f t="shared" si="12"/>
        <v>0</v>
      </c>
      <c r="Y16" s="2">
        <f t="shared" si="13"/>
        <v>0</v>
      </c>
      <c r="Z16" s="2">
        <f t="shared" si="14"/>
        <v>0</v>
      </c>
      <c r="AA16" s="2">
        <f t="shared" si="15"/>
        <v>0</v>
      </c>
      <c r="AB16" s="2">
        <f t="shared" si="16"/>
        <v>0</v>
      </c>
      <c r="AD16" s="2">
        <f t="shared" si="17"/>
        <v>0</v>
      </c>
      <c r="AE16" s="2">
        <f t="shared" si="18"/>
        <v>0</v>
      </c>
      <c r="AF16" s="2">
        <f t="shared" si="19"/>
        <v>0</v>
      </c>
      <c r="AG16" s="2">
        <f t="shared" si="20"/>
        <v>0</v>
      </c>
      <c r="AH16" s="2">
        <f t="shared" si="21"/>
        <v>0</v>
      </c>
      <c r="AI16" s="2">
        <f t="shared" si="22"/>
        <v>1</v>
      </c>
    </row>
    <row r="17" spans="1:35" ht="14.25" customHeight="1" x14ac:dyDescent="0.25">
      <c r="A17" s="29">
        <v>0</v>
      </c>
      <c r="B17" s="29">
        <v>1</v>
      </c>
      <c r="C17" s="29">
        <v>1</v>
      </c>
      <c r="D17" s="30" t="s">
        <v>377</v>
      </c>
      <c r="E17" s="30" t="s">
        <v>260</v>
      </c>
      <c r="F17" s="30" t="s">
        <v>378</v>
      </c>
      <c r="G17" s="30" t="s">
        <v>379</v>
      </c>
      <c r="H17" s="30" t="s">
        <v>380</v>
      </c>
      <c r="I17" s="29" t="s">
        <v>381</v>
      </c>
      <c r="J17" s="29">
        <v>99</v>
      </c>
      <c r="K17" s="29" t="s">
        <v>376</v>
      </c>
      <c r="L17" s="29">
        <v>170</v>
      </c>
      <c r="M17" s="30" t="s">
        <v>879</v>
      </c>
      <c r="N17" s="30" t="s">
        <v>889</v>
      </c>
      <c r="O17" s="31">
        <v>1</v>
      </c>
      <c r="P17" s="31"/>
      <c r="Q17" s="30"/>
      <c r="S17" s="2">
        <f t="shared" si="7"/>
        <v>0</v>
      </c>
      <c r="T17" s="2">
        <f t="shared" si="8"/>
        <v>0</v>
      </c>
      <c r="U17" s="2">
        <f t="shared" si="9"/>
        <v>0</v>
      </c>
      <c r="V17" s="2">
        <f t="shared" si="10"/>
        <v>0</v>
      </c>
      <c r="W17" s="2">
        <f t="shared" si="11"/>
        <v>0</v>
      </c>
      <c r="X17" s="2">
        <f t="shared" si="12"/>
        <v>0</v>
      </c>
      <c r="Y17" s="2">
        <f t="shared" si="13"/>
        <v>0</v>
      </c>
      <c r="Z17" s="2">
        <f t="shared" si="14"/>
        <v>0</v>
      </c>
      <c r="AA17" s="2">
        <f t="shared" si="15"/>
        <v>0</v>
      </c>
      <c r="AB17" s="2">
        <f t="shared" si="16"/>
        <v>0</v>
      </c>
      <c r="AD17" s="2">
        <f t="shared" si="17"/>
        <v>0</v>
      </c>
      <c r="AE17" s="2">
        <f t="shared" si="18"/>
        <v>1</v>
      </c>
      <c r="AF17" s="2">
        <f t="shared" si="19"/>
        <v>0</v>
      </c>
      <c r="AG17" s="2">
        <f t="shared" si="20"/>
        <v>1</v>
      </c>
      <c r="AH17" s="2">
        <f t="shared" si="21"/>
        <v>0</v>
      </c>
      <c r="AI17" s="2">
        <f t="shared" si="22"/>
        <v>1</v>
      </c>
    </row>
    <row r="18" spans="1:35" ht="14.25" customHeight="1" x14ac:dyDescent="0.25">
      <c r="A18" s="29">
        <v>0</v>
      </c>
      <c r="B18" s="29">
        <v>1</v>
      </c>
      <c r="C18" s="29">
        <v>1</v>
      </c>
      <c r="D18" s="30" t="s">
        <v>306</v>
      </c>
      <c r="E18" s="30" t="s">
        <v>260</v>
      </c>
      <c r="F18" s="30" t="s">
        <v>314</v>
      </c>
      <c r="G18" s="30" t="s">
        <v>94</v>
      </c>
      <c r="H18" s="30" t="s">
        <v>165</v>
      </c>
      <c r="I18" s="29" t="s">
        <v>276</v>
      </c>
      <c r="J18" s="29">
        <v>1</v>
      </c>
      <c r="K18" s="29" t="s">
        <v>375</v>
      </c>
      <c r="L18" s="29" t="s">
        <v>40</v>
      </c>
      <c r="M18" s="30" t="s">
        <v>40</v>
      </c>
      <c r="N18" s="30" t="s">
        <v>880</v>
      </c>
      <c r="O18" s="31">
        <v>1</v>
      </c>
      <c r="P18" s="31">
        <v>1</v>
      </c>
      <c r="Q18" s="30"/>
      <c r="S18" s="2">
        <f t="shared" si="7"/>
        <v>1</v>
      </c>
      <c r="T18" s="2">
        <f t="shared" si="8"/>
        <v>0</v>
      </c>
      <c r="U18" s="2">
        <f t="shared" si="9"/>
        <v>0</v>
      </c>
      <c r="V18" s="2">
        <f t="shared" si="10"/>
        <v>0</v>
      </c>
      <c r="W18" s="2">
        <f t="shared" si="11"/>
        <v>0</v>
      </c>
      <c r="X18" s="2">
        <f t="shared" si="12"/>
        <v>0</v>
      </c>
      <c r="Y18" s="2">
        <f t="shared" si="13"/>
        <v>0</v>
      </c>
      <c r="Z18" s="2">
        <f t="shared" si="14"/>
        <v>0</v>
      </c>
      <c r="AA18" s="2">
        <f t="shared" si="15"/>
        <v>0</v>
      </c>
      <c r="AB18" s="2">
        <f t="shared" si="16"/>
        <v>0</v>
      </c>
      <c r="AD18" s="2">
        <f t="shared" si="17"/>
        <v>1</v>
      </c>
      <c r="AE18" s="2">
        <f t="shared" si="18"/>
        <v>0</v>
      </c>
      <c r="AF18" s="2">
        <f t="shared" si="19"/>
        <v>1</v>
      </c>
      <c r="AG18" s="2">
        <f t="shared" si="20"/>
        <v>0</v>
      </c>
      <c r="AH18" s="2">
        <f t="shared" si="21"/>
        <v>1</v>
      </c>
      <c r="AI18" s="2">
        <f t="shared" si="22"/>
        <v>0</v>
      </c>
    </row>
    <row r="19" spans="1:35" ht="14.25" customHeight="1" x14ac:dyDescent="0.25">
      <c r="A19" s="29">
        <v>0</v>
      </c>
      <c r="B19" s="29">
        <v>1</v>
      </c>
      <c r="C19" s="29">
        <v>1</v>
      </c>
      <c r="D19" s="30" t="s">
        <v>543</v>
      </c>
      <c r="E19" s="30" t="s">
        <v>262</v>
      </c>
      <c r="F19" s="30" t="s">
        <v>542</v>
      </c>
      <c r="G19" s="30" t="s">
        <v>563</v>
      </c>
      <c r="H19" s="30" t="s">
        <v>165</v>
      </c>
      <c r="I19" s="29" t="s">
        <v>840</v>
      </c>
      <c r="J19" s="29">
        <v>99</v>
      </c>
      <c r="K19" s="29" t="s">
        <v>328</v>
      </c>
      <c r="L19" s="29">
        <v>180</v>
      </c>
      <c r="M19" s="30" t="s">
        <v>1000</v>
      </c>
      <c r="N19" s="30" t="s">
        <v>888</v>
      </c>
      <c r="O19" s="31">
        <v>1</v>
      </c>
      <c r="P19" s="31"/>
      <c r="Q19" s="30"/>
      <c r="S19" s="2">
        <f t="shared" si="7"/>
        <v>0</v>
      </c>
      <c r="T19" s="2">
        <f t="shared" si="8"/>
        <v>0</v>
      </c>
      <c r="U19" s="2">
        <f t="shared" si="9"/>
        <v>0</v>
      </c>
      <c r="V19" s="2">
        <f t="shared" si="10"/>
        <v>0</v>
      </c>
      <c r="W19" s="2">
        <f t="shared" si="11"/>
        <v>0</v>
      </c>
      <c r="X19" s="2">
        <f t="shared" si="12"/>
        <v>0</v>
      </c>
      <c r="Y19" s="2">
        <f t="shared" si="13"/>
        <v>0</v>
      </c>
      <c r="Z19" s="2">
        <f t="shared" si="14"/>
        <v>0</v>
      </c>
      <c r="AA19" s="2">
        <f t="shared" si="15"/>
        <v>0</v>
      </c>
      <c r="AB19" s="2">
        <f t="shared" si="16"/>
        <v>0</v>
      </c>
      <c r="AD19" s="2">
        <f t="shared" si="17"/>
        <v>0</v>
      </c>
      <c r="AE19" s="2">
        <f t="shared" si="18"/>
        <v>1</v>
      </c>
      <c r="AF19" s="2">
        <f t="shared" si="19"/>
        <v>0</v>
      </c>
      <c r="AG19" s="2">
        <f t="shared" si="20"/>
        <v>1</v>
      </c>
      <c r="AH19" s="2">
        <f t="shared" si="21"/>
        <v>0</v>
      </c>
      <c r="AI19" s="2">
        <f t="shared" si="22"/>
        <v>1</v>
      </c>
    </row>
    <row r="20" spans="1:35" ht="14.25" customHeight="1" x14ac:dyDescent="0.25">
      <c r="A20" s="20">
        <v>0</v>
      </c>
      <c r="B20" s="20">
        <v>1</v>
      </c>
      <c r="C20" s="20">
        <v>1</v>
      </c>
      <c r="D20" s="21" t="s">
        <v>603</v>
      </c>
      <c r="E20" s="21" t="s">
        <v>262</v>
      </c>
      <c r="F20" s="21" t="s">
        <v>604</v>
      </c>
      <c r="G20" s="21" t="s">
        <v>38</v>
      </c>
      <c r="H20" s="21" t="s">
        <v>165</v>
      </c>
      <c r="I20" s="20" t="s">
        <v>605</v>
      </c>
      <c r="J20" s="20">
        <v>1</v>
      </c>
      <c r="K20" s="20" t="s">
        <v>328</v>
      </c>
      <c r="L20" s="20" t="s">
        <v>850</v>
      </c>
      <c r="M20" s="21" t="s">
        <v>206</v>
      </c>
      <c r="N20" s="21"/>
      <c r="O20" s="7"/>
      <c r="P20" s="7"/>
      <c r="Q20" s="21"/>
      <c r="S20" s="2">
        <f t="shared" si="7"/>
        <v>1</v>
      </c>
      <c r="T20" s="2">
        <f t="shared" si="8"/>
        <v>0</v>
      </c>
      <c r="U20" s="2">
        <f t="shared" si="9"/>
        <v>0</v>
      </c>
      <c r="V20" s="2">
        <f t="shared" si="10"/>
        <v>0</v>
      </c>
      <c r="W20" s="2">
        <f t="shared" si="11"/>
        <v>0</v>
      </c>
      <c r="X20" s="2">
        <f t="shared" si="12"/>
        <v>0</v>
      </c>
      <c r="Y20" s="2">
        <f t="shared" si="13"/>
        <v>0</v>
      </c>
      <c r="Z20" s="2">
        <f t="shared" si="14"/>
        <v>0</v>
      </c>
      <c r="AA20" s="2">
        <f t="shared" si="15"/>
        <v>0</v>
      </c>
      <c r="AB20" s="2">
        <f t="shared" si="16"/>
        <v>0</v>
      </c>
      <c r="AD20" s="2">
        <f t="shared" si="17"/>
        <v>0</v>
      </c>
      <c r="AE20" s="2">
        <f t="shared" si="18"/>
        <v>0</v>
      </c>
      <c r="AF20" s="2">
        <f t="shared" si="19"/>
        <v>0</v>
      </c>
      <c r="AG20" s="2">
        <f t="shared" si="20"/>
        <v>0</v>
      </c>
      <c r="AH20" s="2">
        <f t="shared" si="21"/>
        <v>0</v>
      </c>
      <c r="AI20" s="2">
        <f t="shared" si="22"/>
        <v>1</v>
      </c>
    </row>
    <row r="21" spans="1:35" ht="14.25" customHeight="1" x14ac:dyDescent="0.25">
      <c r="A21" s="29">
        <v>0</v>
      </c>
      <c r="B21" s="29">
        <v>1</v>
      </c>
      <c r="C21" s="29">
        <v>2</v>
      </c>
      <c r="D21" s="30" t="s">
        <v>66</v>
      </c>
      <c r="E21" s="30" t="s">
        <v>262</v>
      </c>
      <c r="F21" s="30" t="s">
        <v>121</v>
      </c>
      <c r="G21" s="30" t="s">
        <v>122</v>
      </c>
      <c r="H21" s="30" t="s">
        <v>165</v>
      </c>
      <c r="I21" s="29" t="s">
        <v>187</v>
      </c>
      <c r="J21" s="29">
        <v>6</v>
      </c>
      <c r="K21" s="29" t="s">
        <v>326</v>
      </c>
      <c r="L21" s="29">
        <v>75</v>
      </c>
      <c r="M21" s="30" t="s">
        <v>884</v>
      </c>
      <c r="N21" s="30" t="s">
        <v>909</v>
      </c>
      <c r="O21" s="31">
        <v>1</v>
      </c>
      <c r="P21" s="31"/>
      <c r="Q21" s="30"/>
      <c r="S21" s="2">
        <f t="shared" si="7"/>
        <v>0</v>
      </c>
      <c r="T21" s="2">
        <f t="shared" si="8"/>
        <v>0</v>
      </c>
      <c r="U21" s="2">
        <f t="shared" si="9"/>
        <v>0</v>
      </c>
      <c r="V21" s="2">
        <f t="shared" si="10"/>
        <v>0</v>
      </c>
      <c r="W21" s="2">
        <f t="shared" si="11"/>
        <v>0</v>
      </c>
      <c r="X21" s="2">
        <f t="shared" si="12"/>
        <v>1</v>
      </c>
      <c r="Y21" s="2">
        <f t="shared" si="13"/>
        <v>0</v>
      </c>
      <c r="Z21" s="2">
        <f t="shared" si="14"/>
        <v>0</v>
      </c>
      <c r="AA21" s="2">
        <f t="shared" si="15"/>
        <v>0</v>
      </c>
      <c r="AB21" s="2">
        <f t="shared" si="16"/>
        <v>0</v>
      </c>
      <c r="AD21" s="2">
        <f t="shared" si="17"/>
        <v>0</v>
      </c>
      <c r="AE21" s="2">
        <f t="shared" si="18"/>
        <v>1</v>
      </c>
      <c r="AF21" s="2">
        <f t="shared" si="19"/>
        <v>0</v>
      </c>
      <c r="AG21" s="2">
        <f t="shared" si="20"/>
        <v>1</v>
      </c>
      <c r="AH21" s="2">
        <f t="shared" si="21"/>
        <v>0</v>
      </c>
      <c r="AI21" s="2">
        <f t="shared" si="22"/>
        <v>1</v>
      </c>
    </row>
    <row r="22" spans="1:35" ht="14.25" customHeight="1" x14ac:dyDescent="0.25">
      <c r="A22" s="29">
        <v>0</v>
      </c>
      <c r="B22" s="29">
        <v>1</v>
      </c>
      <c r="C22" s="29">
        <v>2</v>
      </c>
      <c r="D22" s="30" t="s">
        <v>458</v>
      </c>
      <c r="E22" s="30" t="s">
        <v>465</v>
      </c>
      <c r="F22" s="30" t="s">
        <v>825</v>
      </c>
      <c r="G22" s="30" t="s">
        <v>826</v>
      </c>
      <c r="H22" s="30" t="s">
        <v>165</v>
      </c>
      <c r="I22" s="29" t="s">
        <v>416</v>
      </c>
      <c r="J22" s="29">
        <v>99</v>
      </c>
      <c r="K22" s="29" t="s">
        <v>325</v>
      </c>
      <c r="L22" s="29" t="s">
        <v>346</v>
      </c>
      <c r="M22" s="30" t="s">
        <v>206</v>
      </c>
      <c r="N22" s="30" t="s">
        <v>914</v>
      </c>
      <c r="O22" s="31">
        <v>1</v>
      </c>
      <c r="P22" s="31"/>
      <c r="Q22" s="30"/>
      <c r="S22" s="2">
        <f t="shared" si="7"/>
        <v>0</v>
      </c>
      <c r="T22" s="2">
        <f t="shared" si="8"/>
        <v>0</v>
      </c>
      <c r="U22" s="2">
        <f t="shared" si="9"/>
        <v>0</v>
      </c>
      <c r="V22" s="2">
        <f t="shared" si="10"/>
        <v>0</v>
      </c>
      <c r="W22" s="2">
        <f t="shared" si="11"/>
        <v>0</v>
      </c>
      <c r="X22" s="2">
        <f t="shared" si="12"/>
        <v>0</v>
      </c>
      <c r="Y22" s="2">
        <f t="shared" si="13"/>
        <v>0</v>
      </c>
      <c r="Z22" s="2">
        <f t="shared" si="14"/>
        <v>0</v>
      </c>
      <c r="AA22" s="2">
        <f t="shared" si="15"/>
        <v>0</v>
      </c>
      <c r="AB22" s="2">
        <f t="shared" si="16"/>
        <v>0</v>
      </c>
      <c r="AD22" s="2">
        <f t="shared" si="17"/>
        <v>0</v>
      </c>
      <c r="AE22" s="2">
        <f t="shared" si="18"/>
        <v>1</v>
      </c>
      <c r="AF22" s="2">
        <f t="shared" si="19"/>
        <v>0</v>
      </c>
      <c r="AG22" s="2">
        <f t="shared" si="20"/>
        <v>1</v>
      </c>
      <c r="AH22" s="2">
        <f t="shared" si="21"/>
        <v>0</v>
      </c>
      <c r="AI22" s="2">
        <f t="shared" si="22"/>
        <v>1</v>
      </c>
    </row>
    <row r="23" spans="1:35" ht="14.25" customHeight="1" x14ac:dyDescent="0.25">
      <c r="A23" s="29">
        <v>0</v>
      </c>
      <c r="B23" s="29">
        <v>1</v>
      </c>
      <c r="C23" s="29">
        <v>2</v>
      </c>
      <c r="D23" s="30" t="s">
        <v>75</v>
      </c>
      <c r="E23" s="30" t="s">
        <v>263</v>
      </c>
      <c r="F23" s="30" t="s">
        <v>156</v>
      </c>
      <c r="G23" s="30" t="s">
        <v>157</v>
      </c>
      <c r="H23" s="30" t="s">
        <v>165</v>
      </c>
      <c r="I23" s="29" t="s">
        <v>832</v>
      </c>
      <c r="J23" s="29">
        <v>99</v>
      </c>
      <c r="K23" s="29" t="s">
        <v>325</v>
      </c>
      <c r="L23" s="29">
        <v>45</v>
      </c>
      <c r="M23" s="30" t="s">
        <v>886</v>
      </c>
      <c r="N23" s="30" t="s">
        <v>909</v>
      </c>
      <c r="O23" s="31">
        <v>1</v>
      </c>
      <c r="P23" s="31"/>
      <c r="Q23" s="30"/>
      <c r="S23" s="2">
        <f t="shared" si="7"/>
        <v>0</v>
      </c>
      <c r="T23" s="2">
        <f t="shared" si="8"/>
        <v>0</v>
      </c>
      <c r="U23" s="2">
        <f t="shared" si="9"/>
        <v>0</v>
      </c>
      <c r="V23" s="2">
        <f t="shared" si="10"/>
        <v>0</v>
      </c>
      <c r="W23" s="2">
        <f t="shared" si="11"/>
        <v>0</v>
      </c>
      <c r="X23" s="2">
        <f t="shared" si="12"/>
        <v>0</v>
      </c>
      <c r="Y23" s="2">
        <f t="shared" si="13"/>
        <v>0</v>
      </c>
      <c r="Z23" s="2">
        <f t="shared" si="14"/>
        <v>0</v>
      </c>
      <c r="AA23" s="2">
        <f t="shared" si="15"/>
        <v>0</v>
      </c>
      <c r="AB23" s="2">
        <f t="shared" si="16"/>
        <v>0</v>
      </c>
      <c r="AD23" s="2">
        <f t="shared" si="17"/>
        <v>0</v>
      </c>
      <c r="AE23" s="2">
        <f t="shared" si="18"/>
        <v>1</v>
      </c>
      <c r="AF23" s="2">
        <f t="shared" si="19"/>
        <v>0</v>
      </c>
      <c r="AG23" s="2">
        <f t="shared" si="20"/>
        <v>1</v>
      </c>
      <c r="AH23" s="2">
        <f t="shared" si="21"/>
        <v>0</v>
      </c>
      <c r="AI23" s="2">
        <f t="shared" si="22"/>
        <v>1</v>
      </c>
    </row>
    <row r="24" spans="1:35" ht="14.25" customHeight="1" x14ac:dyDescent="0.25">
      <c r="A24" s="29">
        <v>0</v>
      </c>
      <c r="B24" s="29">
        <v>1</v>
      </c>
      <c r="C24" s="29">
        <v>2</v>
      </c>
      <c r="D24" s="30" t="s">
        <v>523</v>
      </c>
      <c r="E24" s="30" t="s">
        <v>263</v>
      </c>
      <c r="F24" s="30" t="s">
        <v>524</v>
      </c>
      <c r="G24" s="30" t="s">
        <v>154</v>
      </c>
      <c r="H24" s="30" t="s">
        <v>165</v>
      </c>
      <c r="I24" s="29" t="s">
        <v>525</v>
      </c>
      <c r="J24" s="29">
        <v>99</v>
      </c>
      <c r="K24" s="29" t="s">
        <v>330</v>
      </c>
      <c r="L24" s="29" t="s">
        <v>847</v>
      </c>
      <c r="M24" s="30" t="s">
        <v>733</v>
      </c>
      <c r="N24" s="30" t="s">
        <v>883</v>
      </c>
      <c r="O24" s="31">
        <v>1</v>
      </c>
      <c r="P24" s="31"/>
      <c r="Q24" s="30"/>
      <c r="S24" s="2">
        <f t="shared" si="7"/>
        <v>0</v>
      </c>
      <c r="T24" s="2">
        <f t="shared" si="8"/>
        <v>0</v>
      </c>
      <c r="U24" s="2">
        <f t="shared" si="9"/>
        <v>0</v>
      </c>
      <c r="V24" s="2">
        <f t="shared" si="10"/>
        <v>0</v>
      </c>
      <c r="W24" s="2">
        <f t="shared" si="11"/>
        <v>0</v>
      </c>
      <c r="X24" s="2">
        <f t="shared" si="12"/>
        <v>0</v>
      </c>
      <c r="Y24" s="2">
        <f t="shared" si="13"/>
        <v>0</v>
      </c>
      <c r="Z24" s="2">
        <f t="shared" si="14"/>
        <v>0</v>
      </c>
      <c r="AA24" s="2">
        <f t="shared" si="15"/>
        <v>0</v>
      </c>
      <c r="AB24" s="2">
        <f t="shared" si="16"/>
        <v>0</v>
      </c>
      <c r="AD24" s="2">
        <f t="shared" si="17"/>
        <v>0</v>
      </c>
      <c r="AE24" s="2">
        <f t="shared" si="18"/>
        <v>1</v>
      </c>
      <c r="AF24" s="2">
        <f t="shared" si="19"/>
        <v>0</v>
      </c>
      <c r="AG24" s="2">
        <f t="shared" si="20"/>
        <v>1</v>
      </c>
      <c r="AH24" s="2">
        <f t="shared" si="21"/>
        <v>0</v>
      </c>
      <c r="AI24" s="2">
        <f t="shared" si="22"/>
        <v>1</v>
      </c>
    </row>
    <row r="25" spans="1:35" ht="14.25" customHeight="1" x14ac:dyDescent="0.25">
      <c r="A25" s="20">
        <v>0</v>
      </c>
      <c r="B25" s="20">
        <v>1</v>
      </c>
      <c r="C25" s="20">
        <v>2</v>
      </c>
      <c r="D25" s="21" t="s">
        <v>404</v>
      </c>
      <c r="E25" s="21" t="s">
        <v>263</v>
      </c>
      <c r="F25" s="21" t="s">
        <v>405</v>
      </c>
      <c r="G25" s="21" t="s">
        <v>403</v>
      </c>
      <c r="H25" s="21" t="s">
        <v>165</v>
      </c>
      <c r="I25" s="20" t="s">
        <v>406</v>
      </c>
      <c r="J25" s="20">
        <v>99</v>
      </c>
      <c r="K25" s="20" t="s">
        <v>329</v>
      </c>
      <c r="L25" s="20" t="s">
        <v>847</v>
      </c>
      <c r="M25" s="21" t="s">
        <v>773</v>
      </c>
      <c r="N25" s="21"/>
      <c r="O25" s="7"/>
      <c r="P25" s="7"/>
      <c r="Q25" s="21"/>
      <c r="S25" s="2">
        <f t="shared" si="7"/>
        <v>0</v>
      </c>
      <c r="T25" s="2">
        <f t="shared" si="8"/>
        <v>0</v>
      </c>
      <c r="U25" s="2">
        <f t="shared" si="9"/>
        <v>0</v>
      </c>
      <c r="V25" s="2">
        <f t="shared" si="10"/>
        <v>0</v>
      </c>
      <c r="W25" s="2">
        <f t="shared" si="11"/>
        <v>0</v>
      </c>
      <c r="X25" s="2">
        <f t="shared" si="12"/>
        <v>0</v>
      </c>
      <c r="Y25" s="2">
        <f t="shared" si="13"/>
        <v>0</v>
      </c>
      <c r="Z25" s="2">
        <f t="shared" si="14"/>
        <v>0</v>
      </c>
      <c r="AA25" s="2">
        <f t="shared" si="15"/>
        <v>0</v>
      </c>
      <c r="AB25" s="2">
        <f t="shared" si="16"/>
        <v>0</v>
      </c>
      <c r="AD25" s="2">
        <f t="shared" si="17"/>
        <v>0</v>
      </c>
      <c r="AE25" s="2">
        <f t="shared" si="18"/>
        <v>0</v>
      </c>
      <c r="AF25" s="2">
        <f t="shared" si="19"/>
        <v>0</v>
      </c>
      <c r="AG25" s="2">
        <f t="shared" si="20"/>
        <v>0</v>
      </c>
      <c r="AH25" s="2">
        <f t="shared" si="21"/>
        <v>0</v>
      </c>
      <c r="AI25" s="2">
        <f t="shared" si="22"/>
        <v>1</v>
      </c>
    </row>
    <row r="26" spans="1:35" ht="14.25" customHeight="1" x14ac:dyDescent="0.25">
      <c r="A26" s="29">
        <v>0</v>
      </c>
      <c r="B26" s="29">
        <v>1</v>
      </c>
      <c r="C26" s="29">
        <v>2</v>
      </c>
      <c r="D26" s="30" t="s">
        <v>382</v>
      </c>
      <c r="E26" s="30" t="s">
        <v>262</v>
      </c>
      <c r="F26" s="30" t="s">
        <v>383</v>
      </c>
      <c r="G26" s="30" t="s">
        <v>585</v>
      </c>
      <c r="H26" s="30" t="s">
        <v>165</v>
      </c>
      <c r="I26" s="29" t="s">
        <v>384</v>
      </c>
      <c r="J26" s="29">
        <v>99</v>
      </c>
      <c r="K26" s="29" t="s">
        <v>376</v>
      </c>
      <c r="L26" s="29">
        <v>40</v>
      </c>
      <c r="M26" s="30" t="s">
        <v>206</v>
      </c>
      <c r="N26" s="30" t="s">
        <v>890</v>
      </c>
      <c r="O26" s="31">
        <v>1</v>
      </c>
      <c r="P26" s="31"/>
      <c r="Q26" s="30"/>
      <c r="S26" s="2">
        <f t="shared" si="7"/>
        <v>0</v>
      </c>
      <c r="T26" s="2">
        <f t="shared" si="8"/>
        <v>0</v>
      </c>
      <c r="U26" s="2">
        <f t="shared" si="9"/>
        <v>0</v>
      </c>
      <c r="V26" s="2">
        <f t="shared" si="10"/>
        <v>0</v>
      </c>
      <c r="W26" s="2">
        <f t="shared" si="11"/>
        <v>0</v>
      </c>
      <c r="X26" s="2">
        <f t="shared" si="12"/>
        <v>0</v>
      </c>
      <c r="Y26" s="2">
        <f t="shared" si="13"/>
        <v>0</v>
      </c>
      <c r="Z26" s="2">
        <f t="shared" si="14"/>
        <v>0</v>
      </c>
      <c r="AA26" s="2">
        <f t="shared" si="15"/>
        <v>0</v>
      </c>
      <c r="AB26" s="2">
        <f t="shared" si="16"/>
        <v>0</v>
      </c>
      <c r="AD26" s="2">
        <f t="shared" si="17"/>
        <v>0</v>
      </c>
      <c r="AE26" s="2">
        <f t="shared" si="18"/>
        <v>1</v>
      </c>
      <c r="AF26" s="2">
        <f t="shared" si="19"/>
        <v>0</v>
      </c>
      <c r="AG26" s="2">
        <f t="shared" si="20"/>
        <v>1</v>
      </c>
      <c r="AH26" s="2">
        <f t="shared" si="21"/>
        <v>0</v>
      </c>
      <c r="AI26" s="2">
        <f t="shared" si="22"/>
        <v>1</v>
      </c>
    </row>
    <row r="27" spans="1:35" ht="14.25" customHeight="1" x14ac:dyDescent="0.25">
      <c r="A27" s="29">
        <v>0</v>
      </c>
      <c r="B27" s="29">
        <v>1</v>
      </c>
      <c r="C27" s="29">
        <v>2</v>
      </c>
      <c r="D27" s="30" t="s">
        <v>60</v>
      </c>
      <c r="E27" s="30" t="s">
        <v>259</v>
      </c>
      <c r="F27" s="30" t="s">
        <v>128</v>
      </c>
      <c r="G27" s="30" t="s">
        <v>129</v>
      </c>
      <c r="H27" s="30" t="s">
        <v>165</v>
      </c>
      <c r="I27" s="29" t="s">
        <v>181</v>
      </c>
      <c r="J27" s="29">
        <v>99</v>
      </c>
      <c r="K27" s="29" t="s">
        <v>328</v>
      </c>
      <c r="L27" s="29" t="s">
        <v>40</v>
      </c>
      <c r="M27" s="30" t="s">
        <v>40</v>
      </c>
      <c r="N27" s="30" t="s">
        <v>880</v>
      </c>
      <c r="O27" s="31">
        <v>1</v>
      </c>
      <c r="P27" s="31">
        <v>1</v>
      </c>
      <c r="Q27" s="30"/>
      <c r="S27" s="2">
        <f t="shared" si="7"/>
        <v>0</v>
      </c>
      <c r="T27" s="2">
        <f t="shared" si="8"/>
        <v>0</v>
      </c>
      <c r="U27" s="2">
        <f t="shared" si="9"/>
        <v>0</v>
      </c>
      <c r="V27" s="2">
        <f t="shared" si="10"/>
        <v>0</v>
      </c>
      <c r="W27" s="2">
        <f t="shared" si="11"/>
        <v>0</v>
      </c>
      <c r="X27" s="2">
        <f t="shared" si="12"/>
        <v>0</v>
      </c>
      <c r="Y27" s="2">
        <f t="shared" si="13"/>
        <v>0</v>
      </c>
      <c r="Z27" s="2">
        <f t="shared" si="14"/>
        <v>0</v>
      </c>
      <c r="AA27" s="2">
        <f t="shared" si="15"/>
        <v>0</v>
      </c>
      <c r="AB27" s="2">
        <f t="shared" si="16"/>
        <v>0</v>
      </c>
      <c r="AD27" s="2">
        <f t="shared" si="17"/>
        <v>1</v>
      </c>
      <c r="AE27" s="2">
        <f t="shared" si="18"/>
        <v>0</v>
      </c>
      <c r="AF27" s="2">
        <f t="shared" si="19"/>
        <v>1</v>
      </c>
      <c r="AG27" s="2">
        <f t="shared" si="20"/>
        <v>0</v>
      </c>
      <c r="AH27" s="2">
        <f t="shared" si="21"/>
        <v>1</v>
      </c>
      <c r="AI27" s="2">
        <f t="shared" si="22"/>
        <v>0</v>
      </c>
    </row>
    <row r="28" spans="1:35" ht="14.25" customHeight="1" x14ac:dyDescent="0.25">
      <c r="A28" s="20">
        <v>0</v>
      </c>
      <c r="B28" s="20">
        <v>1</v>
      </c>
      <c r="C28" s="20">
        <v>2</v>
      </c>
      <c r="D28" s="21" t="s">
        <v>280</v>
      </c>
      <c r="E28" s="21" t="s">
        <v>263</v>
      </c>
      <c r="F28" s="21" t="s">
        <v>281</v>
      </c>
      <c r="G28" s="21" t="s">
        <v>109</v>
      </c>
      <c r="H28" s="21" t="s">
        <v>165</v>
      </c>
      <c r="I28" s="20" t="s">
        <v>282</v>
      </c>
      <c r="J28" s="20">
        <v>99</v>
      </c>
      <c r="K28" s="20" t="s">
        <v>329</v>
      </c>
      <c r="L28" s="20" t="s">
        <v>342</v>
      </c>
      <c r="M28" s="21" t="s">
        <v>206</v>
      </c>
      <c r="N28" s="21"/>
      <c r="O28" s="7"/>
      <c r="P28" s="7"/>
      <c r="Q28" s="21"/>
      <c r="S28" s="2">
        <f t="shared" si="7"/>
        <v>0</v>
      </c>
      <c r="T28" s="2">
        <f t="shared" si="8"/>
        <v>0</v>
      </c>
      <c r="U28" s="2">
        <f t="shared" si="9"/>
        <v>0</v>
      </c>
      <c r="V28" s="2">
        <f t="shared" si="10"/>
        <v>0</v>
      </c>
      <c r="W28" s="2">
        <f t="shared" si="11"/>
        <v>0</v>
      </c>
      <c r="X28" s="2">
        <f t="shared" si="12"/>
        <v>0</v>
      </c>
      <c r="Y28" s="2">
        <f t="shared" si="13"/>
        <v>0</v>
      </c>
      <c r="Z28" s="2">
        <f t="shared" si="14"/>
        <v>0</v>
      </c>
      <c r="AA28" s="2">
        <f t="shared" si="15"/>
        <v>0</v>
      </c>
      <c r="AB28" s="2">
        <f t="shared" si="16"/>
        <v>0</v>
      </c>
      <c r="AD28" s="2">
        <f t="shared" si="17"/>
        <v>0</v>
      </c>
      <c r="AE28" s="2">
        <f t="shared" si="18"/>
        <v>0</v>
      </c>
      <c r="AF28" s="2">
        <f t="shared" si="19"/>
        <v>0</v>
      </c>
      <c r="AG28" s="2">
        <f t="shared" si="20"/>
        <v>0</v>
      </c>
      <c r="AH28" s="2">
        <f t="shared" si="21"/>
        <v>0</v>
      </c>
      <c r="AI28" s="2">
        <f t="shared" si="22"/>
        <v>1</v>
      </c>
    </row>
    <row r="29" spans="1:35" ht="14.25" customHeight="1" x14ac:dyDescent="0.25">
      <c r="A29" s="29">
        <v>0</v>
      </c>
      <c r="B29" s="29">
        <v>1</v>
      </c>
      <c r="C29" s="29">
        <v>2</v>
      </c>
      <c r="D29" s="30" t="s">
        <v>433</v>
      </c>
      <c r="E29" s="30" t="s">
        <v>262</v>
      </c>
      <c r="F29" s="30" t="s">
        <v>432</v>
      </c>
      <c r="G29" s="30" t="s">
        <v>125</v>
      </c>
      <c r="H29" s="30" t="s">
        <v>165</v>
      </c>
      <c r="I29" s="29" t="s">
        <v>434</v>
      </c>
      <c r="J29" s="29">
        <v>99</v>
      </c>
      <c r="K29" s="29" t="s">
        <v>376</v>
      </c>
      <c r="L29" s="29">
        <v>150</v>
      </c>
      <c r="M29" s="30" t="s">
        <v>866</v>
      </c>
      <c r="N29" s="30" t="s">
        <v>889</v>
      </c>
      <c r="O29" s="31">
        <v>1</v>
      </c>
      <c r="P29" s="31"/>
      <c r="Q29" s="30"/>
      <c r="S29" s="2">
        <f t="shared" si="7"/>
        <v>0</v>
      </c>
      <c r="T29" s="2">
        <f t="shared" si="8"/>
        <v>0</v>
      </c>
      <c r="U29" s="2">
        <f t="shared" si="9"/>
        <v>0</v>
      </c>
      <c r="V29" s="2">
        <f t="shared" si="10"/>
        <v>0</v>
      </c>
      <c r="W29" s="2">
        <f t="shared" si="11"/>
        <v>0</v>
      </c>
      <c r="X29" s="2">
        <f t="shared" si="12"/>
        <v>0</v>
      </c>
      <c r="Y29" s="2">
        <f t="shared" si="13"/>
        <v>0</v>
      </c>
      <c r="Z29" s="2">
        <f t="shared" si="14"/>
        <v>0</v>
      </c>
      <c r="AA29" s="2">
        <f t="shared" si="15"/>
        <v>0</v>
      </c>
      <c r="AB29" s="2">
        <f t="shared" si="16"/>
        <v>0</v>
      </c>
      <c r="AD29" s="2">
        <f t="shared" si="17"/>
        <v>0</v>
      </c>
      <c r="AE29" s="2">
        <f t="shared" si="18"/>
        <v>1</v>
      </c>
      <c r="AF29" s="2">
        <f t="shared" si="19"/>
        <v>0</v>
      </c>
      <c r="AG29" s="2">
        <f t="shared" si="20"/>
        <v>1</v>
      </c>
      <c r="AH29" s="2">
        <f t="shared" si="21"/>
        <v>0</v>
      </c>
      <c r="AI29" s="2">
        <f t="shared" si="22"/>
        <v>1</v>
      </c>
    </row>
    <row r="30" spans="1:35" ht="14.25" customHeight="1" x14ac:dyDescent="0.25">
      <c r="A30" s="29">
        <v>0</v>
      </c>
      <c r="B30" s="29">
        <v>1</v>
      </c>
      <c r="C30" s="29">
        <v>2</v>
      </c>
      <c r="D30" s="30" t="s">
        <v>347</v>
      </c>
      <c r="E30" s="30" t="s">
        <v>262</v>
      </c>
      <c r="F30" s="30" t="s">
        <v>363</v>
      </c>
      <c r="G30" s="30" t="s">
        <v>40</v>
      </c>
      <c r="H30" s="30" t="s">
        <v>165</v>
      </c>
      <c r="I30" s="29" t="s">
        <v>369</v>
      </c>
      <c r="J30" s="29">
        <v>99</v>
      </c>
      <c r="K30" s="29" t="s">
        <v>322</v>
      </c>
      <c r="L30" s="29">
        <v>90</v>
      </c>
      <c r="M30" s="30" t="s">
        <v>887</v>
      </c>
      <c r="N30" s="30" t="s">
        <v>893</v>
      </c>
      <c r="O30" s="31">
        <v>1</v>
      </c>
      <c r="P30" s="31"/>
      <c r="Q30" s="30"/>
      <c r="S30" s="2">
        <f t="shared" si="7"/>
        <v>0</v>
      </c>
      <c r="T30" s="2">
        <f t="shared" si="8"/>
        <v>0</v>
      </c>
      <c r="U30" s="2">
        <f t="shared" si="9"/>
        <v>0</v>
      </c>
      <c r="V30" s="2">
        <f t="shared" si="10"/>
        <v>0</v>
      </c>
      <c r="W30" s="2">
        <f t="shared" si="11"/>
        <v>0</v>
      </c>
      <c r="X30" s="2">
        <f t="shared" si="12"/>
        <v>0</v>
      </c>
      <c r="Y30" s="2">
        <f t="shared" si="13"/>
        <v>0</v>
      </c>
      <c r="Z30" s="2">
        <f t="shared" si="14"/>
        <v>0</v>
      </c>
      <c r="AA30" s="2">
        <f t="shared" si="15"/>
        <v>0</v>
      </c>
      <c r="AB30" s="2">
        <f t="shared" si="16"/>
        <v>0</v>
      </c>
      <c r="AD30" s="2">
        <f t="shared" si="17"/>
        <v>0</v>
      </c>
      <c r="AE30" s="2">
        <f t="shared" si="18"/>
        <v>1</v>
      </c>
      <c r="AF30" s="2">
        <f t="shared" si="19"/>
        <v>0</v>
      </c>
      <c r="AG30" s="2">
        <f t="shared" si="20"/>
        <v>1</v>
      </c>
      <c r="AH30" s="2">
        <f t="shared" si="21"/>
        <v>0</v>
      </c>
      <c r="AI30" s="2">
        <f t="shared" si="22"/>
        <v>1</v>
      </c>
    </row>
    <row r="31" spans="1:35" ht="14.25" customHeight="1" x14ac:dyDescent="0.25">
      <c r="A31" s="29">
        <v>0</v>
      </c>
      <c r="B31" s="29">
        <v>1</v>
      </c>
      <c r="C31" s="29">
        <v>2</v>
      </c>
      <c r="D31" s="30" t="s">
        <v>219</v>
      </c>
      <c r="E31" s="30" t="s">
        <v>263</v>
      </c>
      <c r="F31" s="30" t="s">
        <v>220</v>
      </c>
      <c r="G31" s="30" t="s">
        <v>103</v>
      </c>
      <c r="H31" s="30" t="s">
        <v>165</v>
      </c>
      <c r="I31" s="29" t="s">
        <v>221</v>
      </c>
      <c r="J31" s="29">
        <v>6</v>
      </c>
      <c r="K31" s="29" t="s">
        <v>326</v>
      </c>
      <c r="L31" s="29" t="s">
        <v>343</v>
      </c>
      <c r="M31" s="30" t="s">
        <v>344</v>
      </c>
      <c r="N31" s="30" t="s">
        <v>883</v>
      </c>
      <c r="O31" s="31">
        <v>1</v>
      </c>
      <c r="P31" s="31"/>
      <c r="Q31" s="30"/>
      <c r="S31" s="2">
        <f t="shared" si="7"/>
        <v>0</v>
      </c>
      <c r="T31" s="2">
        <f t="shared" si="8"/>
        <v>0</v>
      </c>
      <c r="U31" s="2">
        <f t="shared" si="9"/>
        <v>0</v>
      </c>
      <c r="V31" s="2">
        <f t="shared" si="10"/>
        <v>0</v>
      </c>
      <c r="W31" s="2">
        <f t="shared" si="11"/>
        <v>0</v>
      </c>
      <c r="X31" s="2">
        <f t="shared" si="12"/>
        <v>1</v>
      </c>
      <c r="Y31" s="2">
        <f t="shared" si="13"/>
        <v>0</v>
      </c>
      <c r="Z31" s="2">
        <f t="shared" si="14"/>
        <v>0</v>
      </c>
      <c r="AA31" s="2">
        <f t="shared" si="15"/>
        <v>0</v>
      </c>
      <c r="AB31" s="2">
        <f t="shared" si="16"/>
        <v>0</v>
      </c>
      <c r="AD31" s="2">
        <f t="shared" si="17"/>
        <v>0</v>
      </c>
      <c r="AE31" s="2">
        <f t="shared" si="18"/>
        <v>1</v>
      </c>
      <c r="AF31" s="2">
        <f t="shared" si="19"/>
        <v>0</v>
      </c>
      <c r="AG31" s="2">
        <f t="shared" si="20"/>
        <v>1</v>
      </c>
      <c r="AH31" s="2">
        <f t="shared" si="21"/>
        <v>0</v>
      </c>
      <c r="AI31" s="2">
        <f t="shared" si="22"/>
        <v>1</v>
      </c>
    </row>
    <row r="32" spans="1:35" ht="14.25" customHeight="1" x14ac:dyDescent="0.25">
      <c r="A32" s="20">
        <v>0</v>
      </c>
      <c r="B32" s="20">
        <v>1</v>
      </c>
      <c r="C32" s="20">
        <v>2</v>
      </c>
      <c r="D32" s="21" t="s">
        <v>794</v>
      </c>
      <c r="E32" s="21" t="s">
        <v>262</v>
      </c>
      <c r="F32" s="21" t="s">
        <v>747</v>
      </c>
      <c r="G32" s="21" t="s">
        <v>684</v>
      </c>
      <c r="H32" s="21" t="s">
        <v>165</v>
      </c>
      <c r="I32" s="20" t="s">
        <v>837</v>
      </c>
      <c r="J32" s="20">
        <v>4</v>
      </c>
      <c r="K32" s="20" t="s">
        <v>326</v>
      </c>
      <c r="L32" s="20">
        <v>130</v>
      </c>
      <c r="M32" s="21" t="s">
        <v>867</v>
      </c>
      <c r="N32" s="21"/>
      <c r="O32" s="7"/>
      <c r="P32" s="7"/>
      <c r="Q32" s="21"/>
      <c r="S32" s="2">
        <f t="shared" si="7"/>
        <v>0</v>
      </c>
      <c r="T32" s="2">
        <f t="shared" si="8"/>
        <v>0</v>
      </c>
      <c r="U32" s="2">
        <f t="shared" si="9"/>
        <v>0</v>
      </c>
      <c r="V32" s="2">
        <f t="shared" si="10"/>
        <v>1</v>
      </c>
      <c r="W32" s="2">
        <f t="shared" si="11"/>
        <v>0</v>
      </c>
      <c r="X32" s="2">
        <f t="shared" si="12"/>
        <v>0</v>
      </c>
      <c r="Y32" s="2">
        <f t="shared" si="13"/>
        <v>0</v>
      </c>
      <c r="Z32" s="2">
        <f t="shared" si="14"/>
        <v>0</v>
      </c>
      <c r="AA32" s="2">
        <f t="shared" si="15"/>
        <v>0</v>
      </c>
      <c r="AB32" s="2">
        <f t="shared" si="16"/>
        <v>0</v>
      </c>
      <c r="AD32" s="2">
        <f t="shared" si="17"/>
        <v>0</v>
      </c>
      <c r="AE32" s="2">
        <f t="shared" si="18"/>
        <v>0</v>
      </c>
      <c r="AF32" s="2">
        <f t="shared" si="19"/>
        <v>0</v>
      </c>
      <c r="AG32" s="2">
        <f t="shared" si="20"/>
        <v>0</v>
      </c>
      <c r="AH32" s="2">
        <f t="shared" si="21"/>
        <v>0</v>
      </c>
      <c r="AI32" s="2">
        <f t="shared" si="22"/>
        <v>1</v>
      </c>
    </row>
    <row r="33" spans="1:16384" s="3" customFormat="1" ht="14.25" customHeight="1" x14ac:dyDescent="0.25">
      <c r="A33" s="29">
        <v>0</v>
      </c>
      <c r="B33" s="29">
        <v>1</v>
      </c>
      <c r="C33" s="29">
        <v>2</v>
      </c>
      <c r="D33" s="30" t="s">
        <v>413</v>
      </c>
      <c r="E33" s="30" t="s">
        <v>262</v>
      </c>
      <c r="F33" s="30" t="s">
        <v>414</v>
      </c>
      <c r="G33" s="30" t="s">
        <v>96</v>
      </c>
      <c r="H33" s="30" t="s">
        <v>165</v>
      </c>
      <c r="I33" s="29" t="s">
        <v>415</v>
      </c>
      <c r="J33" s="29">
        <v>3</v>
      </c>
      <c r="K33" s="29" t="s">
        <v>330</v>
      </c>
      <c r="L33" s="29" t="s">
        <v>40</v>
      </c>
      <c r="M33" s="30" t="s">
        <v>40</v>
      </c>
      <c r="N33" s="30" t="s">
        <v>880</v>
      </c>
      <c r="O33" s="31">
        <v>1</v>
      </c>
      <c r="P33" s="31">
        <v>1</v>
      </c>
      <c r="Q33" s="30"/>
      <c r="R33" s="2"/>
      <c r="S33" s="2">
        <f t="shared" si="7"/>
        <v>0</v>
      </c>
      <c r="T33" s="2">
        <f t="shared" si="8"/>
        <v>0</v>
      </c>
      <c r="U33" s="2">
        <f t="shared" si="9"/>
        <v>1</v>
      </c>
      <c r="V33" s="2">
        <f t="shared" si="10"/>
        <v>0</v>
      </c>
      <c r="W33" s="2">
        <f t="shared" si="11"/>
        <v>0</v>
      </c>
      <c r="X33" s="2">
        <f t="shared" si="12"/>
        <v>0</v>
      </c>
      <c r="Y33" s="2">
        <f t="shared" si="13"/>
        <v>0</v>
      </c>
      <c r="Z33" s="2">
        <f t="shared" si="14"/>
        <v>0</v>
      </c>
      <c r="AA33" s="2">
        <f t="shared" si="15"/>
        <v>0</v>
      </c>
      <c r="AB33" s="2">
        <f t="shared" si="16"/>
        <v>0</v>
      </c>
      <c r="AC33" s="2"/>
      <c r="AD33" s="2">
        <f t="shared" si="17"/>
        <v>1</v>
      </c>
      <c r="AE33" s="2">
        <f t="shared" si="18"/>
        <v>0</v>
      </c>
      <c r="AF33" s="2">
        <f t="shared" si="19"/>
        <v>1</v>
      </c>
      <c r="AG33" s="2">
        <f t="shared" si="20"/>
        <v>0</v>
      </c>
      <c r="AH33" s="2">
        <f t="shared" si="21"/>
        <v>1</v>
      </c>
      <c r="AI33" s="2">
        <f t="shared" si="22"/>
        <v>0</v>
      </c>
    </row>
    <row r="34" spans="1:16384" s="3" customFormat="1" ht="14.25" customHeight="1" x14ac:dyDescent="0.25">
      <c r="A34" s="29">
        <v>0</v>
      </c>
      <c r="B34" s="29">
        <v>1</v>
      </c>
      <c r="C34" s="29">
        <v>2</v>
      </c>
      <c r="D34" s="30" t="s">
        <v>630</v>
      </c>
      <c r="E34" s="30" t="s">
        <v>262</v>
      </c>
      <c r="F34" s="30" t="s">
        <v>686</v>
      </c>
      <c r="G34" s="30" t="s">
        <v>93</v>
      </c>
      <c r="H34" s="30" t="s">
        <v>165</v>
      </c>
      <c r="I34" s="29" t="s">
        <v>631</v>
      </c>
      <c r="J34" s="29">
        <v>8</v>
      </c>
      <c r="K34" s="29" t="s">
        <v>325</v>
      </c>
      <c r="L34" s="29">
        <v>45</v>
      </c>
      <c r="M34" s="30" t="s">
        <v>868</v>
      </c>
      <c r="N34" s="30" t="s">
        <v>888</v>
      </c>
      <c r="O34" s="31">
        <v>1</v>
      </c>
      <c r="P34" s="31"/>
      <c r="Q34" s="30"/>
      <c r="R34" s="2"/>
      <c r="S34" s="2">
        <f t="shared" si="7"/>
        <v>0</v>
      </c>
      <c r="T34" s="2">
        <f t="shared" si="8"/>
        <v>0</v>
      </c>
      <c r="U34" s="2">
        <f t="shared" si="9"/>
        <v>0</v>
      </c>
      <c r="V34" s="2">
        <f t="shared" si="10"/>
        <v>0</v>
      </c>
      <c r="W34" s="2">
        <f t="shared" si="11"/>
        <v>0</v>
      </c>
      <c r="X34" s="2">
        <f t="shared" si="12"/>
        <v>0</v>
      </c>
      <c r="Y34" s="2">
        <f t="shared" si="13"/>
        <v>0</v>
      </c>
      <c r="Z34" s="2">
        <f t="shared" si="14"/>
        <v>1</v>
      </c>
      <c r="AA34" s="2">
        <f t="shared" si="15"/>
        <v>0</v>
      </c>
      <c r="AB34" s="2">
        <f t="shared" si="16"/>
        <v>0</v>
      </c>
      <c r="AC34" s="2"/>
      <c r="AD34" s="2">
        <f t="shared" si="17"/>
        <v>0</v>
      </c>
      <c r="AE34" s="2">
        <f t="shared" si="18"/>
        <v>1</v>
      </c>
      <c r="AF34" s="2">
        <f t="shared" si="19"/>
        <v>0</v>
      </c>
      <c r="AG34" s="2">
        <f t="shared" si="20"/>
        <v>1</v>
      </c>
      <c r="AH34" s="2">
        <f t="shared" si="21"/>
        <v>0</v>
      </c>
      <c r="AI34" s="2">
        <f t="shared" si="22"/>
        <v>1</v>
      </c>
    </row>
    <row r="35" spans="1:16384" s="3" customFormat="1" ht="14.25" customHeight="1" x14ac:dyDescent="0.25">
      <c r="A35" s="20">
        <v>0</v>
      </c>
      <c r="B35" s="20">
        <v>1</v>
      </c>
      <c r="C35" s="20">
        <v>3</v>
      </c>
      <c r="D35" s="21" t="s">
        <v>385</v>
      </c>
      <c r="E35" s="21" t="s">
        <v>259</v>
      </c>
      <c r="F35" s="21" t="s">
        <v>386</v>
      </c>
      <c r="G35" s="21" t="s">
        <v>157</v>
      </c>
      <c r="H35" s="21" t="s">
        <v>165</v>
      </c>
      <c r="I35" s="20" t="s">
        <v>387</v>
      </c>
      <c r="J35" s="20">
        <v>99</v>
      </c>
      <c r="K35" s="20" t="s">
        <v>330</v>
      </c>
      <c r="L35" s="20">
        <v>65</v>
      </c>
      <c r="M35" s="21" t="s">
        <v>734</v>
      </c>
      <c r="N35" s="21"/>
      <c r="O35" s="7"/>
      <c r="P35" s="7"/>
      <c r="Q35" s="21"/>
      <c r="R35" s="2"/>
      <c r="S35" s="2">
        <f t="shared" si="7"/>
        <v>0</v>
      </c>
      <c r="T35" s="2">
        <f t="shared" si="8"/>
        <v>0</v>
      </c>
      <c r="U35" s="2">
        <f t="shared" si="9"/>
        <v>0</v>
      </c>
      <c r="V35" s="2">
        <f t="shared" si="10"/>
        <v>0</v>
      </c>
      <c r="W35" s="2">
        <f t="shared" si="11"/>
        <v>0</v>
      </c>
      <c r="X35" s="2">
        <f t="shared" si="12"/>
        <v>0</v>
      </c>
      <c r="Y35" s="2">
        <f t="shared" si="13"/>
        <v>0</v>
      </c>
      <c r="Z35" s="2">
        <f t="shared" si="14"/>
        <v>0</v>
      </c>
      <c r="AA35" s="2">
        <f t="shared" si="15"/>
        <v>0</v>
      </c>
      <c r="AB35" s="2">
        <f t="shared" si="16"/>
        <v>0</v>
      </c>
      <c r="AC35" s="2"/>
      <c r="AD35" s="2">
        <f t="shared" si="17"/>
        <v>0</v>
      </c>
      <c r="AE35" s="2">
        <f t="shared" si="18"/>
        <v>0</v>
      </c>
      <c r="AF35" s="2">
        <f t="shared" si="19"/>
        <v>0</v>
      </c>
      <c r="AG35" s="2">
        <f t="shared" si="20"/>
        <v>0</v>
      </c>
      <c r="AH35" s="2">
        <f t="shared" si="21"/>
        <v>0</v>
      </c>
      <c r="AI35" s="2">
        <f t="shared" si="22"/>
        <v>1</v>
      </c>
    </row>
    <row r="36" spans="1:16384" s="3" customFormat="1" ht="14.25" customHeight="1" x14ac:dyDescent="0.25">
      <c r="A36" s="29">
        <v>0</v>
      </c>
      <c r="B36" s="29">
        <v>1</v>
      </c>
      <c r="C36" s="29">
        <v>3</v>
      </c>
      <c r="D36" s="30" t="s">
        <v>302</v>
      </c>
      <c r="E36" s="30" t="s">
        <v>263</v>
      </c>
      <c r="F36" s="30" t="s">
        <v>312</v>
      </c>
      <c r="G36" s="30" t="s">
        <v>40</v>
      </c>
      <c r="H36" s="30" t="s">
        <v>303</v>
      </c>
      <c r="I36" s="29" t="s">
        <v>304</v>
      </c>
      <c r="J36" s="29">
        <v>99</v>
      </c>
      <c r="K36" s="29" t="s">
        <v>376</v>
      </c>
      <c r="L36" s="29">
        <v>90</v>
      </c>
      <c r="M36" s="30" t="s">
        <v>595</v>
      </c>
      <c r="N36" s="30" t="s">
        <v>893</v>
      </c>
      <c r="O36" s="31">
        <v>1</v>
      </c>
      <c r="P36" s="31"/>
      <c r="Q36" s="30"/>
      <c r="R36" s="2"/>
      <c r="S36" s="2">
        <f t="shared" si="7"/>
        <v>0</v>
      </c>
      <c r="T36" s="2">
        <f t="shared" si="8"/>
        <v>0</v>
      </c>
      <c r="U36" s="2">
        <f t="shared" si="9"/>
        <v>0</v>
      </c>
      <c r="V36" s="2">
        <f t="shared" si="10"/>
        <v>0</v>
      </c>
      <c r="W36" s="2">
        <f t="shared" si="11"/>
        <v>0</v>
      </c>
      <c r="X36" s="2">
        <f t="shared" si="12"/>
        <v>0</v>
      </c>
      <c r="Y36" s="2">
        <f t="shared" si="13"/>
        <v>0</v>
      </c>
      <c r="Z36" s="2">
        <f t="shared" si="14"/>
        <v>0</v>
      </c>
      <c r="AA36" s="2">
        <f t="shared" si="15"/>
        <v>0</v>
      </c>
      <c r="AB36" s="2">
        <f t="shared" si="16"/>
        <v>0</v>
      </c>
      <c r="AC36" s="2"/>
      <c r="AD36" s="2">
        <f t="shared" si="17"/>
        <v>0</v>
      </c>
      <c r="AE36" s="2">
        <f t="shared" si="18"/>
        <v>1</v>
      </c>
      <c r="AF36" s="2">
        <f t="shared" si="19"/>
        <v>0</v>
      </c>
      <c r="AG36" s="2">
        <f t="shared" si="20"/>
        <v>1</v>
      </c>
      <c r="AH36" s="2">
        <f t="shared" si="21"/>
        <v>0</v>
      </c>
      <c r="AI36" s="2">
        <f t="shared" si="22"/>
        <v>1</v>
      </c>
    </row>
    <row r="37" spans="1:16384" s="3" customFormat="1" ht="14.25" customHeight="1" x14ac:dyDescent="0.25">
      <c r="A37" s="29">
        <v>0</v>
      </c>
      <c r="B37" s="29">
        <v>1</v>
      </c>
      <c r="C37" s="29">
        <v>3</v>
      </c>
      <c r="D37" s="30" t="s">
        <v>436</v>
      </c>
      <c r="E37" s="30" t="s">
        <v>259</v>
      </c>
      <c r="F37" s="30" t="s">
        <v>437</v>
      </c>
      <c r="G37" s="30" t="s">
        <v>438</v>
      </c>
      <c r="H37" s="30" t="s">
        <v>165</v>
      </c>
      <c r="I37" s="29" t="s">
        <v>439</v>
      </c>
      <c r="J37" s="29">
        <v>99</v>
      </c>
      <c r="K37" s="29" t="s">
        <v>376</v>
      </c>
      <c r="L37" s="29">
        <v>60</v>
      </c>
      <c r="M37" s="30" t="s">
        <v>596</v>
      </c>
      <c r="N37" s="30" t="s">
        <v>880</v>
      </c>
      <c r="O37" s="31">
        <v>1</v>
      </c>
      <c r="P37" s="31">
        <v>1</v>
      </c>
      <c r="Q37" s="30"/>
      <c r="R37" s="2"/>
      <c r="S37" s="2">
        <f t="shared" si="7"/>
        <v>0</v>
      </c>
      <c r="T37" s="2">
        <f t="shared" si="8"/>
        <v>0</v>
      </c>
      <c r="U37" s="2">
        <f t="shared" si="9"/>
        <v>0</v>
      </c>
      <c r="V37" s="2">
        <f t="shared" si="10"/>
        <v>0</v>
      </c>
      <c r="W37" s="2">
        <f t="shared" si="11"/>
        <v>0</v>
      </c>
      <c r="X37" s="2">
        <f t="shared" si="12"/>
        <v>0</v>
      </c>
      <c r="Y37" s="2">
        <f t="shared" si="13"/>
        <v>0</v>
      </c>
      <c r="Z37" s="2">
        <f t="shared" si="14"/>
        <v>0</v>
      </c>
      <c r="AA37" s="2">
        <f t="shared" si="15"/>
        <v>0</v>
      </c>
      <c r="AB37" s="2">
        <f t="shared" si="16"/>
        <v>0</v>
      </c>
      <c r="AC37" s="2"/>
      <c r="AD37" s="2">
        <f t="shared" si="17"/>
        <v>1</v>
      </c>
      <c r="AE37" s="2">
        <f t="shared" si="18"/>
        <v>0</v>
      </c>
      <c r="AF37" s="2">
        <f t="shared" si="19"/>
        <v>1</v>
      </c>
      <c r="AG37" s="2">
        <f t="shared" si="20"/>
        <v>0</v>
      </c>
      <c r="AH37" s="2">
        <f t="shared" si="21"/>
        <v>1</v>
      </c>
      <c r="AI37" s="2">
        <f t="shared" si="22"/>
        <v>0</v>
      </c>
    </row>
    <row r="38" spans="1:16384" s="3" customFormat="1" ht="14.25" customHeight="1" x14ac:dyDescent="0.25">
      <c r="A38" s="20">
        <v>0</v>
      </c>
      <c r="B38" s="20">
        <v>1</v>
      </c>
      <c r="C38" s="20">
        <v>3</v>
      </c>
      <c r="D38" s="21" t="s">
        <v>801</v>
      </c>
      <c r="E38" s="21" t="s">
        <v>497</v>
      </c>
      <c r="F38" s="21" t="s">
        <v>498</v>
      </c>
      <c r="G38" s="21" t="s">
        <v>93</v>
      </c>
      <c r="H38" s="21" t="s">
        <v>165</v>
      </c>
      <c r="I38" s="20" t="s">
        <v>499</v>
      </c>
      <c r="J38" s="20">
        <v>8</v>
      </c>
      <c r="K38" s="20" t="s">
        <v>329</v>
      </c>
      <c r="L38" s="20" t="s">
        <v>844</v>
      </c>
      <c r="M38" s="21" t="s">
        <v>596</v>
      </c>
      <c r="N38" s="21"/>
      <c r="O38" s="7"/>
      <c r="P38" s="7"/>
      <c r="Q38" s="21"/>
      <c r="R38" s="2"/>
      <c r="S38" s="2">
        <f t="shared" si="7"/>
        <v>0</v>
      </c>
      <c r="T38" s="2">
        <f t="shared" si="8"/>
        <v>0</v>
      </c>
      <c r="U38" s="2">
        <f t="shared" si="9"/>
        <v>0</v>
      </c>
      <c r="V38" s="2">
        <f t="shared" si="10"/>
        <v>0</v>
      </c>
      <c r="W38" s="2">
        <f t="shared" si="11"/>
        <v>0</v>
      </c>
      <c r="X38" s="2">
        <f t="shared" si="12"/>
        <v>0</v>
      </c>
      <c r="Y38" s="2">
        <f t="shared" si="13"/>
        <v>0</v>
      </c>
      <c r="Z38" s="2">
        <f t="shared" si="14"/>
        <v>1</v>
      </c>
      <c r="AA38" s="2">
        <f t="shared" si="15"/>
        <v>0</v>
      </c>
      <c r="AB38" s="2">
        <f t="shared" si="16"/>
        <v>0</v>
      </c>
      <c r="AC38" s="2"/>
      <c r="AD38" s="2">
        <f t="shared" si="17"/>
        <v>0</v>
      </c>
      <c r="AE38" s="2">
        <f t="shared" si="18"/>
        <v>0</v>
      </c>
      <c r="AF38" s="2">
        <f t="shared" si="19"/>
        <v>0</v>
      </c>
      <c r="AG38" s="2">
        <f t="shared" si="20"/>
        <v>0</v>
      </c>
      <c r="AH38" s="2">
        <f t="shared" si="21"/>
        <v>0</v>
      </c>
      <c r="AI38" s="2">
        <f t="shared" si="22"/>
        <v>1</v>
      </c>
    </row>
    <row r="39" spans="1:16384" s="3" customFormat="1" ht="14.25" customHeight="1" x14ac:dyDescent="0.25">
      <c r="A39" s="29">
        <v>0</v>
      </c>
      <c r="B39" s="29">
        <v>1</v>
      </c>
      <c r="C39" s="29">
        <v>3</v>
      </c>
      <c r="D39" s="30" t="s">
        <v>510</v>
      </c>
      <c r="E39" s="30" t="s">
        <v>671</v>
      </c>
      <c r="F39" s="30" t="s">
        <v>511</v>
      </c>
      <c r="G39" s="30" t="s">
        <v>39</v>
      </c>
      <c r="H39" s="30" t="s">
        <v>165</v>
      </c>
      <c r="I39" s="29" t="s">
        <v>512</v>
      </c>
      <c r="J39" s="29">
        <v>8</v>
      </c>
      <c r="K39" s="29" t="s">
        <v>326</v>
      </c>
      <c r="L39" s="29" t="s">
        <v>848</v>
      </c>
      <c r="M39" s="30" t="s">
        <v>735</v>
      </c>
      <c r="N39" s="30" t="s">
        <v>893</v>
      </c>
      <c r="O39" s="31">
        <v>1</v>
      </c>
      <c r="P39" s="31"/>
      <c r="Q39" s="30"/>
      <c r="R39" s="2"/>
      <c r="S39" s="2">
        <f t="shared" si="7"/>
        <v>0</v>
      </c>
      <c r="T39" s="2">
        <f t="shared" si="8"/>
        <v>0</v>
      </c>
      <c r="U39" s="2">
        <f t="shared" si="9"/>
        <v>0</v>
      </c>
      <c r="V39" s="2">
        <f t="shared" si="10"/>
        <v>0</v>
      </c>
      <c r="W39" s="2">
        <f t="shared" si="11"/>
        <v>0</v>
      </c>
      <c r="X39" s="2">
        <f t="shared" si="12"/>
        <v>0</v>
      </c>
      <c r="Y39" s="2">
        <f t="shared" si="13"/>
        <v>0</v>
      </c>
      <c r="Z39" s="2">
        <f t="shared" si="14"/>
        <v>1</v>
      </c>
      <c r="AA39" s="2">
        <f t="shared" si="15"/>
        <v>0</v>
      </c>
      <c r="AB39" s="2">
        <f t="shared" si="16"/>
        <v>0</v>
      </c>
      <c r="AC39" s="2"/>
      <c r="AD39" s="2">
        <f t="shared" si="17"/>
        <v>0</v>
      </c>
      <c r="AE39" s="2">
        <f t="shared" si="18"/>
        <v>1</v>
      </c>
      <c r="AF39" s="2">
        <f t="shared" si="19"/>
        <v>0</v>
      </c>
      <c r="AG39" s="2">
        <f t="shared" si="20"/>
        <v>1</v>
      </c>
      <c r="AH39" s="2">
        <f t="shared" si="21"/>
        <v>0</v>
      </c>
      <c r="AI39" s="2">
        <f t="shared" si="22"/>
        <v>1</v>
      </c>
    </row>
    <row r="40" spans="1:16384" s="3" customFormat="1" ht="14.25" customHeight="1" x14ac:dyDescent="0.25">
      <c r="A40" s="29">
        <v>0</v>
      </c>
      <c r="B40" s="29">
        <v>1</v>
      </c>
      <c r="C40" s="29">
        <v>3</v>
      </c>
      <c r="D40" s="30" t="s">
        <v>77</v>
      </c>
      <c r="E40" s="30" t="s">
        <v>259</v>
      </c>
      <c r="F40" s="30" t="s">
        <v>256</v>
      </c>
      <c r="G40" s="30" t="s">
        <v>148</v>
      </c>
      <c r="H40" s="30" t="s">
        <v>165</v>
      </c>
      <c r="I40" s="29" t="s">
        <v>201</v>
      </c>
      <c r="J40" s="29">
        <v>99</v>
      </c>
      <c r="K40" s="29" t="s">
        <v>326</v>
      </c>
      <c r="L40" s="29">
        <v>90</v>
      </c>
      <c r="M40" s="30" t="s">
        <v>777</v>
      </c>
      <c r="N40" s="30" t="s">
        <v>893</v>
      </c>
      <c r="O40" s="31">
        <v>1</v>
      </c>
      <c r="P40" s="31"/>
      <c r="Q40" s="30"/>
      <c r="R40" s="2"/>
      <c r="S40" s="2">
        <f t="shared" si="7"/>
        <v>0</v>
      </c>
      <c r="T40" s="2">
        <f t="shared" si="8"/>
        <v>0</v>
      </c>
      <c r="U40" s="2">
        <f t="shared" si="9"/>
        <v>0</v>
      </c>
      <c r="V40" s="2">
        <f t="shared" si="10"/>
        <v>0</v>
      </c>
      <c r="W40" s="2">
        <f t="shared" si="11"/>
        <v>0</v>
      </c>
      <c r="X40" s="2">
        <f t="shared" si="12"/>
        <v>0</v>
      </c>
      <c r="Y40" s="2">
        <f t="shared" si="13"/>
        <v>0</v>
      </c>
      <c r="Z40" s="2">
        <f t="shared" si="14"/>
        <v>0</v>
      </c>
      <c r="AA40" s="2">
        <f t="shared" si="15"/>
        <v>0</v>
      </c>
      <c r="AB40" s="2">
        <f t="shared" si="16"/>
        <v>0</v>
      </c>
      <c r="AC40" s="2"/>
      <c r="AD40" s="2">
        <f t="shared" si="17"/>
        <v>0</v>
      </c>
      <c r="AE40" s="2">
        <f t="shared" si="18"/>
        <v>1</v>
      </c>
      <c r="AF40" s="2">
        <f t="shared" si="19"/>
        <v>0</v>
      </c>
      <c r="AG40" s="2">
        <f t="shared" si="20"/>
        <v>1</v>
      </c>
      <c r="AH40" s="2">
        <f t="shared" si="21"/>
        <v>0</v>
      </c>
      <c r="AI40" s="2">
        <f t="shared" si="22"/>
        <v>1</v>
      </c>
    </row>
    <row r="41" spans="1:16384" s="3" customFormat="1" ht="14.25" customHeight="1" x14ac:dyDescent="0.25">
      <c r="A41" s="29">
        <v>0</v>
      </c>
      <c r="B41" s="29">
        <v>1</v>
      </c>
      <c r="C41" s="29">
        <v>3</v>
      </c>
      <c r="D41" s="30" t="s">
        <v>748</v>
      </c>
      <c r="E41" s="30" t="s">
        <v>749</v>
      </c>
      <c r="F41" s="30" t="s">
        <v>750</v>
      </c>
      <c r="G41" s="30" t="s">
        <v>92</v>
      </c>
      <c r="H41" s="30" t="s">
        <v>165</v>
      </c>
      <c r="I41" s="29" t="s">
        <v>751</v>
      </c>
      <c r="J41" s="29">
        <v>1</v>
      </c>
      <c r="K41" s="29" t="s">
        <v>376</v>
      </c>
      <c r="L41" s="29">
        <v>35</v>
      </c>
      <c r="M41" s="30" t="s">
        <v>752</v>
      </c>
      <c r="N41" s="30" t="s">
        <v>883</v>
      </c>
      <c r="O41" s="31">
        <v>1</v>
      </c>
      <c r="P41" s="31"/>
      <c r="Q41" s="30"/>
      <c r="R41" s="2"/>
      <c r="S41" s="2">
        <f t="shared" si="7"/>
        <v>1</v>
      </c>
      <c r="T41" s="2">
        <f t="shared" si="8"/>
        <v>0</v>
      </c>
      <c r="U41" s="2">
        <f t="shared" si="9"/>
        <v>0</v>
      </c>
      <c r="V41" s="2">
        <f t="shared" si="10"/>
        <v>0</v>
      </c>
      <c r="W41" s="2">
        <f t="shared" si="11"/>
        <v>0</v>
      </c>
      <c r="X41" s="2">
        <f t="shared" si="12"/>
        <v>0</v>
      </c>
      <c r="Y41" s="2">
        <f t="shared" si="13"/>
        <v>0</v>
      </c>
      <c r="Z41" s="2">
        <f t="shared" si="14"/>
        <v>0</v>
      </c>
      <c r="AA41" s="2">
        <f t="shared" si="15"/>
        <v>0</v>
      </c>
      <c r="AB41" s="2">
        <f t="shared" si="16"/>
        <v>0</v>
      </c>
      <c r="AC41" s="2"/>
      <c r="AD41" s="2">
        <f t="shared" si="17"/>
        <v>0</v>
      </c>
      <c r="AE41" s="2">
        <f t="shared" si="18"/>
        <v>1</v>
      </c>
      <c r="AF41" s="2">
        <f t="shared" si="19"/>
        <v>0</v>
      </c>
      <c r="AG41" s="2">
        <f t="shared" si="20"/>
        <v>1</v>
      </c>
      <c r="AH41" s="2">
        <f t="shared" si="21"/>
        <v>0</v>
      </c>
      <c r="AI41" s="2">
        <f t="shared" si="22"/>
        <v>1</v>
      </c>
    </row>
    <row r="42" spans="1:16384" s="3" customFormat="1" ht="14.25" customHeight="1" x14ac:dyDescent="0.25">
      <c r="A42" s="29">
        <v>0</v>
      </c>
      <c r="B42" s="29">
        <v>1</v>
      </c>
      <c r="C42" s="29">
        <v>3</v>
      </c>
      <c r="D42" s="30" t="s">
        <v>983</v>
      </c>
      <c r="E42" s="30" t="s">
        <v>507</v>
      </c>
      <c r="F42" s="30" t="s">
        <v>588</v>
      </c>
      <c r="G42" s="30" t="s">
        <v>93</v>
      </c>
      <c r="H42" s="30" t="s">
        <v>165</v>
      </c>
      <c r="I42" s="29" t="s">
        <v>593</v>
      </c>
      <c r="J42" s="29">
        <v>8</v>
      </c>
      <c r="K42" s="29" t="s">
        <v>376</v>
      </c>
      <c r="L42" s="29" t="s">
        <v>346</v>
      </c>
      <c r="M42" s="30" t="s">
        <v>508</v>
      </c>
      <c r="N42" s="30" t="s">
        <v>889</v>
      </c>
      <c r="O42" s="31">
        <v>1</v>
      </c>
      <c r="P42" s="31"/>
      <c r="Q42" s="30"/>
      <c r="R42" s="2"/>
      <c r="S42" s="2">
        <f t="shared" si="7"/>
        <v>0</v>
      </c>
      <c r="T42" s="2">
        <f t="shared" si="8"/>
        <v>0</v>
      </c>
      <c r="U42" s="2">
        <f t="shared" si="9"/>
        <v>0</v>
      </c>
      <c r="V42" s="2">
        <f t="shared" si="10"/>
        <v>0</v>
      </c>
      <c r="W42" s="2">
        <f t="shared" si="11"/>
        <v>0</v>
      </c>
      <c r="X42" s="2">
        <f t="shared" si="12"/>
        <v>0</v>
      </c>
      <c r="Y42" s="2">
        <f t="shared" si="13"/>
        <v>0</v>
      </c>
      <c r="Z42" s="2">
        <f t="shared" si="14"/>
        <v>1</v>
      </c>
      <c r="AA42" s="2">
        <f t="shared" si="15"/>
        <v>0</v>
      </c>
      <c r="AB42" s="2">
        <f t="shared" si="16"/>
        <v>0</v>
      </c>
      <c r="AC42" s="2"/>
      <c r="AD42" s="2">
        <f t="shared" si="17"/>
        <v>0</v>
      </c>
      <c r="AE42" s="2">
        <f t="shared" si="18"/>
        <v>1</v>
      </c>
      <c r="AF42" s="2">
        <f t="shared" si="19"/>
        <v>0</v>
      </c>
      <c r="AG42" s="2">
        <f t="shared" si="20"/>
        <v>1</v>
      </c>
      <c r="AH42" s="2">
        <f t="shared" si="21"/>
        <v>0</v>
      </c>
      <c r="AI42" s="2">
        <f t="shared" si="22"/>
        <v>1</v>
      </c>
    </row>
    <row r="43" spans="1:16384" s="3" customFormat="1" ht="14.25" customHeight="1" x14ac:dyDescent="0.25">
      <c r="A43" s="29">
        <v>0</v>
      </c>
      <c r="B43" s="29">
        <v>1</v>
      </c>
      <c r="C43" s="29">
        <v>3</v>
      </c>
      <c r="D43" s="30" t="s">
        <v>411</v>
      </c>
      <c r="E43" s="30" t="s">
        <v>259</v>
      </c>
      <c r="F43" s="30" t="s">
        <v>586</v>
      </c>
      <c r="G43" s="30" t="s">
        <v>284</v>
      </c>
      <c r="H43" s="30" t="s">
        <v>165</v>
      </c>
      <c r="I43" s="29" t="s">
        <v>412</v>
      </c>
      <c r="J43" s="29">
        <v>99</v>
      </c>
      <c r="K43" s="29" t="s">
        <v>331</v>
      </c>
      <c r="L43" s="29" t="s">
        <v>341</v>
      </c>
      <c r="M43" s="30" t="s">
        <v>735</v>
      </c>
      <c r="N43" s="30" t="s">
        <v>889</v>
      </c>
      <c r="O43" s="31">
        <v>1</v>
      </c>
      <c r="P43" s="31"/>
      <c r="Q43" s="30"/>
      <c r="R43" s="2"/>
      <c r="S43" s="2">
        <f t="shared" si="7"/>
        <v>0</v>
      </c>
      <c r="T43" s="2">
        <f t="shared" si="8"/>
        <v>0</v>
      </c>
      <c r="U43" s="2">
        <f t="shared" si="9"/>
        <v>0</v>
      </c>
      <c r="V43" s="2">
        <f t="shared" si="10"/>
        <v>0</v>
      </c>
      <c r="W43" s="2">
        <f t="shared" si="11"/>
        <v>0</v>
      </c>
      <c r="X43" s="2">
        <f t="shared" si="12"/>
        <v>0</v>
      </c>
      <c r="Y43" s="2">
        <f t="shared" si="13"/>
        <v>0</v>
      </c>
      <c r="Z43" s="2">
        <f t="shared" si="14"/>
        <v>0</v>
      </c>
      <c r="AA43" s="2">
        <f t="shared" si="15"/>
        <v>0</v>
      </c>
      <c r="AB43" s="2">
        <f t="shared" si="16"/>
        <v>0</v>
      </c>
      <c r="AC43" s="2"/>
      <c r="AD43" s="2">
        <f t="shared" si="17"/>
        <v>0</v>
      </c>
      <c r="AE43" s="2">
        <f t="shared" si="18"/>
        <v>1</v>
      </c>
      <c r="AF43" s="2">
        <f t="shared" si="19"/>
        <v>0</v>
      </c>
      <c r="AG43" s="2">
        <f t="shared" si="20"/>
        <v>1</v>
      </c>
      <c r="AH43" s="2">
        <f t="shared" si="21"/>
        <v>0</v>
      </c>
      <c r="AI43" s="2">
        <f t="shared" si="22"/>
        <v>1</v>
      </c>
    </row>
    <row r="44" spans="1:16384" s="3" customFormat="1" ht="14.25" customHeight="1" x14ac:dyDescent="0.25">
      <c r="A44" s="29">
        <v>0</v>
      </c>
      <c r="B44" s="29">
        <v>1</v>
      </c>
      <c r="C44" s="29">
        <v>3</v>
      </c>
      <c r="D44" s="30" t="s">
        <v>678</v>
      </c>
      <c r="E44" s="30" t="s">
        <v>621</v>
      </c>
      <c r="F44" s="30" t="s">
        <v>619</v>
      </c>
      <c r="G44" s="30" t="s">
        <v>40</v>
      </c>
      <c r="H44" s="30" t="s">
        <v>620</v>
      </c>
      <c r="I44" s="29" t="s">
        <v>622</v>
      </c>
      <c r="J44" s="29">
        <v>99</v>
      </c>
      <c r="K44" s="29" t="s">
        <v>376</v>
      </c>
      <c r="L44" s="29">
        <v>60</v>
      </c>
      <c r="M44" s="30" t="s">
        <v>596</v>
      </c>
      <c r="N44" s="30" t="s">
        <v>883</v>
      </c>
      <c r="O44" s="31">
        <v>1</v>
      </c>
      <c r="P44" s="31"/>
      <c r="Q44" s="30"/>
      <c r="R44" s="2"/>
      <c r="S44" s="2">
        <f t="shared" si="7"/>
        <v>0</v>
      </c>
      <c r="T44" s="2">
        <f t="shared" si="8"/>
        <v>0</v>
      </c>
      <c r="U44" s="2">
        <f t="shared" si="9"/>
        <v>0</v>
      </c>
      <c r="V44" s="2">
        <f t="shared" si="10"/>
        <v>0</v>
      </c>
      <c r="W44" s="2">
        <f t="shared" si="11"/>
        <v>0</v>
      </c>
      <c r="X44" s="2">
        <f t="shared" si="12"/>
        <v>0</v>
      </c>
      <c r="Y44" s="2">
        <f t="shared" si="13"/>
        <v>0</v>
      </c>
      <c r="Z44" s="2">
        <f t="shared" si="14"/>
        <v>0</v>
      </c>
      <c r="AA44" s="2">
        <f t="shared" si="15"/>
        <v>0</v>
      </c>
      <c r="AB44" s="2">
        <f t="shared" si="16"/>
        <v>0</v>
      </c>
      <c r="AC44" s="2"/>
      <c r="AD44" s="2">
        <f t="shared" si="17"/>
        <v>0</v>
      </c>
      <c r="AE44" s="2">
        <f t="shared" si="18"/>
        <v>1</v>
      </c>
      <c r="AF44" s="2">
        <f t="shared" si="19"/>
        <v>0</v>
      </c>
      <c r="AG44" s="2">
        <f t="shared" si="20"/>
        <v>1</v>
      </c>
      <c r="AH44" s="2">
        <f t="shared" si="21"/>
        <v>0</v>
      </c>
      <c r="AI44" s="2">
        <f t="shared" si="22"/>
        <v>1</v>
      </c>
    </row>
    <row r="45" spans="1:16384" s="3" customFormat="1" ht="14.25" customHeight="1" x14ac:dyDescent="0.25">
      <c r="A45" s="29">
        <v>0</v>
      </c>
      <c r="B45" s="29">
        <v>1</v>
      </c>
      <c r="C45" s="29">
        <v>3</v>
      </c>
      <c r="D45" s="30" t="s">
        <v>766</v>
      </c>
      <c r="E45" s="30" t="s">
        <v>259</v>
      </c>
      <c r="F45" s="30" t="s">
        <v>767</v>
      </c>
      <c r="G45" s="30" t="s">
        <v>103</v>
      </c>
      <c r="H45" s="30" t="s">
        <v>165</v>
      </c>
      <c r="I45" s="29" t="s">
        <v>768</v>
      </c>
      <c r="J45" s="29">
        <v>6</v>
      </c>
      <c r="K45" s="29" t="s">
        <v>376</v>
      </c>
      <c r="L45" s="29">
        <v>70</v>
      </c>
      <c r="M45" s="30" t="s">
        <v>769</v>
      </c>
      <c r="N45" s="30" t="s">
        <v>893</v>
      </c>
      <c r="O45" s="31">
        <v>1</v>
      </c>
      <c r="P45" s="31"/>
      <c r="Q45" s="30"/>
      <c r="R45" s="2"/>
      <c r="S45" s="2">
        <f t="shared" si="7"/>
        <v>0</v>
      </c>
      <c r="T45" s="2">
        <f t="shared" si="8"/>
        <v>0</v>
      </c>
      <c r="U45" s="2">
        <f t="shared" si="9"/>
        <v>0</v>
      </c>
      <c r="V45" s="2">
        <f t="shared" si="10"/>
        <v>0</v>
      </c>
      <c r="W45" s="2">
        <f t="shared" si="11"/>
        <v>0</v>
      </c>
      <c r="X45" s="2">
        <f t="shared" si="12"/>
        <v>1</v>
      </c>
      <c r="Y45" s="2">
        <f t="shared" si="13"/>
        <v>0</v>
      </c>
      <c r="Z45" s="2">
        <f t="shared" si="14"/>
        <v>0</v>
      </c>
      <c r="AA45" s="2">
        <f t="shared" si="15"/>
        <v>0</v>
      </c>
      <c r="AB45" s="2">
        <f t="shared" si="16"/>
        <v>0</v>
      </c>
      <c r="AC45" s="2"/>
      <c r="AD45" s="2">
        <f t="shared" si="17"/>
        <v>0</v>
      </c>
      <c r="AE45" s="2">
        <f t="shared" si="18"/>
        <v>1</v>
      </c>
      <c r="AF45" s="2">
        <f t="shared" si="19"/>
        <v>0</v>
      </c>
      <c r="AG45" s="2">
        <f t="shared" si="20"/>
        <v>1</v>
      </c>
      <c r="AH45" s="2">
        <f t="shared" si="21"/>
        <v>0</v>
      </c>
      <c r="AI45" s="2">
        <f t="shared" si="22"/>
        <v>1</v>
      </c>
    </row>
    <row r="46" spans="1:16384" s="3" customFormat="1" ht="14.25" customHeight="1" x14ac:dyDescent="0.25">
      <c r="A46" s="29">
        <v>0</v>
      </c>
      <c r="B46" s="29">
        <v>1</v>
      </c>
      <c r="C46" s="29">
        <v>3</v>
      </c>
      <c r="D46" s="30" t="s">
        <v>606</v>
      </c>
      <c r="E46" s="30" t="s">
        <v>259</v>
      </c>
      <c r="F46" s="30" t="s">
        <v>607</v>
      </c>
      <c r="G46" s="30" t="s">
        <v>818</v>
      </c>
      <c r="H46" s="30" t="s">
        <v>165</v>
      </c>
      <c r="I46" s="29" t="s">
        <v>608</v>
      </c>
      <c r="J46" s="29">
        <v>99</v>
      </c>
      <c r="K46" s="29" t="s">
        <v>332</v>
      </c>
      <c r="L46" s="29" t="s">
        <v>341</v>
      </c>
      <c r="M46" s="30" t="s">
        <v>735</v>
      </c>
      <c r="N46" s="30" t="s">
        <v>882</v>
      </c>
      <c r="O46" s="31">
        <v>1</v>
      </c>
      <c r="P46" s="31"/>
      <c r="Q46" s="30"/>
      <c r="R46" s="2"/>
      <c r="S46" s="2">
        <f t="shared" si="7"/>
        <v>0</v>
      </c>
      <c r="T46" s="2">
        <f t="shared" si="8"/>
        <v>0</v>
      </c>
      <c r="U46" s="2">
        <f t="shared" si="9"/>
        <v>0</v>
      </c>
      <c r="V46" s="2">
        <f t="shared" si="10"/>
        <v>0</v>
      </c>
      <c r="W46" s="2">
        <f t="shared" si="11"/>
        <v>0</v>
      </c>
      <c r="X46" s="2">
        <f t="shared" si="12"/>
        <v>0</v>
      </c>
      <c r="Y46" s="2">
        <f t="shared" si="13"/>
        <v>0</v>
      </c>
      <c r="Z46" s="2">
        <f t="shared" si="14"/>
        <v>0</v>
      </c>
      <c r="AA46" s="2">
        <f t="shared" si="15"/>
        <v>0</v>
      </c>
      <c r="AB46" s="2">
        <f t="shared" si="16"/>
        <v>0</v>
      </c>
      <c r="AC46" s="2"/>
      <c r="AD46" s="2">
        <f t="shared" si="17"/>
        <v>0</v>
      </c>
      <c r="AE46" s="2">
        <f t="shared" si="18"/>
        <v>1</v>
      </c>
      <c r="AF46" s="2">
        <f t="shared" si="19"/>
        <v>0</v>
      </c>
      <c r="AG46" s="2">
        <f t="shared" si="20"/>
        <v>1</v>
      </c>
      <c r="AH46" s="2">
        <f t="shared" si="21"/>
        <v>0</v>
      </c>
      <c r="AI46" s="2">
        <f t="shared" si="22"/>
        <v>1</v>
      </c>
    </row>
    <row r="47" spans="1:16384" s="3" customFormat="1" ht="14.25" customHeight="1" x14ac:dyDescent="0.25">
      <c r="A47" s="29">
        <v>0</v>
      </c>
      <c r="B47" s="29">
        <v>1</v>
      </c>
      <c r="C47" s="29">
        <v>3</v>
      </c>
      <c r="D47" s="30" t="s">
        <v>681</v>
      </c>
      <c r="E47" s="30" t="s">
        <v>263</v>
      </c>
      <c r="F47" s="30" t="s">
        <v>685</v>
      </c>
      <c r="G47" s="30" t="s">
        <v>93</v>
      </c>
      <c r="H47" s="30" t="s">
        <v>165</v>
      </c>
      <c r="I47" s="29" t="s">
        <v>509</v>
      </c>
      <c r="J47" s="29">
        <v>8</v>
      </c>
      <c r="K47" s="29" t="s">
        <v>332</v>
      </c>
      <c r="L47" s="29" t="s">
        <v>594</v>
      </c>
      <c r="M47" s="30" t="s">
        <v>206</v>
      </c>
      <c r="N47" s="30" t="s">
        <v>889</v>
      </c>
      <c r="O47" s="31">
        <v>1</v>
      </c>
      <c r="P47" s="31"/>
      <c r="Q47" s="30"/>
      <c r="R47" s="2"/>
      <c r="S47" s="2">
        <f t="shared" si="7"/>
        <v>0</v>
      </c>
      <c r="T47" s="2">
        <f t="shared" si="8"/>
        <v>0</v>
      </c>
      <c r="U47" s="2">
        <f t="shared" si="9"/>
        <v>0</v>
      </c>
      <c r="V47" s="2">
        <f t="shared" si="10"/>
        <v>0</v>
      </c>
      <c r="W47" s="2">
        <f t="shared" si="11"/>
        <v>0</v>
      </c>
      <c r="X47" s="2">
        <f t="shared" si="12"/>
        <v>0</v>
      </c>
      <c r="Y47" s="2">
        <f t="shared" si="13"/>
        <v>0</v>
      </c>
      <c r="Z47" s="2">
        <f t="shared" si="14"/>
        <v>1</v>
      </c>
      <c r="AA47" s="2">
        <f t="shared" si="15"/>
        <v>0</v>
      </c>
      <c r="AB47" s="2">
        <f t="shared" si="16"/>
        <v>0</v>
      </c>
      <c r="AC47" s="2"/>
      <c r="AD47" s="2">
        <f t="shared" si="17"/>
        <v>0</v>
      </c>
      <c r="AE47" s="2">
        <f t="shared" si="18"/>
        <v>1</v>
      </c>
      <c r="AF47" s="2">
        <f t="shared" si="19"/>
        <v>0</v>
      </c>
      <c r="AG47" s="2">
        <f t="shared" si="20"/>
        <v>1</v>
      </c>
      <c r="AH47" s="2">
        <f t="shared" si="21"/>
        <v>0</v>
      </c>
      <c r="AI47" s="2">
        <f t="shared" si="22"/>
        <v>1</v>
      </c>
    </row>
    <row r="48" spans="1:16384" s="3" customFormat="1" ht="14.25" customHeight="1" x14ac:dyDescent="0.25">
      <c r="A48" s="29">
        <v>0</v>
      </c>
      <c r="B48" s="29">
        <v>1</v>
      </c>
      <c r="C48" s="29">
        <v>3</v>
      </c>
      <c r="D48" s="30" t="s">
        <v>682</v>
      </c>
      <c r="E48" s="30" t="s">
        <v>259</v>
      </c>
      <c r="F48" s="30" t="s">
        <v>158</v>
      </c>
      <c r="G48" s="30" t="s">
        <v>93</v>
      </c>
      <c r="H48" s="30" t="s">
        <v>165</v>
      </c>
      <c r="I48" s="29" t="s">
        <v>199</v>
      </c>
      <c r="J48" s="29">
        <v>8</v>
      </c>
      <c r="K48" s="29" t="s">
        <v>329</v>
      </c>
      <c r="L48" s="29" t="s">
        <v>341</v>
      </c>
      <c r="M48" s="30" t="s">
        <v>266</v>
      </c>
      <c r="N48" s="30" t="s">
        <v>889</v>
      </c>
      <c r="O48" s="31">
        <v>1</v>
      </c>
      <c r="P48" s="31"/>
      <c r="Q48" s="30"/>
      <c r="R48" s="20"/>
      <c r="S48" s="2">
        <f t="shared" si="7"/>
        <v>0</v>
      </c>
      <c r="T48" s="2">
        <f t="shared" si="8"/>
        <v>0</v>
      </c>
      <c r="U48" s="2">
        <f t="shared" si="9"/>
        <v>0</v>
      </c>
      <c r="V48" s="2">
        <f t="shared" si="10"/>
        <v>0</v>
      </c>
      <c r="W48" s="2">
        <f t="shared" si="11"/>
        <v>0</v>
      </c>
      <c r="X48" s="2">
        <f t="shared" si="12"/>
        <v>0</v>
      </c>
      <c r="Y48" s="2">
        <f t="shared" si="13"/>
        <v>0</v>
      </c>
      <c r="Z48" s="2">
        <f t="shared" si="14"/>
        <v>1</v>
      </c>
      <c r="AA48" s="2">
        <f t="shared" si="15"/>
        <v>0</v>
      </c>
      <c r="AB48" s="2">
        <f t="shared" si="16"/>
        <v>0</v>
      </c>
      <c r="AC48" s="2"/>
      <c r="AD48" s="2">
        <f t="shared" si="17"/>
        <v>0</v>
      </c>
      <c r="AE48" s="2">
        <f t="shared" si="18"/>
        <v>1</v>
      </c>
      <c r="AF48" s="2">
        <f t="shared" si="19"/>
        <v>0</v>
      </c>
      <c r="AG48" s="2">
        <f t="shared" si="20"/>
        <v>1</v>
      </c>
      <c r="AH48" s="2">
        <f t="shared" si="21"/>
        <v>0</v>
      </c>
      <c r="AI48" s="2">
        <f t="shared" si="22"/>
        <v>1</v>
      </c>
      <c r="AJ48" s="20"/>
      <c r="AK48" s="20"/>
      <c r="AL48" s="21"/>
      <c r="AM48" s="21"/>
      <c r="AN48" s="21"/>
      <c r="AO48" s="21"/>
      <c r="AP48" s="21"/>
      <c r="AQ48" s="20"/>
      <c r="AR48" s="20"/>
      <c r="AS48" s="20"/>
      <c r="AT48" s="20"/>
      <c r="AU48" s="21"/>
      <c r="AV48" s="21"/>
      <c r="AW48" s="7"/>
      <c r="AX48" s="7"/>
      <c r="AY48" s="21"/>
      <c r="AZ48" s="20"/>
      <c r="BA48" s="20"/>
      <c r="BB48" s="20"/>
      <c r="BC48" s="21"/>
      <c r="BD48" s="21"/>
      <c r="BE48" s="21"/>
      <c r="BF48" s="21"/>
      <c r="BG48" s="21"/>
      <c r="BH48" s="20"/>
      <c r="BI48" s="20"/>
      <c r="BJ48" s="20"/>
      <c r="BK48" s="20"/>
      <c r="BL48" s="21"/>
      <c r="BM48" s="21"/>
      <c r="BN48" s="7"/>
      <c r="BO48" s="7"/>
      <c r="BP48" s="21"/>
      <c r="BQ48" s="20"/>
      <c r="BR48" s="20"/>
      <c r="BS48" s="20"/>
      <c r="BT48" s="21"/>
      <c r="BU48" s="21"/>
      <c r="BV48" s="21"/>
      <c r="BW48" s="21"/>
      <c r="BX48" s="21"/>
      <c r="BY48" s="20"/>
      <c r="BZ48" s="20"/>
      <c r="CA48" s="20"/>
      <c r="CB48" s="20"/>
      <c r="CC48" s="21"/>
      <c r="CD48" s="21"/>
      <c r="CE48" s="7"/>
      <c r="CF48" s="7"/>
      <c r="CG48" s="21"/>
      <c r="CH48" s="20"/>
      <c r="CI48" s="20"/>
      <c r="CJ48" s="20"/>
      <c r="CK48" s="21"/>
      <c r="CL48" s="21"/>
      <c r="CM48" s="21"/>
      <c r="CN48" s="21"/>
      <c r="CO48" s="21"/>
      <c r="CP48" s="20"/>
      <c r="CQ48" s="20"/>
      <c r="CR48" s="20"/>
      <c r="CS48" s="20"/>
      <c r="CT48" s="21"/>
      <c r="CU48" s="21"/>
      <c r="CV48" s="7"/>
      <c r="CW48" s="7"/>
      <c r="CX48" s="21"/>
      <c r="CY48" s="20"/>
      <c r="CZ48" s="20"/>
      <c r="DA48" s="20"/>
      <c r="DB48" s="21"/>
      <c r="DC48" s="21"/>
      <c r="DD48" s="21"/>
      <c r="DE48" s="21"/>
      <c r="DF48" s="21"/>
      <c r="DG48" s="20"/>
      <c r="DH48" s="20"/>
      <c r="DI48" s="20"/>
      <c r="DJ48" s="20"/>
      <c r="DK48" s="21"/>
      <c r="DL48" s="21"/>
      <c r="DM48" s="7"/>
      <c r="DN48" s="7"/>
      <c r="DO48" s="21"/>
      <c r="DP48" s="20"/>
      <c r="DQ48" s="20"/>
      <c r="DR48" s="20"/>
      <c r="DS48" s="21"/>
      <c r="DT48" s="21"/>
      <c r="DU48" s="21"/>
      <c r="DV48" s="21"/>
      <c r="DW48" s="21"/>
      <c r="DX48" s="20"/>
      <c r="DY48" s="20"/>
      <c r="DZ48" s="20"/>
      <c r="EA48" s="20"/>
      <c r="EB48" s="21"/>
      <c r="EC48" s="21"/>
      <c r="ED48" s="7"/>
      <c r="EE48" s="7"/>
      <c r="EF48" s="21"/>
      <c r="EG48" s="20"/>
      <c r="EH48" s="20"/>
      <c r="EI48" s="20"/>
      <c r="EJ48" s="21"/>
      <c r="EK48" s="21"/>
      <c r="EL48" s="21"/>
      <c r="EM48" s="21"/>
      <c r="EN48" s="21"/>
      <c r="EO48" s="20"/>
      <c r="EP48" s="20"/>
      <c r="EQ48" s="20"/>
      <c r="ER48" s="20"/>
      <c r="ES48" s="21"/>
      <c r="ET48" s="21"/>
      <c r="EU48" s="7"/>
      <c r="EV48" s="7"/>
      <c r="EW48" s="21"/>
      <c r="EX48" s="20"/>
      <c r="EY48" s="20"/>
      <c r="EZ48" s="20"/>
      <c r="FA48" s="21"/>
      <c r="FB48" s="21"/>
      <c r="FC48" s="21"/>
      <c r="FD48" s="21"/>
      <c r="FE48" s="21"/>
      <c r="FF48" s="20"/>
      <c r="FG48" s="20"/>
      <c r="FH48" s="20"/>
      <c r="FI48" s="20"/>
      <c r="FJ48" s="21"/>
      <c r="FK48" s="21"/>
      <c r="FL48" s="7"/>
      <c r="FM48" s="7"/>
      <c r="FN48" s="21"/>
      <c r="FO48" s="20"/>
      <c r="FP48" s="20"/>
      <c r="FQ48" s="20"/>
      <c r="FR48" s="21"/>
      <c r="FS48" s="21"/>
      <c r="FT48" s="21"/>
      <c r="FU48" s="21"/>
      <c r="FV48" s="21"/>
      <c r="FW48" s="20"/>
      <c r="FX48" s="20"/>
      <c r="FY48" s="20"/>
      <c r="FZ48" s="20"/>
      <c r="GA48" s="21"/>
      <c r="GB48" s="21"/>
      <c r="GC48" s="7"/>
      <c r="GD48" s="7"/>
      <c r="GE48" s="21"/>
      <c r="GF48" s="20"/>
      <c r="GG48" s="20"/>
      <c r="GH48" s="20"/>
      <c r="GI48" s="21"/>
      <c r="GJ48" s="21"/>
      <c r="GK48" s="21"/>
      <c r="GL48" s="21"/>
      <c r="GM48" s="21"/>
      <c r="GN48" s="20"/>
      <c r="GO48" s="20"/>
      <c r="GP48" s="20"/>
      <c r="GQ48" s="20"/>
      <c r="GR48" s="21"/>
      <c r="GS48" s="21"/>
      <c r="GT48" s="7"/>
      <c r="GU48" s="7"/>
      <c r="GV48" s="21"/>
      <c r="GW48" s="20"/>
      <c r="GX48" s="20"/>
      <c r="GY48" s="20"/>
      <c r="GZ48" s="21"/>
      <c r="HA48" s="21"/>
      <c r="HB48" s="21"/>
      <c r="HC48" s="21"/>
      <c r="HD48" s="21"/>
      <c r="HE48" s="20"/>
      <c r="HF48" s="20"/>
      <c r="HG48" s="20"/>
      <c r="HH48" s="20"/>
      <c r="HI48" s="21"/>
      <c r="HJ48" s="21"/>
      <c r="HK48" s="7"/>
      <c r="HL48" s="7"/>
      <c r="HM48" s="21"/>
      <c r="HN48" s="20"/>
      <c r="HO48" s="20"/>
      <c r="HP48" s="20"/>
      <c r="HQ48" s="21"/>
      <c r="HR48" s="21"/>
      <c r="HS48" s="21"/>
      <c r="HT48" s="21"/>
      <c r="HU48" s="21"/>
      <c r="HV48" s="20"/>
      <c r="HW48" s="20"/>
      <c r="HX48" s="20"/>
      <c r="HY48" s="20"/>
      <c r="HZ48" s="21"/>
      <c r="IA48" s="21"/>
      <c r="IB48" s="7"/>
      <c r="IC48" s="7"/>
      <c r="ID48" s="21"/>
      <c r="IE48" s="20"/>
      <c r="IF48" s="20"/>
      <c r="IG48" s="20"/>
      <c r="IH48" s="21"/>
      <c r="II48" s="21"/>
      <c r="IJ48" s="21"/>
      <c r="IK48" s="21"/>
      <c r="IL48" s="21"/>
      <c r="IM48" s="20"/>
      <c r="IN48" s="20"/>
      <c r="IO48" s="20"/>
      <c r="IP48" s="20"/>
      <c r="IQ48" s="21"/>
      <c r="IR48" s="21"/>
      <c r="IS48" s="7"/>
      <c r="IT48" s="7"/>
      <c r="IU48" s="21"/>
      <c r="IV48" s="20"/>
      <c r="IW48" s="20"/>
      <c r="IX48" s="20"/>
      <c r="IY48" s="21"/>
      <c r="IZ48" s="21"/>
      <c r="JA48" s="21"/>
      <c r="JB48" s="21"/>
      <c r="JC48" s="21"/>
      <c r="JD48" s="20"/>
      <c r="JE48" s="20"/>
      <c r="JF48" s="20"/>
      <c r="JG48" s="20"/>
      <c r="JH48" s="21"/>
      <c r="JI48" s="21"/>
      <c r="JJ48" s="7"/>
      <c r="JK48" s="7"/>
      <c r="JL48" s="21"/>
      <c r="JM48" s="20"/>
      <c r="JN48" s="20"/>
      <c r="JO48" s="20"/>
      <c r="JP48" s="21"/>
      <c r="JQ48" s="21"/>
      <c r="JR48" s="21"/>
      <c r="JS48" s="21"/>
      <c r="JT48" s="21"/>
      <c r="JU48" s="20"/>
      <c r="JV48" s="20"/>
      <c r="JW48" s="20"/>
      <c r="JX48" s="20"/>
      <c r="JY48" s="21"/>
      <c r="JZ48" s="21"/>
      <c r="KA48" s="7"/>
      <c r="KB48" s="7"/>
      <c r="KC48" s="21"/>
      <c r="KD48" s="20"/>
      <c r="KE48" s="20"/>
      <c r="KF48" s="20"/>
      <c r="KG48" s="21"/>
      <c r="KH48" s="21"/>
      <c r="KI48" s="21"/>
      <c r="KJ48" s="21"/>
      <c r="KK48" s="21"/>
      <c r="KL48" s="20"/>
      <c r="KM48" s="20"/>
      <c r="KN48" s="20"/>
      <c r="KO48" s="20"/>
      <c r="KP48" s="21"/>
      <c r="KQ48" s="21"/>
      <c r="KR48" s="7"/>
      <c r="KS48" s="7"/>
      <c r="KT48" s="21"/>
      <c r="KU48" s="20"/>
      <c r="KV48" s="20"/>
      <c r="KW48" s="20"/>
      <c r="KX48" s="21"/>
      <c r="KY48" s="21"/>
      <c r="KZ48" s="21"/>
      <c r="LA48" s="21"/>
      <c r="LB48" s="21"/>
      <c r="LC48" s="20"/>
      <c r="LD48" s="20"/>
      <c r="LE48" s="20"/>
      <c r="LF48" s="20"/>
      <c r="LG48" s="21"/>
      <c r="LH48" s="21"/>
      <c r="LI48" s="7"/>
      <c r="LJ48" s="7"/>
      <c r="LK48" s="21"/>
      <c r="LL48" s="20"/>
      <c r="LM48" s="20"/>
      <c r="LN48" s="20"/>
      <c r="LO48" s="21"/>
      <c r="LP48" s="21"/>
      <c r="LQ48" s="21"/>
      <c r="LR48" s="21"/>
      <c r="LS48" s="21"/>
      <c r="LT48" s="20"/>
      <c r="LU48" s="20"/>
      <c r="LV48" s="20"/>
      <c r="LW48" s="20"/>
      <c r="LX48" s="21"/>
      <c r="LY48" s="21"/>
      <c r="LZ48" s="7"/>
      <c r="MA48" s="7"/>
      <c r="MB48" s="21"/>
      <c r="MC48" s="20"/>
      <c r="MD48" s="20"/>
      <c r="ME48" s="20"/>
      <c r="MF48" s="21"/>
      <c r="MG48" s="21"/>
      <c r="MH48" s="21"/>
      <c r="MI48" s="21"/>
      <c r="MJ48" s="21"/>
      <c r="MK48" s="20"/>
      <c r="ML48" s="20"/>
      <c r="MM48" s="20"/>
      <c r="MN48" s="20"/>
      <c r="MO48" s="21"/>
      <c r="MP48" s="21"/>
      <c r="MQ48" s="7"/>
      <c r="MR48" s="7"/>
      <c r="MS48" s="21"/>
      <c r="MT48" s="20"/>
      <c r="MU48" s="20"/>
      <c r="MV48" s="20"/>
      <c r="MW48" s="21"/>
      <c r="MX48" s="21"/>
      <c r="MY48" s="21"/>
      <c r="MZ48" s="21"/>
      <c r="NA48" s="21"/>
      <c r="NB48" s="20"/>
      <c r="NC48" s="20"/>
      <c r="ND48" s="20"/>
      <c r="NE48" s="20"/>
      <c r="NF48" s="21"/>
      <c r="NG48" s="21"/>
      <c r="NH48" s="7"/>
      <c r="NI48" s="7"/>
      <c r="NJ48" s="21"/>
      <c r="NK48" s="20"/>
      <c r="NL48" s="20"/>
      <c r="NM48" s="20"/>
      <c r="NN48" s="21"/>
      <c r="NO48" s="21"/>
      <c r="NP48" s="21"/>
      <c r="NQ48" s="21"/>
      <c r="NR48" s="21"/>
      <c r="NS48" s="20"/>
      <c r="NT48" s="20"/>
      <c r="NU48" s="20"/>
      <c r="NV48" s="20"/>
      <c r="NW48" s="21"/>
      <c r="NX48" s="21"/>
      <c r="NY48" s="7"/>
      <c r="NZ48" s="7"/>
      <c r="OA48" s="21"/>
      <c r="OB48" s="20"/>
      <c r="OC48" s="20"/>
      <c r="OD48" s="20"/>
      <c r="OE48" s="21"/>
      <c r="OF48" s="21"/>
      <c r="OG48" s="21"/>
      <c r="OH48" s="21"/>
      <c r="OI48" s="21"/>
      <c r="OJ48" s="20"/>
      <c r="OK48" s="20"/>
      <c r="OL48" s="20"/>
      <c r="OM48" s="20"/>
      <c r="ON48" s="21"/>
      <c r="OO48" s="21"/>
      <c r="OP48" s="7"/>
      <c r="OQ48" s="7"/>
      <c r="OR48" s="21"/>
      <c r="OS48" s="20"/>
      <c r="OT48" s="20"/>
      <c r="OU48" s="20"/>
      <c r="OV48" s="21"/>
      <c r="OW48" s="21"/>
      <c r="OX48" s="21"/>
      <c r="OY48" s="21"/>
      <c r="OZ48" s="21"/>
      <c r="PA48" s="20"/>
      <c r="PB48" s="20"/>
      <c r="PC48" s="20"/>
      <c r="PD48" s="20"/>
      <c r="PE48" s="21"/>
      <c r="PF48" s="21"/>
      <c r="PG48" s="7"/>
      <c r="PH48" s="7"/>
      <c r="PI48" s="21"/>
      <c r="PJ48" s="20"/>
      <c r="PK48" s="20"/>
      <c r="PL48" s="20"/>
      <c r="PM48" s="21"/>
      <c r="PN48" s="21"/>
      <c r="PO48" s="21"/>
      <c r="PP48" s="21"/>
      <c r="PQ48" s="21"/>
      <c r="PR48" s="20"/>
      <c r="PS48" s="20"/>
      <c r="PT48" s="20"/>
      <c r="PU48" s="20"/>
      <c r="PV48" s="21"/>
      <c r="PW48" s="21"/>
      <c r="PX48" s="7"/>
      <c r="PY48" s="7"/>
      <c r="PZ48" s="21"/>
      <c r="QA48" s="20"/>
      <c r="QB48" s="20"/>
      <c r="QC48" s="20"/>
      <c r="QD48" s="21"/>
      <c r="QE48" s="21"/>
      <c r="QF48" s="21"/>
      <c r="QG48" s="21"/>
      <c r="QH48" s="21"/>
      <c r="QI48" s="20"/>
      <c r="QJ48" s="20"/>
      <c r="QK48" s="20"/>
      <c r="QL48" s="20"/>
      <c r="QM48" s="21"/>
      <c r="QN48" s="21"/>
      <c r="QO48" s="7"/>
      <c r="QP48" s="7"/>
      <c r="QQ48" s="21"/>
      <c r="QR48" s="20"/>
      <c r="QS48" s="20"/>
      <c r="QT48" s="20"/>
      <c r="QU48" s="21"/>
      <c r="QV48" s="21"/>
      <c r="QW48" s="21"/>
      <c r="QX48" s="21"/>
      <c r="QY48" s="21"/>
      <c r="QZ48" s="20"/>
      <c r="RA48" s="20"/>
      <c r="RB48" s="20"/>
      <c r="RC48" s="20"/>
      <c r="RD48" s="21"/>
      <c r="RE48" s="21"/>
      <c r="RF48" s="7"/>
      <c r="RG48" s="7"/>
      <c r="RH48" s="21"/>
      <c r="RI48" s="20"/>
      <c r="RJ48" s="20"/>
      <c r="RK48" s="20"/>
      <c r="RL48" s="21"/>
      <c r="RM48" s="21"/>
      <c r="RN48" s="21"/>
      <c r="RO48" s="21"/>
      <c r="RP48" s="21"/>
      <c r="RQ48" s="20"/>
      <c r="RR48" s="20"/>
      <c r="RS48" s="20"/>
      <c r="RT48" s="20"/>
      <c r="RU48" s="21"/>
      <c r="RV48" s="21"/>
      <c r="RW48" s="7"/>
      <c r="RX48" s="7"/>
      <c r="RY48" s="21"/>
      <c r="RZ48" s="20"/>
      <c r="SA48" s="20"/>
      <c r="SB48" s="20"/>
      <c r="SC48" s="21"/>
      <c r="SD48" s="21"/>
      <c r="SE48" s="21"/>
      <c r="SF48" s="21"/>
      <c r="SG48" s="21"/>
      <c r="SH48" s="20"/>
      <c r="SI48" s="20"/>
      <c r="SJ48" s="20"/>
      <c r="SK48" s="20"/>
      <c r="SL48" s="21"/>
      <c r="SM48" s="21"/>
      <c r="SN48" s="7"/>
      <c r="SO48" s="7"/>
      <c r="SP48" s="21"/>
      <c r="SQ48" s="20"/>
      <c r="SR48" s="20"/>
      <c r="SS48" s="20"/>
      <c r="ST48" s="21"/>
      <c r="SU48" s="21"/>
      <c r="SV48" s="21"/>
      <c r="SW48" s="21"/>
      <c r="SX48" s="21"/>
      <c r="SY48" s="20"/>
      <c r="SZ48" s="20"/>
      <c r="TA48" s="20"/>
      <c r="TB48" s="20"/>
      <c r="TC48" s="21"/>
      <c r="TD48" s="21"/>
      <c r="TE48" s="7"/>
      <c r="TF48" s="7"/>
      <c r="TG48" s="21"/>
      <c r="TH48" s="20"/>
      <c r="TI48" s="20"/>
      <c r="TJ48" s="20"/>
      <c r="TK48" s="21"/>
      <c r="TL48" s="21"/>
      <c r="TM48" s="21"/>
      <c r="TN48" s="21"/>
      <c r="TO48" s="21"/>
      <c r="TP48" s="20"/>
      <c r="TQ48" s="20"/>
      <c r="TR48" s="20"/>
      <c r="TS48" s="20"/>
      <c r="TT48" s="21"/>
      <c r="TU48" s="21"/>
      <c r="TV48" s="7"/>
      <c r="TW48" s="7"/>
      <c r="TX48" s="21"/>
      <c r="TY48" s="20"/>
      <c r="TZ48" s="20"/>
      <c r="UA48" s="20"/>
      <c r="UB48" s="21"/>
      <c r="UC48" s="21"/>
      <c r="UD48" s="21"/>
      <c r="UE48" s="21"/>
      <c r="UF48" s="21"/>
      <c r="UG48" s="20"/>
      <c r="UH48" s="20"/>
      <c r="UI48" s="20"/>
      <c r="UJ48" s="20"/>
      <c r="UK48" s="21"/>
      <c r="UL48" s="21"/>
      <c r="UM48" s="7"/>
      <c r="UN48" s="7"/>
      <c r="UO48" s="21"/>
      <c r="UP48" s="20"/>
      <c r="UQ48" s="20"/>
      <c r="UR48" s="20"/>
      <c r="US48" s="21"/>
      <c r="UT48" s="21"/>
      <c r="UU48" s="21"/>
      <c r="UV48" s="21"/>
      <c r="UW48" s="21"/>
      <c r="UX48" s="20"/>
      <c r="UY48" s="20"/>
      <c r="UZ48" s="20"/>
      <c r="VA48" s="20"/>
      <c r="VB48" s="21"/>
      <c r="VC48" s="21"/>
      <c r="VD48" s="7"/>
      <c r="VE48" s="7"/>
      <c r="VF48" s="21"/>
      <c r="VG48" s="20"/>
      <c r="VH48" s="20"/>
      <c r="VI48" s="20"/>
      <c r="VJ48" s="21"/>
      <c r="VK48" s="21"/>
      <c r="VL48" s="21"/>
      <c r="VM48" s="21"/>
      <c r="VN48" s="21"/>
      <c r="VO48" s="20"/>
      <c r="VP48" s="20"/>
      <c r="VQ48" s="20"/>
      <c r="VR48" s="20"/>
      <c r="VS48" s="21"/>
      <c r="VT48" s="21"/>
      <c r="VU48" s="7"/>
      <c r="VV48" s="7"/>
      <c r="VW48" s="21"/>
      <c r="VX48" s="20"/>
      <c r="VY48" s="20"/>
      <c r="VZ48" s="20"/>
      <c r="WA48" s="21"/>
      <c r="WB48" s="21"/>
      <c r="WC48" s="21"/>
      <c r="WD48" s="21"/>
      <c r="WE48" s="21"/>
      <c r="WF48" s="20"/>
      <c r="WG48" s="20"/>
      <c r="WH48" s="20"/>
      <c r="WI48" s="20"/>
      <c r="WJ48" s="21"/>
      <c r="WK48" s="21"/>
      <c r="WL48" s="7"/>
      <c r="WM48" s="7"/>
      <c r="WN48" s="21"/>
      <c r="WO48" s="20"/>
      <c r="WP48" s="20"/>
      <c r="WQ48" s="20"/>
      <c r="WR48" s="21"/>
      <c r="WS48" s="21"/>
      <c r="WT48" s="21"/>
      <c r="WU48" s="21"/>
      <c r="WV48" s="21"/>
      <c r="WW48" s="20"/>
      <c r="WX48" s="20"/>
      <c r="WY48" s="20"/>
      <c r="WZ48" s="20"/>
      <c r="XA48" s="21"/>
      <c r="XB48" s="21"/>
      <c r="XC48" s="7"/>
      <c r="XD48" s="7"/>
      <c r="XE48" s="21"/>
      <c r="XF48" s="20"/>
      <c r="XG48" s="20"/>
      <c r="XH48" s="20"/>
      <c r="XI48" s="21"/>
      <c r="XJ48" s="21"/>
      <c r="XK48" s="21"/>
      <c r="XL48" s="21"/>
      <c r="XM48" s="21"/>
      <c r="XN48" s="20"/>
      <c r="XO48" s="20"/>
      <c r="XP48" s="20"/>
      <c r="XQ48" s="20"/>
      <c r="XR48" s="21"/>
      <c r="XS48" s="21"/>
      <c r="XT48" s="7"/>
      <c r="XU48" s="7"/>
      <c r="XV48" s="21"/>
      <c r="XW48" s="20"/>
      <c r="XX48" s="20"/>
      <c r="XY48" s="20"/>
      <c r="XZ48" s="21"/>
      <c r="YA48" s="21"/>
      <c r="YB48" s="21"/>
      <c r="YC48" s="21"/>
      <c r="YD48" s="21"/>
      <c r="YE48" s="20"/>
      <c r="YF48" s="20"/>
      <c r="YG48" s="20"/>
      <c r="YH48" s="20"/>
      <c r="YI48" s="21"/>
      <c r="YJ48" s="21"/>
      <c r="YK48" s="7"/>
      <c r="YL48" s="7"/>
      <c r="YM48" s="21"/>
      <c r="YN48" s="20"/>
      <c r="YO48" s="20"/>
      <c r="YP48" s="20"/>
      <c r="YQ48" s="21"/>
      <c r="YR48" s="21"/>
      <c r="YS48" s="21"/>
      <c r="YT48" s="21"/>
      <c r="YU48" s="21"/>
      <c r="YV48" s="20"/>
      <c r="YW48" s="20"/>
      <c r="YX48" s="20"/>
      <c r="YY48" s="20"/>
      <c r="YZ48" s="21"/>
      <c r="ZA48" s="21"/>
      <c r="ZB48" s="7"/>
      <c r="ZC48" s="7"/>
      <c r="ZD48" s="21"/>
      <c r="ZE48" s="20"/>
      <c r="ZF48" s="20"/>
      <c r="ZG48" s="20"/>
      <c r="ZH48" s="21"/>
      <c r="ZI48" s="21"/>
      <c r="ZJ48" s="21"/>
      <c r="ZK48" s="21"/>
      <c r="ZL48" s="21"/>
      <c r="ZM48" s="20"/>
      <c r="ZN48" s="20"/>
      <c r="ZO48" s="20"/>
      <c r="ZP48" s="20"/>
      <c r="ZQ48" s="21"/>
      <c r="ZR48" s="21"/>
      <c r="ZS48" s="7"/>
      <c r="ZT48" s="7"/>
      <c r="ZU48" s="21"/>
      <c r="ZV48" s="20"/>
      <c r="ZW48" s="20"/>
      <c r="ZX48" s="20"/>
      <c r="ZY48" s="21"/>
      <c r="ZZ48" s="21"/>
      <c r="AAA48" s="21"/>
      <c r="AAB48" s="21"/>
      <c r="AAC48" s="21"/>
      <c r="AAD48" s="20"/>
      <c r="AAE48" s="20"/>
      <c r="AAF48" s="20"/>
      <c r="AAG48" s="20"/>
      <c r="AAH48" s="21"/>
      <c r="AAI48" s="21"/>
      <c r="AAJ48" s="7"/>
      <c r="AAK48" s="7"/>
      <c r="AAL48" s="21"/>
      <c r="AAM48" s="20"/>
      <c r="AAN48" s="20"/>
      <c r="AAO48" s="20"/>
      <c r="AAP48" s="21"/>
      <c r="AAQ48" s="21"/>
      <c r="AAR48" s="21"/>
      <c r="AAS48" s="21"/>
      <c r="AAT48" s="21"/>
      <c r="AAU48" s="20"/>
      <c r="AAV48" s="20"/>
      <c r="AAW48" s="20"/>
      <c r="AAX48" s="20"/>
      <c r="AAY48" s="21"/>
      <c r="AAZ48" s="21"/>
      <c r="ABA48" s="7"/>
      <c r="ABB48" s="7"/>
      <c r="ABC48" s="21"/>
      <c r="ABD48" s="20"/>
      <c r="ABE48" s="20"/>
      <c r="ABF48" s="20"/>
      <c r="ABG48" s="21"/>
      <c r="ABH48" s="21"/>
      <c r="ABI48" s="21"/>
      <c r="ABJ48" s="21"/>
      <c r="ABK48" s="21"/>
      <c r="ABL48" s="20"/>
      <c r="ABM48" s="20"/>
      <c r="ABN48" s="20"/>
      <c r="ABO48" s="20"/>
      <c r="ABP48" s="21"/>
      <c r="ABQ48" s="21"/>
      <c r="ABR48" s="7"/>
      <c r="ABS48" s="7"/>
      <c r="ABT48" s="21"/>
      <c r="ABU48" s="20"/>
      <c r="ABV48" s="20"/>
      <c r="ABW48" s="20"/>
      <c r="ABX48" s="21"/>
      <c r="ABY48" s="21"/>
      <c r="ABZ48" s="21"/>
      <c r="ACA48" s="21"/>
      <c r="ACB48" s="21"/>
      <c r="ACC48" s="20"/>
      <c r="ACD48" s="20"/>
      <c r="ACE48" s="20"/>
      <c r="ACF48" s="20"/>
      <c r="ACG48" s="21"/>
      <c r="ACH48" s="21"/>
      <c r="ACI48" s="7"/>
      <c r="ACJ48" s="7"/>
      <c r="ACK48" s="21"/>
      <c r="ACL48" s="20"/>
      <c r="ACM48" s="20"/>
      <c r="ACN48" s="20"/>
      <c r="ACO48" s="21"/>
      <c r="ACP48" s="21"/>
      <c r="ACQ48" s="21"/>
      <c r="ACR48" s="21"/>
      <c r="ACS48" s="21"/>
      <c r="ACT48" s="20"/>
      <c r="ACU48" s="20"/>
      <c r="ACV48" s="20"/>
      <c r="ACW48" s="20"/>
      <c r="ACX48" s="21"/>
      <c r="ACY48" s="21"/>
      <c r="ACZ48" s="7"/>
      <c r="ADA48" s="7"/>
      <c r="ADB48" s="21"/>
      <c r="ADC48" s="20"/>
      <c r="ADD48" s="20"/>
      <c r="ADE48" s="20"/>
      <c r="ADF48" s="21"/>
      <c r="ADG48" s="21"/>
      <c r="ADH48" s="21"/>
      <c r="ADI48" s="21"/>
      <c r="ADJ48" s="21"/>
      <c r="ADK48" s="20"/>
      <c r="ADL48" s="20"/>
      <c r="ADM48" s="20"/>
      <c r="ADN48" s="20"/>
      <c r="ADO48" s="21"/>
      <c r="ADP48" s="21"/>
      <c r="ADQ48" s="7"/>
      <c r="ADR48" s="7"/>
      <c r="ADS48" s="21"/>
      <c r="ADT48" s="20"/>
      <c r="ADU48" s="20"/>
      <c r="ADV48" s="20"/>
      <c r="ADW48" s="21"/>
      <c r="ADX48" s="21"/>
      <c r="ADY48" s="21"/>
      <c r="ADZ48" s="21"/>
      <c r="AEA48" s="21"/>
      <c r="AEB48" s="20"/>
      <c r="AEC48" s="20"/>
      <c r="AED48" s="20"/>
      <c r="AEE48" s="20"/>
      <c r="AEF48" s="21"/>
      <c r="AEG48" s="21"/>
      <c r="AEH48" s="7"/>
      <c r="AEI48" s="7"/>
      <c r="AEJ48" s="21"/>
      <c r="AEK48" s="20"/>
      <c r="AEL48" s="20"/>
      <c r="AEM48" s="20"/>
      <c r="AEN48" s="21"/>
      <c r="AEO48" s="21"/>
      <c r="AEP48" s="21"/>
      <c r="AEQ48" s="21"/>
      <c r="AER48" s="21"/>
      <c r="AES48" s="20"/>
      <c r="AET48" s="20"/>
      <c r="AEU48" s="20"/>
      <c r="AEV48" s="20"/>
      <c r="AEW48" s="21"/>
      <c r="AEX48" s="21"/>
      <c r="AEY48" s="7"/>
      <c r="AEZ48" s="7"/>
      <c r="AFA48" s="21"/>
      <c r="AFB48" s="20"/>
      <c r="AFC48" s="20"/>
      <c r="AFD48" s="20"/>
      <c r="AFE48" s="21"/>
      <c r="AFF48" s="21"/>
      <c r="AFG48" s="21"/>
      <c r="AFH48" s="21"/>
      <c r="AFI48" s="21"/>
      <c r="AFJ48" s="20"/>
      <c r="AFK48" s="20"/>
      <c r="AFL48" s="20"/>
      <c r="AFM48" s="20"/>
      <c r="AFN48" s="21"/>
      <c r="AFO48" s="21"/>
      <c r="AFP48" s="7"/>
      <c r="AFQ48" s="7"/>
      <c r="AFR48" s="21"/>
      <c r="AFS48" s="20"/>
      <c r="AFT48" s="20"/>
      <c r="AFU48" s="20"/>
      <c r="AFV48" s="21"/>
      <c r="AFW48" s="21"/>
      <c r="AFX48" s="21"/>
      <c r="AFY48" s="21"/>
      <c r="AFZ48" s="21"/>
      <c r="AGA48" s="20"/>
      <c r="AGB48" s="20"/>
      <c r="AGC48" s="20"/>
      <c r="AGD48" s="20"/>
      <c r="AGE48" s="21"/>
      <c r="AGF48" s="21"/>
      <c r="AGG48" s="7"/>
      <c r="AGH48" s="7"/>
      <c r="AGI48" s="21"/>
      <c r="AGJ48" s="20"/>
      <c r="AGK48" s="20"/>
      <c r="AGL48" s="20"/>
      <c r="AGM48" s="21"/>
      <c r="AGN48" s="21"/>
      <c r="AGO48" s="21"/>
      <c r="AGP48" s="21"/>
      <c r="AGQ48" s="21"/>
      <c r="AGR48" s="20"/>
      <c r="AGS48" s="20"/>
      <c r="AGT48" s="20"/>
      <c r="AGU48" s="20"/>
      <c r="AGV48" s="21"/>
      <c r="AGW48" s="21"/>
      <c r="AGX48" s="7"/>
      <c r="AGY48" s="7"/>
      <c r="AGZ48" s="21"/>
      <c r="AHA48" s="20"/>
      <c r="AHB48" s="20"/>
      <c r="AHC48" s="20"/>
      <c r="AHD48" s="21"/>
      <c r="AHE48" s="21"/>
      <c r="AHF48" s="21"/>
      <c r="AHG48" s="21"/>
      <c r="AHH48" s="21"/>
      <c r="AHI48" s="20"/>
      <c r="AHJ48" s="20"/>
      <c r="AHK48" s="20"/>
      <c r="AHL48" s="20"/>
      <c r="AHM48" s="21"/>
      <c r="AHN48" s="21"/>
      <c r="AHO48" s="7"/>
      <c r="AHP48" s="7"/>
      <c r="AHQ48" s="21"/>
      <c r="AHR48" s="20"/>
      <c r="AHS48" s="20"/>
      <c r="AHT48" s="20"/>
      <c r="AHU48" s="21"/>
      <c r="AHV48" s="21"/>
      <c r="AHW48" s="21"/>
      <c r="AHX48" s="21"/>
      <c r="AHY48" s="21"/>
      <c r="AHZ48" s="20"/>
      <c r="AIA48" s="20"/>
      <c r="AIB48" s="20"/>
      <c r="AIC48" s="20"/>
      <c r="AID48" s="21"/>
      <c r="AIE48" s="21"/>
      <c r="AIF48" s="7"/>
      <c r="AIG48" s="7"/>
      <c r="AIH48" s="21"/>
      <c r="AII48" s="20"/>
      <c r="AIJ48" s="20"/>
      <c r="AIK48" s="20"/>
      <c r="AIL48" s="21"/>
      <c r="AIM48" s="21"/>
      <c r="AIN48" s="21"/>
      <c r="AIO48" s="21"/>
      <c r="AIP48" s="21"/>
      <c r="AIQ48" s="20"/>
      <c r="AIR48" s="20"/>
      <c r="AIS48" s="20"/>
      <c r="AIT48" s="20"/>
      <c r="AIU48" s="21"/>
      <c r="AIV48" s="21"/>
      <c r="AIW48" s="7"/>
      <c r="AIX48" s="7"/>
      <c r="AIY48" s="21"/>
      <c r="AIZ48" s="20"/>
      <c r="AJA48" s="20"/>
      <c r="AJB48" s="20"/>
      <c r="AJC48" s="21"/>
      <c r="AJD48" s="21"/>
      <c r="AJE48" s="21"/>
      <c r="AJF48" s="21"/>
      <c r="AJG48" s="21"/>
      <c r="AJH48" s="20"/>
      <c r="AJI48" s="20"/>
      <c r="AJJ48" s="20"/>
      <c r="AJK48" s="20"/>
      <c r="AJL48" s="21"/>
      <c r="AJM48" s="21"/>
      <c r="AJN48" s="7"/>
      <c r="AJO48" s="7"/>
      <c r="AJP48" s="21"/>
      <c r="AJQ48" s="20"/>
      <c r="AJR48" s="20"/>
      <c r="AJS48" s="20"/>
      <c r="AJT48" s="21"/>
      <c r="AJU48" s="21"/>
      <c r="AJV48" s="21"/>
      <c r="AJW48" s="21"/>
      <c r="AJX48" s="21"/>
      <c r="AJY48" s="20"/>
      <c r="AJZ48" s="20"/>
      <c r="AKA48" s="20"/>
      <c r="AKB48" s="20"/>
      <c r="AKC48" s="21"/>
      <c r="AKD48" s="21"/>
      <c r="AKE48" s="7"/>
      <c r="AKF48" s="7"/>
      <c r="AKG48" s="21"/>
      <c r="AKH48" s="20"/>
      <c r="AKI48" s="20"/>
      <c r="AKJ48" s="20"/>
      <c r="AKK48" s="21"/>
      <c r="AKL48" s="21"/>
      <c r="AKM48" s="21"/>
      <c r="AKN48" s="21"/>
      <c r="AKO48" s="21"/>
      <c r="AKP48" s="20"/>
      <c r="AKQ48" s="20"/>
      <c r="AKR48" s="20"/>
      <c r="AKS48" s="20"/>
      <c r="AKT48" s="21"/>
      <c r="AKU48" s="21"/>
      <c r="AKV48" s="7"/>
      <c r="AKW48" s="7"/>
      <c r="AKX48" s="21"/>
      <c r="AKY48" s="20"/>
      <c r="AKZ48" s="20"/>
      <c r="ALA48" s="20"/>
      <c r="ALB48" s="21"/>
      <c r="ALC48" s="21"/>
      <c r="ALD48" s="21"/>
      <c r="ALE48" s="21"/>
      <c r="ALF48" s="21"/>
      <c r="ALG48" s="20"/>
      <c r="ALH48" s="20"/>
      <c r="ALI48" s="20"/>
      <c r="ALJ48" s="20"/>
      <c r="ALK48" s="21"/>
      <c r="ALL48" s="21"/>
      <c r="ALM48" s="7"/>
      <c r="ALN48" s="7"/>
      <c r="ALO48" s="21"/>
      <c r="ALP48" s="20"/>
      <c r="ALQ48" s="20"/>
      <c r="ALR48" s="20"/>
      <c r="ALS48" s="21"/>
      <c r="ALT48" s="21"/>
      <c r="ALU48" s="21"/>
      <c r="ALV48" s="21"/>
      <c r="ALW48" s="21"/>
      <c r="ALX48" s="20"/>
      <c r="ALY48" s="20"/>
      <c r="ALZ48" s="20"/>
      <c r="AMA48" s="20"/>
      <c r="AMB48" s="21"/>
      <c r="AMC48" s="21"/>
      <c r="AMD48" s="7"/>
      <c r="AME48" s="7"/>
      <c r="AMF48" s="21"/>
      <c r="AMG48" s="20"/>
      <c r="AMH48" s="20"/>
      <c r="AMI48" s="20"/>
      <c r="AMJ48" s="21"/>
      <c r="AMK48" s="21"/>
      <c r="AML48" s="21"/>
      <c r="AMM48" s="21"/>
      <c r="AMN48" s="21"/>
      <c r="AMO48" s="20"/>
      <c r="AMP48" s="20"/>
      <c r="AMQ48" s="20"/>
      <c r="AMR48" s="20"/>
      <c r="AMS48" s="21"/>
      <c r="AMT48" s="21"/>
      <c r="AMU48" s="7"/>
      <c r="AMV48" s="7"/>
      <c r="AMW48" s="21"/>
      <c r="AMX48" s="20"/>
      <c r="AMY48" s="20"/>
      <c r="AMZ48" s="20"/>
      <c r="ANA48" s="21"/>
      <c r="ANB48" s="21"/>
      <c r="ANC48" s="21"/>
      <c r="AND48" s="21"/>
      <c r="ANE48" s="21"/>
      <c r="ANF48" s="20"/>
      <c r="ANG48" s="20"/>
      <c r="ANH48" s="20"/>
      <c r="ANI48" s="20"/>
      <c r="ANJ48" s="21"/>
      <c r="ANK48" s="21"/>
      <c r="ANL48" s="7"/>
      <c r="ANM48" s="7"/>
      <c r="ANN48" s="21"/>
      <c r="ANO48" s="20"/>
      <c r="ANP48" s="20"/>
      <c r="ANQ48" s="20"/>
      <c r="ANR48" s="21"/>
      <c r="ANS48" s="21"/>
      <c r="ANT48" s="21"/>
      <c r="ANU48" s="21"/>
      <c r="ANV48" s="21"/>
      <c r="ANW48" s="20"/>
      <c r="ANX48" s="20"/>
      <c r="ANY48" s="20"/>
      <c r="ANZ48" s="20"/>
      <c r="AOA48" s="21"/>
      <c r="AOB48" s="21"/>
      <c r="AOC48" s="7"/>
      <c r="AOD48" s="7"/>
      <c r="AOE48" s="21"/>
      <c r="AOF48" s="20"/>
      <c r="AOG48" s="20"/>
      <c r="AOH48" s="20"/>
      <c r="AOI48" s="21"/>
      <c r="AOJ48" s="21"/>
      <c r="AOK48" s="21"/>
      <c r="AOL48" s="21"/>
      <c r="AOM48" s="21"/>
      <c r="AON48" s="20"/>
      <c r="AOO48" s="20"/>
      <c r="AOP48" s="20"/>
      <c r="AOQ48" s="20"/>
      <c r="AOR48" s="21"/>
      <c r="AOS48" s="21"/>
      <c r="AOT48" s="7"/>
      <c r="AOU48" s="7"/>
      <c r="AOV48" s="21"/>
      <c r="AOW48" s="20"/>
      <c r="AOX48" s="20"/>
      <c r="AOY48" s="20"/>
      <c r="AOZ48" s="21"/>
      <c r="APA48" s="21"/>
      <c r="APB48" s="21"/>
      <c r="APC48" s="21"/>
      <c r="APD48" s="21"/>
      <c r="APE48" s="20"/>
      <c r="APF48" s="20"/>
      <c r="APG48" s="20"/>
      <c r="APH48" s="20"/>
      <c r="API48" s="21"/>
      <c r="APJ48" s="21"/>
      <c r="APK48" s="7"/>
      <c r="APL48" s="7"/>
      <c r="APM48" s="21"/>
      <c r="APN48" s="20"/>
      <c r="APO48" s="20"/>
      <c r="APP48" s="20"/>
      <c r="APQ48" s="21"/>
      <c r="APR48" s="21"/>
      <c r="APS48" s="21"/>
      <c r="APT48" s="21"/>
      <c r="APU48" s="21"/>
      <c r="APV48" s="20"/>
      <c r="APW48" s="20"/>
      <c r="APX48" s="20"/>
      <c r="APY48" s="20"/>
      <c r="APZ48" s="21"/>
      <c r="AQA48" s="21"/>
      <c r="AQB48" s="7"/>
      <c r="AQC48" s="7"/>
      <c r="AQD48" s="21"/>
      <c r="AQE48" s="20"/>
      <c r="AQF48" s="20"/>
      <c r="AQG48" s="20"/>
      <c r="AQH48" s="21"/>
      <c r="AQI48" s="21"/>
      <c r="AQJ48" s="21"/>
      <c r="AQK48" s="21"/>
      <c r="AQL48" s="21"/>
      <c r="AQM48" s="20"/>
      <c r="AQN48" s="20"/>
      <c r="AQO48" s="20"/>
      <c r="AQP48" s="20"/>
      <c r="AQQ48" s="21"/>
      <c r="AQR48" s="21"/>
      <c r="AQS48" s="7"/>
      <c r="AQT48" s="7"/>
      <c r="AQU48" s="21"/>
      <c r="AQV48" s="20"/>
      <c r="AQW48" s="20"/>
      <c r="AQX48" s="20"/>
      <c r="AQY48" s="21"/>
      <c r="AQZ48" s="21"/>
      <c r="ARA48" s="21"/>
      <c r="ARB48" s="21"/>
      <c r="ARC48" s="21"/>
      <c r="ARD48" s="20"/>
      <c r="ARE48" s="20"/>
      <c r="ARF48" s="20"/>
      <c r="ARG48" s="20"/>
      <c r="ARH48" s="21"/>
      <c r="ARI48" s="21"/>
      <c r="ARJ48" s="7"/>
      <c r="ARK48" s="7"/>
      <c r="ARL48" s="21"/>
      <c r="ARM48" s="20"/>
      <c r="ARN48" s="20"/>
      <c r="ARO48" s="20"/>
      <c r="ARP48" s="21"/>
      <c r="ARQ48" s="21"/>
      <c r="ARR48" s="21"/>
      <c r="ARS48" s="21"/>
      <c r="ART48" s="21"/>
      <c r="ARU48" s="20"/>
      <c r="ARV48" s="20"/>
      <c r="ARW48" s="20"/>
      <c r="ARX48" s="20"/>
      <c r="ARY48" s="21"/>
      <c r="ARZ48" s="21"/>
      <c r="ASA48" s="7"/>
      <c r="ASB48" s="7"/>
      <c r="ASC48" s="21"/>
      <c r="ASD48" s="20"/>
      <c r="ASE48" s="20"/>
      <c r="ASF48" s="20"/>
      <c r="ASG48" s="21"/>
      <c r="ASH48" s="21"/>
      <c r="ASI48" s="21"/>
      <c r="ASJ48" s="21"/>
      <c r="ASK48" s="21"/>
      <c r="ASL48" s="20"/>
      <c r="ASM48" s="20"/>
      <c r="ASN48" s="20"/>
      <c r="ASO48" s="20"/>
      <c r="ASP48" s="21"/>
      <c r="ASQ48" s="21"/>
      <c r="ASR48" s="7"/>
      <c r="ASS48" s="7"/>
      <c r="AST48" s="21"/>
      <c r="ASU48" s="20"/>
      <c r="ASV48" s="20"/>
      <c r="ASW48" s="20"/>
      <c r="ASX48" s="21"/>
      <c r="ASY48" s="21"/>
      <c r="ASZ48" s="21"/>
      <c r="ATA48" s="21"/>
      <c r="ATB48" s="21"/>
      <c r="ATC48" s="20"/>
      <c r="ATD48" s="20"/>
      <c r="ATE48" s="20"/>
      <c r="ATF48" s="20"/>
      <c r="ATG48" s="21"/>
      <c r="ATH48" s="21"/>
      <c r="ATI48" s="7"/>
      <c r="ATJ48" s="7"/>
      <c r="ATK48" s="21"/>
      <c r="ATL48" s="20"/>
      <c r="ATM48" s="20"/>
      <c r="ATN48" s="20"/>
      <c r="ATO48" s="21"/>
      <c r="ATP48" s="21"/>
      <c r="ATQ48" s="21"/>
      <c r="ATR48" s="21"/>
      <c r="ATS48" s="21"/>
      <c r="ATT48" s="20"/>
      <c r="ATU48" s="20"/>
      <c r="ATV48" s="20"/>
      <c r="ATW48" s="20"/>
      <c r="ATX48" s="21"/>
      <c r="ATY48" s="21"/>
      <c r="ATZ48" s="7"/>
      <c r="AUA48" s="7"/>
      <c r="AUB48" s="21"/>
      <c r="AUC48" s="20"/>
      <c r="AUD48" s="20"/>
      <c r="AUE48" s="20"/>
      <c r="AUF48" s="21"/>
      <c r="AUG48" s="21"/>
      <c r="AUH48" s="21"/>
      <c r="AUI48" s="21"/>
      <c r="AUJ48" s="21"/>
      <c r="AUK48" s="20"/>
      <c r="AUL48" s="20"/>
      <c r="AUM48" s="20"/>
      <c r="AUN48" s="20"/>
      <c r="AUO48" s="21"/>
      <c r="AUP48" s="21"/>
      <c r="AUQ48" s="7"/>
      <c r="AUR48" s="7"/>
      <c r="AUS48" s="21"/>
      <c r="AUT48" s="20"/>
      <c r="AUU48" s="20"/>
      <c r="AUV48" s="20"/>
      <c r="AUW48" s="21"/>
      <c r="AUX48" s="21"/>
      <c r="AUY48" s="21"/>
      <c r="AUZ48" s="21"/>
      <c r="AVA48" s="21"/>
      <c r="AVB48" s="20"/>
      <c r="AVC48" s="20"/>
      <c r="AVD48" s="20"/>
      <c r="AVE48" s="20"/>
      <c r="AVF48" s="21"/>
      <c r="AVG48" s="21"/>
      <c r="AVH48" s="7"/>
      <c r="AVI48" s="7"/>
      <c r="AVJ48" s="21"/>
      <c r="AVK48" s="20"/>
      <c r="AVL48" s="20"/>
      <c r="AVM48" s="20"/>
      <c r="AVN48" s="21"/>
      <c r="AVO48" s="21"/>
      <c r="AVP48" s="21"/>
      <c r="AVQ48" s="21"/>
      <c r="AVR48" s="21"/>
      <c r="AVS48" s="20"/>
      <c r="AVT48" s="20"/>
      <c r="AVU48" s="20"/>
      <c r="AVV48" s="20"/>
      <c r="AVW48" s="21"/>
      <c r="AVX48" s="21"/>
      <c r="AVY48" s="7"/>
      <c r="AVZ48" s="7"/>
      <c r="AWA48" s="21"/>
      <c r="AWB48" s="20"/>
      <c r="AWC48" s="20"/>
      <c r="AWD48" s="20"/>
      <c r="AWE48" s="21"/>
      <c r="AWF48" s="21"/>
      <c r="AWG48" s="21"/>
      <c r="AWH48" s="21"/>
      <c r="AWI48" s="21"/>
      <c r="AWJ48" s="20"/>
      <c r="AWK48" s="20"/>
      <c r="AWL48" s="20"/>
      <c r="AWM48" s="20"/>
      <c r="AWN48" s="21"/>
      <c r="AWO48" s="21"/>
      <c r="AWP48" s="7"/>
      <c r="AWQ48" s="7"/>
      <c r="AWR48" s="21"/>
      <c r="AWS48" s="20"/>
      <c r="AWT48" s="20"/>
      <c r="AWU48" s="20"/>
      <c r="AWV48" s="21"/>
      <c r="AWW48" s="21"/>
      <c r="AWX48" s="21"/>
      <c r="AWY48" s="21"/>
      <c r="AWZ48" s="21"/>
      <c r="AXA48" s="20"/>
      <c r="AXB48" s="20"/>
      <c r="AXC48" s="20"/>
      <c r="AXD48" s="20"/>
      <c r="AXE48" s="21"/>
      <c r="AXF48" s="21"/>
      <c r="AXG48" s="7"/>
      <c r="AXH48" s="7"/>
      <c r="AXI48" s="21"/>
      <c r="AXJ48" s="20"/>
      <c r="AXK48" s="20"/>
      <c r="AXL48" s="20"/>
      <c r="AXM48" s="21"/>
      <c r="AXN48" s="21"/>
      <c r="AXO48" s="21"/>
      <c r="AXP48" s="21"/>
      <c r="AXQ48" s="21"/>
      <c r="AXR48" s="20"/>
      <c r="AXS48" s="20"/>
      <c r="AXT48" s="20"/>
      <c r="AXU48" s="20"/>
      <c r="AXV48" s="21"/>
      <c r="AXW48" s="21"/>
      <c r="AXX48" s="7"/>
      <c r="AXY48" s="7"/>
      <c r="AXZ48" s="21"/>
      <c r="AYA48" s="20"/>
      <c r="AYB48" s="20"/>
      <c r="AYC48" s="20"/>
      <c r="AYD48" s="21"/>
      <c r="AYE48" s="21"/>
      <c r="AYF48" s="21"/>
      <c r="AYG48" s="21"/>
      <c r="AYH48" s="21"/>
      <c r="AYI48" s="20"/>
      <c r="AYJ48" s="20"/>
      <c r="AYK48" s="20"/>
      <c r="AYL48" s="20"/>
      <c r="AYM48" s="21"/>
      <c r="AYN48" s="21"/>
      <c r="AYO48" s="7"/>
      <c r="AYP48" s="7"/>
      <c r="AYQ48" s="21"/>
      <c r="AYR48" s="20"/>
      <c r="AYS48" s="20"/>
      <c r="AYT48" s="20"/>
      <c r="AYU48" s="21"/>
      <c r="AYV48" s="21"/>
      <c r="AYW48" s="21"/>
      <c r="AYX48" s="21"/>
      <c r="AYY48" s="21"/>
      <c r="AYZ48" s="20"/>
      <c r="AZA48" s="20"/>
      <c r="AZB48" s="20"/>
      <c r="AZC48" s="20"/>
      <c r="AZD48" s="21"/>
      <c r="AZE48" s="21"/>
      <c r="AZF48" s="7"/>
      <c r="AZG48" s="7"/>
      <c r="AZH48" s="21"/>
      <c r="AZI48" s="20"/>
      <c r="AZJ48" s="20"/>
      <c r="AZK48" s="20"/>
      <c r="AZL48" s="21"/>
      <c r="AZM48" s="21"/>
      <c r="AZN48" s="21"/>
      <c r="AZO48" s="21"/>
      <c r="AZP48" s="21"/>
      <c r="AZQ48" s="20"/>
      <c r="AZR48" s="20"/>
      <c r="AZS48" s="20"/>
      <c r="AZT48" s="20"/>
      <c r="AZU48" s="21"/>
      <c r="AZV48" s="21"/>
      <c r="AZW48" s="7"/>
      <c r="AZX48" s="7"/>
      <c r="AZY48" s="21"/>
      <c r="AZZ48" s="20"/>
      <c r="BAA48" s="20"/>
      <c r="BAB48" s="20"/>
      <c r="BAC48" s="21"/>
      <c r="BAD48" s="21"/>
      <c r="BAE48" s="21"/>
      <c r="BAF48" s="21"/>
      <c r="BAG48" s="21"/>
      <c r="BAH48" s="20"/>
      <c r="BAI48" s="20"/>
      <c r="BAJ48" s="20"/>
      <c r="BAK48" s="20"/>
      <c r="BAL48" s="21"/>
      <c r="BAM48" s="21"/>
      <c r="BAN48" s="7"/>
      <c r="BAO48" s="7"/>
      <c r="BAP48" s="21"/>
      <c r="BAQ48" s="20"/>
      <c r="BAR48" s="20"/>
      <c r="BAS48" s="20"/>
      <c r="BAT48" s="21"/>
      <c r="BAU48" s="21"/>
      <c r="BAV48" s="21"/>
      <c r="BAW48" s="21"/>
      <c r="BAX48" s="21"/>
      <c r="BAY48" s="20"/>
      <c r="BAZ48" s="20"/>
      <c r="BBA48" s="20"/>
      <c r="BBB48" s="20"/>
      <c r="BBC48" s="21"/>
      <c r="BBD48" s="21"/>
      <c r="BBE48" s="7"/>
      <c r="BBF48" s="7"/>
      <c r="BBG48" s="21"/>
      <c r="BBH48" s="20"/>
      <c r="BBI48" s="20"/>
      <c r="BBJ48" s="20"/>
      <c r="BBK48" s="21"/>
      <c r="BBL48" s="21"/>
      <c r="BBM48" s="21"/>
      <c r="BBN48" s="21"/>
      <c r="BBO48" s="21"/>
      <c r="BBP48" s="20"/>
      <c r="BBQ48" s="20"/>
      <c r="BBR48" s="20"/>
      <c r="BBS48" s="20"/>
      <c r="BBT48" s="21"/>
      <c r="BBU48" s="21"/>
      <c r="BBV48" s="7"/>
      <c r="BBW48" s="7"/>
      <c r="BBX48" s="21"/>
      <c r="BBY48" s="20"/>
      <c r="BBZ48" s="20"/>
      <c r="BCA48" s="20"/>
      <c r="BCB48" s="21"/>
      <c r="BCC48" s="21"/>
      <c r="BCD48" s="21"/>
      <c r="BCE48" s="21"/>
      <c r="BCF48" s="21"/>
      <c r="BCG48" s="20"/>
      <c r="BCH48" s="20"/>
      <c r="BCI48" s="20"/>
      <c r="BCJ48" s="20"/>
      <c r="BCK48" s="21"/>
      <c r="BCL48" s="21"/>
      <c r="BCM48" s="7"/>
      <c r="BCN48" s="7"/>
      <c r="BCO48" s="21"/>
      <c r="BCP48" s="20"/>
      <c r="BCQ48" s="20"/>
      <c r="BCR48" s="20"/>
      <c r="BCS48" s="21"/>
      <c r="BCT48" s="21"/>
      <c r="BCU48" s="21"/>
      <c r="BCV48" s="21"/>
      <c r="BCW48" s="21"/>
      <c r="BCX48" s="20"/>
      <c r="BCY48" s="20"/>
      <c r="BCZ48" s="20"/>
      <c r="BDA48" s="20"/>
      <c r="BDB48" s="21"/>
      <c r="BDC48" s="21"/>
      <c r="BDD48" s="7"/>
      <c r="BDE48" s="7"/>
      <c r="BDF48" s="21"/>
      <c r="BDG48" s="20"/>
      <c r="BDH48" s="20"/>
      <c r="BDI48" s="20"/>
      <c r="BDJ48" s="21"/>
      <c r="BDK48" s="21"/>
      <c r="BDL48" s="21"/>
      <c r="BDM48" s="21"/>
      <c r="BDN48" s="21"/>
      <c r="BDO48" s="20"/>
      <c r="BDP48" s="20"/>
      <c r="BDQ48" s="20"/>
      <c r="BDR48" s="20"/>
      <c r="BDS48" s="21"/>
      <c r="BDT48" s="21"/>
      <c r="BDU48" s="7"/>
      <c r="BDV48" s="7"/>
      <c r="BDW48" s="21"/>
      <c r="BDX48" s="20"/>
      <c r="BDY48" s="20"/>
      <c r="BDZ48" s="20"/>
      <c r="BEA48" s="21"/>
      <c r="BEB48" s="21"/>
      <c r="BEC48" s="21"/>
      <c r="BED48" s="21"/>
      <c r="BEE48" s="21"/>
      <c r="BEF48" s="20"/>
      <c r="BEG48" s="20"/>
      <c r="BEH48" s="20"/>
      <c r="BEI48" s="20"/>
      <c r="BEJ48" s="21"/>
      <c r="BEK48" s="21"/>
      <c r="BEL48" s="7"/>
      <c r="BEM48" s="7"/>
      <c r="BEN48" s="21"/>
      <c r="BEO48" s="20"/>
      <c r="BEP48" s="20"/>
      <c r="BEQ48" s="20"/>
      <c r="BER48" s="21"/>
      <c r="BES48" s="21"/>
      <c r="BET48" s="21"/>
      <c r="BEU48" s="21"/>
      <c r="BEV48" s="21"/>
      <c r="BEW48" s="20"/>
      <c r="BEX48" s="20"/>
      <c r="BEY48" s="20"/>
      <c r="BEZ48" s="20"/>
      <c r="BFA48" s="21"/>
      <c r="BFB48" s="21"/>
      <c r="BFC48" s="7"/>
      <c r="BFD48" s="7"/>
      <c r="BFE48" s="21"/>
      <c r="BFF48" s="20"/>
      <c r="BFG48" s="20"/>
      <c r="BFH48" s="20"/>
      <c r="BFI48" s="21"/>
      <c r="BFJ48" s="21"/>
      <c r="BFK48" s="21"/>
      <c r="BFL48" s="21"/>
      <c r="BFM48" s="21"/>
      <c r="BFN48" s="20"/>
      <c r="BFO48" s="20"/>
      <c r="BFP48" s="20"/>
      <c r="BFQ48" s="20"/>
      <c r="BFR48" s="21"/>
      <c r="BFS48" s="21"/>
      <c r="BFT48" s="7"/>
      <c r="BFU48" s="7"/>
      <c r="BFV48" s="21"/>
      <c r="BFW48" s="20"/>
      <c r="BFX48" s="20"/>
      <c r="BFY48" s="20"/>
      <c r="BFZ48" s="21"/>
      <c r="BGA48" s="21"/>
      <c r="BGB48" s="21"/>
      <c r="BGC48" s="21"/>
      <c r="BGD48" s="21"/>
      <c r="BGE48" s="20"/>
      <c r="BGF48" s="20"/>
      <c r="BGG48" s="20"/>
      <c r="BGH48" s="20"/>
      <c r="BGI48" s="21"/>
      <c r="BGJ48" s="21"/>
      <c r="BGK48" s="7"/>
      <c r="BGL48" s="7"/>
      <c r="BGM48" s="21"/>
      <c r="BGN48" s="20"/>
      <c r="BGO48" s="20"/>
      <c r="BGP48" s="20"/>
      <c r="BGQ48" s="21"/>
      <c r="BGR48" s="21"/>
      <c r="BGS48" s="21"/>
      <c r="BGT48" s="21"/>
      <c r="BGU48" s="21"/>
      <c r="BGV48" s="20"/>
      <c r="BGW48" s="20"/>
      <c r="BGX48" s="20"/>
      <c r="BGY48" s="20"/>
      <c r="BGZ48" s="21"/>
      <c r="BHA48" s="21"/>
      <c r="BHB48" s="7"/>
      <c r="BHC48" s="7"/>
      <c r="BHD48" s="21"/>
      <c r="BHE48" s="20"/>
      <c r="BHF48" s="20"/>
      <c r="BHG48" s="20"/>
      <c r="BHH48" s="21"/>
      <c r="BHI48" s="21"/>
      <c r="BHJ48" s="21"/>
      <c r="BHK48" s="21"/>
      <c r="BHL48" s="21"/>
      <c r="BHM48" s="20"/>
      <c r="BHN48" s="20"/>
      <c r="BHO48" s="20"/>
      <c r="BHP48" s="20"/>
      <c r="BHQ48" s="21"/>
      <c r="BHR48" s="21"/>
      <c r="BHS48" s="7"/>
      <c r="BHT48" s="7"/>
      <c r="BHU48" s="21"/>
      <c r="BHV48" s="20"/>
      <c r="BHW48" s="20"/>
      <c r="BHX48" s="20"/>
      <c r="BHY48" s="21"/>
      <c r="BHZ48" s="21"/>
      <c r="BIA48" s="21"/>
      <c r="BIB48" s="21"/>
      <c r="BIC48" s="21"/>
      <c r="BID48" s="20"/>
      <c r="BIE48" s="20"/>
      <c r="BIF48" s="20"/>
      <c r="BIG48" s="20"/>
      <c r="BIH48" s="21"/>
      <c r="BII48" s="21"/>
      <c r="BIJ48" s="7"/>
      <c r="BIK48" s="7"/>
      <c r="BIL48" s="21"/>
      <c r="BIM48" s="20"/>
      <c r="BIN48" s="20"/>
      <c r="BIO48" s="20"/>
      <c r="BIP48" s="21"/>
      <c r="BIQ48" s="21"/>
      <c r="BIR48" s="21"/>
      <c r="BIS48" s="21"/>
      <c r="BIT48" s="21"/>
      <c r="BIU48" s="20"/>
      <c r="BIV48" s="20"/>
      <c r="BIW48" s="20"/>
      <c r="BIX48" s="20"/>
      <c r="BIY48" s="21"/>
      <c r="BIZ48" s="21"/>
      <c r="BJA48" s="7"/>
      <c r="BJB48" s="7"/>
      <c r="BJC48" s="21"/>
      <c r="BJD48" s="20"/>
      <c r="BJE48" s="20"/>
      <c r="BJF48" s="20"/>
      <c r="BJG48" s="21"/>
      <c r="BJH48" s="21"/>
      <c r="BJI48" s="21"/>
      <c r="BJJ48" s="21"/>
      <c r="BJK48" s="21"/>
      <c r="BJL48" s="20"/>
      <c r="BJM48" s="20"/>
      <c r="BJN48" s="20"/>
      <c r="BJO48" s="20"/>
      <c r="BJP48" s="21"/>
      <c r="BJQ48" s="21"/>
      <c r="BJR48" s="7"/>
      <c r="BJS48" s="7"/>
      <c r="BJT48" s="21"/>
      <c r="BJU48" s="20"/>
      <c r="BJV48" s="20"/>
      <c r="BJW48" s="20"/>
      <c r="BJX48" s="21"/>
      <c r="BJY48" s="21"/>
      <c r="BJZ48" s="21"/>
      <c r="BKA48" s="21"/>
      <c r="BKB48" s="21"/>
      <c r="BKC48" s="20"/>
      <c r="BKD48" s="20"/>
      <c r="BKE48" s="20"/>
      <c r="BKF48" s="20"/>
      <c r="BKG48" s="21"/>
      <c r="BKH48" s="21"/>
      <c r="BKI48" s="7"/>
      <c r="BKJ48" s="7"/>
      <c r="BKK48" s="21"/>
      <c r="BKL48" s="20"/>
      <c r="BKM48" s="20"/>
      <c r="BKN48" s="20"/>
      <c r="BKO48" s="21"/>
      <c r="BKP48" s="21"/>
      <c r="BKQ48" s="21"/>
      <c r="BKR48" s="21"/>
      <c r="BKS48" s="21"/>
      <c r="BKT48" s="20"/>
      <c r="BKU48" s="20"/>
      <c r="BKV48" s="20"/>
      <c r="BKW48" s="20"/>
      <c r="BKX48" s="21"/>
      <c r="BKY48" s="21"/>
      <c r="BKZ48" s="7"/>
      <c r="BLA48" s="7"/>
      <c r="BLB48" s="21"/>
      <c r="BLC48" s="20"/>
      <c r="BLD48" s="20"/>
      <c r="BLE48" s="20"/>
      <c r="BLF48" s="21"/>
      <c r="BLG48" s="21"/>
      <c r="BLH48" s="21"/>
      <c r="BLI48" s="21"/>
      <c r="BLJ48" s="21"/>
      <c r="BLK48" s="20"/>
      <c r="BLL48" s="20"/>
      <c r="BLM48" s="20"/>
      <c r="BLN48" s="20"/>
      <c r="BLO48" s="21"/>
      <c r="BLP48" s="21"/>
      <c r="BLQ48" s="7"/>
      <c r="BLR48" s="7"/>
      <c r="BLS48" s="21"/>
      <c r="BLT48" s="20"/>
      <c r="BLU48" s="20"/>
      <c r="BLV48" s="20"/>
      <c r="BLW48" s="21"/>
      <c r="BLX48" s="21"/>
      <c r="BLY48" s="21"/>
      <c r="BLZ48" s="21"/>
      <c r="BMA48" s="21"/>
      <c r="BMB48" s="20"/>
      <c r="BMC48" s="20"/>
      <c r="BMD48" s="20"/>
      <c r="BME48" s="20"/>
      <c r="BMF48" s="21"/>
      <c r="BMG48" s="21"/>
      <c r="BMH48" s="7"/>
      <c r="BMI48" s="7"/>
      <c r="BMJ48" s="21"/>
      <c r="BMK48" s="20"/>
      <c r="BML48" s="20"/>
      <c r="BMM48" s="20"/>
      <c r="BMN48" s="21"/>
      <c r="BMO48" s="21"/>
      <c r="BMP48" s="21"/>
      <c r="BMQ48" s="21"/>
      <c r="BMR48" s="21"/>
      <c r="BMS48" s="20"/>
      <c r="BMT48" s="20"/>
      <c r="BMU48" s="20"/>
      <c r="BMV48" s="20"/>
      <c r="BMW48" s="21"/>
      <c r="BMX48" s="21"/>
      <c r="BMY48" s="7"/>
      <c r="BMZ48" s="7"/>
      <c r="BNA48" s="21"/>
      <c r="BNB48" s="20"/>
      <c r="BNC48" s="20"/>
      <c r="BND48" s="20"/>
      <c r="BNE48" s="21"/>
      <c r="BNF48" s="21"/>
      <c r="BNG48" s="21"/>
      <c r="BNH48" s="21"/>
      <c r="BNI48" s="21"/>
      <c r="BNJ48" s="20"/>
      <c r="BNK48" s="20"/>
      <c r="BNL48" s="20"/>
      <c r="BNM48" s="20"/>
      <c r="BNN48" s="21"/>
      <c r="BNO48" s="21"/>
      <c r="BNP48" s="7"/>
      <c r="BNQ48" s="7"/>
      <c r="BNR48" s="21"/>
      <c r="BNS48" s="20"/>
      <c r="BNT48" s="20"/>
      <c r="BNU48" s="20"/>
      <c r="BNV48" s="21"/>
      <c r="BNW48" s="21"/>
      <c r="BNX48" s="21"/>
      <c r="BNY48" s="21"/>
      <c r="BNZ48" s="21"/>
      <c r="BOA48" s="20"/>
      <c r="BOB48" s="20"/>
      <c r="BOC48" s="20"/>
      <c r="BOD48" s="20"/>
      <c r="BOE48" s="21"/>
      <c r="BOF48" s="21"/>
      <c r="BOG48" s="7"/>
      <c r="BOH48" s="7"/>
      <c r="BOI48" s="21"/>
      <c r="BOJ48" s="20"/>
      <c r="BOK48" s="20"/>
      <c r="BOL48" s="20"/>
      <c r="BOM48" s="21"/>
      <c r="BON48" s="21"/>
      <c r="BOO48" s="21"/>
      <c r="BOP48" s="21"/>
      <c r="BOQ48" s="21"/>
      <c r="BOR48" s="20"/>
      <c r="BOS48" s="20"/>
      <c r="BOT48" s="20"/>
      <c r="BOU48" s="20"/>
      <c r="BOV48" s="21"/>
      <c r="BOW48" s="21"/>
      <c r="BOX48" s="7"/>
      <c r="BOY48" s="7"/>
      <c r="BOZ48" s="21"/>
      <c r="BPA48" s="20"/>
      <c r="BPB48" s="20"/>
      <c r="BPC48" s="20"/>
      <c r="BPD48" s="21"/>
      <c r="BPE48" s="21"/>
      <c r="BPF48" s="21"/>
      <c r="BPG48" s="21"/>
      <c r="BPH48" s="21"/>
      <c r="BPI48" s="20"/>
      <c r="BPJ48" s="20"/>
      <c r="BPK48" s="20"/>
      <c r="BPL48" s="20"/>
      <c r="BPM48" s="21"/>
      <c r="BPN48" s="21"/>
      <c r="BPO48" s="7"/>
      <c r="BPP48" s="7"/>
      <c r="BPQ48" s="21"/>
      <c r="BPR48" s="20"/>
      <c r="BPS48" s="20"/>
      <c r="BPT48" s="20"/>
      <c r="BPU48" s="21"/>
      <c r="BPV48" s="21"/>
      <c r="BPW48" s="21"/>
      <c r="BPX48" s="21"/>
      <c r="BPY48" s="21"/>
      <c r="BPZ48" s="20"/>
      <c r="BQA48" s="20"/>
      <c r="BQB48" s="20"/>
      <c r="BQC48" s="20"/>
      <c r="BQD48" s="21"/>
      <c r="BQE48" s="21"/>
      <c r="BQF48" s="7"/>
      <c r="BQG48" s="7"/>
      <c r="BQH48" s="21"/>
      <c r="BQI48" s="20"/>
      <c r="BQJ48" s="20"/>
      <c r="BQK48" s="20"/>
      <c r="BQL48" s="21"/>
      <c r="BQM48" s="21"/>
      <c r="BQN48" s="21"/>
      <c r="BQO48" s="21"/>
      <c r="BQP48" s="21"/>
      <c r="BQQ48" s="20"/>
      <c r="BQR48" s="20"/>
      <c r="BQS48" s="20"/>
      <c r="BQT48" s="20"/>
      <c r="BQU48" s="21"/>
      <c r="BQV48" s="21"/>
      <c r="BQW48" s="7"/>
      <c r="BQX48" s="7"/>
      <c r="BQY48" s="21"/>
      <c r="BQZ48" s="20"/>
      <c r="BRA48" s="20"/>
      <c r="BRB48" s="20"/>
      <c r="BRC48" s="21"/>
      <c r="BRD48" s="21"/>
      <c r="BRE48" s="21"/>
      <c r="BRF48" s="21"/>
      <c r="BRG48" s="21"/>
      <c r="BRH48" s="20"/>
      <c r="BRI48" s="20"/>
      <c r="BRJ48" s="20"/>
      <c r="BRK48" s="20"/>
      <c r="BRL48" s="21"/>
      <c r="BRM48" s="21"/>
      <c r="BRN48" s="7"/>
      <c r="BRO48" s="7"/>
      <c r="BRP48" s="21"/>
      <c r="BRQ48" s="20"/>
      <c r="BRR48" s="20"/>
      <c r="BRS48" s="20"/>
      <c r="BRT48" s="21"/>
      <c r="BRU48" s="21"/>
      <c r="BRV48" s="21"/>
      <c r="BRW48" s="21"/>
      <c r="BRX48" s="21"/>
      <c r="BRY48" s="20"/>
      <c r="BRZ48" s="20"/>
      <c r="BSA48" s="20"/>
      <c r="BSB48" s="20"/>
      <c r="BSC48" s="21"/>
      <c r="BSD48" s="21"/>
      <c r="BSE48" s="7"/>
      <c r="BSF48" s="7"/>
      <c r="BSG48" s="21"/>
      <c r="BSH48" s="20"/>
      <c r="BSI48" s="20"/>
      <c r="BSJ48" s="20"/>
      <c r="BSK48" s="21"/>
      <c r="BSL48" s="21"/>
      <c r="BSM48" s="21"/>
      <c r="BSN48" s="21"/>
      <c r="BSO48" s="21"/>
      <c r="BSP48" s="20"/>
      <c r="BSQ48" s="20"/>
      <c r="BSR48" s="20"/>
      <c r="BSS48" s="20"/>
      <c r="BST48" s="21"/>
      <c r="BSU48" s="21"/>
      <c r="BSV48" s="7"/>
      <c r="BSW48" s="7"/>
      <c r="BSX48" s="21"/>
      <c r="BSY48" s="20"/>
      <c r="BSZ48" s="20"/>
      <c r="BTA48" s="20"/>
      <c r="BTB48" s="21"/>
      <c r="BTC48" s="21"/>
      <c r="BTD48" s="21"/>
      <c r="BTE48" s="21"/>
      <c r="BTF48" s="21"/>
      <c r="BTG48" s="20"/>
      <c r="BTH48" s="20"/>
      <c r="BTI48" s="20"/>
      <c r="BTJ48" s="20"/>
      <c r="BTK48" s="21"/>
      <c r="BTL48" s="21"/>
      <c r="BTM48" s="7"/>
      <c r="BTN48" s="7"/>
      <c r="BTO48" s="21"/>
      <c r="BTP48" s="20"/>
      <c r="BTQ48" s="20"/>
      <c r="BTR48" s="20"/>
      <c r="BTS48" s="21"/>
      <c r="BTT48" s="21"/>
      <c r="BTU48" s="21"/>
      <c r="BTV48" s="21"/>
      <c r="BTW48" s="21"/>
      <c r="BTX48" s="20"/>
      <c r="BTY48" s="20"/>
      <c r="BTZ48" s="20"/>
      <c r="BUA48" s="20"/>
      <c r="BUB48" s="21"/>
      <c r="BUC48" s="21"/>
      <c r="BUD48" s="7"/>
      <c r="BUE48" s="7"/>
      <c r="BUF48" s="21"/>
      <c r="BUG48" s="20"/>
      <c r="BUH48" s="20"/>
      <c r="BUI48" s="20"/>
      <c r="BUJ48" s="21"/>
      <c r="BUK48" s="21"/>
      <c r="BUL48" s="21"/>
      <c r="BUM48" s="21"/>
      <c r="BUN48" s="21"/>
      <c r="BUO48" s="20"/>
      <c r="BUP48" s="20"/>
      <c r="BUQ48" s="20"/>
      <c r="BUR48" s="20"/>
      <c r="BUS48" s="21"/>
      <c r="BUT48" s="21"/>
      <c r="BUU48" s="7"/>
      <c r="BUV48" s="7"/>
      <c r="BUW48" s="21"/>
      <c r="BUX48" s="20"/>
      <c r="BUY48" s="20"/>
      <c r="BUZ48" s="20"/>
      <c r="BVA48" s="21"/>
      <c r="BVB48" s="21"/>
      <c r="BVC48" s="21"/>
      <c r="BVD48" s="21"/>
      <c r="BVE48" s="21"/>
      <c r="BVF48" s="20"/>
      <c r="BVG48" s="20"/>
      <c r="BVH48" s="20"/>
      <c r="BVI48" s="20"/>
      <c r="BVJ48" s="21"/>
      <c r="BVK48" s="21"/>
      <c r="BVL48" s="7"/>
      <c r="BVM48" s="7"/>
      <c r="BVN48" s="21"/>
      <c r="BVO48" s="20"/>
      <c r="BVP48" s="20"/>
      <c r="BVQ48" s="20"/>
      <c r="BVR48" s="21"/>
      <c r="BVS48" s="21"/>
      <c r="BVT48" s="21"/>
      <c r="BVU48" s="21"/>
      <c r="BVV48" s="21"/>
      <c r="BVW48" s="20"/>
      <c r="BVX48" s="20"/>
      <c r="BVY48" s="20"/>
      <c r="BVZ48" s="20"/>
      <c r="BWA48" s="21"/>
      <c r="BWB48" s="21"/>
      <c r="BWC48" s="7"/>
      <c r="BWD48" s="7"/>
      <c r="BWE48" s="21"/>
      <c r="BWF48" s="20"/>
      <c r="BWG48" s="20"/>
      <c r="BWH48" s="20"/>
      <c r="BWI48" s="21"/>
      <c r="BWJ48" s="21"/>
      <c r="BWK48" s="21"/>
      <c r="BWL48" s="21"/>
      <c r="BWM48" s="21"/>
      <c r="BWN48" s="20"/>
      <c r="BWO48" s="20"/>
      <c r="BWP48" s="20"/>
      <c r="BWQ48" s="20"/>
      <c r="BWR48" s="21"/>
      <c r="BWS48" s="21"/>
      <c r="BWT48" s="7"/>
      <c r="BWU48" s="7"/>
      <c r="BWV48" s="21"/>
      <c r="BWW48" s="20"/>
      <c r="BWX48" s="20"/>
      <c r="BWY48" s="20"/>
      <c r="BWZ48" s="21"/>
      <c r="BXA48" s="21"/>
      <c r="BXB48" s="21"/>
      <c r="BXC48" s="21"/>
      <c r="BXD48" s="21"/>
      <c r="BXE48" s="20"/>
      <c r="BXF48" s="20"/>
      <c r="BXG48" s="20"/>
      <c r="BXH48" s="20"/>
      <c r="BXI48" s="21"/>
      <c r="BXJ48" s="21"/>
      <c r="BXK48" s="7"/>
      <c r="BXL48" s="7"/>
      <c r="BXM48" s="21"/>
      <c r="BXN48" s="20"/>
      <c r="BXO48" s="20"/>
      <c r="BXP48" s="20"/>
      <c r="BXQ48" s="21"/>
      <c r="BXR48" s="21"/>
      <c r="BXS48" s="21"/>
      <c r="BXT48" s="21"/>
      <c r="BXU48" s="21"/>
      <c r="BXV48" s="20"/>
      <c r="BXW48" s="20"/>
      <c r="BXX48" s="20"/>
      <c r="BXY48" s="20"/>
      <c r="BXZ48" s="21"/>
      <c r="BYA48" s="21"/>
      <c r="BYB48" s="7"/>
      <c r="BYC48" s="7"/>
      <c r="BYD48" s="21"/>
      <c r="BYE48" s="20"/>
      <c r="BYF48" s="20"/>
      <c r="BYG48" s="20"/>
      <c r="BYH48" s="21"/>
      <c r="BYI48" s="21"/>
      <c r="BYJ48" s="21"/>
      <c r="BYK48" s="21"/>
      <c r="BYL48" s="21"/>
      <c r="BYM48" s="20"/>
      <c r="BYN48" s="20"/>
      <c r="BYO48" s="20"/>
      <c r="BYP48" s="20"/>
      <c r="BYQ48" s="21"/>
      <c r="BYR48" s="21"/>
      <c r="BYS48" s="7"/>
      <c r="BYT48" s="7"/>
      <c r="BYU48" s="21"/>
      <c r="BYV48" s="20"/>
      <c r="BYW48" s="20"/>
      <c r="BYX48" s="20"/>
      <c r="BYY48" s="21"/>
      <c r="BYZ48" s="21"/>
      <c r="BZA48" s="21"/>
      <c r="BZB48" s="21"/>
      <c r="BZC48" s="21"/>
      <c r="BZD48" s="20"/>
      <c r="BZE48" s="20"/>
      <c r="BZF48" s="20"/>
      <c r="BZG48" s="20"/>
      <c r="BZH48" s="21"/>
      <c r="BZI48" s="21"/>
      <c r="BZJ48" s="7"/>
      <c r="BZK48" s="7"/>
      <c r="BZL48" s="21"/>
      <c r="BZM48" s="20"/>
      <c r="BZN48" s="20"/>
      <c r="BZO48" s="20"/>
      <c r="BZP48" s="21"/>
      <c r="BZQ48" s="21"/>
      <c r="BZR48" s="21"/>
      <c r="BZS48" s="21"/>
      <c r="BZT48" s="21"/>
      <c r="BZU48" s="20"/>
      <c r="BZV48" s="20"/>
      <c r="BZW48" s="20"/>
      <c r="BZX48" s="20"/>
      <c r="BZY48" s="21"/>
      <c r="BZZ48" s="21"/>
      <c r="CAA48" s="7"/>
      <c r="CAB48" s="7"/>
      <c r="CAC48" s="21"/>
      <c r="CAD48" s="20"/>
      <c r="CAE48" s="20"/>
      <c r="CAF48" s="20"/>
      <c r="CAG48" s="21"/>
      <c r="CAH48" s="21"/>
      <c r="CAI48" s="21"/>
      <c r="CAJ48" s="21"/>
      <c r="CAK48" s="21"/>
      <c r="CAL48" s="20"/>
      <c r="CAM48" s="20"/>
      <c r="CAN48" s="20"/>
      <c r="CAO48" s="20"/>
      <c r="CAP48" s="21"/>
      <c r="CAQ48" s="21"/>
      <c r="CAR48" s="7"/>
      <c r="CAS48" s="7"/>
      <c r="CAT48" s="21"/>
      <c r="CAU48" s="20"/>
      <c r="CAV48" s="20"/>
      <c r="CAW48" s="20"/>
      <c r="CAX48" s="21"/>
      <c r="CAY48" s="21"/>
      <c r="CAZ48" s="21"/>
      <c r="CBA48" s="21"/>
      <c r="CBB48" s="21"/>
      <c r="CBC48" s="20"/>
      <c r="CBD48" s="20"/>
      <c r="CBE48" s="20"/>
      <c r="CBF48" s="20"/>
      <c r="CBG48" s="21"/>
      <c r="CBH48" s="21"/>
      <c r="CBI48" s="7"/>
      <c r="CBJ48" s="7"/>
      <c r="CBK48" s="21"/>
      <c r="CBL48" s="20"/>
      <c r="CBM48" s="20"/>
      <c r="CBN48" s="20"/>
      <c r="CBO48" s="21"/>
      <c r="CBP48" s="21"/>
      <c r="CBQ48" s="21"/>
      <c r="CBR48" s="21"/>
      <c r="CBS48" s="21"/>
      <c r="CBT48" s="20"/>
      <c r="CBU48" s="20"/>
      <c r="CBV48" s="20"/>
      <c r="CBW48" s="20"/>
      <c r="CBX48" s="21"/>
      <c r="CBY48" s="21"/>
      <c r="CBZ48" s="7"/>
      <c r="CCA48" s="7"/>
      <c r="CCB48" s="21"/>
      <c r="CCC48" s="20"/>
      <c r="CCD48" s="20"/>
      <c r="CCE48" s="20"/>
      <c r="CCF48" s="21"/>
      <c r="CCG48" s="21"/>
      <c r="CCH48" s="21"/>
      <c r="CCI48" s="21"/>
      <c r="CCJ48" s="21"/>
      <c r="CCK48" s="20"/>
      <c r="CCL48" s="20"/>
      <c r="CCM48" s="20"/>
      <c r="CCN48" s="20"/>
      <c r="CCO48" s="21"/>
      <c r="CCP48" s="21"/>
      <c r="CCQ48" s="7"/>
      <c r="CCR48" s="7"/>
      <c r="CCS48" s="21"/>
      <c r="CCT48" s="20"/>
      <c r="CCU48" s="20"/>
      <c r="CCV48" s="20"/>
      <c r="CCW48" s="21"/>
      <c r="CCX48" s="21"/>
      <c r="CCY48" s="21"/>
      <c r="CCZ48" s="21"/>
      <c r="CDA48" s="21"/>
      <c r="CDB48" s="20"/>
      <c r="CDC48" s="20"/>
      <c r="CDD48" s="20"/>
      <c r="CDE48" s="20"/>
      <c r="CDF48" s="21"/>
      <c r="CDG48" s="21"/>
      <c r="CDH48" s="7"/>
      <c r="CDI48" s="7"/>
      <c r="CDJ48" s="21"/>
      <c r="CDK48" s="20"/>
      <c r="CDL48" s="20"/>
      <c r="CDM48" s="20"/>
      <c r="CDN48" s="21"/>
      <c r="CDO48" s="21"/>
      <c r="CDP48" s="21"/>
      <c r="CDQ48" s="21"/>
      <c r="CDR48" s="21"/>
      <c r="CDS48" s="20"/>
      <c r="CDT48" s="20"/>
      <c r="CDU48" s="20"/>
      <c r="CDV48" s="20"/>
      <c r="CDW48" s="21"/>
      <c r="CDX48" s="21"/>
      <c r="CDY48" s="7"/>
      <c r="CDZ48" s="7"/>
      <c r="CEA48" s="21"/>
      <c r="CEB48" s="20"/>
      <c r="CEC48" s="20"/>
      <c r="CED48" s="20"/>
      <c r="CEE48" s="21"/>
      <c r="CEF48" s="21"/>
      <c r="CEG48" s="21"/>
      <c r="CEH48" s="21"/>
      <c r="CEI48" s="21"/>
      <c r="CEJ48" s="20"/>
      <c r="CEK48" s="20"/>
      <c r="CEL48" s="20"/>
      <c r="CEM48" s="20"/>
      <c r="CEN48" s="21"/>
      <c r="CEO48" s="21"/>
      <c r="CEP48" s="7"/>
      <c r="CEQ48" s="7"/>
      <c r="CER48" s="21"/>
      <c r="CES48" s="20"/>
      <c r="CET48" s="20"/>
      <c r="CEU48" s="20"/>
      <c r="CEV48" s="21"/>
      <c r="CEW48" s="21"/>
      <c r="CEX48" s="21"/>
      <c r="CEY48" s="21"/>
      <c r="CEZ48" s="21"/>
      <c r="CFA48" s="20"/>
      <c r="CFB48" s="20"/>
      <c r="CFC48" s="20"/>
      <c r="CFD48" s="20"/>
      <c r="CFE48" s="21"/>
      <c r="CFF48" s="21"/>
      <c r="CFG48" s="7"/>
      <c r="CFH48" s="7"/>
      <c r="CFI48" s="21"/>
      <c r="CFJ48" s="20"/>
      <c r="CFK48" s="20"/>
      <c r="CFL48" s="20"/>
      <c r="CFM48" s="21"/>
      <c r="CFN48" s="21"/>
      <c r="CFO48" s="21"/>
      <c r="CFP48" s="21"/>
      <c r="CFQ48" s="21"/>
      <c r="CFR48" s="20"/>
      <c r="CFS48" s="20"/>
      <c r="CFT48" s="20"/>
      <c r="CFU48" s="20"/>
      <c r="CFV48" s="21"/>
      <c r="CFW48" s="21"/>
      <c r="CFX48" s="7"/>
      <c r="CFY48" s="7"/>
      <c r="CFZ48" s="21"/>
      <c r="CGA48" s="20"/>
      <c r="CGB48" s="20"/>
      <c r="CGC48" s="20"/>
      <c r="CGD48" s="21"/>
      <c r="CGE48" s="21"/>
      <c r="CGF48" s="21"/>
      <c r="CGG48" s="21"/>
      <c r="CGH48" s="21"/>
      <c r="CGI48" s="20"/>
      <c r="CGJ48" s="20"/>
      <c r="CGK48" s="20"/>
      <c r="CGL48" s="20"/>
      <c r="CGM48" s="21"/>
      <c r="CGN48" s="21"/>
      <c r="CGO48" s="7"/>
      <c r="CGP48" s="7"/>
      <c r="CGQ48" s="21"/>
      <c r="CGR48" s="20"/>
      <c r="CGS48" s="20"/>
      <c r="CGT48" s="20"/>
      <c r="CGU48" s="21"/>
      <c r="CGV48" s="21"/>
      <c r="CGW48" s="21"/>
      <c r="CGX48" s="21"/>
      <c r="CGY48" s="21"/>
      <c r="CGZ48" s="20"/>
      <c r="CHA48" s="20"/>
      <c r="CHB48" s="20"/>
      <c r="CHC48" s="20"/>
      <c r="CHD48" s="21"/>
      <c r="CHE48" s="21"/>
      <c r="CHF48" s="7"/>
      <c r="CHG48" s="7"/>
      <c r="CHH48" s="21"/>
      <c r="CHI48" s="20"/>
      <c r="CHJ48" s="20"/>
      <c r="CHK48" s="20"/>
      <c r="CHL48" s="21"/>
      <c r="CHM48" s="21"/>
      <c r="CHN48" s="21"/>
      <c r="CHO48" s="21"/>
      <c r="CHP48" s="21"/>
      <c r="CHQ48" s="20"/>
      <c r="CHR48" s="20"/>
      <c r="CHS48" s="20"/>
      <c r="CHT48" s="20"/>
      <c r="CHU48" s="21"/>
      <c r="CHV48" s="21"/>
      <c r="CHW48" s="7"/>
      <c r="CHX48" s="7"/>
      <c r="CHY48" s="21"/>
      <c r="CHZ48" s="20"/>
      <c r="CIA48" s="20"/>
      <c r="CIB48" s="20"/>
      <c r="CIC48" s="21"/>
      <c r="CID48" s="21"/>
      <c r="CIE48" s="21"/>
      <c r="CIF48" s="21"/>
      <c r="CIG48" s="21"/>
      <c r="CIH48" s="20"/>
      <c r="CII48" s="20"/>
      <c r="CIJ48" s="20"/>
      <c r="CIK48" s="20"/>
      <c r="CIL48" s="21"/>
      <c r="CIM48" s="21"/>
      <c r="CIN48" s="7"/>
      <c r="CIO48" s="7"/>
      <c r="CIP48" s="21"/>
      <c r="CIQ48" s="20"/>
      <c r="CIR48" s="20"/>
      <c r="CIS48" s="20"/>
      <c r="CIT48" s="21"/>
      <c r="CIU48" s="21"/>
      <c r="CIV48" s="21"/>
      <c r="CIW48" s="21"/>
      <c r="CIX48" s="21"/>
      <c r="CIY48" s="20"/>
      <c r="CIZ48" s="20"/>
      <c r="CJA48" s="20"/>
      <c r="CJB48" s="20"/>
      <c r="CJC48" s="21"/>
      <c r="CJD48" s="21"/>
      <c r="CJE48" s="7"/>
      <c r="CJF48" s="7"/>
      <c r="CJG48" s="21"/>
      <c r="CJH48" s="20"/>
      <c r="CJI48" s="20"/>
      <c r="CJJ48" s="20"/>
      <c r="CJK48" s="21"/>
      <c r="CJL48" s="21"/>
      <c r="CJM48" s="21"/>
      <c r="CJN48" s="21"/>
      <c r="CJO48" s="21"/>
      <c r="CJP48" s="20"/>
      <c r="CJQ48" s="20"/>
      <c r="CJR48" s="20"/>
      <c r="CJS48" s="20"/>
      <c r="CJT48" s="21"/>
      <c r="CJU48" s="21"/>
      <c r="CJV48" s="7"/>
      <c r="CJW48" s="7"/>
      <c r="CJX48" s="21"/>
      <c r="CJY48" s="20"/>
      <c r="CJZ48" s="20"/>
      <c r="CKA48" s="20"/>
      <c r="CKB48" s="21"/>
      <c r="CKC48" s="21"/>
      <c r="CKD48" s="21"/>
      <c r="CKE48" s="21"/>
      <c r="CKF48" s="21"/>
      <c r="CKG48" s="20"/>
      <c r="CKH48" s="20"/>
      <c r="CKI48" s="20"/>
      <c r="CKJ48" s="20"/>
      <c r="CKK48" s="21"/>
      <c r="CKL48" s="21"/>
      <c r="CKM48" s="7"/>
      <c r="CKN48" s="7"/>
      <c r="CKO48" s="21"/>
      <c r="CKP48" s="20"/>
      <c r="CKQ48" s="20"/>
      <c r="CKR48" s="20"/>
      <c r="CKS48" s="21"/>
      <c r="CKT48" s="21"/>
      <c r="CKU48" s="21"/>
      <c r="CKV48" s="21"/>
      <c r="CKW48" s="21"/>
      <c r="CKX48" s="20"/>
      <c r="CKY48" s="20"/>
      <c r="CKZ48" s="20"/>
      <c r="CLA48" s="20"/>
      <c r="CLB48" s="21"/>
      <c r="CLC48" s="21"/>
      <c r="CLD48" s="7"/>
      <c r="CLE48" s="7"/>
      <c r="CLF48" s="21"/>
      <c r="CLG48" s="20"/>
      <c r="CLH48" s="20"/>
      <c r="CLI48" s="20"/>
      <c r="CLJ48" s="21"/>
      <c r="CLK48" s="21"/>
      <c r="CLL48" s="21"/>
      <c r="CLM48" s="21"/>
      <c r="CLN48" s="21"/>
      <c r="CLO48" s="20"/>
      <c r="CLP48" s="20"/>
      <c r="CLQ48" s="20"/>
      <c r="CLR48" s="20"/>
      <c r="CLS48" s="21"/>
      <c r="CLT48" s="21"/>
      <c r="CLU48" s="7"/>
      <c r="CLV48" s="7"/>
      <c r="CLW48" s="21"/>
      <c r="CLX48" s="20"/>
      <c r="CLY48" s="20"/>
      <c r="CLZ48" s="20"/>
      <c r="CMA48" s="21"/>
      <c r="CMB48" s="21"/>
      <c r="CMC48" s="21"/>
      <c r="CMD48" s="21"/>
      <c r="CME48" s="21"/>
      <c r="CMF48" s="20"/>
      <c r="CMG48" s="20"/>
      <c r="CMH48" s="20"/>
      <c r="CMI48" s="20"/>
      <c r="CMJ48" s="21"/>
      <c r="CMK48" s="21"/>
      <c r="CML48" s="7"/>
      <c r="CMM48" s="7"/>
      <c r="CMN48" s="21"/>
      <c r="CMO48" s="20"/>
      <c r="CMP48" s="20"/>
      <c r="CMQ48" s="20"/>
      <c r="CMR48" s="21"/>
      <c r="CMS48" s="21"/>
      <c r="CMT48" s="21"/>
      <c r="CMU48" s="21"/>
      <c r="CMV48" s="21"/>
      <c r="CMW48" s="20"/>
      <c r="CMX48" s="20"/>
      <c r="CMY48" s="20"/>
      <c r="CMZ48" s="20"/>
      <c r="CNA48" s="21"/>
      <c r="CNB48" s="21"/>
      <c r="CNC48" s="7"/>
      <c r="CND48" s="7"/>
      <c r="CNE48" s="21"/>
      <c r="CNF48" s="20"/>
      <c r="CNG48" s="20"/>
      <c r="CNH48" s="20"/>
      <c r="CNI48" s="21"/>
      <c r="CNJ48" s="21"/>
      <c r="CNK48" s="21"/>
      <c r="CNL48" s="21"/>
      <c r="CNM48" s="21"/>
      <c r="CNN48" s="20"/>
      <c r="CNO48" s="20"/>
      <c r="CNP48" s="20"/>
      <c r="CNQ48" s="20"/>
      <c r="CNR48" s="21"/>
      <c r="CNS48" s="21"/>
      <c r="CNT48" s="7"/>
      <c r="CNU48" s="7"/>
      <c r="CNV48" s="21"/>
      <c r="CNW48" s="20"/>
      <c r="CNX48" s="20"/>
      <c r="CNY48" s="20"/>
      <c r="CNZ48" s="21"/>
      <c r="COA48" s="21"/>
      <c r="COB48" s="21"/>
      <c r="COC48" s="21"/>
      <c r="COD48" s="21"/>
      <c r="COE48" s="20"/>
      <c r="COF48" s="20"/>
      <c r="COG48" s="20"/>
      <c r="COH48" s="20"/>
      <c r="COI48" s="21"/>
      <c r="COJ48" s="21"/>
      <c r="COK48" s="7"/>
      <c r="COL48" s="7"/>
      <c r="COM48" s="21"/>
      <c r="CON48" s="20"/>
      <c r="COO48" s="20"/>
      <c r="COP48" s="20"/>
      <c r="COQ48" s="21"/>
      <c r="COR48" s="21"/>
      <c r="COS48" s="21"/>
      <c r="COT48" s="21"/>
      <c r="COU48" s="21"/>
      <c r="COV48" s="20"/>
      <c r="COW48" s="20"/>
      <c r="COX48" s="20"/>
      <c r="COY48" s="20"/>
      <c r="COZ48" s="21"/>
      <c r="CPA48" s="21"/>
      <c r="CPB48" s="7"/>
      <c r="CPC48" s="7"/>
      <c r="CPD48" s="21"/>
      <c r="CPE48" s="20"/>
      <c r="CPF48" s="20"/>
      <c r="CPG48" s="20"/>
      <c r="CPH48" s="21"/>
      <c r="CPI48" s="21"/>
      <c r="CPJ48" s="21"/>
      <c r="CPK48" s="21"/>
      <c r="CPL48" s="21"/>
      <c r="CPM48" s="20"/>
      <c r="CPN48" s="20"/>
      <c r="CPO48" s="20"/>
      <c r="CPP48" s="20"/>
      <c r="CPQ48" s="21"/>
      <c r="CPR48" s="21"/>
      <c r="CPS48" s="7"/>
      <c r="CPT48" s="7"/>
      <c r="CPU48" s="21"/>
      <c r="CPV48" s="20"/>
      <c r="CPW48" s="20"/>
      <c r="CPX48" s="20"/>
      <c r="CPY48" s="21"/>
      <c r="CPZ48" s="21"/>
      <c r="CQA48" s="21"/>
      <c r="CQB48" s="21"/>
      <c r="CQC48" s="21"/>
      <c r="CQD48" s="20"/>
      <c r="CQE48" s="20"/>
      <c r="CQF48" s="20"/>
      <c r="CQG48" s="20"/>
      <c r="CQH48" s="21"/>
      <c r="CQI48" s="21"/>
      <c r="CQJ48" s="7"/>
      <c r="CQK48" s="7"/>
      <c r="CQL48" s="21"/>
      <c r="CQM48" s="20"/>
      <c r="CQN48" s="20"/>
      <c r="CQO48" s="20"/>
      <c r="CQP48" s="21"/>
      <c r="CQQ48" s="21"/>
      <c r="CQR48" s="21"/>
      <c r="CQS48" s="21"/>
      <c r="CQT48" s="21"/>
      <c r="CQU48" s="20"/>
      <c r="CQV48" s="20"/>
      <c r="CQW48" s="20"/>
      <c r="CQX48" s="20"/>
      <c r="CQY48" s="21"/>
      <c r="CQZ48" s="21"/>
      <c r="CRA48" s="7"/>
      <c r="CRB48" s="7"/>
      <c r="CRC48" s="21"/>
      <c r="CRD48" s="20"/>
      <c r="CRE48" s="20"/>
      <c r="CRF48" s="20"/>
      <c r="CRG48" s="21"/>
      <c r="CRH48" s="21"/>
      <c r="CRI48" s="21"/>
      <c r="CRJ48" s="21"/>
      <c r="CRK48" s="21"/>
      <c r="CRL48" s="20"/>
      <c r="CRM48" s="20"/>
      <c r="CRN48" s="20"/>
      <c r="CRO48" s="20"/>
      <c r="CRP48" s="21"/>
      <c r="CRQ48" s="21"/>
      <c r="CRR48" s="7"/>
      <c r="CRS48" s="7"/>
      <c r="CRT48" s="21"/>
      <c r="CRU48" s="20"/>
      <c r="CRV48" s="20"/>
      <c r="CRW48" s="20"/>
      <c r="CRX48" s="21"/>
      <c r="CRY48" s="21"/>
      <c r="CRZ48" s="21"/>
      <c r="CSA48" s="21"/>
      <c r="CSB48" s="21"/>
      <c r="CSC48" s="20"/>
      <c r="CSD48" s="20"/>
      <c r="CSE48" s="20"/>
      <c r="CSF48" s="20"/>
      <c r="CSG48" s="21"/>
      <c r="CSH48" s="21"/>
      <c r="CSI48" s="7"/>
      <c r="CSJ48" s="7"/>
      <c r="CSK48" s="21"/>
      <c r="CSL48" s="20"/>
      <c r="CSM48" s="20"/>
      <c r="CSN48" s="20"/>
      <c r="CSO48" s="21"/>
      <c r="CSP48" s="21"/>
      <c r="CSQ48" s="21"/>
      <c r="CSR48" s="21"/>
      <c r="CSS48" s="21"/>
      <c r="CST48" s="20"/>
      <c r="CSU48" s="20"/>
      <c r="CSV48" s="20"/>
      <c r="CSW48" s="20"/>
      <c r="CSX48" s="21"/>
      <c r="CSY48" s="21"/>
      <c r="CSZ48" s="7"/>
      <c r="CTA48" s="7"/>
      <c r="CTB48" s="21"/>
      <c r="CTC48" s="20"/>
      <c r="CTD48" s="20"/>
      <c r="CTE48" s="20"/>
      <c r="CTF48" s="21"/>
      <c r="CTG48" s="21"/>
      <c r="CTH48" s="21"/>
      <c r="CTI48" s="21"/>
      <c r="CTJ48" s="21"/>
      <c r="CTK48" s="20"/>
      <c r="CTL48" s="20"/>
      <c r="CTM48" s="20"/>
      <c r="CTN48" s="20"/>
      <c r="CTO48" s="21"/>
      <c r="CTP48" s="21"/>
      <c r="CTQ48" s="7"/>
      <c r="CTR48" s="7"/>
      <c r="CTS48" s="21"/>
      <c r="CTT48" s="20"/>
      <c r="CTU48" s="20"/>
      <c r="CTV48" s="20"/>
      <c r="CTW48" s="21"/>
      <c r="CTX48" s="21"/>
      <c r="CTY48" s="21"/>
      <c r="CTZ48" s="21"/>
      <c r="CUA48" s="21"/>
      <c r="CUB48" s="20"/>
      <c r="CUC48" s="20"/>
      <c r="CUD48" s="20"/>
      <c r="CUE48" s="20"/>
      <c r="CUF48" s="21"/>
      <c r="CUG48" s="21"/>
      <c r="CUH48" s="7"/>
      <c r="CUI48" s="7"/>
      <c r="CUJ48" s="21"/>
      <c r="CUK48" s="20"/>
      <c r="CUL48" s="20"/>
      <c r="CUM48" s="20"/>
      <c r="CUN48" s="21"/>
      <c r="CUO48" s="21"/>
      <c r="CUP48" s="21"/>
      <c r="CUQ48" s="21"/>
      <c r="CUR48" s="21"/>
      <c r="CUS48" s="20"/>
      <c r="CUT48" s="20"/>
      <c r="CUU48" s="20"/>
      <c r="CUV48" s="20"/>
      <c r="CUW48" s="21"/>
      <c r="CUX48" s="21"/>
      <c r="CUY48" s="7"/>
      <c r="CUZ48" s="7"/>
      <c r="CVA48" s="21"/>
      <c r="CVB48" s="20"/>
      <c r="CVC48" s="20"/>
      <c r="CVD48" s="20"/>
      <c r="CVE48" s="21"/>
      <c r="CVF48" s="21"/>
      <c r="CVG48" s="21"/>
      <c r="CVH48" s="21"/>
      <c r="CVI48" s="21"/>
      <c r="CVJ48" s="20"/>
      <c r="CVK48" s="20"/>
      <c r="CVL48" s="20"/>
      <c r="CVM48" s="20"/>
      <c r="CVN48" s="21"/>
      <c r="CVO48" s="21"/>
      <c r="CVP48" s="7"/>
      <c r="CVQ48" s="7"/>
      <c r="CVR48" s="21"/>
      <c r="CVS48" s="20"/>
      <c r="CVT48" s="20"/>
      <c r="CVU48" s="20"/>
      <c r="CVV48" s="21"/>
      <c r="CVW48" s="21"/>
      <c r="CVX48" s="21"/>
      <c r="CVY48" s="21"/>
      <c r="CVZ48" s="21"/>
      <c r="CWA48" s="20"/>
      <c r="CWB48" s="20"/>
      <c r="CWC48" s="20"/>
      <c r="CWD48" s="20"/>
      <c r="CWE48" s="21"/>
      <c r="CWF48" s="21"/>
      <c r="CWG48" s="7"/>
      <c r="CWH48" s="7"/>
      <c r="CWI48" s="21"/>
      <c r="CWJ48" s="20"/>
      <c r="CWK48" s="20"/>
      <c r="CWL48" s="20"/>
      <c r="CWM48" s="21"/>
      <c r="CWN48" s="21"/>
      <c r="CWO48" s="21"/>
      <c r="CWP48" s="21"/>
      <c r="CWQ48" s="21"/>
      <c r="CWR48" s="20"/>
      <c r="CWS48" s="20"/>
      <c r="CWT48" s="20"/>
      <c r="CWU48" s="20"/>
      <c r="CWV48" s="21"/>
      <c r="CWW48" s="21"/>
      <c r="CWX48" s="7"/>
      <c r="CWY48" s="7"/>
      <c r="CWZ48" s="21"/>
      <c r="CXA48" s="20"/>
      <c r="CXB48" s="20"/>
      <c r="CXC48" s="20"/>
      <c r="CXD48" s="21"/>
      <c r="CXE48" s="21"/>
      <c r="CXF48" s="21"/>
      <c r="CXG48" s="21"/>
      <c r="CXH48" s="21"/>
      <c r="CXI48" s="20"/>
      <c r="CXJ48" s="20"/>
      <c r="CXK48" s="20"/>
      <c r="CXL48" s="20"/>
      <c r="CXM48" s="21"/>
      <c r="CXN48" s="21"/>
      <c r="CXO48" s="7"/>
      <c r="CXP48" s="7"/>
      <c r="CXQ48" s="21"/>
      <c r="CXR48" s="20"/>
      <c r="CXS48" s="20"/>
      <c r="CXT48" s="20"/>
      <c r="CXU48" s="21"/>
      <c r="CXV48" s="21"/>
      <c r="CXW48" s="21"/>
      <c r="CXX48" s="21"/>
      <c r="CXY48" s="21"/>
      <c r="CXZ48" s="20"/>
      <c r="CYA48" s="20"/>
      <c r="CYB48" s="20"/>
      <c r="CYC48" s="20"/>
      <c r="CYD48" s="21"/>
      <c r="CYE48" s="21"/>
      <c r="CYF48" s="7"/>
      <c r="CYG48" s="7"/>
      <c r="CYH48" s="21"/>
      <c r="CYI48" s="20"/>
      <c r="CYJ48" s="20"/>
      <c r="CYK48" s="20"/>
      <c r="CYL48" s="21"/>
      <c r="CYM48" s="21"/>
      <c r="CYN48" s="21"/>
      <c r="CYO48" s="21"/>
      <c r="CYP48" s="21"/>
      <c r="CYQ48" s="20"/>
      <c r="CYR48" s="20"/>
      <c r="CYS48" s="20"/>
      <c r="CYT48" s="20"/>
      <c r="CYU48" s="21"/>
      <c r="CYV48" s="21"/>
      <c r="CYW48" s="7"/>
      <c r="CYX48" s="7"/>
      <c r="CYY48" s="21"/>
      <c r="CYZ48" s="20"/>
      <c r="CZA48" s="20"/>
      <c r="CZB48" s="20"/>
      <c r="CZC48" s="21"/>
      <c r="CZD48" s="21"/>
      <c r="CZE48" s="21"/>
      <c r="CZF48" s="21"/>
      <c r="CZG48" s="21"/>
      <c r="CZH48" s="20"/>
      <c r="CZI48" s="20"/>
      <c r="CZJ48" s="20"/>
      <c r="CZK48" s="20"/>
      <c r="CZL48" s="21"/>
      <c r="CZM48" s="21"/>
      <c r="CZN48" s="7"/>
      <c r="CZO48" s="7"/>
      <c r="CZP48" s="21"/>
      <c r="CZQ48" s="20"/>
      <c r="CZR48" s="20"/>
      <c r="CZS48" s="20"/>
      <c r="CZT48" s="21"/>
      <c r="CZU48" s="21"/>
      <c r="CZV48" s="21"/>
      <c r="CZW48" s="21"/>
      <c r="CZX48" s="21"/>
      <c r="CZY48" s="20"/>
      <c r="CZZ48" s="20"/>
      <c r="DAA48" s="20"/>
      <c r="DAB48" s="20"/>
      <c r="DAC48" s="21"/>
      <c r="DAD48" s="21"/>
      <c r="DAE48" s="7"/>
      <c r="DAF48" s="7"/>
      <c r="DAG48" s="21"/>
      <c r="DAH48" s="20"/>
      <c r="DAI48" s="20"/>
      <c r="DAJ48" s="20"/>
      <c r="DAK48" s="21"/>
      <c r="DAL48" s="21"/>
      <c r="DAM48" s="21"/>
      <c r="DAN48" s="21"/>
      <c r="DAO48" s="21"/>
      <c r="DAP48" s="20"/>
      <c r="DAQ48" s="20"/>
      <c r="DAR48" s="20"/>
      <c r="DAS48" s="20"/>
      <c r="DAT48" s="21"/>
      <c r="DAU48" s="21"/>
      <c r="DAV48" s="7"/>
      <c r="DAW48" s="7"/>
      <c r="DAX48" s="21"/>
      <c r="DAY48" s="20"/>
      <c r="DAZ48" s="20"/>
      <c r="DBA48" s="20"/>
      <c r="DBB48" s="21"/>
      <c r="DBC48" s="21"/>
      <c r="DBD48" s="21"/>
      <c r="DBE48" s="21"/>
      <c r="DBF48" s="21"/>
      <c r="DBG48" s="20"/>
      <c r="DBH48" s="20"/>
      <c r="DBI48" s="20"/>
      <c r="DBJ48" s="20"/>
      <c r="DBK48" s="21"/>
      <c r="DBL48" s="21"/>
      <c r="DBM48" s="7"/>
      <c r="DBN48" s="7"/>
      <c r="DBO48" s="21"/>
      <c r="DBP48" s="20"/>
      <c r="DBQ48" s="20"/>
      <c r="DBR48" s="20"/>
      <c r="DBS48" s="21"/>
      <c r="DBT48" s="21"/>
      <c r="DBU48" s="21"/>
      <c r="DBV48" s="21"/>
      <c r="DBW48" s="21"/>
      <c r="DBX48" s="20"/>
      <c r="DBY48" s="20"/>
      <c r="DBZ48" s="20"/>
      <c r="DCA48" s="20"/>
      <c r="DCB48" s="21"/>
      <c r="DCC48" s="21"/>
      <c r="DCD48" s="7"/>
      <c r="DCE48" s="7"/>
      <c r="DCF48" s="21"/>
      <c r="DCG48" s="20"/>
      <c r="DCH48" s="20"/>
      <c r="DCI48" s="20"/>
      <c r="DCJ48" s="21"/>
      <c r="DCK48" s="21"/>
      <c r="DCL48" s="21"/>
      <c r="DCM48" s="21"/>
      <c r="DCN48" s="21"/>
      <c r="DCO48" s="20"/>
      <c r="DCP48" s="20"/>
      <c r="DCQ48" s="20"/>
      <c r="DCR48" s="20"/>
      <c r="DCS48" s="21"/>
      <c r="DCT48" s="21"/>
      <c r="DCU48" s="7"/>
      <c r="DCV48" s="7"/>
      <c r="DCW48" s="21"/>
      <c r="DCX48" s="20"/>
      <c r="DCY48" s="20"/>
      <c r="DCZ48" s="20"/>
      <c r="DDA48" s="21"/>
      <c r="DDB48" s="21"/>
      <c r="DDC48" s="21"/>
      <c r="DDD48" s="21"/>
      <c r="DDE48" s="21"/>
      <c r="DDF48" s="20"/>
      <c r="DDG48" s="20"/>
      <c r="DDH48" s="20"/>
      <c r="DDI48" s="20"/>
      <c r="DDJ48" s="21"/>
      <c r="DDK48" s="21"/>
      <c r="DDL48" s="7"/>
      <c r="DDM48" s="7"/>
      <c r="DDN48" s="21"/>
      <c r="DDO48" s="20"/>
      <c r="DDP48" s="20"/>
      <c r="DDQ48" s="20"/>
      <c r="DDR48" s="21"/>
      <c r="DDS48" s="21"/>
      <c r="DDT48" s="21"/>
      <c r="DDU48" s="21"/>
      <c r="DDV48" s="21"/>
      <c r="DDW48" s="20"/>
      <c r="DDX48" s="20"/>
      <c r="DDY48" s="20"/>
      <c r="DDZ48" s="20"/>
      <c r="DEA48" s="21"/>
      <c r="DEB48" s="21"/>
      <c r="DEC48" s="7"/>
      <c r="DED48" s="7"/>
      <c r="DEE48" s="21"/>
      <c r="DEF48" s="20"/>
      <c r="DEG48" s="20"/>
      <c r="DEH48" s="20"/>
      <c r="DEI48" s="21"/>
      <c r="DEJ48" s="21"/>
      <c r="DEK48" s="21"/>
      <c r="DEL48" s="21"/>
      <c r="DEM48" s="21"/>
      <c r="DEN48" s="20"/>
      <c r="DEO48" s="20"/>
      <c r="DEP48" s="20"/>
      <c r="DEQ48" s="20"/>
      <c r="DER48" s="21"/>
      <c r="DES48" s="21"/>
      <c r="DET48" s="7"/>
      <c r="DEU48" s="7"/>
      <c r="DEV48" s="21"/>
      <c r="DEW48" s="20"/>
      <c r="DEX48" s="20"/>
      <c r="DEY48" s="20"/>
      <c r="DEZ48" s="21"/>
      <c r="DFA48" s="21"/>
      <c r="DFB48" s="21"/>
      <c r="DFC48" s="21"/>
      <c r="DFD48" s="21"/>
      <c r="DFE48" s="20"/>
      <c r="DFF48" s="20"/>
      <c r="DFG48" s="20"/>
      <c r="DFH48" s="20"/>
      <c r="DFI48" s="21"/>
      <c r="DFJ48" s="21"/>
      <c r="DFK48" s="7"/>
      <c r="DFL48" s="7"/>
      <c r="DFM48" s="21"/>
      <c r="DFN48" s="20"/>
      <c r="DFO48" s="20"/>
      <c r="DFP48" s="20"/>
      <c r="DFQ48" s="21"/>
      <c r="DFR48" s="21"/>
      <c r="DFS48" s="21"/>
      <c r="DFT48" s="21"/>
      <c r="DFU48" s="21"/>
      <c r="DFV48" s="20"/>
      <c r="DFW48" s="20"/>
      <c r="DFX48" s="20"/>
      <c r="DFY48" s="20"/>
      <c r="DFZ48" s="21"/>
      <c r="DGA48" s="21"/>
      <c r="DGB48" s="7"/>
      <c r="DGC48" s="7"/>
      <c r="DGD48" s="21"/>
      <c r="DGE48" s="20"/>
      <c r="DGF48" s="20"/>
      <c r="DGG48" s="20"/>
      <c r="DGH48" s="21"/>
      <c r="DGI48" s="21"/>
      <c r="DGJ48" s="21"/>
      <c r="DGK48" s="21"/>
      <c r="DGL48" s="21"/>
      <c r="DGM48" s="20"/>
      <c r="DGN48" s="20"/>
      <c r="DGO48" s="20"/>
      <c r="DGP48" s="20"/>
      <c r="DGQ48" s="21"/>
      <c r="DGR48" s="21"/>
      <c r="DGS48" s="7"/>
      <c r="DGT48" s="7"/>
      <c r="DGU48" s="21"/>
      <c r="DGV48" s="20"/>
      <c r="DGW48" s="20"/>
      <c r="DGX48" s="20"/>
      <c r="DGY48" s="21"/>
      <c r="DGZ48" s="21"/>
      <c r="DHA48" s="21"/>
      <c r="DHB48" s="21"/>
      <c r="DHC48" s="21"/>
      <c r="DHD48" s="20"/>
      <c r="DHE48" s="20"/>
      <c r="DHF48" s="20"/>
      <c r="DHG48" s="20"/>
      <c r="DHH48" s="21"/>
      <c r="DHI48" s="21"/>
      <c r="DHJ48" s="7"/>
      <c r="DHK48" s="7"/>
      <c r="DHL48" s="21"/>
      <c r="DHM48" s="20"/>
      <c r="DHN48" s="20"/>
      <c r="DHO48" s="20"/>
      <c r="DHP48" s="21"/>
      <c r="DHQ48" s="21"/>
      <c r="DHR48" s="21"/>
      <c r="DHS48" s="21"/>
      <c r="DHT48" s="21"/>
      <c r="DHU48" s="20"/>
      <c r="DHV48" s="20"/>
      <c r="DHW48" s="20"/>
      <c r="DHX48" s="20"/>
      <c r="DHY48" s="21"/>
      <c r="DHZ48" s="21"/>
      <c r="DIA48" s="7"/>
      <c r="DIB48" s="7"/>
      <c r="DIC48" s="21"/>
      <c r="DID48" s="20"/>
      <c r="DIE48" s="20"/>
      <c r="DIF48" s="20"/>
      <c r="DIG48" s="21"/>
      <c r="DIH48" s="21"/>
      <c r="DII48" s="21"/>
      <c r="DIJ48" s="21"/>
      <c r="DIK48" s="21"/>
      <c r="DIL48" s="20"/>
      <c r="DIM48" s="20"/>
      <c r="DIN48" s="20"/>
      <c r="DIO48" s="20"/>
      <c r="DIP48" s="21"/>
      <c r="DIQ48" s="21"/>
      <c r="DIR48" s="7"/>
      <c r="DIS48" s="7"/>
      <c r="DIT48" s="21"/>
      <c r="DIU48" s="20"/>
      <c r="DIV48" s="20"/>
      <c r="DIW48" s="20"/>
      <c r="DIX48" s="21"/>
      <c r="DIY48" s="21"/>
      <c r="DIZ48" s="21"/>
      <c r="DJA48" s="21"/>
      <c r="DJB48" s="21"/>
      <c r="DJC48" s="20"/>
      <c r="DJD48" s="20"/>
      <c r="DJE48" s="20"/>
      <c r="DJF48" s="20"/>
      <c r="DJG48" s="21"/>
      <c r="DJH48" s="21"/>
      <c r="DJI48" s="7"/>
      <c r="DJJ48" s="7"/>
      <c r="DJK48" s="21"/>
      <c r="DJL48" s="20"/>
      <c r="DJM48" s="20"/>
      <c r="DJN48" s="20"/>
      <c r="DJO48" s="21"/>
      <c r="DJP48" s="21"/>
      <c r="DJQ48" s="21"/>
      <c r="DJR48" s="21"/>
      <c r="DJS48" s="21"/>
      <c r="DJT48" s="20"/>
      <c r="DJU48" s="20"/>
      <c r="DJV48" s="20"/>
      <c r="DJW48" s="20"/>
      <c r="DJX48" s="21"/>
      <c r="DJY48" s="21"/>
      <c r="DJZ48" s="7"/>
      <c r="DKA48" s="7"/>
      <c r="DKB48" s="21"/>
      <c r="DKC48" s="20"/>
      <c r="DKD48" s="20"/>
      <c r="DKE48" s="20"/>
      <c r="DKF48" s="21"/>
      <c r="DKG48" s="21"/>
      <c r="DKH48" s="21"/>
      <c r="DKI48" s="21"/>
      <c r="DKJ48" s="21"/>
      <c r="DKK48" s="20"/>
      <c r="DKL48" s="20"/>
      <c r="DKM48" s="20"/>
      <c r="DKN48" s="20"/>
      <c r="DKO48" s="21"/>
      <c r="DKP48" s="21"/>
      <c r="DKQ48" s="7"/>
      <c r="DKR48" s="7"/>
      <c r="DKS48" s="21"/>
      <c r="DKT48" s="20"/>
      <c r="DKU48" s="20"/>
      <c r="DKV48" s="20"/>
      <c r="DKW48" s="21"/>
      <c r="DKX48" s="21"/>
      <c r="DKY48" s="21"/>
      <c r="DKZ48" s="21"/>
      <c r="DLA48" s="21"/>
      <c r="DLB48" s="20"/>
      <c r="DLC48" s="20"/>
      <c r="DLD48" s="20"/>
      <c r="DLE48" s="20"/>
      <c r="DLF48" s="21"/>
      <c r="DLG48" s="21"/>
      <c r="DLH48" s="7"/>
      <c r="DLI48" s="7"/>
      <c r="DLJ48" s="21"/>
      <c r="DLK48" s="20"/>
      <c r="DLL48" s="20"/>
      <c r="DLM48" s="20"/>
      <c r="DLN48" s="21"/>
      <c r="DLO48" s="21"/>
      <c r="DLP48" s="21"/>
      <c r="DLQ48" s="21"/>
      <c r="DLR48" s="21"/>
      <c r="DLS48" s="20"/>
      <c r="DLT48" s="20"/>
      <c r="DLU48" s="20"/>
      <c r="DLV48" s="20"/>
      <c r="DLW48" s="21"/>
      <c r="DLX48" s="21"/>
      <c r="DLY48" s="7"/>
      <c r="DLZ48" s="7"/>
      <c r="DMA48" s="21"/>
      <c r="DMB48" s="20"/>
      <c r="DMC48" s="20"/>
      <c r="DMD48" s="20"/>
      <c r="DME48" s="21"/>
      <c r="DMF48" s="21"/>
      <c r="DMG48" s="21"/>
      <c r="DMH48" s="21"/>
      <c r="DMI48" s="21"/>
      <c r="DMJ48" s="20"/>
      <c r="DMK48" s="20"/>
      <c r="DML48" s="20"/>
      <c r="DMM48" s="20"/>
      <c r="DMN48" s="21"/>
      <c r="DMO48" s="21"/>
      <c r="DMP48" s="7"/>
      <c r="DMQ48" s="7"/>
      <c r="DMR48" s="21"/>
      <c r="DMS48" s="20"/>
      <c r="DMT48" s="20"/>
      <c r="DMU48" s="20"/>
      <c r="DMV48" s="21"/>
      <c r="DMW48" s="21"/>
      <c r="DMX48" s="21"/>
      <c r="DMY48" s="21"/>
      <c r="DMZ48" s="21"/>
      <c r="DNA48" s="20"/>
      <c r="DNB48" s="20"/>
      <c r="DNC48" s="20"/>
      <c r="DND48" s="20"/>
      <c r="DNE48" s="21"/>
      <c r="DNF48" s="21"/>
      <c r="DNG48" s="7"/>
      <c r="DNH48" s="7"/>
      <c r="DNI48" s="21"/>
      <c r="DNJ48" s="20"/>
      <c r="DNK48" s="20"/>
      <c r="DNL48" s="20"/>
      <c r="DNM48" s="21"/>
      <c r="DNN48" s="21"/>
      <c r="DNO48" s="21"/>
      <c r="DNP48" s="21"/>
      <c r="DNQ48" s="21"/>
      <c r="DNR48" s="20"/>
      <c r="DNS48" s="20"/>
      <c r="DNT48" s="20"/>
      <c r="DNU48" s="20"/>
      <c r="DNV48" s="21"/>
      <c r="DNW48" s="21"/>
      <c r="DNX48" s="7"/>
      <c r="DNY48" s="7"/>
      <c r="DNZ48" s="21"/>
      <c r="DOA48" s="20"/>
      <c r="DOB48" s="20"/>
      <c r="DOC48" s="20"/>
      <c r="DOD48" s="21"/>
      <c r="DOE48" s="21"/>
      <c r="DOF48" s="21"/>
      <c r="DOG48" s="21"/>
      <c r="DOH48" s="21"/>
      <c r="DOI48" s="20"/>
      <c r="DOJ48" s="20"/>
      <c r="DOK48" s="20"/>
      <c r="DOL48" s="20"/>
      <c r="DOM48" s="21"/>
      <c r="DON48" s="21"/>
      <c r="DOO48" s="7"/>
      <c r="DOP48" s="7"/>
      <c r="DOQ48" s="21"/>
      <c r="DOR48" s="20"/>
      <c r="DOS48" s="20"/>
      <c r="DOT48" s="20"/>
      <c r="DOU48" s="21"/>
      <c r="DOV48" s="21"/>
      <c r="DOW48" s="21"/>
      <c r="DOX48" s="21"/>
      <c r="DOY48" s="21"/>
      <c r="DOZ48" s="20"/>
      <c r="DPA48" s="20"/>
      <c r="DPB48" s="20"/>
      <c r="DPC48" s="20"/>
      <c r="DPD48" s="21"/>
      <c r="DPE48" s="21"/>
      <c r="DPF48" s="7"/>
      <c r="DPG48" s="7"/>
      <c r="DPH48" s="21"/>
      <c r="DPI48" s="20"/>
      <c r="DPJ48" s="20"/>
      <c r="DPK48" s="20"/>
      <c r="DPL48" s="21"/>
      <c r="DPM48" s="21"/>
      <c r="DPN48" s="21"/>
      <c r="DPO48" s="21"/>
      <c r="DPP48" s="21"/>
      <c r="DPQ48" s="20"/>
      <c r="DPR48" s="20"/>
      <c r="DPS48" s="20"/>
      <c r="DPT48" s="20"/>
      <c r="DPU48" s="21"/>
      <c r="DPV48" s="21"/>
      <c r="DPW48" s="7"/>
      <c r="DPX48" s="7"/>
      <c r="DPY48" s="21"/>
      <c r="DPZ48" s="20"/>
      <c r="DQA48" s="20"/>
      <c r="DQB48" s="20"/>
      <c r="DQC48" s="21"/>
      <c r="DQD48" s="21"/>
      <c r="DQE48" s="21"/>
      <c r="DQF48" s="21"/>
      <c r="DQG48" s="21"/>
      <c r="DQH48" s="20"/>
      <c r="DQI48" s="20"/>
      <c r="DQJ48" s="20"/>
      <c r="DQK48" s="20"/>
      <c r="DQL48" s="21"/>
      <c r="DQM48" s="21"/>
      <c r="DQN48" s="7"/>
      <c r="DQO48" s="7"/>
      <c r="DQP48" s="21"/>
      <c r="DQQ48" s="20"/>
      <c r="DQR48" s="20"/>
      <c r="DQS48" s="20"/>
      <c r="DQT48" s="21"/>
      <c r="DQU48" s="21"/>
      <c r="DQV48" s="21"/>
      <c r="DQW48" s="21"/>
      <c r="DQX48" s="21"/>
      <c r="DQY48" s="20"/>
      <c r="DQZ48" s="20"/>
      <c r="DRA48" s="20"/>
      <c r="DRB48" s="20"/>
      <c r="DRC48" s="21"/>
      <c r="DRD48" s="21"/>
      <c r="DRE48" s="7"/>
      <c r="DRF48" s="7"/>
      <c r="DRG48" s="21"/>
      <c r="DRH48" s="20"/>
      <c r="DRI48" s="20"/>
      <c r="DRJ48" s="20"/>
      <c r="DRK48" s="21"/>
      <c r="DRL48" s="21"/>
      <c r="DRM48" s="21"/>
      <c r="DRN48" s="21"/>
      <c r="DRO48" s="21"/>
      <c r="DRP48" s="20"/>
      <c r="DRQ48" s="20"/>
      <c r="DRR48" s="20"/>
      <c r="DRS48" s="20"/>
      <c r="DRT48" s="21"/>
      <c r="DRU48" s="21"/>
      <c r="DRV48" s="7"/>
      <c r="DRW48" s="7"/>
      <c r="DRX48" s="21"/>
      <c r="DRY48" s="20"/>
      <c r="DRZ48" s="20"/>
      <c r="DSA48" s="20"/>
      <c r="DSB48" s="21"/>
      <c r="DSC48" s="21"/>
      <c r="DSD48" s="21"/>
      <c r="DSE48" s="21"/>
      <c r="DSF48" s="21"/>
      <c r="DSG48" s="20"/>
      <c r="DSH48" s="20"/>
      <c r="DSI48" s="20"/>
      <c r="DSJ48" s="20"/>
      <c r="DSK48" s="21"/>
      <c r="DSL48" s="21"/>
      <c r="DSM48" s="7"/>
      <c r="DSN48" s="7"/>
      <c r="DSO48" s="21"/>
      <c r="DSP48" s="20"/>
      <c r="DSQ48" s="20"/>
      <c r="DSR48" s="20"/>
      <c r="DSS48" s="21"/>
      <c r="DST48" s="21"/>
      <c r="DSU48" s="21"/>
      <c r="DSV48" s="21"/>
      <c r="DSW48" s="21"/>
      <c r="DSX48" s="20"/>
      <c r="DSY48" s="20"/>
      <c r="DSZ48" s="20"/>
      <c r="DTA48" s="20"/>
      <c r="DTB48" s="21"/>
      <c r="DTC48" s="21"/>
      <c r="DTD48" s="7"/>
      <c r="DTE48" s="7"/>
      <c r="DTF48" s="21"/>
      <c r="DTG48" s="20"/>
      <c r="DTH48" s="20"/>
      <c r="DTI48" s="20"/>
      <c r="DTJ48" s="21"/>
      <c r="DTK48" s="21"/>
      <c r="DTL48" s="21"/>
      <c r="DTM48" s="21"/>
      <c r="DTN48" s="21"/>
      <c r="DTO48" s="20"/>
      <c r="DTP48" s="20"/>
      <c r="DTQ48" s="20"/>
      <c r="DTR48" s="20"/>
      <c r="DTS48" s="21"/>
      <c r="DTT48" s="21"/>
      <c r="DTU48" s="7"/>
      <c r="DTV48" s="7"/>
      <c r="DTW48" s="21"/>
      <c r="DTX48" s="20"/>
      <c r="DTY48" s="20"/>
      <c r="DTZ48" s="20"/>
      <c r="DUA48" s="21"/>
      <c r="DUB48" s="21"/>
      <c r="DUC48" s="21"/>
      <c r="DUD48" s="21"/>
      <c r="DUE48" s="21"/>
      <c r="DUF48" s="20"/>
      <c r="DUG48" s="20"/>
      <c r="DUH48" s="20"/>
      <c r="DUI48" s="20"/>
      <c r="DUJ48" s="21"/>
      <c r="DUK48" s="21"/>
      <c r="DUL48" s="7"/>
      <c r="DUM48" s="7"/>
      <c r="DUN48" s="21"/>
      <c r="DUO48" s="20"/>
      <c r="DUP48" s="20"/>
      <c r="DUQ48" s="20"/>
      <c r="DUR48" s="21"/>
      <c r="DUS48" s="21"/>
      <c r="DUT48" s="21"/>
      <c r="DUU48" s="21"/>
      <c r="DUV48" s="21"/>
      <c r="DUW48" s="20"/>
      <c r="DUX48" s="20"/>
      <c r="DUY48" s="20"/>
      <c r="DUZ48" s="20"/>
      <c r="DVA48" s="21"/>
      <c r="DVB48" s="21"/>
      <c r="DVC48" s="7"/>
      <c r="DVD48" s="7"/>
      <c r="DVE48" s="21"/>
      <c r="DVF48" s="20"/>
      <c r="DVG48" s="20"/>
      <c r="DVH48" s="20"/>
      <c r="DVI48" s="21"/>
      <c r="DVJ48" s="21"/>
      <c r="DVK48" s="21"/>
      <c r="DVL48" s="21"/>
      <c r="DVM48" s="21"/>
      <c r="DVN48" s="20"/>
      <c r="DVO48" s="20"/>
      <c r="DVP48" s="20"/>
      <c r="DVQ48" s="20"/>
      <c r="DVR48" s="21"/>
      <c r="DVS48" s="21"/>
      <c r="DVT48" s="7"/>
      <c r="DVU48" s="7"/>
      <c r="DVV48" s="21"/>
      <c r="DVW48" s="20"/>
      <c r="DVX48" s="20"/>
      <c r="DVY48" s="20"/>
      <c r="DVZ48" s="21"/>
      <c r="DWA48" s="21"/>
      <c r="DWB48" s="21"/>
      <c r="DWC48" s="21"/>
      <c r="DWD48" s="21"/>
      <c r="DWE48" s="20"/>
      <c r="DWF48" s="20"/>
      <c r="DWG48" s="20"/>
      <c r="DWH48" s="20"/>
      <c r="DWI48" s="21"/>
      <c r="DWJ48" s="21"/>
      <c r="DWK48" s="7"/>
      <c r="DWL48" s="7"/>
      <c r="DWM48" s="21"/>
      <c r="DWN48" s="20"/>
      <c r="DWO48" s="20"/>
      <c r="DWP48" s="20"/>
      <c r="DWQ48" s="21"/>
      <c r="DWR48" s="21"/>
      <c r="DWS48" s="21"/>
      <c r="DWT48" s="21"/>
      <c r="DWU48" s="21"/>
      <c r="DWV48" s="20"/>
      <c r="DWW48" s="20"/>
      <c r="DWX48" s="20"/>
      <c r="DWY48" s="20"/>
      <c r="DWZ48" s="21"/>
      <c r="DXA48" s="21"/>
      <c r="DXB48" s="7"/>
      <c r="DXC48" s="7"/>
      <c r="DXD48" s="21"/>
      <c r="DXE48" s="20"/>
      <c r="DXF48" s="20"/>
      <c r="DXG48" s="20"/>
      <c r="DXH48" s="21"/>
      <c r="DXI48" s="21"/>
      <c r="DXJ48" s="21"/>
      <c r="DXK48" s="21"/>
      <c r="DXL48" s="21"/>
      <c r="DXM48" s="20"/>
      <c r="DXN48" s="20"/>
      <c r="DXO48" s="20"/>
      <c r="DXP48" s="20"/>
      <c r="DXQ48" s="21"/>
      <c r="DXR48" s="21"/>
      <c r="DXS48" s="7"/>
      <c r="DXT48" s="7"/>
      <c r="DXU48" s="21"/>
      <c r="DXV48" s="20"/>
      <c r="DXW48" s="20"/>
      <c r="DXX48" s="20"/>
      <c r="DXY48" s="21"/>
      <c r="DXZ48" s="21"/>
      <c r="DYA48" s="21"/>
      <c r="DYB48" s="21"/>
      <c r="DYC48" s="21"/>
      <c r="DYD48" s="20"/>
      <c r="DYE48" s="20"/>
      <c r="DYF48" s="20"/>
      <c r="DYG48" s="20"/>
      <c r="DYH48" s="21"/>
      <c r="DYI48" s="21"/>
      <c r="DYJ48" s="7"/>
      <c r="DYK48" s="7"/>
      <c r="DYL48" s="21"/>
      <c r="DYM48" s="20"/>
      <c r="DYN48" s="20"/>
      <c r="DYO48" s="20"/>
      <c r="DYP48" s="21"/>
      <c r="DYQ48" s="21"/>
      <c r="DYR48" s="21"/>
      <c r="DYS48" s="21"/>
      <c r="DYT48" s="21"/>
      <c r="DYU48" s="20"/>
      <c r="DYV48" s="20"/>
      <c r="DYW48" s="20"/>
      <c r="DYX48" s="20"/>
      <c r="DYY48" s="21"/>
      <c r="DYZ48" s="21"/>
      <c r="DZA48" s="7"/>
      <c r="DZB48" s="7"/>
      <c r="DZC48" s="21"/>
      <c r="DZD48" s="20"/>
      <c r="DZE48" s="20"/>
      <c r="DZF48" s="20"/>
      <c r="DZG48" s="21"/>
      <c r="DZH48" s="21"/>
      <c r="DZI48" s="21"/>
      <c r="DZJ48" s="21"/>
      <c r="DZK48" s="21"/>
      <c r="DZL48" s="20"/>
      <c r="DZM48" s="20"/>
      <c r="DZN48" s="20"/>
      <c r="DZO48" s="20"/>
      <c r="DZP48" s="21"/>
      <c r="DZQ48" s="21"/>
      <c r="DZR48" s="7"/>
      <c r="DZS48" s="7"/>
      <c r="DZT48" s="21"/>
      <c r="DZU48" s="20"/>
      <c r="DZV48" s="20"/>
      <c r="DZW48" s="20"/>
      <c r="DZX48" s="21"/>
      <c r="DZY48" s="21"/>
      <c r="DZZ48" s="21"/>
      <c r="EAA48" s="21"/>
      <c r="EAB48" s="21"/>
      <c r="EAC48" s="20"/>
      <c r="EAD48" s="20"/>
      <c r="EAE48" s="20"/>
      <c r="EAF48" s="20"/>
      <c r="EAG48" s="21"/>
      <c r="EAH48" s="21"/>
      <c r="EAI48" s="7"/>
      <c r="EAJ48" s="7"/>
      <c r="EAK48" s="21"/>
      <c r="EAL48" s="20"/>
      <c r="EAM48" s="20"/>
      <c r="EAN48" s="20"/>
      <c r="EAO48" s="21"/>
      <c r="EAP48" s="21"/>
      <c r="EAQ48" s="21"/>
      <c r="EAR48" s="21"/>
      <c r="EAS48" s="21"/>
      <c r="EAT48" s="20"/>
      <c r="EAU48" s="20"/>
      <c r="EAV48" s="20"/>
      <c r="EAW48" s="20"/>
      <c r="EAX48" s="21"/>
      <c r="EAY48" s="21"/>
      <c r="EAZ48" s="7"/>
      <c r="EBA48" s="7"/>
      <c r="EBB48" s="21"/>
      <c r="EBC48" s="20"/>
      <c r="EBD48" s="20"/>
      <c r="EBE48" s="20"/>
      <c r="EBF48" s="21"/>
      <c r="EBG48" s="21"/>
      <c r="EBH48" s="21"/>
      <c r="EBI48" s="21"/>
      <c r="EBJ48" s="21"/>
      <c r="EBK48" s="20"/>
      <c r="EBL48" s="20"/>
      <c r="EBM48" s="20"/>
      <c r="EBN48" s="20"/>
      <c r="EBO48" s="21"/>
      <c r="EBP48" s="21"/>
      <c r="EBQ48" s="7"/>
      <c r="EBR48" s="7"/>
      <c r="EBS48" s="21"/>
      <c r="EBT48" s="20"/>
      <c r="EBU48" s="20"/>
      <c r="EBV48" s="20"/>
      <c r="EBW48" s="21"/>
      <c r="EBX48" s="21"/>
      <c r="EBY48" s="21"/>
      <c r="EBZ48" s="21"/>
      <c r="ECA48" s="21"/>
      <c r="ECB48" s="20"/>
      <c r="ECC48" s="20"/>
      <c r="ECD48" s="20"/>
      <c r="ECE48" s="20"/>
      <c r="ECF48" s="21"/>
      <c r="ECG48" s="21"/>
      <c r="ECH48" s="7"/>
      <c r="ECI48" s="7"/>
      <c r="ECJ48" s="21"/>
      <c r="ECK48" s="20"/>
      <c r="ECL48" s="20"/>
      <c r="ECM48" s="20"/>
      <c r="ECN48" s="21"/>
      <c r="ECO48" s="21"/>
      <c r="ECP48" s="21"/>
      <c r="ECQ48" s="21"/>
      <c r="ECR48" s="21"/>
      <c r="ECS48" s="20"/>
      <c r="ECT48" s="20"/>
      <c r="ECU48" s="20"/>
      <c r="ECV48" s="20"/>
      <c r="ECW48" s="21"/>
      <c r="ECX48" s="21"/>
      <c r="ECY48" s="7"/>
      <c r="ECZ48" s="7"/>
      <c r="EDA48" s="21"/>
      <c r="EDB48" s="20"/>
      <c r="EDC48" s="20"/>
      <c r="EDD48" s="20"/>
      <c r="EDE48" s="21"/>
      <c r="EDF48" s="21"/>
      <c r="EDG48" s="21"/>
      <c r="EDH48" s="21"/>
      <c r="EDI48" s="21"/>
      <c r="EDJ48" s="20"/>
      <c r="EDK48" s="20"/>
      <c r="EDL48" s="20"/>
      <c r="EDM48" s="20"/>
      <c r="EDN48" s="21"/>
      <c r="EDO48" s="21"/>
      <c r="EDP48" s="7"/>
      <c r="EDQ48" s="7"/>
      <c r="EDR48" s="21"/>
      <c r="EDS48" s="20"/>
      <c r="EDT48" s="20"/>
      <c r="EDU48" s="20"/>
      <c r="EDV48" s="21"/>
      <c r="EDW48" s="21"/>
      <c r="EDX48" s="21"/>
      <c r="EDY48" s="21"/>
      <c r="EDZ48" s="21"/>
      <c r="EEA48" s="20"/>
      <c r="EEB48" s="20"/>
      <c r="EEC48" s="20"/>
      <c r="EED48" s="20"/>
      <c r="EEE48" s="21"/>
      <c r="EEF48" s="21"/>
      <c r="EEG48" s="7"/>
      <c r="EEH48" s="7"/>
      <c r="EEI48" s="21"/>
      <c r="EEJ48" s="20"/>
      <c r="EEK48" s="20"/>
      <c r="EEL48" s="20"/>
      <c r="EEM48" s="21"/>
      <c r="EEN48" s="21"/>
      <c r="EEO48" s="21"/>
      <c r="EEP48" s="21"/>
      <c r="EEQ48" s="21"/>
      <c r="EER48" s="20"/>
      <c r="EES48" s="20"/>
      <c r="EET48" s="20"/>
      <c r="EEU48" s="20"/>
      <c r="EEV48" s="21"/>
      <c r="EEW48" s="21"/>
      <c r="EEX48" s="7"/>
      <c r="EEY48" s="7"/>
      <c r="EEZ48" s="21"/>
      <c r="EFA48" s="20"/>
      <c r="EFB48" s="20"/>
      <c r="EFC48" s="20"/>
      <c r="EFD48" s="21"/>
      <c r="EFE48" s="21"/>
      <c r="EFF48" s="21"/>
      <c r="EFG48" s="21"/>
      <c r="EFH48" s="21"/>
      <c r="EFI48" s="20"/>
      <c r="EFJ48" s="20"/>
      <c r="EFK48" s="20"/>
      <c r="EFL48" s="20"/>
      <c r="EFM48" s="21"/>
      <c r="EFN48" s="21"/>
      <c r="EFO48" s="7"/>
      <c r="EFP48" s="7"/>
      <c r="EFQ48" s="21"/>
      <c r="EFR48" s="20"/>
      <c r="EFS48" s="20"/>
      <c r="EFT48" s="20"/>
      <c r="EFU48" s="21"/>
      <c r="EFV48" s="21"/>
      <c r="EFW48" s="21"/>
      <c r="EFX48" s="21"/>
      <c r="EFY48" s="21"/>
      <c r="EFZ48" s="20"/>
      <c r="EGA48" s="20"/>
      <c r="EGB48" s="20"/>
      <c r="EGC48" s="20"/>
      <c r="EGD48" s="21"/>
      <c r="EGE48" s="21"/>
      <c r="EGF48" s="7"/>
      <c r="EGG48" s="7"/>
      <c r="EGH48" s="21"/>
      <c r="EGI48" s="20"/>
      <c r="EGJ48" s="20"/>
      <c r="EGK48" s="20"/>
      <c r="EGL48" s="21"/>
      <c r="EGM48" s="21"/>
      <c r="EGN48" s="21"/>
      <c r="EGO48" s="21"/>
      <c r="EGP48" s="21"/>
      <c r="EGQ48" s="20"/>
      <c r="EGR48" s="20"/>
      <c r="EGS48" s="20"/>
      <c r="EGT48" s="20"/>
      <c r="EGU48" s="21"/>
      <c r="EGV48" s="21"/>
      <c r="EGW48" s="7"/>
      <c r="EGX48" s="7"/>
      <c r="EGY48" s="21"/>
      <c r="EGZ48" s="20"/>
      <c r="EHA48" s="20"/>
      <c r="EHB48" s="20"/>
      <c r="EHC48" s="21"/>
      <c r="EHD48" s="21"/>
      <c r="EHE48" s="21"/>
      <c r="EHF48" s="21"/>
      <c r="EHG48" s="21"/>
      <c r="EHH48" s="20"/>
      <c r="EHI48" s="20"/>
      <c r="EHJ48" s="20"/>
      <c r="EHK48" s="20"/>
      <c r="EHL48" s="21"/>
      <c r="EHM48" s="21"/>
      <c r="EHN48" s="7"/>
      <c r="EHO48" s="7"/>
      <c r="EHP48" s="21"/>
      <c r="EHQ48" s="20"/>
      <c r="EHR48" s="20"/>
      <c r="EHS48" s="20"/>
      <c r="EHT48" s="21"/>
      <c r="EHU48" s="21"/>
      <c r="EHV48" s="21"/>
      <c r="EHW48" s="21"/>
      <c r="EHX48" s="21"/>
      <c r="EHY48" s="20"/>
      <c r="EHZ48" s="20"/>
      <c r="EIA48" s="20"/>
      <c r="EIB48" s="20"/>
      <c r="EIC48" s="21"/>
      <c r="EID48" s="21"/>
      <c r="EIE48" s="7"/>
      <c r="EIF48" s="7"/>
      <c r="EIG48" s="21"/>
      <c r="EIH48" s="20"/>
      <c r="EII48" s="20"/>
      <c r="EIJ48" s="20"/>
      <c r="EIK48" s="21"/>
      <c r="EIL48" s="21"/>
      <c r="EIM48" s="21"/>
      <c r="EIN48" s="21"/>
      <c r="EIO48" s="21"/>
      <c r="EIP48" s="20"/>
      <c r="EIQ48" s="20"/>
      <c r="EIR48" s="20"/>
      <c r="EIS48" s="20"/>
      <c r="EIT48" s="21"/>
      <c r="EIU48" s="21"/>
      <c r="EIV48" s="7"/>
      <c r="EIW48" s="7"/>
      <c r="EIX48" s="21"/>
      <c r="EIY48" s="20"/>
      <c r="EIZ48" s="20"/>
      <c r="EJA48" s="20"/>
      <c r="EJB48" s="21"/>
      <c r="EJC48" s="21"/>
      <c r="EJD48" s="21"/>
      <c r="EJE48" s="21"/>
      <c r="EJF48" s="21"/>
      <c r="EJG48" s="20"/>
      <c r="EJH48" s="20"/>
      <c r="EJI48" s="20"/>
      <c r="EJJ48" s="20"/>
      <c r="EJK48" s="21"/>
      <c r="EJL48" s="21"/>
      <c r="EJM48" s="7"/>
      <c r="EJN48" s="7"/>
      <c r="EJO48" s="21"/>
      <c r="EJP48" s="20"/>
      <c r="EJQ48" s="20"/>
      <c r="EJR48" s="20"/>
      <c r="EJS48" s="21"/>
      <c r="EJT48" s="21"/>
      <c r="EJU48" s="21"/>
      <c r="EJV48" s="21"/>
      <c r="EJW48" s="21"/>
      <c r="EJX48" s="20"/>
      <c r="EJY48" s="20"/>
      <c r="EJZ48" s="20"/>
      <c r="EKA48" s="20"/>
      <c r="EKB48" s="21"/>
      <c r="EKC48" s="21"/>
      <c r="EKD48" s="7"/>
      <c r="EKE48" s="7"/>
      <c r="EKF48" s="21"/>
      <c r="EKG48" s="20"/>
      <c r="EKH48" s="20"/>
      <c r="EKI48" s="20"/>
      <c r="EKJ48" s="21"/>
      <c r="EKK48" s="21"/>
      <c r="EKL48" s="21"/>
      <c r="EKM48" s="21"/>
      <c r="EKN48" s="21"/>
      <c r="EKO48" s="20"/>
      <c r="EKP48" s="20"/>
      <c r="EKQ48" s="20"/>
      <c r="EKR48" s="20"/>
      <c r="EKS48" s="21"/>
      <c r="EKT48" s="21"/>
      <c r="EKU48" s="7"/>
      <c r="EKV48" s="7"/>
      <c r="EKW48" s="21"/>
      <c r="EKX48" s="20"/>
      <c r="EKY48" s="20"/>
      <c r="EKZ48" s="20"/>
      <c r="ELA48" s="21"/>
      <c r="ELB48" s="21"/>
      <c r="ELC48" s="21"/>
      <c r="ELD48" s="21"/>
      <c r="ELE48" s="21"/>
      <c r="ELF48" s="20"/>
      <c r="ELG48" s="20"/>
      <c r="ELH48" s="20"/>
      <c r="ELI48" s="20"/>
      <c r="ELJ48" s="21"/>
      <c r="ELK48" s="21"/>
      <c r="ELL48" s="7"/>
      <c r="ELM48" s="7"/>
      <c r="ELN48" s="21"/>
      <c r="ELO48" s="20"/>
      <c r="ELP48" s="20"/>
      <c r="ELQ48" s="20"/>
      <c r="ELR48" s="21"/>
      <c r="ELS48" s="21"/>
      <c r="ELT48" s="21"/>
      <c r="ELU48" s="21"/>
      <c r="ELV48" s="21"/>
      <c r="ELW48" s="20"/>
      <c r="ELX48" s="20"/>
      <c r="ELY48" s="20"/>
      <c r="ELZ48" s="20"/>
      <c r="EMA48" s="21"/>
      <c r="EMB48" s="21"/>
      <c r="EMC48" s="7"/>
      <c r="EMD48" s="7"/>
      <c r="EME48" s="21"/>
      <c r="EMF48" s="20"/>
      <c r="EMG48" s="20"/>
      <c r="EMH48" s="20"/>
      <c r="EMI48" s="21"/>
      <c r="EMJ48" s="21"/>
      <c r="EMK48" s="21"/>
      <c r="EML48" s="21"/>
      <c r="EMM48" s="21"/>
      <c r="EMN48" s="20"/>
      <c r="EMO48" s="20"/>
      <c r="EMP48" s="20"/>
      <c r="EMQ48" s="20"/>
      <c r="EMR48" s="21"/>
      <c r="EMS48" s="21"/>
      <c r="EMT48" s="7"/>
      <c r="EMU48" s="7"/>
      <c r="EMV48" s="21"/>
      <c r="EMW48" s="20"/>
      <c r="EMX48" s="20"/>
      <c r="EMY48" s="20"/>
      <c r="EMZ48" s="21"/>
      <c r="ENA48" s="21"/>
      <c r="ENB48" s="21"/>
      <c r="ENC48" s="21"/>
      <c r="END48" s="21"/>
      <c r="ENE48" s="20"/>
      <c r="ENF48" s="20"/>
      <c r="ENG48" s="20"/>
      <c r="ENH48" s="20"/>
      <c r="ENI48" s="21"/>
      <c r="ENJ48" s="21"/>
      <c r="ENK48" s="7"/>
      <c r="ENL48" s="7"/>
      <c r="ENM48" s="21"/>
      <c r="ENN48" s="20"/>
      <c r="ENO48" s="20"/>
      <c r="ENP48" s="20"/>
      <c r="ENQ48" s="21"/>
      <c r="ENR48" s="21"/>
      <c r="ENS48" s="21"/>
      <c r="ENT48" s="21"/>
      <c r="ENU48" s="21"/>
      <c r="ENV48" s="20"/>
      <c r="ENW48" s="20"/>
      <c r="ENX48" s="20"/>
      <c r="ENY48" s="20"/>
      <c r="ENZ48" s="21"/>
      <c r="EOA48" s="21"/>
      <c r="EOB48" s="7"/>
      <c r="EOC48" s="7"/>
      <c r="EOD48" s="21"/>
      <c r="EOE48" s="20"/>
      <c r="EOF48" s="20"/>
      <c r="EOG48" s="20"/>
      <c r="EOH48" s="21"/>
      <c r="EOI48" s="21"/>
      <c r="EOJ48" s="21"/>
      <c r="EOK48" s="21"/>
      <c r="EOL48" s="21"/>
      <c r="EOM48" s="20"/>
      <c r="EON48" s="20"/>
      <c r="EOO48" s="20"/>
      <c r="EOP48" s="20"/>
      <c r="EOQ48" s="21"/>
      <c r="EOR48" s="21"/>
      <c r="EOS48" s="7"/>
      <c r="EOT48" s="7"/>
      <c r="EOU48" s="21"/>
      <c r="EOV48" s="20"/>
      <c r="EOW48" s="20"/>
      <c r="EOX48" s="20"/>
      <c r="EOY48" s="21"/>
      <c r="EOZ48" s="21"/>
      <c r="EPA48" s="21"/>
      <c r="EPB48" s="21"/>
      <c r="EPC48" s="21"/>
      <c r="EPD48" s="20"/>
      <c r="EPE48" s="20"/>
      <c r="EPF48" s="20"/>
      <c r="EPG48" s="20"/>
      <c r="EPH48" s="21"/>
      <c r="EPI48" s="21"/>
      <c r="EPJ48" s="7"/>
      <c r="EPK48" s="7"/>
      <c r="EPL48" s="21"/>
      <c r="EPM48" s="20"/>
      <c r="EPN48" s="20"/>
      <c r="EPO48" s="20"/>
      <c r="EPP48" s="21"/>
      <c r="EPQ48" s="21"/>
      <c r="EPR48" s="21"/>
      <c r="EPS48" s="21"/>
      <c r="EPT48" s="21"/>
      <c r="EPU48" s="20"/>
      <c r="EPV48" s="20"/>
      <c r="EPW48" s="20"/>
      <c r="EPX48" s="20"/>
      <c r="EPY48" s="21"/>
      <c r="EPZ48" s="21"/>
      <c r="EQA48" s="7"/>
      <c r="EQB48" s="7"/>
      <c r="EQC48" s="21"/>
      <c r="EQD48" s="20"/>
      <c r="EQE48" s="20"/>
      <c r="EQF48" s="20"/>
      <c r="EQG48" s="21"/>
      <c r="EQH48" s="21"/>
      <c r="EQI48" s="21"/>
      <c r="EQJ48" s="21"/>
      <c r="EQK48" s="21"/>
      <c r="EQL48" s="20"/>
      <c r="EQM48" s="20"/>
      <c r="EQN48" s="20"/>
      <c r="EQO48" s="20"/>
      <c r="EQP48" s="21"/>
      <c r="EQQ48" s="21"/>
      <c r="EQR48" s="7"/>
      <c r="EQS48" s="7"/>
      <c r="EQT48" s="21"/>
      <c r="EQU48" s="20"/>
      <c r="EQV48" s="20"/>
      <c r="EQW48" s="20"/>
      <c r="EQX48" s="21"/>
      <c r="EQY48" s="21"/>
      <c r="EQZ48" s="21"/>
      <c r="ERA48" s="21"/>
      <c r="ERB48" s="21"/>
      <c r="ERC48" s="20"/>
      <c r="ERD48" s="20"/>
      <c r="ERE48" s="20"/>
      <c r="ERF48" s="20"/>
      <c r="ERG48" s="21"/>
      <c r="ERH48" s="21"/>
      <c r="ERI48" s="7"/>
      <c r="ERJ48" s="7"/>
      <c r="ERK48" s="21"/>
      <c r="ERL48" s="20"/>
      <c r="ERM48" s="20"/>
      <c r="ERN48" s="20"/>
      <c r="ERO48" s="21"/>
      <c r="ERP48" s="21"/>
      <c r="ERQ48" s="21"/>
      <c r="ERR48" s="21"/>
      <c r="ERS48" s="21"/>
      <c r="ERT48" s="20"/>
      <c r="ERU48" s="20"/>
      <c r="ERV48" s="20"/>
      <c r="ERW48" s="20"/>
      <c r="ERX48" s="21"/>
      <c r="ERY48" s="21"/>
      <c r="ERZ48" s="7"/>
      <c r="ESA48" s="7"/>
      <c r="ESB48" s="21"/>
      <c r="ESC48" s="20"/>
      <c r="ESD48" s="20"/>
      <c r="ESE48" s="20"/>
      <c r="ESF48" s="21"/>
      <c r="ESG48" s="21"/>
      <c r="ESH48" s="21"/>
      <c r="ESI48" s="21"/>
      <c r="ESJ48" s="21"/>
      <c r="ESK48" s="20"/>
      <c r="ESL48" s="20"/>
      <c r="ESM48" s="20"/>
      <c r="ESN48" s="20"/>
      <c r="ESO48" s="21"/>
      <c r="ESP48" s="21"/>
      <c r="ESQ48" s="7"/>
      <c r="ESR48" s="7"/>
      <c r="ESS48" s="21"/>
      <c r="EST48" s="20"/>
      <c r="ESU48" s="20"/>
      <c r="ESV48" s="20"/>
      <c r="ESW48" s="21"/>
      <c r="ESX48" s="21"/>
      <c r="ESY48" s="21"/>
      <c r="ESZ48" s="21"/>
      <c r="ETA48" s="21"/>
      <c r="ETB48" s="20"/>
      <c r="ETC48" s="20"/>
      <c r="ETD48" s="20"/>
      <c r="ETE48" s="20"/>
      <c r="ETF48" s="21"/>
      <c r="ETG48" s="21"/>
      <c r="ETH48" s="7"/>
      <c r="ETI48" s="7"/>
      <c r="ETJ48" s="21"/>
      <c r="ETK48" s="20"/>
      <c r="ETL48" s="20"/>
      <c r="ETM48" s="20"/>
      <c r="ETN48" s="21"/>
      <c r="ETO48" s="21"/>
      <c r="ETP48" s="21"/>
      <c r="ETQ48" s="21"/>
      <c r="ETR48" s="21"/>
      <c r="ETS48" s="20"/>
      <c r="ETT48" s="20"/>
      <c r="ETU48" s="20"/>
      <c r="ETV48" s="20"/>
      <c r="ETW48" s="21"/>
      <c r="ETX48" s="21"/>
      <c r="ETY48" s="7"/>
      <c r="ETZ48" s="7"/>
      <c r="EUA48" s="21"/>
      <c r="EUB48" s="20"/>
      <c r="EUC48" s="20"/>
      <c r="EUD48" s="20"/>
      <c r="EUE48" s="21"/>
      <c r="EUF48" s="21"/>
      <c r="EUG48" s="21"/>
      <c r="EUH48" s="21"/>
      <c r="EUI48" s="21"/>
      <c r="EUJ48" s="20"/>
      <c r="EUK48" s="20"/>
      <c r="EUL48" s="20"/>
      <c r="EUM48" s="20"/>
      <c r="EUN48" s="21"/>
      <c r="EUO48" s="21"/>
      <c r="EUP48" s="7"/>
      <c r="EUQ48" s="7"/>
      <c r="EUR48" s="21"/>
      <c r="EUS48" s="20"/>
      <c r="EUT48" s="20"/>
      <c r="EUU48" s="20"/>
      <c r="EUV48" s="21"/>
      <c r="EUW48" s="21"/>
      <c r="EUX48" s="21"/>
      <c r="EUY48" s="21"/>
      <c r="EUZ48" s="21"/>
      <c r="EVA48" s="20"/>
      <c r="EVB48" s="20"/>
      <c r="EVC48" s="20"/>
      <c r="EVD48" s="20"/>
      <c r="EVE48" s="21"/>
      <c r="EVF48" s="21"/>
      <c r="EVG48" s="7"/>
      <c r="EVH48" s="7"/>
      <c r="EVI48" s="21"/>
      <c r="EVJ48" s="20"/>
      <c r="EVK48" s="20"/>
      <c r="EVL48" s="20"/>
      <c r="EVM48" s="21"/>
      <c r="EVN48" s="21"/>
      <c r="EVO48" s="21"/>
      <c r="EVP48" s="21"/>
      <c r="EVQ48" s="21"/>
      <c r="EVR48" s="20"/>
      <c r="EVS48" s="20"/>
      <c r="EVT48" s="20"/>
      <c r="EVU48" s="20"/>
      <c r="EVV48" s="21"/>
      <c r="EVW48" s="21"/>
      <c r="EVX48" s="7"/>
      <c r="EVY48" s="7"/>
      <c r="EVZ48" s="21"/>
      <c r="EWA48" s="20"/>
      <c r="EWB48" s="20"/>
      <c r="EWC48" s="20"/>
      <c r="EWD48" s="21"/>
      <c r="EWE48" s="21"/>
      <c r="EWF48" s="21"/>
      <c r="EWG48" s="21"/>
      <c r="EWH48" s="21"/>
      <c r="EWI48" s="20"/>
      <c r="EWJ48" s="20"/>
      <c r="EWK48" s="20"/>
      <c r="EWL48" s="20"/>
      <c r="EWM48" s="21"/>
      <c r="EWN48" s="21"/>
      <c r="EWO48" s="7"/>
      <c r="EWP48" s="7"/>
      <c r="EWQ48" s="21"/>
      <c r="EWR48" s="20"/>
      <c r="EWS48" s="20"/>
      <c r="EWT48" s="20"/>
      <c r="EWU48" s="21"/>
      <c r="EWV48" s="21"/>
      <c r="EWW48" s="21"/>
      <c r="EWX48" s="21"/>
      <c r="EWY48" s="21"/>
      <c r="EWZ48" s="20"/>
      <c r="EXA48" s="20"/>
      <c r="EXB48" s="20"/>
      <c r="EXC48" s="20"/>
      <c r="EXD48" s="21"/>
      <c r="EXE48" s="21"/>
      <c r="EXF48" s="7"/>
      <c r="EXG48" s="7"/>
      <c r="EXH48" s="21"/>
      <c r="EXI48" s="20"/>
      <c r="EXJ48" s="20"/>
      <c r="EXK48" s="20"/>
      <c r="EXL48" s="21"/>
      <c r="EXM48" s="21"/>
      <c r="EXN48" s="21"/>
      <c r="EXO48" s="21"/>
      <c r="EXP48" s="21"/>
      <c r="EXQ48" s="20"/>
      <c r="EXR48" s="20"/>
      <c r="EXS48" s="20"/>
      <c r="EXT48" s="20"/>
      <c r="EXU48" s="21"/>
      <c r="EXV48" s="21"/>
      <c r="EXW48" s="7"/>
      <c r="EXX48" s="7"/>
      <c r="EXY48" s="21"/>
      <c r="EXZ48" s="20"/>
      <c r="EYA48" s="20"/>
      <c r="EYB48" s="20"/>
      <c r="EYC48" s="21"/>
      <c r="EYD48" s="21"/>
      <c r="EYE48" s="21"/>
      <c r="EYF48" s="21"/>
      <c r="EYG48" s="21"/>
      <c r="EYH48" s="20"/>
      <c r="EYI48" s="20"/>
      <c r="EYJ48" s="20"/>
      <c r="EYK48" s="20"/>
      <c r="EYL48" s="21"/>
      <c r="EYM48" s="21"/>
      <c r="EYN48" s="7"/>
      <c r="EYO48" s="7"/>
      <c r="EYP48" s="21"/>
      <c r="EYQ48" s="20"/>
      <c r="EYR48" s="20"/>
      <c r="EYS48" s="20"/>
      <c r="EYT48" s="21"/>
      <c r="EYU48" s="21"/>
      <c r="EYV48" s="21"/>
      <c r="EYW48" s="21"/>
      <c r="EYX48" s="21"/>
      <c r="EYY48" s="20"/>
      <c r="EYZ48" s="20"/>
      <c r="EZA48" s="20"/>
      <c r="EZB48" s="20"/>
      <c r="EZC48" s="21"/>
      <c r="EZD48" s="21"/>
      <c r="EZE48" s="7"/>
      <c r="EZF48" s="7"/>
      <c r="EZG48" s="21"/>
      <c r="EZH48" s="20"/>
      <c r="EZI48" s="20"/>
      <c r="EZJ48" s="20"/>
      <c r="EZK48" s="21"/>
      <c r="EZL48" s="21"/>
      <c r="EZM48" s="21"/>
      <c r="EZN48" s="21"/>
      <c r="EZO48" s="21"/>
      <c r="EZP48" s="20"/>
      <c r="EZQ48" s="20"/>
      <c r="EZR48" s="20"/>
      <c r="EZS48" s="20"/>
      <c r="EZT48" s="21"/>
      <c r="EZU48" s="21"/>
      <c r="EZV48" s="7"/>
      <c r="EZW48" s="7"/>
      <c r="EZX48" s="21"/>
      <c r="EZY48" s="20"/>
      <c r="EZZ48" s="20"/>
      <c r="FAA48" s="20"/>
      <c r="FAB48" s="21"/>
      <c r="FAC48" s="21"/>
      <c r="FAD48" s="21"/>
      <c r="FAE48" s="21"/>
      <c r="FAF48" s="21"/>
      <c r="FAG48" s="20"/>
      <c r="FAH48" s="20"/>
      <c r="FAI48" s="20"/>
      <c r="FAJ48" s="20"/>
      <c r="FAK48" s="21"/>
      <c r="FAL48" s="21"/>
      <c r="FAM48" s="7"/>
      <c r="FAN48" s="7"/>
      <c r="FAO48" s="21"/>
      <c r="FAP48" s="20"/>
      <c r="FAQ48" s="20"/>
      <c r="FAR48" s="20"/>
      <c r="FAS48" s="21"/>
      <c r="FAT48" s="21"/>
      <c r="FAU48" s="21"/>
      <c r="FAV48" s="21"/>
      <c r="FAW48" s="21"/>
      <c r="FAX48" s="20"/>
      <c r="FAY48" s="20"/>
      <c r="FAZ48" s="20"/>
      <c r="FBA48" s="20"/>
      <c r="FBB48" s="21"/>
      <c r="FBC48" s="21"/>
      <c r="FBD48" s="7"/>
      <c r="FBE48" s="7"/>
      <c r="FBF48" s="21"/>
      <c r="FBG48" s="20"/>
      <c r="FBH48" s="20"/>
      <c r="FBI48" s="20"/>
      <c r="FBJ48" s="21"/>
      <c r="FBK48" s="21"/>
      <c r="FBL48" s="21"/>
      <c r="FBM48" s="21"/>
      <c r="FBN48" s="21"/>
      <c r="FBO48" s="20"/>
      <c r="FBP48" s="20"/>
      <c r="FBQ48" s="20"/>
      <c r="FBR48" s="20"/>
      <c r="FBS48" s="21"/>
      <c r="FBT48" s="21"/>
      <c r="FBU48" s="7"/>
      <c r="FBV48" s="7"/>
      <c r="FBW48" s="21"/>
      <c r="FBX48" s="20"/>
      <c r="FBY48" s="20"/>
      <c r="FBZ48" s="20"/>
      <c r="FCA48" s="21"/>
      <c r="FCB48" s="21"/>
      <c r="FCC48" s="21"/>
      <c r="FCD48" s="21"/>
      <c r="FCE48" s="21"/>
      <c r="FCF48" s="20"/>
      <c r="FCG48" s="20"/>
      <c r="FCH48" s="20"/>
      <c r="FCI48" s="20"/>
      <c r="FCJ48" s="21"/>
      <c r="FCK48" s="21"/>
      <c r="FCL48" s="7"/>
      <c r="FCM48" s="7"/>
      <c r="FCN48" s="21"/>
      <c r="FCO48" s="20"/>
      <c r="FCP48" s="20"/>
      <c r="FCQ48" s="20"/>
      <c r="FCR48" s="21"/>
      <c r="FCS48" s="21"/>
      <c r="FCT48" s="21"/>
      <c r="FCU48" s="21"/>
      <c r="FCV48" s="21"/>
      <c r="FCW48" s="20"/>
      <c r="FCX48" s="20"/>
      <c r="FCY48" s="20"/>
      <c r="FCZ48" s="20"/>
      <c r="FDA48" s="21"/>
      <c r="FDB48" s="21"/>
      <c r="FDC48" s="7"/>
      <c r="FDD48" s="7"/>
      <c r="FDE48" s="21"/>
      <c r="FDF48" s="20"/>
      <c r="FDG48" s="20"/>
      <c r="FDH48" s="20"/>
      <c r="FDI48" s="21"/>
      <c r="FDJ48" s="21"/>
      <c r="FDK48" s="21"/>
      <c r="FDL48" s="21"/>
      <c r="FDM48" s="21"/>
      <c r="FDN48" s="20"/>
      <c r="FDO48" s="20"/>
      <c r="FDP48" s="20"/>
      <c r="FDQ48" s="20"/>
      <c r="FDR48" s="21"/>
      <c r="FDS48" s="21"/>
      <c r="FDT48" s="7"/>
      <c r="FDU48" s="7"/>
      <c r="FDV48" s="21"/>
      <c r="FDW48" s="20"/>
      <c r="FDX48" s="20"/>
      <c r="FDY48" s="20"/>
      <c r="FDZ48" s="21"/>
      <c r="FEA48" s="21"/>
      <c r="FEB48" s="21"/>
      <c r="FEC48" s="21"/>
      <c r="FED48" s="21"/>
      <c r="FEE48" s="20"/>
      <c r="FEF48" s="20"/>
      <c r="FEG48" s="20"/>
      <c r="FEH48" s="20"/>
      <c r="FEI48" s="21"/>
      <c r="FEJ48" s="21"/>
      <c r="FEK48" s="7"/>
      <c r="FEL48" s="7"/>
      <c r="FEM48" s="21"/>
      <c r="FEN48" s="20"/>
      <c r="FEO48" s="20"/>
      <c r="FEP48" s="20"/>
      <c r="FEQ48" s="21"/>
      <c r="FER48" s="21"/>
      <c r="FES48" s="21"/>
      <c r="FET48" s="21"/>
      <c r="FEU48" s="21"/>
      <c r="FEV48" s="20"/>
      <c r="FEW48" s="20"/>
      <c r="FEX48" s="20"/>
      <c r="FEY48" s="20"/>
      <c r="FEZ48" s="21"/>
      <c r="FFA48" s="21"/>
      <c r="FFB48" s="7"/>
      <c r="FFC48" s="7"/>
      <c r="FFD48" s="21"/>
      <c r="FFE48" s="20"/>
      <c r="FFF48" s="20"/>
      <c r="FFG48" s="20"/>
      <c r="FFH48" s="21"/>
      <c r="FFI48" s="21"/>
      <c r="FFJ48" s="21"/>
      <c r="FFK48" s="21"/>
      <c r="FFL48" s="21"/>
      <c r="FFM48" s="20"/>
      <c r="FFN48" s="20"/>
      <c r="FFO48" s="20"/>
      <c r="FFP48" s="20"/>
      <c r="FFQ48" s="21"/>
      <c r="FFR48" s="21"/>
      <c r="FFS48" s="7"/>
      <c r="FFT48" s="7"/>
      <c r="FFU48" s="21"/>
      <c r="FFV48" s="20"/>
      <c r="FFW48" s="20"/>
      <c r="FFX48" s="20"/>
      <c r="FFY48" s="21"/>
      <c r="FFZ48" s="21"/>
      <c r="FGA48" s="21"/>
      <c r="FGB48" s="21"/>
      <c r="FGC48" s="21"/>
      <c r="FGD48" s="20"/>
      <c r="FGE48" s="20"/>
      <c r="FGF48" s="20"/>
      <c r="FGG48" s="20"/>
      <c r="FGH48" s="21"/>
      <c r="FGI48" s="21"/>
      <c r="FGJ48" s="7"/>
      <c r="FGK48" s="7"/>
      <c r="FGL48" s="21"/>
      <c r="FGM48" s="20"/>
      <c r="FGN48" s="20"/>
      <c r="FGO48" s="20"/>
      <c r="FGP48" s="21"/>
      <c r="FGQ48" s="21"/>
      <c r="FGR48" s="21"/>
      <c r="FGS48" s="21"/>
      <c r="FGT48" s="21"/>
      <c r="FGU48" s="20"/>
      <c r="FGV48" s="20"/>
      <c r="FGW48" s="20"/>
      <c r="FGX48" s="20"/>
      <c r="FGY48" s="21"/>
      <c r="FGZ48" s="21"/>
      <c r="FHA48" s="7"/>
      <c r="FHB48" s="7"/>
      <c r="FHC48" s="21"/>
      <c r="FHD48" s="20"/>
      <c r="FHE48" s="20"/>
      <c r="FHF48" s="20"/>
      <c r="FHG48" s="21"/>
      <c r="FHH48" s="21"/>
      <c r="FHI48" s="21"/>
      <c r="FHJ48" s="21"/>
      <c r="FHK48" s="21"/>
      <c r="FHL48" s="20"/>
      <c r="FHM48" s="20"/>
      <c r="FHN48" s="20"/>
      <c r="FHO48" s="20"/>
      <c r="FHP48" s="21"/>
      <c r="FHQ48" s="21"/>
      <c r="FHR48" s="7"/>
      <c r="FHS48" s="7"/>
      <c r="FHT48" s="21"/>
      <c r="FHU48" s="20"/>
      <c r="FHV48" s="20"/>
      <c r="FHW48" s="20"/>
      <c r="FHX48" s="21"/>
      <c r="FHY48" s="21"/>
      <c r="FHZ48" s="21"/>
      <c r="FIA48" s="21"/>
      <c r="FIB48" s="21"/>
      <c r="FIC48" s="20"/>
      <c r="FID48" s="20"/>
      <c r="FIE48" s="20"/>
      <c r="FIF48" s="20"/>
      <c r="FIG48" s="21"/>
      <c r="FIH48" s="21"/>
      <c r="FII48" s="7"/>
      <c r="FIJ48" s="7"/>
      <c r="FIK48" s="21"/>
      <c r="FIL48" s="20"/>
      <c r="FIM48" s="20"/>
      <c r="FIN48" s="20"/>
      <c r="FIO48" s="21"/>
      <c r="FIP48" s="21"/>
      <c r="FIQ48" s="21"/>
      <c r="FIR48" s="21"/>
      <c r="FIS48" s="21"/>
      <c r="FIT48" s="20"/>
      <c r="FIU48" s="20"/>
      <c r="FIV48" s="20"/>
      <c r="FIW48" s="20"/>
      <c r="FIX48" s="21"/>
      <c r="FIY48" s="21"/>
      <c r="FIZ48" s="7"/>
      <c r="FJA48" s="7"/>
      <c r="FJB48" s="21"/>
      <c r="FJC48" s="20"/>
      <c r="FJD48" s="20"/>
      <c r="FJE48" s="20"/>
      <c r="FJF48" s="21"/>
      <c r="FJG48" s="21"/>
      <c r="FJH48" s="21"/>
      <c r="FJI48" s="21"/>
      <c r="FJJ48" s="21"/>
      <c r="FJK48" s="20"/>
      <c r="FJL48" s="20"/>
      <c r="FJM48" s="20"/>
      <c r="FJN48" s="20"/>
      <c r="FJO48" s="21"/>
      <c r="FJP48" s="21"/>
      <c r="FJQ48" s="7"/>
      <c r="FJR48" s="7"/>
      <c r="FJS48" s="21"/>
      <c r="FJT48" s="20"/>
      <c r="FJU48" s="20"/>
      <c r="FJV48" s="20"/>
      <c r="FJW48" s="21"/>
      <c r="FJX48" s="21"/>
      <c r="FJY48" s="21"/>
      <c r="FJZ48" s="21"/>
      <c r="FKA48" s="21"/>
      <c r="FKB48" s="20"/>
      <c r="FKC48" s="20"/>
      <c r="FKD48" s="20"/>
      <c r="FKE48" s="20"/>
      <c r="FKF48" s="21"/>
      <c r="FKG48" s="21"/>
      <c r="FKH48" s="7"/>
      <c r="FKI48" s="7"/>
      <c r="FKJ48" s="21"/>
      <c r="FKK48" s="20"/>
      <c r="FKL48" s="20"/>
      <c r="FKM48" s="20"/>
      <c r="FKN48" s="21"/>
      <c r="FKO48" s="21"/>
      <c r="FKP48" s="21"/>
      <c r="FKQ48" s="21"/>
      <c r="FKR48" s="21"/>
      <c r="FKS48" s="20"/>
      <c r="FKT48" s="20"/>
      <c r="FKU48" s="20"/>
      <c r="FKV48" s="20"/>
      <c r="FKW48" s="21"/>
      <c r="FKX48" s="21"/>
      <c r="FKY48" s="7"/>
      <c r="FKZ48" s="7"/>
      <c r="FLA48" s="21"/>
      <c r="FLB48" s="20"/>
      <c r="FLC48" s="20"/>
      <c r="FLD48" s="20"/>
      <c r="FLE48" s="21"/>
      <c r="FLF48" s="21"/>
      <c r="FLG48" s="21"/>
      <c r="FLH48" s="21"/>
      <c r="FLI48" s="21"/>
      <c r="FLJ48" s="20"/>
      <c r="FLK48" s="20"/>
      <c r="FLL48" s="20"/>
      <c r="FLM48" s="20"/>
      <c r="FLN48" s="21"/>
      <c r="FLO48" s="21"/>
      <c r="FLP48" s="7"/>
      <c r="FLQ48" s="7"/>
      <c r="FLR48" s="21"/>
      <c r="FLS48" s="20"/>
      <c r="FLT48" s="20"/>
      <c r="FLU48" s="20"/>
      <c r="FLV48" s="21"/>
      <c r="FLW48" s="21"/>
      <c r="FLX48" s="21"/>
      <c r="FLY48" s="21"/>
      <c r="FLZ48" s="21"/>
      <c r="FMA48" s="20"/>
      <c r="FMB48" s="20"/>
      <c r="FMC48" s="20"/>
      <c r="FMD48" s="20"/>
      <c r="FME48" s="21"/>
      <c r="FMF48" s="21"/>
      <c r="FMG48" s="7"/>
      <c r="FMH48" s="7"/>
      <c r="FMI48" s="21"/>
      <c r="FMJ48" s="20"/>
      <c r="FMK48" s="20"/>
      <c r="FML48" s="20"/>
      <c r="FMM48" s="21"/>
      <c r="FMN48" s="21"/>
      <c r="FMO48" s="21"/>
      <c r="FMP48" s="21"/>
      <c r="FMQ48" s="21"/>
      <c r="FMR48" s="20"/>
      <c r="FMS48" s="20"/>
      <c r="FMT48" s="20"/>
      <c r="FMU48" s="20"/>
      <c r="FMV48" s="21"/>
      <c r="FMW48" s="21"/>
      <c r="FMX48" s="7"/>
      <c r="FMY48" s="7"/>
      <c r="FMZ48" s="21"/>
      <c r="FNA48" s="20"/>
      <c r="FNB48" s="20"/>
      <c r="FNC48" s="20"/>
      <c r="FND48" s="21"/>
      <c r="FNE48" s="21"/>
      <c r="FNF48" s="21"/>
      <c r="FNG48" s="21"/>
      <c r="FNH48" s="21"/>
      <c r="FNI48" s="20"/>
      <c r="FNJ48" s="20"/>
      <c r="FNK48" s="20"/>
      <c r="FNL48" s="20"/>
      <c r="FNM48" s="21"/>
      <c r="FNN48" s="21"/>
      <c r="FNO48" s="7"/>
      <c r="FNP48" s="7"/>
      <c r="FNQ48" s="21"/>
      <c r="FNR48" s="20"/>
      <c r="FNS48" s="20"/>
      <c r="FNT48" s="20"/>
      <c r="FNU48" s="21"/>
      <c r="FNV48" s="21"/>
      <c r="FNW48" s="21"/>
      <c r="FNX48" s="21"/>
      <c r="FNY48" s="21"/>
      <c r="FNZ48" s="20"/>
      <c r="FOA48" s="20"/>
      <c r="FOB48" s="20"/>
      <c r="FOC48" s="20"/>
      <c r="FOD48" s="21"/>
      <c r="FOE48" s="21"/>
      <c r="FOF48" s="7"/>
      <c r="FOG48" s="7"/>
      <c r="FOH48" s="21"/>
      <c r="FOI48" s="20"/>
      <c r="FOJ48" s="20"/>
      <c r="FOK48" s="20"/>
      <c r="FOL48" s="21"/>
      <c r="FOM48" s="21"/>
      <c r="FON48" s="21"/>
      <c r="FOO48" s="21"/>
      <c r="FOP48" s="21"/>
      <c r="FOQ48" s="20"/>
      <c r="FOR48" s="20"/>
      <c r="FOS48" s="20"/>
      <c r="FOT48" s="20"/>
      <c r="FOU48" s="21"/>
      <c r="FOV48" s="21"/>
      <c r="FOW48" s="7"/>
      <c r="FOX48" s="7"/>
      <c r="FOY48" s="21"/>
      <c r="FOZ48" s="20"/>
      <c r="FPA48" s="20"/>
      <c r="FPB48" s="20"/>
      <c r="FPC48" s="21"/>
      <c r="FPD48" s="21"/>
      <c r="FPE48" s="21"/>
      <c r="FPF48" s="21"/>
      <c r="FPG48" s="21"/>
      <c r="FPH48" s="20"/>
      <c r="FPI48" s="20"/>
      <c r="FPJ48" s="20"/>
      <c r="FPK48" s="20"/>
      <c r="FPL48" s="21"/>
      <c r="FPM48" s="21"/>
      <c r="FPN48" s="7"/>
      <c r="FPO48" s="7"/>
      <c r="FPP48" s="21"/>
      <c r="FPQ48" s="20"/>
      <c r="FPR48" s="20"/>
      <c r="FPS48" s="20"/>
      <c r="FPT48" s="21"/>
      <c r="FPU48" s="21"/>
      <c r="FPV48" s="21"/>
      <c r="FPW48" s="21"/>
      <c r="FPX48" s="21"/>
      <c r="FPY48" s="20"/>
      <c r="FPZ48" s="20"/>
      <c r="FQA48" s="20"/>
      <c r="FQB48" s="20"/>
      <c r="FQC48" s="21"/>
      <c r="FQD48" s="21"/>
      <c r="FQE48" s="7"/>
      <c r="FQF48" s="7"/>
      <c r="FQG48" s="21"/>
      <c r="FQH48" s="20"/>
      <c r="FQI48" s="20"/>
      <c r="FQJ48" s="20"/>
      <c r="FQK48" s="21"/>
      <c r="FQL48" s="21"/>
      <c r="FQM48" s="21"/>
      <c r="FQN48" s="21"/>
      <c r="FQO48" s="21"/>
      <c r="FQP48" s="20"/>
      <c r="FQQ48" s="20"/>
      <c r="FQR48" s="20"/>
      <c r="FQS48" s="20"/>
      <c r="FQT48" s="21"/>
      <c r="FQU48" s="21"/>
      <c r="FQV48" s="7"/>
      <c r="FQW48" s="7"/>
      <c r="FQX48" s="21"/>
      <c r="FQY48" s="20"/>
      <c r="FQZ48" s="20"/>
      <c r="FRA48" s="20"/>
      <c r="FRB48" s="21"/>
      <c r="FRC48" s="21"/>
      <c r="FRD48" s="21"/>
      <c r="FRE48" s="21"/>
      <c r="FRF48" s="21"/>
      <c r="FRG48" s="20"/>
      <c r="FRH48" s="20"/>
      <c r="FRI48" s="20"/>
      <c r="FRJ48" s="20"/>
      <c r="FRK48" s="21"/>
      <c r="FRL48" s="21"/>
      <c r="FRM48" s="7"/>
      <c r="FRN48" s="7"/>
      <c r="FRO48" s="21"/>
      <c r="FRP48" s="20"/>
      <c r="FRQ48" s="20"/>
      <c r="FRR48" s="20"/>
      <c r="FRS48" s="21"/>
      <c r="FRT48" s="21"/>
      <c r="FRU48" s="21"/>
      <c r="FRV48" s="21"/>
      <c r="FRW48" s="21"/>
      <c r="FRX48" s="20"/>
      <c r="FRY48" s="20"/>
      <c r="FRZ48" s="20"/>
      <c r="FSA48" s="20"/>
      <c r="FSB48" s="21"/>
      <c r="FSC48" s="21"/>
      <c r="FSD48" s="7"/>
      <c r="FSE48" s="7"/>
      <c r="FSF48" s="21"/>
      <c r="FSG48" s="20"/>
      <c r="FSH48" s="20"/>
      <c r="FSI48" s="20"/>
      <c r="FSJ48" s="21"/>
      <c r="FSK48" s="21"/>
      <c r="FSL48" s="21"/>
      <c r="FSM48" s="21"/>
      <c r="FSN48" s="21"/>
      <c r="FSO48" s="20"/>
      <c r="FSP48" s="20"/>
      <c r="FSQ48" s="20"/>
      <c r="FSR48" s="20"/>
      <c r="FSS48" s="21"/>
      <c r="FST48" s="21"/>
      <c r="FSU48" s="7"/>
      <c r="FSV48" s="7"/>
      <c r="FSW48" s="21"/>
      <c r="FSX48" s="20"/>
      <c r="FSY48" s="20"/>
      <c r="FSZ48" s="20"/>
      <c r="FTA48" s="21"/>
      <c r="FTB48" s="21"/>
      <c r="FTC48" s="21"/>
      <c r="FTD48" s="21"/>
      <c r="FTE48" s="21"/>
      <c r="FTF48" s="20"/>
      <c r="FTG48" s="20"/>
      <c r="FTH48" s="20"/>
      <c r="FTI48" s="20"/>
      <c r="FTJ48" s="21"/>
      <c r="FTK48" s="21"/>
      <c r="FTL48" s="7"/>
      <c r="FTM48" s="7"/>
      <c r="FTN48" s="21"/>
      <c r="FTO48" s="20"/>
      <c r="FTP48" s="20"/>
      <c r="FTQ48" s="20"/>
      <c r="FTR48" s="21"/>
      <c r="FTS48" s="21"/>
      <c r="FTT48" s="21"/>
      <c r="FTU48" s="21"/>
      <c r="FTV48" s="21"/>
      <c r="FTW48" s="20"/>
      <c r="FTX48" s="20"/>
      <c r="FTY48" s="20"/>
      <c r="FTZ48" s="20"/>
      <c r="FUA48" s="21"/>
      <c r="FUB48" s="21"/>
      <c r="FUC48" s="7"/>
      <c r="FUD48" s="7"/>
      <c r="FUE48" s="21"/>
      <c r="FUF48" s="20"/>
      <c r="FUG48" s="20"/>
      <c r="FUH48" s="20"/>
      <c r="FUI48" s="21"/>
      <c r="FUJ48" s="21"/>
      <c r="FUK48" s="21"/>
      <c r="FUL48" s="21"/>
      <c r="FUM48" s="21"/>
      <c r="FUN48" s="20"/>
      <c r="FUO48" s="20"/>
      <c r="FUP48" s="20"/>
      <c r="FUQ48" s="20"/>
      <c r="FUR48" s="21"/>
      <c r="FUS48" s="21"/>
      <c r="FUT48" s="7"/>
      <c r="FUU48" s="7"/>
      <c r="FUV48" s="21"/>
      <c r="FUW48" s="20"/>
      <c r="FUX48" s="20"/>
      <c r="FUY48" s="20"/>
      <c r="FUZ48" s="21"/>
      <c r="FVA48" s="21"/>
      <c r="FVB48" s="21"/>
      <c r="FVC48" s="21"/>
      <c r="FVD48" s="21"/>
      <c r="FVE48" s="20"/>
      <c r="FVF48" s="20"/>
      <c r="FVG48" s="20"/>
      <c r="FVH48" s="20"/>
      <c r="FVI48" s="21"/>
      <c r="FVJ48" s="21"/>
      <c r="FVK48" s="7"/>
      <c r="FVL48" s="7"/>
      <c r="FVM48" s="21"/>
      <c r="FVN48" s="20"/>
      <c r="FVO48" s="20"/>
      <c r="FVP48" s="20"/>
      <c r="FVQ48" s="21"/>
      <c r="FVR48" s="21"/>
      <c r="FVS48" s="21"/>
      <c r="FVT48" s="21"/>
      <c r="FVU48" s="21"/>
      <c r="FVV48" s="20"/>
      <c r="FVW48" s="20"/>
      <c r="FVX48" s="20"/>
      <c r="FVY48" s="20"/>
      <c r="FVZ48" s="21"/>
      <c r="FWA48" s="21"/>
      <c r="FWB48" s="7"/>
      <c r="FWC48" s="7"/>
      <c r="FWD48" s="21"/>
      <c r="FWE48" s="20"/>
      <c r="FWF48" s="20"/>
      <c r="FWG48" s="20"/>
      <c r="FWH48" s="21"/>
      <c r="FWI48" s="21"/>
      <c r="FWJ48" s="21"/>
      <c r="FWK48" s="21"/>
      <c r="FWL48" s="21"/>
      <c r="FWM48" s="20"/>
      <c r="FWN48" s="20"/>
      <c r="FWO48" s="20"/>
      <c r="FWP48" s="20"/>
      <c r="FWQ48" s="21"/>
      <c r="FWR48" s="21"/>
      <c r="FWS48" s="7"/>
      <c r="FWT48" s="7"/>
      <c r="FWU48" s="21"/>
      <c r="FWV48" s="20"/>
      <c r="FWW48" s="20"/>
      <c r="FWX48" s="20"/>
      <c r="FWY48" s="21"/>
      <c r="FWZ48" s="21"/>
      <c r="FXA48" s="21"/>
      <c r="FXB48" s="21"/>
      <c r="FXC48" s="21"/>
      <c r="FXD48" s="20"/>
      <c r="FXE48" s="20"/>
      <c r="FXF48" s="20"/>
      <c r="FXG48" s="20"/>
      <c r="FXH48" s="21"/>
      <c r="FXI48" s="21"/>
      <c r="FXJ48" s="7"/>
      <c r="FXK48" s="7"/>
      <c r="FXL48" s="21"/>
      <c r="FXM48" s="20"/>
      <c r="FXN48" s="20"/>
      <c r="FXO48" s="20"/>
      <c r="FXP48" s="21"/>
      <c r="FXQ48" s="21"/>
      <c r="FXR48" s="21"/>
      <c r="FXS48" s="21"/>
      <c r="FXT48" s="21"/>
      <c r="FXU48" s="20"/>
      <c r="FXV48" s="20"/>
      <c r="FXW48" s="20"/>
      <c r="FXX48" s="20"/>
      <c r="FXY48" s="21"/>
      <c r="FXZ48" s="21"/>
      <c r="FYA48" s="7"/>
      <c r="FYB48" s="7"/>
      <c r="FYC48" s="21"/>
      <c r="FYD48" s="20"/>
      <c r="FYE48" s="20"/>
      <c r="FYF48" s="20"/>
      <c r="FYG48" s="21"/>
      <c r="FYH48" s="21"/>
      <c r="FYI48" s="21"/>
      <c r="FYJ48" s="21"/>
      <c r="FYK48" s="21"/>
      <c r="FYL48" s="20"/>
      <c r="FYM48" s="20"/>
      <c r="FYN48" s="20"/>
      <c r="FYO48" s="20"/>
      <c r="FYP48" s="21"/>
      <c r="FYQ48" s="21"/>
      <c r="FYR48" s="7"/>
      <c r="FYS48" s="7"/>
      <c r="FYT48" s="21"/>
      <c r="FYU48" s="20"/>
      <c r="FYV48" s="20"/>
      <c r="FYW48" s="20"/>
      <c r="FYX48" s="21"/>
      <c r="FYY48" s="21"/>
      <c r="FYZ48" s="21"/>
      <c r="FZA48" s="21"/>
      <c r="FZB48" s="21"/>
      <c r="FZC48" s="20"/>
      <c r="FZD48" s="20"/>
      <c r="FZE48" s="20"/>
      <c r="FZF48" s="20"/>
      <c r="FZG48" s="21"/>
      <c r="FZH48" s="21"/>
      <c r="FZI48" s="7"/>
      <c r="FZJ48" s="7"/>
      <c r="FZK48" s="21"/>
      <c r="FZL48" s="20"/>
      <c r="FZM48" s="20"/>
      <c r="FZN48" s="20"/>
      <c r="FZO48" s="21"/>
      <c r="FZP48" s="21"/>
      <c r="FZQ48" s="21"/>
      <c r="FZR48" s="21"/>
      <c r="FZS48" s="21"/>
      <c r="FZT48" s="20"/>
      <c r="FZU48" s="20"/>
      <c r="FZV48" s="20"/>
      <c r="FZW48" s="20"/>
      <c r="FZX48" s="21"/>
      <c r="FZY48" s="21"/>
      <c r="FZZ48" s="7"/>
      <c r="GAA48" s="7"/>
      <c r="GAB48" s="21"/>
      <c r="GAC48" s="20"/>
      <c r="GAD48" s="20"/>
      <c r="GAE48" s="20"/>
      <c r="GAF48" s="21"/>
      <c r="GAG48" s="21"/>
      <c r="GAH48" s="21"/>
      <c r="GAI48" s="21"/>
      <c r="GAJ48" s="21"/>
      <c r="GAK48" s="20"/>
      <c r="GAL48" s="20"/>
      <c r="GAM48" s="20"/>
      <c r="GAN48" s="20"/>
      <c r="GAO48" s="21"/>
      <c r="GAP48" s="21"/>
      <c r="GAQ48" s="7"/>
      <c r="GAR48" s="7"/>
      <c r="GAS48" s="21"/>
      <c r="GAT48" s="20"/>
      <c r="GAU48" s="20"/>
      <c r="GAV48" s="20"/>
      <c r="GAW48" s="21"/>
      <c r="GAX48" s="21"/>
      <c r="GAY48" s="21"/>
      <c r="GAZ48" s="21"/>
      <c r="GBA48" s="21"/>
      <c r="GBB48" s="20"/>
      <c r="GBC48" s="20"/>
      <c r="GBD48" s="20"/>
      <c r="GBE48" s="20"/>
      <c r="GBF48" s="21"/>
      <c r="GBG48" s="21"/>
      <c r="GBH48" s="7"/>
      <c r="GBI48" s="7"/>
      <c r="GBJ48" s="21"/>
      <c r="GBK48" s="20"/>
      <c r="GBL48" s="20"/>
      <c r="GBM48" s="20"/>
      <c r="GBN48" s="21"/>
      <c r="GBO48" s="21"/>
      <c r="GBP48" s="21"/>
      <c r="GBQ48" s="21"/>
      <c r="GBR48" s="21"/>
      <c r="GBS48" s="20"/>
      <c r="GBT48" s="20"/>
      <c r="GBU48" s="20"/>
      <c r="GBV48" s="20"/>
      <c r="GBW48" s="21"/>
      <c r="GBX48" s="21"/>
      <c r="GBY48" s="7"/>
      <c r="GBZ48" s="7"/>
      <c r="GCA48" s="21"/>
      <c r="GCB48" s="20"/>
      <c r="GCC48" s="20"/>
      <c r="GCD48" s="20"/>
      <c r="GCE48" s="21"/>
      <c r="GCF48" s="21"/>
      <c r="GCG48" s="21"/>
      <c r="GCH48" s="21"/>
      <c r="GCI48" s="21"/>
      <c r="GCJ48" s="20"/>
      <c r="GCK48" s="20"/>
      <c r="GCL48" s="20"/>
      <c r="GCM48" s="20"/>
      <c r="GCN48" s="21"/>
      <c r="GCO48" s="21"/>
      <c r="GCP48" s="7"/>
      <c r="GCQ48" s="7"/>
      <c r="GCR48" s="21"/>
      <c r="GCS48" s="20"/>
      <c r="GCT48" s="20"/>
      <c r="GCU48" s="20"/>
      <c r="GCV48" s="21"/>
      <c r="GCW48" s="21"/>
      <c r="GCX48" s="21"/>
      <c r="GCY48" s="21"/>
      <c r="GCZ48" s="21"/>
      <c r="GDA48" s="20"/>
      <c r="GDB48" s="20"/>
      <c r="GDC48" s="20"/>
      <c r="GDD48" s="20"/>
      <c r="GDE48" s="21"/>
      <c r="GDF48" s="21"/>
      <c r="GDG48" s="7"/>
      <c r="GDH48" s="7"/>
      <c r="GDI48" s="21"/>
      <c r="GDJ48" s="20"/>
      <c r="GDK48" s="20"/>
      <c r="GDL48" s="20"/>
      <c r="GDM48" s="21"/>
      <c r="GDN48" s="21"/>
      <c r="GDO48" s="21"/>
      <c r="GDP48" s="21"/>
      <c r="GDQ48" s="21"/>
      <c r="GDR48" s="20"/>
      <c r="GDS48" s="20"/>
      <c r="GDT48" s="20"/>
      <c r="GDU48" s="20"/>
      <c r="GDV48" s="21"/>
      <c r="GDW48" s="21"/>
      <c r="GDX48" s="7"/>
      <c r="GDY48" s="7"/>
      <c r="GDZ48" s="21"/>
      <c r="GEA48" s="20"/>
      <c r="GEB48" s="20"/>
      <c r="GEC48" s="20"/>
      <c r="GED48" s="21"/>
      <c r="GEE48" s="21"/>
      <c r="GEF48" s="21"/>
      <c r="GEG48" s="21"/>
      <c r="GEH48" s="21"/>
      <c r="GEI48" s="20"/>
      <c r="GEJ48" s="20"/>
      <c r="GEK48" s="20"/>
      <c r="GEL48" s="20"/>
      <c r="GEM48" s="21"/>
      <c r="GEN48" s="21"/>
      <c r="GEO48" s="7"/>
      <c r="GEP48" s="7"/>
      <c r="GEQ48" s="21"/>
      <c r="GER48" s="20"/>
      <c r="GES48" s="20"/>
      <c r="GET48" s="20"/>
      <c r="GEU48" s="21"/>
      <c r="GEV48" s="21"/>
      <c r="GEW48" s="21"/>
      <c r="GEX48" s="21"/>
      <c r="GEY48" s="21"/>
      <c r="GEZ48" s="20"/>
      <c r="GFA48" s="20"/>
      <c r="GFB48" s="20"/>
      <c r="GFC48" s="20"/>
      <c r="GFD48" s="21"/>
      <c r="GFE48" s="21"/>
      <c r="GFF48" s="7"/>
      <c r="GFG48" s="7"/>
      <c r="GFH48" s="21"/>
      <c r="GFI48" s="20"/>
      <c r="GFJ48" s="20"/>
      <c r="GFK48" s="20"/>
      <c r="GFL48" s="21"/>
      <c r="GFM48" s="21"/>
      <c r="GFN48" s="21"/>
      <c r="GFO48" s="21"/>
      <c r="GFP48" s="21"/>
      <c r="GFQ48" s="20"/>
      <c r="GFR48" s="20"/>
      <c r="GFS48" s="20"/>
      <c r="GFT48" s="20"/>
      <c r="GFU48" s="21"/>
      <c r="GFV48" s="21"/>
      <c r="GFW48" s="7"/>
      <c r="GFX48" s="7"/>
      <c r="GFY48" s="21"/>
      <c r="GFZ48" s="20"/>
      <c r="GGA48" s="20"/>
      <c r="GGB48" s="20"/>
      <c r="GGC48" s="21"/>
      <c r="GGD48" s="21"/>
      <c r="GGE48" s="21"/>
      <c r="GGF48" s="21"/>
      <c r="GGG48" s="21"/>
      <c r="GGH48" s="20"/>
      <c r="GGI48" s="20"/>
      <c r="GGJ48" s="20"/>
      <c r="GGK48" s="20"/>
      <c r="GGL48" s="21"/>
      <c r="GGM48" s="21"/>
      <c r="GGN48" s="7"/>
      <c r="GGO48" s="7"/>
      <c r="GGP48" s="21"/>
      <c r="GGQ48" s="20"/>
      <c r="GGR48" s="20"/>
      <c r="GGS48" s="20"/>
      <c r="GGT48" s="21"/>
      <c r="GGU48" s="21"/>
      <c r="GGV48" s="21"/>
      <c r="GGW48" s="21"/>
      <c r="GGX48" s="21"/>
      <c r="GGY48" s="20"/>
      <c r="GGZ48" s="20"/>
      <c r="GHA48" s="20"/>
      <c r="GHB48" s="20"/>
      <c r="GHC48" s="21"/>
      <c r="GHD48" s="21"/>
      <c r="GHE48" s="7"/>
      <c r="GHF48" s="7"/>
      <c r="GHG48" s="21"/>
      <c r="GHH48" s="20"/>
      <c r="GHI48" s="20"/>
      <c r="GHJ48" s="20"/>
      <c r="GHK48" s="21"/>
      <c r="GHL48" s="21"/>
      <c r="GHM48" s="21"/>
      <c r="GHN48" s="21"/>
      <c r="GHO48" s="21"/>
      <c r="GHP48" s="20"/>
      <c r="GHQ48" s="20"/>
      <c r="GHR48" s="20"/>
      <c r="GHS48" s="20"/>
      <c r="GHT48" s="21"/>
      <c r="GHU48" s="21"/>
      <c r="GHV48" s="7"/>
      <c r="GHW48" s="7"/>
      <c r="GHX48" s="21"/>
      <c r="GHY48" s="20"/>
      <c r="GHZ48" s="20"/>
      <c r="GIA48" s="20"/>
      <c r="GIB48" s="21"/>
      <c r="GIC48" s="21"/>
      <c r="GID48" s="21"/>
      <c r="GIE48" s="21"/>
      <c r="GIF48" s="21"/>
      <c r="GIG48" s="20"/>
      <c r="GIH48" s="20"/>
      <c r="GII48" s="20"/>
      <c r="GIJ48" s="20"/>
      <c r="GIK48" s="21"/>
      <c r="GIL48" s="21"/>
      <c r="GIM48" s="7"/>
      <c r="GIN48" s="7"/>
      <c r="GIO48" s="21"/>
      <c r="GIP48" s="20"/>
      <c r="GIQ48" s="20"/>
      <c r="GIR48" s="20"/>
      <c r="GIS48" s="21"/>
      <c r="GIT48" s="21"/>
      <c r="GIU48" s="21"/>
      <c r="GIV48" s="21"/>
      <c r="GIW48" s="21"/>
      <c r="GIX48" s="20"/>
      <c r="GIY48" s="20"/>
      <c r="GIZ48" s="20"/>
      <c r="GJA48" s="20"/>
      <c r="GJB48" s="21"/>
      <c r="GJC48" s="21"/>
      <c r="GJD48" s="7"/>
      <c r="GJE48" s="7"/>
      <c r="GJF48" s="21"/>
      <c r="GJG48" s="20"/>
      <c r="GJH48" s="20"/>
      <c r="GJI48" s="20"/>
      <c r="GJJ48" s="21"/>
      <c r="GJK48" s="21"/>
      <c r="GJL48" s="21"/>
      <c r="GJM48" s="21"/>
      <c r="GJN48" s="21"/>
      <c r="GJO48" s="20"/>
      <c r="GJP48" s="20"/>
      <c r="GJQ48" s="20"/>
      <c r="GJR48" s="20"/>
      <c r="GJS48" s="21"/>
      <c r="GJT48" s="21"/>
      <c r="GJU48" s="7"/>
      <c r="GJV48" s="7"/>
      <c r="GJW48" s="21"/>
      <c r="GJX48" s="20"/>
      <c r="GJY48" s="20"/>
      <c r="GJZ48" s="20"/>
      <c r="GKA48" s="21"/>
      <c r="GKB48" s="21"/>
      <c r="GKC48" s="21"/>
      <c r="GKD48" s="21"/>
      <c r="GKE48" s="21"/>
      <c r="GKF48" s="20"/>
      <c r="GKG48" s="20"/>
      <c r="GKH48" s="20"/>
      <c r="GKI48" s="20"/>
      <c r="GKJ48" s="21"/>
      <c r="GKK48" s="21"/>
      <c r="GKL48" s="7"/>
      <c r="GKM48" s="7"/>
      <c r="GKN48" s="21"/>
      <c r="GKO48" s="20"/>
      <c r="GKP48" s="20"/>
      <c r="GKQ48" s="20"/>
      <c r="GKR48" s="21"/>
      <c r="GKS48" s="21"/>
      <c r="GKT48" s="21"/>
      <c r="GKU48" s="21"/>
      <c r="GKV48" s="21"/>
      <c r="GKW48" s="20"/>
      <c r="GKX48" s="20"/>
      <c r="GKY48" s="20"/>
      <c r="GKZ48" s="20"/>
      <c r="GLA48" s="21"/>
      <c r="GLB48" s="21"/>
      <c r="GLC48" s="7"/>
      <c r="GLD48" s="7"/>
      <c r="GLE48" s="21"/>
      <c r="GLF48" s="20"/>
      <c r="GLG48" s="20"/>
      <c r="GLH48" s="20"/>
      <c r="GLI48" s="21"/>
      <c r="GLJ48" s="21"/>
      <c r="GLK48" s="21"/>
      <c r="GLL48" s="21"/>
      <c r="GLM48" s="21"/>
      <c r="GLN48" s="20"/>
      <c r="GLO48" s="20"/>
      <c r="GLP48" s="20"/>
      <c r="GLQ48" s="20"/>
      <c r="GLR48" s="21"/>
      <c r="GLS48" s="21"/>
      <c r="GLT48" s="7"/>
      <c r="GLU48" s="7"/>
      <c r="GLV48" s="21"/>
      <c r="GLW48" s="20"/>
      <c r="GLX48" s="20"/>
      <c r="GLY48" s="20"/>
      <c r="GLZ48" s="21"/>
      <c r="GMA48" s="21"/>
      <c r="GMB48" s="21"/>
      <c r="GMC48" s="21"/>
      <c r="GMD48" s="21"/>
      <c r="GME48" s="20"/>
      <c r="GMF48" s="20"/>
      <c r="GMG48" s="20"/>
      <c r="GMH48" s="20"/>
      <c r="GMI48" s="21"/>
      <c r="GMJ48" s="21"/>
      <c r="GMK48" s="7"/>
      <c r="GML48" s="7"/>
      <c r="GMM48" s="21"/>
      <c r="GMN48" s="20"/>
      <c r="GMO48" s="20"/>
      <c r="GMP48" s="20"/>
      <c r="GMQ48" s="21"/>
      <c r="GMR48" s="21"/>
      <c r="GMS48" s="21"/>
      <c r="GMT48" s="21"/>
      <c r="GMU48" s="21"/>
      <c r="GMV48" s="20"/>
      <c r="GMW48" s="20"/>
      <c r="GMX48" s="20"/>
      <c r="GMY48" s="20"/>
      <c r="GMZ48" s="21"/>
      <c r="GNA48" s="21"/>
      <c r="GNB48" s="7"/>
      <c r="GNC48" s="7"/>
      <c r="GND48" s="21"/>
      <c r="GNE48" s="20"/>
      <c r="GNF48" s="20"/>
      <c r="GNG48" s="20"/>
      <c r="GNH48" s="21"/>
      <c r="GNI48" s="21"/>
      <c r="GNJ48" s="21"/>
      <c r="GNK48" s="21"/>
      <c r="GNL48" s="21"/>
      <c r="GNM48" s="20"/>
      <c r="GNN48" s="20"/>
      <c r="GNO48" s="20"/>
      <c r="GNP48" s="20"/>
      <c r="GNQ48" s="21"/>
      <c r="GNR48" s="21"/>
      <c r="GNS48" s="7"/>
      <c r="GNT48" s="7"/>
      <c r="GNU48" s="21"/>
      <c r="GNV48" s="20"/>
      <c r="GNW48" s="20"/>
      <c r="GNX48" s="20"/>
      <c r="GNY48" s="21"/>
      <c r="GNZ48" s="21"/>
      <c r="GOA48" s="21"/>
      <c r="GOB48" s="21"/>
      <c r="GOC48" s="21"/>
      <c r="GOD48" s="20"/>
      <c r="GOE48" s="20"/>
      <c r="GOF48" s="20"/>
      <c r="GOG48" s="20"/>
      <c r="GOH48" s="21"/>
      <c r="GOI48" s="21"/>
      <c r="GOJ48" s="7"/>
      <c r="GOK48" s="7"/>
      <c r="GOL48" s="21"/>
      <c r="GOM48" s="20"/>
      <c r="GON48" s="20"/>
      <c r="GOO48" s="20"/>
      <c r="GOP48" s="21"/>
      <c r="GOQ48" s="21"/>
      <c r="GOR48" s="21"/>
      <c r="GOS48" s="21"/>
      <c r="GOT48" s="21"/>
      <c r="GOU48" s="20"/>
      <c r="GOV48" s="20"/>
      <c r="GOW48" s="20"/>
      <c r="GOX48" s="20"/>
      <c r="GOY48" s="21"/>
      <c r="GOZ48" s="21"/>
      <c r="GPA48" s="7"/>
      <c r="GPB48" s="7"/>
      <c r="GPC48" s="21"/>
      <c r="GPD48" s="20"/>
      <c r="GPE48" s="20"/>
      <c r="GPF48" s="20"/>
      <c r="GPG48" s="21"/>
      <c r="GPH48" s="21"/>
      <c r="GPI48" s="21"/>
      <c r="GPJ48" s="21"/>
      <c r="GPK48" s="21"/>
      <c r="GPL48" s="20"/>
      <c r="GPM48" s="20"/>
      <c r="GPN48" s="20"/>
      <c r="GPO48" s="20"/>
      <c r="GPP48" s="21"/>
      <c r="GPQ48" s="21"/>
      <c r="GPR48" s="7"/>
      <c r="GPS48" s="7"/>
      <c r="GPT48" s="21"/>
      <c r="GPU48" s="20"/>
      <c r="GPV48" s="20"/>
      <c r="GPW48" s="20"/>
      <c r="GPX48" s="21"/>
      <c r="GPY48" s="21"/>
      <c r="GPZ48" s="21"/>
      <c r="GQA48" s="21"/>
      <c r="GQB48" s="21"/>
      <c r="GQC48" s="20"/>
      <c r="GQD48" s="20"/>
      <c r="GQE48" s="20"/>
      <c r="GQF48" s="20"/>
      <c r="GQG48" s="21"/>
      <c r="GQH48" s="21"/>
      <c r="GQI48" s="7"/>
      <c r="GQJ48" s="7"/>
      <c r="GQK48" s="21"/>
      <c r="GQL48" s="20"/>
      <c r="GQM48" s="20"/>
      <c r="GQN48" s="20"/>
      <c r="GQO48" s="21"/>
      <c r="GQP48" s="21"/>
      <c r="GQQ48" s="21"/>
      <c r="GQR48" s="21"/>
      <c r="GQS48" s="21"/>
      <c r="GQT48" s="20"/>
      <c r="GQU48" s="20"/>
      <c r="GQV48" s="20"/>
      <c r="GQW48" s="20"/>
      <c r="GQX48" s="21"/>
      <c r="GQY48" s="21"/>
      <c r="GQZ48" s="7"/>
      <c r="GRA48" s="7"/>
      <c r="GRB48" s="21"/>
      <c r="GRC48" s="20"/>
      <c r="GRD48" s="20"/>
      <c r="GRE48" s="20"/>
      <c r="GRF48" s="21"/>
      <c r="GRG48" s="21"/>
      <c r="GRH48" s="21"/>
      <c r="GRI48" s="21"/>
      <c r="GRJ48" s="21"/>
      <c r="GRK48" s="20"/>
      <c r="GRL48" s="20"/>
      <c r="GRM48" s="20"/>
      <c r="GRN48" s="20"/>
      <c r="GRO48" s="21"/>
      <c r="GRP48" s="21"/>
      <c r="GRQ48" s="7"/>
      <c r="GRR48" s="7"/>
      <c r="GRS48" s="21"/>
      <c r="GRT48" s="20"/>
      <c r="GRU48" s="20"/>
      <c r="GRV48" s="20"/>
      <c r="GRW48" s="21"/>
      <c r="GRX48" s="21"/>
      <c r="GRY48" s="21"/>
      <c r="GRZ48" s="21"/>
      <c r="GSA48" s="21"/>
      <c r="GSB48" s="20"/>
      <c r="GSC48" s="20"/>
      <c r="GSD48" s="20"/>
      <c r="GSE48" s="20"/>
      <c r="GSF48" s="21"/>
      <c r="GSG48" s="21"/>
      <c r="GSH48" s="7"/>
      <c r="GSI48" s="7"/>
      <c r="GSJ48" s="21"/>
      <c r="GSK48" s="20"/>
      <c r="GSL48" s="20"/>
      <c r="GSM48" s="20"/>
      <c r="GSN48" s="21"/>
      <c r="GSO48" s="21"/>
      <c r="GSP48" s="21"/>
      <c r="GSQ48" s="21"/>
      <c r="GSR48" s="21"/>
      <c r="GSS48" s="20"/>
      <c r="GST48" s="20"/>
      <c r="GSU48" s="20"/>
      <c r="GSV48" s="20"/>
      <c r="GSW48" s="21"/>
      <c r="GSX48" s="21"/>
      <c r="GSY48" s="7"/>
      <c r="GSZ48" s="7"/>
      <c r="GTA48" s="21"/>
      <c r="GTB48" s="20"/>
      <c r="GTC48" s="20"/>
      <c r="GTD48" s="20"/>
      <c r="GTE48" s="21"/>
      <c r="GTF48" s="21"/>
      <c r="GTG48" s="21"/>
      <c r="GTH48" s="21"/>
      <c r="GTI48" s="21"/>
      <c r="GTJ48" s="20"/>
      <c r="GTK48" s="20"/>
      <c r="GTL48" s="20"/>
      <c r="GTM48" s="20"/>
      <c r="GTN48" s="21"/>
      <c r="GTO48" s="21"/>
      <c r="GTP48" s="7"/>
      <c r="GTQ48" s="7"/>
      <c r="GTR48" s="21"/>
      <c r="GTS48" s="20"/>
      <c r="GTT48" s="20"/>
      <c r="GTU48" s="20"/>
      <c r="GTV48" s="21"/>
      <c r="GTW48" s="21"/>
      <c r="GTX48" s="21"/>
      <c r="GTY48" s="21"/>
      <c r="GTZ48" s="21"/>
      <c r="GUA48" s="20"/>
      <c r="GUB48" s="20"/>
      <c r="GUC48" s="20"/>
      <c r="GUD48" s="20"/>
      <c r="GUE48" s="21"/>
      <c r="GUF48" s="21"/>
      <c r="GUG48" s="7"/>
      <c r="GUH48" s="7"/>
      <c r="GUI48" s="21"/>
      <c r="GUJ48" s="20"/>
      <c r="GUK48" s="20"/>
      <c r="GUL48" s="20"/>
      <c r="GUM48" s="21"/>
      <c r="GUN48" s="21"/>
      <c r="GUO48" s="21"/>
      <c r="GUP48" s="21"/>
      <c r="GUQ48" s="21"/>
      <c r="GUR48" s="20"/>
      <c r="GUS48" s="20"/>
      <c r="GUT48" s="20"/>
      <c r="GUU48" s="20"/>
      <c r="GUV48" s="21"/>
      <c r="GUW48" s="21"/>
      <c r="GUX48" s="7"/>
      <c r="GUY48" s="7"/>
      <c r="GUZ48" s="21"/>
      <c r="GVA48" s="20"/>
      <c r="GVB48" s="20"/>
      <c r="GVC48" s="20"/>
      <c r="GVD48" s="21"/>
      <c r="GVE48" s="21"/>
      <c r="GVF48" s="21"/>
      <c r="GVG48" s="21"/>
      <c r="GVH48" s="21"/>
      <c r="GVI48" s="20"/>
      <c r="GVJ48" s="20"/>
      <c r="GVK48" s="20"/>
      <c r="GVL48" s="20"/>
      <c r="GVM48" s="21"/>
      <c r="GVN48" s="21"/>
      <c r="GVO48" s="7"/>
      <c r="GVP48" s="7"/>
      <c r="GVQ48" s="21"/>
      <c r="GVR48" s="20"/>
      <c r="GVS48" s="20"/>
      <c r="GVT48" s="20"/>
      <c r="GVU48" s="21"/>
      <c r="GVV48" s="21"/>
      <c r="GVW48" s="21"/>
      <c r="GVX48" s="21"/>
      <c r="GVY48" s="21"/>
      <c r="GVZ48" s="20"/>
      <c r="GWA48" s="20"/>
      <c r="GWB48" s="20"/>
      <c r="GWC48" s="20"/>
      <c r="GWD48" s="21"/>
      <c r="GWE48" s="21"/>
      <c r="GWF48" s="7"/>
      <c r="GWG48" s="7"/>
      <c r="GWH48" s="21"/>
      <c r="GWI48" s="20"/>
      <c r="GWJ48" s="20"/>
      <c r="GWK48" s="20"/>
      <c r="GWL48" s="21"/>
      <c r="GWM48" s="21"/>
      <c r="GWN48" s="21"/>
      <c r="GWO48" s="21"/>
      <c r="GWP48" s="21"/>
      <c r="GWQ48" s="20"/>
      <c r="GWR48" s="20"/>
      <c r="GWS48" s="20"/>
      <c r="GWT48" s="20"/>
      <c r="GWU48" s="21"/>
      <c r="GWV48" s="21"/>
      <c r="GWW48" s="7"/>
      <c r="GWX48" s="7"/>
      <c r="GWY48" s="21"/>
      <c r="GWZ48" s="20"/>
      <c r="GXA48" s="20"/>
      <c r="GXB48" s="20"/>
      <c r="GXC48" s="21"/>
      <c r="GXD48" s="21"/>
      <c r="GXE48" s="21"/>
      <c r="GXF48" s="21"/>
      <c r="GXG48" s="21"/>
      <c r="GXH48" s="20"/>
      <c r="GXI48" s="20"/>
      <c r="GXJ48" s="20"/>
      <c r="GXK48" s="20"/>
      <c r="GXL48" s="21"/>
      <c r="GXM48" s="21"/>
      <c r="GXN48" s="7"/>
      <c r="GXO48" s="7"/>
      <c r="GXP48" s="21"/>
      <c r="GXQ48" s="20"/>
      <c r="GXR48" s="20"/>
      <c r="GXS48" s="20"/>
      <c r="GXT48" s="21"/>
      <c r="GXU48" s="21"/>
      <c r="GXV48" s="21"/>
      <c r="GXW48" s="21"/>
      <c r="GXX48" s="21"/>
      <c r="GXY48" s="20"/>
      <c r="GXZ48" s="20"/>
      <c r="GYA48" s="20"/>
      <c r="GYB48" s="20"/>
      <c r="GYC48" s="21"/>
      <c r="GYD48" s="21"/>
      <c r="GYE48" s="7"/>
      <c r="GYF48" s="7"/>
      <c r="GYG48" s="21"/>
      <c r="GYH48" s="20"/>
      <c r="GYI48" s="20"/>
      <c r="GYJ48" s="20"/>
      <c r="GYK48" s="21"/>
      <c r="GYL48" s="21"/>
      <c r="GYM48" s="21"/>
      <c r="GYN48" s="21"/>
      <c r="GYO48" s="21"/>
      <c r="GYP48" s="20"/>
      <c r="GYQ48" s="20"/>
      <c r="GYR48" s="20"/>
      <c r="GYS48" s="20"/>
      <c r="GYT48" s="21"/>
      <c r="GYU48" s="21"/>
      <c r="GYV48" s="7"/>
      <c r="GYW48" s="7"/>
      <c r="GYX48" s="21"/>
      <c r="GYY48" s="20"/>
      <c r="GYZ48" s="20"/>
      <c r="GZA48" s="20"/>
      <c r="GZB48" s="21"/>
      <c r="GZC48" s="21"/>
      <c r="GZD48" s="21"/>
      <c r="GZE48" s="21"/>
      <c r="GZF48" s="21"/>
      <c r="GZG48" s="20"/>
      <c r="GZH48" s="20"/>
      <c r="GZI48" s="20"/>
      <c r="GZJ48" s="20"/>
      <c r="GZK48" s="21"/>
      <c r="GZL48" s="21"/>
      <c r="GZM48" s="7"/>
      <c r="GZN48" s="7"/>
      <c r="GZO48" s="21"/>
      <c r="GZP48" s="20"/>
      <c r="GZQ48" s="20"/>
      <c r="GZR48" s="20"/>
      <c r="GZS48" s="21"/>
      <c r="GZT48" s="21"/>
      <c r="GZU48" s="21"/>
      <c r="GZV48" s="21"/>
      <c r="GZW48" s="21"/>
      <c r="GZX48" s="20"/>
      <c r="GZY48" s="20"/>
      <c r="GZZ48" s="20"/>
      <c r="HAA48" s="20"/>
      <c r="HAB48" s="21"/>
      <c r="HAC48" s="21"/>
      <c r="HAD48" s="7"/>
      <c r="HAE48" s="7"/>
      <c r="HAF48" s="21"/>
      <c r="HAG48" s="20"/>
      <c r="HAH48" s="20"/>
      <c r="HAI48" s="20"/>
      <c r="HAJ48" s="21"/>
      <c r="HAK48" s="21"/>
      <c r="HAL48" s="21"/>
      <c r="HAM48" s="21"/>
      <c r="HAN48" s="21"/>
      <c r="HAO48" s="20"/>
      <c r="HAP48" s="20"/>
      <c r="HAQ48" s="20"/>
      <c r="HAR48" s="20"/>
      <c r="HAS48" s="21"/>
      <c r="HAT48" s="21"/>
      <c r="HAU48" s="7"/>
      <c r="HAV48" s="7"/>
      <c r="HAW48" s="21"/>
      <c r="HAX48" s="20"/>
      <c r="HAY48" s="20"/>
      <c r="HAZ48" s="20"/>
      <c r="HBA48" s="21"/>
      <c r="HBB48" s="21"/>
      <c r="HBC48" s="21"/>
      <c r="HBD48" s="21"/>
      <c r="HBE48" s="21"/>
      <c r="HBF48" s="20"/>
      <c r="HBG48" s="20"/>
      <c r="HBH48" s="20"/>
      <c r="HBI48" s="20"/>
      <c r="HBJ48" s="21"/>
      <c r="HBK48" s="21"/>
      <c r="HBL48" s="7"/>
      <c r="HBM48" s="7"/>
      <c r="HBN48" s="21"/>
      <c r="HBO48" s="20"/>
      <c r="HBP48" s="20"/>
      <c r="HBQ48" s="20"/>
      <c r="HBR48" s="21"/>
      <c r="HBS48" s="21"/>
      <c r="HBT48" s="21"/>
      <c r="HBU48" s="21"/>
      <c r="HBV48" s="21"/>
      <c r="HBW48" s="20"/>
      <c r="HBX48" s="20"/>
      <c r="HBY48" s="20"/>
      <c r="HBZ48" s="20"/>
      <c r="HCA48" s="21"/>
      <c r="HCB48" s="21"/>
      <c r="HCC48" s="7"/>
      <c r="HCD48" s="7"/>
      <c r="HCE48" s="21"/>
      <c r="HCF48" s="20"/>
      <c r="HCG48" s="20"/>
      <c r="HCH48" s="20"/>
      <c r="HCI48" s="21"/>
      <c r="HCJ48" s="21"/>
      <c r="HCK48" s="21"/>
      <c r="HCL48" s="21"/>
      <c r="HCM48" s="21"/>
      <c r="HCN48" s="20"/>
      <c r="HCO48" s="20"/>
      <c r="HCP48" s="20"/>
      <c r="HCQ48" s="20"/>
      <c r="HCR48" s="21"/>
      <c r="HCS48" s="21"/>
      <c r="HCT48" s="7"/>
      <c r="HCU48" s="7"/>
      <c r="HCV48" s="21"/>
      <c r="HCW48" s="20"/>
      <c r="HCX48" s="20"/>
      <c r="HCY48" s="20"/>
      <c r="HCZ48" s="21"/>
      <c r="HDA48" s="21"/>
      <c r="HDB48" s="21"/>
      <c r="HDC48" s="21"/>
      <c r="HDD48" s="21"/>
      <c r="HDE48" s="20"/>
      <c r="HDF48" s="20"/>
      <c r="HDG48" s="20"/>
      <c r="HDH48" s="20"/>
      <c r="HDI48" s="21"/>
      <c r="HDJ48" s="21"/>
      <c r="HDK48" s="7"/>
      <c r="HDL48" s="7"/>
      <c r="HDM48" s="21"/>
      <c r="HDN48" s="20"/>
      <c r="HDO48" s="20"/>
      <c r="HDP48" s="20"/>
      <c r="HDQ48" s="21"/>
      <c r="HDR48" s="21"/>
      <c r="HDS48" s="21"/>
      <c r="HDT48" s="21"/>
      <c r="HDU48" s="21"/>
      <c r="HDV48" s="20"/>
      <c r="HDW48" s="20"/>
      <c r="HDX48" s="20"/>
      <c r="HDY48" s="20"/>
      <c r="HDZ48" s="21"/>
      <c r="HEA48" s="21"/>
      <c r="HEB48" s="7"/>
      <c r="HEC48" s="7"/>
      <c r="HED48" s="21"/>
      <c r="HEE48" s="20"/>
      <c r="HEF48" s="20"/>
      <c r="HEG48" s="20"/>
      <c r="HEH48" s="21"/>
      <c r="HEI48" s="21"/>
      <c r="HEJ48" s="21"/>
      <c r="HEK48" s="21"/>
      <c r="HEL48" s="21"/>
      <c r="HEM48" s="20"/>
      <c r="HEN48" s="20"/>
      <c r="HEO48" s="20"/>
      <c r="HEP48" s="20"/>
      <c r="HEQ48" s="21"/>
      <c r="HER48" s="21"/>
      <c r="HES48" s="7"/>
      <c r="HET48" s="7"/>
      <c r="HEU48" s="21"/>
      <c r="HEV48" s="20"/>
      <c r="HEW48" s="20"/>
      <c r="HEX48" s="20"/>
      <c r="HEY48" s="21"/>
      <c r="HEZ48" s="21"/>
      <c r="HFA48" s="21"/>
      <c r="HFB48" s="21"/>
      <c r="HFC48" s="21"/>
      <c r="HFD48" s="20"/>
      <c r="HFE48" s="20"/>
      <c r="HFF48" s="20"/>
      <c r="HFG48" s="20"/>
      <c r="HFH48" s="21"/>
      <c r="HFI48" s="21"/>
      <c r="HFJ48" s="7"/>
      <c r="HFK48" s="7"/>
      <c r="HFL48" s="21"/>
      <c r="HFM48" s="20"/>
      <c r="HFN48" s="20"/>
      <c r="HFO48" s="20"/>
      <c r="HFP48" s="21"/>
      <c r="HFQ48" s="21"/>
      <c r="HFR48" s="21"/>
      <c r="HFS48" s="21"/>
      <c r="HFT48" s="21"/>
      <c r="HFU48" s="20"/>
      <c r="HFV48" s="20"/>
      <c r="HFW48" s="20"/>
      <c r="HFX48" s="20"/>
      <c r="HFY48" s="21"/>
      <c r="HFZ48" s="21"/>
      <c r="HGA48" s="7"/>
      <c r="HGB48" s="7"/>
      <c r="HGC48" s="21"/>
      <c r="HGD48" s="20"/>
      <c r="HGE48" s="20"/>
      <c r="HGF48" s="20"/>
      <c r="HGG48" s="21"/>
      <c r="HGH48" s="21"/>
      <c r="HGI48" s="21"/>
      <c r="HGJ48" s="21"/>
      <c r="HGK48" s="21"/>
      <c r="HGL48" s="20"/>
      <c r="HGM48" s="20"/>
      <c r="HGN48" s="20"/>
      <c r="HGO48" s="20"/>
      <c r="HGP48" s="21"/>
      <c r="HGQ48" s="21"/>
      <c r="HGR48" s="7"/>
      <c r="HGS48" s="7"/>
      <c r="HGT48" s="21"/>
      <c r="HGU48" s="20"/>
      <c r="HGV48" s="20"/>
      <c r="HGW48" s="20"/>
      <c r="HGX48" s="21"/>
      <c r="HGY48" s="21"/>
      <c r="HGZ48" s="21"/>
      <c r="HHA48" s="21"/>
      <c r="HHB48" s="21"/>
      <c r="HHC48" s="20"/>
      <c r="HHD48" s="20"/>
      <c r="HHE48" s="20"/>
      <c r="HHF48" s="20"/>
      <c r="HHG48" s="21"/>
      <c r="HHH48" s="21"/>
      <c r="HHI48" s="7"/>
      <c r="HHJ48" s="7"/>
      <c r="HHK48" s="21"/>
      <c r="HHL48" s="20"/>
      <c r="HHM48" s="20"/>
      <c r="HHN48" s="20"/>
      <c r="HHO48" s="21"/>
      <c r="HHP48" s="21"/>
      <c r="HHQ48" s="21"/>
      <c r="HHR48" s="21"/>
      <c r="HHS48" s="21"/>
      <c r="HHT48" s="20"/>
      <c r="HHU48" s="20"/>
      <c r="HHV48" s="20"/>
      <c r="HHW48" s="20"/>
      <c r="HHX48" s="21"/>
      <c r="HHY48" s="21"/>
      <c r="HHZ48" s="7"/>
      <c r="HIA48" s="7"/>
      <c r="HIB48" s="21"/>
      <c r="HIC48" s="20"/>
      <c r="HID48" s="20"/>
      <c r="HIE48" s="20"/>
      <c r="HIF48" s="21"/>
      <c r="HIG48" s="21"/>
      <c r="HIH48" s="21"/>
      <c r="HII48" s="21"/>
      <c r="HIJ48" s="21"/>
      <c r="HIK48" s="20"/>
      <c r="HIL48" s="20"/>
      <c r="HIM48" s="20"/>
      <c r="HIN48" s="20"/>
      <c r="HIO48" s="21"/>
      <c r="HIP48" s="21"/>
      <c r="HIQ48" s="7"/>
      <c r="HIR48" s="7"/>
      <c r="HIS48" s="21"/>
      <c r="HIT48" s="20"/>
      <c r="HIU48" s="20"/>
      <c r="HIV48" s="20"/>
      <c r="HIW48" s="21"/>
      <c r="HIX48" s="21"/>
      <c r="HIY48" s="21"/>
      <c r="HIZ48" s="21"/>
      <c r="HJA48" s="21"/>
      <c r="HJB48" s="20"/>
      <c r="HJC48" s="20"/>
      <c r="HJD48" s="20"/>
      <c r="HJE48" s="20"/>
      <c r="HJF48" s="21"/>
      <c r="HJG48" s="21"/>
      <c r="HJH48" s="7"/>
      <c r="HJI48" s="7"/>
      <c r="HJJ48" s="21"/>
      <c r="HJK48" s="20"/>
      <c r="HJL48" s="20"/>
      <c r="HJM48" s="20"/>
      <c r="HJN48" s="21"/>
      <c r="HJO48" s="21"/>
      <c r="HJP48" s="21"/>
      <c r="HJQ48" s="21"/>
      <c r="HJR48" s="21"/>
      <c r="HJS48" s="20"/>
      <c r="HJT48" s="20"/>
      <c r="HJU48" s="20"/>
      <c r="HJV48" s="20"/>
      <c r="HJW48" s="21"/>
      <c r="HJX48" s="21"/>
      <c r="HJY48" s="7"/>
      <c r="HJZ48" s="7"/>
      <c r="HKA48" s="21"/>
      <c r="HKB48" s="20"/>
      <c r="HKC48" s="20"/>
      <c r="HKD48" s="20"/>
      <c r="HKE48" s="21"/>
      <c r="HKF48" s="21"/>
      <c r="HKG48" s="21"/>
      <c r="HKH48" s="21"/>
      <c r="HKI48" s="21"/>
      <c r="HKJ48" s="20"/>
      <c r="HKK48" s="20"/>
      <c r="HKL48" s="20"/>
      <c r="HKM48" s="20"/>
      <c r="HKN48" s="21"/>
      <c r="HKO48" s="21"/>
      <c r="HKP48" s="7"/>
      <c r="HKQ48" s="7"/>
      <c r="HKR48" s="21"/>
      <c r="HKS48" s="20"/>
      <c r="HKT48" s="20"/>
      <c r="HKU48" s="20"/>
      <c r="HKV48" s="21"/>
      <c r="HKW48" s="21"/>
      <c r="HKX48" s="21"/>
      <c r="HKY48" s="21"/>
      <c r="HKZ48" s="21"/>
      <c r="HLA48" s="20"/>
      <c r="HLB48" s="20"/>
      <c r="HLC48" s="20"/>
      <c r="HLD48" s="20"/>
      <c r="HLE48" s="21"/>
      <c r="HLF48" s="21"/>
      <c r="HLG48" s="7"/>
      <c r="HLH48" s="7"/>
      <c r="HLI48" s="21"/>
      <c r="HLJ48" s="20"/>
      <c r="HLK48" s="20"/>
      <c r="HLL48" s="20"/>
      <c r="HLM48" s="21"/>
      <c r="HLN48" s="21"/>
      <c r="HLO48" s="21"/>
      <c r="HLP48" s="21"/>
      <c r="HLQ48" s="21"/>
      <c r="HLR48" s="20"/>
      <c r="HLS48" s="20"/>
      <c r="HLT48" s="20"/>
      <c r="HLU48" s="20"/>
      <c r="HLV48" s="21"/>
      <c r="HLW48" s="21"/>
      <c r="HLX48" s="7"/>
      <c r="HLY48" s="7"/>
      <c r="HLZ48" s="21"/>
      <c r="HMA48" s="20"/>
      <c r="HMB48" s="20"/>
      <c r="HMC48" s="20"/>
      <c r="HMD48" s="21"/>
      <c r="HME48" s="21"/>
      <c r="HMF48" s="21"/>
      <c r="HMG48" s="21"/>
      <c r="HMH48" s="21"/>
      <c r="HMI48" s="20"/>
      <c r="HMJ48" s="20"/>
      <c r="HMK48" s="20"/>
      <c r="HML48" s="20"/>
      <c r="HMM48" s="21"/>
      <c r="HMN48" s="21"/>
      <c r="HMO48" s="7"/>
      <c r="HMP48" s="7"/>
      <c r="HMQ48" s="21"/>
      <c r="HMR48" s="20"/>
      <c r="HMS48" s="20"/>
      <c r="HMT48" s="20"/>
      <c r="HMU48" s="21"/>
      <c r="HMV48" s="21"/>
      <c r="HMW48" s="21"/>
      <c r="HMX48" s="21"/>
      <c r="HMY48" s="21"/>
      <c r="HMZ48" s="20"/>
      <c r="HNA48" s="20"/>
      <c r="HNB48" s="20"/>
      <c r="HNC48" s="20"/>
      <c r="HND48" s="21"/>
      <c r="HNE48" s="21"/>
      <c r="HNF48" s="7"/>
      <c r="HNG48" s="7"/>
      <c r="HNH48" s="21"/>
      <c r="HNI48" s="20"/>
      <c r="HNJ48" s="20"/>
      <c r="HNK48" s="20"/>
      <c r="HNL48" s="21"/>
      <c r="HNM48" s="21"/>
      <c r="HNN48" s="21"/>
      <c r="HNO48" s="21"/>
      <c r="HNP48" s="21"/>
      <c r="HNQ48" s="20"/>
      <c r="HNR48" s="20"/>
      <c r="HNS48" s="20"/>
      <c r="HNT48" s="20"/>
      <c r="HNU48" s="21"/>
      <c r="HNV48" s="21"/>
      <c r="HNW48" s="7"/>
      <c r="HNX48" s="7"/>
      <c r="HNY48" s="21"/>
      <c r="HNZ48" s="20"/>
      <c r="HOA48" s="20"/>
      <c r="HOB48" s="20"/>
      <c r="HOC48" s="21"/>
      <c r="HOD48" s="21"/>
      <c r="HOE48" s="21"/>
      <c r="HOF48" s="21"/>
      <c r="HOG48" s="21"/>
      <c r="HOH48" s="20"/>
      <c r="HOI48" s="20"/>
      <c r="HOJ48" s="20"/>
      <c r="HOK48" s="20"/>
      <c r="HOL48" s="21"/>
      <c r="HOM48" s="21"/>
      <c r="HON48" s="7"/>
      <c r="HOO48" s="7"/>
      <c r="HOP48" s="21"/>
      <c r="HOQ48" s="20"/>
      <c r="HOR48" s="20"/>
      <c r="HOS48" s="20"/>
      <c r="HOT48" s="21"/>
      <c r="HOU48" s="21"/>
      <c r="HOV48" s="21"/>
      <c r="HOW48" s="21"/>
      <c r="HOX48" s="21"/>
      <c r="HOY48" s="20"/>
      <c r="HOZ48" s="20"/>
      <c r="HPA48" s="20"/>
      <c r="HPB48" s="20"/>
      <c r="HPC48" s="21"/>
      <c r="HPD48" s="21"/>
      <c r="HPE48" s="7"/>
      <c r="HPF48" s="7"/>
      <c r="HPG48" s="21"/>
      <c r="HPH48" s="20"/>
      <c r="HPI48" s="20"/>
      <c r="HPJ48" s="20"/>
      <c r="HPK48" s="21"/>
      <c r="HPL48" s="21"/>
      <c r="HPM48" s="21"/>
      <c r="HPN48" s="21"/>
      <c r="HPO48" s="21"/>
      <c r="HPP48" s="20"/>
      <c r="HPQ48" s="20"/>
      <c r="HPR48" s="20"/>
      <c r="HPS48" s="20"/>
      <c r="HPT48" s="21"/>
      <c r="HPU48" s="21"/>
      <c r="HPV48" s="7"/>
      <c r="HPW48" s="7"/>
      <c r="HPX48" s="21"/>
      <c r="HPY48" s="20"/>
      <c r="HPZ48" s="20"/>
      <c r="HQA48" s="20"/>
      <c r="HQB48" s="21"/>
      <c r="HQC48" s="21"/>
      <c r="HQD48" s="21"/>
      <c r="HQE48" s="21"/>
      <c r="HQF48" s="21"/>
      <c r="HQG48" s="20"/>
      <c r="HQH48" s="20"/>
      <c r="HQI48" s="20"/>
      <c r="HQJ48" s="20"/>
      <c r="HQK48" s="21"/>
      <c r="HQL48" s="21"/>
      <c r="HQM48" s="7"/>
      <c r="HQN48" s="7"/>
      <c r="HQO48" s="21"/>
      <c r="HQP48" s="20"/>
      <c r="HQQ48" s="20"/>
      <c r="HQR48" s="20"/>
      <c r="HQS48" s="21"/>
      <c r="HQT48" s="21"/>
      <c r="HQU48" s="21"/>
      <c r="HQV48" s="21"/>
      <c r="HQW48" s="21"/>
      <c r="HQX48" s="20"/>
      <c r="HQY48" s="20"/>
      <c r="HQZ48" s="20"/>
      <c r="HRA48" s="20"/>
      <c r="HRB48" s="21"/>
      <c r="HRC48" s="21"/>
      <c r="HRD48" s="7"/>
      <c r="HRE48" s="7"/>
      <c r="HRF48" s="21"/>
      <c r="HRG48" s="20"/>
      <c r="HRH48" s="20"/>
      <c r="HRI48" s="20"/>
      <c r="HRJ48" s="21"/>
      <c r="HRK48" s="21"/>
      <c r="HRL48" s="21"/>
      <c r="HRM48" s="21"/>
      <c r="HRN48" s="21"/>
      <c r="HRO48" s="20"/>
      <c r="HRP48" s="20"/>
      <c r="HRQ48" s="20"/>
      <c r="HRR48" s="20"/>
      <c r="HRS48" s="21"/>
      <c r="HRT48" s="21"/>
      <c r="HRU48" s="7"/>
      <c r="HRV48" s="7"/>
      <c r="HRW48" s="21"/>
      <c r="HRX48" s="20"/>
      <c r="HRY48" s="20"/>
      <c r="HRZ48" s="20"/>
      <c r="HSA48" s="21"/>
      <c r="HSB48" s="21"/>
      <c r="HSC48" s="21"/>
      <c r="HSD48" s="21"/>
      <c r="HSE48" s="21"/>
      <c r="HSF48" s="20"/>
      <c r="HSG48" s="20"/>
      <c r="HSH48" s="20"/>
      <c r="HSI48" s="20"/>
      <c r="HSJ48" s="21"/>
      <c r="HSK48" s="21"/>
      <c r="HSL48" s="7"/>
      <c r="HSM48" s="7"/>
      <c r="HSN48" s="21"/>
      <c r="HSO48" s="20"/>
      <c r="HSP48" s="20"/>
      <c r="HSQ48" s="20"/>
      <c r="HSR48" s="21"/>
      <c r="HSS48" s="21"/>
      <c r="HST48" s="21"/>
      <c r="HSU48" s="21"/>
      <c r="HSV48" s="21"/>
      <c r="HSW48" s="20"/>
      <c r="HSX48" s="20"/>
      <c r="HSY48" s="20"/>
      <c r="HSZ48" s="20"/>
      <c r="HTA48" s="21"/>
      <c r="HTB48" s="21"/>
      <c r="HTC48" s="7"/>
      <c r="HTD48" s="7"/>
      <c r="HTE48" s="21"/>
      <c r="HTF48" s="20"/>
      <c r="HTG48" s="20"/>
      <c r="HTH48" s="20"/>
      <c r="HTI48" s="21"/>
      <c r="HTJ48" s="21"/>
      <c r="HTK48" s="21"/>
      <c r="HTL48" s="21"/>
      <c r="HTM48" s="21"/>
      <c r="HTN48" s="20"/>
      <c r="HTO48" s="20"/>
      <c r="HTP48" s="20"/>
      <c r="HTQ48" s="20"/>
      <c r="HTR48" s="21"/>
      <c r="HTS48" s="21"/>
      <c r="HTT48" s="7"/>
      <c r="HTU48" s="7"/>
      <c r="HTV48" s="21"/>
      <c r="HTW48" s="20"/>
      <c r="HTX48" s="20"/>
      <c r="HTY48" s="20"/>
      <c r="HTZ48" s="21"/>
      <c r="HUA48" s="21"/>
      <c r="HUB48" s="21"/>
      <c r="HUC48" s="21"/>
      <c r="HUD48" s="21"/>
      <c r="HUE48" s="20"/>
      <c r="HUF48" s="20"/>
      <c r="HUG48" s="20"/>
      <c r="HUH48" s="20"/>
      <c r="HUI48" s="21"/>
      <c r="HUJ48" s="21"/>
      <c r="HUK48" s="7"/>
      <c r="HUL48" s="7"/>
      <c r="HUM48" s="21"/>
      <c r="HUN48" s="20"/>
      <c r="HUO48" s="20"/>
      <c r="HUP48" s="20"/>
      <c r="HUQ48" s="21"/>
      <c r="HUR48" s="21"/>
      <c r="HUS48" s="21"/>
      <c r="HUT48" s="21"/>
      <c r="HUU48" s="21"/>
      <c r="HUV48" s="20"/>
      <c r="HUW48" s="20"/>
      <c r="HUX48" s="20"/>
      <c r="HUY48" s="20"/>
      <c r="HUZ48" s="21"/>
      <c r="HVA48" s="21"/>
      <c r="HVB48" s="7"/>
      <c r="HVC48" s="7"/>
      <c r="HVD48" s="21"/>
      <c r="HVE48" s="20"/>
      <c r="HVF48" s="20"/>
      <c r="HVG48" s="20"/>
      <c r="HVH48" s="21"/>
      <c r="HVI48" s="21"/>
      <c r="HVJ48" s="21"/>
      <c r="HVK48" s="21"/>
      <c r="HVL48" s="21"/>
      <c r="HVM48" s="20"/>
      <c r="HVN48" s="20"/>
      <c r="HVO48" s="20"/>
      <c r="HVP48" s="20"/>
      <c r="HVQ48" s="21"/>
      <c r="HVR48" s="21"/>
      <c r="HVS48" s="7"/>
      <c r="HVT48" s="7"/>
      <c r="HVU48" s="21"/>
      <c r="HVV48" s="20"/>
      <c r="HVW48" s="20"/>
      <c r="HVX48" s="20"/>
      <c r="HVY48" s="21"/>
      <c r="HVZ48" s="21"/>
      <c r="HWA48" s="21"/>
      <c r="HWB48" s="21"/>
      <c r="HWC48" s="21"/>
      <c r="HWD48" s="20"/>
      <c r="HWE48" s="20"/>
      <c r="HWF48" s="20"/>
      <c r="HWG48" s="20"/>
      <c r="HWH48" s="21"/>
      <c r="HWI48" s="21"/>
      <c r="HWJ48" s="7"/>
      <c r="HWK48" s="7"/>
      <c r="HWL48" s="21"/>
      <c r="HWM48" s="20"/>
      <c r="HWN48" s="20"/>
      <c r="HWO48" s="20"/>
      <c r="HWP48" s="21"/>
      <c r="HWQ48" s="21"/>
      <c r="HWR48" s="21"/>
      <c r="HWS48" s="21"/>
      <c r="HWT48" s="21"/>
      <c r="HWU48" s="20"/>
      <c r="HWV48" s="20"/>
      <c r="HWW48" s="20"/>
      <c r="HWX48" s="20"/>
      <c r="HWY48" s="21"/>
      <c r="HWZ48" s="21"/>
      <c r="HXA48" s="7"/>
      <c r="HXB48" s="7"/>
      <c r="HXC48" s="21"/>
      <c r="HXD48" s="20"/>
      <c r="HXE48" s="20"/>
      <c r="HXF48" s="20"/>
      <c r="HXG48" s="21"/>
      <c r="HXH48" s="21"/>
      <c r="HXI48" s="21"/>
      <c r="HXJ48" s="21"/>
      <c r="HXK48" s="21"/>
      <c r="HXL48" s="20"/>
      <c r="HXM48" s="20"/>
      <c r="HXN48" s="20"/>
      <c r="HXO48" s="20"/>
      <c r="HXP48" s="21"/>
      <c r="HXQ48" s="21"/>
      <c r="HXR48" s="7"/>
      <c r="HXS48" s="7"/>
      <c r="HXT48" s="21"/>
      <c r="HXU48" s="20"/>
      <c r="HXV48" s="20"/>
      <c r="HXW48" s="20"/>
      <c r="HXX48" s="21"/>
      <c r="HXY48" s="21"/>
      <c r="HXZ48" s="21"/>
      <c r="HYA48" s="21"/>
      <c r="HYB48" s="21"/>
      <c r="HYC48" s="20"/>
      <c r="HYD48" s="20"/>
      <c r="HYE48" s="20"/>
      <c r="HYF48" s="20"/>
      <c r="HYG48" s="21"/>
      <c r="HYH48" s="21"/>
      <c r="HYI48" s="7"/>
      <c r="HYJ48" s="7"/>
      <c r="HYK48" s="21"/>
      <c r="HYL48" s="20"/>
      <c r="HYM48" s="20"/>
      <c r="HYN48" s="20"/>
      <c r="HYO48" s="21"/>
      <c r="HYP48" s="21"/>
      <c r="HYQ48" s="21"/>
      <c r="HYR48" s="21"/>
      <c r="HYS48" s="21"/>
      <c r="HYT48" s="20"/>
      <c r="HYU48" s="20"/>
      <c r="HYV48" s="20"/>
      <c r="HYW48" s="20"/>
      <c r="HYX48" s="21"/>
      <c r="HYY48" s="21"/>
      <c r="HYZ48" s="7"/>
      <c r="HZA48" s="7"/>
      <c r="HZB48" s="21"/>
      <c r="HZC48" s="20"/>
      <c r="HZD48" s="20"/>
      <c r="HZE48" s="20"/>
      <c r="HZF48" s="21"/>
      <c r="HZG48" s="21"/>
      <c r="HZH48" s="21"/>
      <c r="HZI48" s="21"/>
      <c r="HZJ48" s="21"/>
      <c r="HZK48" s="20"/>
      <c r="HZL48" s="20"/>
      <c r="HZM48" s="20"/>
      <c r="HZN48" s="20"/>
      <c r="HZO48" s="21"/>
      <c r="HZP48" s="21"/>
      <c r="HZQ48" s="7"/>
      <c r="HZR48" s="7"/>
      <c r="HZS48" s="21"/>
      <c r="HZT48" s="20"/>
      <c r="HZU48" s="20"/>
      <c r="HZV48" s="20"/>
      <c r="HZW48" s="21"/>
      <c r="HZX48" s="21"/>
      <c r="HZY48" s="21"/>
      <c r="HZZ48" s="21"/>
      <c r="IAA48" s="21"/>
      <c r="IAB48" s="20"/>
      <c r="IAC48" s="20"/>
      <c r="IAD48" s="20"/>
      <c r="IAE48" s="20"/>
      <c r="IAF48" s="21"/>
      <c r="IAG48" s="21"/>
      <c r="IAH48" s="7"/>
      <c r="IAI48" s="7"/>
      <c r="IAJ48" s="21"/>
      <c r="IAK48" s="20"/>
      <c r="IAL48" s="20"/>
      <c r="IAM48" s="20"/>
      <c r="IAN48" s="21"/>
      <c r="IAO48" s="21"/>
      <c r="IAP48" s="21"/>
      <c r="IAQ48" s="21"/>
      <c r="IAR48" s="21"/>
      <c r="IAS48" s="20"/>
      <c r="IAT48" s="20"/>
      <c r="IAU48" s="20"/>
      <c r="IAV48" s="20"/>
      <c r="IAW48" s="21"/>
      <c r="IAX48" s="21"/>
      <c r="IAY48" s="7"/>
      <c r="IAZ48" s="7"/>
      <c r="IBA48" s="21"/>
      <c r="IBB48" s="20"/>
      <c r="IBC48" s="20"/>
      <c r="IBD48" s="20"/>
      <c r="IBE48" s="21"/>
      <c r="IBF48" s="21"/>
      <c r="IBG48" s="21"/>
      <c r="IBH48" s="21"/>
      <c r="IBI48" s="21"/>
      <c r="IBJ48" s="20"/>
      <c r="IBK48" s="20"/>
      <c r="IBL48" s="20"/>
      <c r="IBM48" s="20"/>
      <c r="IBN48" s="21"/>
      <c r="IBO48" s="21"/>
      <c r="IBP48" s="7"/>
      <c r="IBQ48" s="7"/>
      <c r="IBR48" s="21"/>
      <c r="IBS48" s="20"/>
      <c r="IBT48" s="20"/>
      <c r="IBU48" s="20"/>
      <c r="IBV48" s="21"/>
      <c r="IBW48" s="21"/>
      <c r="IBX48" s="21"/>
      <c r="IBY48" s="21"/>
      <c r="IBZ48" s="21"/>
      <c r="ICA48" s="20"/>
      <c r="ICB48" s="20"/>
      <c r="ICC48" s="20"/>
      <c r="ICD48" s="20"/>
      <c r="ICE48" s="21"/>
      <c r="ICF48" s="21"/>
      <c r="ICG48" s="7"/>
      <c r="ICH48" s="7"/>
      <c r="ICI48" s="21"/>
      <c r="ICJ48" s="20"/>
      <c r="ICK48" s="20"/>
      <c r="ICL48" s="20"/>
      <c r="ICM48" s="21"/>
      <c r="ICN48" s="21"/>
      <c r="ICO48" s="21"/>
      <c r="ICP48" s="21"/>
      <c r="ICQ48" s="21"/>
      <c r="ICR48" s="20"/>
      <c r="ICS48" s="20"/>
      <c r="ICT48" s="20"/>
      <c r="ICU48" s="20"/>
      <c r="ICV48" s="21"/>
      <c r="ICW48" s="21"/>
      <c r="ICX48" s="7"/>
      <c r="ICY48" s="7"/>
      <c r="ICZ48" s="21"/>
      <c r="IDA48" s="20"/>
      <c r="IDB48" s="20"/>
      <c r="IDC48" s="20"/>
      <c r="IDD48" s="21"/>
      <c r="IDE48" s="21"/>
      <c r="IDF48" s="21"/>
      <c r="IDG48" s="21"/>
      <c r="IDH48" s="21"/>
      <c r="IDI48" s="20"/>
      <c r="IDJ48" s="20"/>
      <c r="IDK48" s="20"/>
      <c r="IDL48" s="20"/>
      <c r="IDM48" s="21"/>
      <c r="IDN48" s="21"/>
      <c r="IDO48" s="7"/>
      <c r="IDP48" s="7"/>
      <c r="IDQ48" s="21"/>
      <c r="IDR48" s="20"/>
      <c r="IDS48" s="20"/>
      <c r="IDT48" s="20"/>
      <c r="IDU48" s="21"/>
      <c r="IDV48" s="21"/>
      <c r="IDW48" s="21"/>
      <c r="IDX48" s="21"/>
      <c r="IDY48" s="21"/>
      <c r="IDZ48" s="20"/>
      <c r="IEA48" s="20"/>
      <c r="IEB48" s="20"/>
      <c r="IEC48" s="20"/>
      <c r="IED48" s="21"/>
      <c r="IEE48" s="21"/>
      <c r="IEF48" s="7"/>
      <c r="IEG48" s="7"/>
      <c r="IEH48" s="21"/>
      <c r="IEI48" s="20"/>
      <c r="IEJ48" s="20"/>
      <c r="IEK48" s="20"/>
      <c r="IEL48" s="21"/>
      <c r="IEM48" s="21"/>
      <c r="IEN48" s="21"/>
      <c r="IEO48" s="21"/>
      <c r="IEP48" s="21"/>
      <c r="IEQ48" s="20"/>
      <c r="IER48" s="20"/>
      <c r="IES48" s="20"/>
      <c r="IET48" s="20"/>
      <c r="IEU48" s="21"/>
      <c r="IEV48" s="21"/>
      <c r="IEW48" s="7"/>
      <c r="IEX48" s="7"/>
      <c r="IEY48" s="21"/>
      <c r="IEZ48" s="20"/>
      <c r="IFA48" s="20"/>
      <c r="IFB48" s="20"/>
      <c r="IFC48" s="21"/>
      <c r="IFD48" s="21"/>
      <c r="IFE48" s="21"/>
      <c r="IFF48" s="21"/>
      <c r="IFG48" s="21"/>
      <c r="IFH48" s="20"/>
      <c r="IFI48" s="20"/>
      <c r="IFJ48" s="20"/>
      <c r="IFK48" s="20"/>
      <c r="IFL48" s="21"/>
      <c r="IFM48" s="21"/>
      <c r="IFN48" s="7"/>
      <c r="IFO48" s="7"/>
      <c r="IFP48" s="21"/>
      <c r="IFQ48" s="20"/>
      <c r="IFR48" s="20"/>
      <c r="IFS48" s="20"/>
      <c r="IFT48" s="21"/>
      <c r="IFU48" s="21"/>
      <c r="IFV48" s="21"/>
      <c r="IFW48" s="21"/>
      <c r="IFX48" s="21"/>
      <c r="IFY48" s="20"/>
      <c r="IFZ48" s="20"/>
      <c r="IGA48" s="20"/>
      <c r="IGB48" s="20"/>
      <c r="IGC48" s="21"/>
      <c r="IGD48" s="21"/>
      <c r="IGE48" s="7"/>
      <c r="IGF48" s="7"/>
      <c r="IGG48" s="21"/>
      <c r="IGH48" s="20"/>
      <c r="IGI48" s="20"/>
      <c r="IGJ48" s="20"/>
      <c r="IGK48" s="21"/>
      <c r="IGL48" s="21"/>
      <c r="IGM48" s="21"/>
      <c r="IGN48" s="21"/>
      <c r="IGO48" s="21"/>
      <c r="IGP48" s="20"/>
      <c r="IGQ48" s="20"/>
      <c r="IGR48" s="20"/>
      <c r="IGS48" s="20"/>
      <c r="IGT48" s="21"/>
      <c r="IGU48" s="21"/>
      <c r="IGV48" s="7"/>
      <c r="IGW48" s="7"/>
      <c r="IGX48" s="21"/>
      <c r="IGY48" s="20"/>
      <c r="IGZ48" s="20"/>
      <c r="IHA48" s="20"/>
      <c r="IHB48" s="21"/>
      <c r="IHC48" s="21"/>
      <c r="IHD48" s="21"/>
      <c r="IHE48" s="21"/>
      <c r="IHF48" s="21"/>
      <c r="IHG48" s="20"/>
      <c r="IHH48" s="20"/>
      <c r="IHI48" s="20"/>
      <c r="IHJ48" s="20"/>
      <c r="IHK48" s="21"/>
      <c r="IHL48" s="21"/>
      <c r="IHM48" s="7"/>
      <c r="IHN48" s="7"/>
      <c r="IHO48" s="21"/>
      <c r="IHP48" s="20"/>
      <c r="IHQ48" s="20"/>
      <c r="IHR48" s="20"/>
      <c r="IHS48" s="21"/>
      <c r="IHT48" s="21"/>
      <c r="IHU48" s="21"/>
      <c r="IHV48" s="21"/>
      <c r="IHW48" s="21"/>
      <c r="IHX48" s="20"/>
      <c r="IHY48" s="20"/>
      <c r="IHZ48" s="20"/>
      <c r="IIA48" s="20"/>
      <c r="IIB48" s="21"/>
      <c r="IIC48" s="21"/>
      <c r="IID48" s="7"/>
      <c r="IIE48" s="7"/>
      <c r="IIF48" s="21"/>
      <c r="IIG48" s="20"/>
      <c r="IIH48" s="20"/>
      <c r="III48" s="20"/>
      <c r="IIJ48" s="21"/>
      <c r="IIK48" s="21"/>
      <c r="IIL48" s="21"/>
      <c r="IIM48" s="21"/>
      <c r="IIN48" s="21"/>
      <c r="IIO48" s="20"/>
      <c r="IIP48" s="20"/>
      <c r="IIQ48" s="20"/>
      <c r="IIR48" s="20"/>
      <c r="IIS48" s="21"/>
      <c r="IIT48" s="21"/>
      <c r="IIU48" s="7"/>
      <c r="IIV48" s="7"/>
      <c r="IIW48" s="21"/>
      <c r="IIX48" s="20"/>
      <c r="IIY48" s="20"/>
      <c r="IIZ48" s="20"/>
      <c r="IJA48" s="21"/>
      <c r="IJB48" s="21"/>
      <c r="IJC48" s="21"/>
      <c r="IJD48" s="21"/>
      <c r="IJE48" s="21"/>
      <c r="IJF48" s="20"/>
      <c r="IJG48" s="20"/>
      <c r="IJH48" s="20"/>
      <c r="IJI48" s="20"/>
      <c r="IJJ48" s="21"/>
      <c r="IJK48" s="21"/>
      <c r="IJL48" s="7"/>
      <c r="IJM48" s="7"/>
      <c r="IJN48" s="21"/>
      <c r="IJO48" s="20"/>
      <c r="IJP48" s="20"/>
      <c r="IJQ48" s="20"/>
      <c r="IJR48" s="21"/>
      <c r="IJS48" s="21"/>
      <c r="IJT48" s="21"/>
      <c r="IJU48" s="21"/>
      <c r="IJV48" s="21"/>
      <c r="IJW48" s="20"/>
      <c r="IJX48" s="20"/>
      <c r="IJY48" s="20"/>
      <c r="IJZ48" s="20"/>
      <c r="IKA48" s="21"/>
      <c r="IKB48" s="21"/>
      <c r="IKC48" s="7"/>
      <c r="IKD48" s="7"/>
      <c r="IKE48" s="21"/>
      <c r="IKF48" s="20"/>
      <c r="IKG48" s="20"/>
      <c r="IKH48" s="20"/>
      <c r="IKI48" s="21"/>
      <c r="IKJ48" s="21"/>
      <c r="IKK48" s="21"/>
      <c r="IKL48" s="21"/>
      <c r="IKM48" s="21"/>
      <c r="IKN48" s="20"/>
      <c r="IKO48" s="20"/>
      <c r="IKP48" s="20"/>
      <c r="IKQ48" s="20"/>
      <c r="IKR48" s="21"/>
      <c r="IKS48" s="21"/>
      <c r="IKT48" s="7"/>
      <c r="IKU48" s="7"/>
      <c r="IKV48" s="21"/>
      <c r="IKW48" s="20"/>
      <c r="IKX48" s="20"/>
      <c r="IKY48" s="20"/>
      <c r="IKZ48" s="21"/>
      <c r="ILA48" s="21"/>
      <c r="ILB48" s="21"/>
      <c r="ILC48" s="21"/>
      <c r="ILD48" s="21"/>
      <c r="ILE48" s="20"/>
      <c r="ILF48" s="20"/>
      <c r="ILG48" s="20"/>
      <c r="ILH48" s="20"/>
      <c r="ILI48" s="21"/>
      <c r="ILJ48" s="21"/>
      <c r="ILK48" s="7"/>
      <c r="ILL48" s="7"/>
      <c r="ILM48" s="21"/>
      <c r="ILN48" s="20"/>
      <c r="ILO48" s="20"/>
      <c r="ILP48" s="20"/>
      <c r="ILQ48" s="21"/>
      <c r="ILR48" s="21"/>
      <c r="ILS48" s="21"/>
      <c r="ILT48" s="21"/>
      <c r="ILU48" s="21"/>
      <c r="ILV48" s="20"/>
      <c r="ILW48" s="20"/>
      <c r="ILX48" s="20"/>
      <c r="ILY48" s="20"/>
      <c r="ILZ48" s="21"/>
      <c r="IMA48" s="21"/>
      <c r="IMB48" s="7"/>
      <c r="IMC48" s="7"/>
      <c r="IMD48" s="21"/>
      <c r="IME48" s="20"/>
      <c r="IMF48" s="20"/>
      <c r="IMG48" s="20"/>
      <c r="IMH48" s="21"/>
      <c r="IMI48" s="21"/>
      <c r="IMJ48" s="21"/>
      <c r="IMK48" s="21"/>
      <c r="IML48" s="21"/>
      <c r="IMM48" s="20"/>
      <c r="IMN48" s="20"/>
      <c r="IMO48" s="20"/>
      <c r="IMP48" s="20"/>
      <c r="IMQ48" s="21"/>
      <c r="IMR48" s="21"/>
      <c r="IMS48" s="7"/>
      <c r="IMT48" s="7"/>
      <c r="IMU48" s="21"/>
      <c r="IMV48" s="20"/>
      <c r="IMW48" s="20"/>
      <c r="IMX48" s="20"/>
      <c r="IMY48" s="21"/>
      <c r="IMZ48" s="21"/>
      <c r="INA48" s="21"/>
      <c r="INB48" s="21"/>
      <c r="INC48" s="21"/>
      <c r="IND48" s="20"/>
      <c r="INE48" s="20"/>
      <c r="INF48" s="20"/>
      <c r="ING48" s="20"/>
      <c r="INH48" s="21"/>
      <c r="INI48" s="21"/>
      <c r="INJ48" s="7"/>
      <c r="INK48" s="7"/>
      <c r="INL48" s="21"/>
      <c r="INM48" s="20"/>
      <c r="INN48" s="20"/>
      <c r="INO48" s="20"/>
      <c r="INP48" s="21"/>
      <c r="INQ48" s="21"/>
      <c r="INR48" s="21"/>
      <c r="INS48" s="21"/>
      <c r="INT48" s="21"/>
      <c r="INU48" s="20"/>
      <c r="INV48" s="20"/>
      <c r="INW48" s="20"/>
      <c r="INX48" s="20"/>
      <c r="INY48" s="21"/>
      <c r="INZ48" s="21"/>
      <c r="IOA48" s="7"/>
      <c r="IOB48" s="7"/>
      <c r="IOC48" s="21"/>
      <c r="IOD48" s="20"/>
      <c r="IOE48" s="20"/>
      <c r="IOF48" s="20"/>
      <c r="IOG48" s="21"/>
      <c r="IOH48" s="21"/>
      <c r="IOI48" s="21"/>
      <c r="IOJ48" s="21"/>
      <c r="IOK48" s="21"/>
      <c r="IOL48" s="20"/>
      <c r="IOM48" s="20"/>
      <c r="ION48" s="20"/>
      <c r="IOO48" s="20"/>
      <c r="IOP48" s="21"/>
      <c r="IOQ48" s="21"/>
      <c r="IOR48" s="7"/>
      <c r="IOS48" s="7"/>
      <c r="IOT48" s="21"/>
      <c r="IOU48" s="20"/>
      <c r="IOV48" s="20"/>
      <c r="IOW48" s="20"/>
      <c r="IOX48" s="21"/>
      <c r="IOY48" s="21"/>
      <c r="IOZ48" s="21"/>
      <c r="IPA48" s="21"/>
      <c r="IPB48" s="21"/>
      <c r="IPC48" s="20"/>
      <c r="IPD48" s="20"/>
      <c r="IPE48" s="20"/>
      <c r="IPF48" s="20"/>
      <c r="IPG48" s="21"/>
      <c r="IPH48" s="21"/>
      <c r="IPI48" s="7"/>
      <c r="IPJ48" s="7"/>
      <c r="IPK48" s="21"/>
      <c r="IPL48" s="20"/>
      <c r="IPM48" s="20"/>
      <c r="IPN48" s="20"/>
      <c r="IPO48" s="21"/>
      <c r="IPP48" s="21"/>
      <c r="IPQ48" s="21"/>
      <c r="IPR48" s="21"/>
      <c r="IPS48" s="21"/>
      <c r="IPT48" s="20"/>
      <c r="IPU48" s="20"/>
      <c r="IPV48" s="20"/>
      <c r="IPW48" s="20"/>
      <c r="IPX48" s="21"/>
      <c r="IPY48" s="21"/>
      <c r="IPZ48" s="7"/>
      <c r="IQA48" s="7"/>
      <c r="IQB48" s="21"/>
      <c r="IQC48" s="20"/>
      <c r="IQD48" s="20"/>
      <c r="IQE48" s="20"/>
      <c r="IQF48" s="21"/>
      <c r="IQG48" s="21"/>
      <c r="IQH48" s="21"/>
      <c r="IQI48" s="21"/>
      <c r="IQJ48" s="21"/>
      <c r="IQK48" s="20"/>
      <c r="IQL48" s="20"/>
      <c r="IQM48" s="20"/>
      <c r="IQN48" s="20"/>
      <c r="IQO48" s="21"/>
      <c r="IQP48" s="21"/>
      <c r="IQQ48" s="7"/>
      <c r="IQR48" s="7"/>
      <c r="IQS48" s="21"/>
      <c r="IQT48" s="20"/>
      <c r="IQU48" s="20"/>
      <c r="IQV48" s="20"/>
      <c r="IQW48" s="21"/>
      <c r="IQX48" s="21"/>
      <c r="IQY48" s="21"/>
      <c r="IQZ48" s="21"/>
      <c r="IRA48" s="21"/>
      <c r="IRB48" s="20"/>
      <c r="IRC48" s="20"/>
      <c r="IRD48" s="20"/>
      <c r="IRE48" s="20"/>
      <c r="IRF48" s="21"/>
      <c r="IRG48" s="21"/>
      <c r="IRH48" s="7"/>
      <c r="IRI48" s="7"/>
      <c r="IRJ48" s="21"/>
      <c r="IRK48" s="20"/>
      <c r="IRL48" s="20"/>
      <c r="IRM48" s="20"/>
      <c r="IRN48" s="21"/>
      <c r="IRO48" s="21"/>
      <c r="IRP48" s="21"/>
      <c r="IRQ48" s="21"/>
      <c r="IRR48" s="21"/>
      <c r="IRS48" s="20"/>
      <c r="IRT48" s="20"/>
      <c r="IRU48" s="20"/>
      <c r="IRV48" s="20"/>
      <c r="IRW48" s="21"/>
      <c r="IRX48" s="21"/>
      <c r="IRY48" s="7"/>
      <c r="IRZ48" s="7"/>
      <c r="ISA48" s="21"/>
      <c r="ISB48" s="20"/>
      <c r="ISC48" s="20"/>
      <c r="ISD48" s="20"/>
      <c r="ISE48" s="21"/>
      <c r="ISF48" s="21"/>
      <c r="ISG48" s="21"/>
      <c r="ISH48" s="21"/>
      <c r="ISI48" s="21"/>
      <c r="ISJ48" s="20"/>
      <c r="ISK48" s="20"/>
      <c r="ISL48" s="20"/>
      <c r="ISM48" s="20"/>
      <c r="ISN48" s="21"/>
      <c r="ISO48" s="21"/>
      <c r="ISP48" s="7"/>
      <c r="ISQ48" s="7"/>
      <c r="ISR48" s="21"/>
      <c r="ISS48" s="20"/>
      <c r="IST48" s="20"/>
      <c r="ISU48" s="20"/>
      <c r="ISV48" s="21"/>
      <c r="ISW48" s="21"/>
      <c r="ISX48" s="21"/>
      <c r="ISY48" s="21"/>
      <c r="ISZ48" s="21"/>
      <c r="ITA48" s="20"/>
      <c r="ITB48" s="20"/>
      <c r="ITC48" s="20"/>
      <c r="ITD48" s="20"/>
      <c r="ITE48" s="21"/>
      <c r="ITF48" s="21"/>
      <c r="ITG48" s="7"/>
      <c r="ITH48" s="7"/>
      <c r="ITI48" s="21"/>
      <c r="ITJ48" s="20"/>
      <c r="ITK48" s="20"/>
      <c r="ITL48" s="20"/>
      <c r="ITM48" s="21"/>
      <c r="ITN48" s="21"/>
      <c r="ITO48" s="21"/>
      <c r="ITP48" s="21"/>
      <c r="ITQ48" s="21"/>
      <c r="ITR48" s="20"/>
      <c r="ITS48" s="20"/>
      <c r="ITT48" s="20"/>
      <c r="ITU48" s="20"/>
      <c r="ITV48" s="21"/>
      <c r="ITW48" s="21"/>
      <c r="ITX48" s="7"/>
      <c r="ITY48" s="7"/>
      <c r="ITZ48" s="21"/>
      <c r="IUA48" s="20"/>
      <c r="IUB48" s="20"/>
      <c r="IUC48" s="20"/>
      <c r="IUD48" s="21"/>
      <c r="IUE48" s="21"/>
      <c r="IUF48" s="21"/>
      <c r="IUG48" s="21"/>
      <c r="IUH48" s="21"/>
      <c r="IUI48" s="20"/>
      <c r="IUJ48" s="20"/>
      <c r="IUK48" s="20"/>
      <c r="IUL48" s="20"/>
      <c r="IUM48" s="21"/>
      <c r="IUN48" s="21"/>
      <c r="IUO48" s="7"/>
      <c r="IUP48" s="7"/>
      <c r="IUQ48" s="21"/>
      <c r="IUR48" s="20"/>
      <c r="IUS48" s="20"/>
      <c r="IUT48" s="20"/>
      <c r="IUU48" s="21"/>
      <c r="IUV48" s="21"/>
      <c r="IUW48" s="21"/>
      <c r="IUX48" s="21"/>
      <c r="IUY48" s="21"/>
      <c r="IUZ48" s="20"/>
      <c r="IVA48" s="20"/>
      <c r="IVB48" s="20"/>
      <c r="IVC48" s="20"/>
      <c r="IVD48" s="21"/>
      <c r="IVE48" s="21"/>
      <c r="IVF48" s="7"/>
      <c r="IVG48" s="7"/>
      <c r="IVH48" s="21"/>
      <c r="IVI48" s="20"/>
      <c r="IVJ48" s="20"/>
      <c r="IVK48" s="20"/>
      <c r="IVL48" s="21"/>
      <c r="IVM48" s="21"/>
      <c r="IVN48" s="21"/>
      <c r="IVO48" s="21"/>
      <c r="IVP48" s="21"/>
      <c r="IVQ48" s="20"/>
      <c r="IVR48" s="20"/>
      <c r="IVS48" s="20"/>
      <c r="IVT48" s="20"/>
      <c r="IVU48" s="21"/>
      <c r="IVV48" s="21"/>
      <c r="IVW48" s="7"/>
      <c r="IVX48" s="7"/>
      <c r="IVY48" s="21"/>
      <c r="IVZ48" s="20"/>
      <c r="IWA48" s="20"/>
      <c r="IWB48" s="20"/>
      <c r="IWC48" s="21"/>
      <c r="IWD48" s="21"/>
      <c r="IWE48" s="21"/>
      <c r="IWF48" s="21"/>
      <c r="IWG48" s="21"/>
      <c r="IWH48" s="20"/>
      <c r="IWI48" s="20"/>
      <c r="IWJ48" s="20"/>
      <c r="IWK48" s="20"/>
      <c r="IWL48" s="21"/>
      <c r="IWM48" s="21"/>
      <c r="IWN48" s="7"/>
      <c r="IWO48" s="7"/>
      <c r="IWP48" s="21"/>
      <c r="IWQ48" s="20"/>
      <c r="IWR48" s="20"/>
      <c r="IWS48" s="20"/>
      <c r="IWT48" s="21"/>
      <c r="IWU48" s="21"/>
      <c r="IWV48" s="21"/>
      <c r="IWW48" s="21"/>
      <c r="IWX48" s="21"/>
      <c r="IWY48" s="20"/>
      <c r="IWZ48" s="20"/>
      <c r="IXA48" s="20"/>
      <c r="IXB48" s="20"/>
      <c r="IXC48" s="21"/>
      <c r="IXD48" s="21"/>
      <c r="IXE48" s="7"/>
      <c r="IXF48" s="7"/>
      <c r="IXG48" s="21"/>
      <c r="IXH48" s="20"/>
      <c r="IXI48" s="20"/>
      <c r="IXJ48" s="20"/>
      <c r="IXK48" s="21"/>
      <c r="IXL48" s="21"/>
      <c r="IXM48" s="21"/>
      <c r="IXN48" s="21"/>
      <c r="IXO48" s="21"/>
      <c r="IXP48" s="20"/>
      <c r="IXQ48" s="20"/>
      <c r="IXR48" s="20"/>
      <c r="IXS48" s="20"/>
      <c r="IXT48" s="21"/>
      <c r="IXU48" s="21"/>
      <c r="IXV48" s="7"/>
      <c r="IXW48" s="7"/>
      <c r="IXX48" s="21"/>
      <c r="IXY48" s="20"/>
      <c r="IXZ48" s="20"/>
      <c r="IYA48" s="20"/>
      <c r="IYB48" s="21"/>
      <c r="IYC48" s="21"/>
      <c r="IYD48" s="21"/>
      <c r="IYE48" s="21"/>
      <c r="IYF48" s="21"/>
      <c r="IYG48" s="20"/>
      <c r="IYH48" s="20"/>
      <c r="IYI48" s="20"/>
      <c r="IYJ48" s="20"/>
      <c r="IYK48" s="21"/>
      <c r="IYL48" s="21"/>
      <c r="IYM48" s="7"/>
      <c r="IYN48" s="7"/>
      <c r="IYO48" s="21"/>
      <c r="IYP48" s="20"/>
      <c r="IYQ48" s="20"/>
      <c r="IYR48" s="20"/>
      <c r="IYS48" s="21"/>
      <c r="IYT48" s="21"/>
      <c r="IYU48" s="21"/>
      <c r="IYV48" s="21"/>
      <c r="IYW48" s="21"/>
      <c r="IYX48" s="20"/>
      <c r="IYY48" s="20"/>
      <c r="IYZ48" s="20"/>
      <c r="IZA48" s="20"/>
      <c r="IZB48" s="21"/>
      <c r="IZC48" s="21"/>
      <c r="IZD48" s="7"/>
      <c r="IZE48" s="7"/>
      <c r="IZF48" s="21"/>
      <c r="IZG48" s="20"/>
      <c r="IZH48" s="20"/>
      <c r="IZI48" s="20"/>
      <c r="IZJ48" s="21"/>
      <c r="IZK48" s="21"/>
      <c r="IZL48" s="21"/>
      <c r="IZM48" s="21"/>
      <c r="IZN48" s="21"/>
      <c r="IZO48" s="20"/>
      <c r="IZP48" s="20"/>
      <c r="IZQ48" s="20"/>
      <c r="IZR48" s="20"/>
      <c r="IZS48" s="21"/>
      <c r="IZT48" s="21"/>
      <c r="IZU48" s="7"/>
      <c r="IZV48" s="7"/>
      <c r="IZW48" s="21"/>
      <c r="IZX48" s="20"/>
      <c r="IZY48" s="20"/>
      <c r="IZZ48" s="20"/>
      <c r="JAA48" s="21"/>
      <c r="JAB48" s="21"/>
      <c r="JAC48" s="21"/>
      <c r="JAD48" s="21"/>
      <c r="JAE48" s="21"/>
      <c r="JAF48" s="20"/>
      <c r="JAG48" s="20"/>
      <c r="JAH48" s="20"/>
      <c r="JAI48" s="20"/>
      <c r="JAJ48" s="21"/>
      <c r="JAK48" s="21"/>
      <c r="JAL48" s="7"/>
      <c r="JAM48" s="7"/>
      <c r="JAN48" s="21"/>
      <c r="JAO48" s="20"/>
      <c r="JAP48" s="20"/>
      <c r="JAQ48" s="20"/>
      <c r="JAR48" s="21"/>
      <c r="JAS48" s="21"/>
      <c r="JAT48" s="21"/>
      <c r="JAU48" s="21"/>
      <c r="JAV48" s="21"/>
      <c r="JAW48" s="20"/>
      <c r="JAX48" s="20"/>
      <c r="JAY48" s="20"/>
      <c r="JAZ48" s="20"/>
      <c r="JBA48" s="21"/>
      <c r="JBB48" s="21"/>
      <c r="JBC48" s="7"/>
      <c r="JBD48" s="7"/>
      <c r="JBE48" s="21"/>
      <c r="JBF48" s="20"/>
      <c r="JBG48" s="20"/>
      <c r="JBH48" s="20"/>
      <c r="JBI48" s="21"/>
      <c r="JBJ48" s="21"/>
      <c r="JBK48" s="21"/>
      <c r="JBL48" s="21"/>
      <c r="JBM48" s="21"/>
      <c r="JBN48" s="20"/>
      <c r="JBO48" s="20"/>
      <c r="JBP48" s="20"/>
      <c r="JBQ48" s="20"/>
      <c r="JBR48" s="21"/>
      <c r="JBS48" s="21"/>
      <c r="JBT48" s="7"/>
      <c r="JBU48" s="7"/>
      <c r="JBV48" s="21"/>
      <c r="JBW48" s="20"/>
      <c r="JBX48" s="20"/>
      <c r="JBY48" s="20"/>
      <c r="JBZ48" s="21"/>
      <c r="JCA48" s="21"/>
      <c r="JCB48" s="21"/>
      <c r="JCC48" s="21"/>
      <c r="JCD48" s="21"/>
      <c r="JCE48" s="20"/>
      <c r="JCF48" s="20"/>
      <c r="JCG48" s="20"/>
      <c r="JCH48" s="20"/>
      <c r="JCI48" s="21"/>
      <c r="JCJ48" s="21"/>
      <c r="JCK48" s="7"/>
      <c r="JCL48" s="7"/>
      <c r="JCM48" s="21"/>
      <c r="JCN48" s="20"/>
      <c r="JCO48" s="20"/>
      <c r="JCP48" s="20"/>
      <c r="JCQ48" s="21"/>
      <c r="JCR48" s="21"/>
      <c r="JCS48" s="21"/>
      <c r="JCT48" s="21"/>
      <c r="JCU48" s="21"/>
      <c r="JCV48" s="20"/>
      <c r="JCW48" s="20"/>
      <c r="JCX48" s="20"/>
      <c r="JCY48" s="20"/>
      <c r="JCZ48" s="21"/>
      <c r="JDA48" s="21"/>
      <c r="JDB48" s="7"/>
      <c r="JDC48" s="7"/>
      <c r="JDD48" s="21"/>
      <c r="JDE48" s="20"/>
      <c r="JDF48" s="20"/>
      <c r="JDG48" s="20"/>
      <c r="JDH48" s="21"/>
      <c r="JDI48" s="21"/>
      <c r="JDJ48" s="21"/>
      <c r="JDK48" s="21"/>
      <c r="JDL48" s="21"/>
      <c r="JDM48" s="20"/>
      <c r="JDN48" s="20"/>
      <c r="JDO48" s="20"/>
      <c r="JDP48" s="20"/>
      <c r="JDQ48" s="21"/>
      <c r="JDR48" s="21"/>
      <c r="JDS48" s="7"/>
      <c r="JDT48" s="7"/>
      <c r="JDU48" s="21"/>
      <c r="JDV48" s="20"/>
      <c r="JDW48" s="20"/>
      <c r="JDX48" s="20"/>
      <c r="JDY48" s="21"/>
      <c r="JDZ48" s="21"/>
      <c r="JEA48" s="21"/>
      <c r="JEB48" s="21"/>
      <c r="JEC48" s="21"/>
      <c r="JED48" s="20"/>
      <c r="JEE48" s="20"/>
      <c r="JEF48" s="20"/>
      <c r="JEG48" s="20"/>
      <c r="JEH48" s="21"/>
      <c r="JEI48" s="21"/>
      <c r="JEJ48" s="7"/>
      <c r="JEK48" s="7"/>
      <c r="JEL48" s="21"/>
      <c r="JEM48" s="20"/>
      <c r="JEN48" s="20"/>
      <c r="JEO48" s="20"/>
      <c r="JEP48" s="21"/>
      <c r="JEQ48" s="21"/>
      <c r="JER48" s="21"/>
      <c r="JES48" s="21"/>
      <c r="JET48" s="21"/>
      <c r="JEU48" s="20"/>
      <c r="JEV48" s="20"/>
      <c r="JEW48" s="20"/>
      <c r="JEX48" s="20"/>
      <c r="JEY48" s="21"/>
      <c r="JEZ48" s="21"/>
      <c r="JFA48" s="7"/>
      <c r="JFB48" s="7"/>
      <c r="JFC48" s="21"/>
      <c r="JFD48" s="20"/>
      <c r="JFE48" s="20"/>
      <c r="JFF48" s="20"/>
      <c r="JFG48" s="21"/>
      <c r="JFH48" s="21"/>
      <c r="JFI48" s="21"/>
      <c r="JFJ48" s="21"/>
      <c r="JFK48" s="21"/>
      <c r="JFL48" s="20"/>
      <c r="JFM48" s="20"/>
      <c r="JFN48" s="20"/>
      <c r="JFO48" s="20"/>
      <c r="JFP48" s="21"/>
      <c r="JFQ48" s="21"/>
      <c r="JFR48" s="7"/>
      <c r="JFS48" s="7"/>
      <c r="JFT48" s="21"/>
      <c r="JFU48" s="20"/>
      <c r="JFV48" s="20"/>
      <c r="JFW48" s="20"/>
      <c r="JFX48" s="21"/>
      <c r="JFY48" s="21"/>
      <c r="JFZ48" s="21"/>
      <c r="JGA48" s="21"/>
      <c r="JGB48" s="21"/>
      <c r="JGC48" s="20"/>
      <c r="JGD48" s="20"/>
      <c r="JGE48" s="20"/>
      <c r="JGF48" s="20"/>
      <c r="JGG48" s="21"/>
      <c r="JGH48" s="21"/>
      <c r="JGI48" s="7"/>
      <c r="JGJ48" s="7"/>
      <c r="JGK48" s="21"/>
      <c r="JGL48" s="20"/>
      <c r="JGM48" s="20"/>
      <c r="JGN48" s="20"/>
      <c r="JGO48" s="21"/>
      <c r="JGP48" s="21"/>
      <c r="JGQ48" s="21"/>
      <c r="JGR48" s="21"/>
      <c r="JGS48" s="21"/>
      <c r="JGT48" s="20"/>
      <c r="JGU48" s="20"/>
      <c r="JGV48" s="20"/>
      <c r="JGW48" s="20"/>
      <c r="JGX48" s="21"/>
      <c r="JGY48" s="21"/>
      <c r="JGZ48" s="7"/>
      <c r="JHA48" s="7"/>
      <c r="JHB48" s="21"/>
      <c r="JHC48" s="20"/>
      <c r="JHD48" s="20"/>
      <c r="JHE48" s="20"/>
      <c r="JHF48" s="21"/>
      <c r="JHG48" s="21"/>
      <c r="JHH48" s="21"/>
      <c r="JHI48" s="21"/>
      <c r="JHJ48" s="21"/>
      <c r="JHK48" s="20"/>
      <c r="JHL48" s="20"/>
      <c r="JHM48" s="20"/>
      <c r="JHN48" s="20"/>
      <c r="JHO48" s="21"/>
      <c r="JHP48" s="21"/>
      <c r="JHQ48" s="7"/>
      <c r="JHR48" s="7"/>
      <c r="JHS48" s="21"/>
      <c r="JHT48" s="20"/>
      <c r="JHU48" s="20"/>
      <c r="JHV48" s="20"/>
      <c r="JHW48" s="21"/>
      <c r="JHX48" s="21"/>
      <c r="JHY48" s="21"/>
      <c r="JHZ48" s="21"/>
      <c r="JIA48" s="21"/>
      <c r="JIB48" s="20"/>
      <c r="JIC48" s="20"/>
      <c r="JID48" s="20"/>
      <c r="JIE48" s="20"/>
      <c r="JIF48" s="21"/>
      <c r="JIG48" s="21"/>
      <c r="JIH48" s="7"/>
      <c r="JII48" s="7"/>
      <c r="JIJ48" s="21"/>
      <c r="JIK48" s="20"/>
      <c r="JIL48" s="20"/>
      <c r="JIM48" s="20"/>
      <c r="JIN48" s="21"/>
      <c r="JIO48" s="21"/>
      <c r="JIP48" s="21"/>
      <c r="JIQ48" s="21"/>
      <c r="JIR48" s="21"/>
      <c r="JIS48" s="20"/>
      <c r="JIT48" s="20"/>
      <c r="JIU48" s="20"/>
      <c r="JIV48" s="20"/>
      <c r="JIW48" s="21"/>
      <c r="JIX48" s="21"/>
      <c r="JIY48" s="7"/>
      <c r="JIZ48" s="7"/>
      <c r="JJA48" s="21"/>
      <c r="JJB48" s="20"/>
      <c r="JJC48" s="20"/>
      <c r="JJD48" s="20"/>
      <c r="JJE48" s="21"/>
      <c r="JJF48" s="21"/>
      <c r="JJG48" s="21"/>
      <c r="JJH48" s="21"/>
      <c r="JJI48" s="21"/>
      <c r="JJJ48" s="20"/>
      <c r="JJK48" s="20"/>
      <c r="JJL48" s="20"/>
      <c r="JJM48" s="20"/>
      <c r="JJN48" s="21"/>
      <c r="JJO48" s="21"/>
      <c r="JJP48" s="7"/>
      <c r="JJQ48" s="7"/>
      <c r="JJR48" s="21"/>
      <c r="JJS48" s="20"/>
      <c r="JJT48" s="20"/>
      <c r="JJU48" s="20"/>
      <c r="JJV48" s="21"/>
      <c r="JJW48" s="21"/>
      <c r="JJX48" s="21"/>
      <c r="JJY48" s="21"/>
      <c r="JJZ48" s="21"/>
      <c r="JKA48" s="20"/>
      <c r="JKB48" s="20"/>
      <c r="JKC48" s="20"/>
      <c r="JKD48" s="20"/>
      <c r="JKE48" s="21"/>
      <c r="JKF48" s="21"/>
      <c r="JKG48" s="7"/>
      <c r="JKH48" s="7"/>
      <c r="JKI48" s="21"/>
      <c r="JKJ48" s="20"/>
      <c r="JKK48" s="20"/>
      <c r="JKL48" s="20"/>
      <c r="JKM48" s="21"/>
      <c r="JKN48" s="21"/>
      <c r="JKO48" s="21"/>
      <c r="JKP48" s="21"/>
      <c r="JKQ48" s="21"/>
      <c r="JKR48" s="20"/>
      <c r="JKS48" s="20"/>
      <c r="JKT48" s="20"/>
      <c r="JKU48" s="20"/>
      <c r="JKV48" s="21"/>
      <c r="JKW48" s="21"/>
      <c r="JKX48" s="7"/>
      <c r="JKY48" s="7"/>
      <c r="JKZ48" s="21"/>
      <c r="JLA48" s="20"/>
      <c r="JLB48" s="20"/>
      <c r="JLC48" s="20"/>
      <c r="JLD48" s="21"/>
      <c r="JLE48" s="21"/>
      <c r="JLF48" s="21"/>
      <c r="JLG48" s="21"/>
      <c r="JLH48" s="21"/>
      <c r="JLI48" s="20"/>
      <c r="JLJ48" s="20"/>
      <c r="JLK48" s="20"/>
      <c r="JLL48" s="20"/>
      <c r="JLM48" s="21"/>
      <c r="JLN48" s="21"/>
      <c r="JLO48" s="7"/>
      <c r="JLP48" s="7"/>
      <c r="JLQ48" s="21"/>
      <c r="JLR48" s="20"/>
      <c r="JLS48" s="20"/>
      <c r="JLT48" s="20"/>
      <c r="JLU48" s="21"/>
      <c r="JLV48" s="21"/>
      <c r="JLW48" s="21"/>
      <c r="JLX48" s="21"/>
      <c r="JLY48" s="21"/>
      <c r="JLZ48" s="20"/>
      <c r="JMA48" s="20"/>
      <c r="JMB48" s="20"/>
      <c r="JMC48" s="20"/>
      <c r="JMD48" s="21"/>
      <c r="JME48" s="21"/>
      <c r="JMF48" s="7"/>
      <c r="JMG48" s="7"/>
      <c r="JMH48" s="21"/>
      <c r="JMI48" s="20"/>
      <c r="JMJ48" s="20"/>
      <c r="JMK48" s="20"/>
      <c r="JML48" s="21"/>
      <c r="JMM48" s="21"/>
      <c r="JMN48" s="21"/>
      <c r="JMO48" s="21"/>
      <c r="JMP48" s="21"/>
      <c r="JMQ48" s="20"/>
      <c r="JMR48" s="20"/>
      <c r="JMS48" s="20"/>
      <c r="JMT48" s="20"/>
      <c r="JMU48" s="21"/>
      <c r="JMV48" s="21"/>
      <c r="JMW48" s="7"/>
      <c r="JMX48" s="7"/>
      <c r="JMY48" s="21"/>
      <c r="JMZ48" s="20"/>
      <c r="JNA48" s="20"/>
      <c r="JNB48" s="20"/>
      <c r="JNC48" s="21"/>
      <c r="JND48" s="21"/>
      <c r="JNE48" s="21"/>
      <c r="JNF48" s="21"/>
      <c r="JNG48" s="21"/>
      <c r="JNH48" s="20"/>
      <c r="JNI48" s="20"/>
      <c r="JNJ48" s="20"/>
      <c r="JNK48" s="20"/>
      <c r="JNL48" s="21"/>
      <c r="JNM48" s="21"/>
      <c r="JNN48" s="7"/>
      <c r="JNO48" s="7"/>
      <c r="JNP48" s="21"/>
      <c r="JNQ48" s="20"/>
      <c r="JNR48" s="20"/>
      <c r="JNS48" s="20"/>
      <c r="JNT48" s="21"/>
      <c r="JNU48" s="21"/>
      <c r="JNV48" s="21"/>
      <c r="JNW48" s="21"/>
      <c r="JNX48" s="21"/>
      <c r="JNY48" s="20"/>
      <c r="JNZ48" s="20"/>
      <c r="JOA48" s="20"/>
      <c r="JOB48" s="20"/>
      <c r="JOC48" s="21"/>
      <c r="JOD48" s="21"/>
      <c r="JOE48" s="7"/>
      <c r="JOF48" s="7"/>
      <c r="JOG48" s="21"/>
      <c r="JOH48" s="20"/>
      <c r="JOI48" s="20"/>
      <c r="JOJ48" s="20"/>
      <c r="JOK48" s="21"/>
      <c r="JOL48" s="21"/>
      <c r="JOM48" s="21"/>
      <c r="JON48" s="21"/>
      <c r="JOO48" s="21"/>
      <c r="JOP48" s="20"/>
      <c r="JOQ48" s="20"/>
      <c r="JOR48" s="20"/>
      <c r="JOS48" s="20"/>
      <c r="JOT48" s="21"/>
      <c r="JOU48" s="21"/>
      <c r="JOV48" s="7"/>
      <c r="JOW48" s="7"/>
      <c r="JOX48" s="21"/>
      <c r="JOY48" s="20"/>
      <c r="JOZ48" s="20"/>
      <c r="JPA48" s="20"/>
      <c r="JPB48" s="21"/>
      <c r="JPC48" s="21"/>
      <c r="JPD48" s="21"/>
      <c r="JPE48" s="21"/>
      <c r="JPF48" s="21"/>
      <c r="JPG48" s="20"/>
      <c r="JPH48" s="20"/>
      <c r="JPI48" s="20"/>
      <c r="JPJ48" s="20"/>
      <c r="JPK48" s="21"/>
      <c r="JPL48" s="21"/>
      <c r="JPM48" s="7"/>
      <c r="JPN48" s="7"/>
      <c r="JPO48" s="21"/>
      <c r="JPP48" s="20"/>
      <c r="JPQ48" s="20"/>
      <c r="JPR48" s="20"/>
      <c r="JPS48" s="21"/>
      <c r="JPT48" s="21"/>
      <c r="JPU48" s="21"/>
      <c r="JPV48" s="21"/>
      <c r="JPW48" s="21"/>
      <c r="JPX48" s="20"/>
      <c r="JPY48" s="20"/>
      <c r="JPZ48" s="20"/>
      <c r="JQA48" s="20"/>
      <c r="JQB48" s="21"/>
      <c r="JQC48" s="21"/>
      <c r="JQD48" s="7"/>
      <c r="JQE48" s="7"/>
      <c r="JQF48" s="21"/>
      <c r="JQG48" s="20"/>
      <c r="JQH48" s="20"/>
      <c r="JQI48" s="20"/>
      <c r="JQJ48" s="21"/>
      <c r="JQK48" s="21"/>
      <c r="JQL48" s="21"/>
      <c r="JQM48" s="21"/>
      <c r="JQN48" s="21"/>
      <c r="JQO48" s="20"/>
      <c r="JQP48" s="20"/>
      <c r="JQQ48" s="20"/>
      <c r="JQR48" s="20"/>
      <c r="JQS48" s="21"/>
      <c r="JQT48" s="21"/>
      <c r="JQU48" s="7"/>
      <c r="JQV48" s="7"/>
      <c r="JQW48" s="21"/>
      <c r="JQX48" s="20"/>
      <c r="JQY48" s="20"/>
      <c r="JQZ48" s="20"/>
      <c r="JRA48" s="21"/>
      <c r="JRB48" s="21"/>
      <c r="JRC48" s="21"/>
      <c r="JRD48" s="21"/>
      <c r="JRE48" s="21"/>
      <c r="JRF48" s="20"/>
      <c r="JRG48" s="20"/>
      <c r="JRH48" s="20"/>
      <c r="JRI48" s="20"/>
      <c r="JRJ48" s="21"/>
      <c r="JRK48" s="21"/>
      <c r="JRL48" s="7"/>
      <c r="JRM48" s="7"/>
      <c r="JRN48" s="21"/>
      <c r="JRO48" s="20"/>
      <c r="JRP48" s="20"/>
      <c r="JRQ48" s="20"/>
      <c r="JRR48" s="21"/>
      <c r="JRS48" s="21"/>
      <c r="JRT48" s="21"/>
      <c r="JRU48" s="21"/>
      <c r="JRV48" s="21"/>
      <c r="JRW48" s="20"/>
      <c r="JRX48" s="20"/>
      <c r="JRY48" s="20"/>
      <c r="JRZ48" s="20"/>
      <c r="JSA48" s="21"/>
      <c r="JSB48" s="21"/>
      <c r="JSC48" s="7"/>
      <c r="JSD48" s="7"/>
      <c r="JSE48" s="21"/>
      <c r="JSF48" s="20"/>
      <c r="JSG48" s="20"/>
      <c r="JSH48" s="20"/>
      <c r="JSI48" s="21"/>
      <c r="JSJ48" s="21"/>
      <c r="JSK48" s="21"/>
      <c r="JSL48" s="21"/>
      <c r="JSM48" s="21"/>
      <c r="JSN48" s="20"/>
      <c r="JSO48" s="20"/>
      <c r="JSP48" s="20"/>
      <c r="JSQ48" s="20"/>
      <c r="JSR48" s="21"/>
      <c r="JSS48" s="21"/>
      <c r="JST48" s="7"/>
      <c r="JSU48" s="7"/>
      <c r="JSV48" s="21"/>
      <c r="JSW48" s="20"/>
      <c r="JSX48" s="20"/>
      <c r="JSY48" s="20"/>
      <c r="JSZ48" s="21"/>
      <c r="JTA48" s="21"/>
      <c r="JTB48" s="21"/>
      <c r="JTC48" s="21"/>
      <c r="JTD48" s="21"/>
      <c r="JTE48" s="20"/>
      <c r="JTF48" s="20"/>
      <c r="JTG48" s="20"/>
      <c r="JTH48" s="20"/>
      <c r="JTI48" s="21"/>
      <c r="JTJ48" s="21"/>
      <c r="JTK48" s="7"/>
      <c r="JTL48" s="7"/>
      <c r="JTM48" s="21"/>
      <c r="JTN48" s="20"/>
      <c r="JTO48" s="20"/>
      <c r="JTP48" s="20"/>
      <c r="JTQ48" s="21"/>
      <c r="JTR48" s="21"/>
      <c r="JTS48" s="21"/>
      <c r="JTT48" s="21"/>
      <c r="JTU48" s="21"/>
      <c r="JTV48" s="20"/>
      <c r="JTW48" s="20"/>
      <c r="JTX48" s="20"/>
      <c r="JTY48" s="20"/>
      <c r="JTZ48" s="21"/>
      <c r="JUA48" s="21"/>
      <c r="JUB48" s="7"/>
      <c r="JUC48" s="7"/>
      <c r="JUD48" s="21"/>
      <c r="JUE48" s="20"/>
      <c r="JUF48" s="20"/>
      <c r="JUG48" s="20"/>
      <c r="JUH48" s="21"/>
      <c r="JUI48" s="21"/>
      <c r="JUJ48" s="21"/>
      <c r="JUK48" s="21"/>
      <c r="JUL48" s="21"/>
      <c r="JUM48" s="20"/>
      <c r="JUN48" s="20"/>
      <c r="JUO48" s="20"/>
      <c r="JUP48" s="20"/>
      <c r="JUQ48" s="21"/>
      <c r="JUR48" s="21"/>
      <c r="JUS48" s="7"/>
      <c r="JUT48" s="7"/>
      <c r="JUU48" s="21"/>
      <c r="JUV48" s="20"/>
      <c r="JUW48" s="20"/>
      <c r="JUX48" s="20"/>
      <c r="JUY48" s="21"/>
      <c r="JUZ48" s="21"/>
      <c r="JVA48" s="21"/>
      <c r="JVB48" s="21"/>
      <c r="JVC48" s="21"/>
      <c r="JVD48" s="20"/>
      <c r="JVE48" s="20"/>
      <c r="JVF48" s="20"/>
      <c r="JVG48" s="20"/>
      <c r="JVH48" s="21"/>
      <c r="JVI48" s="21"/>
      <c r="JVJ48" s="7"/>
      <c r="JVK48" s="7"/>
      <c r="JVL48" s="21"/>
      <c r="JVM48" s="20"/>
      <c r="JVN48" s="20"/>
      <c r="JVO48" s="20"/>
      <c r="JVP48" s="21"/>
      <c r="JVQ48" s="21"/>
      <c r="JVR48" s="21"/>
      <c r="JVS48" s="21"/>
      <c r="JVT48" s="21"/>
      <c r="JVU48" s="20"/>
      <c r="JVV48" s="20"/>
      <c r="JVW48" s="20"/>
      <c r="JVX48" s="20"/>
      <c r="JVY48" s="21"/>
      <c r="JVZ48" s="21"/>
      <c r="JWA48" s="7"/>
      <c r="JWB48" s="7"/>
      <c r="JWC48" s="21"/>
      <c r="JWD48" s="20"/>
      <c r="JWE48" s="20"/>
      <c r="JWF48" s="20"/>
      <c r="JWG48" s="21"/>
      <c r="JWH48" s="21"/>
      <c r="JWI48" s="21"/>
      <c r="JWJ48" s="21"/>
      <c r="JWK48" s="21"/>
      <c r="JWL48" s="20"/>
      <c r="JWM48" s="20"/>
      <c r="JWN48" s="20"/>
      <c r="JWO48" s="20"/>
      <c r="JWP48" s="21"/>
      <c r="JWQ48" s="21"/>
      <c r="JWR48" s="7"/>
      <c r="JWS48" s="7"/>
      <c r="JWT48" s="21"/>
      <c r="JWU48" s="20"/>
      <c r="JWV48" s="20"/>
      <c r="JWW48" s="20"/>
      <c r="JWX48" s="21"/>
      <c r="JWY48" s="21"/>
      <c r="JWZ48" s="21"/>
      <c r="JXA48" s="21"/>
      <c r="JXB48" s="21"/>
      <c r="JXC48" s="20"/>
      <c r="JXD48" s="20"/>
      <c r="JXE48" s="20"/>
      <c r="JXF48" s="20"/>
      <c r="JXG48" s="21"/>
      <c r="JXH48" s="21"/>
      <c r="JXI48" s="7"/>
      <c r="JXJ48" s="7"/>
      <c r="JXK48" s="21"/>
      <c r="JXL48" s="20"/>
      <c r="JXM48" s="20"/>
      <c r="JXN48" s="20"/>
      <c r="JXO48" s="21"/>
      <c r="JXP48" s="21"/>
      <c r="JXQ48" s="21"/>
      <c r="JXR48" s="21"/>
      <c r="JXS48" s="21"/>
      <c r="JXT48" s="20"/>
      <c r="JXU48" s="20"/>
      <c r="JXV48" s="20"/>
      <c r="JXW48" s="20"/>
      <c r="JXX48" s="21"/>
      <c r="JXY48" s="21"/>
      <c r="JXZ48" s="7"/>
      <c r="JYA48" s="7"/>
      <c r="JYB48" s="21"/>
      <c r="JYC48" s="20"/>
      <c r="JYD48" s="20"/>
      <c r="JYE48" s="20"/>
      <c r="JYF48" s="21"/>
      <c r="JYG48" s="21"/>
      <c r="JYH48" s="21"/>
      <c r="JYI48" s="21"/>
      <c r="JYJ48" s="21"/>
      <c r="JYK48" s="20"/>
      <c r="JYL48" s="20"/>
      <c r="JYM48" s="20"/>
      <c r="JYN48" s="20"/>
      <c r="JYO48" s="21"/>
      <c r="JYP48" s="21"/>
      <c r="JYQ48" s="7"/>
      <c r="JYR48" s="7"/>
      <c r="JYS48" s="21"/>
      <c r="JYT48" s="20"/>
      <c r="JYU48" s="20"/>
      <c r="JYV48" s="20"/>
      <c r="JYW48" s="21"/>
      <c r="JYX48" s="21"/>
      <c r="JYY48" s="21"/>
      <c r="JYZ48" s="21"/>
      <c r="JZA48" s="21"/>
      <c r="JZB48" s="20"/>
      <c r="JZC48" s="20"/>
      <c r="JZD48" s="20"/>
      <c r="JZE48" s="20"/>
      <c r="JZF48" s="21"/>
      <c r="JZG48" s="21"/>
      <c r="JZH48" s="7"/>
      <c r="JZI48" s="7"/>
      <c r="JZJ48" s="21"/>
      <c r="JZK48" s="20"/>
      <c r="JZL48" s="20"/>
      <c r="JZM48" s="20"/>
      <c r="JZN48" s="21"/>
      <c r="JZO48" s="21"/>
      <c r="JZP48" s="21"/>
      <c r="JZQ48" s="21"/>
      <c r="JZR48" s="21"/>
      <c r="JZS48" s="20"/>
      <c r="JZT48" s="20"/>
      <c r="JZU48" s="20"/>
      <c r="JZV48" s="20"/>
      <c r="JZW48" s="21"/>
      <c r="JZX48" s="21"/>
      <c r="JZY48" s="7"/>
      <c r="JZZ48" s="7"/>
      <c r="KAA48" s="21"/>
      <c r="KAB48" s="20"/>
      <c r="KAC48" s="20"/>
      <c r="KAD48" s="20"/>
      <c r="KAE48" s="21"/>
      <c r="KAF48" s="21"/>
      <c r="KAG48" s="21"/>
      <c r="KAH48" s="21"/>
      <c r="KAI48" s="21"/>
      <c r="KAJ48" s="20"/>
      <c r="KAK48" s="20"/>
      <c r="KAL48" s="20"/>
      <c r="KAM48" s="20"/>
      <c r="KAN48" s="21"/>
      <c r="KAO48" s="21"/>
      <c r="KAP48" s="7"/>
      <c r="KAQ48" s="7"/>
      <c r="KAR48" s="21"/>
      <c r="KAS48" s="20"/>
      <c r="KAT48" s="20"/>
      <c r="KAU48" s="20"/>
      <c r="KAV48" s="21"/>
      <c r="KAW48" s="21"/>
      <c r="KAX48" s="21"/>
      <c r="KAY48" s="21"/>
      <c r="KAZ48" s="21"/>
      <c r="KBA48" s="20"/>
      <c r="KBB48" s="20"/>
      <c r="KBC48" s="20"/>
      <c r="KBD48" s="20"/>
      <c r="KBE48" s="21"/>
      <c r="KBF48" s="21"/>
      <c r="KBG48" s="7"/>
      <c r="KBH48" s="7"/>
      <c r="KBI48" s="21"/>
      <c r="KBJ48" s="20"/>
      <c r="KBK48" s="20"/>
      <c r="KBL48" s="20"/>
      <c r="KBM48" s="21"/>
      <c r="KBN48" s="21"/>
      <c r="KBO48" s="21"/>
      <c r="KBP48" s="21"/>
      <c r="KBQ48" s="21"/>
      <c r="KBR48" s="20"/>
      <c r="KBS48" s="20"/>
      <c r="KBT48" s="20"/>
      <c r="KBU48" s="20"/>
      <c r="KBV48" s="21"/>
      <c r="KBW48" s="21"/>
      <c r="KBX48" s="7"/>
      <c r="KBY48" s="7"/>
      <c r="KBZ48" s="21"/>
      <c r="KCA48" s="20"/>
      <c r="KCB48" s="20"/>
      <c r="KCC48" s="20"/>
      <c r="KCD48" s="21"/>
      <c r="KCE48" s="21"/>
      <c r="KCF48" s="21"/>
      <c r="KCG48" s="21"/>
      <c r="KCH48" s="21"/>
      <c r="KCI48" s="20"/>
      <c r="KCJ48" s="20"/>
      <c r="KCK48" s="20"/>
      <c r="KCL48" s="20"/>
      <c r="KCM48" s="21"/>
      <c r="KCN48" s="21"/>
      <c r="KCO48" s="7"/>
      <c r="KCP48" s="7"/>
      <c r="KCQ48" s="21"/>
      <c r="KCR48" s="20"/>
      <c r="KCS48" s="20"/>
      <c r="KCT48" s="20"/>
      <c r="KCU48" s="21"/>
      <c r="KCV48" s="21"/>
      <c r="KCW48" s="21"/>
      <c r="KCX48" s="21"/>
      <c r="KCY48" s="21"/>
      <c r="KCZ48" s="20"/>
      <c r="KDA48" s="20"/>
      <c r="KDB48" s="20"/>
      <c r="KDC48" s="20"/>
      <c r="KDD48" s="21"/>
      <c r="KDE48" s="21"/>
      <c r="KDF48" s="7"/>
      <c r="KDG48" s="7"/>
      <c r="KDH48" s="21"/>
      <c r="KDI48" s="20"/>
      <c r="KDJ48" s="20"/>
      <c r="KDK48" s="20"/>
      <c r="KDL48" s="21"/>
      <c r="KDM48" s="21"/>
      <c r="KDN48" s="21"/>
      <c r="KDO48" s="21"/>
      <c r="KDP48" s="21"/>
      <c r="KDQ48" s="20"/>
      <c r="KDR48" s="20"/>
      <c r="KDS48" s="20"/>
      <c r="KDT48" s="20"/>
      <c r="KDU48" s="21"/>
      <c r="KDV48" s="21"/>
      <c r="KDW48" s="7"/>
      <c r="KDX48" s="7"/>
      <c r="KDY48" s="21"/>
      <c r="KDZ48" s="20"/>
      <c r="KEA48" s="20"/>
      <c r="KEB48" s="20"/>
      <c r="KEC48" s="21"/>
      <c r="KED48" s="21"/>
      <c r="KEE48" s="21"/>
      <c r="KEF48" s="21"/>
      <c r="KEG48" s="21"/>
      <c r="KEH48" s="20"/>
      <c r="KEI48" s="20"/>
      <c r="KEJ48" s="20"/>
      <c r="KEK48" s="20"/>
      <c r="KEL48" s="21"/>
      <c r="KEM48" s="21"/>
      <c r="KEN48" s="7"/>
      <c r="KEO48" s="7"/>
      <c r="KEP48" s="21"/>
      <c r="KEQ48" s="20"/>
      <c r="KER48" s="20"/>
      <c r="KES48" s="20"/>
      <c r="KET48" s="21"/>
      <c r="KEU48" s="21"/>
      <c r="KEV48" s="21"/>
      <c r="KEW48" s="21"/>
      <c r="KEX48" s="21"/>
      <c r="KEY48" s="20"/>
      <c r="KEZ48" s="20"/>
      <c r="KFA48" s="20"/>
      <c r="KFB48" s="20"/>
      <c r="KFC48" s="21"/>
      <c r="KFD48" s="21"/>
      <c r="KFE48" s="7"/>
      <c r="KFF48" s="7"/>
      <c r="KFG48" s="21"/>
      <c r="KFH48" s="20"/>
      <c r="KFI48" s="20"/>
      <c r="KFJ48" s="20"/>
      <c r="KFK48" s="21"/>
      <c r="KFL48" s="21"/>
      <c r="KFM48" s="21"/>
      <c r="KFN48" s="21"/>
      <c r="KFO48" s="21"/>
      <c r="KFP48" s="20"/>
      <c r="KFQ48" s="20"/>
      <c r="KFR48" s="20"/>
      <c r="KFS48" s="20"/>
      <c r="KFT48" s="21"/>
      <c r="KFU48" s="21"/>
      <c r="KFV48" s="7"/>
      <c r="KFW48" s="7"/>
      <c r="KFX48" s="21"/>
      <c r="KFY48" s="20"/>
      <c r="KFZ48" s="20"/>
      <c r="KGA48" s="20"/>
      <c r="KGB48" s="21"/>
      <c r="KGC48" s="21"/>
      <c r="KGD48" s="21"/>
      <c r="KGE48" s="21"/>
      <c r="KGF48" s="21"/>
      <c r="KGG48" s="20"/>
      <c r="KGH48" s="20"/>
      <c r="KGI48" s="20"/>
      <c r="KGJ48" s="20"/>
      <c r="KGK48" s="21"/>
      <c r="KGL48" s="21"/>
      <c r="KGM48" s="7"/>
      <c r="KGN48" s="7"/>
      <c r="KGO48" s="21"/>
      <c r="KGP48" s="20"/>
      <c r="KGQ48" s="20"/>
      <c r="KGR48" s="20"/>
      <c r="KGS48" s="21"/>
      <c r="KGT48" s="21"/>
      <c r="KGU48" s="21"/>
      <c r="KGV48" s="21"/>
      <c r="KGW48" s="21"/>
      <c r="KGX48" s="20"/>
      <c r="KGY48" s="20"/>
      <c r="KGZ48" s="20"/>
      <c r="KHA48" s="20"/>
      <c r="KHB48" s="21"/>
      <c r="KHC48" s="21"/>
      <c r="KHD48" s="7"/>
      <c r="KHE48" s="7"/>
      <c r="KHF48" s="21"/>
      <c r="KHG48" s="20"/>
      <c r="KHH48" s="20"/>
      <c r="KHI48" s="20"/>
      <c r="KHJ48" s="21"/>
      <c r="KHK48" s="21"/>
      <c r="KHL48" s="21"/>
      <c r="KHM48" s="21"/>
      <c r="KHN48" s="21"/>
      <c r="KHO48" s="20"/>
      <c r="KHP48" s="20"/>
      <c r="KHQ48" s="20"/>
      <c r="KHR48" s="20"/>
      <c r="KHS48" s="21"/>
      <c r="KHT48" s="21"/>
      <c r="KHU48" s="7"/>
      <c r="KHV48" s="7"/>
      <c r="KHW48" s="21"/>
      <c r="KHX48" s="20"/>
      <c r="KHY48" s="20"/>
      <c r="KHZ48" s="20"/>
      <c r="KIA48" s="21"/>
      <c r="KIB48" s="21"/>
      <c r="KIC48" s="21"/>
      <c r="KID48" s="21"/>
      <c r="KIE48" s="21"/>
      <c r="KIF48" s="20"/>
      <c r="KIG48" s="20"/>
      <c r="KIH48" s="20"/>
      <c r="KII48" s="20"/>
      <c r="KIJ48" s="21"/>
      <c r="KIK48" s="21"/>
      <c r="KIL48" s="7"/>
      <c r="KIM48" s="7"/>
      <c r="KIN48" s="21"/>
      <c r="KIO48" s="20"/>
      <c r="KIP48" s="20"/>
      <c r="KIQ48" s="20"/>
      <c r="KIR48" s="21"/>
      <c r="KIS48" s="21"/>
      <c r="KIT48" s="21"/>
      <c r="KIU48" s="21"/>
      <c r="KIV48" s="21"/>
      <c r="KIW48" s="20"/>
      <c r="KIX48" s="20"/>
      <c r="KIY48" s="20"/>
      <c r="KIZ48" s="20"/>
      <c r="KJA48" s="21"/>
      <c r="KJB48" s="21"/>
      <c r="KJC48" s="7"/>
      <c r="KJD48" s="7"/>
      <c r="KJE48" s="21"/>
      <c r="KJF48" s="20"/>
      <c r="KJG48" s="20"/>
      <c r="KJH48" s="20"/>
      <c r="KJI48" s="21"/>
      <c r="KJJ48" s="21"/>
      <c r="KJK48" s="21"/>
      <c r="KJL48" s="21"/>
      <c r="KJM48" s="21"/>
      <c r="KJN48" s="20"/>
      <c r="KJO48" s="20"/>
      <c r="KJP48" s="20"/>
      <c r="KJQ48" s="20"/>
      <c r="KJR48" s="21"/>
      <c r="KJS48" s="21"/>
      <c r="KJT48" s="7"/>
      <c r="KJU48" s="7"/>
      <c r="KJV48" s="21"/>
      <c r="KJW48" s="20"/>
      <c r="KJX48" s="20"/>
      <c r="KJY48" s="20"/>
      <c r="KJZ48" s="21"/>
      <c r="KKA48" s="21"/>
      <c r="KKB48" s="21"/>
      <c r="KKC48" s="21"/>
      <c r="KKD48" s="21"/>
      <c r="KKE48" s="20"/>
      <c r="KKF48" s="20"/>
      <c r="KKG48" s="20"/>
      <c r="KKH48" s="20"/>
      <c r="KKI48" s="21"/>
      <c r="KKJ48" s="21"/>
      <c r="KKK48" s="7"/>
      <c r="KKL48" s="7"/>
      <c r="KKM48" s="21"/>
      <c r="KKN48" s="20"/>
      <c r="KKO48" s="20"/>
      <c r="KKP48" s="20"/>
      <c r="KKQ48" s="21"/>
      <c r="KKR48" s="21"/>
      <c r="KKS48" s="21"/>
      <c r="KKT48" s="21"/>
      <c r="KKU48" s="21"/>
      <c r="KKV48" s="20"/>
      <c r="KKW48" s="20"/>
      <c r="KKX48" s="20"/>
      <c r="KKY48" s="20"/>
      <c r="KKZ48" s="21"/>
      <c r="KLA48" s="21"/>
      <c r="KLB48" s="7"/>
      <c r="KLC48" s="7"/>
      <c r="KLD48" s="21"/>
      <c r="KLE48" s="20"/>
      <c r="KLF48" s="20"/>
      <c r="KLG48" s="20"/>
      <c r="KLH48" s="21"/>
      <c r="KLI48" s="21"/>
      <c r="KLJ48" s="21"/>
      <c r="KLK48" s="21"/>
      <c r="KLL48" s="21"/>
      <c r="KLM48" s="20"/>
      <c r="KLN48" s="20"/>
      <c r="KLO48" s="20"/>
      <c r="KLP48" s="20"/>
      <c r="KLQ48" s="21"/>
      <c r="KLR48" s="21"/>
      <c r="KLS48" s="7"/>
      <c r="KLT48" s="7"/>
      <c r="KLU48" s="21"/>
      <c r="KLV48" s="20"/>
      <c r="KLW48" s="20"/>
      <c r="KLX48" s="20"/>
      <c r="KLY48" s="21"/>
      <c r="KLZ48" s="21"/>
      <c r="KMA48" s="21"/>
      <c r="KMB48" s="21"/>
      <c r="KMC48" s="21"/>
      <c r="KMD48" s="20"/>
      <c r="KME48" s="20"/>
      <c r="KMF48" s="20"/>
      <c r="KMG48" s="20"/>
      <c r="KMH48" s="21"/>
      <c r="KMI48" s="21"/>
      <c r="KMJ48" s="7"/>
      <c r="KMK48" s="7"/>
      <c r="KML48" s="21"/>
      <c r="KMM48" s="20"/>
      <c r="KMN48" s="20"/>
      <c r="KMO48" s="20"/>
      <c r="KMP48" s="21"/>
      <c r="KMQ48" s="21"/>
      <c r="KMR48" s="21"/>
      <c r="KMS48" s="21"/>
      <c r="KMT48" s="21"/>
      <c r="KMU48" s="20"/>
      <c r="KMV48" s="20"/>
      <c r="KMW48" s="20"/>
      <c r="KMX48" s="20"/>
      <c r="KMY48" s="21"/>
      <c r="KMZ48" s="21"/>
      <c r="KNA48" s="7"/>
      <c r="KNB48" s="7"/>
      <c r="KNC48" s="21"/>
      <c r="KND48" s="20"/>
      <c r="KNE48" s="20"/>
      <c r="KNF48" s="20"/>
      <c r="KNG48" s="21"/>
      <c r="KNH48" s="21"/>
      <c r="KNI48" s="21"/>
      <c r="KNJ48" s="21"/>
      <c r="KNK48" s="21"/>
      <c r="KNL48" s="20"/>
      <c r="KNM48" s="20"/>
      <c r="KNN48" s="20"/>
      <c r="KNO48" s="20"/>
      <c r="KNP48" s="21"/>
      <c r="KNQ48" s="21"/>
      <c r="KNR48" s="7"/>
      <c r="KNS48" s="7"/>
      <c r="KNT48" s="21"/>
      <c r="KNU48" s="20"/>
      <c r="KNV48" s="20"/>
      <c r="KNW48" s="20"/>
      <c r="KNX48" s="21"/>
      <c r="KNY48" s="21"/>
      <c r="KNZ48" s="21"/>
      <c r="KOA48" s="21"/>
      <c r="KOB48" s="21"/>
      <c r="KOC48" s="20"/>
      <c r="KOD48" s="20"/>
      <c r="KOE48" s="20"/>
      <c r="KOF48" s="20"/>
      <c r="KOG48" s="21"/>
      <c r="KOH48" s="21"/>
      <c r="KOI48" s="7"/>
      <c r="KOJ48" s="7"/>
      <c r="KOK48" s="21"/>
      <c r="KOL48" s="20"/>
      <c r="KOM48" s="20"/>
      <c r="KON48" s="20"/>
      <c r="KOO48" s="21"/>
      <c r="KOP48" s="21"/>
      <c r="KOQ48" s="21"/>
      <c r="KOR48" s="21"/>
      <c r="KOS48" s="21"/>
      <c r="KOT48" s="20"/>
      <c r="KOU48" s="20"/>
      <c r="KOV48" s="20"/>
      <c r="KOW48" s="20"/>
      <c r="KOX48" s="21"/>
      <c r="KOY48" s="21"/>
      <c r="KOZ48" s="7"/>
      <c r="KPA48" s="7"/>
      <c r="KPB48" s="21"/>
      <c r="KPC48" s="20"/>
      <c r="KPD48" s="20"/>
      <c r="KPE48" s="20"/>
      <c r="KPF48" s="21"/>
      <c r="KPG48" s="21"/>
      <c r="KPH48" s="21"/>
      <c r="KPI48" s="21"/>
      <c r="KPJ48" s="21"/>
      <c r="KPK48" s="20"/>
      <c r="KPL48" s="20"/>
      <c r="KPM48" s="20"/>
      <c r="KPN48" s="20"/>
      <c r="KPO48" s="21"/>
      <c r="KPP48" s="21"/>
      <c r="KPQ48" s="7"/>
      <c r="KPR48" s="7"/>
      <c r="KPS48" s="21"/>
      <c r="KPT48" s="20"/>
      <c r="KPU48" s="20"/>
      <c r="KPV48" s="20"/>
      <c r="KPW48" s="21"/>
      <c r="KPX48" s="21"/>
      <c r="KPY48" s="21"/>
      <c r="KPZ48" s="21"/>
      <c r="KQA48" s="21"/>
      <c r="KQB48" s="20"/>
      <c r="KQC48" s="20"/>
      <c r="KQD48" s="20"/>
      <c r="KQE48" s="20"/>
      <c r="KQF48" s="21"/>
      <c r="KQG48" s="21"/>
      <c r="KQH48" s="7"/>
      <c r="KQI48" s="7"/>
      <c r="KQJ48" s="21"/>
      <c r="KQK48" s="20"/>
      <c r="KQL48" s="20"/>
      <c r="KQM48" s="20"/>
      <c r="KQN48" s="21"/>
      <c r="KQO48" s="21"/>
      <c r="KQP48" s="21"/>
      <c r="KQQ48" s="21"/>
      <c r="KQR48" s="21"/>
      <c r="KQS48" s="20"/>
      <c r="KQT48" s="20"/>
      <c r="KQU48" s="20"/>
      <c r="KQV48" s="20"/>
      <c r="KQW48" s="21"/>
      <c r="KQX48" s="21"/>
      <c r="KQY48" s="7"/>
      <c r="KQZ48" s="7"/>
      <c r="KRA48" s="21"/>
      <c r="KRB48" s="20"/>
      <c r="KRC48" s="20"/>
      <c r="KRD48" s="20"/>
      <c r="KRE48" s="21"/>
      <c r="KRF48" s="21"/>
      <c r="KRG48" s="21"/>
      <c r="KRH48" s="21"/>
      <c r="KRI48" s="21"/>
      <c r="KRJ48" s="20"/>
      <c r="KRK48" s="20"/>
      <c r="KRL48" s="20"/>
      <c r="KRM48" s="20"/>
      <c r="KRN48" s="21"/>
      <c r="KRO48" s="21"/>
      <c r="KRP48" s="7"/>
      <c r="KRQ48" s="7"/>
      <c r="KRR48" s="21"/>
      <c r="KRS48" s="20"/>
      <c r="KRT48" s="20"/>
      <c r="KRU48" s="20"/>
      <c r="KRV48" s="21"/>
      <c r="KRW48" s="21"/>
      <c r="KRX48" s="21"/>
      <c r="KRY48" s="21"/>
      <c r="KRZ48" s="21"/>
      <c r="KSA48" s="20"/>
      <c r="KSB48" s="20"/>
      <c r="KSC48" s="20"/>
      <c r="KSD48" s="20"/>
      <c r="KSE48" s="21"/>
      <c r="KSF48" s="21"/>
      <c r="KSG48" s="7"/>
      <c r="KSH48" s="7"/>
      <c r="KSI48" s="21"/>
      <c r="KSJ48" s="20"/>
      <c r="KSK48" s="20"/>
      <c r="KSL48" s="20"/>
      <c r="KSM48" s="21"/>
      <c r="KSN48" s="21"/>
      <c r="KSO48" s="21"/>
      <c r="KSP48" s="21"/>
      <c r="KSQ48" s="21"/>
      <c r="KSR48" s="20"/>
      <c r="KSS48" s="20"/>
      <c r="KST48" s="20"/>
      <c r="KSU48" s="20"/>
      <c r="KSV48" s="21"/>
      <c r="KSW48" s="21"/>
      <c r="KSX48" s="7"/>
      <c r="KSY48" s="7"/>
      <c r="KSZ48" s="21"/>
      <c r="KTA48" s="20"/>
      <c r="KTB48" s="20"/>
      <c r="KTC48" s="20"/>
      <c r="KTD48" s="21"/>
      <c r="KTE48" s="21"/>
      <c r="KTF48" s="21"/>
      <c r="KTG48" s="21"/>
      <c r="KTH48" s="21"/>
      <c r="KTI48" s="20"/>
      <c r="KTJ48" s="20"/>
      <c r="KTK48" s="20"/>
      <c r="KTL48" s="20"/>
      <c r="KTM48" s="21"/>
      <c r="KTN48" s="21"/>
      <c r="KTO48" s="7"/>
      <c r="KTP48" s="7"/>
      <c r="KTQ48" s="21"/>
      <c r="KTR48" s="20"/>
      <c r="KTS48" s="20"/>
      <c r="KTT48" s="20"/>
      <c r="KTU48" s="21"/>
      <c r="KTV48" s="21"/>
      <c r="KTW48" s="21"/>
      <c r="KTX48" s="21"/>
      <c r="KTY48" s="21"/>
      <c r="KTZ48" s="20"/>
      <c r="KUA48" s="20"/>
      <c r="KUB48" s="20"/>
      <c r="KUC48" s="20"/>
      <c r="KUD48" s="21"/>
      <c r="KUE48" s="21"/>
      <c r="KUF48" s="7"/>
      <c r="KUG48" s="7"/>
      <c r="KUH48" s="21"/>
      <c r="KUI48" s="20"/>
      <c r="KUJ48" s="20"/>
      <c r="KUK48" s="20"/>
      <c r="KUL48" s="21"/>
      <c r="KUM48" s="21"/>
      <c r="KUN48" s="21"/>
      <c r="KUO48" s="21"/>
      <c r="KUP48" s="21"/>
      <c r="KUQ48" s="20"/>
      <c r="KUR48" s="20"/>
      <c r="KUS48" s="20"/>
      <c r="KUT48" s="20"/>
      <c r="KUU48" s="21"/>
      <c r="KUV48" s="21"/>
      <c r="KUW48" s="7"/>
      <c r="KUX48" s="7"/>
      <c r="KUY48" s="21"/>
      <c r="KUZ48" s="20"/>
      <c r="KVA48" s="20"/>
      <c r="KVB48" s="20"/>
      <c r="KVC48" s="21"/>
      <c r="KVD48" s="21"/>
      <c r="KVE48" s="21"/>
      <c r="KVF48" s="21"/>
      <c r="KVG48" s="21"/>
      <c r="KVH48" s="20"/>
      <c r="KVI48" s="20"/>
      <c r="KVJ48" s="20"/>
      <c r="KVK48" s="20"/>
      <c r="KVL48" s="21"/>
      <c r="KVM48" s="21"/>
      <c r="KVN48" s="7"/>
      <c r="KVO48" s="7"/>
      <c r="KVP48" s="21"/>
      <c r="KVQ48" s="20"/>
      <c r="KVR48" s="20"/>
      <c r="KVS48" s="20"/>
      <c r="KVT48" s="21"/>
      <c r="KVU48" s="21"/>
      <c r="KVV48" s="21"/>
      <c r="KVW48" s="21"/>
      <c r="KVX48" s="21"/>
      <c r="KVY48" s="20"/>
      <c r="KVZ48" s="20"/>
      <c r="KWA48" s="20"/>
      <c r="KWB48" s="20"/>
      <c r="KWC48" s="21"/>
      <c r="KWD48" s="21"/>
      <c r="KWE48" s="7"/>
      <c r="KWF48" s="7"/>
      <c r="KWG48" s="21"/>
      <c r="KWH48" s="20"/>
      <c r="KWI48" s="20"/>
      <c r="KWJ48" s="20"/>
      <c r="KWK48" s="21"/>
      <c r="KWL48" s="21"/>
      <c r="KWM48" s="21"/>
      <c r="KWN48" s="21"/>
      <c r="KWO48" s="21"/>
      <c r="KWP48" s="20"/>
      <c r="KWQ48" s="20"/>
      <c r="KWR48" s="20"/>
      <c r="KWS48" s="20"/>
      <c r="KWT48" s="21"/>
      <c r="KWU48" s="21"/>
      <c r="KWV48" s="7"/>
      <c r="KWW48" s="7"/>
      <c r="KWX48" s="21"/>
      <c r="KWY48" s="20"/>
      <c r="KWZ48" s="20"/>
      <c r="KXA48" s="20"/>
      <c r="KXB48" s="21"/>
      <c r="KXC48" s="21"/>
      <c r="KXD48" s="21"/>
      <c r="KXE48" s="21"/>
      <c r="KXF48" s="21"/>
      <c r="KXG48" s="20"/>
      <c r="KXH48" s="20"/>
      <c r="KXI48" s="20"/>
      <c r="KXJ48" s="20"/>
      <c r="KXK48" s="21"/>
      <c r="KXL48" s="21"/>
      <c r="KXM48" s="7"/>
      <c r="KXN48" s="7"/>
      <c r="KXO48" s="21"/>
      <c r="KXP48" s="20"/>
      <c r="KXQ48" s="20"/>
      <c r="KXR48" s="20"/>
      <c r="KXS48" s="21"/>
      <c r="KXT48" s="21"/>
      <c r="KXU48" s="21"/>
      <c r="KXV48" s="21"/>
      <c r="KXW48" s="21"/>
      <c r="KXX48" s="20"/>
      <c r="KXY48" s="20"/>
      <c r="KXZ48" s="20"/>
      <c r="KYA48" s="20"/>
      <c r="KYB48" s="21"/>
      <c r="KYC48" s="21"/>
      <c r="KYD48" s="7"/>
      <c r="KYE48" s="7"/>
      <c r="KYF48" s="21"/>
      <c r="KYG48" s="20"/>
      <c r="KYH48" s="20"/>
      <c r="KYI48" s="20"/>
      <c r="KYJ48" s="21"/>
      <c r="KYK48" s="21"/>
      <c r="KYL48" s="21"/>
      <c r="KYM48" s="21"/>
      <c r="KYN48" s="21"/>
      <c r="KYO48" s="20"/>
      <c r="KYP48" s="20"/>
      <c r="KYQ48" s="20"/>
      <c r="KYR48" s="20"/>
      <c r="KYS48" s="21"/>
      <c r="KYT48" s="21"/>
      <c r="KYU48" s="7"/>
      <c r="KYV48" s="7"/>
      <c r="KYW48" s="21"/>
      <c r="KYX48" s="20"/>
      <c r="KYY48" s="20"/>
      <c r="KYZ48" s="20"/>
      <c r="KZA48" s="21"/>
      <c r="KZB48" s="21"/>
      <c r="KZC48" s="21"/>
      <c r="KZD48" s="21"/>
      <c r="KZE48" s="21"/>
      <c r="KZF48" s="20"/>
      <c r="KZG48" s="20"/>
      <c r="KZH48" s="20"/>
      <c r="KZI48" s="20"/>
      <c r="KZJ48" s="21"/>
      <c r="KZK48" s="21"/>
      <c r="KZL48" s="7"/>
      <c r="KZM48" s="7"/>
      <c r="KZN48" s="21"/>
      <c r="KZO48" s="20"/>
      <c r="KZP48" s="20"/>
      <c r="KZQ48" s="20"/>
      <c r="KZR48" s="21"/>
      <c r="KZS48" s="21"/>
      <c r="KZT48" s="21"/>
      <c r="KZU48" s="21"/>
      <c r="KZV48" s="21"/>
      <c r="KZW48" s="20"/>
      <c r="KZX48" s="20"/>
      <c r="KZY48" s="20"/>
      <c r="KZZ48" s="20"/>
      <c r="LAA48" s="21"/>
      <c r="LAB48" s="21"/>
      <c r="LAC48" s="7"/>
      <c r="LAD48" s="7"/>
      <c r="LAE48" s="21"/>
      <c r="LAF48" s="20"/>
      <c r="LAG48" s="20"/>
      <c r="LAH48" s="20"/>
      <c r="LAI48" s="21"/>
      <c r="LAJ48" s="21"/>
      <c r="LAK48" s="21"/>
      <c r="LAL48" s="21"/>
      <c r="LAM48" s="21"/>
      <c r="LAN48" s="20"/>
      <c r="LAO48" s="20"/>
      <c r="LAP48" s="20"/>
      <c r="LAQ48" s="20"/>
      <c r="LAR48" s="21"/>
      <c r="LAS48" s="21"/>
      <c r="LAT48" s="7"/>
      <c r="LAU48" s="7"/>
      <c r="LAV48" s="21"/>
      <c r="LAW48" s="20"/>
      <c r="LAX48" s="20"/>
      <c r="LAY48" s="20"/>
      <c r="LAZ48" s="21"/>
      <c r="LBA48" s="21"/>
      <c r="LBB48" s="21"/>
      <c r="LBC48" s="21"/>
      <c r="LBD48" s="21"/>
      <c r="LBE48" s="20"/>
      <c r="LBF48" s="20"/>
      <c r="LBG48" s="20"/>
      <c r="LBH48" s="20"/>
      <c r="LBI48" s="21"/>
      <c r="LBJ48" s="21"/>
      <c r="LBK48" s="7"/>
      <c r="LBL48" s="7"/>
      <c r="LBM48" s="21"/>
      <c r="LBN48" s="20"/>
      <c r="LBO48" s="20"/>
      <c r="LBP48" s="20"/>
      <c r="LBQ48" s="21"/>
      <c r="LBR48" s="21"/>
      <c r="LBS48" s="21"/>
      <c r="LBT48" s="21"/>
      <c r="LBU48" s="21"/>
      <c r="LBV48" s="20"/>
      <c r="LBW48" s="20"/>
      <c r="LBX48" s="20"/>
      <c r="LBY48" s="20"/>
      <c r="LBZ48" s="21"/>
      <c r="LCA48" s="21"/>
      <c r="LCB48" s="7"/>
      <c r="LCC48" s="7"/>
      <c r="LCD48" s="21"/>
      <c r="LCE48" s="20"/>
      <c r="LCF48" s="20"/>
      <c r="LCG48" s="20"/>
      <c r="LCH48" s="21"/>
      <c r="LCI48" s="21"/>
      <c r="LCJ48" s="21"/>
      <c r="LCK48" s="21"/>
      <c r="LCL48" s="21"/>
      <c r="LCM48" s="20"/>
      <c r="LCN48" s="20"/>
      <c r="LCO48" s="20"/>
      <c r="LCP48" s="20"/>
      <c r="LCQ48" s="21"/>
      <c r="LCR48" s="21"/>
      <c r="LCS48" s="7"/>
      <c r="LCT48" s="7"/>
      <c r="LCU48" s="21"/>
      <c r="LCV48" s="20"/>
      <c r="LCW48" s="20"/>
      <c r="LCX48" s="20"/>
      <c r="LCY48" s="21"/>
      <c r="LCZ48" s="21"/>
      <c r="LDA48" s="21"/>
      <c r="LDB48" s="21"/>
      <c r="LDC48" s="21"/>
      <c r="LDD48" s="20"/>
      <c r="LDE48" s="20"/>
      <c r="LDF48" s="20"/>
      <c r="LDG48" s="20"/>
      <c r="LDH48" s="21"/>
      <c r="LDI48" s="21"/>
      <c r="LDJ48" s="7"/>
      <c r="LDK48" s="7"/>
      <c r="LDL48" s="21"/>
      <c r="LDM48" s="20"/>
      <c r="LDN48" s="20"/>
      <c r="LDO48" s="20"/>
      <c r="LDP48" s="21"/>
      <c r="LDQ48" s="21"/>
      <c r="LDR48" s="21"/>
      <c r="LDS48" s="21"/>
      <c r="LDT48" s="21"/>
      <c r="LDU48" s="20"/>
      <c r="LDV48" s="20"/>
      <c r="LDW48" s="20"/>
      <c r="LDX48" s="20"/>
      <c r="LDY48" s="21"/>
      <c r="LDZ48" s="21"/>
      <c r="LEA48" s="7"/>
      <c r="LEB48" s="7"/>
      <c r="LEC48" s="21"/>
      <c r="LED48" s="20"/>
      <c r="LEE48" s="20"/>
      <c r="LEF48" s="20"/>
      <c r="LEG48" s="21"/>
      <c r="LEH48" s="21"/>
      <c r="LEI48" s="21"/>
      <c r="LEJ48" s="21"/>
      <c r="LEK48" s="21"/>
      <c r="LEL48" s="20"/>
      <c r="LEM48" s="20"/>
      <c r="LEN48" s="20"/>
      <c r="LEO48" s="20"/>
      <c r="LEP48" s="21"/>
      <c r="LEQ48" s="21"/>
      <c r="LER48" s="7"/>
      <c r="LES48" s="7"/>
      <c r="LET48" s="21"/>
      <c r="LEU48" s="20"/>
      <c r="LEV48" s="20"/>
      <c r="LEW48" s="20"/>
      <c r="LEX48" s="21"/>
      <c r="LEY48" s="21"/>
      <c r="LEZ48" s="21"/>
      <c r="LFA48" s="21"/>
      <c r="LFB48" s="21"/>
      <c r="LFC48" s="20"/>
      <c r="LFD48" s="20"/>
      <c r="LFE48" s="20"/>
      <c r="LFF48" s="20"/>
      <c r="LFG48" s="21"/>
      <c r="LFH48" s="21"/>
      <c r="LFI48" s="7"/>
      <c r="LFJ48" s="7"/>
      <c r="LFK48" s="21"/>
      <c r="LFL48" s="20"/>
      <c r="LFM48" s="20"/>
      <c r="LFN48" s="20"/>
      <c r="LFO48" s="21"/>
      <c r="LFP48" s="21"/>
      <c r="LFQ48" s="21"/>
      <c r="LFR48" s="21"/>
      <c r="LFS48" s="21"/>
      <c r="LFT48" s="20"/>
      <c r="LFU48" s="20"/>
      <c r="LFV48" s="20"/>
      <c r="LFW48" s="20"/>
      <c r="LFX48" s="21"/>
      <c r="LFY48" s="21"/>
      <c r="LFZ48" s="7"/>
      <c r="LGA48" s="7"/>
      <c r="LGB48" s="21"/>
      <c r="LGC48" s="20"/>
      <c r="LGD48" s="20"/>
      <c r="LGE48" s="20"/>
      <c r="LGF48" s="21"/>
      <c r="LGG48" s="21"/>
      <c r="LGH48" s="21"/>
      <c r="LGI48" s="21"/>
      <c r="LGJ48" s="21"/>
      <c r="LGK48" s="20"/>
      <c r="LGL48" s="20"/>
      <c r="LGM48" s="20"/>
      <c r="LGN48" s="20"/>
      <c r="LGO48" s="21"/>
      <c r="LGP48" s="21"/>
      <c r="LGQ48" s="7"/>
      <c r="LGR48" s="7"/>
      <c r="LGS48" s="21"/>
      <c r="LGT48" s="20"/>
      <c r="LGU48" s="20"/>
      <c r="LGV48" s="20"/>
      <c r="LGW48" s="21"/>
      <c r="LGX48" s="21"/>
      <c r="LGY48" s="21"/>
      <c r="LGZ48" s="21"/>
      <c r="LHA48" s="21"/>
      <c r="LHB48" s="20"/>
      <c r="LHC48" s="20"/>
      <c r="LHD48" s="20"/>
      <c r="LHE48" s="20"/>
      <c r="LHF48" s="21"/>
      <c r="LHG48" s="21"/>
      <c r="LHH48" s="7"/>
      <c r="LHI48" s="7"/>
      <c r="LHJ48" s="21"/>
      <c r="LHK48" s="20"/>
      <c r="LHL48" s="20"/>
      <c r="LHM48" s="20"/>
      <c r="LHN48" s="21"/>
      <c r="LHO48" s="21"/>
      <c r="LHP48" s="21"/>
      <c r="LHQ48" s="21"/>
      <c r="LHR48" s="21"/>
      <c r="LHS48" s="20"/>
      <c r="LHT48" s="20"/>
      <c r="LHU48" s="20"/>
      <c r="LHV48" s="20"/>
      <c r="LHW48" s="21"/>
      <c r="LHX48" s="21"/>
      <c r="LHY48" s="7"/>
      <c r="LHZ48" s="7"/>
      <c r="LIA48" s="21"/>
      <c r="LIB48" s="20"/>
      <c r="LIC48" s="20"/>
      <c r="LID48" s="20"/>
      <c r="LIE48" s="21"/>
      <c r="LIF48" s="21"/>
      <c r="LIG48" s="21"/>
      <c r="LIH48" s="21"/>
      <c r="LII48" s="21"/>
      <c r="LIJ48" s="20"/>
      <c r="LIK48" s="20"/>
      <c r="LIL48" s="20"/>
      <c r="LIM48" s="20"/>
      <c r="LIN48" s="21"/>
      <c r="LIO48" s="21"/>
      <c r="LIP48" s="7"/>
      <c r="LIQ48" s="7"/>
      <c r="LIR48" s="21"/>
      <c r="LIS48" s="20"/>
      <c r="LIT48" s="20"/>
      <c r="LIU48" s="20"/>
      <c r="LIV48" s="21"/>
      <c r="LIW48" s="21"/>
      <c r="LIX48" s="21"/>
      <c r="LIY48" s="21"/>
      <c r="LIZ48" s="21"/>
      <c r="LJA48" s="20"/>
      <c r="LJB48" s="20"/>
      <c r="LJC48" s="20"/>
      <c r="LJD48" s="20"/>
      <c r="LJE48" s="21"/>
      <c r="LJF48" s="21"/>
      <c r="LJG48" s="7"/>
      <c r="LJH48" s="7"/>
      <c r="LJI48" s="21"/>
      <c r="LJJ48" s="20"/>
      <c r="LJK48" s="20"/>
      <c r="LJL48" s="20"/>
      <c r="LJM48" s="21"/>
      <c r="LJN48" s="21"/>
      <c r="LJO48" s="21"/>
      <c r="LJP48" s="21"/>
      <c r="LJQ48" s="21"/>
      <c r="LJR48" s="20"/>
      <c r="LJS48" s="20"/>
      <c r="LJT48" s="20"/>
      <c r="LJU48" s="20"/>
      <c r="LJV48" s="21"/>
      <c r="LJW48" s="21"/>
      <c r="LJX48" s="7"/>
      <c r="LJY48" s="7"/>
      <c r="LJZ48" s="21"/>
      <c r="LKA48" s="20"/>
      <c r="LKB48" s="20"/>
      <c r="LKC48" s="20"/>
      <c r="LKD48" s="21"/>
      <c r="LKE48" s="21"/>
      <c r="LKF48" s="21"/>
      <c r="LKG48" s="21"/>
      <c r="LKH48" s="21"/>
      <c r="LKI48" s="20"/>
      <c r="LKJ48" s="20"/>
      <c r="LKK48" s="20"/>
      <c r="LKL48" s="20"/>
      <c r="LKM48" s="21"/>
      <c r="LKN48" s="21"/>
      <c r="LKO48" s="7"/>
      <c r="LKP48" s="7"/>
      <c r="LKQ48" s="21"/>
      <c r="LKR48" s="20"/>
      <c r="LKS48" s="20"/>
      <c r="LKT48" s="20"/>
      <c r="LKU48" s="21"/>
      <c r="LKV48" s="21"/>
      <c r="LKW48" s="21"/>
      <c r="LKX48" s="21"/>
      <c r="LKY48" s="21"/>
      <c r="LKZ48" s="20"/>
      <c r="LLA48" s="20"/>
      <c r="LLB48" s="20"/>
      <c r="LLC48" s="20"/>
      <c r="LLD48" s="21"/>
      <c r="LLE48" s="21"/>
      <c r="LLF48" s="7"/>
      <c r="LLG48" s="7"/>
      <c r="LLH48" s="21"/>
      <c r="LLI48" s="20"/>
      <c r="LLJ48" s="20"/>
      <c r="LLK48" s="20"/>
      <c r="LLL48" s="21"/>
      <c r="LLM48" s="21"/>
      <c r="LLN48" s="21"/>
      <c r="LLO48" s="21"/>
      <c r="LLP48" s="21"/>
      <c r="LLQ48" s="20"/>
      <c r="LLR48" s="20"/>
      <c r="LLS48" s="20"/>
      <c r="LLT48" s="20"/>
      <c r="LLU48" s="21"/>
      <c r="LLV48" s="21"/>
      <c r="LLW48" s="7"/>
      <c r="LLX48" s="7"/>
      <c r="LLY48" s="21"/>
      <c r="LLZ48" s="20"/>
      <c r="LMA48" s="20"/>
      <c r="LMB48" s="20"/>
      <c r="LMC48" s="21"/>
      <c r="LMD48" s="21"/>
      <c r="LME48" s="21"/>
      <c r="LMF48" s="21"/>
      <c r="LMG48" s="21"/>
      <c r="LMH48" s="20"/>
      <c r="LMI48" s="20"/>
      <c r="LMJ48" s="20"/>
      <c r="LMK48" s="20"/>
      <c r="LML48" s="21"/>
      <c r="LMM48" s="21"/>
      <c r="LMN48" s="7"/>
      <c r="LMO48" s="7"/>
      <c r="LMP48" s="21"/>
      <c r="LMQ48" s="20"/>
      <c r="LMR48" s="20"/>
      <c r="LMS48" s="20"/>
      <c r="LMT48" s="21"/>
      <c r="LMU48" s="21"/>
      <c r="LMV48" s="21"/>
      <c r="LMW48" s="21"/>
      <c r="LMX48" s="21"/>
      <c r="LMY48" s="20"/>
      <c r="LMZ48" s="20"/>
      <c r="LNA48" s="20"/>
      <c r="LNB48" s="20"/>
      <c r="LNC48" s="21"/>
      <c r="LND48" s="21"/>
      <c r="LNE48" s="7"/>
      <c r="LNF48" s="7"/>
      <c r="LNG48" s="21"/>
      <c r="LNH48" s="20"/>
      <c r="LNI48" s="20"/>
      <c r="LNJ48" s="20"/>
      <c r="LNK48" s="21"/>
      <c r="LNL48" s="21"/>
      <c r="LNM48" s="21"/>
      <c r="LNN48" s="21"/>
      <c r="LNO48" s="21"/>
      <c r="LNP48" s="20"/>
      <c r="LNQ48" s="20"/>
      <c r="LNR48" s="20"/>
      <c r="LNS48" s="20"/>
      <c r="LNT48" s="21"/>
      <c r="LNU48" s="21"/>
      <c r="LNV48" s="7"/>
      <c r="LNW48" s="7"/>
      <c r="LNX48" s="21"/>
      <c r="LNY48" s="20"/>
      <c r="LNZ48" s="20"/>
      <c r="LOA48" s="20"/>
      <c r="LOB48" s="21"/>
      <c r="LOC48" s="21"/>
      <c r="LOD48" s="21"/>
      <c r="LOE48" s="21"/>
      <c r="LOF48" s="21"/>
      <c r="LOG48" s="20"/>
      <c r="LOH48" s="20"/>
      <c r="LOI48" s="20"/>
      <c r="LOJ48" s="20"/>
      <c r="LOK48" s="21"/>
      <c r="LOL48" s="21"/>
      <c r="LOM48" s="7"/>
      <c r="LON48" s="7"/>
      <c r="LOO48" s="21"/>
      <c r="LOP48" s="20"/>
      <c r="LOQ48" s="20"/>
      <c r="LOR48" s="20"/>
      <c r="LOS48" s="21"/>
      <c r="LOT48" s="21"/>
      <c r="LOU48" s="21"/>
      <c r="LOV48" s="21"/>
      <c r="LOW48" s="21"/>
      <c r="LOX48" s="20"/>
      <c r="LOY48" s="20"/>
      <c r="LOZ48" s="20"/>
      <c r="LPA48" s="20"/>
      <c r="LPB48" s="21"/>
      <c r="LPC48" s="21"/>
      <c r="LPD48" s="7"/>
      <c r="LPE48" s="7"/>
      <c r="LPF48" s="21"/>
      <c r="LPG48" s="20"/>
      <c r="LPH48" s="20"/>
      <c r="LPI48" s="20"/>
      <c r="LPJ48" s="21"/>
      <c r="LPK48" s="21"/>
      <c r="LPL48" s="21"/>
      <c r="LPM48" s="21"/>
      <c r="LPN48" s="21"/>
      <c r="LPO48" s="20"/>
      <c r="LPP48" s="20"/>
      <c r="LPQ48" s="20"/>
      <c r="LPR48" s="20"/>
      <c r="LPS48" s="21"/>
      <c r="LPT48" s="21"/>
      <c r="LPU48" s="7"/>
      <c r="LPV48" s="7"/>
      <c r="LPW48" s="21"/>
      <c r="LPX48" s="20"/>
      <c r="LPY48" s="20"/>
      <c r="LPZ48" s="20"/>
      <c r="LQA48" s="21"/>
      <c r="LQB48" s="21"/>
      <c r="LQC48" s="21"/>
      <c r="LQD48" s="21"/>
      <c r="LQE48" s="21"/>
      <c r="LQF48" s="20"/>
      <c r="LQG48" s="20"/>
      <c r="LQH48" s="20"/>
      <c r="LQI48" s="20"/>
      <c r="LQJ48" s="21"/>
      <c r="LQK48" s="21"/>
      <c r="LQL48" s="7"/>
      <c r="LQM48" s="7"/>
      <c r="LQN48" s="21"/>
      <c r="LQO48" s="20"/>
      <c r="LQP48" s="20"/>
      <c r="LQQ48" s="20"/>
      <c r="LQR48" s="21"/>
      <c r="LQS48" s="21"/>
      <c r="LQT48" s="21"/>
      <c r="LQU48" s="21"/>
      <c r="LQV48" s="21"/>
      <c r="LQW48" s="20"/>
      <c r="LQX48" s="20"/>
      <c r="LQY48" s="20"/>
      <c r="LQZ48" s="20"/>
      <c r="LRA48" s="21"/>
      <c r="LRB48" s="21"/>
      <c r="LRC48" s="7"/>
      <c r="LRD48" s="7"/>
      <c r="LRE48" s="21"/>
      <c r="LRF48" s="20"/>
      <c r="LRG48" s="20"/>
      <c r="LRH48" s="20"/>
      <c r="LRI48" s="21"/>
      <c r="LRJ48" s="21"/>
      <c r="LRK48" s="21"/>
      <c r="LRL48" s="21"/>
      <c r="LRM48" s="21"/>
      <c r="LRN48" s="20"/>
      <c r="LRO48" s="20"/>
      <c r="LRP48" s="20"/>
      <c r="LRQ48" s="20"/>
      <c r="LRR48" s="21"/>
      <c r="LRS48" s="21"/>
      <c r="LRT48" s="7"/>
      <c r="LRU48" s="7"/>
      <c r="LRV48" s="21"/>
      <c r="LRW48" s="20"/>
      <c r="LRX48" s="20"/>
      <c r="LRY48" s="20"/>
      <c r="LRZ48" s="21"/>
      <c r="LSA48" s="21"/>
      <c r="LSB48" s="21"/>
      <c r="LSC48" s="21"/>
      <c r="LSD48" s="21"/>
      <c r="LSE48" s="20"/>
      <c r="LSF48" s="20"/>
      <c r="LSG48" s="20"/>
      <c r="LSH48" s="20"/>
      <c r="LSI48" s="21"/>
      <c r="LSJ48" s="21"/>
      <c r="LSK48" s="7"/>
      <c r="LSL48" s="7"/>
      <c r="LSM48" s="21"/>
      <c r="LSN48" s="20"/>
      <c r="LSO48" s="20"/>
      <c r="LSP48" s="20"/>
      <c r="LSQ48" s="21"/>
      <c r="LSR48" s="21"/>
      <c r="LSS48" s="21"/>
      <c r="LST48" s="21"/>
      <c r="LSU48" s="21"/>
      <c r="LSV48" s="20"/>
      <c r="LSW48" s="20"/>
      <c r="LSX48" s="20"/>
      <c r="LSY48" s="20"/>
      <c r="LSZ48" s="21"/>
      <c r="LTA48" s="21"/>
      <c r="LTB48" s="7"/>
      <c r="LTC48" s="7"/>
      <c r="LTD48" s="21"/>
      <c r="LTE48" s="20"/>
      <c r="LTF48" s="20"/>
      <c r="LTG48" s="20"/>
      <c r="LTH48" s="21"/>
      <c r="LTI48" s="21"/>
      <c r="LTJ48" s="21"/>
      <c r="LTK48" s="21"/>
      <c r="LTL48" s="21"/>
      <c r="LTM48" s="20"/>
      <c r="LTN48" s="20"/>
      <c r="LTO48" s="20"/>
      <c r="LTP48" s="20"/>
      <c r="LTQ48" s="21"/>
      <c r="LTR48" s="21"/>
      <c r="LTS48" s="7"/>
      <c r="LTT48" s="7"/>
      <c r="LTU48" s="21"/>
      <c r="LTV48" s="20"/>
      <c r="LTW48" s="20"/>
      <c r="LTX48" s="20"/>
      <c r="LTY48" s="21"/>
      <c r="LTZ48" s="21"/>
      <c r="LUA48" s="21"/>
      <c r="LUB48" s="21"/>
      <c r="LUC48" s="21"/>
      <c r="LUD48" s="20"/>
      <c r="LUE48" s="20"/>
      <c r="LUF48" s="20"/>
      <c r="LUG48" s="20"/>
      <c r="LUH48" s="21"/>
      <c r="LUI48" s="21"/>
      <c r="LUJ48" s="7"/>
      <c r="LUK48" s="7"/>
      <c r="LUL48" s="21"/>
      <c r="LUM48" s="20"/>
      <c r="LUN48" s="20"/>
      <c r="LUO48" s="20"/>
      <c r="LUP48" s="21"/>
      <c r="LUQ48" s="21"/>
      <c r="LUR48" s="21"/>
      <c r="LUS48" s="21"/>
      <c r="LUT48" s="21"/>
      <c r="LUU48" s="20"/>
      <c r="LUV48" s="20"/>
      <c r="LUW48" s="20"/>
      <c r="LUX48" s="20"/>
      <c r="LUY48" s="21"/>
      <c r="LUZ48" s="21"/>
      <c r="LVA48" s="7"/>
      <c r="LVB48" s="7"/>
      <c r="LVC48" s="21"/>
      <c r="LVD48" s="20"/>
      <c r="LVE48" s="20"/>
      <c r="LVF48" s="20"/>
      <c r="LVG48" s="21"/>
      <c r="LVH48" s="21"/>
      <c r="LVI48" s="21"/>
      <c r="LVJ48" s="21"/>
      <c r="LVK48" s="21"/>
      <c r="LVL48" s="20"/>
      <c r="LVM48" s="20"/>
      <c r="LVN48" s="20"/>
      <c r="LVO48" s="20"/>
      <c r="LVP48" s="21"/>
      <c r="LVQ48" s="21"/>
      <c r="LVR48" s="7"/>
      <c r="LVS48" s="7"/>
      <c r="LVT48" s="21"/>
      <c r="LVU48" s="20"/>
      <c r="LVV48" s="20"/>
      <c r="LVW48" s="20"/>
      <c r="LVX48" s="21"/>
      <c r="LVY48" s="21"/>
      <c r="LVZ48" s="21"/>
      <c r="LWA48" s="21"/>
      <c r="LWB48" s="21"/>
      <c r="LWC48" s="20"/>
      <c r="LWD48" s="20"/>
      <c r="LWE48" s="20"/>
      <c r="LWF48" s="20"/>
      <c r="LWG48" s="21"/>
      <c r="LWH48" s="21"/>
      <c r="LWI48" s="7"/>
      <c r="LWJ48" s="7"/>
      <c r="LWK48" s="21"/>
      <c r="LWL48" s="20"/>
      <c r="LWM48" s="20"/>
      <c r="LWN48" s="20"/>
      <c r="LWO48" s="21"/>
      <c r="LWP48" s="21"/>
      <c r="LWQ48" s="21"/>
      <c r="LWR48" s="21"/>
      <c r="LWS48" s="21"/>
      <c r="LWT48" s="20"/>
      <c r="LWU48" s="20"/>
      <c r="LWV48" s="20"/>
      <c r="LWW48" s="20"/>
      <c r="LWX48" s="21"/>
      <c r="LWY48" s="21"/>
      <c r="LWZ48" s="7"/>
      <c r="LXA48" s="7"/>
      <c r="LXB48" s="21"/>
      <c r="LXC48" s="20"/>
      <c r="LXD48" s="20"/>
      <c r="LXE48" s="20"/>
      <c r="LXF48" s="21"/>
      <c r="LXG48" s="21"/>
      <c r="LXH48" s="21"/>
      <c r="LXI48" s="21"/>
      <c r="LXJ48" s="21"/>
      <c r="LXK48" s="20"/>
      <c r="LXL48" s="20"/>
      <c r="LXM48" s="20"/>
      <c r="LXN48" s="20"/>
      <c r="LXO48" s="21"/>
      <c r="LXP48" s="21"/>
      <c r="LXQ48" s="7"/>
      <c r="LXR48" s="7"/>
      <c r="LXS48" s="21"/>
      <c r="LXT48" s="20"/>
      <c r="LXU48" s="20"/>
      <c r="LXV48" s="20"/>
      <c r="LXW48" s="21"/>
      <c r="LXX48" s="21"/>
      <c r="LXY48" s="21"/>
      <c r="LXZ48" s="21"/>
      <c r="LYA48" s="21"/>
      <c r="LYB48" s="20"/>
      <c r="LYC48" s="20"/>
      <c r="LYD48" s="20"/>
      <c r="LYE48" s="20"/>
      <c r="LYF48" s="21"/>
      <c r="LYG48" s="21"/>
      <c r="LYH48" s="7"/>
      <c r="LYI48" s="7"/>
      <c r="LYJ48" s="21"/>
      <c r="LYK48" s="20"/>
      <c r="LYL48" s="20"/>
      <c r="LYM48" s="20"/>
      <c r="LYN48" s="21"/>
      <c r="LYO48" s="21"/>
      <c r="LYP48" s="21"/>
      <c r="LYQ48" s="21"/>
      <c r="LYR48" s="21"/>
      <c r="LYS48" s="20"/>
      <c r="LYT48" s="20"/>
      <c r="LYU48" s="20"/>
      <c r="LYV48" s="20"/>
      <c r="LYW48" s="21"/>
      <c r="LYX48" s="21"/>
      <c r="LYY48" s="7"/>
      <c r="LYZ48" s="7"/>
      <c r="LZA48" s="21"/>
      <c r="LZB48" s="20"/>
      <c r="LZC48" s="20"/>
      <c r="LZD48" s="20"/>
      <c r="LZE48" s="21"/>
      <c r="LZF48" s="21"/>
      <c r="LZG48" s="21"/>
      <c r="LZH48" s="21"/>
      <c r="LZI48" s="21"/>
      <c r="LZJ48" s="20"/>
      <c r="LZK48" s="20"/>
      <c r="LZL48" s="20"/>
      <c r="LZM48" s="20"/>
      <c r="LZN48" s="21"/>
      <c r="LZO48" s="21"/>
      <c r="LZP48" s="7"/>
      <c r="LZQ48" s="7"/>
      <c r="LZR48" s="21"/>
      <c r="LZS48" s="20"/>
      <c r="LZT48" s="20"/>
      <c r="LZU48" s="20"/>
      <c r="LZV48" s="21"/>
      <c r="LZW48" s="21"/>
      <c r="LZX48" s="21"/>
      <c r="LZY48" s="21"/>
      <c r="LZZ48" s="21"/>
      <c r="MAA48" s="20"/>
      <c r="MAB48" s="20"/>
      <c r="MAC48" s="20"/>
      <c r="MAD48" s="20"/>
      <c r="MAE48" s="21"/>
      <c r="MAF48" s="21"/>
      <c r="MAG48" s="7"/>
      <c r="MAH48" s="7"/>
      <c r="MAI48" s="21"/>
      <c r="MAJ48" s="20"/>
      <c r="MAK48" s="20"/>
      <c r="MAL48" s="20"/>
      <c r="MAM48" s="21"/>
      <c r="MAN48" s="21"/>
      <c r="MAO48" s="21"/>
      <c r="MAP48" s="21"/>
      <c r="MAQ48" s="21"/>
      <c r="MAR48" s="20"/>
      <c r="MAS48" s="20"/>
      <c r="MAT48" s="20"/>
      <c r="MAU48" s="20"/>
      <c r="MAV48" s="21"/>
      <c r="MAW48" s="21"/>
      <c r="MAX48" s="7"/>
      <c r="MAY48" s="7"/>
      <c r="MAZ48" s="21"/>
      <c r="MBA48" s="20"/>
      <c r="MBB48" s="20"/>
      <c r="MBC48" s="20"/>
      <c r="MBD48" s="21"/>
      <c r="MBE48" s="21"/>
      <c r="MBF48" s="21"/>
      <c r="MBG48" s="21"/>
      <c r="MBH48" s="21"/>
      <c r="MBI48" s="20"/>
      <c r="MBJ48" s="20"/>
      <c r="MBK48" s="20"/>
      <c r="MBL48" s="20"/>
      <c r="MBM48" s="21"/>
      <c r="MBN48" s="21"/>
      <c r="MBO48" s="7"/>
      <c r="MBP48" s="7"/>
      <c r="MBQ48" s="21"/>
      <c r="MBR48" s="20"/>
      <c r="MBS48" s="20"/>
      <c r="MBT48" s="20"/>
      <c r="MBU48" s="21"/>
      <c r="MBV48" s="21"/>
      <c r="MBW48" s="21"/>
      <c r="MBX48" s="21"/>
      <c r="MBY48" s="21"/>
      <c r="MBZ48" s="20"/>
      <c r="MCA48" s="20"/>
      <c r="MCB48" s="20"/>
      <c r="MCC48" s="20"/>
      <c r="MCD48" s="21"/>
      <c r="MCE48" s="21"/>
      <c r="MCF48" s="7"/>
      <c r="MCG48" s="7"/>
      <c r="MCH48" s="21"/>
      <c r="MCI48" s="20"/>
      <c r="MCJ48" s="20"/>
      <c r="MCK48" s="20"/>
      <c r="MCL48" s="21"/>
      <c r="MCM48" s="21"/>
      <c r="MCN48" s="21"/>
      <c r="MCO48" s="21"/>
      <c r="MCP48" s="21"/>
      <c r="MCQ48" s="20"/>
      <c r="MCR48" s="20"/>
      <c r="MCS48" s="20"/>
      <c r="MCT48" s="20"/>
      <c r="MCU48" s="21"/>
      <c r="MCV48" s="21"/>
      <c r="MCW48" s="7"/>
      <c r="MCX48" s="7"/>
      <c r="MCY48" s="21"/>
      <c r="MCZ48" s="20"/>
      <c r="MDA48" s="20"/>
      <c r="MDB48" s="20"/>
      <c r="MDC48" s="21"/>
      <c r="MDD48" s="21"/>
      <c r="MDE48" s="21"/>
      <c r="MDF48" s="21"/>
      <c r="MDG48" s="21"/>
      <c r="MDH48" s="20"/>
      <c r="MDI48" s="20"/>
      <c r="MDJ48" s="20"/>
      <c r="MDK48" s="20"/>
      <c r="MDL48" s="21"/>
      <c r="MDM48" s="21"/>
      <c r="MDN48" s="7"/>
      <c r="MDO48" s="7"/>
      <c r="MDP48" s="21"/>
      <c r="MDQ48" s="20"/>
      <c r="MDR48" s="20"/>
      <c r="MDS48" s="20"/>
      <c r="MDT48" s="21"/>
      <c r="MDU48" s="21"/>
      <c r="MDV48" s="21"/>
      <c r="MDW48" s="21"/>
      <c r="MDX48" s="21"/>
      <c r="MDY48" s="20"/>
      <c r="MDZ48" s="20"/>
      <c r="MEA48" s="20"/>
      <c r="MEB48" s="20"/>
      <c r="MEC48" s="21"/>
      <c r="MED48" s="21"/>
      <c r="MEE48" s="7"/>
      <c r="MEF48" s="7"/>
      <c r="MEG48" s="21"/>
      <c r="MEH48" s="20"/>
      <c r="MEI48" s="20"/>
      <c r="MEJ48" s="20"/>
      <c r="MEK48" s="21"/>
      <c r="MEL48" s="21"/>
      <c r="MEM48" s="21"/>
      <c r="MEN48" s="21"/>
      <c r="MEO48" s="21"/>
      <c r="MEP48" s="20"/>
      <c r="MEQ48" s="20"/>
      <c r="MER48" s="20"/>
      <c r="MES48" s="20"/>
      <c r="MET48" s="21"/>
      <c r="MEU48" s="21"/>
      <c r="MEV48" s="7"/>
      <c r="MEW48" s="7"/>
      <c r="MEX48" s="21"/>
      <c r="MEY48" s="20"/>
      <c r="MEZ48" s="20"/>
      <c r="MFA48" s="20"/>
      <c r="MFB48" s="21"/>
      <c r="MFC48" s="21"/>
      <c r="MFD48" s="21"/>
      <c r="MFE48" s="21"/>
      <c r="MFF48" s="21"/>
      <c r="MFG48" s="20"/>
      <c r="MFH48" s="20"/>
      <c r="MFI48" s="20"/>
      <c r="MFJ48" s="20"/>
      <c r="MFK48" s="21"/>
      <c r="MFL48" s="21"/>
      <c r="MFM48" s="7"/>
      <c r="MFN48" s="7"/>
      <c r="MFO48" s="21"/>
      <c r="MFP48" s="20"/>
      <c r="MFQ48" s="20"/>
      <c r="MFR48" s="20"/>
      <c r="MFS48" s="21"/>
      <c r="MFT48" s="21"/>
      <c r="MFU48" s="21"/>
      <c r="MFV48" s="21"/>
      <c r="MFW48" s="21"/>
      <c r="MFX48" s="20"/>
      <c r="MFY48" s="20"/>
      <c r="MFZ48" s="20"/>
      <c r="MGA48" s="20"/>
      <c r="MGB48" s="21"/>
      <c r="MGC48" s="21"/>
      <c r="MGD48" s="7"/>
      <c r="MGE48" s="7"/>
      <c r="MGF48" s="21"/>
      <c r="MGG48" s="20"/>
      <c r="MGH48" s="20"/>
      <c r="MGI48" s="20"/>
      <c r="MGJ48" s="21"/>
      <c r="MGK48" s="21"/>
      <c r="MGL48" s="21"/>
      <c r="MGM48" s="21"/>
      <c r="MGN48" s="21"/>
      <c r="MGO48" s="20"/>
      <c r="MGP48" s="20"/>
      <c r="MGQ48" s="20"/>
      <c r="MGR48" s="20"/>
      <c r="MGS48" s="21"/>
      <c r="MGT48" s="21"/>
      <c r="MGU48" s="7"/>
      <c r="MGV48" s="7"/>
      <c r="MGW48" s="21"/>
      <c r="MGX48" s="20"/>
      <c r="MGY48" s="20"/>
      <c r="MGZ48" s="20"/>
      <c r="MHA48" s="21"/>
      <c r="MHB48" s="21"/>
      <c r="MHC48" s="21"/>
      <c r="MHD48" s="21"/>
      <c r="MHE48" s="21"/>
      <c r="MHF48" s="20"/>
      <c r="MHG48" s="20"/>
      <c r="MHH48" s="20"/>
      <c r="MHI48" s="20"/>
      <c r="MHJ48" s="21"/>
      <c r="MHK48" s="21"/>
      <c r="MHL48" s="7"/>
      <c r="MHM48" s="7"/>
      <c r="MHN48" s="21"/>
      <c r="MHO48" s="20"/>
      <c r="MHP48" s="20"/>
      <c r="MHQ48" s="20"/>
      <c r="MHR48" s="21"/>
      <c r="MHS48" s="21"/>
      <c r="MHT48" s="21"/>
      <c r="MHU48" s="21"/>
      <c r="MHV48" s="21"/>
      <c r="MHW48" s="20"/>
      <c r="MHX48" s="20"/>
      <c r="MHY48" s="20"/>
      <c r="MHZ48" s="20"/>
      <c r="MIA48" s="21"/>
      <c r="MIB48" s="21"/>
      <c r="MIC48" s="7"/>
      <c r="MID48" s="7"/>
      <c r="MIE48" s="21"/>
      <c r="MIF48" s="20"/>
      <c r="MIG48" s="20"/>
      <c r="MIH48" s="20"/>
      <c r="MII48" s="21"/>
      <c r="MIJ48" s="21"/>
      <c r="MIK48" s="21"/>
      <c r="MIL48" s="21"/>
      <c r="MIM48" s="21"/>
      <c r="MIN48" s="20"/>
      <c r="MIO48" s="20"/>
      <c r="MIP48" s="20"/>
      <c r="MIQ48" s="20"/>
      <c r="MIR48" s="21"/>
      <c r="MIS48" s="21"/>
      <c r="MIT48" s="7"/>
      <c r="MIU48" s="7"/>
      <c r="MIV48" s="21"/>
      <c r="MIW48" s="20"/>
      <c r="MIX48" s="20"/>
      <c r="MIY48" s="20"/>
      <c r="MIZ48" s="21"/>
      <c r="MJA48" s="21"/>
      <c r="MJB48" s="21"/>
      <c r="MJC48" s="21"/>
      <c r="MJD48" s="21"/>
      <c r="MJE48" s="20"/>
      <c r="MJF48" s="20"/>
      <c r="MJG48" s="20"/>
      <c r="MJH48" s="20"/>
      <c r="MJI48" s="21"/>
      <c r="MJJ48" s="21"/>
      <c r="MJK48" s="7"/>
      <c r="MJL48" s="7"/>
      <c r="MJM48" s="21"/>
      <c r="MJN48" s="20"/>
      <c r="MJO48" s="20"/>
      <c r="MJP48" s="20"/>
      <c r="MJQ48" s="21"/>
      <c r="MJR48" s="21"/>
      <c r="MJS48" s="21"/>
      <c r="MJT48" s="21"/>
      <c r="MJU48" s="21"/>
      <c r="MJV48" s="20"/>
      <c r="MJW48" s="20"/>
      <c r="MJX48" s="20"/>
      <c r="MJY48" s="20"/>
      <c r="MJZ48" s="21"/>
      <c r="MKA48" s="21"/>
      <c r="MKB48" s="7"/>
      <c r="MKC48" s="7"/>
      <c r="MKD48" s="21"/>
      <c r="MKE48" s="20"/>
      <c r="MKF48" s="20"/>
      <c r="MKG48" s="20"/>
      <c r="MKH48" s="21"/>
      <c r="MKI48" s="21"/>
      <c r="MKJ48" s="21"/>
      <c r="MKK48" s="21"/>
      <c r="MKL48" s="21"/>
      <c r="MKM48" s="20"/>
      <c r="MKN48" s="20"/>
      <c r="MKO48" s="20"/>
      <c r="MKP48" s="20"/>
      <c r="MKQ48" s="21"/>
      <c r="MKR48" s="21"/>
      <c r="MKS48" s="7"/>
      <c r="MKT48" s="7"/>
      <c r="MKU48" s="21"/>
      <c r="MKV48" s="20"/>
      <c r="MKW48" s="20"/>
      <c r="MKX48" s="20"/>
      <c r="MKY48" s="21"/>
      <c r="MKZ48" s="21"/>
      <c r="MLA48" s="21"/>
      <c r="MLB48" s="21"/>
      <c r="MLC48" s="21"/>
      <c r="MLD48" s="20"/>
      <c r="MLE48" s="20"/>
      <c r="MLF48" s="20"/>
      <c r="MLG48" s="20"/>
      <c r="MLH48" s="21"/>
      <c r="MLI48" s="21"/>
      <c r="MLJ48" s="7"/>
      <c r="MLK48" s="7"/>
      <c r="MLL48" s="21"/>
      <c r="MLM48" s="20"/>
      <c r="MLN48" s="20"/>
      <c r="MLO48" s="20"/>
      <c r="MLP48" s="21"/>
      <c r="MLQ48" s="21"/>
      <c r="MLR48" s="21"/>
      <c r="MLS48" s="21"/>
      <c r="MLT48" s="21"/>
      <c r="MLU48" s="20"/>
      <c r="MLV48" s="20"/>
      <c r="MLW48" s="20"/>
      <c r="MLX48" s="20"/>
      <c r="MLY48" s="21"/>
      <c r="MLZ48" s="21"/>
      <c r="MMA48" s="7"/>
      <c r="MMB48" s="7"/>
      <c r="MMC48" s="21"/>
      <c r="MMD48" s="20"/>
      <c r="MME48" s="20"/>
      <c r="MMF48" s="20"/>
      <c r="MMG48" s="21"/>
      <c r="MMH48" s="21"/>
      <c r="MMI48" s="21"/>
      <c r="MMJ48" s="21"/>
      <c r="MMK48" s="21"/>
      <c r="MML48" s="20"/>
      <c r="MMM48" s="20"/>
      <c r="MMN48" s="20"/>
      <c r="MMO48" s="20"/>
      <c r="MMP48" s="21"/>
      <c r="MMQ48" s="21"/>
      <c r="MMR48" s="7"/>
      <c r="MMS48" s="7"/>
      <c r="MMT48" s="21"/>
      <c r="MMU48" s="20"/>
      <c r="MMV48" s="20"/>
      <c r="MMW48" s="20"/>
      <c r="MMX48" s="21"/>
      <c r="MMY48" s="21"/>
      <c r="MMZ48" s="21"/>
      <c r="MNA48" s="21"/>
      <c r="MNB48" s="21"/>
      <c r="MNC48" s="20"/>
      <c r="MND48" s="20"/>
      <c r="MNE48" s="20"/>
      <c r="MNF48" s="20"/>
      <c r="MNG48" s="21"/>
      <c r="MNH48" s="21"/>
      <c r="MNI48" s="7"/>
      <c r="MNJ48" s="7"/>
      <c r="MNK48" s="21"/>
      <c r="MNL48" s="20"/>
      <c r="MNM48" s="20"/>
      <c r="MNN48" s="20"/>
      <c r="MNO48" s="21"/>
      <c r="MNP48" s="21"/>
      <c r="MNQ48" s="21"/>
      <c r="MNR48" s="21"/>
      <c r="MNS48" s="21"/>
      <c r="MNT48" s="20"/>
      <c r="MNU48" s="20"/>
      <c r="MNV48" s="20"/>
      <c r="MNW48" s="20"/>
      <c r="MNX48" s="21"/>
      <c r="MNY48" s="21"/>
      <c r="MNZ48" s="7"/>
      <c r="MOA48" s="7"/>
      <c r="MOB48" s="21"/>
      <c r="MOC48" s="20"/>
      <c r="MOD48" s="20"/>
      <c r="MOE48" s="20"/>
      <c r="MOF48" s="21"/>
      <c r="MOG48" s="21"/>
      <c r="MOH48" s="21"/>
      <c r="MOI48" s="21"/>
      <c r="MOJ48" s="21"/>
      <c r="MOK48" s="20"/>
      <c r="MOL48" s="20"/>
      <c r="MOM48" s="20"/>
      <c r="MON48" s="20"/>
      <c r="MOO48" s="21"/>
      <c r="MOP48" s="21"/>
      <c r="MOQ48" s="7"/>
      <c r="MOR48" s="7"/>
      <c r="MOS48" s="21"/>
      <c r="MOT48" s="20"/>
      <c r="MOU48" s="20"/>
      <c r="MOV48" s="20"/>
      <c r="MOW48" s="21"/>
      <c r="MOX48" s="21"/>
      <c r="MOY48" s="21"/>
      <c r="MOZ48" s="21"/>
      <c r="MPA48" s="21"/>
      <c r="MPB48" s="20"/>
      <c r="MPC48" s="20"/>
      <c r="MPD48" s="20"/>
      <c r="MPE48" s="20"/>
      <c r="MPF48" s="21"/>
      <c r="MPG48" s="21"/>
      <c r="MPH48" s="7"/>
      <c r="MPI48" s="7"/>
      <c r="MPJ48" s="21"/>
      <c r="MPK48" s="20"/>
      <c r="MPL48" s="20"/>
      <c r="MPM48" s="20"/>
      <c r="MPN48" s="21"/>
      <c r="MPO48" s="21"/>
      <c r="MPP48" s="21"/>
      <c r="MPQ48" s="21"/>
      <c r="MPR48" s="21"/>
      <c r="MPS48" s="20"/>
      <c r="MPT48" s="20"/>
      <c r="MPU48" s="20"/>
      <c r="MPV48" s="20"/>
      <c r="MPW48" s="21"/>
      <c r="MPX48" s="21"/>
      <c r="MPY48" s="7"/>
      <c r="MPZ48" s="7"/>
      <c r="MQA48" s="21"/>
      <c r="MQB48" s="20"/>
      <c r="MQC48" s="20"/>
      <c r="MQD48" s="20"/>
      <c r="MQE48" s="21"/>
      <c r="MQF48" s="21"/>
      <c r="MQG48" s="21"/>
      <c r="MQH48" s="21"/>
      <c r="MQI48" s="21"/>
      <c r="MQJ48" s="20"/>
      <c r="MQK48" s="20"/>
      <c r="MQL48" s="20"/>
      <c r="MQM48" s="20"/>
      <c r="MQN48" s="21"/>
      <c r="MQO48" s="21"/>
      <c r="MQP48" s="7"/>
      <c r="MQQ48" s="7"/>
      <c r="MQR48" s="21"/>
      <c r="MQS48" s="20"/>
      <c r="MQT48" s="20"/>
      <c r="MQU48" s="20"/>
      <c r="MQV48" s="21"/>
      <c r="MQW48" s="21"/>
      <c r="MQX48" s="21"/>
      <c r="MQY48" s="21"/>
      <c r="MQZ48" s="21"/>
      <c r="MRA48" s="20"/>
      <c r="MRB48" s="20"/>
      <c r="MRC48" s="20"/>
      <c r="MRD48" s="20"/>
      <c r="MRE48" s="21"/>
      <c r="MRF48" s="21"/>
      <c r="MRG48" s="7"/>
      <c r="MRH48" s="7"/>
      <c r="MRI48" s="21"/>
      <c r="MRJ48" s="20"/>
      <c r="MRK48" s="20"/>
      <c r="MRL48" s="20"/>
      <c r="MRM48" s="21"/>
      <c r="MRN48" s="21"/>
      <c r="MRO48" s="21"/>
      <c r="MRP48" s="21"/>
      <c r="MRQ48" s="21"/>
      <c r="MRR48" s="20"/>
      <c r="MRS48" s="20"/>
      <c r="MRT48" s="20"/>
      <c r="MRU48" s="20"/>
      <c r="MRV48" s="21"/>
      <c r="MRW48" s="21"/>
      <c r="MRX48" s="7"/>
      <c r="MRY48" s="7"/>
      <c r="MRZ48" s="21"/>
      <c r="MSA48" s="20"/>
      <c r="MSB48" s="20"/>
      <c r="MSC48" s="20"/>
      <c r="MSD48" s="21"/>
      <c r="MSE48" s="21"/>
      <c r="MSF48" s="21"/>
      <c r="MSG48" s="21"/>
      <c r="MSH48" s="21"/>
      <c r="MSI48" s="20"/>
      <c r="MSJ48" s="20"/>
      <c r="MSK48" s="20"/>
      <c r="MSL48" s="20"/>
      <c r="MSM48" s="21"/>
      <c r="MSN48" s="21"/>
      <c r="MSO48" s="7"/>
      <c r="MSP48" s="7"/>
      <c r="MSQ48" s="21"/>
      <c r="MSR48" s="20"/>
      <c r="MSS48" s="20"/>
      <c r="MST48" s="20"/>
      <c r="MSU48" s="21"/>
      <c r="MSV48" s="21"/>
      <c r="MSW48" s="21"/>
      <c r="MSX48" s="21"/>
      <c r="MSY48" s="21"/>
      <c r="MSZ48" s="20"/>
      <c r="MTA48" s="20"/>
      <c r="MTB48" s="20"/>
      <c r="MTC48" s="20"/>
      <c r="MTD48" s="21"/>
      <c r="MTE48" s="21"/>
      <c r="MTF48" s="7"/>
      <c r="MTG48" s="7"/>
      <c r="MTH48" s="21"/>
      <c r="MTI48" s="20"/>
      <c r="MTJ48" s="20"/>
      <c r="MTK48" s="20"/>
      <c r="MTL48" s="21"/>
      <c r="MTM48" s="21"/>
      <c r="MTN48" s="21"/>
      <c r="MTO48" s="21"/>
      <c r="MTP48" s="21"/>
      <c r="MTQ48" s="20"/>
      <c r="MTR48" s="20"/>
      <c r="MTS48" s="20"/>
      <c r="MTT48" s="20"/>
      <c r="MTU48" s="21"/>
      <c r="MTV48" s="21"/>
      <c r="MTW48" s="7"/>
      <c r="MTX48" s="7"/>
      <c r="MTY48" s="21"/>
      <c r="MTZ48" s="20"/>
      <c r="MUA48" s="20"/>
      <c r="MUB48" s="20"/>
      <c r="MUC48" s="21"/>
      <c r="MUD48" s="21"/>
      <c r="MUE48" s="21"/>
      <c r="MUF48" s="21"/>
      <c r="MUG48" s="21"/>
      <c r="MUH48" s="20"/>
      <c r="MUI48" s="20"/>
      <c r="MUJ48" s="20"/>
      <c r="MUK48" s="20"/>
      <c r="MUL48" s="21"/>
      <c r="MUM48" s="21"/>
      <c r="MUN48" s="7"/>
      <c r="MUO48" s="7"/>
      <c r="MUP48" s="21"/>
      <c r="MUQ48" s="20"/>
      <c r="MUR48" s="20"/>
      <c r="MUS48" s="20"/>
      <c r="MUT48" s="21"/>
      <c r="MUU48" s="21"/>
      <c r="MUV48" s="21"/>
      <c r="MUW48" s="21"/>
      <c r="MUX48" s="21"/>
      <c r="MUY48" s="20"/>
      <c r="MUZ48" s="20"/>
      <c r="MVA48" s="20"/>
      <c r="MVB48" s="20"/>
      <c r="MVC48" s="21"/>
      <c r="MVD48" s="21"/>
      <c r="MVE48" s="7"/>
      <c r="MVF48" s="7"/>
      <c r="MVG48" s="21"/>
      <c r="MVH48" s="20"/>
      <c r="MVI48" s="20"/>
      <c r="MVJ48" s="20"/>
      <c r="MVK48" s="21"/>
      <c r="MVL48" s="21"/>
      <c r="MVM48" s="21"/>
      <c r="MVN48" s="21"/>
      <c r="MVO48" s="21"/>
      <c r="MVP48" s="20"/>
      <c r="MVQ48" s="20"/>
      <c r="MVR48" s="20"/>
      <c r="MVS48" s="20"/>
      <c r="MVT48" s="21"/>
      <c r="MVU48" s="21"/>
      <c r="MVV48" s="7"/>
      <c r="MVW48" s="7"/>
      <c r="MVX48" s="21"/>
      <c r="MVY48" s="20"/>
      <c r="MVZ48" s="20"/>
      <c r="MWA48" s="20"/>
      <c r="MWB48" s="21"/>
      <c r="MWC48" s="21"/>
      <c r="MWD48" s="21"/>
      <c r="MWE48" s="21"/>
      <c r="MWF48" s="21"/>
      <c r="MWG48" s="20"/>
      <c r="MWH48" s="20"/>
      <c r="MWI48" s="20"/>
      <c r="MWJ48" s="20"/>
      <c r="MWK48" s="21"/>
      <c r="MWL48" s="21"/>
      <c r="MWM48" s="7"/>
      <c r="MWN48" s="7"/>
      <c r="MWO48" s="21"/>
      <c r="MWP48" s="20"/>
      <c r="MWQ48" s="20"/>
      <c r="MWR48" s="20"/>
      <c r="MWS48" s="21"/>
      <c r="MWT48" s="21"/>
      <c r="MWU48" s="21"/>
      <c r="MWV48" s="21"/>
      <c r="MWW48" s="21"/>
      <c r="MWX48" s="20"/>
      <c r="MWY48" s="20"/>
      <c r="MWZ48" s="20"/>
      <c r="MXA48" s="20"/>
      <c r="MXB48" s="21"/>
      <c r="MXC48" s="21"/>
      <c r="MXD48" s="7"/>
      <c r="MXE48" s="7"/>
      <c r="MXF48" s="21"/>
      <c r="MXG48" s="20"/>
      <c r="MXH48" s="20"/>
      <c r="MXI48" s="20"/>
      <c r="MXJ48" s="21"/>
      <c r="MXK48" s="21"/>
      <c r="MXL48" s="21"/>
      <c r="MXM48" s="21"/>
      <c r="MXN48" s="21"/>
      <c r="MXO48" s="20"/>
      <c r="MXP48" s="20"/>
      <c r="MXQ48" s="20"/>
      <c r="MXR48" s="20"/>
      <c r="MXS48" s="21"/>
      <c r="MXT48" s="21"/>
      <c r="MXU48" s="7"/>
      <c r="MXV48" s="7"/>
      <c r="MXW48" s="21"/>
      <c r="MXX48" s="20"/>
      <c r="MXY48" s="20"/>
      <c r="MXZ48" s="20"/>
      <c r="MYA48" s="21"/>
      <c r="MYB48" s="21"/>
      <c r="MYC48" s="21"/>
      <c r="MYD48" s="21"/>
      <c r="MYE48" s="21"/>
      <c r="MYF48" s="20"/>
      <c r="MYG48" s="20"/>
      <c r="MYH48" s="20"/>
      <c r="MYI48" s="20"/>
      <c r="MYJ48" s="21"/>
      <c r="MYK48" s="21"/>
      <c r="MYL48" s="7"/>
      <c r="MYM48" s="7"/>
      <c r="MYN48" s="21"/>
      <c r="MYO48" s="20"/>
      <c r="MYP48" s="20"/>
      <c r="MYQ48" s="20"/>
      <c r="MYR48" s="21"/>
      <c r="MYS48" s="21"/>
      <c r="MYT48" s="21"/>
      <c r="MYU48" s="21"/>
      <c r="MYV48" s="21"/>
      <c r="MYW48" s="20"/>
      <c r="MYX48" s="20"/>
      <c r="MYY48" s="20"/>
      <c r="MYZ48" s="20"/>
      <c r="MZA48" s="21"/>
      <c r="MZB48" s="21"/>
      <c r="MZC48" s="7"/>
      <c r="MZD48" s="7"/>
      <c r="MZE48" s="21"/>
      <c r="MZF48" s="20"/>
      <c r="MZG48" s="20"/>
      <c r="MZH48" s="20"/>
      <c r="MZI48" s="21"/>
      <c r="MZJ48" s="21"/>
      <c r="MZK48" s="21"/>
      <c r="MZL48" s="21"/>
      <c r="MZM48" s="21"/>
      <c r="MZN48" s="20"/>
      <c r="MZO48" s="20"/>
      <c r="MZP48" s="20"/>
      <c r="MZQ48" s="20"/>
      <c r="MZR48" s="21"/>
      <c r="MZS48" s="21"/>
      <c r="MZT48" s="7"/>
      <c r="MZU48" s="7"/>
      <c r="MZV48" s="21"/>
      <c r="MZW48" s="20"/>
      <c r="MZX48" s="20"/>
      <c r="MZY48" s="20"/>
      <c r="MZZ48" s="21"/>
      <c r="NAA48" s="21"/>
      <c r="NAB48" s="21"/>
      <c r="NAC48" s="21"/>
      <c r="NAD48" s="21"/>
      <c r="NAE48" s="20"/>
      <c r="NAF48" s="20"/>
      <c r="NAG48" s="20"/>
      <c r="NAH48" s="20"/>
      <c r="NAI48" s="21"/>
      <c r="NAJ48" s="21"/>
      <c r="NAK48" s="7"/>
      <c r="NAL48" s="7"/>
      <c r="NAM48" s="21"/>
      <c r="NAN48" s="20"/>
      <c r="NAO48" s="20"/>
      <c r="NAP48" s="20"/>
      <c r="NAQ48" s="21"/>
      <c r="NAR48" s="21"/>
      <c r="NAS48" s="21"/>
      <c r="NAT48" s="21"/>
      <c r="NAU48" s="21"/>
      <c r="NAV48" s="20"/>
      <c r="NAW48" s="20"/>
      <c r="NAX48" s="20"/>
      <c r="NAY48" s="20"/>
      <c r="NAZ48" s="21"/>
      <c r="NBA48" s="21"/>
      <c r="NBB48" s="7"/>
      <c r="NBC48" s="7"/>
      <c r="NBD48" s="21"/>
      <c r="NBE48" s="20"/>
      <c r="NBF48" s="20"/>
      <c r="NBG48" s="20"/>
      <c r="NBH48" s="21"/>
      <c r="NBI48" s="21"/>
      <c r="NBJ48" s="21"/>
      <c r="NBK48" s="21"/>
      <c r="NBL48" s="21"/>
      <c r="NBM48" s="20"/>
      <c r="NBN48" s="20"/>
      <c r="NBO48" s="20"/>
      <c r="NBP48" s="20"/>
      <c r="NBQ48" s="21"/>
      <c r="NBR48" s="21"/>
      <c r="NBS48" s="7"/>
      <c r="NBT48" s="7"/>
      <c r="NBU48" s="21"/>
      <c r="NBV48" s="20"/>
      <c r="NBW48" s="20"/>
      <c r="NBX48" s="20"/>
      <c r="NBY48" s="21"/>
      <c r="NBZ48" s="21"/>
      <c r="NCA48" s="21"/>
      <c r="NCB48" s="21"/>
      <c r="NCC48" s="21"/>
      <c r="NCD48" s="20"/>
      <c r="NCE48" s="20"/>
      <c r="NCF48" s="20"/>
      <c r="NCG48" s="20"/>
      <c r="NCH48" s="21"/>
      <c r="NCI48" s="21"/>
      <c r="NCJ48" s="7"/>
      <c r="NCK48" s="7"/>
      <c r="NCL48" s="21"/>
      <c r="NCM48" s="20"/>
      <c r="NCN48" s="20"/>
      <c r="NCO48" s="20"/>
      <c r="NCP48" s="21"/>
      <c r="NCQ48" s="21"/>
      <c r="NCR48" s="21"/>
      <c r="NCS48" s="21"/>
      <c r="NCT48" s="21"/>
      <c r="NCU48" s="20"/>
      <c r="NCV48" s="20"/>
      <c r="NCW48" s="20"/>
      <c r="NCX48" s="20"/>
      <c r="NCY48" s="21"/>
      <c r="NCZ48" s="21"/>
      <c r="NDA48" s="7"/>
      <c r="NDB48" s="7"/>
      <c r="NDC48" s="21"/>
      <c r="NDD48" s="20"/>
      <c r="NDE48" s="20"/>
      <c r="NDF48" s="20"/>
      <c r="NDG48" s="21"/>
      <c r="NDH48" s="21"/>
      <c r="NDI48" s="21"/>
      <c r="NDJ48" s="21"/>
      <c r="NDK48" s="21"/>
      <c r="NDL48" s="20"/>
      <c r="NDM48" s="20"/>
      <c r="NDN48" s="20"/>
      <c r="NDO48" s="20"/>
      <c r="NDP48" s="21"/>
      <c r="NDQ48" s="21"/>
      <c r="NDR48" s="7"/>
      <c r="NDS48" s="7"/>
      <c r="NDT48" s="21"/>
      <c r="NDU48" s="20"/>
      <c r="NDV48" s="20"/>
      <c r="NDW48" s="20"/>
      <c r="NDX48" s="21"/>
      <c r="NDY48" s="21"/>
      <c r="NDZ48" s="21"/>
      <c r="NEA48" s="21"/>
      <c r="NEB48" s="21"/>
      <c r="NEC48" s="20"/>
      <c r="NED48" s="20"/>
      <c r="NEE48" s="20"/>
      <c r="NEF48" s="20"/>
      <c r="NEG48" s="21"/>
      <c r="NEH48" s="21"/>
      <c r="NEI48" s="7"/>
      <c r="NEJ48" s="7"/>
      <c r="NEK48" s="21"/>
      <c r="NEL48" s="20"/>
      <c r="NEM48" s="20"/>
      <c r="NEN48" s="20"/>
      <c r="NEO48" s="21"/>
      <c r="NEP48" s="21"/>
      <c r="NEQ48" s="21"/>
      <c r="NER48" s="21"/>
      <c r="NES48" s="21"/>
      <c r="NET48" s="20"/>
      <c r="NEU48" s="20"/>
      <c r="NEV48" s="20"/>
      <c r="NEW48" s="20"/>
      <c r="NEX48" s="21"/>
      <c r="NEY48" s="21"/>
      <c r="NEZ48" s="7"/>
      <c r="NFA48" s="7"/>
      <c r="NFB48" s="21"/>
      <c r="NFC48" s="20"/>
      <c r="NFD48" s="20"/>
      <c r="NFE48" s="20"/>
      <c r="NFF48" s="21"/>
      <c r="NFG48" s="21"/>
      <c r="NFH48" s="21"/>
      <c r="NFI48" s="21"/>
      <c r="NFJ48" s="21"/>
      <c r="NFK48" s="20"/>
      <c r="NFL48" s="20"/>
      <c r="NFM48" s="20"/>
      <c r="NFN48" s="20"/>
      <c r="NFO48" s="21"/>
      <c r="NFP48" s="21"/>
      <c r="NFQ48" s="7"/>
      <c r="NFR48" s="7"/>
      <c r="NFS48" s="21"/>
      <c r="NFT48" s="20"/>
      <c r="NFU48" s="20"/>
      <c r="NFV48" s="20"/>
      <c r="NFW48" s="21"/>
      <c r="NFX48" s="21"/>
      <c r="NFY48" s="21"/>
      <c r="NFZ48" s="21"/>
      <c r="NGA48" s="21"/>
      <c r="NGB48" s="20"/>
      <c r="NGC48" s="20"/>
      <c r="NGD48" s="20"/>
      <c r="NGE48" s="20"/>
      <c r="NGF48" s="21"/>
      <c r="NGG48" s="21"/>
      <c r="NGH48" s="7"/>
      <c r="NGI48" s="7"/>
      <c r="NGJ48" s="21"/>
      <c r="NGK48" s="20"/>
      <c r="NGL48" s="20"/>
      <c r="NGM48" s="20"/>
      <c r="NGN48" s="21"/>
      <c r="NGO48" s="21"/>
      <c r="NGP48" s="21"/>
      <c r="NGQ48" s="21"/>
      <c r="NGR48" s="21"/>
      <c r="NGS48" s="20"/>
      <c r="NGT48" s="20"/>
      <c r="NGU48" s="20"/>
      <c r="NGV48" s="20"/>
      <c r="NGW48" s="21"/>
      <c r="NGX48" s="21"/>
      <c r="NGY48" s="7"/>
      <c r="NGZ48" s="7"/>
      <c r="NHA48" s="21"/>
      <c r="NHB48" s="20"/>
      <c r="NHC48" s="20"/>
      <c r="NHD48" s="20"/>
      <c r="NHE48" s="21"/>
      <c r="NHF48" s="21"/>
      <c r="NHG48" s="21"/>
      <c r="NHH48" s="21"/>
      <c r="NHI48" s="21"/>
      <c r="NHJ48" s="20"/>
      <c r="NHK48" s="20"/>
      <c r="NHL48" s="20"/>
      <c r="NHM48" s="20"/>
      <c r="NHN48" s="21"/>
      <c r="NHO48" s="21"/>
      <c r="NHP48" s="7"/>
      <c r="NHQ48" s="7"/>
      <c r="NHR48" s="21"/>
      <c r="NHS48" s="20"/>
      <c r="NHT48" s="20"/>
      <c r="NHU48" s="20"/>
      <c r="NHV48" s="21"/>
      <c r="NHW48" s="21"/>
      <c r="NHX48" s="21"/>
      <c r="NHY48" s="21"/>
      <c r="NHZ48" s="21"/>
      <c r="NIA48" s="20"/>
      <c r="NIB48" s="20"/>
      <c r="NIC48" s="20"/>
      <c r="NID48" s="20"/>
      <c r="NIE48" s="21"/>
      <c r="NIF48" s="21"/>
      <c r="NIG48" s="7"/>
      <c r="NIH48" s="7"/>
      <c r="NII48" s="21"/>
      <c r="NIJ48" s="20"/>
      <c r="NIK48" s="20"/>
      <c r="NIL48" s="20"/>
      <c r="NIM48" s="21"/>
      <c r="NIN48" s="21"/>
      <c r="NIO48" s="21"/>
      <c r="NIP48" s="21"/>
      <c r="NIQ48" s="21"/>
      <c r="NIR48" s="20"/>
      <c r="NIS48" s="20"/>
      <c r="NIT48" s="20"/>
      <c r="NIU48" s="20"/>
      <c r="NIV48" s="21"/>
      <c r="NIW48" s="21"/>
      <c r="NIX48" s="7"/>
      <c r="NIY48" s="7"/>
      <c r="NIZ48" s="21"/>
      <c r="NJA48" s="20"/>
      <c r="NJB48" s="20"/>
      <c r="NJC48" s="20"/>
      <c r="NJD48" s="21"/>
      <c r="NJE48" s="21"/>
      <c r="NJF48" s="21"/>
      <c r="NJG48" s="21"/>
      <c r="NJH48" s="21"/>
      <c r="NJI48" s="20"/>
      <c r="NJJ48" s="20"/>
      <c r="NJK48" s="20"/>
      <c r="NJL48" s="20"/>
      <c r="NJM48" s="21"/>
      <c r="NJN48" s="21"/>
      <c r="NJO48" s="7"/>
      <c r="NJP48" s="7"/>
      <c r="NJQ48" s="21"/>
      <c r="NJR48" s="20"/>
      <c r="NJS48" s="20"/>
      <c r="NJT48" s="20"/>
      <c r="NJU48" s="21"/>
      <c r="NJV48" s="21"/>
      <c r="NJW48" s="21"/>
      <c r="NJX48" s="21"/>
      <c r="NJY48" s="21"/>
      <c r="NJZ48" s="20"/>
      <c r="NKA48" s="20"/>
      <c r="NKB48" s="20"/>
      <c r="NKC48" s="20"/>
      <c r="NKD48" s="21"/>
      <c r="NKE48" s="21"/>
      <c r="NKF48" s="7"/>
      <c r="NKG48" s="7"/>
      <c r="NKH48" s="21"/>
      <c r="NKI48" s="20"/>
      <c r="NKJ48" s="20"/>
      <c r="NKK48" s="20"/>
      <c r="NKL48" s="21"/>
      <c r="NKM48" s="21"/>
      <c r="NKN48" s="21"/>
      <c r="NKO48" s="21"/>
      <c r="NKP48" s="21"/>
      <c r="NKQ48" s="20"/>
      <c r="NKR48" s="20"/>
      <c r="NKS48" s="20"/>
      <c r="NKT48" s="20"/>
      <c r="NKU48" s="21"/>
      <c r="NKV48" s="21"/>
      <c r="NKW48" s="7"/>
      <c r="NKX48" s="7"/>
      <c r="NKY48" s="21"/>
      <c r="NKZ48" s="20"/>
      <c r="NLA48" s="20"/>
      <c r="NLB48" s="20"/>
      <c r="NLC48" s="21"/>
      <c r="NLD48" s="21"/>
      <c r="NLE48" s="21"/>
      <c r="NLF48" s="21"/>
      <c r="NLG48" s="21"/>
      <c r="NLH48" s="20"/>
      <c r="NLI48" s="20"/>
      <c r="NLJ48" s="20"/>
      <c r="NLK48" s="20"/>
      <c r="NLL48" s="21"/>
      <c r="NLM48" s="21"/>
      <c r="NLN48" s="7"/>
      <c r="NLO48" s="7"/>
      <c r="NLP48" s="21"/>
      <c r="NLQ48" s="20"/>
      <c r="NLR48" s="20"/>
      <c r="NLS48" s="20"/>
      <c r="NLT48" s="21"/>
      <c r="NLU48" s="21"/>
      <c r="NLV48" s="21"/>
      <c r="NLW48" s="21"/>
      <c r="NLX48" s="21"/>
      <c r="NLY48" s="20"/>
      <c r="NLZ48" s="20"/>
      <c r="NMA48" s="20"/>
      <c r="NMB48" s="20"/>
      <c r="NMC48" s="21"/>
      <c r="NMD48" s="21"/>
      <c r="NME48" s="7"/>
      <c r="NMF48" s="7"/>
      <c r="NMG48" s="21"/>
      <c r="NMH48" s="20"/>
      <c r="NMI48" s="20"/>
      <c r="NMJ48" s="20"/>
      <c r="NMK48" s="21"/>
      <c r="NML48" s="21"/>
      <c r="NMM48" s="21"/>
      <c r="NMN48" s="21"/>
      <c r="NMO48" s="21"/>
      <c r="NMP48" s="20"/>
      <c r="NMQ48" s="20"/>
      <c r="NMR48" s="20"/>
      <c r="NMS48" s="20"/>
      <c r="NMT48" s="21"/>
      <c r="NMU48" s="21"/>
      <c r="NMV48" s="7"/>
      <c r="NMW48" s="7"/>
      <c r="NMX48" s="21"/>
      <c r="NMY48" s="20"/>
      <c r="NMZ48" s="20"/>
      <c r="NNA48" s="20"/>
      <c r="NNB48" s="21"/>
      <c r="NNC48" s="21"/>
      <c r="NND48" s="21"/>
      <c r="NNE48" s="21"/>
      <c r="NNF48" s="21"/>
      <c r="NNG48" s="20"/>
      <c r="NNH48" s="20"/>
      <c r="NNI48" s="20"/>
      <c r="NNJ48" s="20"/>
      <c r="NNK48" s="21"/>
      <c r="NNL48" s="21"/>
      <c r="NNM48" s="7"/>
      <c r="NNN48" s="7"/>
      <c r="NNO48" s="21"/>
      <c r="NNP48" s="20"/>
      <c r="NNQ48" s="20"/>
      <c r="NNR48" s="20"/>
      <c r="NNS48" s="21"/>
      <c r="NNT48" s="21"/>
      <c r="NNU48" s="21"/>
      <c r="NNV48" s="21"/>
      <c r="NNW48" s="21"/>
      <c r="NNX48" s="20"/>
      <c r="NNY48" s="20"/>
      <c r="NNZ48" s="20"/>
      <c r="NOA48" s="20"/>
      <c r="NOB48" s="21"/>
      <c r="NOC48" s="21"/>
      <c r="NOD48" s="7"/>
      <c r="NOE48" s="7"/>
      <c r="NOF48" s="21"/>
      <c r="NOG48" s="20"/>
      <c r="NOH48" s="20"/>
      <c r="NOI48" s="20"/>
      <c r="NOJ48" s="21"/>
      <c r="NOK48" s="21"/>
      <c r="NOL48" s="21"/>
      <c r="NOM48" s="21"/>
      <c r="NON48" s="21"/>
      <c r="NOO48" s="20"/>
      <c r="NOP48" s="20"/>
      <c r="NOQ48" s="20"/>
      <c r="NOR48" s="20"/>
      <c r="NOS48" s="21"/>
      <c r="NOT48" s="21"/>
      <c r="NOU48" s="7"/>
      <c r="NOV48" s="7"/>
      <c r="NOW48" s="21"/>
      <c r="NOX48" s="20"/>
      <c r="NOY48" s="20"/>
      <c r="NOZ48" s="20"/>
      <c r="NPA48" s="21"/>
      <c r="NPB48" s="21"/>
      <c r="NPC48" s="21"/>
      <c r="NPD48" s="21"/>
      <c r="NPE48" s="21"/>
      <c r="NPF48" s="20"/>
      <c r="NPG48" s="20"/>
      <c r="NPH48" s="20"/>
      <c r="NPI48" s="20"/>
      <c r="NPJ48" s="21"/>
      <c r="NPK48" s="21"/>
      <c r="NPL48" s="7"/>
      <c r="NPM48" s="7"/>
      <c r="NPN48" s="21"/>
      <c r="NPO48" s="20"/>
      <c r="NPP48" s="20"/>
      <c r="NPQ48" s="20"/>
      <c r="NPR48" s="21"/>
      <c r="NPS48" s="21"/>
      <c r="NPT48" s="21"/>
      <c r="NPU48" s="21"/>
      <c r="NPV48" s="21"/>
      <c r="NPW48" s="20"/>
      <c r="NPX48" s="20"/>
      <c r="NPY48" s="20"/>
      <c r="NPZ48" s="20"/>
      <c r="NQA48" s="21"/>
      <c r="NQB48" s="21"/>
      <c r="NQC48" s="7"/>
      <c r="NQD48" s="7"/>
      <c r="NQE48" s="21"/>
      <c r="NQF48" s="20"/>
      <c r="NQG48" s="20"/>
      <c r="NQH48" s="20"/>
      <c r="NQI48" s="21"/>
      <c r="NQJ48" s="21"/>
      <c r="NQK48" s="21"/>
      <c r="NQL48" s="21"/>
      <c r="NQM48" s="21"/>
      <c r="NQN48" s="20"/>
      <c r="NQO48" s="20"/>
      <c r="NQP48" s="20"/>
      <c r="NQQ48" s="20"/>
      <c r="NQR48" s="21"/>
      <c r="NQS48" s="21"/>
      <c r="NQT48" s="7"/>
      <c r="NQU48" s="7"/>
      <c r="NQV48" s="21"/>
      <c r="NQW48" s="20"/>
      <c r="NQX48" s="20"/>
      <c r="NQY48" s="20"/>
      <c r="NQZ48" s="21"/>
      <c r="NRA48" s="21"/>
      <c r="NRB48" s="21"/>
      <c r="NRC48" s="21"/>
      <c r="NRD48" s="21"/>
      <c r="NRE48" s="20"/>
      <c r="NRF48" s="20"/>
      <c r="NRG48" s="20"/>
      <c r="NRH48" s="20"/>
      <c r="NRI48" s="21"/>
      <c r="NRJ48" s="21"/>
      <c r="NRK48" s="7"/>
      <c r="NRL48" s="7"/>
      <c r="NRM48" s="21"/>
      <c r="NRN48" s="20"/>
      <c r="NRO48" s="20"/>
      <c r="NRP48" s="20"/>
      <c r="NRQ48" s="21"/>
      <c r="NRR48" s="21"/>
      <c r="NRS48" s="21"/>
      <c r="NRT48" s="21"/>
      <c r="NRU48" s="21"/>
      <c r="NRV48" s="20"/>
      <c r="NRW48" s="20"/>
      <c r="NRX48" s="20"/>
      <c r="NRY48" s="20"/>
      <c r="NRZ48" s="21"/>
      <c r="NSA48" s="21"/>
      <c r="NSB48" s="7"/>
      <c r="NSC48" s="7"/>
      <c r="NSD48" s="21"/>
      <c r="NSE48" s="20"/>
      <c r="NSF48" s="20"/>
      <c r="NSG48" s="20"/>
      <c r="NSH48" s="21"/>
      <c r="NSI48" s="21"/>
      <c r="NSJ48" s="21"/>
      <c r="NSK48" s="21"/>
      <c r="NSL48" s="21"/>
      <c r="NSM48" s="20"/>
      <c r="NSN48" s="20"/>
      <c r="NSO48" s="20"/>
      <c r="NSP48" s="20"/>
      <c r="NSQ48" s="21"/>
      <c r="NSR48" s="21"/>
      <c r="NSS48" s="7"/>
      <c r="NST48" s="7"/>
      <c r="NSU48" s="21"/>
      <c r="NSV48" s="20"/>
      <c r="NSW48" s="20"/>
      <c r="NSX48" s="20"/>
      <c r="NSY48" s="21"/>
      <c r="NSZ48" s="21"/>
      <c r="NTA48" s="21"/>
      <c r="NTB48" s="21"/>
      <c r="NTC48" s="21"/>
      <c r="NTD48" s="20"/>
      <c r="NTE48" s="20"/>
      <c r="NTF48" s="20"/>
      <c r="NTG48" s="20"/>
      <c r="NTH48" s="21"/>
      <c r="NTI48" s="21"/>
      <c r="NTJ48" s="7"/>
      <c r="NTK48" s="7"/>
      <c r="NTL48" s="21"/>
      <c r="NTM48" s="20"/>
      <c r="NTN48" s="20"/>
      <c r="NTO48" s="20"/>
      <c r="NTP48" s="21"/>
      <c r="NTQ48" s="21"/>
      <c r="NTR48" s="21"/>
      <c r="NTS48" s="21"/>
      <c r="NTT48" s="21"/>
      <c r="NTU48" s="20"/>
      <c r="NTV48" s="20"/>
      <c r="NTW48" s="20"/>
      <c r="NTX48" s="20"/>
      <c r="NTY48" s="21"/>
      <c r="NTZ48" s="21"/>
      <c r="NUA48" s="7"/>
      <c r="NUB48" s="7"/>
      <c r="NUC48" s="21"/>
      <c r="NUD48" s="20"/>
      <c r="NUE48" s="20"/>
      <c r="NUF48" s="20"/>
      <c r="NUG48" s="21"/>
      <c r="NUH48" s="21"/>
      <c r="NUI48" s="21"/>
      <c r="NUJ48" s="21"/>
      <c r="NUK48" s="21"/>
      <c r="NUL48" s="20"/>
      <c r="NUM48" s="20"/>
      <c r="NUN48" s="20"/>
      <c r="NUO48" s="20"/>
      <c r="NUP48" s="21"/>
      <c r="NUQ48" s="21"/>
      <c r="NUR48" s="7"/>
      <c r="NUS48" s="7"/>
      <c r="NUT48" s="21"/>
      <c r="NUU48" s="20"/>
      <c r="NUV48" s="20"/>
      <c r="NUW48" s="20"/>
      <c r="NUX48" s="21"/>
      <c r="NUY48" s="21"/>
      <c r="NUZ48" s="21"/>
      <c r="NVA48" s="21"/>
      <c r="NVB48" s="21"/>
      <c r="NVC48" s="20"/>
      <c r="NVD48" s="20"/>
      <c r="NVE48" s="20"/>
      <c r="NVF48" s="20"/>
      <c r="NVG48" s="21"/>
      <c r="NVH48" s="21"/>
      <c r="NVI48" s="7"/>
      <c r="NVJ48" s="7"/>
      <c r="NVK48" s="21"/>
      <c r="NVL48" s="20"/>
      <c r="NVM48" s="20"/>
      <c r="NVN48" s="20"/>
      <c r="NVO48" s="21"/>
      <c r="NVP48" s="21"/>
      <c r="NVQ48" s="21"/>
      <c r="NVR48" s="21"/>
      <c r="NVS48" s="21"/>
      <c r="NVT48" s="20"/>
      <c r="NVU48" s="20"/>
      <c r="NVV48" s="20"/>
      <c r="NVW48" s="20"/>
      <c r="NVX48" s="21"/>
      <c r="NVY48" s="21"/>
      <c r="NVZ48" s="7"/>
      <c r="NWA48" s="7"/>
      <c r="NWB48" s="21"/>
      <c r="NWC48" s="20"/>
      <c r="NWD48" s="20"/>
      <c r="NWE48" s="20"/>
      <c r="NWF48" s="21"/>
      <c r="NWG48" s="21"/>
      <c r="NWH48" s="21"/>
      <c r="NWI48" s="21"/>
      <c r="NWJ48" s="21"/>
      <c r="NWK48" s="20"/>
      <c r="NWL48" s="20"/>
      <c r="NWM48" s="20"/>
      <c r="NWN48" s="20"/>
      <c r="NWO48" s="21"/>
      <c r="NWP48" s="21"/>
      <c r="NWQ48" s="7"/>
      <c r="NWR48" s="7"/>
      <c r="NWS48" s="21"/>
      <c r="NWT48" s="20"/>
      <c r="NWU48" s="20"/>
      <c r="NWV48" s="20"/>
      <c r="NWW48" s="21"/>
      <c r="NWX48" s="21"/>
      <c r="NWY48" s="21"/>
      <c r="NWZ48" s="21"/>
      <c r="NXA48" s="21"/>
      <c r="NXB48" s="20"/>
      <c r="NXC48" s="20"/>
      <c r="NXD48" s="20"/>
      <c r="NXE48" s="20"/>
      <c r="NXF48" s="21"/>
      <c r="NXG48" s="21"/>
      <c r="NXH48" s="7"/>
      <c r="NXI48" s="7"/>
      <c r="NXJ48" s="21"/>
      <c r="NXK48" s="20"/>
      <c r="NXL48" s="20"/>
      <c r="NXM48" s="20"/>
      <c r="NXN48" s="21"/>
      <c r="NXO48" s="21"/>
      <c r="NXP48" s="21"/>
      <c r="NXQ48" s="21"/>
      <c r="NXR48" s="21"/>
      <c r="NXS48" s="20"/>
      <c r="NXT48" s="20"/>
      <c r="NXU48" s="20"/>
      <c r="NXV48" s="20"/>
      <c r="NXW48" s="21"/>
      <c r="NXX48" s="21"/>
      <c r="NXY48" s="7"/>
      <c r="NXZ48" s="7"/>
      <c r="NYA48" s="21"/>
      <c r="NYB48" s="20"/>
      <c r="NYC48" s="20"/>
      <c r="NYD48" s="20"/>
      <c r="NYE48" s="21"/>
      <c r="NYF48" s="21"/>
      <c r="NYG48" s="21"/>
      <c r="NYH48" s="21"/>
      <c r="NYI48" s="21"/>
      <c r="NYJ48" s="20"/>
      <c r="NYK48" s="20"/>
      <c r="NYL48" s="20"/>
      <c r="NYM48" s="20"/>
      <c r="NYN48" s="21"/>
      <c r="NYO48" s="21"/>
      <c r="NYP48" s="7"/>
      <c r="NYQ48" s="7"/>
      <c r="NYR48" s="21"/>
      <c r="NYS48" s="20"/>
      <c r="NYT48" s="20"/>
      <c r="NYU48" s="20"/>
      <c r="NYV48" s="21"/>
      <c r="NYW48" s="21"/>
      <c r="NYX48" s="21"/>
      <c r="NYY48" s="21"/>
      <c r="NYZ48" s="21"/>
      <c r="NZA48" s="20"/>
      <c r="NZB48" s="20"/>
      <c r="NZC48" s="20"/>
      <c r="NZD48" s="20"/>
      <c r="NZE48" s="21"/>
      <c r="NZF48" s="21"/>
      <c r="NZG48" s="7"/>
      <c r="NZH48" s="7"/>
      <c r="NZI48" s="21"/>
      <c r="NZJ48" s="20"/>
      <c r="NZK48" s="20"/>
      <c r="NZL48" s="20"/>
      <c r="NZM48" s="21"/>
      <c r="NZN48" s="21"/>
      <c r="NZO48" s="21"/>
      <c r="NZP48" s="21"/>
      <c r="NZQ48" s="21"/>
      <c r="NZR48" s="20"/>
      <c r="NZS48" s="20"/>
      <c r="NZT48" s="20"/>
      <c r="NZU48" s="20"/>
      <c r="NZV48" s="21"/>
      <c r="NZW48" s="21"/>
      <c r="NZX48" s="7"/>
      <c r="NZY48" s="7"/>
      <c r="NZZ48" s="21"/>
      <c r="OAA48" s="20"/>
      <c r="OAB48" s="20"/>
      <c r="OAC48" s="20"/>
      <c r="OAD48" s="21"/>
      <c r="OAE48" s="21"/>
      <c r="OAF48" s="21"/>
      <c r="OAG48" s="21"/>
      <c r="OAH48" s="21"/>
      <c r="OAI48" s="20"/>
      <c r="OAJ48" s="20"/>
      <c r="OAK48" s="20"/>
      <c r="OAL48" s="20"/>
      <c r="OAM48" s="21"/>
      <c r="OAN48" s="21"/>
      <c r="OAO48" s="7"/>
      <c r="OAP48" s="7"/>
      <c r="OAQ48" s="21"/>
      <c r="OAR48" s="20"/>
      <c r="OAS48" s="20"/>
      <c r="OAT48" s="20"/>
      <c r="OAU48" s="21"/>
      <c r="OAV48" s="21"/>
      <c r="OAW48" s="21"/>
      <c r="OAX48" s="21"/>
      <c r="OAY48" s="21"/>
      <c r="OAZ48" s="20"/>
      <c r="OBA48" s="20"/>
      <c r="OBB48" s="20"/>
      <c r="OBC48" s="20"/>
      <c r="OBD48" s="21"/>
      <c r="OBE48" s="21"/>
      <c r="OBF48" s="7"/>
      <c r="OBG48" s="7"/>
      <c r="OBH48" s="21"/>
      <c r="OBI48" s="20"/>
      <c r="OBJ48" s="20"/>
      <c r="OBK48" s="20"/>
      <c r="OBL48" s="21"/>
      <c r="OBM48" s="21"/>
      <c r="OBN48" s="21"/>
      <c r="OBO48" s="21"/>
      <c r="OBP48" s="21"/>
      <c r="OBQ48" s="20"/>
      <c r="OBR48" s="20"/>
      <c r="OBS48" s="20"/>
      <c r="OBT48" s="20"/>
      <c r="OBU48" s="21"/>
      <c r="OBV48" s="21"/>
      <c r="OBW48" s="7"/>
      <c r="OBX48" s="7"/>
      <c r="OBY48" s="21"/>
      <c r="OBZ48" s="20"/>
      <c r="OCA48" s="20"/>
      <c r="OCB48" s="20"/>
      <c r="OCC48" s="21"/>
      <c r="OCD48" s="21"/>
      <c r="OCE48" s="21"/>
      <c r="OCF48" s="21"/>
      <c r="OCG48" s="21"/>
      <c r="OCH48" s="20"/>
      <c r="OCI48" s="20"/>
      <c r="OCJ48" s="20"/>
      <c r="OCK48" s="20"/>
      <c r="OCL48" s="21"/>
      <c r="OCM48" s="21"/>
      <c r="OCN48" s="7"/>
      <c r="OCO48" s="7"/>
      <c r="OCP48" s="21"/>
      <c r="OCQ48" s="20"/>
      <c r="OCR48" s="20"/>
      <c r="OCS48" s="20"/>
      <c r="OCT48" s="21"/>
      <c r="OCU48" s="21"/>
      <c r="OCV48" s="21"/>
      <c r="OCW48" s="21"/>
      <c r="OCX48" s="21"/>
      <c r="OCY48" s="20"/>
      <c r="OCZ48" s="20"/>
      <c r="ODA48" s="20"/>
      <c r="ODB48" s="20"/>
      <c r="ODC48" s="21"/>
      <c r="ODD48" s="21"/>
      <c r="ODE48" s="7"/>
      <c r="ODF48" s="7"/>
      <c r="ODG48" s="21"/>
      <c r="ODH48" s="20"/>
      <c r="ODI48" s="20"/>
      <c r="ODJ48" s="20"/>
      <c r="ODK48" s="21"/>
      <c r="ODL48" s="21"/>
      <c r="ODM48" s="21"/>
      <c r="ODN48" s="21"/>
      <c r="ODO48" s="21"/>
      <c r="ODP48" s="20"/>
      <c r="ODQ48" s="20"/>
      <c r="ODR48" s="20"/>
      <c r="ODS48" s="20"/>
      <c r="ODT48" s="21"/>
      <c r="ODU48" s="21"/>
      <c r="ODV48" s="7"/>
      <c r="ODW48" s="7"/>
      <c r="ODX48" s="21"/>
      <c r="ODY48" s="20"/>
      <c r="ODZ48" s="20"/>
      <c r="OEA48" s="20"/>
      <c r="OEB48" s="21"/>
      <c r="OEC48" s="21"/>
      <c r="OED48" s="21"/>
      <c r="OEE48" s="21"/>
      <c r="OEF48" s="21"/>
      <c r="OEG48" s="20"/>
      <c r="OEH48" s="20"/>
      <c r="OEI48" s="20"/>
      <c r="OEJ48" s="20"/>
      <c r="OEK48" s="21"/>
      <c r="OEL48" s="21"/>
      <c r="OEM48" s="7"/>
      <c r="OEN48" s="7"/>
      <c r="OEO48" s="21"/>
      <c r="OEP48" s="20"/>
      <c r="OEQ48" s="20"/>
      <c r="OER48" s="20"/>
      <c r="OES48" s="21"/>
      <c r="OET48" s="21"/>
      <c r="OEU48" s="21"/>
      <c r="OEV48" s="21"/>
      <c r="OEW48" s="21"/>
      <c r="OEX48" s="20"/>
      <c r="OEY48" s="20"/>
      <c r="OEZ48" s="20"/>
      <c r="OFA48" s="20"/>
      <c r="OFB48" s="21"/>
      <c r="OFC48" s="21"/>
      <c r="OFD48" s="7"/>
      <c r="OFE48" s="7"/>
      <c r="OFF48" s="21"/>
      <c r="OFG48" s="20"/>
      <c r="OFH48" s="20"/>
      <c r="OFI48" s="20"/>
      <c r="OFJ48" s="21"/>
      <c r="OFK48" s="21"/>
      <c r="OFL48" s="21"/>
      <c r="OFM48" s="21"/>
      <c r="OFN48" s="21"/>
      <c r="OFO48" s="20"/>
      <c r="OFP48" s="20"/>
      <c r="OFQ48" s="20"/>
      <c r="OFR48" s="20"/>
      <c r="OFS48" s="21"/>
      <c r="OFT48" s="21"/>
      <c r="OFU48" s="7"/>
      <c r="OFV48" s="7"/>
      <c r="OFW48" s="21"/>
      <c r="OFX48" s="20"/>
      <c r="OFY48" s="20"/>
      <c r="OFZ48" s="20"/>
      <c r="OGA48" s="21"/>
      <c r="OGB48" s="21"/>
      <c r="OGC48" s="21"/>
      <c r="OGD48" s="21"/>
      <c r="OGE48" s="21"/>
      <c r="OGF48" s="20"/>
      <c r="OGG48" s="20"/>
      <c r="OGH48" s="20"/>
      <c r="OGI48" s="20"/>
      <c r="OGJ48" s="21"/>
      <c r="OGK48" s="21"/>
      <c r="OGL48" s="7"/>
      <c r="OGM48" s="7"/>
      <c r="OGN48" s="21"/>
      <c r="OGO48" s="20"/>
      <c r="OGP48" s="20"/>
      <c r="OGQ48" s="20"/>
      <c r="OGR48" s="21"/>
      <c r="OGS48" s="21"/>
      <c r="OGT48" s="21"/>
      <c r="OGU48" s="21"/>
      <c r="OGV48" s="21"/>
      <c r="OGW48" s="20"/>
      <c r="OGX48" s="20"/>
      <c r="OGY48" s="20"/>
      <c r="OGZ48" s="20"/>
      <c r="OHA48" s="21"/>
      <c r="OHB48" s="21"/>
      <c r="OHC48" s="7"/>
      <c r="OHD48" s="7"/>
      <c r="OHE48" s="21"/>
      <c r="OHF48" s="20"/>
      <c r="OHG48" s="20"/>
      <c r="OHH48" s="20"/>
      <c r="OHI48" s="21"/>
      <c r="OHJ48" s="21"/>
      <c r="OHK48" s="21"/>
      <c r="OHL48" s="21"/>
      <c r="OHM48" s="21"/>
      <c r="OHN48" s="20"/>
      <c r="OHO48" s="20"/>
      <c r="OHP48" s="20"/>
      <c r="OHQ48" s="20"/>
      <c r="OHR48" s="21"/>
      <c r="OHS48" s="21"/>
      <c r="OHT48" s="7"/>
      <c r="OHU48" s="7"/>
      <c r="OHV48" s="21"/>
      <c r="OHW48" s="20"/>
      <c r="OHX48" s="20"/>
      <c r="OHY48" s="20"/>
      <c r="OHZ48" s="21"/>
      <c r="OIA48" s="21"/>
      <c r="OIB48" s="21"/>
      <c r="OIC48" s="21"/>
      <c r="OID48" s="21"/>
      <c r="OIE48" s="20"/>
      <c r="OIF48" s="20"/>
      <c r="OIG48" s="20"/>
      <c r="OIH48" s="20"/>
      <c r="OII48" s="21"/>
      <c r="OIJ48" s="21"/>
      <c r="OIK48" s="7"/>
      <c r="OIL48" s="7"/>
      <c r="OIM48" s="21"/>
      <c r="OIN48" s="20"/>
      <c r="OIO48" s="20"/>
      <c r="OIP48" s="20"/>
      <c r="OIQ48" s="21"/>
      <c r="OIR48" s="21"/>
      <c r="OIS48" s="21"/>
      <c r="OIT48" s="21"/>
      <c r="OIU48" s="21"/>
      <c r="OIV48" s="20"/>
      <c r="OIW48" s="20"/>
      <c r="OIX48" s="20"/>
      <c r="OIY48" s="20"/>
      <c r="OIZ48" s="21"/>
      <c r="OJA48" s="21"/>
      <c r="OJB48" s="7"/>
      <c r="OJC48" s="7"/>
      <c r="OJD48" s="21"/>
      <c r="OJE48" s="20"/>
      <c r="OJF48" s="20"/>
      <c r="OJG48" s="20"/>
      <c r="OJH48" s="21"/>
      <c r="OJI48" s="21"/>
      <c r="OJJ48" s="21"/>
      <c r="OJK48" s="21"/>
      <c r="OJL48" s="21"/>
      <c r="OJM48" s="20"/>
      <c r="OJN48" s="20"/>
      <c r="OJO48" s="20"/>
      <c r="OJP48" s="20"/>
      <c r="OJQ48" s="21"/>
      <c r="OJR48" s="21"/>
      <c r="OJS48" s="7"/>
      <c r="OJT48" s="7"/>
      <c r="OJU48" s="21"/>
      <c r="OJV48" s="20"/>
      <c r="OJW48" s="20"/>
      <c r="OJX48" s="20"/>
      <c r="OJY48" s="21"/>
      <c r="OJZ48" s="21"/>
      <c r="OKA48" s="21"/>
      <c r="OKB48" s="21"/>
      <c r="OKC48" s="21"/>
      <c r="OKD48" s="20"/>
      <c r="OKE48" s="20"/>
      <c r="OKF48" s="20"/>
      <c r="OKG48" s="20"/>
      <c r="OKH48" s="21"/>
      <c r="OKI48" s="21"/>
      <c r="OKJ48" s="7"/>
      <c r="OKK48" s="7"/>
      <c r="OKL48" s="21"/>
      <c r="OKM48" s="20"/>
      <c r="OKN48" s="20"/>
      <c r="OKO48" s="20"/>
      <c r="OKP48" s="21"/>
      <c r="OKQ48" s="21"/>
      <c r="OKR48" s="21"/>
      <c r="OKS48" s="21"/>
      <c r="OKT48" s="21"/>
      <c r="OKU48" s="20"/>
      <c r="OKV48" s="20"/>
      <c r="OKW48" s="20"/>
      <c r="OKX48" s="20"/>
      <c r="OKY48" s="21"/>
      <c r="OKZ48" s="21"/>
      <c r="OLA48" s="7"/>
      <c r="OLB48" s="7"/>
      <c r="OLC48" s="21"/>
      <c r="OLD48" s="20"/>
      <c r="OLE48" s="20"/>
      <c r="OLF48" s="20"/>
      <c r="OLG48" s="21"/>
      <c r="OLH48" s="21"/>
      <c r="OLI48" s="21"/>
      <c r="OLJ48" s="21"/>
      <c r="OLK48" s="21"/>
      <c r="OLL48" s="20"/>
      <c r="OLM48" s="20"/>
      <c r="OLN48" s="20"/>
      <c r="OLO48" s="20"/>
      <c r="OLP48" s="21"/>
      <c r="OLQ48" s="21"/>
      <c r="OLR48" s="7"/>
      <c r="OLS48" s="7"/>
      <c r="OLT48" s="21"/>
      <c r="OLU48" s="20"/>
      <c r="OLV48" s="20"/>
      <c r="OLW48" s="20"/>
      <c r="OLX48" s="21"/>
      <c r="OLY48" s="21"/>
      <c r="OLZ48" s="21"/>
      <c r="OMA48" s="21"/>
      <c r="OMB48" s="21"/>
      <c r="OMC48" s="20"/>
      <c r="OMD48" s="20"/>
      <c r="OME48" s="20"/>
      <c r="OMF48" s="20"/>
      <c r="OMG48" s="21"/>
      <c r="OMH48" s="21"/>
      <c r="OMI48" s="7"/>
      <c r="OMJ48" s="7"/>
      <c r="OMK48" s="21"/>
      <c r="OML48" s="20"/>
      <c r="OMM48" s="20"/>
      <c r="OMN48" s="20"/>
      <c r="OMO48" s="21"/>
      <c r="OMP48" s="21"/>
      <c r="OMQ48" s="21"/>
      <c r="OMR48" s="21"/>
      <c r="OMS48" s="21"/>
      <c r="OMT48" s="20"/>
      <c r="OMU48" s="20"/>
      <c r="OMV48" s="20"/>
      <c r="OMW48" s="20"/>
      <c r="OMX48" s="21"/>
      <c r="OMY48" s="21"/>
      <c r="OMZ48" s="7"/>
      <c r="ONA48" s="7"/>
      <c r="ONB48" s="21"/>
      <c r="ONC48" s="20"/>
      <c r="OND48" s="20"/>
      <c r="ONE48" s="20"/>
      <c r="ONF48" s="21"/>
      <c r="ONG48" s="21"/>
      <c r="ONH48" s="21"/>
      <c r="ONI48" s="21"/>
      <c r="ONJ48" s="21"/>
      <c r="ONK48" s="20"/>
      <c r="ONL48" s="20"/>
      <c r="ONM48" s="20"/>
      <c r="ONN48" s="20"/>
      <c r="ONO48" s="21"/>
      <c r="ONP48" s="21"/>
      <c r="ONQ48" s="7"/>
      <c r="ONR48" s="7"/>
      <c r="ONS48" s="21"/>
      <c r="ONT48" s="20"/>
      <c r="ONU48" s="20"/>
      <c r="ONV48" s="20"/>
      <c r="ONW48" s="21"/>
      <c r="ONX48" s="21"/>
      <c r="ONY48" s="21"/>
      <c r="ONZ48" s="21"/>
      <c r="OOA48" s="21"/>
      <c r="OOB48" s="20"/>
      <c r="OOC48" s="20"/>
      <c r="OOD48" s="20"/>
      <c r="OOE48" s="20"/>
      <c r="OOF48" s="21"/>
      <c r="OOG48" s="21"/>
      <c r="OOH48" s="7"/>
      <c r="OOI48" s="7"/>
      <c r="OOJ48" s="21"/>
      <c r="OOK48" s="20"/>
      <c r="OOL48" s="20"/>
      <c r="OOM48" s="20"/>
      <c r="OON48" s="21"/>
      <c r="OOO48" s="21"/>
      <c r="OOP48" s="21"/>
      <c r="OOQ48" s="21"/>
      <c r="OOR48" s="21"/>
      <c r="OOS48" s="20"/>
      <c r="OOT48" s="20"/>
      <c r="OOU48" s="20"/>
      <c r="OOV48" s="20"/>
      <c r="OOW48" s="21"/>
      <c r="OOX48" s="21"/>
      <c r="OOY48" s="7"/>
      <c r="OOZ48" s="7"/>
      <c r="OPA48" s="21"/>
      <c r="OPB48" s="20"/>
      <c r="OPC48" s="20"/>
      <c r="OPD48" s="20"/>
      <c r="OPE48" s="21"/>
      <c r="OPF48" s="21"/>
      <c r="OPG48" s="21"/>
      <c r="OPH48" s="21"/>
      <c r="OPI48" s="21"/>
      <c r="OPJ48" s="20"/>
      <c r="OPK48" s="20"/>
      <c r="OPL48" s="20"/>
      <c r="OPM48" s="20"/>
      <c r="OPN48" s="21"/>
      <c r="OPO48" s="21"/>
      <c r="OPP48" s="7"/>
      <c r="OPQ48" s="7"/>
      <c r="OPR48" s="21"/>
      <c r="OPS48" s="20"/>
      <c r="OPT48" s="20"/>
      <c r="OPU48" s="20"/>
      <c r="OPV48" s="21"/>
      <c r="OPW48" s="21"/>
      <c r="OPX48" s="21"/>
      <c r="OPY48" s="21"/>
      <c r="OPZ48" s="21"/>
      <c r="OQA48" s="20"/>
      <c r="OQB48" s="20"/>
      <c r="OQC48" s="20"/>
      <c r="OQD48" s="20"/>
      <c r="OQE48" s="21"/>
      <c r="OQF48" s="21"/>
      <c r="OQG48" s="7"/>
      <c r="OQH48" s="7"/>
      <c r="OQI48" s="21"/>
      <c r="OQJ48" s="20"/>
      <c r="OQK48" s="20"/>
      <c r="OQL48" s="20"/>
      <c r="OQM48" s="21"/>
      <c r="OQN48" s="21"/>
      <c r="OQO48" s="21"/>
      <c r="OQP48" s="21"/>
      <c r="OQQ48" s="21"/>
      <c r="OQR48" s="20"/>
      <c r="OQS48" s="20"/>
      <c r="OQT48" s="20"/>
      <c r="OQU48" s="20"/>
      <c r="OQV48" s="21"/>
      <c r="OQW48" s="21"/>
      <c r="OQX48" s="7"/>
      <c r="OQY48" s="7"/>
      <c r="OQZ48" s="21"/>
      <c r="ORA48" s="20"/>
      <c r="ORB48" s="20"/>
      <c r="ORC48" s="20"/>
      <c r="ORD48" s="21"/>
      <c r="ORE48" s="21"/>
      <c r="ORF48" s="21"/>
      <c r="ORG48" s="21"/>
      <c r="ORH48" s="21"/>
      <c r="ORI48" s="20"/>
      <c r="ORJ48" s="20"/>
      <c r="ORK48" s="20"/>
      <c r="ORL48" s="20"/>
      <c r="ORM48" s="21"/>
      <c r="ORN48" s="21"/>
      <c r="ORO48" s="7"/>
      <c r="ORP48" s="7"/>
      <c r="ORQ48" s="21"/>
      <c r="ORR48" s="20"/>
      <c r="ORS48" s="20"/>
      <c r="ORT48" s="20"/>
      <c r="ORU48" s="21"/>
      <c r="ORV48" s="21"/>
      <c r="ORW48" s="21"/>
      <c r="ORX48" s="21"/>
      <c r="ORY48" s="21"/>
      <c r="ORZ48" s="20"/>
      <c r="OSA48" s="20"/>
      <c r="OSB48" s="20"/>
      <c r="OSC48" s="20"/>
      <c r="OSD48" s="21"/>
      <c r="OSE48" s="21"/>
      <c r="OSF48" s="7"/>
      <c r="OSG48" s="7"/>
      <c r="OSH48" s="21"/>
      <c r="OSI48" s="20"/>
      <c r="OSJ48" s="20"/>
      <c r="OSK48" s="20"/>
      <c r="OSL48" s="21"/>
      <c r="OSM48" s="21"/>
      <c r="OSN48" s="21"/>
      <c r="OSO48" s="21"/>
      <c r="OSP48" s="21"/>
      <c r="OSQ48" s="20"/>
      <c r="OSR48" s="20"/>
      <c r="OSS48" s="20"/>
      <c r="OST48" s="20"/>
      <c r="OSU48" s="21"/>
      <c r="OSV48" s="21"/>
      <c r="OSW48" s="7"/>
      <c r="OSX48" s="7"/>
      <c r="OSY48" s="21"/>
      <c r="OSZ48" s="20"/>
      <c r="OTA48" s="20"/>
      <c r="OTB48" s="20"/>
      <c r="OTC48" s="21"/>
      <c r="OTD48" s="21"/>
      <c r="OTE48" s="21"/>
      <c r="OTF48" s="21"/>
      <c r="OTG48" s="21"/>
      <c r="OTH48" s="20"/>
      <c r="OTI48" s="20"/>
      <c r="OTJ48" s="20"/>
      <c r="OTK48" s="20"/>
      <c r="OTL48" s="21"/>
      <c r="OTM48" s="21"/>
      <c r="OTN48" s="7"/>
      <c r="OTO48" s="7"/>
      <c r="OTP48" s="21"/>
      <c r="OTQ48" s="20"/>
      <c r="OTR48" s="20"/>
      <c r="OTS48" s="20"/>
      <c r="OTT48" s="21"/>
      <c r="OTU48" s="21"/>
      <c r="OTV48" s="21"/>
      <c r="OTW48" s="21"/>
      <c r="OTX48" s="21"/>
      <c r="OTY48" s="20"/>
      <c r="OTZ48" s="20"/>
      <c r="OUA48" s="20"/>
      <c r="OUB48" s="20"/>
      <c r="OUC48" s="21"/>
      <c r="OUD48" s="21"/>
      <c r="OUE48" s="7"/>
      <c r="OUF48" s="7"/>
      <c r="OUG48" s="21"/>
      <c r="OUH48" s="20"/>
      <c r="OUI48" s="20"/>
      <c r="OUJ48" s="20"/>
      <c r="OUK48" s="21"/>
      <c r="OUL48" s="21"/>
      <c r="OUM48" s="21"/>
      <c r="OUN48" s="21"/>
      <c r="OUO48" s="21"/>
      <c r="OUP48" s="20"/>
      <c r="OUQ48" s="20"/>
      <c r="OUR48" s="20"/>
      <c r="OUS48" s="20"/>
      <c r="OUT48" s="21"/>
      <c r="OUU48" s="21"/>
      <c r="OUV48" s="7"/>
      <c r="OUW48" s="7"/>
      <c r="OUX48" s="21"/>
      <c r="OUY48" s="20"/>
      <c r="OUZ48" s="20"/>
      <c r="OVA48" s="20"/>
      <c r="OVB48" s="21"/>
      <c r="OVC48" s="21"/>
      <c r="OVD48" s="21"/>
      <c r="OVE48" s="21"/>
      <c r="OVF48" s="21"/>
      <c r="OVG48" s="20"/>
      <c r="OVH48" s="20"/>
      <c r="OVI48" s="20"/>
      <c r="OVJ48" s="20"/>
      <c r="OVK48" s="21"/>
      <c r="OVL48" s="21"/>
      <c r="OVM48" s="7"/>
      <c r="OVN48" s="7"/>
      <c r="OVO48" s="21"/>
      <c r="OVP48" s="20"/>
      <c r="OVQ48" s="20"/>
      <c r="OVR48" s="20"/>
      <c r="OVS48" s="21"/>
      <c r="OVT48" s="21"/>
      <c r="OVU48" s="21"/>
      <c r="OVV48" s="21"/>
      <c r="OVW48" s="21"/>
      <c r="OVX48" s="20"/>
      <c r="OVY48" s="20"/>
      <c r="OVZ48" s="20"/>
      <c r="OWA48" s="20"/>
      <c r="OWB48" s="21"/>
      <c r="OWC48" s="21"/>
      <c r="OWD48" s="7"/>
      <c r="OWE48" s="7"/>
      <c r="OWF48" s="21"/>
      <c r="OWG48" s="20"/>
      <c r="OWH48" s="20"/>
      <c r="OWI48" s="20"/>
      <c r="OWJ48" s="21"/>
      <c r="OWK48" s="21"/>
      <c r="OWL48" s="21"/>
      <c r="OWM48" s="21"/>
      <c r="OWN48" s="21"/>
      <c r="OWO48" s="20"/>
      <c r="OWP48" s="20"/>
      <c r="OWQ48" s="20"/>
      <c r="OWR48" s="20"/>
      <c r="OWS48" s="21"/>
      <c r="OWT48" s="21"/>
      <c r="OWU48" s="7"/>
      <c r="OWV48" s="7"/>
      <c r="OWW48" s="21"/>
      <c r="OWX48" s="20"/>
      <c r="OWY48" s="20"/>
      <c r="OWZ48" s="20"/>
      <c r="OXA48" s="21"/>
      <c r="OXB48" s="21"/>
      <c r="OXC48" s="21"/>
      <c r="OXD48" s="21"/>
      <c r="OXE48" s="21"/>
      <c r="OXF48" s="20"/>
      <c r="OXG48" s="20"/>
      <c r="OXH48" s="20"/>
      <c r="OXI48" s="20"/>
      <c r="OXJ48" s="21"/>
      <c r="OXK48" s="21"/>
      <c r="OXL48" s="7"/>
      <c r="OXM48" s="7"/>
      <c r="OXN48" s="21"/>
      <c r="OXO48" s="20"/>
      <c r="OXP48" s="20"/>
      <c r="OXQ48" s="20"/>
      <c r="OXR48" s="21"/>
      <c r="OXS48" s="21"/>
      <c r="OXT48" s="21"/>
      <c r="OXU48" s="21"/>
      <c r="OXV48" s="21"/>
      <c r="OXW48" s="20"/>
      <c r="OXX48" s="20"/>
      <c r="OXY48" s="20"/>
      <c r="OXZ48" s="20"/>
      <c r="OYA48" s="21"/>
      <c r="OYB48" s="21"/>
      <c r="OYC48" s="7"/>
      <c r="OYD48" s="7"/>
      <c r="OYE48" s="21"/>
      <c r="OYF48" s="20"/>
      <c r="OYG48" s="20"/>
      <c r="OYH48" s="20"/>
      <c r="OYI48" s="21"/>
      <c r="OYJ48" s="21"/>
      <c r="OYK48" s="21"/>
      <c r="OYL48" s="21"/>
      <c r="OYM48" s="21"/>
      <c r="OYN48" s="20"/>
      <c r="OYO48" s="20"/>
      <c r="OYP48" s="20"/>
      <c r="OYQ48" s="20"/>
      <c r="OYR48" s="21"/>
      <c r="OYS48" s="21"/>
      <c r="OYT48" s="7"/>
      <c r="OYU48" s="7"/>
      <c r="OYV48" s="21"/>
      <c r="OYW48" s="20"/>
      <c r="OYX48" s="20"/>
      <c r="OYY48" s="20"/>
      <c r="OYZ48" s="21"/>
      <c r="OZA48" s="21"/>
      <c r="OZB48" s="21"/>
      <c r="OZC48" s="21"/>
      <c r="OZD48" s="21"/>
      <c r="OZE48" s="20"/>
      <c r="OZF48" s="20"/>
      <c r="OZG48" s="20"/>
      <c r="OZH48" s="20"/>
      <c r="OZI48" s="21"/>
      <c r="OZJ48" s="21"/>
      <c r="OZK48" s="7"/>
      <c r="OZL48" s="7"/>
      <c r="OZM48" s="21"/>
      <c r="OZN48" s="20"/>
      <c r="OZO48" s="20"/>
      <c r="OZP48" s="20"/>
      <c r="OZQ48" s="21"/>
      <c r="OZR48" s="21"/>
      <c r="OZS48" s="21"/>
      <c r="OZT48" s="21"/>
      <c r="OZU48" s="21"/>
      <c r="OZV48" s="20"/>
      <c r="OZW48" s="20"/>
      <c r="OZX48" s="20"/>
      <c r="OZY48" s="20"/>
      <c r="OZZ48" s="21"/>
      <c r="PAA48" s="21"/>
      <c r="PAB48" s="7"/>
      <c r="PAC48" s="7"/>
      <c r="PAD48" s="21"/>
      <c r="PAE48" s="20"/>
      <c r="PAF48" s="20"/>
      <c r="PAG48" s="20"/>
      <c r="PAH48" s="21"/>
      <c r="PAI48" s="21"/>
      <c r="PAJ48" s="21"/>
      <c r="PAK48" s="21"/>
      <c r="PAL48" s="21"/>
      <c r="PAM48" s="20"/>
      <c r="PAN48" s="20"/>
      <c r="PAO48" s="20"/>
      <c r="PAP48" s="20"/>
      <c r="PAQ48" s="21"/>
      <c r="PAR48" s="21"/>
      <c r="PAS48" s="7"/>
      <c r="PAT48" s="7"/>
      <c r="PAU48" s="21"/>
      <c r="PAV48" s="20"/>
      <c r="PAW48" s="20"/>
      <c r="PAX48" s="20"/>
      <c r="PAY48" s="21"/>
      <c r="PAZ48" s="21"/>
      <c r="PBA48" s="21"/>
      <c r="PBB48" s="21"/>
      <c r="PBC48" s="21"/>
      <c r="PBD48" s="20"/>
      <c r="PBE48" s="20"/>
      <c r="PBF48" s="20"/>
      <c r="PBG48" s="20"/>
      <c r="PBH48" s="21"/>
      <c r="PBI48" s="21"/>
      <c r="PBJ48" s="7"/>
      <c r="PBK48" s="7"/>
      <c r="PBL48" s="21"/>
      <c r="PBM48" s="20"/>
      <c r="PBN48" s="20"/>
      <c r="PBO48" s="20"/>
      <c r="PBP48" s="21"/>
      <c r="PBQ48" s="21"/>
      <c r="PBR48" s="21"/>
      <c r="PBS48" s="21"/>
      <c r="PBT48" s="21"/>
      <c r="PBU48" s="20"/>
      <c r="PBV48" s="20"/>
      <c r="PBW48" s="20"/>
      <c r="PBX48" s="20"/>
      <c r="PBY48" s="21"/>
      <c r="PBZ48" s="21"/>
      <c r="PCA48" s="7"/>
      <c r="PCB48" s="7"/>
      <c r="PCC48" s="21"/>
      <c r="PCD48" s="20"/>
      <c r="PCE48" s="20"/>
      <c r="PCF48" s="20"/>
      <c r="PCG48" s="21"/>
      <c r="PCH48" s="21"/>
      <c r="PCI48" s="21"/>
      <c r="PCJ48" s="21"/>
      <c r="PCK48" s="21"/>
      <c r="PCL48" s="20"/>
      <c r="PCM48" s="20"/>
      <c r="PCN48" s="20"/>
      <c r="PCO48" s="20"/>
      <c r="PCP48" s="21"/>
      <c r="PCQ48" s="21"/>
      <c r="PCR48" s="7"/>
      <c r="PCS48" s="7"/>
      <c r="PCT48" s="21"/>
      <c r="PCU48" s="20"/>
      <c r="PCV48" s="20"/>
      <c r="PCW48" s="20"/>
      <c r="PCX48" s="21"/>
      <c r="PCY48" s="21"/>
      <c r="PCZ48" s="21"/>
      <c r="PDA48" s="21"/>
      <c r="PDB48" s="21"/>
      <c r="PDC48" s="20"/>
      <c r="PDD48" s="20"/>
      <c r="PDE48" s="20"/>
      <c r="PDF48" s="20"/>
      <c r="PDG48" s="21"/>
      <c r="PDH48" s="21"/>
      <c r="PDI48" s="7"/>
      <c r="PDJ48" s="7"/>
      <c r="PDK48" s="21"/>
      <c r="PDL48" s="20"/>
      <c r="PDM48" s="20"/>
      <c r="PDN48" s="20"/>
      <c r="PDO48" s="21"/>
      <c r="PDP48" s="21"/>
      <c r="PDQ48" s="21"/>
      <c r="PDR48" s="21"/>
      <c r="PDS48" s="21"/>
      <c r="PDT48" s="20"/>
      <c r="PDU48" s="20"/>
      <c r="PDV48" s="20"/>
      <c r="PDW48" s="20"/>
      <c r="PDX48" s="21"/>
      <c r="PDY48" s="21"/>
      <c r="PDZ48" s="7"/>
      <c r="PEA48" s="7"/>
      <c r="PEB48" s="21"/>
      <c r="PEC48" s="20"/>
      <c r="PED48" s="20"/>
      <c r="PEE48" s="20"/>
      <c r="PEF48" s="21"/>
      <c r="PEG48" s="21"/>
      <c r="PEH48" s="21"/>
      <c r="PEI48" s="21"/>
      <c r="PEJ48" s="21"/>
      <c r="PEK48" s="20"/>
      <c r="PEL48" s="20"/>
      <c r="PEM48" s="20"/>
      <c r="PEN48" s="20"/>
      <c r="PEO48" s="21"/>
      <c r="PEP48" s="21"/>
      <c r="PEQ48" s="7"/>
      <c r="PER48" s="7"/>
      <c r="PES48" s="21"/>
      <c r="PET48" s="20"/>
      <c r="PEU48" s="20"/>
      <c r="PEV48" s="20"/>
      <c r="PEW48" s="21"/>
      <c r="PEX48" s="21"/>
      <c r="PEY48" s="21"/>
      <c r="PEZ48" s="21"/>
      <c r="PFA48" s="21"/>
      <c r="PFB48" s="20"/>
      <c r="PFC48" s="20"/>
      <c r="PFD48" s="20"/>
      <c r="PFE48" s="20"/>
      <c r="PFF48" s="21"/>
      <c r="PFG48" s="21"/>
      <c r="PFH48" s="7"/>
      <c r="PFI48" s="7"/>
      <c r="PFJ48" s="21"/>
      <c r="PFK48" s="20"/>
      <c r="PFL48" s="20"/>
      <c r="PFM48" s="20"/>
      <c r="PFN48" s="21"/>
      <c r="PFO48" s="21"/>
      <c r="PFP48" s="21"/>
      <c r="PFQ48" s="21"/>
      <c r="PFR48" s="21"/>
      <c r="PFS48" s="20"/>
      <c r="PFT48" s="20"/>
      <c r="PFU48" s="20"/>
      <c r="PFV48" s="20"/>
      <c r="PFW48" s="21"/>
      <c r="PFX48" s="21"/>
      <c r="PFY48" s="7"/>
      <c r="PFZ48" s="7"/>
      <c r="PGA48" s="21"/>
      <c r="PGB48" s="20"/>
      <c r="PGC48" s="20"/>
      <c r="PGD48" s="20"/>
      <c r="PGE48" s="21"/>
      <c r="PGF48" s="21"/>
      <c r="PGG48" s="21"/>
      <c r="PGH48" s="21"/>
      <c r="PGI48" s="21"/>
      <c r="PGJ48" s="20"/>
      <c r="PGK48" s="20"/>
      <c r="PGL48" s="20"/>
      <c r="PGM48" s="20"/>
      <c r="PGN48" s="21"/>
      <c r="PGO48" s="21"/>
      <c r="PGP48" s="7"/>
      <c r="PGQ48" s="7"/>
      <c r="PGR48" s="21"/>
      <c r="PGS48" s="20"/>
      <c r="PGT48" s="20"/>
      <c r="PGU48" s="20"/>
      <c r="PGV48" s="21"/>
      <c r="PGW48" s="21"/>
      <c r="PGX48" s="21"/>
      <c r="PGY48" s="21"/>
      <c r="PGZ48" s="21"/>
      <c r="PHA48" s="20"/>
      <c r="PHB48" s="20"/>
      <c r="PHC48" s="20"/>
      <c r="PHD48" s="20"/>
      <c r="PHE48" s="21"/>
      <c r="PHF48" s="21"/>
      <c r="PHG48" s="7"/>
      <c r="PHH48" s="7"/>
      <c r="PHI48" s="21"/>
      <c r="PHJ48" s="20"/>
      <c r="PHK48" s="20"/>
      <c r="PHL48" s="20"/>
      <c r="PHM48" s="21"/>
      <c r="PHN48" s="21"/>
      <c r="PHO48" s="21"/>
      <c r="PHP48" s="21"/>
      <c r="PHQ48" s="21"/>
      <c r="PHR48" s="20"/>
      <c r="PHS48" s="20"/>
      <c r="PHT48" s="20"/>
      <c r="PHU48" s="20"/>
      <c r="PHV48" s="21"/>
      <c r="PHW48" s="21"/>
      <c r="PHX48" s="7"/>
      <c r="PHY48" s="7"/>
      <c r="PHZ48" s="21"/>
      <c r="PIA48" s="20"/>
      <c r="PIB48" s="20"/>
      <c r="PIC48" s="20"/>
      <c r="PID48" s="21"/>
      <c r="PIE48" s="21"/>
      <c r="PIF48" s="21"/>
      <c r="PIG48" s="21"/>
      <c r="PIH48" s="21"/>
      <c r="PII48" s="20"/>
      <c r="PIJ48" s="20"/>
      <c r="PIK48" s="20"/>
      <c r="PIL48" s="20"/>
      <c r="PIM48" s="21"/>
      <c r="PIN48" s="21"/>
      <c r="PIO48" s="7"/>
      <c r="PIP48" s="7"/>
      <c r="PIQ48" s="21"/>
      <c r="PIR48" s="20"/>
      <c r="PIS48" s="20"/>
      <c r="PIT48" s="20"/>
      <c r="PIU48" s="21"/>
      <c r="PIV48" s="21"/>
      <c r="PIW48" s="21"/>
      <c r="PIX48" s="21"/>
      <c r="PIY48" s="21"/>
      <c r="PIZ48" s="20"/>
      <c r="PJA48" s="20"/>
      <c r="PJB48" s="20"/>
      <c r="PJC48" s="20"/>
      <c r="PJD48" s="21"/>
      <c r="PJE48" s="21"/>
      <c r="PJF48" s="7"/>
      <c r="PJG48" s="7"/>
      <c r="PJH48" s="21"/>
      <c r="PJI48" s="20"/>
      <c r="PJJ48" s="20"/>
      <c r="PJK48" s="20"/>
      <c r="PJL48" s="21"/>
      <c r="PJM48" s="21"/>
      <c r="PJN48" s="21"/>
      <c r="PJO48" s="21"/>
      <c r="PJP48" s="21"/>
      <c r="PJQ48" s="20"/>
      <c r="PJR48" s="20"/>
      <c r="PJS48" s="20"/>
      <c r="PJT48" s="20"/>
      <c r="PJU48" s="21"/>
      <c r="PJV48" s="21"/>
      <c r="PJW48" s="7"/>
      <c r="PJX48" s="7"/>
      <c r="PJY48" s="21"/>
      <c r="PJZ48" s="20"/>
      <c r="PKA48" s="20"/>
      <c r="PKB48" s="20"/>
      <c r="PKC48" s="21"/>
      <c r="PKD48" s="21"/>
      <c r="PKE48" s="21"/>
      <c r="PKF48" s="21"/>
      <c r="PKG48" s="21"/>
      <c r="PKH48" s="20"/>
      <c r="PKI48" s="20"/>
      <c r="PKJ48" s="20"/>
      <c r="PKK48" s="20"/>
      <c r="PKL48" s="21"/>
      <c r="PKM48" s="21"/>
      <c r="PKN48" s="7"/>
      <c r="PKO48" s="7"/>
      <c r="PKP48" s="21"/>
      <c r="PKQ48" s="20"/>
      <c r="PKR48" s="20"/>
      <c r="PKS48" s="20"/>
      <c r="PKT48" s="21"/>
      <c r="PKU48" s="21"/>
      <c r="PKV48" s="21"/>
      <c r="PKW48" s="21"/>
      <c r="PKX48" s="21"/>
      <c r="PKY48" s="20"/>
      <c r="PKZ48" s="20"/>
      <c r="PLA48" s="20"/>
      <c r="PLB48" s="20"/>
      <c r="PLC48" s="21"/>
      <c r="PLD48" s="21"/>
      <c r="PLE48" s="7"/>
      <c r="PLF48" s="7"/>
      <c r="PLG48" s="21"/>
      <c r="PLH48" s="20"/>
      <c r="PLI48" s="20"/>
      <c r="PLJ48" s="20"/>
      <c r="PLK48" s="21"/>
      <c r="PLL48" s="21"/>
      <c r="PLM48" s="21"/>
      <c r="PLN48" s="21"/>
      <c r="PLO48" s="21"/>
      <c r="PLP48" s="20"/>
      <c r="PLQ48" s="20"/>
      <c r="PLR48" s="20"/>
      <c r="PLS48" s="20"/>
      <c r="PLT48" s="21"/>
      <c r="PLU48" s="21"/>
      <c r="PLV48" s="7"/>
      <c r="PLW48" s="7"/>
      <c r="PLX48" s="21"/>
      <c r="PLY48" s="20"/>
      <c r="PLZ48" s="20"/>
      <c r="PMA48" s="20"/>
      <c r="PMB48" s="21"/>
      <c r="PMC48" s="21"/>
      <c r="PMD48" s="21"/>
      <c r="PME48" s="21"/>
      <c r="PMF48" s="21"/>
      <c r="PMG48" s="20"/>
      <c r="PMH48" s="20"/>
      <c r="PMI48" s="20"/>
      <c r="PMJ48" s="20"/>
      <c r="PMK48" s="21"/>
      <c r="PML48" s="21"/>
      <c r="PMM48" s="7"/>
      <c r="PMN48" s="7"/>
      <c r="PMO48" s="21"/>
      <c r="PMP48" s="20"/>
      <c r="PMQ48" s="20"/>
      <c r="PMR48" s="20"/>
      <c r="PMS48" s="21"/>
      <c r="PMT48" s="21"/>
      <c r="PMU48" s="21"/>
      <c r="PMV48" s="21"/>
      <c r="PMW48" s="21"/>
      <c r="PMX48" s="20"/>
      <c r="PMY48" s="20"/>
      <c r="PMZ48" s="20"/>
      <c r="PNA48" s="20"/>
      <c r="PNB48" s="21"/>
      <c r="PNC48" s="21"/>
      <c r="PND48" s="7"/>
      <c r="PNE48" s="7"/>
      <c r="PNF48" s="21"/>
      <c r="PNG48" s="20"/>
      <c r="PNH48" s="20"/>
      <c r="PNI48" s="20"/>
      <c r="PNJ48" s="21"/>
      <c r="PNK48" s="21"/>
      <c r="PNL48" s="21"/>
      <c r="PNM48" s="21"/>
      <c r="PNN48" s="21"/>
      <c r="PNO48" s="20"/>
      <c r="PNP48" s="20"/>
      <c r="PNQ48" s="20"/>
      <c r="PNR48" s="20"/>
      <c r="PNS48" s="21"/>
      <c r="PNT48" s="21"/>
      <c r="PNU48" s="7"/>
      <c r="PNV48" s="7"/>
      <c r="PNW48" s="21"/>
      <c r="PNX48" s="20"/>
      <c r="PNY48" s="20"/>
      <c r="PNZ48" s="20"/>
      <c r="POA48" s="21"/>
      <c r="POB48" s="21"/>
      <c r="POC48" s="21"/>
      <c r="POD48" s="21"/>
      <c r="POE48" s="21"/>
      <c r="POF48" s="20"/>
      <c r="POG48" s="20"/>
      <c r="POH48" s="20"/>
      <c r="POI48" s="20"/>
      <c r="POJ48" s="21"/>
      <c r="POK48" s="21"/>
      <c r="POL48" s="7"/>
      <c r="POM48" s="7"/>
      <c r="PON48" s="21"/>
      <c r="POO48" s="20"/>
      <c r="POP48" s="20"/>
      <c r="POQ48" s="20"/>
      <c r="POR48" s="21"/>
      <c r="POS48" s="21"/>
      <c r="POT48" s="21"/>
      <c r="POU48" s="21"/>
      <c r="POV48" s="21"/>
      <c r="POW48" s="20"/>
      <c r="POX48" s="20"/>
      <c r="POY48" s="20"/>
      <c r="POZ48" s="20"/>
      <c r="PPA48" s="21"/>
      <c r="PPB48" s="21"/>
      <c r="PPC48" s="7"/>
      <c r="PPD48" s="7"/>
      <c r="PPE48" s="21"/>
      <c r="PPF48" s="20"/>
      <c r="PPG48" s="20"/>
      <c r="PPH48" s="20"/>
      <c r="PPI48" s="21"/>
      <c r="PPJ48" s="21"/>
      <c r="PPK48" s="21"/>
      <c r="PPL48" s="21"/>
      <c r="PPM48" s="21"/>
      <c r="PPN48" s="20"/>
      <c r="PPO48" s="20"/>
      <c r="PPP48" s="20"/>
      <c r="PPQ48" s="20"/>
      <c r="PPR48" s="21"/>
      <c r="PPS48" s="21"/>
      <c r="PPT48" s="7"/>
      <c r="PPU48" s="7"/>
      <c r="PPV48" s="21"/>
      <c r="PPW48" s="20"/>
      <c r="PPX48" s="20"/>
      <c r="PPY48" s="20"/>
      <c r="PPZ48" s="21"/>
      <c r="PQA48" s="21"/>
      <c r="PQB48" s="21"/>
      <c r="PQC48" s="21"/>
      <c r="PQD48" s="21"/>
      <c r="PQE48" s="20"/>
      <c r="PQF48" s="20"/>
      <c r="PQG48" s="20"/>
      <c r="PQH48" s="20"/>
      <c r="PQI48" s="21"/>
      <c r="PQJ48" s="21"/>
      <c r="PQK48" s="7"/>
      <c r="PQL48" s="7"/>
      <c r="PQM48" s="21"/>
      <c r="PQN48" s="20"/>
      <c r="PQO48" s="20"/>
      <c r="PQP48" s="20"/>
      <c r="PQQ48" s="21"/>
      <c r="PQR48" s="21"/>
      <c r="PQS48" s="21"/>
      <c r="PQT48" s="21"/>
      <c r="PQU48" s="21"/>
      <c r="PQV48" s="20"/>
      <c r="PQW48" s="20"/>
      <c r="PQX48" s="20"/>
      <c r="PQY48" s="20"/>
      <c r="PQZ48" s="21"/>
      <c r="PRA48" s="21"/>
      <c r="PRB48" s="7"/>
      <c r="PRC48" s="7"/>
      <c r="PRD48" s="21"/>
      <c r="PRE48" s="20"/>
      <c r="PRF48" s="20"/>
      <c r="PRG48" s="20"/>
      <c r="PRH48" s="21"/>
      <c r="PRI48" s="21"/>
      <c r="PRJ48" s="21"/>
      <c r="PRK48" s="21"/>
      <c r="PRL48" s="21"/>
      <c r="PRM48" s="20"/>
      <c r="PRN48" s="20"/>
      <c r="PRO48" s="20"/>
      <c r="PRP48" s="20"/>
      <c r="PRQ48" s="21"/>
      <c r="PRR48" s="21"/>
      <c r="PRS48" s="7"/>
      <c r="PRT48" s="7"/>
      <c r="PRU48" s="21"/>
      <c r="PRV48" s="20"/>
      <c r="PRW48" s="20"/>
      <c r="PRX48" s="20"/>
      <c r="PRY48" s="21"/>
      <c r="PRZ48" s="21"/>
      <c r="PSA48" s="21"/>
      <c r="PSB48" s="21"/>
      <c r="PSC48" s="21"/>
      <c r="PSD48" s="20"/>
      <c r="PSE48" s="20"/>
      <c r="PSF48" s="20"/>
      <c r="PSG48" s="20"/>
      <c r="PSH48" s="21"/>
      <c r="PSI48" s="21"/>
      <c r="PSJ48" s="7"/>
      <c r="PSK48" s="7"/>
      <c r="PSL48" s="21"/>
      <c r="PSM48" s="20"/>
      <c r="PSN48" s="20"/>
      <c r="PSO48" s="20"/>
      <c r="PSP48" s="21"/>
      <c r="PSQ48" s="21"/>
      <c r="PSR48" s="21"/>
      <c r="PSS48" s="21"/>
      <c r="PST48" s="21"/>
      <c r="PSU48" s="20"/>
      <c r="PSV48" s="20"/>
      <c r="PSW48" s="20"/>
      <c r="PSX48" s="20"/>
      <c r="PSY48" s="21"/>
      <c r="PSZ48" s="21"/>
      <c r="PTA48" s="7"/>
      <c r="PTB48" s="7"/>
      <c r="PTC48" s="21"/>
      <c r="PTD48" s="20"/>
      <c r="PTE48" s="20"/>
      <c r="PTF48" s="20"/>
      <c r="PTG48" s="21"/>
      <c r="PTH48" s="21"/>
      <c r="PTI48" s="21"/>
      <c r="PTJ48" s="21"/>
      <c r="PTK48" s="21"/>
      <c r="PTL48" s="20"/>
      <c r="PTM48" s="20"/>
      <c r="PTN48" s="20"/>
      <c r="PTO48" s="20"/>
      <c r="PTP48" s="21"/>
      <c r="PTQ48" s="21"/>
      <c r="PTR48" s="7"/>
      <c r="PTS48" s="7"/>
      <c r="PTT48" s="21"/>
      <c r="PTU48" s="20"/>
      <c r="PTV48" s="20"/>
      <c r="PTW48" s="20"/>
      <c r="PTX48" s="21"/>
      <c r="PTY48" s="21"/>
      <c r="PTZ48" s="21"/>
      <c r="PUA48" s="21"/>
      <c r="PUB48" s="21"/>
      <c r="PUC48" s="20"/>
      <c r="PUD48" s="20"/>
      <c r="PUE48" s="20"/>
      <c r="PUF48" s="20"/>
      <c r="PUG48" s="21"/>
      <c r="PUH48" s="21"/>
      <c r="PUI48" s="7"/>
      <c r="PUJ48" s="7"/>
      <c r="PUK48" s="21"/>
      <c r="PUL48" s="20"/>
      <c r="PUM48" s="20"/>
      <c r="PUN48" s="20"/>
      <c r="PUO48" s="21"/>
      <c r="PUP48" s="21"/>
      <c r="PUQ48" s="21"/>
      <c r="PUR48" s="21"/>
      <c r="PUS48" s="21"/>
      <c r="PUT48" s="20"/>
      <c r="PUU48" s="20"/>
      <c r="PUV48" s="20"/>
      <c r="PUW48" s="20"/>
      <c r="PUX48" s="21"/>
      <c r="PUY48" s="21"/>
      <c r="PUZ48" s="7"/>
      <c r="PVA48" s="7"/>
      <c r="PVB48" s="21"/>
      <c r="PVC48" s="20"/>
      <c r="PVD48" s="20"/>
      <c r="PVE48" s="20"/>
      <c r="PVF48" s="21"/>
      <c r="PVG48" s="21"/>
      <c r="PVH48" s="21"/>
      <c r="PVI48" s="21"/>
      <c r="PVJ48" s="21"/>
      <c r="PVK48" s="20"/>
      <c r="PVL48" s="20"/>
      <c r="PVM48" s="20"/>
      <c r="PVN48" s="20"/>
      <c r="PVO48" s="21"/>
      <c r="PVP48" s="21"/>
      <c r="PVQ48" s="7"/>
      <c r="PVR48" s="7"/>
      <c r="PVS48" s="21"/>
      <c r="PVT48" s="20"/>
      <c r="PVU48" s="20"/>
      <c r="PVV48" s="20"/>
      <c r="PVW48" s="21"/>
      <c r="PVX48" s="21"/>
      <c r="PVY48" s="21"/>
      <c r="PVZ48" s="21"/>
      <c r="PWA48" s="21"/>
      <c r="PWB48" s="20"/>
      <c r="PWC48" s="20"/>
      <c r="PWD48" s="20"/>
      <c r="PWE48" s="20"/>
      <c r="PWF48" s="21"/>
      <c r="PWG48" s="21"/>
      <c r="PWH48" s="7"/>
      <c r="PWI48" s="7"/>
      <c r="PWJ48" s="21"/>
      <c r="PWK48" s="20"/>
      <c r="PWL48" s="20"/>
      <c r="PWM48" s="20"/>
      <c r="PWN48" s="21"/>
      <c r="PWO48" s="21"/>
      <c r="PWP48" s="21"/>
      <c r="PWQ48" s="21"/>
      <c r="PWR48" s="21"/>
      <c r="PWS48" s="20"/>
      <c r="PWT48" s="20"/>
      <c r="PWU48" s="20"/>
      <c r="PWV48" s="20"/>
      <c r="PWW48" s="21"/>
      <c r="PWX48" s="21"/>
      <c r="PWY48" s="7"/>
      <c r="PWZ48" s="7"/>
      <c r="PXA48" s="21"/>
      <c r="PXB48" s="20"/>
      <c r="PXC48" s="20"/>
      <c r="PXD48" s="20"/>
      <c r="PXE48" s="21"/>
      <c r="PXF48" s="21"/>
      <c r="PXG48" s="21"/>
      <c r="PXH48" s="21"/>
      <c r="PXI48" s="21"/>
      <c r="PXJ48" s="20"/>
      <c r="PXK48" s="20"/>
      <c r="PXL48" s="20"/>
      <c r="PXM48" s="20"/>
      <c r="PXN48" s="21"/>
      <c r="PXO48" s="21"/>
      <c r="PXP48" s="7"/>
      <c r="PXQ48" s="7"/>
      <c r="PXR48" s="21"/>
      <c r="PXS48" s="20"/>
      <c r="PXT48" s="20"/>
      <c r="PXU48" s="20"/>
      <c r="PXV48" s="21"/>
      <c r="PXW48" s="21"/>
      <c r="PXX48" s="21"/>
      <c r="PXY48" s="21"/>
      <c r="PXZ48" s="21"/>
      <c r="PYA48" s="20"/>
      <c r="PYB48" s="20"/>
      <c r="PYC48" s="20"/>
      <c r="PYD48" s="20"/>
      <c r="PYE48" s="21"/>
      <c r="PYF48" s="21"/>
      <c r="PYG48" s="7"/>
      <c r="PYH48" s="7"/>
      <c r="PYI48" s="21"/>
      <c r="PYJ48" s="20"/>
      <c r="PYK48" s="20"/>
      <c r="PYL48" s="20"/>
      <c r="PYM48" s="21"/>
      <c r="PYN48" s="21"/>
      <c r="PYO48" s="21"/>
      <c r="PYP48" s="21"/>
      <c r="PYQ48" s="21"/>
      <c r="PYR48" s="20"/>
      <c r="PYS48" s="20"/>
      <c r="PYT48" s="20"/>
      <c r="PYU48" s="20"/>
      <c r="PYV48" s="21"/>
      <c r="PYW48" s="21"/>
      <c r="PYX48" s="7"/>
      <c r="PYY48" s="7"/>
      <c r="PYZ48" s="21"/>
      <c r="PZA48" s="20"/>
      <c r="PZB48" s="20"/>
      <c r="PZC48" s="20"/>
      <c r="PZD48" s="21"/>
      <c r="PZE48" s="21"/>
      <c r="PZF48" s="21"/>
      <c r="PZG48" s="21"/>
      <c r="PZH48" s="21"/>
      <c r="PZI48" s="20"/>
      <c r="PZJ48" s="20"/>
      <c r="PZK48" s="20"/>
      <c r="PZL48" s="20"/>
      <c r="PZM48" s="21"/>
      <c r="PZN48" s="21"/>
      <c r="PZO48" s="7"/>
      <c r="PZP48" s="7"/>
      <c r="PZQ48" s="21"/>
      <c r="PZR48" s="20"/>
      <c r="PZS48" s="20"/>
      <c r="PZT48" s="20"/>
      <c r="PZU48" s="21"/>
      <c r="PZV48" s="21"/>
      <c r="PZW48" s="21"/>
      <c r="PZX48" s="21"/>
      <c r="PZY48" s="21"/>
      <c r="PZZ48" s="20"/>
      <c r="QAA48" s="20"/>
      <c r="QAB48" s="20"/>
      <c r="QAC48" s="20"/>
      <c r="QAD48" s="21"/>
      <c r="QAE48" s="21"/>
      <c r="QAF48" s="7"/>
      <c r="QAG48" s="7"/>
      <c r="QAH48" s="21"/>
      <c r="QAI48" s="20"/>
      <c r="QAJ48" s="20"/>
      <c r="QAK48" s="20"/>
      <c r="QAL48" s="21"/>
      <c r="QAM48" s="21"/>
      <c r="QAN48" s="21"/>
      <c r="QAO48" s="21"/>
      <c r="QAP48" s="21"/>
      <c r="QAQ48" s="20"/>
      <c r="QAR48" s="20"/>
      <c r="QAS48" s="20"/>
      <c r="QAT48" s="20"/>
      <c r="QAU48" s="21"/>
      <c r="QAV48" s="21"/>
      <c r="QAW48" s="7"/>
      <c r="QAX48" s="7"/>
      <c r="QAY48" s="21"/>
      <c r="QAZ48" s="20"/>
      <c r="QBA48" s="20"/>
      <c r="QBB48" s="20"/>
      <c r="QBC48" s="21"/>
      <c r="QBD48" s="21"/>
      <c r="QBE48" s="21"/>
      <c r="QBF48" s="21"/>
      <c r="QBG48" s="21"/>
      <c r="QBH48" s="20"/>
      <c r="QBI48" s="20"/>
      <c r="QBJ48" s="20"/>
      <c r="QBK48" s="20"/>
      <c r="QBL48" s="21"/>
      <c r="QBM48" s="21"/>
      <c r="QBN48" s="7"/>
      <c r="QBO48" s="7"/>
      <c r="QBP48" s="21"/>
      <c r="QBQ48" s="20"/>
      <c r="QBR48" s="20"/>
      <c r="QBS48" s="20"/>
      <c r="QBT48" s="21"/>
      <c r="QBU48" s="21"/>
      <c r="QBV48" s="21"/>
      <c r="QBW48" s="21"/>
      <c r="QBX48" s="21"/>
      <c r="QBY48" s="20"/>
      <c r="QBZ48" s="20"/>
      <c r="QCA48" s="20"/>
      <c r="QCB48" s="20"/>
      <c r="QCC48" s="21"/>
      <c r="QCD48" s="21"/>
      <c r="QCE48" s="7"/>
      <c r="QCF48" s="7"/>
      <c r="QCG48" s="21"/>
      <c r="QCH48" s="20"/>
      <c r="QCI48" s="20"/>
      <c r="QCJ48" s="20"/>
      <c r="QCK48" s="21"/>
      <c r="QCL48" s="21"/>
      <c r="QCM48" s="21"/>
      <c r="QCN48" s="21"/>
      <c r="QCO48" s="21"/>
      <c r="QCP48" s="20"/>
      <c r="QCQ48" s="20"/>
      <c r="QCR48" s="20"/>
      <c r="QCS48" s="20"/>
      <c r="QCT48" s="21"/>
      <c r="QCU48" s="21"/>
      <c r="QCV48" s="7"/>
      <c r="QCW48" s="7"/>
      <c r="QCX48" s="21"/>
      <c r="QCY48" s="20"/>
      <c r="QCZ48" s="20"/>
      <c r="QDA48" s="20"/>
      <c r="QDB48" s="21"/>
      <c r="QDC48" s="21"/>
      <c r="QDD48" s="21"/>
      <c r="QDE48" s="21"/>
      <c r="QDF48" s="21"/>
      <c r="QDG48" s="20"/>
      <c r="QDH48" s="20"/>
      <c r="QDI48" s="20"/>
      <c r="QDJ48" s="20"/>
      <c r="QDK48" s="21"/>
      <c r="QDL48" s="21"/>
      <c r="QDM48" s="7"/>
      <c r="QDN48" s="7"/>
      <c r="QDO48" s="21"/>
      <c r="QDP48" s="20"/>
      <c r="QDQ48" s="20"/>
      <c r="QDR48" s="20"/>
      <c r="QDS48" s="21"/>
      <c r="QDT48" s="21"/>
      <c r="QDU48" s="21"/>
      <c r="QDV48" s="21"/>
      <c r="QDW48" s="21"/>
      <c r="QDX48" s="20"/>
      <c r="QDY48" s="20"/>
      <c r="QDZ48" s="20"/>
      <c r="QEA48" s="20"/>
      <c r="QEB48" s="21"/>
      <c r="QEC48" s="21"/>
      <c r="QED48" s="7"/>
      <c r="QEE48" s="7"/>
      <c r="QEF48" s="21"/>
      <c r="QEG48" s="20"/>
      <c r="QEH48" s="20"/>
      <c r="QEI48" s="20"/>
      <c r="QEJ48" s="21"/>
      <c r="QEK48" s="21"/>
      <c r="QEL48" s="21"/>
      <c r="QEM48" s="21"/>
      <c r="QEN48" s="21"/>
      <c r="QEO48" s="20"/>
      <c r="QEP48" s="20"/>
      <c r="QEQ48" s="20"/>
      <c r="QER48" s="20"/>
      <c r="QES48" s="21"/>
      <c r="QET48" s="21"/>
      <c r="QEU48" s="7"/>
      <c r="QEV48" s="7"/>
      <c r="QEW48" s="21"/>
      <c r="QEX48" s="20"/>
      <c r="QEY48" s="20"/>
      <c r="QEZ48" s="20"/>
      <c r="QFA48" s="21"/>
      <c r="QFB48" s="21"/>
      <c r="QFC48" s="21"/>
      <c r="QFD48" s="21"/>
      <c r="QFE48" s="21"/>
      <c r="QFF48" s="20"/>
      <c r="QFG48" s="20"/>
      <c r="QFH48" s="20"/>
      <c r="QFI48" s="20"/>
      <c r="QFJ48" s="21"/>
      <c r="QFK48" s="21"/>
      <c r="QFL48" s="7"/>
      <c r="QFM48" s="7"/>
      <c r="QFN48" s="21"/>
      <c r="QFO48" s="20"/>
      <c r="QFP48" s="20"/>
      <c r="QFQ48" s="20"/>
      <c r="QFR48" s="21"/>
      <c r="QFS48" s="21"/>
      <c r="QFT48" s="21"/>
      <c r="QFU48" s="21"/>
      <c r="QFV48" s="21"/>
      <c r="QFW48" s="20"/>
      <c r="QFX48" s="20"/>
      <c r="QFY48" s="20"/>
      <c r="QFZ48" s="20"/>
      <c r="QGA48" s="21"/>
      <c r="QGB48" s="21"/>
      <c r="QGC48" s="7"/>
      <c r="QGD48" s="7"/>
      <c r="QGE48" s="21"/>
      <c r="QGF48" s="20"/>
      <c r="QGG48" s="20"/>
      <c r="QGH48" s="20"/>
      <c r="QGI48" s="21"/>
      <c r="QGJ48" s="21"/>
      <c r="QGK48" s="21"/>
      <c r="QGL48" s="21"/>
      <c r="QGM48" s="21"/>
      <c r="QGN48" s="20"/>
      <c r="QGO48" s="20"/>
      <c r="QGP48" s="20"/>
      <c r="QGQ48" s="20"/>
      <c r="QGR48" s="21"/>
      <c r="QGS48" s="21"/>
      <c r="QGT48" s="7"/>
      <c r="QGU48" s="7"/>
      <c r="QGV48" s="21"/>
      <c r="QGW48" s="20"/>
      <c r="QGX48" s="20"/>
      <c r="QGY48" s="20"/>
      <c r="QGZ48" s="21"/>
      <c r="QHA48" s="21"/>
      <c r="QHB48" s="21"/>
      <c r="QHC48" s="21"/>
      <c r="QHD48" s="21"/>
      <c r="QHE48" s="20"/>
      <c r="QHF48" s="20"/>
      <c r="QHG48" s="20"/>
      <c r="QHH48" s="20"/>
      <c r="QHI48" s="21"/>
      <c r="QHJ48" s="21"/>
      <c r="QHK48" s="7"/>
      <c r="QHL48" s="7"/>
      <c r="QHM48" s="21"/>
      <c r="QHN48" s="20"/>
      <c r="QHO48" s="20"/>
      <c r="QHP48" s="20"/>
      <c r="QHQ48" s="21"/>
      <c r="QHR48" s="21"/>
      <c r="QHS48" s="21"/>
      <c r="QHT48" s="21"/>
      <c r="QHU48" s="21"/>
      <c r="QHV48" s="20"/>
      <c r="QHW48" s="20"/>
      <c r="QHX48" s="20"/>
      <c r="QHY48" s="20"/>
      <c r="QHZ48" s="21"/>
      <c r="QIA48" s="21"/>
      <c r="QIB48" s="7"/>
      <c r="QIC48" s="7"/>
      <c r="QID48" s="21"/>
      <c r="QIE48" s="20"/>
      <c r="QIF48" s="20"/>
      <c r="QIG48" s="20"/>
      <c r="QIH48" s="21"/>
      <c r="QII48" s="21"/>
      <c r="QIJ48" s="21"/>
      <c r="QIK48" s="21"/>
      <c r="QIL48" s="21"/>
      <c r="QIM48" s="20"/>
      <c r="QIN48" s="20"/>
      <c r="QIO48" s="20"/>
      <c r="QIP48" s="20"/>
      <c r="QIQ48" s="21"/>
      <c r="QIR48" s="21"/>
      <c r="QIS48" s="7"/>
      <c r="QIT48" s="7"/>
      <c r="QIU48" s="21"/>
      <c r="QIV48" s="20"/>
      <c r="QIW48" s="20"/>
      <c r="QIX48" s="20"/>
      <c r="QIY48" s="21"/>
      <c r="QIZ48" s="21"/>
      <c r="QJA48" s="21"/>
      <c r="QJB48" s="21"/>
      <c r="QJC48" s="21"/>
      <c r="QJD48" s="20"/>
      <c r="QJE48" s="20"/>
      <c r="QJF48" s="20"/>
      <c r="QJG48" s="20"/>
      <c r="QJH48" s="21"/>
      <c r="QJI48" s="21"/>
      <c r="QJJ48" s="7"/>
      <c r="QJK48" s="7"/>
      <c r="QJL48" s="21"/>
      <c r="QJM48" s="20"/>
      <c r="QJN48" s="20"/>
      <c r="QJO48" s="20"/>
      <c r="QJP48" s="21"/>
      <c r="QJQ48" s="21"/>
      <c r="QJR48" s="21"/>
      <c r="QJS48" s="21"/>
      <c r="QJT48" s="21"/>
      <c r="QJU48" s="20"/>
      <c r="QJV48" s="20"/>
      <c r="QJW48" s="20"/>
      <c r="QJX48" s="20"/>
      <c r="QJY48" s="21"/>
      <c r="QJZ48" s="21"/>
      <c r="QKA48" s="7"/>
      <c r="QKB48" s="7"/>
      <c r="QKC48" s="21"/>
      <c r="QKD48" s="20"/>
      <c r="QKE48" s="20"/>
      <c r="QKF48" s="20"/>
      <c r="QKG48" s="21"/>
      <c r="QKH48" s="21"/>
      <c r="QKI48" s="21"/>
      <c r="QKJ48" s="21"/>
      <c r="QKK48" s="21"/>
      <c r="QKL48" s="20"/>
      <c r="QKM48" s="20"/>
      <c r="QKN48" s="20"/>
      <c r="QKO48" s="20"/>
      <c r="QKP48" s="21"/>
      <c r="QKQ48" s="21"/>
      <c r="QKR48" s="7"/>
      <c r="QKS48" s="7"/>
      <c r="QKT48" s="21"/>
      <c r="QKU48" s="20"/>
      <c r="QKV48" s="20"/>
      <c r="QKW48" s="20"/>
      <c r="QKX48" s="21"/>
      <c r="QKY48" s="21"/>
      <c r="QKZ48" s="21"/>
      <c r="QLA48" s="21"/>
      <c r="QLB48" s="21"/>
      <c r="QLC48" s="20"/>
      <c r="QLD48" s="20"/>
      <c r="QLE48" s="20"/>
      <c r="QLF48" s="20"/>
      <c r="QLG48" s="21"/>
      <c r="QLH48" s="21"/>
      <c r="QLI48" s="7"/>
      <c r="QLJ48" s="7"/>
      <c r="QLK48" s="21"/>
      <c r="QLL48" s="20"/>
      <c r="QLM48" s="20"/>
      <c r="QLN48" s="20"/>
      <c r="QLO48" s="21"/>
      <c r="QLP48" s="21"/>
      <c r="QLQ48" s="21"/>
      <c r="QLR48" s="21"/>
      <c r="QLS48" s="21"/>
      <c r="QLT48" s="20"/>
      <c r="QLU48" s="20"/>
      <c r="QLV48" s="20"/>
      <c r="QLW48" s="20"/>
      <c r="QLX48" s="21"/>
      <c r="QLY48" s="21"/>
      <c r="QLZ48" s="7"/>
      <c r="QMA48" s="7"/>
      <c r="QMB48" s="21"/>
      <c r="QMC48" s="20"/>
      <c r="QMD48" s="20"/>
      <c r="QME48" s="20"/>
      <c r="QMF48" s="21"/>
      <c r="QMG48" s="21"/>
      <c r="QMH48" s="21"/>
      <c r="QMI48" s="21"/>
      <c r="QMJ48" s="21"/>
      <c r="QMK48" s="20"/>
      <c r="QML48" s="20"/>
      <c r="QMM48" s="20"/>
      <c r="QMN48" s="20"/>
      <c r="QMO48" s="21"/>
      <c r="QMP48" s="21"/>
      <c r="QMQ48" s="7"/>
      <c r="QMR48" s="7"/>
      <c r="QMS48" s="21"/>
      <c r="QMT48" s="20"/>
      <c r="QMU48" s="20"/>
      <c r="QMV48" s="20"/>
      <c r="QMW48" s="21"/>
      <c r="QMX48" s="21"/>
      <c r="QMY48" s="21"/>
      <c r="QMZ48" s="21"/>
      <c r="QNA48" s="21"/>
      <c r="QNB48" s="20"/>
      <c r="QNC48" s="20"/>
      <c r="QND48" s="20"/>
      <c r="QNE48" s="20"/>
      <c r="QNF48" s="21"/>
      <c r="QNG48" s="21"/>
      <c r="QNH48" s="7"/>
      <c r="QNI48" s="7"/>
      <c r="QNJ48" s="21"/>
      <c r="QNK48" s="20"/>
      <c r="QNL48" s="20"/>
      <c r="QNM48" s="20"/>
      <c r="QNN48" s="21"/>
      <c r="QNO48" s="21"/>
      <c r="QNP48" s="21"/>
      <c r="QNQ48" s="21"/>
      <c r="QNR48" s="21"/>
      <c r="QNS48" s="20"/>
      <c r="QNT48" s="20"/>
      <c r="QNU48" s="20"/>
      <c r="QNV48" s="20"/>
      <c r="QNW48" s="21"/>
      <c r="QNX48" s="21"/>
      <c r="QNY48" s="7"/>
      <c r="QNZ48" s="7"/>
      <c r="QOA48" s="21"/>
      <c r="QOB48" s="20"/>
      <c r="QOC48" s="20"/>
      <c r="QOD48" s="20"/>
      <c r="QOE48" s="21"/>
      <c r="QOF48" s="21"/>
      <c r="QOG48" s="21"/>
      <c r="QOH48" s="21"/>
      <c r="QOI48" s="21"/>
      <c r="QOJ48" s="20"/>
      <c r="QOK48" s="20"/>
      <c r="QOL48" s="20"/>
      <c r="QOM48" s="20"/>
      <c r="QON48" s="21"/>
      <c r="QOO48" s="21"/>
      <c r="QOP48" s="7"/>
      <c r="QOQ48" s="7"/>
      <c r="QOR48" s="21"/>
      <c r="QOS48" s="20"/>
      <c r="QOT48" s="20"/>
      <c r="QOU48" s="20"/>
      <c r="QOV48" s="21"/>
      <c r="QOW48" s="21"/>
      <c r="QOX48" s="21"/>
      <c r="QOY48" s="21"/>
      <c r="QOZ48" s="21"/>
      <c r="QPA48" s="20"/>
      <c r="QPB48" s="20"/>
      <c r="QPC48" s="20"/>
      <c r="QPD48" s="20"/>
      <c r="QPE48" s="21"/>
      <c r="QPF48" s="21"/>
      <c r="QPG48" s="7"/>
      <c r="QPH48" s="7"/>
      <c r="QPI48" s="21"/>
      <c r="QPJ48" s="20"/>
      <c r="QPK48" s="20"/>
      <c r="QPL48" s="20"/>
      <c r="QPM48" s="21"/>
      <c r="QPN48" s="21"/>
      <c r="QPO48" s="21"/>
      <c r="QPP48" s="21"/>
      <c r="QPQ48" s="21"/>
      <c r="QPR48" s="20"/>
      <c r="QPS48" s="20"/>
      <c r="QPT48" s="20"/>
      <c r="QPU48" s="20"/>
      <c r="QPV48" s="21"/>
      <c r="QPW48" s="21"/>
      <c r="QPX48" s="7"/>
      <c r="QPY48" s="7"/>
      <c r="QPZ48" s="21"/>
      <c r="QQA48" s="20"/>
      <c r="QQB48" s="20"/>
      <c r="QQC48" s="20"/>
      <c r="QQD48" s="21"/>
      <c r="QQE48" s="21"/>
      <c r="QQF48" s="21"/>
      <c r="QQG48" s="21"/>
      <c r="QQH48" s="21"/>
      <c r="QQI48" s="20"/>
      <c r="QQJ48" s="20"/>
      <c r="QQK48" s="20"/>
      <c r="QQL48" s="20"/>
      <c r="QQM48" s="21"/>
      <c r="QQN48" s="21"/>
      <c r="QQO48" s="7"/>
      <c r="QQP48" s="7"/>
      <c r="QQQ48" s="21"/>
      <c r="QQR48" s="20"/>
      <c r="QQS48" s="20"/>
      <c r="QQT48" s="20"/>
      <c r="QQU48" s="21"/>
      <c r="QQV48" s="21"/>
      <c r="QQW48" s="21"/>
      <c r="QQX48" s="21"/>
      <c r="QQY48" s="21"/>
      <c r="QQZ48" s="20"/>
      <c r="QRA48" s="20"/>
      <c r="QRB48" s="20"/>
      <c r="QRC48" s="20"/>
      <c r="QRD48" s="21"/>
      <c r="QRE48" s="21"/>
      <c r="QRF48" s="7"/>
      <c r="QRG48" s="7"/>
      <c r="QRH48" s="21"/>
      <c r="QRI48" s="20"/>
      <c r="QRJ48" s="20"/>
      <c r="QRK48" s="20"/>
      <c r="QRL48" s="21"/>
      <c r="QRM48" s="21"/>
      <c r="QRN48" s="21"/>
      <c r="QRO48" s="21"/>
      <c r="QRP48" s="21"/>
      <c r="QRQ48" s="20"/>
      <c r="QRR48" s="20"/>
      <c r="QRS48" s="20"/>
      <c r="QRT48" s="20"/>
      <c r="QRU48" s="21"/>
      <c r="QRV48" s="21"/>
      <c r="QRW48" s="7"/>
      <c r="QRX48" s="7"/>
      <c r="QRY48" s="21"/>
      <c r="QRZ48" s="20"/>
      <c r="QSA48" s="20"/>
      <c r="QSB48" s="20"/>
      <c r="QSC48" s="21"/>
      <c r="QSD48" s="21"/>
      <c r="QSE48" s="21"/>
      <c r="QSF48" s="21"/>
      <c r="QSG48" s="21"/>
      <c r="QSH48" s="20"/>
      <c r="QSI48" s="20"/>
      <c r="QSJ48" s="20"/>
      <c r="QSK48" s="20"/>
      <c r="QSL48" s="21"/>
      <c r="QSM48" s="21"/>
      <c r="QSN48" s="7"/>
      <c r="QSO48" s="7"/>
      <c r="QSP48" s="21"/>
      <c r="QSQ48" s="20"/>
      <c r="QSR48" s="20"/>
      <c r="QSS48" s="20"/>
      <c r="QST48" s="21"/>
      <c r="QSU48" s="21"/>
      <c r="QSV48" s="21"/>
      <c r="QSW48" s="21"/>
      <c r="QSX48" s="21"/>
      <c r="QSY48" s="20"/>
      <c r="QSZ48" s="20"/>
      <c r="QTA48" s="20"/>
      <c r="QTB48" s="20"/>
      <c r="QTC48" s="21"/>
      <c r="QTD48" s="21"/>
      <c r="QTE48" s="7"/>
      <c r="QTF48" s="7"/>
      <c r="QTG48" s="21"/>
      <c r="QTH48" s="20"/>
      <c r="QTI48" s="20"/>
      <c r="QTJ48" s="20"/>
      <c r="QTK48" s="21"/>
      <c r="QTL48" s="21"/>
      <c r="QTM48" s="21"/>
      <c r="QTN48" s="21"/>
      <c r="QTO48" s="21"/>
      <c r="QTP48" s="20"/>
      <c r="QTQ48" s="20"/>
      <c r="QTR48" s="20"/>
      <c r="QTS48" s="20"/>
      <c r="QTT48" s="21"/>
      <c r="QTU48" s="21"/>
      <c r="QTV48" s="7"/>
      <c r="QTW48" s="7"/>
      <c r="QTX48" s="21"/>
      <c r="QTY48" s="20"/>
      <c r="QTZ48" s="20"/>
      <c r="QUA48" s="20"/>
      <c r="QUB48" s="21"/>
      <c r="QUC48" s="21"/>
      <c r="QUD48" s="21"/>
      <c r="QUE48" s="21"/>
      <c r="QUF48" s="21"/>
      <c r="QUG48" s="20"/>
      <c r="QUH48" s="20"/>
      <c r="QUI48" s="20"/>
      <c r="QUJ48" s="20"/>
      <c r="QUK48" s="21"/>
      <c r="QUL48" s="21"/>
      <c r="QUM48" s="7"/>
      <c r="QUN48" s="7"/>
      <c r="QUO48" s="21"/>
      <c r="QUP48" s="20"/>
      <c r="QUQ48" s="20"/>
      <c r="QUR48" s="20"/>
      <c r="QUS48" s="21"/>
      <c r="QUT48" s="21"/>
      <c r="QUU48" s="21"/>
      <c r="QUV48" s="21"/>
      <c r="QUW48" s="21"/>
      <c r="QUX48" s="20"/>
      <c r="QUY48" s="20"/>
      <c r="QUZ48" s="20"/>
      <c r="QVA48" s="20"/>
      <c r="QVB48" s="21"/>
      <c r="QVC48" s="21"/>
      <c r="QVD48" s="7"/>
      <c r="QVE48" s="7"/>
      <c r="QVF48" s="21"/>
      <c r="QVG48" s="20"/>
      <c r="QVH48" s="20"/>
      <c r="QVI48" s="20"/>
      <c r="QVJ48" s="21"/>
      <c r="QVK48" s="21"/>
      <c r="QVL48" s="21"/>
      <c r="QVM48" s="21"/>
      <c r="QVN48" s="21"/>
      <c r="QVO48" s="20"/>
      <c r="QVP48" s="20"/>
      <c r="QVQ48" s="20"/>
      <c r="QVR48" s="20"/>
      <c r="QVS48" s="21"/>
      <c r="QVT48" s="21"/>
      <c r="QVU48" s="7"/>
      <c r="QVV48" s="7"/>
      <c r="QVW48" s="21"/>
      <c r="QVX48" s="20"/>
      <c r="QVY48" s="20"/>
      <c r="QVZ48" s="20"/>
      <c r="QWA48" s="21"/>
      <c r="QWB48" s="21"/>
      <c r="QWC48" s="21"/>
      <c r="QWD48" s="21"/>
      <c r="QWE48" s="21"/>
      <c r="QWF48" s="20"/>
      <c r="QWG48" s="20"/>
      <c r="QWH48" s="20"/>
      <c r="QWI48" s="20"/>
      <c r="QWJ48" s="21"/>
      <c r="QWK48" s="21"/>
      <c r="QWL48" s="7"/>
      <c r="QWM48" s="7"/>
      <c r="QWN48" s="21"/>
      <c r="QWO48" s="20"/>
      <c r="QWP48" s="20"/>
      <c r="QWQ48" s="20"/>
      <c r="QWR48" s="21"/>
      <c r="QWS48" s="21"/>
      <c r="QWT48" s="21"/>
      <c r="QWU48" s="21"/>
      <c r="QWV48" s="21"/>
      <c r="QWW48" s="20"/>
      <c r="QWX48" s="20"/>
      <c r="QWY48" s="20"/>
      <c r="QWZ48" s="20"/>
      <c r="QXA48" s="21"/>
      <c r="QXB48" s="21"/>
      <c r="QXC48" s="7"/>
      <c r="QXD48" s="7"/>
      <c r="QXE48" s="21"/>
      <c r="QXF48" s="20"/>
      <c r="QXG48" s="20"/>
      <c r="QXH48" s="20"/>
      <c r="QXI48" s="21"/>
      <c r="QXJ48" s="21"/>
      <c r="QXK48" s="21"/>
      <c r="QXL48" s="21"/>
      <c r="QXM48" s="21"/>
      <c r="QXN48" s="20"/>
      <c r="QXO48" s="20"/>
      <c r="QXP48" s="20"/>
      <c r="QXQ48" s="20"/>
      <c r="QXR48" s="21"/>
      <c r="QXS48" s="21"/>
      <c r="QXT48" s="7"/>
      <c r="QXU48" s="7"/>
      <c r="QXV48" s="21"/>
      <c r="QXW48" s="20"/>
      <c r="QXX48" s="20"/>
      <c r="QXY48" s="20"/>
      <c r="QXZ48" s="21"/>
      <c r="QYA48" s="21"/>
      <c r="QYB48" s="21"/>
      <c r="QYC48" s="21"/>
      <c r="QYD48" s="21"/>
      <c r="QYE48" s="20"/>
      <c r="QYF48" s="20"/>
      <c r="QYG48" s="20"/>
      <c r="QYH48" s="20"/>
      <c r="QYI48" s="21"/>
      <c r="QYJ48" s="21"/>
      <c r="QYK48" s="7"/>
      <c r="QYL48" s="7"/>
      <c r="QYM48" s="21"/>
      <c r="QYN48" s="20"/>
      <c r="QYO48" s="20"/>
      <c r="QYP48" s="20"/>
      <c r="QYQ48" s="21"/>
      <c r="QYR48" s="21"/>
      <c r="QYS48" s="21"/>
      <c r="QYT48" s="21"/>
      <c r="QYU48" s="21"/>
      <c r="QYV48" s="20"/>
      <c r="QYW48" s="20"/>
      <c r="QYX48" s="20"/>
      <c r="QYY48" s="20"/>
      <c r="QYZ48" s="21"/>
      <c r="QZA48" s="21"/>
      <c r="QZB48" s="7"/>
      <c r="QZC48" s="7"/>
      <c r="QZD48" s="21"/>
      <c r="QZE48" s="20"/>
      <c r="QZF48" s="20"/>
      <c r="QZG48" s="20"/>
      <c r="QZH48" s="21"/>
      <c r="QZI48" s="21"/>
      <c r="QZJ48" s="21"/>
      <c r="QZK48" s="21"/>
      <c r="QZL48" s="21"/>
      <c r="QZM48" s="20"/>
      <c r="QZN48" s="20"/>
      <c r="QZO48" s="20"/>
      <c r="QZP48" s="20"/>
      <c r="QZQ48" s="21"/>
      <c r="QZR48" s="21"/>
      <c r="QZS48" s="7"/>
      <c r="QZT48" s="7"/>
      <c r="QZU48" s="21"/>
      <c r="QZV48" s="20"/>
      <c r="QZW48" s="20"/>
      <c r="QZX48" s="20"/>
      <c r="QZY48" s="21"/>
      <c r="QZZ48" s="21"/>
      <c r="RAA48" s="21"/>
      <c r="RAB48" s="21"/>
      <c r="RAC48" s="21"/>
      <c r="RAD48" s="20"/>
      <c r="RAE48" s="20"/>
      <c r="RAF48" s="20"/>
      <c r="RAG48" s="20"/>
      <c r="RAH48" s="21"/>
      <c r="RAI48" s="21"/>
      <c r="RAJ48" s="7"/>
      <c r="RAK48" s="7"/>
      <c r="RAL48" s="21"/>
      <c r="RAM48" s="20"/>
      <c r="RAN48" s="20"/>
      <c r="RAO48" s="20"/>
      <c r="RAP48" s="21"/>
      <c r="RAQ48" s="21"/>
      <c r="RAR48" s="21"/>
      <c r="RAS48" s="21"/>
      <c r="RAT48" s="21"/>
      <c r="RAU48" s="20"/>
      <c r="RAV48" s="20"/>
      <c r="RAW48" s="20"/>
      <c r="RAX48" s="20"/>
      <c r="RAY48" s="21"/>
      <c r="RAZ48" s="21"/>
      <c r="RBA48" s="7"/>
      <c r="RBB48" s="7"/>
      <c r="RBC48" s="21"/>
      <c r="RBD48" s="20"/>
      <c r="RBE48" s="20"/>
      <c r="RBF48" s="20"/>
      <c r="RBG48" s="21"/>
      <c r="RBH48" s="21"/>
      <c r="RBI48" s="21"/>
      <c r="RBJ48" s="21"/>
      <c r="RBK48" s="21"/>
      <c r="RBL48" s="20"/>
      <c r="RBM48" s="20"/>
      <c r="RBN48" s="20"/>
      <c r="RBO48" s="20"/>
      <c r="RBP48" s="21"/>
      <c r="RBQ48" s="21"/>
      <c r="RBR48" s="7"/>
      <c r="RBS48" s="7"/>
      <c r="RBT48" s="21"/>
      <c r="RBU48" s="20"/>
      <c r="RBV48" s="20"/>
      <c r="RBW48" s="20"/>
      <c r="RBX48" s="21"/>
      <c r="RBY48" s="21"/>
      <c r="RBZ48" s="21"/>
      <c r="RCA48" s="21"/>
      <c r="RCB48" s="21"/>
      <c r="RCC48" s="20"/>
      <c r="RCD48" s="20"/>
      <c r="RCE48" s="20"/>
      <c r="RCF48" s="20"/>
      <c r="RCG48" s="21"/>
      <c r="RCH48" s="21"/>
      <c r="RCI48" s="7"/>
      <c r="RCJ48" s="7"/>
      <c r="RCK48" s="21"/>
      <c r="RCL48" s="20"/>
      <c r="RCM48" s="20"/>
      <c r="RCN48" s="20"/>
      <c r="RCO48" s="21"/>
      <c r="RCP48" s="21"/>
      <c r="RCQ48" s="21"/>
      <c r="RCR48" s="21"/>
      <c r="RCS48" s="21"/>
      <c r="RCT48" s="20"/>
      <c r="RCU48" s="20"/>
      <c r="RCV48" s="20"/>
      <c r="RCW48" s="20"/>
      <c r="RCX48" s="21"/>
      <c r="RCY48" s="21"/>
      <c r="RCZ48" s="7"/>
      <c r="RDA48" s="7"/>
      <c r="RDB48" s="21"/>
      <c r="RDC48" s="20"/>
      <c r="RDD48" s="20"/>
      <c r="RDE48" s="20"/>
      <c r="RDF48" s="21"/>
      <c r="RDG48" s="21"/>
      <c r="RDH48" s="21"/>
      <c r="RDI48" s="21"/>
      <c r="RDJ48" s="21"/>
      <c r="RDK48" s="20"/>
      <c r="RDL48" s="20"/>
      <c r="RDM48" s="20"/>
      <c r="RDN48" s="20"/>
      <c r="RDO48" s="21"/>
      <c r="RDP48" s="21"/>
      <c r="RDQ48" s="7"/>
      <c r="RDR48" s="7"/>
      <c r="RDS48" s="21"/>
      <c r="RDT48" s="20"/>
      <c r="RDU48" s="20"/>
      <c r="RDV48" s="20"/>
      <c r="RDW48" s="21"/>
      <c r="RDX48" s="21"/>
      <c r="RDY48" s="21"/>
      <c r="RDZ48" s="21"/>
      <c r="REA48" s="21"/>
      <c r="REB48" s="20"/>
      <c r="REC48" s="20"/>
      <c r="RED48" s="20"/>
      <c r="REE48" s="20"/>
      <c r="REF48" s="21"/>
      <c r="REG48" s="21"/>
      <c r="REH48" s="7"/>
      <c r="REI48" s="7"/>
      <c r="REJ48" s="21"/>
      <c r="REK48" s="20"/>
      <c r="REL48" s="20"/>
      <c r="REM48" s="20"/>
      <c r="REN48" s="21"/>
      <c r="REO48" s="21"/>
      <c r="REP48" s="21"/>
      <c r="REQ48" s="21"/>
      <c r="RER48" s="21"/>
      <c r="RES48" s="20"/>
      <c r="RET48" s="20"/>
      <c r="REU48" s="20"/>
      <c r="REV48" s="20"/>
      <c r="REW48" s="21"/>
      <c r="REX48" s="21"/>
      <c r="REY48" s="7"/>
      <c r="REZ48" s="7"/>
      <c r="RFA48" s="21"/>
      <c r="RFB48" s="20"/>
      <c r="RFC48" s="20"/>
      <c r="RFD48" s="20"/>
      <c r="RFE48" s="21"/>
      <c r="RFF48" s="21"/>
      <c r="RFG48" s="21"/>
      <c r="RFH48" s="21"/>
      <c r="RFI48" s="21"/>
      <c r="RFJ48" s="20"/>
      <c r="RFK48" s="20"/>
      <c r="RFL48" s="20"/>
      <c r="RFM48" s="20"/>
      <c r="RFN48" s="21"/>
      <c r="RFO48" s="21"/>
      <c r="RFP48" s="7"/>
      <c r="RFQ48" s="7"/>
      <c r="RFR48" s="21"/>
      <c r="RFS48" s="20"/>
      <c r="RFT48" s="20"/>
      <c r="RFU48" s="20"/>
      <c r="RFV48" s="21"/>
      <c r="RFW48" s="21"/>
      <c r="RFX48" s="21"/>
      <c r="RFY48" s="21"/>
      <c r="RFZ48" s="21"/>
      <c r="RGA48" s="20"/>
      <c r="RGB48" s="20"/>
      <c r="RGC48" s="20"/>
      <c r="RGD48" s="20"/>
      <c r="RGE48" s="21"/>
      <c r="RGF48" s="21"/>
      <c r="RGG48" s="7"/>
      <c r="RGH48" s="7"/>
      <c r="RGI48" s="21"/>
      <c r="RGJ48" s="20"/>
      <c r="RGK48" s="20"/>
      <c r="RGL48" s="20"/>
      <c r="RGM48" s="21"/>
      <c r="RGN48" s="21"/>
      <c r="RGO48" s="21"/>
      <c r="RGP48" s="21"/>
      <c r="RGQ48" s="21"/>
      <c r="RGR48" s="20"/>
      <c r="RGS48" s="20"/>
      <c r="RGT48" s="20"/>
      <c r="RGU48" s="20"/>
      <c r="RGV48" s="21"/>
      <c r="RGW48" s="21"/>
      <c r="RGX48" s="7"/>
      <c r="RGY48" s="7"/>
      <c r="RGZ48" s="21"/>
      <c r="RHA48" s="20"/>
      <c r="RHB48" s="20"/>
      <c r="RHC48" s="20"/>
      <c r="RHD48" s="21"/>
      <c r="RHE48" s="21"/>
      <c r="RHF48" s="21"/>
      <c r="RHG48" s="21"/>
      <c r="RHH48" s="21"/>
      <c r="RHI48" s="20"/>
      <c r="RHJ48" s="20"/>
      <c r="RHK48" s="20"/>
      <c r="RHL48" s="20"/>
      <c r="RHM48" s="21"/>
      <c r="RHN48" s="21"/>
      <c r="RHO48" s="7"/>
      <c r="RHP48" s="7"/>
      <c r="RHQ48" s="21"/>
      <c r="RHR48" s="20"/>
      <c r="RHS48" s="20"/>
      <c r="RHT48" s="20"/>
      <c r="RHU48" s="21"/>
      <c r="RHV48" s="21"/>
      <c r="RHW48" s="21"/>
      <c r="RHX48" s="21"/>
      <c r="RHY48" s="21"/>
      <c r="RHZ48" s="20"/>
      <c r="RIA48" s="20"/>
      <c r="RIB48" s="20"/>
      <c r="RIC48" s="20"/>
      <c r="RID48" s="21"/>
      <c r="RIE48" s="21"/>
      <c r="RIF48" s="7"/>
      <c r="RIG48" s="7"/>
      <c r="RIH48" s="21"/>
      <c r="RII48" s="20"/>
      <c r="RIJ48" s="20"/>
      <c r="RIK48" s="20"/>
      <c r="RIL48" s="21"/>
      <c r="RIM48" s="21"/>
      <c r="RIN48" s="21"/>
      <c r="RIO48" s="21"/>
      <c r="RIP48" s="21"/>
      <c r="RIQ48" s="20"/>
      <c r="RIR48" s="20"/>
      <c r="RIS48" s="20"/>
      <c r="RIT48" s="20"/>
      <c r="RIU48" s="21"/>
      <c r="RIV48" s="21"/>
      <c r="RIW48" s="7"/>
      <c r="RIX48" s="7"/>
      <c r="RIY48" s="21"/>
      <c r="RIZ48" s="20"/>
      <c r="RJA48" s="20"/>
      <c r="RJB48" s="20"/>
      <c r="RJC48" s="21"/>
      <c r="RJD48" s="21"/>
      <c r="RJE48" s="21"/>
      <c r="RJF48" s="21"/>
      <c r="RJG48" s="21"/>
      <c r="RJH48" s="20"/>
      <c r="RJI48" s="20"/>
      <c r="RJJ48" s="20"/>
      <c r="RJK48" s="20"/>
      <c r="RJL48" s="21"/>
      <c r="RJM48" s="21"/>
      <c r="RJN48" s="7"/>
      <c r="RJO48" s="7"/>
      <c r="RJP48" s="21"/>
      <c r="RJQ48" s="20"/>
      <c r="RJR48" s="20"/>
      <c r="RJS48" s="20"/>
      <c r="RJT48" s="21"/>
      <c r="RJU48" s="21"/>
      <c r="RJV48" s="21"/>
      <c r="RJW48" s="21"/>
      <c r="RJX48" s="21"/>
      <c r="RJY48" s="20"/>
      <c r="RJZ48" s="20"/>
      <c r="RKA48" s="20"/>
      <c r="RKB48" s="20"/>
      <c r="RKC48" s="21"/>
      <c r="RKD48" s="21"/>
      <c r="RKE48" s="7"/>
      <c r="RKF48" s="7"/>
      <c r="RKG48" s="21"/>
      <c r="RKH48" s="20"/>
      <c r="RKI48" s="20"/>
      <c r="RKJ48" s="20"/>
      <c r="RKK48" s="21"/>
      <c r="RKL48" s="21"/>
      <c r="RKM48" s="21"/>
      <c r="RKN48" s="21"/>
      <c r="RKO48" s="21"/>
      <c r="RKP48" s="20"/>
      <c r="RKQ48" s="20"/>
      <c r="RKR48" s="20"/>
      <c r="RKS48" s="20"/>
      <c r="RKT48" s="21"/>
      <c r="RKU48" s="21"/>
      <c r="RKV48" s="7"/>
      <c r="RKW48" s="7"/>
      <c r="RKX48" s="21"/>
      <c r="RKY48" s="20"/>
      <c r="RKZ48" s="20"/>
      <c r="RLA48" s="20"/>
      <c r="RLB48" s="21"/>
      <c r="RLC48" s="21"/>
      <c r="RLD48" s="21"/>
      <c r="RLE48" s="21"/>
      <c r="RLF48" s="21"/>
      <c r="RLG48" s="20"/>
      <c r="RLH48" s="20"/>
      <c r="RLI48" s="20"/>
      <c r="RLJ48" s="20"/>
      <c r="RLK48" s="21"/>
      <c r="RLL48" s="21"/>
      <c r="RLM48" s="7"/>
      <c r="RLN48" s="7"/>
      <c r="RLO48" s="21"/>
      <c r="RLP48" s="20"/>
      <c r="RLQ48" s="20"/>
      <c r="RLR48" s="20"/>
      <c r="RLS48" s="21"/>
      <c r="RLT48" s="21"/>
      <c r="RLU48" s="21"/>
      <c r="RLV48" s="21"/>
      <c r="RLW48" s="21"/>
      <c r="RLX48" s="20"/>
      <c r="RLY48" s="20"/>
      <c r="RLZ48" s="20"/>
      <c r="RMA48" s="20"/>
      <c r="RMB48" s="21"/>
      <c r="RMC48" s="21"/>
      <c r="RMD48" s="7"/>
      <c r="RME48" s="7"/>
      <c r="RMF48" s="21"/>
      <c r="RMG48" s="20"/>
      <c r="RMH48" s="20"/>
      <c r="RMI48" s="20"/>
      <c r="RMJ48" s="21"/>
      <c r="RMK48" s="21"/>
      <c r="RML48" s="21"/>
      <c r="RMM48" s="21"/>
      <c r="RMN48" s="21"/>
      <c r="RMO48" s="20"/>
      <c r="RMP48" s="20"/>
      <c r="RMQ48" s="20"/>
      <c r="RMR48" s="20"/>
      <c r="RMS48" s="21"/>
      <c r="RMT48" s="21"/>
      <c r="RMU48" s="7"/>
      <c r="RMV48" s="7"/>
      <c r="RMW48" s="21"/>
      <c r="RMX48" s="20"/>
      <c r="RMY48" s="20"/>
      <c r="RMZ48" s="20"/>
      <c r="RNA48" s="21"/>
      <c r="RNB48" s="21"/>
      <c r="RNC48" s="21"/>
      <c r="RND48" s="21"/>
      <c r="RNE48" s="21"/>
      <c r="RNF48" s="20"/>
      <c r="RNG48" s="20"/>
      <c r="RNH48" s="20"/>
      <c r="RNI48" s="20"/>
      <c r="RNJ48" s="21"/>
      <c r="RNK48" s="21"/>
      <c r="RNL48" s="7"/>
      <c r="RNM48" s="7"/>
      <c r="RNN48" s="21"/>
      <c r="RNO48" s="20"/>
      <c r="RNP48" s="20"/>
      <c r="RNQ48" s="20"/>
      <c r="RNR48" s="21"/>
      <c r="RNS48" s="21"/>
      <c r="RNT48" s="21"/>
      <c r="RNU48" s="21"/>
      <c r="RNV48" s="21"/>
      <c r="RNW48" s="20"/>
      <c r="RNX48" s="20"/>
      <c r="RNY48" s="20"/>
      <c r="RNZ48" s="20"/>
      <c r="ROA48" s="21"/>
      <c r="ROB48" s="21"/>
      <c r="ROC48" s="7"/>
      <c r="ROD48" s="7"/>
      <c r="ROE48" s="21"/>
      <c r="ROF48" s="20"/>
      <c r="ROG48" s="20"/>
      <c r="ROH48" s="20"/>
      <c r="ROI48" s="21"/>
      <c r="ROJ48" s="21"/>
      <c r="ROK48" s="21"/>
      <c r="ROL48" s="21"/>
      <c r="ROM48" s="21"/>
      <c r="RON48" s="20"/>
      <c r="ROO48" s="20"/>
      <c r="ROP48" s="20"/>
      <c r="ROQ48" s="20"/>
      <c r="ROR48" s="21"/>
      <c r="ROS48" s="21"/>
      <c r="ROT48" s="7"/>
      <c r="ROU48" s="7"/>
      <c r="ROV48" s="21"/>
      <c r="ROW48" s="20"/>
      <c r="ROX48" s="20"/>
      <c r="ROY48" s="20"/>
      <c r="ROZ48" s="21"/>
      <c r="RPA48" s="21"/>
      <c r="RPB48" s="21"/>
      <c r="RPC48" s="21"/>
      <c r="RPD48" s="21"/>
      <c r="RPE48" s="20"/>
      <c r="RPF48" s="20"/>
      <c r="RPG48" s="20"/>
      <c r="RPH48" s="20"/>
      <c r="RPI48" s="21"/>
      <c r="RPJ48" s="21"/>
      <c r="RPK48" s="7"/>
      <c r="RPL48" s="7"/>
      <c r="RPM48" s="21"/>
      <c r="RPN48" s="20"/>
      <c r="RPO48" s="20"/>
      <c r="RPP48" s="20"/>
      <c r="RPQ48" s="21"/>
      <c r="RPR48" s="21"/>
      <c r="RPS48" s="21"/>
      <c r="RPT48" s="21"/>
      <c r="RPU48" s="21"/>
      <c r="RPV48" s="20"/>
      <c r="RPW48" s="20"/>
      <c r="RPX48" s="20"/>
      <c r="RPY48" s="20"/>
      <c r="RPZ48" s="21"/>
      <c r="RQA48" s="21"/>
      <c r="RQB48" s="7"/>
      <c r="RQC48" s="7"/>
      <c r="RQD48" s="21"/>
      <c r="RQE48" s="20"/>
      <c r="RQF48" s="20"/>
      <c r="RQG48" s="20"/>
      <c r="RQH48" s="21"/>
      <c r="RQI48" s="21"/>
      <c r="RQJ48" s="21"/>
      <c r="RQK48" s="21"/>
      <c r="RQL48" s="21"/>
      <c r="RQM48" s="20"/>
      <c r="RQN48" s="20"/>
      <c r="RQO48" s="20"/>
      <c r="RQP48" s="20"/>
      <c r="RQQ48" s="21"/>
      <c r="RQR48" s="21"/>
      <c r="RQS48" s="7"/>
      <c r="RQT48" s="7"/>
      <c r="RQU48" s="21"/>
      <c r="RQV48" s="20"/>
      <c r="RQW48" s="20"/>
      <c r="RQX48" s="20"/>
      <c r="RQY48" s="21"/>
      <c r="RQZ48" s="21"/>
      <c r="RRA48" s="21"/>
      <c r="RRB48" s="21"/>
      <c r="RRC48" s="21"/>
      <c r="RRD48" s="20"/>
      <c r="RRE48" s="20"/>
      <c r="RRF48" s="20"/>
      <c r="RRG48" s="20"/>
      <c r="RRH48" s="21"/>
      <c r="RRI48" s="21"/>
      <c r="RRJ48" s="7"/>
      <c r="RRK48" s="7"/>
      <c r="RRL48" s="21"/>
      <c r="RRM48" s="20"/>
      <c r="RRN48" s="20"/>
      <c r="RRO48" s="20"/>
      <c r="RRP48" s="21"/>
      <c r="RRQ48" s="21"/>
      <c r="RRR48" s="21"/>
      <c r="RRS48" s="21"/>
      <c r="RRT48" s="21"/>
      <c r="RRU48" s="20"/>
      <c r="RRV48" s="20"/>
      <c r="RRW48" s="20"/>
      <c r="RRX48" s="20"/>
      <c r="RRY48" s="21"/>
      <c r="RRZ48" s="21"/>
      <c r="RSA48" s="7"/>
      <c r="RSB48" s="7"/>
      <c r="RSC48" s="21"/>
      <c r="RSD48" s="20"/>
      <c r="RSE48" s="20"/>
      <c r="RSF48" s="20"/>
      <c r="RSG48" s="21"/>
      <c r="RSH48" s="21"/>
      <c r="RSI48" s="21"/>
      <c r="RSJ48" s="21"/>
      <c r="RSK48" s="21"/>
      <c r="RSL48" s="20"/>
      <c r="RSM48" s="20"/>
      <c r="RSN48" s="20"/>
      <c r="RSO48" s="20"/>
      <c r="RSP48" s="21"/>
      <c r="RSQ48" s="21"/>
      <c r="RSR48" s="7"/>
      <c r="RSS48" s="7"/>
      <c r="RST48" s="21"/>
      <c r="RSU48" s="20"/>
      <c r="RSV48" s="20"/>
      <c r="RSW48" s="20"/>
      <c r="RSX48" s="21"/>
      <c r="RSY48" s="21"/>
      <c r="RSZ48" s="21"/>
      <c r="RTA48" s="21"/>
      <c r="RTB48" s="21"/>
      <c r="RTC48" s="20"/>
      <c r="RTD48" s="20"/>
      <c r="RTE48" s="20"/>
      <c r="RTF48" s="20"/>
      <c r="RTG48" s="21"/>
      <c r="RTH48" s="21"/>
      <c r="RTI48" s="7"/>
      <c r="RTJ48" s="7"/>
      <c r="RTK48" s="21"/>
      <c r="RTL48" s="20"/>
      <c r="RTM48" s="20"/>
      <c r="RTN48" s="20"/>
      <c r="RTO48" s="21"/>
      <c r="RTP48" s="21"/>
      <c r="RTQ48" s="21"/>
      <c r="RTR48" s="21"/>
      <c r="RTS48" s="21"/>
      <c r="RTT48" s="20"/>
      <c r="RTU48" s="20"/>
      <c r="RTV48" s="20"/>
      <c r="RTW48" s="20"/>
      <c r="RTX48" s="21"/>
      <c r="RTY48" s="21"/>
      <c r="RTZ48" s="7"/>
      <c r="RUA48" s="7"/>
      <c r="RUB48" s="21"/>
      <c r="RUC48" s="20"/>
      <c r="RUD48" s="20"/>
      <c r="RUE48" s="20"/>
      <c r="RUF48" s="21"/>
      <c r="RUG48" s="21"/>
      <c r="RUH48" s="21"/>
      <c r="RUI48" s="21"/>
      <c r="RUJ48" s="21"/>
      <c r="RUK48" s="20"/>
      <c r="RUL48" s="20"/>
      <c r="RUM48" s="20"/>
      <c r="RUN48" s="20"/>
      <c r="RUO48" s="21"/>
      <c r="RUP48" s="21"/>
      <c r="RUQ48" s="7"/>
      <c r="RUR48" s="7"/>
      <c r="RUS48" s="21"/>
      <c r="RUT48" s="20"/>
      <c r="RUU48" s="20"/>
      <c r="RUV48" s="20"/>
      <c r="RUW48" s="21"/>
      <c r="RUX48" s="21"/>
      <c r="RUY48" s="21"/>
      <c r="RUZ48" s="21"/>
      <c r="RVA48" s="21"/>
      <c r="RVB48" s="20"/>
      <c r="RVC48" s="20"/>
      <c r="RVD48" s="20"/>
      <c r="RVE48" s="20"/>
      <c r="RVF48" s="21"/>
      <c r="RVG48" s="21"/>
      <c r="RVH48" s="7"/>
      <c r="RVI48" s="7"/>
      <c r="RVJ48" s="21"/>
      <c r="RVK48" s="20"/>
      <c r="RVL48" s="20"/>
      <c r="RVM48" s="20"/>
      <c r="RVN48" s="21"/>
      <c r="RVO48" s="21"/>
      <c r="RVP48" s="21"/>
      <c r="RVQ48" s="21"/>
      <c r="RVR48" s="21"/>
      <c r="RVS48" s="20"/>
      <c r="RVT48" s="20"/>
      <c r="RVU48" s="20"/>
      <c r="RVV48" s="20"/>
      <c r="RVW48" s="21"/>
      <c r="RVX48" s="21"/>
      <c r="RVY48" s="7"/>
      <c r="RVZ48" s="7"/>
      <c r="RWA48" s="21"/>
      <c r="RWB48" s="20"/>
      <c r="RWC48" s="20"/>
      <c r="RWD48" s="20"/>
      <c r="RWE48" s="21"/>
      <c r="RWF48" s="21"/>
      <c r="RWG48" s="21"/>
      <c r="RWH48" s="21"/>
      <c r="RWI48" s="21"/>
      <c r="RWJ48" s="20"/>
      <c r="RWK48" s="20"/>
      <c r="RWL48" s="20"/>
      <c r="RWM48" s="20"/>
      <c r="RWN48" s="21"/>
      <c r="RWO48" s="21"/>
      <c r="RWP48" s="7"/>
      <c r="RWQ48" s="7"/>
      <c r="RWR48" s="21"/>
      <c r="RWS48" s="20"/>
      <c r="RWT48" s="20"/>
      <c r="RWU48" s="20"/>
      <c r="RWV48" s="21"/>
      <c r="RWW48" s="21"/>
      <c r="RWX48" s="21"/>
      <c r="RWY48" s="21"/>
      <c r="RWZ48" s="21"/>
      <c r="RXA48" s="20"/>
      <c r="RXB48" s="20"/>
      <c r="RXC48" s="20"/>
      <c r="RXD48" s="20"/>
      <c r="RXE48" s="21"/>
      <c r="RXF48" s="21"/>
      <c r="RXG48" s="7"/>
      <c r="RXH48" s="7"/>
      <c r="RXI48" s="21"/>
      <c r="RXJ48" s="20"/>
      <c r="RXK48" s="20"/>
      <c r="RXL48" s="20"/>
      <c r="RXM48" s="21"/>
      <c r="RXN48" s="21"/>
      <c r="RXO48" s="21"/>
      <c r="RXP48" s="21"/>
      <c r="RXQ48" s="21"/>
      <c r="RXR48" s="20"/>
      <c r="RXS48" s="20"/>
      <c r="RXT48" s="20"/>
      <c r="RXU48" s="20"/>
      <c r="RXV48" s="21"/>
      <c r="RXW48" s="21"/>
      <c r="RXX48" s="7"/>
      <c r="RXY48" s="7"/>
      <c r="RXZ48" s="21"/>
      <c r="RYA48" s="20"/>
      <c r="RYB48" s="20"/>
      <c r="RYC48" s="20"/>
      <c r="RYD48" s="21"/>
      <c r="RYE48" s="21"/>
      <c r="RYF48" s="21"/>
      <c r="RYG48" s="21"/>
      <c r="RYH48" s="21"/>
      <c r="RYI48" s="20"/>
      <c r="RYJ48" s="20"/>
      <c r="RYK48" s="20"/>
      <c r="RYL48" s="20"/>
      <c r="RYM48" s="21"/>
      <c r="RYN48" s="21"/>
      <c r="RYO48" s="7"/>
      <c r="RYP48" s="7"/>
      <c r="RYQ48" s="21"/>
      <c r="RYR48" s="20"/>
      <c r="RYS48" s="20"/>
      <c r="RYT48" s="20"/>
      <c r="RYU48" s="21"/>
      <c r="RYV48" s="21"/>
      <c r="RYW48" s="21"/>
      <c r="RYX48" s="21"/>
      <c r="RYY48" s="21"/>
      <c r="RYZ48" s="20"/>
      <c r="RZA48" s="20"/>
      <c r="RZB48" s="20"/>
      <c r="RZC48" s="20"/>
      <c r="RZD48" s="21"/>
      <c r="RZE48" s="21"/>
      <c r="RZF48" s="7"/>
      <c r="RZG48" s="7"/>
      <c r="RZH48" s="21"/>
      <c r="RZI48" s="20"/>
      <c r="RZJ48" s="20"/>
      <c r="RZK48" s="20"/>
      <c r="RZL48" s="21"/>
      <c r="RZM48" s="21"/>
      <c r="RZN48" s="21"/>
      <c r="RZO48" s="21"/>
      <c r="RZP48" s="21"/>
      <c r="RZQ48" s="20"/>
      <c r="RZR48" s="20"/>
      <c r="RZS48" s="20"/>
      <c r="RZT48" s="20"/>
      <c r="RZU48" s="21"/>
      <c r="RZV48" s="21"/>
      <c r="RZW48" s="7"/>
      <c r="RZX48" s="7"/>
      <c r="RZY48" s="21"/>
      <c r="RZZ48" s="20"/>
      <c r="SAA48" s="20"/>
      <c r="SAB48" s="20"/>
      <c r="SAC48" s="21"/>
      <c r="SAD48" s="21"/>
      <c r="SAE48" s="21"/>
      <c r="SAF48" s="21"/>
      <c r="SAG48" s="21"/>
      <c r="SAH48" s="20"/>
      <c r="SAI48" s="20"/>
      <c r="SAJ48" s="20"/>
      <c r="SAK48" s="20"/>
      <c r="SAL48" s="21"/>
      <c r="SAM48" s="21"/>
      <c r="SAN48" s="7"/>
      <c r="SAO48" s="7"/>
      <c r="SAP48" s="21"/>
      <c r="SAQ48" s="20"/>
      <c r="SAR48" s="20"/>
      <c r="SAS48" s="20"/>
      <c r="SAT48" s="21"/>
      <c r="SAU48" s="21"/>
      <c r="SAV48" s="21"/>
      <c r="SAW48" s="21"/>
      <c r="SAX48" s="21"/>
      <c r="SAY48" s="20"/>
      <c r="SAZ48" s="20"/>
      <c r="SBA48" s="20"/>
      <c r="SBB48" s="20"/>
      <c r="SBC48" s="21"/>
      <c r="SBD48" s="21"/>
      <c r="SBE48" s="7"/>
      <c r="SBF48" s="7"/>
      <c r="SBG48" s="21"/>
      <c r="SBH48" s="20"/>
      <c r="SBI48" s="20"/>
      <c r="SBJ48" s="20"/>
      <c r="SBK48" s="21"/>
      <c r="SBL48" s="21"/>
      <c r="SBM48" s="21"/>
      <c r="SBN48" s="21"/>
      <c r="SBO48" s="21"/>
      <c r="SBP48" s="20"/>
      <c r="SBQ48" s="20"/>
      <c r="SBR48" s="20"/>
      <c r="SBS48" s="20"/>
      <c r="SBT48" s="21"/>
      <c r="SBU48" s="21"/>
      <c r="SBV48" s="7"/>
      <c r="SBW48" s="7"/>
      <c r="SBX48" s="21"/>
      <c r="SBY48" s="20"/>
      <c r="SBZ48" s="20"/>
      <c r="SCA48" s="20"/>
      <c r="SCB48" s="21"/>
      <c r="SCC48" s="21"/>
      <c r="SCD48" s="21"/>
      <c r="SCE48" s="21"/>
      <c r="SCF48" s="21"/>
      <c r="SCG48" s="20"/>
      <c r="SCH48" s="20"/>
      <c r="SCI48" s="20"/>
      <c r="SCJ48" s="20"/>
      <c r="SCK48" s="21"/>
      <c r="SCL48" s="21"/>
      <c r="SCM48" s="7"/>
      <c r="SCN48" s="7"/>
      <c r="SCO48" s="21"/>
      <c r="SCP48" s="20"/>
      <c r="SCQ48" s="20"/>
      <c r="SCR48" s="20"/>
      <c r="SCS48" s="21"/>
      <c r="SCT48" s="21"/>
      <c r="SCU48" s="21"/>
      <c r="SCV48" s="21"/>
      <c r="SCW48" s="21"/>
      <c r="SCX48" s="20"/>
      <c r="SCY48" s="20"/>
      <c r="SCZ48" s="20"/>
      <c r="SDA48" s="20"/>
      <c r="SDB48" s="21"/>
      <c r="SDC48" s="21"/>
      <c r="SDD48" s="7"/>
      <c r="SDE48" s="7"/>
      <c r="SDF48" s="21"/>
      <c r="SDG48" s="20"/>
      <c r="SDH48" s="20"/>
      <c r="SDI48" s="20"/>
      <c r="SDJ48" s="21"/>
      <c r="SDK48" s="21"/>
      <c r="SDL48" s="21"/>
      <c r="SDM48" s="21"/>
      <c r="SDN48" s="21"/>
      <c r="SDO48" s="20"/>
      <c r="SDP48" s="20"/>
      <c r="SDQ48" s="20"/>
      <c r="SDR48" s="20"/>
      <c r="SDS48" s="21"/>
      <c r="SDT48" s="21"/>
      <c r="SDU48" s="7"/>
      <c r="SDV48" s="7"/>
      <c r="SDW48" s="21"/>
      <c r="SDX48" s="20"/>
      <c r="SDY48" s="20"/>
      <c r="SDZ48" s="20"/>
      <c r="SEA48" s="21"/>
      <c r="SEB48" s="21"/>
      <c r="SEC48" s="21"/>
      <c r="SED48" s="21"/>
      <c r="SEE48" s="21"/>
      <c r="SEF48" s="20"/>
      <c r="SEG48" s="20"/>
      <c r="SEH48" s="20"/>
      <c r="SEI48" s="20"/>
      <c r="SEJ48" s="21"/>
      <c r="SEK48" s="21"/>
      <c r="SEL48" s="7"/>
      <c r="SEM48" s="7"/>
      <c r="SEN48" s="21"/>
      <c r="SEO48" s="20"/>
      <c r="SEP48" s="20"/>
      <c r="SEQ48" s="20"/>
      <c r="SER48" s="21"/>
      <c r="SES48" s="21"/>
      <c r="SET48" s="21"/>
      <c r="SEU48" s="21"/>
      <c r="SEV48" s="21"/>
      <c r="SEW48" s="20"/>
      <c r="SEX48" s="20"/>
      <c r="SEY48" s="20"/>
      <c r="SEZ48" s="20"/>
      <c r="SFA48" s="21"/>
      <c r="SFB48" s="21"/>
      <c r="SFC48" s="7"/>
      <c r="SFD48" s="7"/>
      <c r="SFE48" s="21"/>
      <c r="SFF48" s="20"/>
      <c r="SFG48" s="20"/>
      <c r="SFH48" s="20"/>
      <c r="SFI48" s="21"/>
      <c r="SFJ48" s="21"/>
      <c r="SFK48" s="21"/>
      <c r="SFL48" s="21"/>
      <c r="SFM48" s="21"/>
      <c r="SFN48" s="20"/>
      <c r="SFO48" s="20"/>
      <c r="SFP48" s="20"/>
      <c r="SFQ48" s="20"/>
      <c r="SFR48" s="21"/>
      <c r="SFS48" s="21"/>
      <c r="SFT48" s="7"/>
      <c r="SFU48" s="7"/>
      <c r="SFV48" s="21"/>
      <c r="SFW48" s="20"/>
      <c r="SFX48" s="20"/>
      <c r="SFY48" s="20"/>
      <c r="SFZ48" s="21"/>
      <c r="SGA48" s="21"/>
      <c r="SGB48" s="21"/>
      <c r="SGC48" s="21"/>
      <c r="SGD48" s="21"/>
      <c r="SGE48" s="20"/>
      <c r="SGF48" s="20"/>
      <c r="SGG48" s="20"/>
      <c r="SGH48" s="20"/>
      <c r="SGI48" s="21"/>
      <c r="SGJ48" s="21"/>
      <c r="SGK48" s="7"/>
      <c r="SGL48" s="7"/>
      <c r="SGM48" s="21"/>
      <c r="SGN48" s="20"/>
      <c r="SGO48" s="20"/>
      <c r="SGP48" s="20"/>
      <c r="SGQ48" s="21"/>
      <c r="SGR48" s="21"/>
      <c r="SGS48" s="21"/>
      <c r="SGT48" s="21"/>
      <c r="SGU48" s="21"/>
      <c r="SGV48" s="20"/>
      <c r="SGW48" s="20"/>
      <c r="SGX48" s="20"/>
      <c r="SGY48" s="20"/>
      <c r="SGZ48" s="21"/>
      <c r="SHA48" s="21"/>
      <c r="SHB48" s="7"/>
      <c r="SHC48" s="7"/>
      <c r="SHD48" s="21"/>
      <c r="SHE48" s="20"/>
      <c r="SHF48" s="20"/>
      <c r="SHG48" s="20"/>
      <c r="SHH48" s="21"/>
      <c r="SHI48" s="21"/>
      <c r="SHJ48" s="21"/>
      <c r="SHK48" s="21"/>
      <c r="SHL48" s="21"/>
      <c r="SHM48" s="20"/>
      <c r="SHN48" s="20"/>
      <c r="SHO48" s="20"/>
      <c r="SHP48" s="20"/>
      <c r="SHQ48" s="21"/>
      <c r="SHR48" s="21"/>
      <c r="SHS48" s="7"/>
      <c r="SHT48" s="7"/>
      <c r="SHU48" s="21"/>
      <c r="SHV48" s="20"/>
      <c r="SHW48" s="20"/>
      <c r="SHX48" s="20"/>
      <c r="SHY48" s="21"/>
      <c r="SHZ48" s="21"/>
      <c r="SIA48" s="21"/>
      <c r="SIB48" s="21"/>
      <c r="SIC48" s="21"/>
      <c r="SID48" s="20"/>
      <c r="SIE48" s="20"/>
      <c r="SIF48" s="20"/>
      <c r="SIG48" s="20"/>
      <c r="SIH48" s="21"/>
      <c r="SII48" s="21"/>
      <c r="SIJ48" s="7"/>
      <c r="SIK48" s="7"/>
      <c r="SIL48" s="21"/>
      <c r="SIM48" s="20"/>
      <c r="SIN48" s="20"/>
      <c r="SIO48" s="20"/>
      <c r="SIP48" s="21"/>
      <c r="SIQ48" s="21"/>
      <c r="SIR48" s="21"/>
      <c r="SIS48" s="21"/>
      <c r="SIT48" s="21"/>
      <c r="SIU48" s="20"/>
      <c r="SIV48" s="20"/>
      <c r="SIW48" s="20"/>
      <c r="SIX48" s="20"/>
      <c r="SIY48" s="21"/>
      <c r="SIZ48" s="21"/>
      <c r="SJA48" s="7"/>
      <c r="SJB48" s="7"/>
      <c r="SJC48" s="21"/>
      <c r="SJD48" s="20"/>
      <c r="SJE48" s="20"/>
      <c r="SJF48" s="20"/>
      <c r="SJG48" s="21"/>
      <c r="SJH48" s="21"/>
      <c r="SJI48" s="21"/>
      <c r="SJJ48" s="21"/>
      <c r="SJK48" s="21"/>
      <c r="SJL48" s="20"/>
      <c r="SJM48" s="20"/>
      <c r="SJN48" s="20"/>
      <c r="SJO48" s="20"/>
      <c r="SJP48" s="21"/>
      <c r="SJQ48" s="21"/>
      <c r="SJR48" s="7"/>
      <c r="SJS48" s="7"/>
      <c r="SJT48" s="21"/>
      <c r="SJU48" s="20"/>
      <c r="SJV48" s="20"/>
      <c r="SJW48" s="20"/>
      <c r="SJX48" s="21"/>
      <c r="SJY48" s="21"/>
      <c r="SJZ48" s="21"/>
      <c r="SKA48" s="21"/>
      <c r="SKB48" s="21"/>
      <c r="SKC48" s="20"/>
      <c r="SKD48" s="20"/>
      <c r="SKE48" s="20"/>
      <c r="SKF48" s="20"/>
      <c r="SKG48" s="21"/>
      <c r="SKH48" s="21"/>
      <c r="SKI48" s="7"/>
      <c r="SKJ48" s="7"/>
      <c r="SKK48" s="21"/>
      <c r="SKL48" s="20"/>
      <c r="SKM48" s="20"/>
      <c r="SKN48" s="20"/>
      <c r="SKO48" s="21"/>
      <c r="SKP48" s="21"/>
      <c r="SKQ48" s="21"/>
      <c r="SKR48" s="21"/>
      <c r="SKS48" s="21"/>
      <c r="SKT48" s="20"/>
      <c r="SKU48" s="20"/>
      <c r="SKV48" s="20"/>
      <c r="SKW48" s="20"/>
      <c r="SKX48" s="21"/>
      <c r="SKY48" s="21"/>
      <c r="SKZ48" s="7"/>
      <c r="SLA48" s="7"/>
      <c r="SLB48" s="21"/>
      <c r="SLC48" s="20"/>
      <c r="SLD48" s="20"/>
      <c r="SLE48" s="20"/>
      <c r="SLF48" s="21"/>
      <c r="SLG48" s="21"/>
      <c r="SLH48" s="21"/>
      <c r="SLI48" s="21"/>
      <c r="SLJ48" s="21"/>
      <c r="SLK48" s="20"/>
      <c r="SLL48" s="20"/>
      <c r="SLM48" s="20"/>
      <c r="SLN48" s="20"/>
      <c r="SLO48" s="21"/>
      <c r="SLP48" s="21"/>
      <c r="SLQ48" s="7"/>
      <c r="SLR48" s="7"/>
      <c r="SLS48" s="21"/>
      <c r="SLT48" s="20"/>
      <c r="SLU48" s="20"/>
      <c r="SLV48" s="20"/>
      <c r="SLW48" s="21"/>
      <c r="SLX48" s="21"/>
      <c r="SLY48" s="21"/>
      <c r="SLZ48" s="21"/>
      <c r="SMA48" s="21"/>
      <c r="SMB48" s="20"/>
      <c r="SMC48" s="20"/>
      <c r="SMD48" s="20"/>
      <c r="SME48" s="20"/>
      <c r="SMF48" s="21"/>
      <c r="SMG48" s="21"/>
      <c r="SMH48" s="7"/>
      <c r="SMI48" s="7"/>
      <c r="SMJ48" s="21"/>
      <c r="SMK48" s="20"/>
      <c r="SML48" s="20"/>
      <c r="SMM48" s="20"/>
      <c r="SMN48" s="21"/>
      <c r="SMO48" s="21"/>
      <c r="SMP48" s="21"/>
      <c r="SMQ48" s="21"/>
      <c r="SMR48" s="21"/>
      <c r="SMS48" s="20"/>
      <c r="SMT48" s="20"/>
      <c r="SMU48" s="20"/>
      <c r="SMV48" s="20"/>
      <c r="SMW48" s="21"/>
      <c r="SMX48" s="21"/>
      <c r="SMY48" s="7"/>
      <c r="SMZ48" s="7"/>
      <c r="SNA48" s="21"/>
      <c r="SNB48" s="20"/>
      <c r="SNC48" s="20"/>
      <c r="SND48" s="20"/>
      <c r="SNE48" s="21"/>
      <c r="SNF48" s="21"/>
      <c r="SNG48" s="21"/>
      <c r="SNH48" s="21"/>
      <c r="SNI48" s="21"/>
      <c r="SNJ48" s="20"/>
      <c r="SNK48" s="20"/>
      <c r="SNL48" s="20"/>
      <c r="SNM48" s="20"/>
      <c r="SNN48" s="21"/>
      <c r="SNO48" s="21"/>
      <c r="SNP48" s="7"/>
      <c r="SNQ48" s="7"/>
      <c r="SNR48" s="21"/>
      <c r="SNS48" s="20"/>
      <c r="SNT48" s="20"/>
      <c r="SNU48" s="20"/>
      <c r="SNV48" s="21"/>
      <c r="SNW48" s="21"/>
      <c r="SNX48" s="21"/>
      <c r="SNY48" s="21"/>
      <c r="SNZ48" s="21"/>
      <c r="SOA48" s="20"/>
      <c r="SOB48" s="20"/>
      <c r="SOC48" s="20"/>
      <c r="SOD48" s="20"/>
      <c r="SOE48" s="21"/>
      <c r="SOF48" s="21"/>
      <c r="SOG48" s="7"/>
      <c r="SOH48" s="7"/>
      <c r="SOI48" s="21"/>
      <c r="SOJ48" s="20"/>
      <c r="SOK48" s="20"/>
      <c r="SOL48" s="20"/>
      <c r="SOM48" s="21"/>
      <c r="SON48" s="21"/>
      <c r="SOO48" s="21"/>
      <c r="SOP48" s="21"/>
      <c r="SOQ48" s="21"/>
      <c r="SOR48" s="20"/>
      <c r="SOS48" s="20"/>
      <c r="SOT48" s="20"/>
      <c r="SOU48" s="20"/>
      <c r="SOV48" s="21"/>
      <c r="SOW48" s="21"/>
      <c r="SOX48" s="7"/>
      <c r="SOY48" s="7"/>
      <c r="SOZ48" s="21"/>
      <c r="SPA48" s="20"/>
      <c r="SPB48" s="20"/>
      <c r="SPC48" s="20"/>
      <c r="SPD48" s="21"/>
      <c r="SPE48" s="21"/>
      <c r="SPF48" s="21"/>
      <c r="SPG48" s="21"/>
      <c r="SPH48" s="21"/>
      <c r="SPI48" s="20"/>
      <c r="SPJ48" s="20"/>
      <c r="SPK48" s="20"/>
      <c r="SPL48" s="20"/>
      <c r="SPM48" s="21"/>
      <c r="SPN48" s="21"/>
      <c r="SPO48" s="7"/>
      <c r="SPP48" s="7"/>
      <c r="SPQ48" s="21"/>
      <c r="SPR48" s="20"/>
      <c r="SPS48" s="20"/>
      <c r="SPT48" s="20"/>
      <c r="SPU48" s="21"/>
      <c r="SPV48" s="21"/>
      <c r="SPW48" s="21"/>
      <c r="SPX48" s="21"/>
      <c r="SPY48" s="21"/>
      <c r="SPZ48" s="20"/>
      <c r="SQA48" s="20"/>
      <c r="SQB48" s="20"/>
      <c r="SQC48" s="20"/>
      <c r="SQD48" s="21"/>
      <c r="SQE48" s="21"/>
      <c r="SQF48" s="7"/>
      <c r="SQG48" s="7"/>
      <c r="SQH48" s="21"/>
      <c r="SQI48" s="20"/>
      <c r="SQJ48" s="20"/>
      <c r="SQK48" s="20"/>
      <c r="SQL48" s="21"/>
      <c r="SQM48" s="21"/>
      <c r="SQN48" s="21"/>
      <c r="SQO48" s="21"/>
      <c r="SQP48" s="21"/>
      <c r="SQQ48" s="20"/>
      <c r="SQR48" s="20"/>
      <c r="SQS48" s="20"/>
      <c r="SQT48" s="20"/>
      <c r="SQU48" s="21"/>
      <c r="SQV48" s="21"/>
      <c r="SQW48" s="7"/>
      <c r="SQX48" s="7"/>
      <c r="SQY48" s="21"/>
      <c r="SQZ48" s="20"/>
      <c r="SRA48" s="20"/>
      <c r="SRB48" s="20"/>
      <c r="SRC48" s="21"/>
      <c r="SRD48" s="21"/>
      <c r="SRE48" s="21"/>
      <c r="SRF48" s="21"/>
      <c r="SRG48" s="21"/>
      <c r="SRH48" s="20"/>
      <c r="SRI48" s="20"/>
      <c r="SRJ48" s="20"/>
      <c r="SRK48" s="20"/>
      <c r="SRL48" s="21"/>
      <c r="SRM48" s="21"/>
      <c r="SRN48" s="7"/>
      <c r="SRO48" s="7"/>
      <c r="SRP48" s="21"/>
      <c r="SRQ48" s="20"/>
      <c r="SRR48" s="20"/>
      <c r="SRS48" s="20"/>
      <c r="SRT48" s="21"/>
      <c r="SRU48" s="21"/>
      <c r="SRV48" s="21"/>
      <c r="SRW48" s="21"/>
      <c r="SRX48" s="21"/>
      <c r="SRY48" s="20"/>
      <c r="SRZ48" s="20"/>
      <c r="SSA48" s="20"/>
      <c r="SSB48" s="20"/>
      <c r="SSC48" s="21"/>
      <c r="SSD48" s="21"/>
      <c r="SSE48" s="7"/>
      <c r="SSF48" s="7"/>
      <c r="SSG48" s="21"/>
      <c r="SSH48" s="20"/>
      <c r="SSI48" s="20"/>
      <c r="SSJ48" s="20"/>
      <c r="SSK48" s="21"/>
      <c r="SSL48" s="21"/>
      <c r="SSM48" s="21"/>
      <c r="SSN48" s="21"/>
      <c r="SSO48" s="21"/>
      <c r="SSP48" s="20"/>
      <c r="SSQ48" s="20"/>
      <c r="SSR48" s="20"/>
      <c r="SSS48" s="20"/>
      <c r="SST48" s="21"/>
      <c r="SSU48" s="21"/>
      <c r="SSV48" s="7"/>
      <c r="SSW48" s="7"/>
      <c r="SSX48" s="21"/>
      <c r="SSY48" s="20"/>
      <c r="SSZ48" s="20"/>
      <c r="STA48" s="20"/>
      <c r="STB48" s="21"/>
      <c r="STC48" s="21"/>
      <c r="STD48" s="21"/>
      <c r="STE48" s="21"/>
      <c r="STF48" s="21"/>
      <c r="STG48" s="20"/>
      <c r="STH48" s="20"/>
      <c r="STI48" s="20"/>
      <c r="STJ48" s="20"/>
      <c r="STK48" s="21"/>
      <c r="STL48" s="21"/>
      <c r="STM48" s="7"/>
      <c r="STN48" s="7"/>
      <c r="STO48" s="21"/>
      <c r="STP48" s="20"/>
      <c r="STQ48" s="20"/>
      <c r="STR48" s="20"/>
      <c r="STS48" s="21"/>
      <c r="STT48" s="21"/>
      <c r="STU48" s="21"/>
      <c r="STV48" s="21"/>
      <c r="STW48" s="21"/>
      <c r="STX48" s="20"/>
      <c r="STY48" s="20"/>
      <c r="STZ48" s="20"/>
      <c r="SUA48" s="20"/>
      <c r="SUB48" s="21"/>
      <c r="SUC48" s="21"/>
      <c r="SUD48" s="7"/>
      <c r="SUE48" s="7"/>
      <c r="SUF48" s="21"/>
      <c r="SUG48" s="20"/>
      <c r="SUH48" s="20"/>
      <c r="SUI48" s="20"/>
      <c r="SUJ48" s="21"/>
      <c r="SUK48" s="21"/>
      <c r="SUL48" s="21"/>
      <c r="SUM48" s="21"/>
      <c r="SUN48" s="21"/>
      <c r="SUO48" s="20"/>
      <c r="SUP48" s="20"/>
      <c r="SUQ48" s="20"/>
      <c r="SUR48" s="20"/>
      <c r="SUS48" s="21"/>
      <c r="SUT48" s="21"/>
      <c r="SUU48" s="7"/>
      <c r="SUV48" s="7"/>
      <c r="SUW48" s="21"/>
      <c r="SUX48" s="20"/>
      <c r="SUY48" s="20"/>
      <c r="SUZ48" s="20"/>
      <c r="SVA48" s="21"/>
      <c r="SVB48" s="21"/>
      <c r="SVC48" s="21"/>
      <c r="SVD48" s="21"/>
      <c r="SVE48" s="21"/>
      <c r="SVF48" s="20"/>
      <c r="SVG48" s="20"/>
      <c r="SVH48" s="20"/>
      <c r="SVI48" s="20"/>
      <c r="SVJ48" s="21"/>
      <c r="SVK48" s="21"/>
      <c r="SVL48" s="7"/>
      <c r="SVM48" s="7"/>
      <c r="SVN48" s="21"/>
      <c r="SVO48" s="20"/>
      <c r="SVP48" s="20"/>
      <c r="SVQ48" s="20"/>
      <c r="SVR48" s="21"/>
      <c r="SVS48" s="21"/>
      <c r="SVT48" s="21"/>
      <c r="SVU48" s="21"/>
      <c r="SVV48" s="21"/>
      <c r="SVW48" s="20"/>
      <c r="SVX48" s="20"/>
      <c r="SVY48" s="20"/>
      <c r="SVZ48" s="20"/>
      <c r="SWA48" s="21"/>
      <c r="SWB48" s="21"/>
      <c r="SWC48" s="7"/>
      <c r="SWD48" s="7"/>
      <c r="SWE48" s="21"/>
      <c r="SWF48" s="20"/>
      <c r="SWG48" s="20"/>
      <c r="SWH48" s="20"/>
      <c r="SWI48" s="21"/>
      <c r="SWJ48" s="21"/>
      <c r="SWK48" s="21"/>
      <c r="SWL48" s="21"/>
      <c r="SWM48" s="21"/>
      <c r="SWN48" s="20"/>
      <c r="SWO48" s="20"/>
      <c r="SWP48" s="20"/>
      <c r="SWQ48" s="20"/>
      <c r="SWR48" s="21"/>
      <c r="SWS48" s="21"/>
      <c r="SWT48" s="7"/>
      <c r="SWU48" s="7"/>
      <c r="SWV48" s="21"/>
      <c r="SWW48" s="20"/>
      <c r="SWX48" s="20"/>
      <c r="SWY48" s="20"/>
      <c r="SWZ48" s="21"/>
      <c r="SXA48" s="21"/>
      <c r="SXB48" s="21"/>
      <c r="SXC48" s="21"/>
      <c r="SXD48" s="21"/>
      <c r="SXE48" s="20"/>
      <c r="SXF48" s="20"/>
      <c r="SXG48" s="20"/>
      <c r="SXH48" s="20"/>
      <c r="SXI48" s="21"/>
      <c r="SXJ48" s="21"/>
      <c r="SXK48" s="7"/>
      <c r="SXL48" s="7"/>
      <c r="SXM48" s="21"/>
      <c r="SXN48" s="20"/>
      <c r="SXO48" s="20"/>
      <c r="SXP48" s="20"/>
      <c r="SXQ48" s="21"/>
      <c r="SXR48" s="21"/>
      <c r="SXS48" s="21"/>
      <c r="SXT48" s="21"/>
      <c r="SXU48" s="21"/>
      <c r="SXV48" s="20"/>
      <c r="SXW48" s="20"/>
      <c r="SXX48" s="20"/>
      <c r="SXY48" s="20"/>
      <c r="SXZ48" s="21"/>
      <c r="SYA48" s="21"/>
      <c r="SYB48" s="7"/>
      <c r="SYC48" s="7"/>
      <c r="SYD48" s="21"/>
      <c r="SYE48" s="20"/>
      <c r="SYF48" s="20"/>
      <c r="SYG48" s="20"/>
      <c r="SYH48" s="21"/>
      <c r="SYI48" s="21"/>
      <c r="SYJ48" s="21"/>
      <c r="SYK48" s="21"/>
      <c r="SYL48" s="21"/>
      <c r="SYM48" s="20"/>
      <c r="SYN48" s="20"/>
      <c r="SYO48" s="20"/>
      <c r="SYP48" s="20"/>
      <c r="SYQ48" s="21"/>
      <c r="SYR48" s="21"/>
      <c r="SYS48" s="7"/>
      <c r="SYT48" s="7"/>
      <c r="SYU48" s="21"/>
      <c r="SYV48" s="20"/>
      <c r="SYW48" s="20"/>
      <c r="SYX48" s="20"/>
      <c r="SYY48" s="21"/>
      <c r="SYZ48" s="21"/>
      <c r="SZA48" s="21"/>
      <c r="SZB48" s="21"/>
      <c r="SZC48" s="21"/>
      <c r="SZD48" s="20"/>
      <c r="SZE48" s="20"/>
      <c r="SZF48" s="20"/>
      <c r="SZG48" s="20"/>
      <c r="SZH48" s="21"/>
      <c r="SZI48" s="21"/>
      <c r="SZJ48" s="7"/>
      <c r="SZK48" s="7"/>
      <c r="SZL48" s="21"/>
      <c r="SZM48" s="20"/>
      <c r="SZN48" s="20"/>
      <c r="SZO48" s="20"/>
      <c r="SZP48" s="21"/>
      <c r="SZQ48" s="21"/>
      <c r="SZR48" s="21"/>
      <c r="SZS48" s="21"/>
      <c r="SZT48" s="21"/>
      <c r="SZU48" s="20"/>
      <c r="SZV48" s="20"/>
      <c r="SZW48" s="20"/>
      <c r="SZX48" s="20"/>
      <c r="SZY48" s="21"/>
      <c r="SZZ48" s="21"/>
      <c r="TAA48" s="7"/>
      <c r="TAB48" s="7"/>
      <c r="TAC48" s="21"/>
      <c r="TAD48" s="20"/>
      <c r="TAE48" s="20"/>
      <c r="TAF48" s="20"/>
      <c r="TAG48" s="21"/>
      <c r="TAH48" s="21"/>
      <c r="TAI48" s="21"/>
      <c r="TAJ48" s="21"/>
      <c r="TAK48" s="21"/>
      <c r="TAL48" s="20"/>
      <c r="TAM48" s="20"/>
      <c r="TAN48" s="20"/>
      <c r="TAO48" s="20"/>
      <c r="TAP48" s="21"/>
      <c r="TAQ48" s="21"/>
      <c r="TAR48" s="7"/>
      <c r="TAS48" s="7"/>
      <c r="TAT48" s="21"/>
      <c r="TAU48" s="20"/>
      <c r="TAV48" s="20"/>
      <c r="TAW48" s="20"/>
      <c r="TAX48" s="21"/>
      <c r="TAY48" s="21"/>
      <c r="TAZ48" s="21"/>
      <c r="TBA48" s="21"/>
      <c r="TBB48" s="21"/>
      <c r="TBC48" s="20"/>
      <c r="TBD48" s="20"/>
      <c r="TBE48" s="20"/>
      <c r="TBF48" s="20"/>
      <c r="TBG48" s="21"/>
      <c r="TBH48" s="21"/>
      <c r="TBI48" s="7"/>
      <c r="TBJ48" s="7"/>
      <c r="TBK48" s="21"/>
      <c r="TBL48" s="20"/>
      <c r="TBM48" s="20"/>
      <c r="TBN48" s="20"/>
      <c r="TBO48" s="21"/>
      <c r="TBP48" s="21"/>
      <c r="TBQ48" s="21"/>
      <c r="TBR48" s="21"/>
      <c r="TBS48" s="21"/>
      <c r="TBT48" s="20"/>
      <c r="TBU48" s="20"/>
      <c r="TBV48" s="20"/>
      <c r="TBW48" s="20"/>
      <c r="TBX48" s="21"/>
      <c r="TBY48" s="21"/>
      <c r="TBZ48" s="7"/>
      <c r="TCA48" s="7"/>
      <c r="TCB48" s="21"/>
      <c r="TCC48" s="20"/>
      <c r="TCD48" s="20"/>
      <c r="TCE48" s="20"/>
      <c r="TCF48" s="21"/>
      <c r="TCG48" s="21"/>
      <c r="TCH48" s="21"/>
      <c r="TCI48" s="21"/>
      <c r="TCJ48" s="21"/>
      <c r="TCK48" s="20"/>
      <c r="TCL48" s="20"/>
      <c r="TCM48" s="20"/>
      <c r="TCN48" s="20"/>
      <c r="TCO48" s="21"/>
      <c r="TCP48" s="21"/>
      <c r="TCQ48" s="7"/>
      <c r="TCR48" s="7"/>
      <c r="TCS48" s="21"/>
      <c r="TCT48" s="20"/>
      <c r="TCU48" s="20"/>
      <c r="TCV48" s="20"/>
      <c r="TCW48" s="21"/>
      <c r="TCX48" s="21"/>
      <c r="TCY48" s="21"/>
      <c r="TCZ48" s="21"/>
      <c r="TDA48" s="21"/>
      <c r="TDB48" s="20"/>
      <c r="TDC48" s="20"/>
      <c r="TDD48" s="20"/>
      <c r="TDE48" s="20"/>
      <c r="TDF48" s="21"/>
      <c r="TDG48" s="21"/>
      <c r="TDH48" s="7"/>
      <c r="TDI48" s="7"/>
      <c r="TDJ48" s="21"/>
      <c r="TDK48" s="20"/>
      <c r="TDL48" s="20"/>
      <c r="TDM48" s="20"/>
      <c r="TDN48" s="21"/>
      <c r="TDO48" s="21"/>
      <c r="TDP48" s="21"/>
      <c r="TDQ48" s="21"/>
      <c r="TDR48" s="21"/>
      <c r="TDS48" s="20"/>
      <c r="TDT48" s="20"/>
      <c r="TDU48" s="20"/>
      <c r="TDV48" s="20"/>
      <c r="TDW48" s="21"/>
      <c r="TDX48" s="21"/>
      <c r="TDY48" s="7"/>
      <c r="TDZ48" s="7"/>
      <c r="TEA48" s="21"/>
      <c r="TEB48" s="20"/>
      <c r="TEC48" s="20"/>
      <c r="TED48" s="20"/>
      <c r="TEE48" s="21"/>
      <c r="TEF48" s="21"/>
      <c r="TEG48" s="21"/>
      <c r="TEH48" s="21"/>
      <c r="TEI48" s="21"/>
      <c r="TEJ48" s="20"/>
      <c r="TEK48" s="20"/>
      <c r="TEL48" s="20"/>
      <c r="TEM48" s="20"/>
      <c r="TEN48" s="21"/>
      <c r="TEO48" s="21"/>
      <c r="TEP48" s="7"/>
      <c r="TEQ48" s="7"/>
      <c r="TER48" s="21"/>
      <c r="TES48" s="20"/>
      <c r="TET48" s="20"/>
      <c r="TEU48" s="20"/>
      <c r="TEV48" s="21"/>
      <c r="TEW48" s="21"/>
      <c r="TEX48" s="21"/>
      <c r="TEY48" s="21"/>
      <c r="TEZ48" s="21"/>
      <c r="TFA48" s="20"/>
      <c r="TFB48" s="20"/>
      <c r="TFC48" s="20"/>
      <c r="TFD48" s="20"/>
      <c r="TFE48" s="21"/>
      <c r="TFF48" s="21"/>
      <c r="TFG48" s="7"/>
      <c r="TFH48" s="7"/>
      <c r="TFI48" s="21"/>
      <c r="TFJ48" s="20"/>
      <c r="TFK48" s="20"/>
      <c r="TFL48" s="20"/>
      <c r="TFM48" s="21"/>
      <c r="TFN48" s="21"/>
      <c r="TFO48" s="21"/>
      <c r="TFP48" s="21"/>
      <c r="TFQ48" s="21"/>
      <c r="TFR48" s="20"/>
      <c r="TFS48" s="20"/>
      <c r="TFT48" s="20"/>
      <c r="TFU48" s="20"/>
      <c r="TFV48" s="21"/>
      <c r="TFW48" s="21"/>
      <c r="TFX48" s="7"/>
      <c r="TFY48" s="7"/>
      <c r="TFZ48" s="21"/>
      <c r="TGA48" s="20"/>
      <c r="TGB48" s="20"/>
      <c r="TGC48" s="20"/>
      <c r="TGD48" s="21"/>
      <c r="TGE48" s="21"/>
      <c r="TGF48" s="21"/>
      <c r="TGG48" s="21"/>
      <c r="TGH48" s="21"/>
      <c r="TGI48" s="20"/>
      <c r="TGJ48" s="20"/>
      <c r="TGK48" s="20"/>
      <c r="TGL48" s="20"/>
      <c r="TGM48" s="21"/>
      <c r="TGN48" s="21"/>
      <c r="TGO48" s="7"/>
      <c r="TGP48" s="7"/>
      <c r="TGQ48" s="21"/>
      <c r="TGR48" s="20"/>
      <c r="TGS48" s="20"/>
      <c r="TGT48" s="20"/>
      <c r="TGU48" s="21"/>
      <c r="TGV48" s="21"/>
      <c r="TGW48" s="21"/>
      <c r="TGX48" s="21"/>
      <c r="TGY48" s="21"/>
      <c r="TGZ48" s="20"/>
      <c r="THA48" s="20"/>
      <c r="THB48" s="20"/>
      <c r="THC48" s="20"/>
      <c r="THD48" s="21"/>
      <c r="THE48" s="21"/>
      <c r="THF48" s="7"/>
      <c r="THG48" s="7"/>
      <c r="THH48" s="21"/>
      <c r="THI48" s="20"/>
      <c r="THJ48" s="20"/>
      <c r="THK48" s="20"/>
      <c r="THL48" s="21"/>
      <c r="THM48" s="21"/>
      <c r="THN48" s="21"/>
      <c r="THO48" s="21"/>
      <c r="THP48" s="21"/>
      <c r="THQ48" s="20"/>
      <c r="THR48" s="20"/>
      <c r="THS48" s="20"/>
      <c r="THT48" s="20"/>
      <c r="THU48" s="21"/>
      <c r="THV48" s="21"/>
      <c r="THW48" s="7"/>
      <c r="THX48" s="7"/>
      <c r="THY48" s="21"/>
      <c r="THZ48" s="20"/>
      <c r="TIA48" s="20"/>
      <c r="TIB48" s="20"/>
      <c r="TIC48" s="21"/>
      <c r="TID48" s="21"/>
      <c r="TIE48" s="21"/>
      <c r="TIF48" s="21"/>
      <c r="TIG48" s="21"/>
      <c r="TIH48" s="20"/>
      <c r="TII48" s="20"/>
      <c r="TIJ48" s="20"/>
      <c r="TIK48" s="20"/>
      <c r="TIL48" s="21"/>
      <c r="TIM48" s="21"/>
      <c r="TIN48" s="7"/>
      <c r="TIO48" s="7"/>
      <c r="TIP48" s="21"/>
      <c r="TIQ48" s="20"/>
      <c r="TIR48" s="20"/>
      <c r="TIS48" s="20"/>
      <c r="TIT48" s="21"/>
      <c r="TIU48" s="21"/>
      <c r="TIV48" s="21"/>
      <c r="TIW48" s="21"/>
      <c r="TIX48" s="21"/>
      <c r="TIY48" s="20"/>
      <c r="TIZ48" s="20"/>
      <c r="TJA48" s="20"/>
      <c r="TJB48" s="20"/>
      <c r="TJC48" s="21"/>
      <c r="TJD48" s="21"/>
      <c r="TJE48" s="7"/>
      <c r="TJF48" s="7"/>
      <c r="TJG48" s="21"/>
      <c r="TJH48" s="20"/>
      <c r="TJI48" s="20"/>
      <c r="TJJ48" s="20"/>
      <c r="TJK48" s="21"/>
      <c r="TJL48" s="21"/>
      <c r="TJM48" s="21"/>
      <c r="TJN48" s="21"/>
      <c r="TJO48" s="21"/>
      <c r="TJP48" s="20"/>
      <c r="TJQ48" s="20"/>
      <c r="TJR48" s="20"/>
      <c r="TJS48" s="20"/>
      <c r="TJT48" s="21"/>
      <c r="TJU48" s="21"/>
      <c r="TJV48" s="7"/>
      <c r="TJW48" s="7"/>
      <c r="TJX48" s="21"/>
      <c r="TJY48" s="20"/>
      <c r="TJZ48" s="20"/>
      <c r="TKA48" s="20"/>
      <c r="TKB48" s="21"/>
      <c r="TKC48" s="21"/>
      <c r="TKD48" s="21"/>
      <c r="TKE48" s="21"/>
      <c r="TKF48" s="21"/>
      <c r="TKG48" s="20"/>
      <c r="TKH48" s="20"/>
      <c r="TKI48" s="20"/>
      <c r="TKJ48" s="20"/>
      <c r="TKK48" s="21"/>
      <c r="TKL48" s="21"/>
      <c r="TKM48" s="7"/>
      <c r="TKN48" s="7"/>
      <c r="TKO48" s="21"/>
      <c r="TKP48" s="20"/>
      <c r="TKQ48" s="20"/>
      <c r="TKR48" s="20"/>
      <c r="TKS48" s="21"/>
      <c r="TKT48" s="21"/>
      <c r="TKU48" s="21"/>
      <c r="TKV48" s="21"/>
      <c r="TKW48" s="21"/>
      <c r="TKX48" s="20"/>
      <c r="TKY48" s="20"/>
      <c r="TKZ48" s="20"/>
      <c r="TLA48" s="20"/>
      <c r="TLB48" s="21"/>
      <c r="TLC48" s="21"/>
      <c r="TLD48" s="7"/>
      <c r="TLE48" s="7"/>
      <c r="TLF48" s="21"/>
      <c r="TLG48" s="20"/>
      <c r="TLH48" s="20"/>
      <c r="TLI48" s="20"/>
      <c r="TLJ48" s="21"/>
      <c r="TLK48" s="21"/>
      <c r="TLL48" s="21"/>
      <c r="TLM48" s="21"/>
      <c r="TLN48" s="21"/>
      <c r="TLO48" s="20"/>
      <c r="TLP48" s="20"/>
      <c r="TLQ48" s="20"/>
      <c r="TLR48" s="20"/>
      <c r="TLS48" s="21"/>
      <c r="TLT48" s="21"/>
      <c r="TLU48" s="7"/>
      <c r="TLV48" s="7"/>
      <c r="TLW48" s="21"/>
      <c r="TLX48" s="20"/>
      <c r="TLY48" s="20"/>
      <c r="TLZ48" s="20"/>
      <c r="TMA48" s="21"/>
      <c r="TMB48" s="21"/>
      <c r="TMC48" s="21"/>
      <c r="TMD48" s="21"/>
      <c r="TME48" s="21"/>
      <c r="TMF48" s="20"/>
      <c r="TMG48" s="20"/>
      <c r="TMH48" s="20"/>
      <c r="TMI48" s="20"/>
      <c r="TMJ48" s="21"/>
      <c r="TMK48" s="21"/>
      <c r="TML48" s="7"/>
      <c r="TMM48" s="7"/>
      <c r="TMN48" s="21"/>
      <c r="TMO48" s="20"/>
      <c r="TMP48" s="20"/>
      <c r="TMQ48" s="20"/>
      <c r="TMR48" s="21"/>
      <c r="TMS48" s="21"/>
      <c r="TMT48" s="21"/>
      <c r="TMU48" s="21"/>
      <c r="TMV48" s="21"/>
      <c r="TMW48" s="20"/>
      <c r="TMX48" s="20"/>
      <c r="TMY48" s="20"/>
      <c r="TMZ48" s="20"/>
      <c r="TNA48" s="21"/>
      <c r="TNB48" s="21"/>
      <c r="TNC48" s="7"/>
      <c r="TND48" s="7"/>
      <c r="TNE48" s="21"/>
      <c r="TNF48" s="20"/>
      <c r="TNG48" s="20"/>
      <c r="TNH48" s="20"/>
      <c r="TNI48" s="21"/>
      <c r="TNJ48" s="21"/>
      <c r="TNK48" s="21"/>
      <c r="TNL48" s="21"/>
      <c r="TNM48" s="21"/>
      <c r="TNN48" s="20"/>
      <c r="TNO48" s="20"/>
      <c r="TNP48" s="20"/>
      <c r="TNQ48" s="20"/>
      <c r="TNR48" s="21"/>
      <c r="TNS48" s="21"/>
      <c r="TNT48" s="7"/>
      <c r="TNU48" s="7"/>
      <c r="TNV48" s="21"/>
      <c r="TNW48" s="20"/>
      <c r="TNX48" s="20"/>
      <c r="TNY48" s="20"/>
      <c r="TNZ48" s="21"/>
      <c r="TOA48" s="21"/>
      <c r="TOB48" s="21"/>
      <c r="TOC48" s="21"/>
      <c r="TOD48" s="21"/>
      <c r="TOE48" s="20"/>
      <c r="TOF48" s="20"/>
      <c r="TOG48" s="20"/>
      <c r="TOH48" s="20"/>
      <c r="TOI48" s="21"/>
      <c r="TOJ48" s="21"/>
      <c r="TOK48" s="7"/>
      <c r="TOL48" s="7"/>
      <c r="TOM48" s="21"/>
      <c r="TON48" s="20"/>
      <c r="TOO48" s="20"/>
      <c r="TOP48" s="20"/>
      <c r="TOQ48" s="21"/>
      <c r="TOR48" s="21"/>
      <c r="TOS48" s="21"/>
      <c r="TOT48" s="21"/>
      <c r="TOU48" s="21"/>
      <c r="TOV48" s="20"/>
      <c r="TOW48" s="20"/>
      <c r="TOX48" s="20"/>
      <c r="TOY48" s="20"/>
      <c r="TOZ48" s="21"/>
      <c r="TPA48" s="21"/>
      <c r="TPB48" s="7"/>
      <c r="TPC48" s="7"/>
      <c r="TPD48" s="21"/>
      <c r="TPE48" s="20"/>
      <c r="TPF48" s="20"/>
      <c r="TPG48" s="20"/>
      <c r="TPH48" s="21"/>
      <c r="TPI48" s="21"/>
      <c r="TPJ48" s="21"/>
      <c r="TPK48" s="21"/>
      <c r="TPL48" s="21"/>
      <c r="TPM48" s="20"/>
      <c r="TPN48" s="20"/>
      <c r="TPO48" s="20"/>
      <c r="TPP48" s="20"/>
      <c r="TPQ48" s="21"/>
      <c r="TPR48" s="21"/>
      <c r="TPS48" s="7"/>
      <c r="TPT48" s="7"/>
      <c r="TPU48" s="21"/>
      <c r="TPV48" s="20"/>
      <c r="TPW48" s="20"/>
      <c r="TPX48" s="20"/>
      <c r="TPY48" s="21"/>
      <c r="TPZ48" s="21"/>
      <c r="TQA48" s="21"/>
      <c r="TQB48" s="21"/>
      <c r="TQC48" s="21"/>
      <c r="TQD48" s="20"/>
      <c r="TQE48" s="20"/>
      <c r="TQF48" s="20"/>
      <c r="TQG48" s="20"/>
      <c r="TQH48" s="21"/>
      <c r="TQI48" s="21"/>
      <c r="TQJ48" s="7"/>
      <c r="TQK48" s="7"/>
      <c r="TQL48" s="21"/>
      <c r="TQM48" s="20"/>
      <c r="TQN48" s="20"/>
      <c r="TQO48" s="20"/>
      <c r="TQP48" s="21"/>
      <c r="TQQ48" s="21"/>
      <c r="TQR48" s="21"/>
      <c r="TQS48" s="21"/>
      <c r="TQT48" s="21"/>
      <c r="TQU48" s="20"/>
      <c r="TQV48" s="20"/>
      <c r="TQW48" s="20"/>
      <c r="TQX48" s="20"/>
      <c r="TQY48" s="21"/>
      <c r="TQZ48" s="21"/>
      <c r="TRA48" s="7"/>
      <c r="TRB48" s="7"/>
      <c r="TRC48" s="21"/>
      <c r="TRD48" s="20"/>
      <c r="TRE48" s="20"/>
      <c r="TRF48" s="20"/>
      <c r="TRG48" s="21"/>
      <c r="TRH48" s="21"/>
      <c r="TRI48" s="21"/>
      <c r="TRJ48" s="21"/>
      <c r="TRK48" s="21"/>
      <c r="TRL48" s="20"/>
      <c r="TRM48" s="20"/>
      <c r="TRN48" s="20"/>
      <c r="TRO48" s="20"/>
      <c r="TRP48" s="21"/>
      <c r="TRQ48" s="21"/>
      <c r="TRR48" s="7"/>
      <c r="TRS48" s="7"/>
      <c r="TRT48" s="21"/>
      <c r="TRU48" s="20"/>
      <c r="TRV48" s="20"/>
      <c r="TRW48" s="20"/>
      <c r="TRX48" s="21"/>
      <c r="TRY48" s="21"/>
      <c r="TRZ48" s="21"/>
      <c r="TSA48" s="21"/>
      <c r="TSB48" s="21"/>
      <c r="TSC48" s="20"/>
      <c r="TSD48" s="20"/>
      <c r="TSE48" s="20"/>
      <c r="TSF48" s="20"/>
      <c r="TSG48" s="21"/>
      <c r="TSH48" s="21"/>
      <c r="TSI48" s="7"/>
      <c r="TSJ48" s="7"/>
      <c r="TSK48" s="21"/>
      <c r="TSL48" s="20"/>
      <c r="TSM48" s="20"/>
      <c r="TSN48" s="20"/>
      <c r="TSO48" s="21"/>
      <c r="TSP48" s="21"/>
      <c r="TSQ48" s="21"/>
      <c r="TSR48" s="21"/>
      <c r="TSS48" s="21"/>
      <c r="TST48" s="20"/>
      <c r="TSU48" s="20"/>
      <c r="TSV48" s="20"/>
      <c r="TSW48" s="20"/>
      <c r="TSX48" s="21"/>
      <c r="TSY48" s="21"/>
      <c r="TSZ48" s="7"/>
      <c r="TTA48" s="7"/>
      <c r="TTB48" s="21"/>
      <c r="TTC48" s="20"/>
      <c r="TTD48" s="20"/>
      <c r="TTE48" s="20"/>
      <c r="TTF48" s="21"/>
      <c r="TTG48" s="21"/>
      <c r="TTH48" s="21"/>
      <c r="TTI48" s="21"/>
      <c r="TTJ48" s="21"/>
      <c r="TTK48" s="20"/>
      <c r="TTL48" s="20"/>
      <c r="TTM48" s="20"/>
      <c r="TTN48" s="20"/>
      <c r="TTO48" s="21"/>
      <c r="TTP48" s="21"/>
      <c r="TTQ48" s="7"/>
      <c r="TTR48" s="7"/>
      <c r="TTS48" s="21"/>
      <c r="TTT48" s="20"/>
      <c r="TTU48" s="20"/>
      <c r="TTV48" s="20"/>
      <c r="TTW48" s="21"/>
      <c r="TTX48" s="21"/>
      <c r="TTY48" s="21"/>
      <c r="TTZ48" s="21"/>
      <c r="TUA48" s="21"/>
      <c r="TUB48" s="20"/>
      <c r="TUC48" s="20"/>
      <c r="TUD48" s="20"/>
      <c r="TUE48" s="20"/>
      <c r="TUF48" s="21"/>
      <c r="TUG48" s="21"/>
      <c r="TUH48" s="7"/>
      <c r="TUI48" s="7"/>
      <c r="TUJ48" s="21"/>
      <c r="TUK48" s="20"/>
      <c r="TUL48" s="20"/>
      <c r="TUM48" s="20"/>
      <c r="TUN48" s="21"/>
      <c r="TUO48" s="21"/>
      <c r="TUP48" s="21"/>
      <c r="TUQ48" s="21"/>
      <c r="TUR48" s="21"/>
      <c r="TUS48" s="20"/>
      <c r="TUT48" s="20"/>
      <c r="TUU48" s="20"/>
      <c r="TUV48" s="20"/>
      <c r="TUW48" s="21"/>
      <c r="TUX48" s="21"/>
      <c r="TUY48" s="7"/>
      <c r="TUZ48" s="7"/>
      <c r="TVA48" s="21"/>
      <c r="TVB48" s="20"/>
      <c r="TVC48" s="20"/>
      <c r="TVD48" s="20"/>
      <c r="TVE48" s="21"/>
      <c r="TVF48" s="21"/>
      <c r="TVG48" s="21"/>
      <c r="TVH48" s="21"/>
      <c r="TVI48" s="21"/>
      <c r="TVJ48" s="20"/>
      <c r="TVK48" s="20"/>
      <c r="TVL48" s="20"/>
      <c r="TVM48" s="20"/>
      <c r="TVN48" s="21"/>
      <c r="TVO48" s="21"/>
      <c r="TVP48" s="7"/>
      <c r="TVQ48" s="7"/>
      <c r="TVR48" s="21"/>
      <c r="TVS48" s="20"/>
      <c r="TVT48" s="20"/>
      <c r="TVU48" s="20"/>
      <c r="TVV48" s="21"/>
      <c r="TVW48" s="21"/>
      <c r="TVX48" s="21"/>
      <c r="TVY48" s="21"/>
      <c r="TVZ48" s="21"/>
      <c r="TWA48" s="20"/>
      <c r="TWB48" s="20"/>
      <c r="TWC48" s="20"/>
      <c r="TWD48" s="20"/>
      <c r="TWE48" s="21"/>
      <c r="TWF48" s="21"/>
      <c r="TWG48" s="7"/>
      <c r="TWH48" s="7"/>
      <c r="TWI48" s="21"/>
      <c r="TWJ48" s="20"/>
      <c r="TWK48" s="20"/>
      <c r="TWL48" s="20"/>
      <c r="TWM48" s="21"/>
      <c r="TWN48" s="21"/>
      <c r="TWO48" s="21"/>
      <c r="TWP48" s="21"/>
      <c r="TWQ48" s="21"/>
      <c r="TWR48" s="20"/>
      <c r="TWS48" s="20"/>
      <c r="TWT48" s="20"/>
      <c r="TWU48" s="20"/>
      <c r="TWV48" s="21"/>
      <c r="TWW48" s="21"/>
      <c r="TWX48" s="7"/>
      <c r="TWY48" s="7"/>
      <c r="TWZ48" s="21"/>
      <c r="TXA48" s="20"/>
      <c r="TXB48" s="20"/>
      <c r="TXC48" s="20"/>
      <c r="TXD48" s="21"/>
      <c r="TXE48" s="21"/>
      <c r="TXF48" s="21"/>
      <c r="TXG48" s="21"/>
      <c r="TXH48" s="21"/>
      <c r="TXI48" s="20"/>
      <c r="TXJ48" s="20"/>
      <c r="TXK48" s="20"/>
      <c r="TXL48" s="20"/>
      <c r="TXM48" s="21"/>
      <c r="TXN48" s="21"/>
      <c r="TXO48" s="7"/>
      <c r="TXP48" s="7"/>
      <c r="TXQ48" s="21"/>
      <c r="TXR48" s="20"/>
      <c r="TXS48" s="20"/>
      <c r="TXT48" s="20"/>
      <c r="TXU48" s="21"/>
      <c r="TXV48" s="21"/>
      <c r="TXW48" s="21"/>
      <c r="TXX48" s="21"/>
      <c r="TXY48" s="21"/>
      <c r="TXZ48" s="20"/>
      <c r="TYA48" s="20"/>
      <c r="TYB48" s="20"/>
      <c r="TYC48" s="20"/>
      <c r="TYD48" s="21"/>
      <c r="TYE48" s="21"/>
      <c r="TYF48" s="7"/>
      <c r="TYG48" s="7"/>
      <c r="TYH48" s="21"/>
      <c r="TYI48" s="20"/>
      <c r="TYJ48" s="20"/>
      <c r="TYK48" s="20"/>
      <c r="TYL48" s="21"/>
      <c r="TYM48" s="21"/>
      <c r="TYN48" s="21"/>
      <c r="TYO48" s="21"/>
      <c r="TYP48" s="21"/>
      <c r="TYQ48" s="20"/>
      <c r="TYR48" s="20"/>
      <c r="TYS48" s="20"/>
      <c r="TYT48" s="20"/>
      <c r="TYU48" s="21"/>
      <c r="TYV48" s="21"/>
      <c r="TYW48" s="7"/>
      <c r="TYX48" s="7"/>
      <c r="TYY48" s="21"/>
      <c r="TYZ48" s="20"/>
      <c r="TZA48" s="20"/>
      <c r="TZB48" s="20"/>
      <c r="TZC48" s="21"/>
      <c r="TZD48" s="21"/>
      <c r="TZE48" s="21"/>
      <c r="TZF48" s="21"/>
      <c r="TZG48" s="21"/>
      <c r="TZH48" s="20"/>
      <c r="TZI48" s="20"/>
      <c r="TZJ48" s="20"/>
      <c r="TZK48" s="20"/>
      <c r="TZL48" s="21"/>
      <c r="TZM48" s="21"/>
      <c r="TZN48" s="7"/>
      <c r="TZO48" s="7"/>
      <c r="TZP48" s="21"/>
      <c r="TZQ48" s="20"/>
      <c r="TZR48" s="20"/>
      <c r="TZS48" s="20"/>
      <c r="TZT48" s="21"/>
      <c r="TZU48" s="21"/>
      <c r="TZV48" s="21"/>
      <c r="TZW48" s="21"/>
      <c r="TZX48" s="21"/>
      <c r="TZY48" s="20"/>
      <c r="TZZ48" s="20"/>
      <c r="UAA48" s="20"/>
      <c r="UAB48" s="20"/>
      <c r="UAC48" s="21"/>
      <c r="UAD48" s="21"/>
      <c r="UAE48" s="7"/>
      <c r="UAF48" s="7"/>
      <c r="UAG48" s="21"/>
      <c r="UAH48" s="20"/>
      <c r="UAI48" s="20"/>
      <c r="UAJ48" s="20"/>
      <c r="UAK48" s="21"/>
      <c r="UAL48" s="21"/>
      <c r="UAM48" s="21"/>
      <c r="UAN48" s="21"/>
      <c r="UAO48" s="21"/>
      <c r="UAP48" s="20"/>
      <c r="UAQ48" s="20"/>
      <c r="UAR48" s="20"/>
      <c r="UAS48" s="20"/>
      <c r="UAT48" s="21"/>
      <c r="UAU48" s="21"/>
      <c r="UAV48" s="7"/>
      <c r="UAW48" s="7"/>
      <c r="UAX48" s="21"/>
      <c r="UAY48" s="20"/>
      <c r="UAZ48" s="20"/>
      <c r="UBA48" s="20"/>
      <c r="UBB48" s="21"/>
      <c r="UBC48" s="21"/>
      <c r="UBD48" s="21"/>
      <c r="UBE48" s="21"/>
      <c r="UBF48" s="21"/>
      <c r="UBG48" s="20"/>
      <c r="UBH48" s="20"/>
      <c r="UBI48" s="20"/>
      <c r="UBJ48" s="20"/>
      <c r="UBK48" s="21"/>
      <c r="UBL48" s="21"/>
      <c r="UBM48" s="7"/>
      <c r="UBN48" s="7"/>
      <c r="UBO48" s="21"/>
      <c r="UBP48" s="20"/>
      <c r="UBQ48" s="20"/>
      <c r="UBR48" s="20"/>
      <c r="UBS48" s="21"/>
      <c r="UBT48" s="21"/>
      <c r="UBU48" s="21"/>
      <c r="UBV48" s="21"/>
      <c r="UBW48" s="21"/>
      <c r="UBX48" s="20"/>
      <c r="UBY48" s="20"/>
      <c r="UBZ48" s="20"/>
      <c r="UCA48" s="20"/>
      <c r="UCB48" s="21"/>
      <c r="UCC48" s="21"/>
      <c r="UCD48" s="7"/>
      <c r="UCE48" s="7"/>
      <c r="UCF48" s="21"/>
      <c r="UCG48" s="20"/>
      <c r="UCH48" s="20"/>
      <c r="UCI48" s="20"/>
      <c r="UCJ48" s="21"/>
      <c r="UCK48" s="21"/>
      <c r="UCL48" s="21"/>
      <c r="UCM48" s="21"/>
      <c r="UCN48" s="21"/>
      <c r="UCO48" s="20"/>
      <c r="UCP48" s="20"/>
      <c r="UCQ48" s="20"/>
      <c r="UCR48" s="20"/>
      <c r="UCS48" s="21"/>
      <c r="UCT48" s="21"/>
      <c r="UCU48" s="7"/>
      <c r="UCV48" s="7"/>
      <c r="UCW48" s="21"/>
      <c r="UCX48" s="20"/>
      <c r="UCY48" s="20"/>
      <c r="UCZ48" s="20"/>
      <c r="UDA48" s="21"/>
      <c r="UDB48" s="21"/>
      <c r="UDC48" s="21"/>
      <c r="UDD48" s="21"/>
      <c r="UDE48" s="21"/>
      <c r="UDF48" s="20"/>
      <c r="UDG48" s="20"/>
      <c r="UDH48" s="20"/>
      <c r="UDI48" s="20"/>
      <c r="UDJ48" s="21"/>
      <c r="UDK48" s="21"/>
      <c r="UDL48" s="7"/>
      <c r="UDM48" s="7"/>
      <c r="UDN48" s="21"/>
      <c r="UDO48" s="20"/>
      <c r="UDP48" s="20"/>
      <c r="UDQ48" s="20"/>
      <c r="UDR48" s="21"/>
      <c r="UDS48" s="21"/>
      <c r="UDT48" s="21"/>
      <c r="UDU48" s="21"/>
      <c r="UDV48" s="21"/>
      <c r="UDW48" s="20"/>
      <c r="UDX48" s="20"/>
      <c r="UDY48" s="20"/>
      <c r="UDZ48" s="20"/>
      <c r="UEA48" s="21"/>
      <c r="UEB48" s="21"/>
      <c r="UEC48" s="7"/>
      <c r="UED48" s="7"/>
      <c r="UEE48" s="21"/>
      <c r="UEF48" s="20"/>
      <c r="UEG48" s="20"/>
      <c r="UEH48" s="20"/>
      <c r="UEI48" s="21"/>
      <c r="UEJ48" s="21"/>
      <c r="UEK48" s="21"/>
      <c r="UEL48" s="21"/>
      <c r="UEM48" s="21"/>
      <c r="UEN48" s="20"/>
      <c r="UEO48" s="20"/>
      <c r="UEP48" s="20"/>
      <c r="UEQ48" s="20"/>
      <c r="UER48" s="21"/>
      <c r="UES48" s="21"/>
      <c r="UET48" s="7"/>
      <c r="UEU48" s="7"/>
      <c r="UEV48" s="21"/>
      <c r="UEW48" s="20"/>
      <c r="UEX48" s="20"/>
      <c r="UEY48" s="20"/>
      <c r="UEZ48" s="21"/>
      <c r="UFA48" s="21"/>
      <c r="UFB48" s="21"/>
      <c r="UFC48" s="21"/>
      <c r="UFD48" s="21"/>
      <c r="UFE48" s="20"/>
      <c r="UFF48" s="20"/>
      <c r="UFG48" s="20"/>
      <c r="UFH48" s="20"/>
      <c r="UFI48" s="21"/>
      <c r="UFJ48" s="21"/>
      <c r="UFK48" s="7"/>
      <c r="UFL48" s="7"/>
      <c r="UFM48" s="21"/>
      <c r="UFN48" s="20"/>
      <c r="UFO48" s="20"/>
      <c r="UFP48" s="20"/>
      <c r="UFQ48" s="21"/>
      <c r="UFR48" s="21"/>
      <c r="UFS48" s="21"/>
      <c r="UFT48" s="21"/>
      <c r="UFU48" s="21"/>
      <c r="UFV48" s="20"/>
      <c r="UFW48" s="20"/>
      <c r="UFX48" s="20"/>
      <c r="UFY48" s="20"/>
      <c r="UFZ48" s="21"/>
      <c r="UGA48" s="21"/>
      <c r="UGB48" s="7"/>
      <c r="UGC48" s="7"/>
      <c r="UGD48" s="21"/>
      <c r="UGE48" s="20"/>
      <c r="UGF48" s="20"/>
      <c r="UGG48" s="20"/>
      <c r="UGH48" s="21"/>
      <c r="UGI48" s="21"/>
      <c r="UGJ48" s="21"/>
      <c r="UGK48" s="21"/>
      <c r="UGL48" s="21"/>
      <c r="UGM48" s="20"/>
      <c r="UGN48" s="20"/>
      <c r="UGO48" s="20"/>
      <c r="UGP48" s="20"/>
      <c r="UGQ48" s="21"/>
      <c r="UGR48" s="21"/>
      <c r="UGS48" s="7"/>
      <c r="UGT48" s="7"/>
      <c r="UGU48" s="21"/>
      <c r="UGV48" s="20"/>
      <c r="UGW48" s="20"/>
      <c r="UGX48" s="20"/>
      <c r="UGY48" s="21"/>
      <c r="UGZ48" s="21"/>
      <c r="UHA48" s="21"/>
      <c r="UHB48" s="21"/>
      <c r="UHC48" s="21"/>
      <c r="UHD48" s="20"/>
      <c r="UHE48" s="20"/>
      <c r="UHF48" s="20"/>
      <c r="UHG48" s="20"/>
      <c r="UHH48" s="21"/>
      <c r="UHI48" s="21"/>
      <c r="UHJ48" s="7"/>
      <c r="UHK48" s="7"/>
      <c r="UHL48" s="21"/>
      <c r="UHM48" s="20"/>
      <c r="UHN48" s="20"/>
      <c r="UHO48" s="20"/>
      <c r="UHP48" s="21"/>
      <c r="UHQ48" s="21"/>
      <c r="UHR48" s="21"/>
      <c r="UHS48" s="21"/>
      <c r="UHT48" s="21"/>
      <c r="UHU48" s="20"/>
      <c r="UHV48" s="20"/>
      <c r="UHW48" s="20"/>
      <c r="UHX48" s="20"/>
      <c r="UHY48" s="21"/>
      <c r="UHZ48" s="21"/>
      <c r="UIA48" s="7"/>
      <c r="UIB48" s="7"/>
      <c r="UIC48" s="21"/>
      <c r="UID48" s="20"/>
      <c r="UIE48" s="20"/>
      <c r="UIF48" s="20"/>
      <c r="UIG48" s="21"/>
      <c r="UIH48" s="21"/>
      <c r="UII48" s="21"/>
      <c r="UIJ48" s="21"/>
      <c r="UIK48" s="21"/>
      <c r="UIL48" s="20"/>
      <c r="UIM48" s="20"/>
      <c r="UIN48" s="20"/>
      <c r="UIO48" s="20"/>
      <c r="UIP48" s="21"/>
      <c r="UIQ48" s="21"/>
      <c r="UIR48" s="7"/>
      <c r="UIS48" s="7"/>
      <c r="UIT48" s="21"/>
      <c r="UIU48" s="20"/>
      <c r="UIV48" s="20"/>
      <c r="UIW48" s="20"/>
      <c r="UIX48" s="21"/>
      <c r="UIY48" s="21"/>
      <c r="UIZ48" s="21"/>
      <c r="UJA48" s="21"/>
      <c r="UJB48" s="21"/>
      <c r="UJC48" s="20"/>
      <c r="UJD48" s="20"/>
      <c r="UJE48" s="20"/>
      <c r="UJF48" s="20"/>
      <c r="UJG48" s="21"/>
      <c r="UJH48" s="21"/>
      <c r="UJI48" s="7"/>
      <c r="UJJ48" s="7"/>
      <c r="UJK48" s="21"/>
      <c r="UJL48" s="20"/>
      <c r="UJM48" s="20"/>
      <c r="UJN48" s="20"/>
      <c r="UJO48" s="21"/>
      <c r="UJP48" s="21"/>
      <c r="UJQ48" s="21"/>
      <c r="UJR48" s="21"/>
      <c r="UJS48" s="21"/>
      <c r="UJT48" s="20"/>
      <c r="UJU48" s="20"/>
      <c r="UJV48" s="20"/>
      <c r="UJW48" s="20"/>
      <c r="UJX48" s="21"/>
      <c r="UJY48" s="21"/>
      <c r="UJZ48" s="7"/>
      <c r="UKA48" s="7"/>
      <c r="UKB48" s="21"/>
      <c r="UKC48" s="20"/>
      <c r="UKD48" s="20"/>
      <c r="UKE48" s="20"/>
      <c r="UKF48" s="21"/>
      <c r="UKG48" s="21"/>
      <c r="UKH48" s="21"/>
      <c r="UKI48" s="21"/>
      <c r="UKJ48" s="21"/>
      <c r="UKK48" s="20"/>
      <c r="UKL48" s="20"/>
      <c r="UKM48" s="20"/>
      <c r="UKN48" s="20"/>
      <c r="UKO48" s="21"/>
      <c r="UKP48" s="21"/>
      <c r="UKQ48" s="7"/>
      <c r="UKR48" s="7"/>
      <c r="UKS48" s="21"/>
      <c r="UKT48" s="20"/>
      <c r="UKU48" s="20"/>
      <c r="UKV48" s="20"/>
      <c r="UKW48" s="21"/>
      <c r="UKX48" s="21"/>
      <c r="UKY48" s="21"/>
      <c r="UKZ48" s="21"/>
      <c r="ULA48" s="21"/>
      <c r="ULB48" s="20"/>
      <c r="ULC48" s="20"/>
      <c r="ULD48" s="20"/>
      <c r="ULE48" s="20"/>
      <c r="ULF48" s="21"/>
      <c r="ULG48" s="21"/>
      <c r="ULH48" s="7"/>
      <c r="ULI48" s="7"/>
      <c r="ULJ48" s="21"/>
      <c r="ULK48" s="20"/>
      <c r="ULL48" s="20"/>
      <c r="ULM48" s="20"/>
      <c r="ULN48" s="21"/>
      <c r="ULO48" s="21"/>
      <c r="ULP48" s="21"/>
      <c r="ULQ48" s="21"/>
      <c r="ULR48" s="21"/>
      <c r="ULS48" s="20"/>
      <c r="ULT48" s="20"/>
      <c r="ULU48" s="20"/>
      <c r="ULV48" s="20"/>
      <c r="ULW48" s="21"/>
      <c r="ULX48" s="21"/>
      <c r="ULY48" s="7"/>
      <c r="ULZ48" s="7"/>
      <c r="UMA48" s="21"/>
      <c r="UMB48" s="20"/>
      <c r="UMC48" s="20"/>
      <c r="UMD48" s="20"/>
      <c r="UME48" s="21"/>
      <c r="UMF48" s="21"/>
      <c r="UMG48" s="21"/>
      <c r="UMH48" s="21"/>
      <c r="UMI48" s="21"/>
      <c r="UMJ48" s="20"/>
      <c r="UMK48" s="20"/>
      <c r="UML48" s="20"/>
      <c r="UMM48" s="20"/>
      <c r="UMN48" s="21"/>
      <c r="UMO48" s="21"/>
      <c r="UMP48" s="7"/>
      <c r="UMQ48" s="7"/>
      <c r="UMR48" s="21"/>
      <c r="UMS48" s="20"/>
      <c r="UMT48" s="20"/>
      <c r="UMU48" s="20"/>
      <c r="UMV48" s="21"/>
      <c r="UMW48" s="21"/>
      <c r="UMX48" s="21"/>
      <c r="UMY48" s="21"/>
      <c r="UMZ48" s="21"/>
      <c r="UNA48" s="20"/>
      <c r="UNB48" s="20"/>
      <c r="UNC48" s="20"/>
      <c r="UND48" s="20"/>
      <c r="UNE48" s="21"/>
      <c r="UNF48" s="21"/>
      <c r="UNG48" s="7"/>
      <c r="UNH48" s="7"/>
      <c r="UNI48" s="21"/>
      <c r="UNJ48" s="20"/>
      <c r="UNK48" s="20"/>
      <c r="UNL48" s="20"/>
      <c r="UNM48" s="21"/>
      <c r="UNN48" s="21"/>
      <c r="UNO48" s="21"/>
      <c r="UNP48" s="21"/>
      <c r="UNQ48" s="21"/>
      <c r="UNR48" s="20"/>
      <c r="UNS48" s="20"/>
      <c r="UNT48" s="20"/>
      <c r="UNU48" s="20"/>
      <c r="UNV48" s="21"/>
      <c r="UNW48" s="21"/>
      <c r="UNX48" s="7"/>
      <c r="UNY48" s="7"/>
      <c r="UNZ48" s="21"/>
      <c r="UOA48" s="20"/>
      <c r="UOB48" s="20"/>
      <c r="UOC48" s="20"/>
      <c r="UOD48" s="21"/>
      <c r="UOE48" s="21"/>
      <c r="UOF48" s="21"/>
      <c r="UOG48" s="21"/>
      <c r="UOH48" s="21"/>
      <c r="UOI48" s="20"/>
      <c r="UOJ48" s="20"/>
      <c r="UOK48" s="20"/>
      <c r="UOL48" s="20"/>
      <c r="UOM48" s="21"/>
      <c r="UON48" s="21"/>
      <c r="UOO48" s="7"/>
      <c r="UOP48" s="7"/>
      <c r="UOQ48" s="21"/>
      <c r="UOR48" s="20"/>
      <c r="UOS48" s="20"/>
      <c r="UOT48" s="20"/>
      <c r="UOU48" s="21"/>
      <c r="UOV48" s="21"/>
      <c r="UOW48" s="21"/>
      <c r="UOX48" s="21"/>
      <c r="UOY48" s="21"/>
      <c r="UOZ48" s="20"/>
      <c r="UPA48" s="20"/>
      <c r="UPB48" s="20"/>
      <c r="UPC48" s="20"/>
      <c r="UPD48" s="21"/>
      <c r="UPE48" s="21"/>
      <c r="UPF48" s="7"/>
      <c r="UPG48" s="7"/>
      <c r="UPH48" s="21"/>
      <c r="UPI48" s="20"/>
      <c r="UPJ48" s="20"/>
      <c r="UPK48" s="20"/>
      <c r="UPL48" s="21"/>
      <c r="UPM48" s="21"/>
      <c r="UPN48" s="21"/>
      <c r="UPO48" s="21"/>
      <c r="UPP48" s="21"/>
      <c r="UPQ48" s="20"/>
      <c r="UPR48" s="20"/>
      <c r="UPS48" s="20"/>
      <c r="UPT48" s="20"/>
      <c r="UPU48" s="21"/>
      <c r="UPV48" s="21"/>
      <c r="UPW48" s="7"/>
      <c r="UPX48" s="7"/>
      <c r="UPY48" s="21"/>
      <c r="UPZ48" s="20"/>
      <c r="UQA48" s="20"/>
      <c r="UQB48" s="20"/>
      <c r="UQC48" s="21"/>
      <c r="UQD48" s="21"/>
      <c r="UQE48" s="21"/>
      <c r="UQF48" s="21"/>
      <c r="UQG48" s="21"/>
      <c r="UQH48" s="20"/>
      <c r="UQI48" s="20"/>
      <c r="UQJ48" s="20"/>
      <c r="UQK48" s="20"/>
      <c r="UQL48" s="21"/>
      <c r="UQM48" s="21"/>
      <c r="UQN48" s="7"/>
      <c r="UQO48" s="7"/>
      <c r="UQP48" s="21"/>
      <c r="UQQ48" s="20"/>
      <c r="UQR48" s="20"/>
      <c r="UQS48" s="20"/>
      <c r="UQT48" s="21"/>
      <c r="UQU48" s="21"/>
      <c r="UQV48" s="21"/>
      <c r="UQW48" s="21"/>
      <c r="UQX48" s="21"/>
      <c r="UQY48" s="20"/>
      <c r="UQZ48" s="20"/>
      <c r="URA48" s="20"/>
      <c r="URB48" s="20"/>
      <c r="URC48" s="21"/>
      <c r="URD48" s="21"/>
      <c r="URE48" s="7"/>
      <c r="URF48" s="7"/>
      <c r="URG48" s="21"/>
      <c r="URH48" s="20"/>
      <c r="URI48" s="20"/>
      <c r="URJ48" s="20"/>
      <c r="URK48" s="21"/>
      <c r="URL48" s="21"/>
      <c r="URM48" s="21"/>
      <c r="URN48" s="21"/>
      <c r="URO48" s="21"/>
      <c r="URP48" s="20"/>
      <c r="URQ48" s="20"/>
      <c r="URR48" s="20"/>
      <c r="URS48" s="20"/>
      <c r="URT48" s="21"/>
      <c r="URU48" s="21"/>
      <c r="URV48" s="7"/>
      <c r="URW48" s="7"/>
      <c r="URX48" s="21"/>
      <c r="URY48" s="20"/>
      <c r="URZ48" s="20"/>
      <c r="USA48" s="20"/>
      <c r="USB48" s="21"/>
      <c r="USC48" s="21"/>
      <c r="USD48" s="21"/>
      <c r="USE48" s="21"/>
      <c r="USF48" s="21"/>
      <c r="USG48" s="20"/>
      <c r="USH48" s="20"/>
      <c r="USI48" s="20"/>
      <c r="USJ48" s="20"/>
      <c r="USK48" s="21"/>
      <c r="USL48" s="21"/>
      <c r="USM48" s="7"/>
      <c r="USN48" s="7"/>
      <c r="USO48" s="21"/>
      <c r="USP48" s="20"/>
      <c r="USQ48" s="20"/>
      <c r="USR48" s="20"/>
      <c r="USS48" s="21"/>
      <c r="UST48" s="21"/>
      <c r="USU48" s="21"/>
      <c r="USV48" s="21"/>
      <c r="USW48" s="21"/>
      <c r="USX48" s="20"/>
      <c r="USY48" s="20"/>
      <c r="USZ48" s="20"/>
      <c r="UTA48" s="20"/>
      <c r="UTB48" s="21"/>
      <c r="UTC48" s="21"/>
      <c r="UTD48" s="7"/>
      <c r="UTE48" s="7"/>
      <c r="UTF48" s="21"/>
      <c r="UTG48" s="20"/>
      <c r="UTH48" s="20"/>
      <c r="UTI48" s="20"/>
      <c r="UTJ48" s="21"/>
      <c r="UTK48" s="21"/>
      <c r="UTL48" s="21"/>
      <c r="UTM48" s="21"/>
      <c r="UTN48" s="21"/>
      <c r="UTO48" s="20"/>
      <c r="UTP48" s="20"/>
      <c r="UTQ48" s="20"/>
      <c r="UTR48" s="20"/>
      <c r="UTS48" s="21"/>
      <c r="UTT48" s="21"/>
      <c r="UTU48" s="7"/>
      <c r="UTV48" s="7"/>
      <c r="UTW48" s="21"/>
      <c r="UTX48" s="20"/>
      <c r="UTY48" s="20"/>
      <c r="UTZ48" s="20"/>
      <c r="UUA48" s="21"/>
      <c r="UUB48" s="21"/>
      <c r="UUC48" s="21"/>
      <c r="UUD48" s="21"/>
      <c r="UUE48" s="21"/>
      <c r="UUF48" s="20"/>
      <c r="UUG48" s="20"/>
      <c r="UUH48" s="20"/>
      <c r="UUI48" s="20"/>
      <c r="UUJ48" s="21"/>
      <c r="UUK48" s="21"/>
      <c r="UUL48" s="7"/>
      <c r="UUM48" s="7"/>
      <c r="UUN48" s="21"/>
      <c r="UUO48" s="20"/>
      <c r="UUP48" s="20"/>
      <c r="UUQ48" s="20"/>
      <c r="UUR48" s="21"/>
      <c r="UUS48" s="21"/>
      <c r="UUT48" s="21"/>
      <c r="UUU48" s="21"/>
      <c r="UUV48" s="21"/>
      <c r="UUW48" s="20"/>
      <c r="UUX48" s="20"/>
      <c r="UUY48" s="20"/>
      <c r="UUZ48" s="20"/>
      <c r="UVA48" s="21"/>
      <c r="UVB48" s="21"/>
      <c r="UVC48" s="7"/>
      <c r="UVD48" s="7"/>
      <c r="UVE48" s="21"/>
      <c r="UVF48" s="20"/>
      <c r="UVG48" s="20"/>
      <c r="UVH48" s="20"/>
      <c r="UVI48" s="21"/>
      <c r="UVJ48" s="21"/>
      <c r="UVK48" s="21"/>
      <c r="UVL48" s="21"/>
      <c r="UVM48" s="21"/>
      <c r="UVN48" s="20"/>
      <c r="UVO48" s="20"/>
      <c r="UVP48" s="20"/>
      <c r="UVQ48" s="20"/>
      <c r="UVR48" s="21"/>
      <c r="UVS48" s="21"/>
      <c r="UVT48" s="7"/>
      <c r="UVU48" s="7"/>
      <c r="UVV48" s="21"/>
      <c r="UVW48" s="20"/>
      <c r="UVX48" s="20"/>
      <c r="UVY48" s="20"/>
      <c r="UVZ48" s="21"/>
      <c r="UWA48" s="21"/>
      <c r="UWB48" s="21"/>
      <c r="UWC48" s="21"/>
      <c r="UWD48" s="21"/>
      <c r="UWE48" s="20"/>
      <c r="UWF48" s="20"/>
      <c r="UWG48" s="20"/>
      <c r="UWH48" s="20"/>
      <c r="UWI48" s="21"/>
      <c r="UWJ48" s="21"/>
      <c r="UWK48" s="7"/>
      <c r="UWL48" s="7"/>
      <c r="UWM48" s="21"/>
      <c r="UWN48" s="20"/>
      <c r="UWO48" s="20"/>
      <c r="UWP48" s="20"/>
      <c r="UWQ48" s="21"/>
      <c r="UWR48" s="21"/>
      <c r="UWS48" s="21"/>
      <c r="UWT48" s="21"/>
      <c r="UWU48" s="21"/>
      <c r="UWV48" s="20"/>
      <c r="UWW48" s="20"/>
      <c r="UWX48" s="20"/>
      <c r="UWY48" s="20"/>
      <c r="UWZ48" s="21"/>
      <c r="UXA48" s="21"/>
      <c r="UXB48" s="7"/>
      <c r="UXC48" s="7"/>
      <c r="UXD48" s="21"/>
      <c r="UXE48" s="20"/>
      <c r="UXF48" s="20"/>
      <c r="UXG48" s="20"/>
      <c r="UXH48" s="21"/>
      <c r="UXI48" s="21"/>
      <c r="UXJ48" s="21"/>
      <c r="UXK48" s="21"/>
      <c r="UXL48" s="21"/>
      <c r="UXM48" s="20"/>
      <c r="UXN48" s="20"/>
      <c r="UXO48" s="20"/>
      <c r="UXP48" s="20"/>
      <c r="UXQ48" s="21"/>
      <c r="UXR48" s="21"/>
      <c r="UXS48" s="7"/>
      <c r="UXT48" s="7"/>
      <c r="UXU48" s="21"/>
      <c r="UXV48" s="20"/>
      <c r="UXW48" s="20"/>
      <c r="UXX48" s="20"/>
      <c r="UXY48" s="21"/>
      <c r="UXZ48" s="21"/>
      <c r="UYA48" s="21"/>
      <c r="UYB48" s="21"/>
      <c r="UYC48" s="21"/>
      <c r="UYD48" s="20"/>
      <c r="UYE48" s="20"/>
      <c r="UYF48" s="20"/>
      <c r="UYG48" s="20"/>
      <c r="UYH48" s="21"/>
      <c r="UYI48" s="21"/>
      <c r="UYJ48" s="7"/>
      <c r="UYK48" s="7"/>
      <c r="UYL48" s="21"/>
      <c r="UYM48" s="20"/>
      <c r="UYN48" s="20"/>
      <c r="UYO48" s="20"/>
      <c r="UYP48" s="21"/>
      <c r="UYQ48" s="21"/>
      <c r="UYR48" s="21"/>
      <c r="UYS48" s="21"/>
      <c r="UYT48" s="21"/>
      <c r="UYU48" s="20"/>
      <c r="UYV48" s="20"/>
      <c r="UYW48" s="20"/>
      <c r="UYX48" s="20"/>
      <c r="UYY48" s="21"/>
      <c r="UYZ48" s="21"/>
      <c r="UZA48" s="7"/>
      <c r="UZB48" s="7"/>
      <c r="UZC48" s="21"/>
      <c r="UZD48" s="20"/>
      <c r="UZE48" s="20"/>
      <c r="UZF48" s="20"/>
      <c r="UZG48" s="21"/>
      <c r="UZH48" s="21"/>
      <c r="UZI48" s="21"/>
      <c r="UZJ48" s="21"/>
      <c r="UZK48" s="21"/>
      <c r="UZL48" s="20"/>
      <c r="UZM48" s="20"/>
      <c r="UZN48" s="20"/>
      <c r="UZO48" s="20"/>
      <c r="UZP48" s="21"/>
      <c r="UZQ48" s="21"/>
      <c r="UZR48" s="7"/>
      <c r="UZS48" s="7"/>
      <c r="UZT48" s="21"/>
      <c r="UZU48" s="20"/>
      <c r="UZV48" s="20"/>
      <c r="UZW48" s="20"/>
      <c r="UZX48" s="21"/>
      <c r="UZY48" s="21"/>
      <c r="UZZ48" s="21"/>
      <c r="VAA48" s="21"/>
      <c r="VAB48" s="21"/>
      <c r="VAC48" s="20"/>
      <c r="VAD48" s="20"/>
      <c r="VAE48" s="20"/>
      <c r="VAF48" s="20"/>
      <c r="VAG48" s="21"/>
      <c r="VAH48" s="21"/>
      <c r="VAI48" s="7"/>
      <c r="VAJ48" s="7"/>
      <c r="VAK48" s="21"/>
      <c r="VAL48" s="20"/>
      <c r="VAM48" s="20"/>
      <c r="VAN48" s="20"/>
      <c r="VAO48" s="21"/>
      <c r="VAP48" s="21"/>
      <c r="VAQ48" s="21"/>
      <c r="VAR48" s="21"/>
      <c r="VAS48" s="21"/>
      <c r="VAT48" s="20"/>
      <c r="VAU48" s="20"/>
      <c r="VAV48" s="20"/>
      <c r="VAW48" s="20"/>
      <c r="VAX48" s="21"/>
      <c r="VAY48" s="21"/>
      <c r="VAZ48" s="7"/>
      <c r="VBA48" s="7"/>
      <c r="VBB48" s="21"/>
      <c r="VBC48" s="20"/>
      <c r="VBD48" s="20"/>
      <c r="VBE48" s="20"/>
      <c r="VBF48" s="21"/>
      <c r="VBG48" s="21"/>
      <c r="VBH48" s="21"/>
      <c r="VBI48" s="21"/>
      <c r="VBJ48" s="21"/>
      <c r="VBK48" s="20"/>
      <c r="VBL48" s="20"/>
      <c r="VBM48" s="20"/>
      <c r="VBN48" s="20"/>
      <c r="VBO48" s="21"/>
      <c r="VBP48" s="21"/>
      <c r="VBQ48" s="7"/>
      <c r="VBR48" s="7"/>
      <c r="VBS48" s="21"/>
      <c r="VBT48" s="20"/>
      <c r="VBU48" s="20"/>
      <c r="VBV48" s="20"/>
      <c r="VBW48" s="21"/>
      <c r="VBX48" s="21"/>
      <c r="VBY48" s="21"/>
      <c r="VBZ48" s="21"/>
      <c r="VCA48" s="21"/>
      <c r="VCB48" s="20"/>
      <c r="VCC48" s="20"/>
      <c r="VCD48" s="20"/>
      <c r="VCE48" s="20"/>
      <c r="VCF48" s="21"/>
      <c r="VCG48" s="21"/>
      <c r="VCH48" s="7"/>
      <c r="VCI48" s="7"/>
      <c r="VCJ48" s="21"/>
      <c r="VCK48" s="20"/>
      <c r="VCL48" s="20"/>
      <c r="VCM48" s="20"/>
      <c r="VCN48" s="21"/>
      <c r="VCO48" s="21"/>
      <c r="VCP48" s="21"/>
      <c r="VCQ48" s="21"/>
      <c r="VCR48" s="21"/>
      <c r="VCS48" s="20"/>
      <c r="VCT48" s="20"/>
      <c r="VCU48" s="20"/>
      <c r="VCV48" s="20"/>
      <c r="VCW48" s="21"/>
      <c r="VCX48" s="21"/>
      <c r="VCY48" s="7"/>
      <c r="VCZ48" s="7"/>
      <c r="VDA48" s="21"/>
      <c r="VDB48" s="20"/>
      <c r="VDC48" s="20"/>
      <c r="VDD48" s="20"/>
      <c r="VDE48" s="21"/>
      <c r="VDF48" s="21"/>
      <c r="VDG48" s="21"/>
      <c r="VDH48" s="21"/>
      <c r="VDI48" s="21"/>
      <c r="VDJ48" s="20"/>
      <c r="VDK48" s="20"/>
      <c r="VDL48" s="20"/>
      <c r="VDM48" s="20"/>
      <c r="VDN48" s="21"/>
      <c r="VDO48" s="21"/>
      <c r="VDP48" s="7"/>
      <c r="VDQ48" s="7"/>
      <c r="VDR48" s="21"/>
      <c r="VDS48" s="20"/>
      <c r="VDT48" s="20"/>
      <c r="VDU48" s="20"/>
      <c r="VDV48" s="21"/>
      <c r="VDW48" s="21"/>
      <c r="VDX48" s="21"/>
      <c r="VDY48" s="21"/>
      <c r="VDZ48" s="21"/>
      <c r="VEA48" s="20"/>
      <c r="VEB48" s="20"/>
      <c r="VEC48" s="20"/>
      <c r="VED48" s="20"/>
      <c r="VEE48" s="21"/>
      <c r="VEF48" s="21"/>
      <c r="VEG48" s="7"/>
      <c r="VEH48" s="7"/>
      <c r="VEI48" s="21"/>
      <c r="VEJ48" s="20"/>
      <c r="VEK48" s="20"/>
      <c r="VEL48" s="20"/>
      <c r="VEM48" s="21"/>
      <c r="VEN48" s="21"/>
      <c r="VEO48" s="21"/>
      <c r="VEP48" s="21"/>
      <c r="VEQ48" s="21"/>
      <c r="VER48" s="20"/>
      <c r="VES48" s="20"/>
      <c r="VET48" s="20"/>
      <c r="VEU48" s="20"/>
      <c r="VEV48" s="21"/>
      <c r="VEW48" s="21"/>
      <c r="VEX48" s="7"/>
      <c r="VEY48" s="7"/>
      <c r="VEZ48" s="21"/>
      <c r="VFA48" s="20"/>
      <c r="VFB48" s="20"/>
      <c r="VFC48" s="20"/>
      <c r="VFD48" s="21"/>
      <c r="VFE48" s="21"/>
      <c r="VFF48" s="21"/>
      <c r="VFG48" s="21"/>
      <c r="VFH48" s="21"/>
      <c r="VFI48" s="20"/>
      <c r="VFJ48" s="20"/>
      <c r="VFK48" s="20"/>
      <c r="VFL48" s="20"/>
      <c r="VFM48" s="21"/>
      <c r="VFN48" s="21"/>
      <c r="VFO48" s="7"/>
      <c r="VFP48" s="7"/>
      <c r="VFQ48" s="21"/>
      <c r="VFR48" s="20"/>
      <c r="VFS48" s="20"/>
      <c r="VFT48" s="20"/>
      <c r="VFU48" s="21"/>
      <c r="VFV48" s="21"/>
      <c r="VFW48" s="21"/>
      <c r="VFX48" s="21"/>
      <c r="VFY48" s="21"/>
      <c r="VFZ48" s="20"/>
      <c r="VGA48" s="20"/>
      <c r="VGB48" s="20"/>
      <c r="VGC48" s="20"/>
      <c r="VGD48" s="21"/>
      <c r="VGE48" s="21"/>
      <c r="VGF48" s="7"/>
      <c r="VGG48" s="7"/>
      <c r="VGH48" s="21"/>
      <c r="VGI48" s="20"/>
      <c r="VGJ48" s="20"/>
      <c r="VGK48" s="20"/>
      <c r="VGL48" s="21"/>
      <c r="VGM48" s="21"/>
      <c r="VGN48" s="21"/>
      <c r="VGO48" s="21"/>
      <c r="VGP48" s="21"/>
      <c r="VGQ48" s="20"/>
      <c r="VGR48" s="20"/>
      <c r="VGS48" s="20"/>
      <c r="VGT48" s="20"/>
      <c r="VGU48" s="21"/>
      <c r="VGV48" s="21"/>
      <c r="VGW48" s="7"/>
      <c r="VGX48" s="7"/>
      <c r="VGY48" s="21"/>
      <c r="VGZ48" s="20"/>
      <c r="VHA48" s="20"/>
      <c r="VHB48" s="20"/>
      <c r="VHC48" s="21"/>
      <c r="VHD48" s="21"/>
      <c r="VHE48" s="21"/>
      <c r="VHF48" s="21"/>
      <c r="VHG48" s="21"/>
      <c r="VHH48" s="20"/>
      <c r="VHI48" s="20"/>
      <c r="VHJ48" s="20"/>
      <c r="VHK48" s="20"/>
      <c r="VHL48" s="21"/>
      <c r="VHM48" s="21"/>
      <c r="VHN48" s="7"/>
      <c r="VHO48" s="7"/>
      <c r="VHP48" s="21"/>
      <c r="VHQ48" s="20"/>
      <c r="VHR48" s="20"/>
      <c r="VHS48" s="20"/>
      <c r="VHT48" s="21"/>
      <c r="VHU48" s="21"/>
      <c r="VHV48" s="21"/>
      <c r="VHW48" s="21"/>
      <c r="VHX48" s="21"/>
      <c r="VHY48" s="20"/>
      <c r="VHZ48" s="20"/>
      <c r="VIA48" s="20"/>
      <c r="VIB48" s="20"/>
      <c r="VIC48" s="21"/>
      <c r="VID48" s="21"/>
      <c r="VIE48" s="7"/>
      <c r="VIF48" s="7"/>
      <c r="VIG48" s="21"/>
      <c r="VIH48" s="20"/>
      <c r="VII48" s="20"/>
      <c r="VIJ48" s="20"/>
      <c r="VIK48" s="21"/>
      <c r="VIL48" s="21"/>
      <c r="VIM48" s="21"/>
      <c r="VIN48" s="21"/>
      <c r="VIO48" s="21"/>
      <c r="VIP48" s="20"/>
      <c r="VIQ48" s="20"/>
      <c r="VIR48" s="20"/>
      <c r="VIS48" s="20"/>
      <c r="VIT48" s="21"/>
      <c r="VIU48" s="21"/>
      <c r="VIV48" s="7"/>
      <c r="VIW48" s="7"/>
      <c r="VIX48" s="21"/>
      <c r="VIY48" s="20"/>
      <c r="VIZ48" s="20"/>
      <c r="VJA48" s="20"/>
      <c r="VJB48" s="21"/>
      <c r="VJC48" s="21"/>
      <c r="VJD48" s="21"/>
      <c r="VJE48" s="21"/>
      <c r="VJF48" s="21"/>
      <c r="VJG48" s="20"/>
      <c r="VJH48" s="20"/>
      <c r="VJI48" s="20"/>
      <c r="VJJ48" s="20"/>
      <c r="VJK48" s="21"/>
      <c r="VJL48" s="21"/>
      <c r="VJM48" s="7"/>
      <c r="VJN48" s="7"/>
      <c r="VJO48" s="21"/>
      <c r="VJP48" s="20"/>
      <c r="VJQ48" s="20"/>
      <c r="VJR48" s="20"/>
      <c r="VJS48" s="21"/>
      <c r="VJT48" s="21"/>
      <c r="VJU48" s="21"/>
      <c r="VJV48" s="21"/>
      <c r="VJW48" s="21"/>
      <c r="VJX48" s="20"/>
      <c r="VJY48" s="20"/>
      <c r="VJZ48" s="20"/>
      <c r="VKA48" s="20"/>
      <c r="VKB48" s="21"/>
      <c r="VKC48" s="21"/>
      <c r="VKD48" s="7"/>
      <c r="VKE48" s="7"/>
      <c r="VKF48" s="21"/>
      <c r="VKG48" s="20"/>
      <c r="VKH48" s="20"/>
      <c r="VKI48" s="20"/>
      <c r="VKJ48" s="21"/>
      <c r="VKK48" s="21"/>
      <c r="VKL48" s="21"/>
      <c r="VKM48" s="21"/>
      <c r="VKN48" s="21"/>
      <c r="VKO48" s="20"/>
      <c r="VKP48" s="20"/>
      <c r="VKQ48" s="20"/>
      <c r="VKR48" s="20"/>
      <c r="VKS48" s="21"/>
      <c r="VKT48" s="21"/>
      <c r="VKU48" s="7"/>
      <c r="VKV48" s="7"/>
      <c r="VKW48" s="21"/>
      <c r="VKX48" s="20"/>
      <c r="VKY48" s="20"/>
      <c r="VKZ48" s="20"/>
      <c r="VLA48" s="21"/>
      <c r="VLB48" s="21"/>
      <c r="VLC48" s="21"/>
      <c r="VLD48" s="21"/>
      <c r="VLE48" s="21"/>
      <c r="VLF48" s="20"/>
      <c r="VLG48" s="20"/>
      <c r="VLH48" s="20"/>
      <c r="VLI48" s="20"/>
      <c r="VLJ48" s="21"/>
      <c r="VLK48" s="21"/>
      <c r="VLL48" s="7"/>
      <c r="VLM48" s="7"/>
      <c r="VLN48" s="21"/>
      <c r="VLO48" s="20"/>
      <c r="VLP48" s="20"/>
      <c r="VLQ48" s="20"/>
      <c r="VLR48" s="21"/>
      <c r="VLS48" s="21"/>
      <c r="VLT48" s="21"/>
      <c r="VLU48" s="21"/>
      <c r="VLV48" s="21"/>
      <c r="VLW48" s="20"/>
      <c r="VLX48" s="20"/>
      <c r="VLY48" s="20"/>
      <c r="VLZ48" s="20"/>
      <c r="VMA48" s="21"/>
      <c r="VMB48" s="21"/>
      <c r="VMC48" s="7"/>
      <c r="VMD48" s="7"/>
      <c r="VME48" s="21"/>
      <c r="VMF48" s="20"/>
      <c r="VMG48" s="20"/>
      <c r="VMH48" s="20"/>
      <c r="VMI48" s="21"/>
      <c r="VMJ48" s="21"/>
      <c r="VMK48" s="21"/>
      <c r="VML48" s="21"/>
      <c r="VMM48" s="21"/>
      <c r="VMN48" s="20"/>
      <c r="VMO48" s="20"/>
      <c r="VMP48" s="20"/>
      <c r="VMQ48" s="20"/>
      <c r="VMR48" s="21"/>
      <c r="VMS48" s="21"/>
      <c r="VMT48" s="7"/>
      <c r="VMU48" s="7"/>
      <c r="VMV48" s="21"/>
      <c r="VMW48" s="20"/>
      <c r="VMX48" s="20"/>
      <c r="VMY48" s="20"/>
      <c r="VMZ48" s="21"/>
      <c r="VNA48" s="21"/>
      <c r="VNB48" s="21"/>
      <c r="VNC48" s="21"/>
      <c r="VND48" s="21"/>
      <c r="VNE48" s="20"/>
      <c r="VNF48" s="20"/>
      <c r="VNG48" s="20"/>
      <c r="VNH48" s="20"/>
      <c r="VNI48" s="21"/>
      <c r="VNJ48" s="21"/>
      <c r="VNK48" s="7"/>
      <c r="VNL48" s="7"/>
      <c r="VNM48" s="21"/>
      <c r="VNN48" s="20"/>
      <c r="VNO48" s="20"/>
      <c r="VNP48" s="20"/>
      <c r="VNQ48" s="21"/>
      <c r="VNR48" s="21"/>
      <c r="VNS48" s="21"/>
      <c r="VNT48" s="21"/>
      <c r="VNU48" s="21"/>
      <c r="VNV48" s="20"/>
      <c r="VNW48" s="20"/>
      <c r="VNX48" s="20"/>
      <c r="VNY48" s="20"/>
      <c r="VNZ48" s="21"/>
      <c r="VOA48" s="21"/>
      <c r="VOB48" s="7"/>
      <c r="VOC48" s="7"/>
      <c r="VOD48" s="21"/>
      <c r="VOE48" s="20"/>
      <c r="VOF48" s="20"/>
      <c r="VOG48" s="20"/>
      <c r="VOH48" s="21"/>
      <c r="VOI48" s="21"/>
      <c r="VOJ48" s="21"/>
      <c r="VOK48" s="21"/>
      <c r="VOL48" s="21"/>
      <c r="VOM48" s="20"/>
      <c r="VON48" s="20"/>
      <c r="VOO48" s="20"/>
      <c r="VOP48" s="20"/>
      <c r="VOQ48" s="21"/>
      <c r="VOR48" s="21"/>
      <c r="VOS48" s="7"/>
      <c r="VOT48" s="7"/>
      <c r="VOU48" s="21"/>
      <c r="VOV48" s="20"/>
      <c r="VOW48" s="20"/>
      <c r="VOX48" s="20"/>
      <c r="VOY48" s="21"/>
      <c r="VOZ48" s="21"/>
      <c r="VPA48" s="21"/>
      <c r="VPB48" s="21"/>
      <c r="VPC48" s="21"/>
      <c r="VPD48" s="20"/>
      <c r="VPE48" s="20"/>
      <c r="VPF48" s="20"/>
      <c r="VPG48" s="20"/>
      <c r="VPH48" s="21"/>
      <c r="VPI48" s="21"/>
      <c r="VPJ48" s="7"/>
      <c r="VPK48" s="7"/>
      <c r="VPL48" s="21"/>
      <c r="VPM48" s="20"/>
      <c r="VPN48" s="20"/>
      <c r="VPO48" s="20"/>
      <c r="VPP48" s="21"/>
      <c r="VPQ48" s="21"/>
      <c r="VPR48" s="21"/>
      <c r="VPS48" s="21"/>
      <c r="VPT48" s="21"/>
      <c r="VPU48" s="20"/>
      <c r="VPV48" s="20"/>
      <c r="VPW48" s="20"/>
      <c r="VPX48" s="20"/>
      <c r="VPY48" s="21"/>
      <c r="VPZ48" s="21"/>
      <c r="VQA48" s="7"/>
      <c r="VQB48" s="7"/>
      <c r="VQC48" s="21"/>
      <c r="VQD48" s="20"/>
      <c r="VQE48" s="20"/>
      <c r="VQF48" s="20"/>
      <c r="VQG48" s="21"/>
      <c r="VQH48" s="21"/>
      <c r="VQI48" s="21"/>
      <c r="VQJ48" s="21"/>
      <c r="VQK48" s="21"/>
      <c r="VQL48" s="20"/>
      <c r="VQM48" s="20"/>
      <c r="VQN48" s="20"/>
      <c r="VQO48" s="20"/>
      <c r="VQP48" s="21"/>
      <c r="VQQ48" s="21"/>
      <c r="VQR48" s="7"/>
      <c r="VQS48" s="7"/>
      <c r="VQT48" s="21"/>
      <c r="VQU48" s="20"/>
      <c r="VQV48" s="20"/>
      <c r="VQW48" s="20"/>
      <c r="VQX48" s="21"/>
      <c r="VQY48" s="21"/>
      <c r="VQZ48" s="21"/>
      <c r="VRA48" s="21"/>
      <c r="VRB48" s="21"/>
      <c r="VRC48" s="20"/>
      <c r="VRD48" s="20"/>
      <c r="VRE48" s="20"/>
      <c r="VRF48" s="20"/>
      <c r="VRG48" s="21"/>
      <c r="VRH48" s="21"/>
      <c r="VRI48" s="7"/>
      <c r="VRJ48" s="7"/>
      <c r="VRK48" s="21"/>
      <c r="VRL48" s="20"/>
      <c r="VRM48" s="20"/>
      <c r="VRN48" s="20"/>
      <c r="VRO48" s="21"/>
      <c r="VRP48" s="21"/>
      <c r="VRQ48" s="21"/>
      <c r="VRR48" s="21"/>
      <c r="VRS48" s="21"/>
      <c r="VRT48" s="20"/>
      <c r="VRU48" s="20"/>
      <c r="VRV48" s="20"/>
      <c r="VRW48" s="20"/>
      <c r="VRX48" s="21"/>
      <c r="VRY48" s="21"/>
      <c r="VRZ48" s="7"/>
      <c r="VSA48" s="7"/>
      <c r="VSB48" s="21"/>
      <c r="VSC48" s="20"/>
      <c r="VSD48" s="20"/>
      <c r="VSE48" s="20"/>
      <c r="VSF48" s="21"/>
      <c r="VSG48" s="21"/>
      <c r="VSH48" s="21"/>
      <c r="VSI48" s="21"/>
      <c r="VSJ48" s="21"/>
      <c r="VSK48" s="20"/>
      <c r="VSL48" s="20"/>
      <c r="VSM48" s="20"/>
      <c r="VSN48" s="20"/>
      <c r="VSO48" s="21"/>
      <c r="VSP48" s="21"/>
      <c r="VSQ48" s="7"/>
      <c r="VSR48" s="7"/>
      <c r="VSS48" s="21"/>
      <c r="VST48" s="20"/>
      <c r="VSU48" s="20"/>
      <c r="VSV48" s="20"/>
      <c r="VSW48" s="21"/>
      <c r="VSX48" s="21"/>
      <c r="VSY48" s="21"/>
      <c r="VSZ48" s="21"/>
      <c r="VTA48" s="21"/>
      <c r="VTB48" s="20"/>
      <c r="VTC48" s="20"/>
      <c r="VTD48" s="20"/>
      <c r="VTE48" s="20"/>
      <c r="VTF48" s="21"/>
      <c r="VTG48" s="21"/>
      <c r="VTH48" s="7"/>
      <c r="VTI48" s="7"/>
      <c r="VTJ48" s="21"/>
      <c r="VTK48" s="20"/>
      <c r="VTL48" s="20"/>
      <c r="VTM48" s="20"/>
      <c r="VTN48" s="21"/>
      <c r="VTO48" s="21"/>
      <c r="VTP48" s="21"/>
      <c r="VTQ48" s="21"/>
      <c r="VTR48" s="21"/>
      <c r="VTS48" s="20"/>
      <c r="VTT48" s="20"/>
      <c r="VTU48" s="20"/>
      <c r="VTV48" s="20"/>
      <c r="VTW48" s="21"/>
      <c r="VTX48" s="21"/>
      <c r="VTY48" s="7"/>
      <c r="VTZ48" s="7"/>
      <c r="VUA48" s="21"/>
      <c r="VUB48" s="20"/>
      <c r="VUC48" s="20"/>
      <c r="VUD48" s="20"/>
      <c r="VUE48" s="21"/>
      <c r="VUF48" s="21"/>
      <c r="VUG48" s="21"/>
      <c r="VUH48" s="21"/>
      <c r="VUI48" s="21"/>
      <c r="VUJ48" s="20"/>
      <c r="VUK48" s="20"/>
      <c r="VUL48" s="20"/>
      <c r="VUM48" s="20"/>
      <c r="VUN48" s="21"/>
      <c r="VUO48" s="21"/>
      <c r="VUP48" s="7"/>
      <c r="VUQ48" s="7"/>
      <c r="VUR48" s="21"/>
      <c r="VUS48" s="20"/>
      <c r="VUT48" s="20"/>
      <c r="VUU48" s="20"/>
      <c r="VUV48" s="21"/>
      <c r="VUW48" s="21"/>
      <c r="VUX48" s="21"/>
      <c r="VUY48" s="21"/>
      <c r="VUZ48" s="21"/>
      <c r="VVA48" s="20"/>
      <c r="VVB48" s="20"/>
      <c r="VVC48" s="20"/>
      <c r="VVD48" s="20"/>
      <c r="VVE48" s="21"/>
      <c r="VVF48" s="21"/>
      <c r="VVG48" s="7"/>
      <c r="VVH48" s="7"/>
      <c r="VVI48" s="21"/>
      <c r="VVJ48" s="20"/>
      <c r="VVK48" s="20"/>
      <c r="VVL48" s="20"/>
      <c r="VVM48" s="21"/>
      <c r="VVN48" s="21"/>
      <c r="VVO48" s="21"/>
      <c r="VVP48" s="21"/>
      <c r="VVQ48" s="21"/>
      <c r="VVR48" s="20"/>
      <c r="VVS48" s="20"/>
      <c r="VVT48" s="20"/>
      <c r="VVU48" s="20"/>
      <c r="VVV48" s="21"/>
      <c r="VVW48" s="21"/>
      <c r="VVX48" s="7"/>
      <c r="VVY48" s="7"/>
      <c r="VVZ48" s="21"/>
      <c r="VWA48" s="20"/>
      <c r="VWB48" s="20"/>
      <c r="VWC48" s="20"/>
      <c r="VWD48" s="21"/>
      <c r="VWE48" s="21"/>
      <c r="VWF48" s="21"/>
      <c r="VWG48" s="21"/>
      <c r="VWH48" s="21"/>
      <c r="VWI48" s="20"/>
      <c r="VWJ48" s="20"/>
      <c r="VWK48" s="20"/>
      <c r="VWL48" s="20"/>
      <c r="VWM48" s="21"/>
      <c r="VWN48" s="21"/>
      <c r="VWO48" s="7"/>
      <c r="VWP48" s="7"/>
      <c r="VWQ48" s="21"/>
      <c r="VWR48" s="20"/>
      <c r="VWS48" s="20"/>
      <c r="VWT48" s="20"/>
      <c r="VWU48" s="21"/>
      <c r="VWV48" s="21"/>
      <c r="VWW48" s="21"/>
      <c r="VWX48" s="21"/>
      <c r="VWY48" s="21"/>
      <c r="VWZ48" s="20"/>
      <c r="VXA48" s="20"/>
      <c r="VXB48" s="20"/>
      <c r="VXC48" s="20"/>
      <c r="VXD48" s="21"/>
      <c r="VXE48" s="21"/>
      <c r="VXF48" s="7"/>
      <c r="VXG48" s="7"/>
      <c r="VXH48" s="21"/>
      <c r="VXI48" s="20"/>
      <c r="VXJ48" s="20"/>
      <c r="VXK48" s="20"/>
      <c r="VXL48" s="21"/>
      <c r="VXM48" s="21"/>
      <c r="VXN48" s="21"/>
      <c r="VXO48" s="21"/>
      <c r="VXP48" s="21"/>
      <c r="VXQ48" s="20"/>
      <c r="VXR48" s="20"/>
      <c r="VXS48" s="20"/>
      <c r="VXT48" s="20"/>
      <c r="VXU48" s="21"/>
      <c r="VXV48" s="21"/>
      <c r="VXW48" s="7"/>
      <c r="VXX48" s="7"/>
      <c r="VXY48" s="21"/>
      <c r="VXZ48" s="20"/>
      <c r="VYA48" s="20"/>
      <c r="VYB48" s="20"/>
      <c r="VYC48" s="21"/>
      <c r="VYD48" s="21"/>
      <c r="VYE48" s="21"/>
      <c r="VYF48" s="21"/>
      <c r="VYG48" s="21"/>
      <c r="VYH48" s="20"/>
      <c r="VYI48" s="20"/>
      <c r="VYJ48" s="20"/>
      <c r="VYK48" s="20"/>
      <c r="VYL48" s="21"/>
      <c r="VYM48" s="21"/>
      <c r="VYN48" s="7"/>
      <c r="VYO48" s="7"/>
      <c r="VYP48" s="21"/>
      <c r="VYQ48" s="20"/>
      <c r="VYR48" s="20"/>
      <c r="VYS48" s="20"/>
      <c r="VYT48" s="21"/>
      <c r="VYU48" s="21"/>
      <c r="VYV48" s="21"/>
      <c r="VYW48" s="21"/>
      <c r="VYX48" s="21"/>
      <c r="VYY48" s="20"/>
      <c r="VYZ48" s="20"/>
      <c r="VZA48" s="20"/>
      <c r="VZB48" s="20"/>
      <c r="VZC48" s="21"/>
      <c r="VZD48" s="21"/>
      <c r="VZE48" s="7"/>
      <c r="VZF48" s="7"/>
      <c r="VZG48" s="21"/>
      <c r="VZH48" s="20"/>
      <c r="VZI48" s="20"/>
      <c r="VZJ48" s="20"/>
      <c r="VZK48" s="21"/>
      <c r="VZL48" s="21"/>
      <c r="VZM48" s="21"/>
      <c r="VZN48" s="21"/>
      <c r="VZO48" s="21"/>
      <c r="VZP48" s="20"/>
      <c r="VZQ48" s="20"/>
      <c r="VZR48" s="20"/>
      <c r="VZS48" s="20"/>
      <c r="VZT48" s="21"/>
      <c r="VZU48" s="21"/>
      <c r="VZV48" s="7"/>
      <c r="VZW48" s="7"/>
      <c r="VZX48" s="21"/>
      <c r="VZY48" s="20"/>
      <c r="VZZ48" s="20"/>
      <c r="WAA48" s="20"/>
      <c r="WAB48" s="21"/>
      <c r="WAC48" s="21"/>
      <c r="WAD48" s="21"/>
      <c r="WAE48" s="21"/>
      <c r="WAF48" s="21"/>
      <c r="WAG48" s="20"/>
      <c r="WAH48" s="20"/>
      <c r="WAI48" s="20"/>
      <c r="WAJ48" s="20"/>
      <c r="WAK48" s="21"/>
      <c r="WAL48" s="21"/>
      <c r="WAM48" s="7"/>
      <c r="WAN48" s="7"/>
      <c r="WAO48" s="21"/>
      <c r="WAP48" s="20"/>
      <c r="WAQ48" s="20"/>
      <c r="WAR48" s="20"/>
      <c r="WAS48" s="21"/>
      <c r="WAT48" s="21"/>
      <c r="WAU48" s="21"/>
      <c r="WAV48" s="21"/>
      <c r="WAW48" s="21"/>
      <c r="WAX48" s="20"/>
      <c r="WAY48" s="20"/>
      <c r="WAZ48" s="20"/>
      <c r="WBA48" s="20"/>
      <c r="WBB48" s="21"/>
      <c r="WBC48" s="21"/>
      <c r="WBD48" s="7"/>
      <c r="WBE48" s="7"/>
      <c r="WBF48" s="21"/>
      <c r="WBG48" s="20"/>
      <c r="WBH48" s="20"/>
      <c r="WBI48" s="20"/>
      <c r="WBJ48" s="21"/>
      <c r="WBK48" s="21"/>
      <c r="WBL48" s="21"/>
      <c r="WBM48" s="21"/>
      <c r="WBN48" s="21"/>
      <c r="WBO48" s="20"/>
      <c r="WBP48" s="20"/>
      <c r="WBQ48" s="20"/>
      <c r="WBR48" s="20"/>
      <c r="WBS48" s="21"/>
      <c r="WBT48" s="21"/>
      <c r="WBU48" s="7"/>
      <c r="WBV48" s="7"/>
      <c r="WBW48" s="21"/>
      <c r="WBX48" s="20"/>
      <c r="WBY48" s="20"/>
      <c r="WBZ48" s="20"/>
      <c r="WCA48" s="21"/>
      <c r="WCB48" s="21"/>
      <c r="WCC48" s="21"/>
      <c r="WCD48" s="21"/>
      <c r="WCE48" s="21"/>
      <c r="WCF48" s="20"/>
      <c r="WCG48" s="20"/>
      <c r="WCH48" s="20"/>
      <c r="WCI48" s="20"/>
      <c r="WCJ48" s="21"/>
      <c r="WCK48" s="21"/>
      <c r="WCL48" s="7"/>
      <c r="WCM48" s="7"/>
      <c r="WCN48" s="21"/>
      <c r="WCO48" s="20"/>
      <c r="WCP48" s="20"/>
      <c r="WCQ48" s="20"/>
      <c r="WCR48" s="21"/>
      <c r="WCS48" s="21"/>
      <c r="WCT48" s="21"/>
      <c r="WCU48" s="21"/>
      <c r="WCV48" s="21"/>
      <c r="WCW48" s="20"/>
      <c r="WCX48" s="20"/>
      <c r="WCY48" s="20"/>
      <c r="WCZ48" s="20"/>
      <c r="WDA48" s="21"/>
      <c r="WDB48" s="21"/>
      <c r="WDC48" s="7"/>
      <c r="WDD48" s="7"/>
      <c r="WDE48" s="21"/>
      <c r="WDF48" s="20"/>
      <c r="WDG48" s="20"/>
      <c r="WDH48" s="20"/>
      <c r="WDI48" s="21"/>
      <c r="WDJ48" s="21"/>
      <c r="WDK48" s="21"/>
      <c r="WDL48" s="21"/>
      <c r="WDM48" s="21"/>
      <c r="WDN48" s="20"/>
      <c r="WDO48" s="20"/>
      <c r="WDP48" s="20"/>
      <c r="WDQ48" s="20"/>
      <c r="WDR48" s="21"/>
      <c r="WDS48" s="21"/>
      <c r="WDT48" s="7"/>
      <c r="WDU48" s="7"/>
      <c r="WDV48" s="21"/>
      <c r="WDW48" s="20"/>
      <c r="WDX48" s="20"/>
      <c r="WDY48" s="20"/>
      <c r="WDZ48" s="21"/>
      <c r="WEA48" s="21"/>
      <c r="WEB48" s="21"/>
      <c r="WEC48" s="21"/>
      <c r="WED48" s="21"/>
      <c r="WEE48" s="20"/>
      <c r="WEF48" s="20"/>
      <c r="WEG48" s="20"/>
      <c r="WEH48" s="20"/>
      <c r="WEI48" s="21"/>
      <c r="WEJ48" s="21"/>
      <c r="WEK48" s="7"/>
      <c r="WEL48" s="7"/>
      <c r="WEM48" s="21"/>
      <c r="WEN48" s="20"/>
      <c r="WEO48" s="20"/>
      <c r="WEP48" s="20"/>
      <c r="WEQ48" s="21"/>
      <c r="WER48" s="21"/>
      <c r="WES48" s="21"/>
      <c r="WET48" s="21"/>
      <c r="WEU48" s="21"/>
      <c r="WEV48" s="20"/>
      <c r="WEW48" s="20"/>
      <c r="WEX48" s="20"/>
      <c r="WEY48" s="20"/>
      <c r="WEZ48" s="21"/>
      <c r="WFA48" s="21"/>
      <c r="WFB48" s="7"/>
      <c r="WFC48" s="7"/>
      <c r="WFD48" s="21"/>
      <c r="WFE48" s="20"/>
      <c r="WFF48" s="20"/>
      <c r="WFG48" s="20"/>
      <c r="WFH48" s="21"/>
      <c r="WFI48" s="21"/>
      <c r="WFJ48" s="21"/>
      <c r="WFK48" s="21"/>
      <c r="WFL48" s="21"/>
      <c r="WFM48" s="20"/>
      <c r="WFN48" s="20"/>
      <c r="WFO48" s="20"/>
      <c r="WFP48" s="20"/>
      <c r="WFQ48" s="21"/>
      <c r="WFR48" s="21"/>
      <c r="WFS48" s="7"/>
      <c r="WFT48" s="7"/>
      <c r="WFU48" s="21"/>
      <c r="WFV48" s="20"/>
      <c r="WFW48" s="20"/>
      <c r="WFX48" s="20"/>
      <c r="WFY48" s="21"/>
      <c r="WFZ48" s="21"/>
      <c r="WGA48" s="21"/>
      <c r="WGB48" s="21"/>
      <c r="WGC48" s="21"/>
      <c r="WGD48" s="20"/>
      <c r="WGE48" s="20"/>
      <c r="WGF48" s="20"/>
      <c r="WGG48" s="20"/>
      <c r="WGH48" s="21"/>
      <c r="WGI48" s="21"/>
      <c r="WGJ48" s="7"/>
      <c r="WGK48" s="7"/>
      <c r="WGL48" s="21"/>
      <c r="WGM48" s="20"/>
      <c r="WGN48" s="20"/>
      <c r="WGO48" s="20"/>
      <c r="WGP48" s="21"/>
      <c r="WGQ48" s="21"/>
      <c r="WGR48" s="21"/>
      <c r="WGS48" s="21"/>
      <c r="WGT48" s="21"/>
      <c r="WGU48" s="20"/>
      <c r="WGV48" s="20"/>
      <c r="WGW48" s="20"/>
      <c r="WGX48" s="20"/>
      <c r="WGY48" s="21"/>
      <c r="WGZ48" s="21"/>
      <c r="WHA48" s="7"/>
      <c r="WHB48" s="7"/>
      <c r="WHC48" s="21"/>
      <c r="WHD48" s="20"/>
      <c r="WHE48" s="20"/>
      <c r="WHF48" s="20"/>
      <c r="WHG48" s="21"/>
      <c r="WHH48" s="21"/>
      <c r="WHI48" s="21"/>
      <c r="WHJ48" s="21"/>
      <c r="WHK48" s="21"/>
      <c r="WHL48" s="20"/>
      <c r="WHM48" s="20"/>
      <c r="WHN48" s="20"/>
      <c r="WHO48" s="20"/>
      <c r="WHP48" s="21"/>
      <c r="WHQ48" s="21"/>
      <c r="WHR48" s="7"/>
      <c r="WHS48" s="7"/>
      <c r="WHT48" s="21"/>
      <c r="WHU48" s="20"/>
      <c r="WHV48" s="20"/>
      <c r="WHW48" s="20"/>
      <c r="WHX48" s="21"/>
      <c r="WHY48" s="21"/>
      <c r="WHZ48" s="21"/>
      <c r="WIA48" s="21"/>
      <c r="WIB48" s="21"/>
      <c r="WIC48" s="20"/>
      <c r="WID48" s="20"/>
      <c r="WIE48" s="20"/>
      <c r="WIF48" s="20"/>
      <c r="WIG48" s="21"/>
      <c r="WIH48" s="21"/>
      <c r="WII48" s="7"/>
      <c r="WIJ48" s="7"/>
      <c r="WIK48" s="21"/>
      <c r="WIL48" s="20"/>
      <c r="WIM48" s="20"/>
      <c r="WIN48" s="20"/>
      <c r="WIO48" s="21"/>
      <c r="WIP48" s="21"/>
      <c r="WIQ48" s="21"/>
      <c r="WIR48" s="21"/>
      <c r="WIS48" s="21"/>
      <c r="WIT48" s="20"/>
      <c r="WIU48" s="20"/>
      <c r="WIV48" s="20"/>
      <c r="WIW48" s="20"/>
      <c r="WIX48" s="21"/>
      <c r="WIY48" s="21"/>
      <c r="WIZ48" s="7"/>
      <c r="WJA48" s="7"/>
      <c r="WJB48" s="21"/>
      <c r="WJC48" s="20"/>
      <c r="WJD48" s="20"/>
      <c r="WJE48" s="20"/>
      <c r="WJF48" s="21"/>
      <c r="WJG48" s="21"/>
      <c r="WJH48" s="21"/>
      <c r="WJI48" s="21"/>
      <c r="WJJ48" s="21"/>
      <c r="WJK48" s="20"/>
      <c r="WJL48" s="20"/>
      <c r="WJM48" s="20"/>
      <c r="WJN48" s="20"/>
      <c r="WJO48" s="21"/>
      <c r="WJP48" s="21"/>
      <c r="WJQ48" s="7"/>
      <c r="WJR48" s="7"/>
      <c r="WJS48" s="21"/>
      <c r="WJT48" s="20"/>
      <c r="WJU48" s="20"/>
      <c r="WJV48" s="20"/>
      <c r="WJW48" s="21"/>
      <c r="WJX48" s="21"/>
      <c r="WJY48" s="21"/>
      <c r="WJZ48" s="21"/>
      <c r="WKA48" s="21"/>
      <c r="WKB48" s="20"/>
      <c r="WKC48" s="20"/>
      <c r="WKD48" s="20"/>
      <c r="WKE48" s="20"/>
      <c r="WKF48" s="21"/>
      <c r="WKG48" s="21"/>
      <c r="WKH48" s="7"/>
      <c r="WKI48" s="7"/>
      <c r="WKJ48" s="21"/>
      <c r="WKK48" s="20"/>
      <c r="WKL48" s="20"/>
      <c r="WKM48" s="20"/>
      <c r="WKN48" s="21"/>
      <c r="WKO48" s="21"/>
      <c r="WKP48" s="21"/>
      <c r="WKQ48" s="21"/>
      <c r="WKR48" s="21"/>
      <c r="WKS48" s="20"/>
      <c r="WKT48" s="20"/>
      <c r="WKU48" s="20"/>
      <c r="WKV48" s="20"/>
      <c r="WKW48" s="21"/>
      <c r="WKX48" s="21"/>
      <c r="WKY48" s="7"/>
      <c r="WKZ48" s="7"/>
      <c r="WLA48" s="21"/>
      <c r="WLB48" s="20"/>
      <c r="WLC48" s="20"/>
      <c r="WLD48" s="20"/>
      <c r="WLE48" s="21"/>
      <c r="WLF48" s="21"/>
      <c r="WLG48" s="21"/>
      <c r="WLH48" s="21"/>
      <c r="WLI48" s="21"/>
      <c r="WLJ48" s="20"/>
      <c r="WLK48" s="20"/>
      <c r="WLL48" s="20"/>
      <c r="WLM48" s="20"/>
      <c r="WLN48" s="21"/>
      <c r="WLO48" s="21"/>
      <c r="WLP48" s="7"/>
      <c r="WLQ48" s="7"/>
      <c r="WLR48" s="21"/>
      <c r="WLS48" s="20"/>
      <c r="WLT48" s="20"/>
      <c r="WLU48" s="20"/>
      <c r="WLV48" s="21"/>
      <c r="WLW48" s="21"/>
      <c r="WLX48" s="21"/>
      <c r="WLY48" s="21"/>
      <c r="WLZ48" s="21"/>
      <c r="WMA48" s="20"/>
      <c r="WMB48" s="20"/>
      <c r="WMC48" s="20"/>
      <c r="WMD48" s="20"/>
      <c r="WME48" s="21"/>
      <c r="WMF48" s="21"/>
      <c r="WMG48" s="7"/>
      <c r="WMH48" s="7"/>
      <c r="WMI48" s="21"/>
      <c r="WMJ48" s="20"/>
      <c r="WMK48" s="20"/>
      <c r="WML48" s="20"/>
      <c r="WMM48" s="21"/>
      <c r="WMN48" s="21"/>
      <c r="WMO48" s="21"/>
      <c r="WMP48" s="21"/>
      <c r="WMQ48" s="21"/>
      <c r="WMR48" s="20"/>
      <c r="WMS48" s="20"/>
      <c r="WMT48" s="20"/>
      <c r="WMU48" s="20"/>
      <c r="WMV48" s="21"/>
      <c r="WMW48" s="21"/>
      <c r="WMX48" s="7"/>
      <c r="WMY48" s="7"/>
      <c r="WMZ48" s="21"/>
      <c r="WNA48" s="20"/>
      <c r="WNB48" s="20"/>
      <c r="WNC48" s="20"/>
      <c r="WND48" s="21"/>
      <c r="WNE48" s="21"/>
      <c r="WNF48" s="21"/>
      <c r="WNG48" s="21"/>
      <c r="WNH48" s="21"/>
      <c r="WNI48" s="20"/>
      <c r="WNJ48" s="20"/>
      <c r="WNK48" s="20"/>
      <c r="WNL48" s="20"/>
      <c r="WNM48" s="21"/>
      <c r="WNN48" s="21"/>
      <c r="WNO48" s="7"/>
      <c r="WNP48" s="7"/>
      <c r="WNQ48" s="21"/>
      <c r="WNR48" s="20"/>
      <c r="WNS48" s="20"/>
      <c r="WNT48" s="20"/>
      <c r="WNU48" s="21"/>
      <c r="WNV48" s="21"/>
      <c r="WNW48" s="21"/>
      <c r="WNX48" s="21"/>
      <c r="WNY48" s="21"/>
      <c r="WNZ48" s="20"/>
      <c r="WOA48" s="20"/>
      <c r="WOB48" s="20"/>
      <c r="WOC48" s="20"/>
      <c r="WOD48" s="21"/>
      <c r="WOE48" s="21"/>
      <c r="WOF48" s="7"/>
      <c r="WOG48" s="7"/>
      <c r="WOH48" s="21"/>
      <c r="WOI48" s="20"/>
      <c r="WOJ48" s="20"/>
      <c r="WOK48" s="20"/>
      <c r="WOL48" s="21"/>
      <c r="WOM48" s="21"/>
      <c r="WON48" s="21"/>
      <c r="WOO48" s="21"/>
      <c r="WOP48" s="21"/>
      <c r="WOQ48" s="20"/>
      <c r="WOR48" s="20"/>
      <c r="WOS48" s="20"/>
      <c r="WOT48" s="20"/>
      <c r="WOU48" s="21"/>
      <c r="WOV48" s="21"/>
      <c r="WOW48" s="7"/>
      <c r="WOX48" s="7"/>
      <c r="WOY48" s="21"/>
      <c r="WOZ48" s="20"/>
      <c r="WPA48" s="20"/>
      <c r="WPB48" s="20"/>
      <c r="WPC48" s="21"/>
      <c r="WPD48" s="21"/>
      <c r="WPE48" s="21"/>
      <c r="WPF48" s="21"/>
      <c r="WPG48" s="21"/>
      <c r="WPH48" s="20"/>
      <c r="WPI48" s="20"/>
      <c r="WPJ48" s="20"/>
      <c r="WPK48" s="20"/>
      <c r="WPL48" s="21"/>
      <c r="WPM48" s="21"/>
      <c r="WPN48" s="7"/>
      <c r="WPO48" s="7"/>
      <c r="WPP48" s="21"/>
      <c r="WPQ48" s="20"/>
      <c r="WPR48" s="20"/>
      <c r="WPS48" s="20"/>
      <c r="WPT48" s="21"/>
      <c r="WPU48" s="21"/>
      <c r="WPV48" s="21"/>
      <c r="WPW48" s="21"/>
      <c r="WPX48" s="21"/>
      <c r="WPY48" s="20"/>
      <c r="WPZ48" s="20"/>
      <c r="WQA48" s="20"/>
      <c r="WQB48" s="20"/>
      <c r="WQC48" s="21"/>
      <c r="WQD48" s="21"/>
      <c r="WQE48" s="7"/>
      <c r="WQF48" s="7"/>
      <c r="WQG48" s="21"/>
      <c r="WQH48" s="20"/>
      <c r="WQI48" s="20"/>
      <c r="WQJ48" s="20"/>
      <c r="WQK48" s="21"/>
      <c r="WQL48" s="21"/>
      <c r="WQM48" s="21"/>
      <c r="WQN48" s="21"/>
      <c r="WQO48" s="21"/>
      <c r="WQP48" s="20"/>
      <c r="WQQ48" s="20"/>
      <c r="WQR48" s="20"/>
      <c r="WQS48" s="20"/>
      <c r="WQT48" s="21"/>
      <c r="WQU48" s="21"/>
      <c r="WQV48" s="7"/>
      <c r="WQW48" s="7"/>
      <c r="WQX48" s="21"/>
      <c r="WQY48" s="20"/>
      <c r="WQZ48" s="20"/>
      <c r="WRA48" s="20"/>
      <c r="WRB48" s="21"/>
      <c r="WRC48" s="21"/>
      <c r="WRD48" s="21"/>
      <c r="WRE48" s="21"/>
      <c r="WRF48" s="21"/>
      <c r="WRG48" s="20"/>
      <c r="WRH48" s="20"/>
      <c r="WRI48" s="20"/>
      <c r="WRJ48" s="20"/>
      <c r="WRK48" s="21"/>
      <c r="WRL48" s="21"/>
      <c r="WRM48" s="7"/>
      <c r="WRN48" s="7"/>
      <c r="WRO48" s="21"/>
      <c r="WRP48" s="20"/>
      <c r="WRQ48" s="20"/>
      <c r="WRR48" s="20"/>
      <c r="WRS48" s="21"/>
      <c r="WRT48" s="21"/>
      <c r="WRU48" s="21"/>
      <c r="WRV48" s="21"/>
      <c r="WRW48" s="21"/>
      <c r="WRX48" s="20"/>
      <c r="WRY48" s="20"/>
      <c r="WRZ48" s="20"/>
      <c r="WSA48" s="20"/>
      <c r="WSB48" s="21"/>
      <c r="WSC48" s="21"/>
      <c r="WSD48" s="7"/>
      <c r="WSE48" s="7"/>
      <c r="WSF48" s="21"/>
      <c r="WSG48" s="20"/>
      <c r="WSH48" s="20"/>
      <c r="WSI48" s="20"/>
      <c r="WSJ48" s="21"/>
      <c r="WSK48" s="21"/>
      <c r="WSL48" s="21"/>
      <c r="WSM48" s="21"/>
      <c r="WSN48" s="21"/>
      <c r="WSO48" s="20"/>
      <c r="WSP48" s="20"/>
      <c r="WSQ48" s="20"/>
      <c r="WSR48" s="20"/>
      <c r="WSS48" s="21"/>
      <c r="WST48" s="21"/>
      <c r="WSU48" s="7"/>
      <c r="WSV48" s="7"/>
      <c r="WSW48" s="21"/>
      <c r="WSX48" s="20"/>
      <c r="WSY48" s="20"/>
      <c r="WSZ48" s="20"/>
      <c r="WTA48" s="21"/>
      <c r="WTB48" s="21"/>
      <c r="WTC48" s="21"/>
      <c r="WTD48" s="21"/>
      <c r="WTE48" s="21"/>
      <c r="WTF48" s="20"/>
      <c r="WTG48" s="20"/>
      <c r="WTH48" s="20"/>
      <c r="WTI48" s="20"/>
      <c r="WTJ48" s="21"/>
      <c r="WTK48" s="21"/>
      <c r="WTL48" s="7"/>
      <c r="WTM48" s="7"/>
      <c r="WTN48" s="21"/>
      <c r="WTO48" s="20"/>
      <c r="WTP48" s="20"/>
      <c r="WTQ48" s="20"/>
      <c r="WTR48" s="21"/>
      <c r="WTS48" s="21"/>
      <c r="WTT48" s="21"/>
      <c r="WTU48" s="21"/>
      <c r="WTV48" s="21"/>
      <c r="WTW48" s="20"/>
      <c r="WTX48" s="20"/>
      <c r="WTY48" s="20"/>
      <c r="WTZ48" s="20"/>
      <c r="WUA48" s="21"/>
      <c r="WUB48" s="21"/>
      <c r="WUC48" s="7"/>
      <c r="WUD48" s="7"/>
      <c r="WUE48" s="21"/>
      <c r="WUF48" s="20"/>
      <c r="WUG48" s="20"/>
      <c r="WUH48" s="20"/>
      <c r="WUI48" s="21"/>
      <c r="WUJ48" s="21"/>
      <c r="WUK48" s="21"/>
      <c r="WUL48" s="21"/>
      <c r="WUM48" s="21"/>
      <c r="WUN48" s="20"/>
      <c r="WUO48" s="20"/>
      <c r="WUP48" s="20"/>
      <c r="WUQ48" s="20"/>
      <c r="WUR48" s="21"/>
      <c r="WUS48" s="21"/>
      <c r="WUT48" s="7"/>
      <c r="WUU48" s="7"/>
      <c r="WUV48" s="21"/>
      <c r="WUW48" s="20"/>
      <c r="WUX48" s="20"/>
      <c r="WUY48" s="20"/>
      <c r="WUZ48" s="21"/>
      <c r="WVA48" s="21"/>
      <c r="WVB48" s="21"/>
      <c r="WVC48" s="21"/>
      <c r="WVD48" s="21"/>
      <c r="WVE48" s="20"/>
      <c r="WVF48" s="20"/>
      <c r="WVG48" s="20"/>
      <c r="WVH48" s="20"/>
      <c r="WVI48" s="21"/>
      <c r="WVJ48" s="21"/>
      <c r="WVK48" s="7"/>
      <c r="WVL48" s="7"/>
      <c r="WVM48" s="21"/>
      <c r="WVN48" s="20"/>
      <c r="WVO48" s="20"/>
      <c r="WVP48" s="20"/>
      <c r="WVQ48" s="21"/>
      <c r="WVR48" s="21"/>
      <c r="WVS48" s="21"/>
      <c r="WVT48" s="21"/>
      <c r="WVU48" s="21"/>
      <c r="WVV48" s="20"/>
      <c r="WVW48" s="20"/>
      <c r="WVX48" s="20"/>
      <c r="WVY48" s="20"/>
      <c r="WVZ48" s="21"/>
      <c r="WWA48" s="21"/>
      <c r="WWB48" s="7"/>
      <c r="WWC48" s="7"/>
      <c r="WWD48" s="21"/>
      <c r="WWE48" s="20"/>
      <c r="WWF48" s="20"/>
      <c r="WWG48" s="20"/>
      <c r="WWH48" s="21"/>
      <c r="WWI48" s="21"/>
      <c r="WWJ48" s="21"/>
      <c r="WWK48" s="21"/>
      <c r="WWL48" s="21"/>
      <c r="WWM48" s="20"/>
      <c r="WWN48" s="20"/>
      <c r="WWO48" s="20"/>
      <c r="WWP48" s="20"/>
      <c r="WWQ48" s="21"/>
      <c r="WWR48" s="21"/>
      <c r="WWS48" s="7"/>
      <c r="WWT48" s="7"/>
      <c r="WWU48" s="21"/>
      <c r="WWV48" s="20"/>
      <c r="WWW48" s="20"/>
      <c r="WWX48" s="20"/>
      <c r="WWY48" s="21"/>
      <c r="WWZ48" s="21"/>
      <c r="WXA48" s="21"/>
      <c r="WXB48" s="21"/>
      <c r="WXC48" s="21"/>
      <c r="WXD48" s="20"/>
      <c r="WXE48" s="20"/>
      <c r="WXF48" s="20"/>
      <c r="WXG48" s="20"/>
      <c r="WXH48" s="21"/>
      <c r="WXI48" s="21"/>
      <c r="WXJ48" s="7"/>
      <c r="WXK48" s="7"/>
      <c r="WXL48" s="21"/>
      <c r="WXM48" s="20"/>
      <c r="WXN48" s="20"/>
      <c r="WXO48" s="20"/>
      <c r="WXP48" s="21"/>
      <c r="WXQ48" s="21"/>
      <c r="WXR48" s="21"/>
      <c r="WXS48" s="21"/>
      <c r="WXT48" s="21"/>
      <c r="WXU48" s="20"/>
      <c r="WXV48" s="20"/>
      <c r="WXW48" s="20"/>
      <c r="WXX48" s="20"/>
      <c r="WXY48" s="21"/>
      <c r="WXZ48" s="21"/>
      <c r="WYA48" s="7"/>
      <c r="WYB48" s="7"/>
      <c r="WYC48" s="21"/>
      <c r="WYD48" s="20"/>
      <c r="WYE48" s="20"/>
      <c r="WYF48" s="20"/>
      <c r="WYG48" s="21"/>
      <c r="WYH48" s="21"/>
      <c r="WYI48" s="21"/>
      <c r="WYJ48" s="21"/>
      <c r="WYK48" s="21"/>
      <c r="WYL48" s="20"/>
      <c r="WYM48" s="20"/>
      <c r="WYN48" s="20"/>
      <c r="WYO48" s="20"/>
      <c r="WYP48" s="21"/>
      <c r="WYQ48" s="21"/>
      <c r="WYR48" s="7"/>
      <c r="WYS48" s="7"/>
      <c r="WYT48" s="21"/>
      <c r="WYU48" s="20"/>
      <c r="WYV48" s="20"/>
      <c r="WYW48" s="20"/>
      <c r="WYX48" s="21"/>
      <c r="WYY48" s="21"/>
      <c r="WYZ48" s="21"/>
      <c r="WZA48" s="21"/>
      <c r="WZB48" s="21"/>
      <c r="WZC48" s="20"/>
      <c r="WZD48" s="20"/>
      <c r="WZE48" s="20"/>
      <c r="WZF48" s="20"/>
      <c r="WZG48" s="21"/>
      <c r="WZH48" s="21"/>
      <c r="WZI48" s="7"/>
      <c r="WZJ48" s="7"/>
      <c r="WZK48" s="21"/>
      <c r="WZL48" s="20"/>
      <c r="WZM48" s="20"/>
      <c r="WZN48" s="20"/>
      <c r="WZO48" s="21"/>
      <c r="WZP48" s="21"/>
      <c r="WZQ48" s="21"/>
      <c r="WZR48" s="21"/>
      <c r="WZS48" s="21"/>
      <c r="WZT48" s="20"/>
      <c r="WZU48" s="20"/>
      <c r="WZV48" s="20"/>
      <c r="WZW48" s="20"/>
      <c r="WZX48" s="21"/>
      <c r="WZY48" s="21"/>
      <c r="WZZ48" s="7"/>
      <c r="XAA48" s="7"/>
      <c r="XAB48" s="21"/>
      <c r="XAC48" s="20"/>
      <c r="XAD48" s="20"/>
      <c r="XAE48" s="20"/>
      <c r="XAF48" s="21"/>
      <c r="XAG48" s="21"/>
      <c r="XAH48" s="21"/>
      <c r="XAI48" s="21"/>
      <c r="XAJ48" s="21"/>
      <c r="XAK48" s="20"/>
      <c r="XAL48" s="20"/>
      <c r="XAM48" s="20"/>
      <c r="XAN48" s="20"/>
      <c r="XAO48" s="21"/>
      <c r="XAP48" s="21"/>
      <c r="XAQ48" s="7"/>
      <c r="XAR48" s="7"/>
      <c r="XAS48" s="21"/>
      <c r="XAT48" s="20"/>
      <c r="XAU48" s="20"/>
      <c r="XAV48" s="20"/>
      <c r="XAW48" s="21"/>
      <c r="XAX48" s="21"/>
      <c r="XAY48" s="21"/>
      <c r="XAZ48" s="21"/>
      <c r="XBA48" s="21"/>
      <c r="XBB48" s="20"/>
      <c r="XBC48" s="20"/>
      <c r="XBD48" s="20"/>
      <c r="XBE48" s="20"/>
      <c r="XBF48" s="21"/>
      <c r="XBG48" s="21"/>
      <c r="XBH48" s="7"/>
      <c r="XBI48" s="7"/>
      <c r="XBJ48" s="21"/>
      <c r="XBK48" s="20"/>
      <c r="XBL48" s="20"/>
      <c r="XBM48" s="20"/>
      <c r="XBN48" s="21"/>
      <c r="XBO48" s="21"/>
      <c r="XBP48" s="21"/>
      <c r="XBQ48" s="21"/>
      <c r="XBR48" s="21"/>
      <c r="XBS48" s="20"/>
      <c r="XBT48" s="20"/>
      <c r="XBU48" s="20"/>
      <c r="XBV48" s="20"/>
      <c r="XBW48" s="21"/>
      <c r="XBX48" s="21"/>
      <c r="XBY48" s="7"/>
      <c r="XBZ48" s="7"/>
      <c r="XCA48" s="21"/>
      <c r="XCB48" s="20"/>
      <c r="XCC48" s="20"/>
      <c r="XCD48" s="20"/>
      <c r="XCE48" s="21"/>
      <c r="XCF48" s="21"/>
      <c r="XCG48" s="21"/>
      <c r="XCH48" s="21"/>
      <c r="XCI48" s="21"/>
      <c r="XCJ48" s="20"/>
      <c r="XCK48" s="20"/>
      <c r="XCL48" s="20"/>
      <c r="XCM48" s="20"/>
      <c r="XCN48" s="21"/>
      <c r="XCO48" s="21"/>
      <c r="XCP48" s="7"/>
      <c r="XCQ48" s="7"/>
      <c r="XCR48" s="21"/>
      <c r="XCS48" s="20"/>
      <c r="XCT48" s="20"/>
      <c r="XCU48" s="20"/>
      <c r="XCV48" s="21"/>
      <c r="XCW48" s="21"/>
      <c r="XCX48" s="21"/>
      <c r="XCY48" s="21"/>
      <c r="XCZ48" s="21"/>
      <c r="XDA48" s="20"/>
      <c r="XDB48" s="20"/>
      <c r="XDC48" s="20"/>
      <c r="XDD48" s="20"/>
      <c r="XDE48" s="21"/>
      <c r="XDF48" s="21"/>
      <c r="XDG48" s="7"/>
      <c r="XDH48" s="7"/>
      <c r="XDI48" s="21"/>
      <c r="XDJ48" s="20"/>
      <c r="XDK48" s="20"/>
      <c r="XDL48" s="20"/>
      <c r="XDM48" s="21"/>
      <c r="XDN48" s="21"/>
      <c r="XDO48" s="21"/>
      <c r="XDP48" s="21"/>
      <c r="XDQ48" s="21"/>
      <c r="XDR48" s="20"/>
      <c r="XDS48" s="20"/>
      <c r="XDT48" s="20"/>
      <c r="XDU48" s="20"/>
      <c r="XDV48" s="21"/>
      <c r="XDW48" s="21"/>
      <c r="XDX48" s="7"/>
      <c r="XDY48" s="7"/>
      <c r="XDZ48" s="21"/>
      <c r="XEA48" s="20"/>
      <c r="XEB48" s="20"/>
      <c r="XEC48" s="20"/>
      <c r="XED48" s="21"/>
      <c r="XEE48" s="21"/>
      <c r="XEF48" s="21"/>
      <c r="XEG48" s="21"/>
      <c r="XEH48" s="21"/>
      <c r="XEI48" s="20"/>
      <c r="XEJ48" s="20"/>
      <c r="XEK48" s="20"/>
      <c r="XEL48" s="20"/>
      <c r="XEM48" s="21"/>
      <c r="XEN48" s="21"/>
      <c r="XEO48" s="7"/>
      <c r="XEP48" s="7"/>
      <c r="XEQ48" s="21"/>
      <c r="XER48" s="20"/>
      <c r="XES48" s="20"/>
      <c r="XET48" s="20"/>
      <c r="XEU48" s="21"/>
      <c r="XEV48" s="21"/>
      <c r="XEW48" s="21"/>
      <c r="XEX48" s="21"/>
      <c r="XEY48" s="21"/>
      <c r="XEZ48" s="20"/>
      <c r="XFA48" s="20"/>
      <c r="XFB48" s="20"/>
      <c r="XFC48" s="20"/>
      <c r="XFD48" s="21"/>
    </row>
    <row r="49" spans="1:16384" s="3" customFormat="1" ht="14.25" customHeight="1" x14ac:dyDescent="0.25">
      <c r="A49" s="29">
        <v>0</v>
      </c>
      <c r="B49" s="29">
        <v>1</v>
      </c>
      <c r="C49" s="29">
        <v>3</v>
      </c>
      <c r="D49" s="30" t="s">
        <v>76</v>
      </c>
      <c r="E49" s="30" t="s">
        <v>259</v>
      </c>
      <c r="F49" s="30" t="s">
        <v>159</v>
      </c>
      <c r="G49" s="30" t="s">
        <v>130</v>
      </c>
      <c r="H49" s="30" t="s">
        <v>165</v>
      </c>
      <c r="I49" s="29" t="s">
        <v>200</v>
      </c>
      <c r="J49" s="29">
        <v>10</v>
      </c>
      <c r="K49" s="29" t="s">
        <v>322</v>
      </c>
      <c r="L49" s="29" t="s">
        <v>341</v>
      </c>
      <c r="M49" s="30" t="s">
        <v>266</v>
      </c>
      <c r="N49" s="30" t="s">
        <v>880</v>
      </c>
      <c r="O49" s="31">
        <v>1</v>
      </c>
      <c r="P49" s="31">
        <v>1</v>
      </c>
      <c r="Q49" s="30"/>
      <c r="R49" s="20"/>
      <c r="S49" s="2">
        <f t="shared" si="7"/>
        <v>0</v>
      </c>
      <c r="T49" s="2">
        <f t="shared" si="8"/>
        <v>0</v>
      </c>
      <c r="U49" s="2">
        <f t="shared" si="9"/>
        <v>0</v>
      </c>
      <c r="V49" s="2">
        <f t="shared" si="10"/>
        <v>0</v>
      </c>
      <c r="W49" s="2">
        <f t="shared" si="11"/>
        <v>0</v>
      </c>
      <c r="X49" s="2">
        <f t="shared" si="12"/>
        <v>0</v>
      </c>
      <c r="Y49" s="2">
        <f t="shared" si="13"/>
        <v>0</v>
      </c>
      <c r="Z49" s="2">
        <f t="shared" si="14"/>
        <v>0</v>
      </c>
      <c r="AA49" s="2">
        <f t="shared" si="15"/>
        <v>0</v>
      </c>
      <c r="AB49" s="2">
        <f t="shared" si="16"/>
        <v>1</v>
      </c>
      <c r="AC49" s="2"/>
      <c r="AD49" s="2">
        <f t="shared" si="17"/>
        <v>1</v>
      </c>
      <c r="AE49" s="2">
        <f t="shared" si="18"/>
        <v>0</v>
      </c>
      <c r="AF49" s="2">
        <f t="shared" si="19"/>
        <v>1</v>
      </c>
      <c r="AG49" s="2">
        <f t="shared" si="20"/>
        <v>0</v>
      </c>
      <c r="AH49" s="2">
        <f t="shared" si="21"/>
        <v>1</v>
      </c>
      <c r="AI49" s="2">
        <f t="shared" si="22"/>
        <v>0</v>
      </c>
      <c r="AJ49" s="20"/>
      <c r="AK49" s="20"/>
      <c r="AL49" s="21"/>
      <c r="AM49" s="21"/>
      <c r="AN49" s="21"/>
      <c r="AO49" s="21"/>
      <c r="AP49" s="21"/>
      <c r="AQ49" s="20"/>
      <c r="AR49" s="20"/>
      <c r="AS49" s="20"/>
      <c r="AT49" s="20"/>
      <c r="AU49" s="21"/>
      <c r="AV49" s="21"/>
      <c r="AW49" s="7"/>
      <c r="AX49" s="7"/>
      <c r="AY49" s="21"/>
      <c r="AZ49" s="20"/>
      <c r="BA49" s="20"/>
      <c r="BB49" s="20"/>
      <c r="BC49" s="21"/>
      <c r="BD49" s="21"/>
      <c r="BE49" s="21"/>
      <c r="BF49" s="21"/>
      <c r="BG49" s="21"/>
      <c r="BH49" s="20"/>
      <c r="BI49" s="20"/>
      <c r="BJ49" s="20"/>
      <c r="BK49" s="20"/>
      <c r="BL49" s="21"/>
      <c r="BM49" s="21"/>
      <c r="BN49" s="7"/>
      <c r="BO49" s="7"/>
      <c r="BP49" s="21"/>
      <c r="BQ49" s="20"/>
      <c r="BR49" s="20"/>
      <c r="BS49" s="20"/>
      <c r="BT49" s="21"/>
      <c r="BU49" s="21"/>
      <c r="BV49" s="21"/>
      <c r="BW49" s="21"/>
      <c r="BX49" s="21"/>
      <c r="BY49" s="20"/>
      <c r="BZ49" s="20"/>
      <c r="CA49" s="20"/>
      <c r="CB49" s="20"/>
      <c r="CC49" s="21"/>
      <c r="CD49" s="21"/>
      <c r="CE49" s="7"/>
      <c r="CF49" s="7"/>
      <c r="CG49" s="21"/>
      <c r="CH49" s="20"/>
      <c r="CI49" s="20"/>
      <c r="CJ49" s="20"/>
      <c r="CK49" s="21"/>
      <c r="CL49" s="21"/>
      <c r="CM49" s="21"/>
      <c r="CN49" s="21"/>
      <c r="CO49" s="21"/>
      <c r="CP49" s="20"/>
      <c r="CQ49" s="20"/>
      <c r="CR49" s="20"/>
      <c r="CS49" s="20"/>
      <c r="CT49" s="21"/>
      <c r="CU49" s="21"/>
      <c r="CV49" s="7"/>
      <c r="CW49" s="7"/>
      <c r="CX49" s="21"/>
      <c r="CY49" s="20"/>
      <c r="CZ49" s="20"/>
      <c r="DA49" s="20"/>
      <c r="DB49" s="21"/>
      <c r="DC49" s="21"/>
      <c r="DD49" s="21"/>
      <c r="DE49" s="21"/>
      <c r="DF49" s="21"/>
      <c r="DG49" s="20"/>
      <c r="DH49" s="20"/>
      <c r="DI49" s="20"/>
      <c r="DJ49" s="20"/>
      <c r="DK49" s="21"/>
      <c r="DL49" s="21"/>
      <c r="DM49" s="7"/>
      <c r="DN49" s="7"/>
      <c r="DO49" s="21"/>
      <c r="DP49" s="20"/>
      <c r="DQ49" s="20"/>
      <c r="DR49" s="20"/>
      <c r="DS49" s="21"/>
      <c r="DT49" s="21"/>
      <c r="DU49" s="21"/>
      <c r="DV49" s="21"/>
      <c r="DW49" s="21"/>
      <c r="DX49" s="20"/>
      <c r="DY49" s="20"/>
      <c r="DZ49" s="20"/>
      <c r="EA49" s="20"/>
      <c r="EB49" s="21"/>
      <c r="EC49" s="21"/>
      <c r="ED49" s="7"/>
      <c r="EE49" s="7"/>
      <c r="EF49" s="21"/>
      <c r="EG49" s="20"/>
      <c r="EH49" s="20"/>
      <c r="EI49" s="20"/>
      <c r="EJ49" s="21"/>
      <c r="EK49" s="21"/>
      <c r="EL49" s="21"/>
      <c r="EM49" s="21"/>
      <c r="EN49" s="21"/>
      <c r="EO49" s="20"/>
      <c r="EP49" s="20"/>
      <c r="EQ49" s="20"/>
      <c r="ER49" s="20"/>
      <c r="ES49" s="21"/>
      <c r="ET49" s="21"/>
      <c r="EU49" s="7"/>
      <c r="EV49" s="7"/>
      <c r="EW49" s="21"/>
      <c r="EX49" s="20"/>
      <c r="EY49" s="20"/>
      <c r="EZ49" s="20"/>
      <c r="FA49" s="21"/>
      <c r="FB49" s="21"/>
      <c r="FC49" s="21"/>
      <c r="FD49" s="21"/>
      <c r="FE49" s="21"/>
      <c r="FF49" s="20"/>
      <c r="FG49" s="20"/>
      <c r="FH49" s="20"/>
      <c r="FI49" s="20"/>
      <c r="FJ49" s="21"/>
      <c r="FK49" s="21"/>
      <c r="FL49" s="7"/>
      <c r="FM49" s="7"/>
      <c r="FN49" s="21"/>
      <c r="FO49" s="20"/>
      <c r="FP49" s="20"/>
      <c r="FQ49" s="20"/>
      <c r="FR49" s="21"/>
      <c r="FS49" s="21"/>
      <c r="FT49" s="21"/>
      <c r="FU49" s="21"/>
      <c r="FV49" s="21"/>
      <c r="FW49" s="20"/>
      <c r="FX49" s="20"/>
      <c r="FY49" s="20"/>
      <c r="FZ49" s="20"/>
      <c r="GA49" s="21"/>
      <c r="GB49" s="21"/>
      <c r="GC49" s="7"/>
      <c r="GD49" s="7"/>
      <c r="GE49" s="21"/>
      <c r="GF49" s="20"/>
      <c r="GG49" s="20"/>
      <c r="GH49" s="20"/>
      <c r="GI49" s="21"/>
      <c r="GJ49" s="21"/>
      <c r="GK49" s="21"/>
      <c r="GL49" s="21"/>
      <c r="GM49" s="21"/>
      <c r="GN49" s="20"/>
      <c r="GO49" s="20"/>
      <c r="GP49" s="20"/>
      <c r="GQ49" s="20"/>
      <c r="GR49" s="21"/>
      <c r="GS49" s="21"/>
      <c r="GT49" s="7"/>
      <c r="GU49" s="7"/>
      <c r="GV49" s="21"/>
      <c r="GW49" s="20"/>
      <c r="GX49" s="20"/>
      <c r="GY49" s="20"/>
      <c r="GZ49" s="21"/>
      <c r="HA49" s="21"/>
      <c r="HB49" s="21"/>
      <c r="HC49" s="21"/>
      <c r="HD49" s="21"/>
      <c r="HE49" s="20"/>
      <c r="HF49" s="20"/>
      <c r="HG49" s="20"/>
      <c r="HH49" s="20"/>
      <c r="HI49" s="21"/>
      <c r="HJ49" s="21"/>
      <c r="HK49" s="7"/>
      <c r="HL49" s="7"/>
      <c r="HM49" s="21"/>
      <c r="HN49" s="20"/>
      <c r="HO49" s="20"/>
      <c r="HP49" s="20"/>
      <c r="HQ49" s="21"/>
      <c r="HR49" s="21"/>
      <c r="HS49" s="21"/>
      <c r="HT49" s="21"/>
      <c r="HU49" s="21"/>
      <c r="HV49" s="20"/>
      <c r="HW49" s="20"/>
      <c r="HX49" s="20"/>
      <c r="HY49" s="20"/>
      <c r="HZ49" s="21"/>
      <c r="IA49" s="21"/>
      <c r="IB49" s="7"/>
      <c r="IC49" s="7"/>
      <c r="ID49" s="21"/>
      <c r="IE49" s="20"/>
      <c r="IF49" s="20"/>
      <c r="IG49" s="20"/>
      <c r="IH49" s="21"/>
      <c r="II49" s="21"/>
      <c r="IJ49" s="21"/>
      <c r="IK49" s="21"/>
      <c r="IL49" s="21"/>
      <c r="IM49" s="20"/>
      <c r="IN49" s="20"/>
      <c r="IO49" s="20"/>
      <c r="IP49" s="20"/>
      <c r="IQ49" s="21"/>
      <c r="IR49" s="21"/>
      <c r="IS49" s="7"/>
      <c r="IT49" s="7"/>
      <c r="IU49" s="21"/>
      <c r="IV49" s="20"/>
      <c r="IW49" s="20"/>
      <c r="IX49" s="20"/>
      <c r="IY49" s="21"/>
      <c r="IZ49" s="21"/>
      <c r="JA49" s="21"/>
      <c r="JB49" s="21"/>
      <c r="JC49" s="21"/>
      <c r="JD49" s="20"/>
      <c r="JE49" s="20"/>
      <c r="JF49" s="20"/>
      <c r="JG49" s="20"/>
      <c r="JH49" s="21"/>
      <c r="JI49" s="21"/>
      <c r="JJ49" s="7"/>
      <c r="JK49" s="7"/>
      <c r="JL49" s="21"/>
      <c r="JM49" s="20"/>
      <c r="JN49" s="20"/>
      <c r="JO49" s="20"/>
      <c r="JP49" s="21"/>
      <c r="JQ49" s="21"/>
      <c r="JR49" s="21"/>
      <c r="JS49" s="21"/>
      <c r="JT49" s="21"/>
      <c r="JU49" s="20"/>
      <c r="JV49" s="20"/>
      <c r="JW49" s="20"/>
      <c r="JX49" s="20"/>
      <c r="JY49" s="21"/>
      <c r="JZ49" s="21"/>
      <c r="KA49" s="7"/>
      <c r="KB49" s="7"/>
      <c r="KC49" s="21"/>
      <c r="KD49" s="20"/>
      <c r="KE49" s="20"/>
      <c r="KF49" s="20"/>
      <c r="KG49" s="21"/>
      <c r="KH49" s="21"/>
      <c r="KI49" s="21"/>
      <c r="KJ49" s="21"/>
      <c r="KK49" s="21"/>
      <c r="KL49" s="20"/>
      <c r="KM49" s="20"/>
      <c r="KN49" s="20"/>
      <c r="KO49" s="20"/>
      <c r="KP49" s="21"/>
      <c r="KQ49" s="21"/>
      <c r="KR49" s="7"/>
      <c r="KS49" s="7"/>
      <c r="KT49" s="21"/>
      <c r="KU49" s="20"/>
      <c r="KV49" s="20"/>
      <c r="KW49" s="20"/>
      <c r="KX49" s="21"/>
      <c r="KY49" s="21"/>
      <c r="KZ49" s="21"/>
      <c r="LA49" s="21"/>
      <c r="LB49" s="21"/>
      <c r="LC49" s="20"/>
      <c r="LD49" s="20"/>
      <c r="LE49" s="20"/>
      <c r="LF49" s="20"/>
      <c r="LG49" s="21"/>
      <c r="LH49" s="21"/>
      <c r="LI49" s="7"/>
      <c r="LJ49" s="7"/>
      <c r="LK49" s="21"/>
      <c r="LL49" s="20"/>
      <c r="LM49" s="20"/>
      <c r="LN49" s="20"/>
      <c r="LO49" s="21"/>
      <c r="LP49" s="21"/>
      <c r="LQ49" s="21"/>
      <c r="LR49" s="21"/>
      <c r="LS49" s="21"/>
      <c r="LT49" s="20"/>
      <c r="LU49" s="20"/>
      <c r="LV49" s="20"/>
      <c r="LW49" s="20"/>
      <c r="LX49" s="21"/>
      <c r="LY49" s="21"/>
      <c r="LZ49" s="7"/>
      <c r="MA49" s="7"/>
      <c r="MB49" s="21"/>
      <c r="MC49" s="20"/>
      <c r="MD49" s="20"/>
      <c r="ME49" s="20"/>
      <c r="MF49" s="21"/>
      <c r="MG49" s="21"/>
      <c r="MH49" s="21"/>
      <c r="MI49" s="21"/>
      <c r="MJ49" s="21"/>
      <c r="MK49" s="20"/>
      <c r="ML49" s="20"/>
      <c r="MM49" s="20"/>
      <c r="MN49" s="20"/>
      <c r="MO49" s="21"/>
      <c r="MP49" s="21"/>
      <c r="MQ49" s="7"/>
      <c r="MR49" s="7"/>
      <c r="MS49" s="21"/>
      <c r="MT49" s="20"/>
      <c r="MU49" s="20"/>
      <c r="MV49" s="20"/>
      <c r="MW49" s="21"/>
      <c r="MX49" s="21"/>
      <c r="MY49" s="21"/>
      <c r="MZ49" s="21"/>
      <c r="NA49" s="21"/>
      <c r="NB49" s="20"/>
      <c r="NC49" s="20"/>
      <c r="ND49" s="20"/>
      <c r="NE49" s="20"/>
      <c r="NF49" s="21"/>
      <c r="NG49" s="21"/>
      <c r="NH49" s="7"/>
      <c r="NI49" s="7"/>
      <c r="NJ49" s="21"/>
      <c r="NK49" s="20"/>
      <c r="NL49" s="20"/>
      <c r="NM49" s="20"/>
      <c r="NN49" s="21"/>
      <c r="NO49" s="21"/>
      <c r="NP49" s="21"/>
      <c r="NQ49" s="21"/>
      <c r="NR49" s="21"/>
      <c r="NS49" s="20"/>
      <c r="NT49" s="20"/>
      <c r="NU49" s="20"/>
      <c r="NV49" s="20"/>
      <c r="NW49" s="21"/>
      <c r="NX49" s="21"/>
      <c r="NY49" s="7"/>
      <c r="NZ49" s="7"/>
      <c r="OA49" s="21"/>
      <c r="OB49" s="20"/>
      <c r="OC49" s="20"/>
      <c r="OD49" s="20"/>
      <c r="OE49" s="21"/>
      <c r="OF49" s="21"/>
      <c r="OG49" s="21"/>
      <c r="OH49" s="21"/>
      <c r="OI49" s="21"/>
      <c r="OJ49" s="20"/>
      <c r="OK49" s="20"/>
      <c r="OL49" s="20"/>
      <c r="OM49" s="20"/>
      <c r="ON49" s="21"/>
      <c r="OO49" s="21"/>
      <c r="OP49" s="7"/>
      <c r="OQ49" s="7"/>
      <c r="OR49" s="21"/>
      <c r="OS49" s="20"/>
      <c r="OT49" s="20"/>
      <c r="OU49" s="20"/>
      <c r="OV49" s="21"/>
      <c r="OW49" s="21"/>
      <c r="OX49" s="21"/>
      <c r="OY49" s="21"/>
      <c r="OZ49" s="21"/>
      <c r="PA49" s="20"/>
      <c r="PB49" s="20"/>
      <c r="PC49" s="20"/>
      <c r="PD49" s="20"/>
      <c r="PE49" s="21"/>
      <c r="PF49" s="21"/>
      <c r="PG49" s="7"/>
      <c r="PH49" s="7"/>
      <c r="PI49" s="21"/>
      <c r="PJ49" s="20"/>
      <c r="PK49" s="20"/>
      <c r="PL49" s="20"/>
      <c r="PM49" s="21"/>
      <c r="PN49" s="21"/>
      <c r="PO49" s="21"/>
      <c r="PP49" s="21"/>
      <c r="PQ49" s="21"/>
      <c r="PR49" s="20"/>
      <c r="PS49" s="20"/>
      <c r="PT49" s="20"/>
      <c r="PU49" s="20"/>
      <c r="PV49" s="21"/>
      <c r="PW49" s="21"/>
      <c r="PX49" s="7"/>
      <c r="PY49" s="7"/>
      <c r="PZ49" s="21"/>
      <c r="QA49" s="20"/>
      <c r="QB49" s="20"/>
      <c r="QC49" s="20"/>
      <c r="QD49" s="21"/>
      <c r="QE49" s="21"/>
      <c r="QF49" s="21"/>
      <c r="QG49" s="21"/>
      <c r="QH49" s="21"/>
      <c r="QI49" s="20"/>
      <c r="QJ49" s="20"/>
      <c r="QK49" s="20"/>
      <c r="QL49" s="20"/>
      <c r="QM49" s="21"/>
      <c r="QN49" s="21"/>
      <c r="QO49" s="7"/>
      <c r="QP49" s="7"/>
      <c r="QQ49" s="21"/>
      <c r="QR49" s="20"/>
      <c r="QS49" s="20"/>
      <c r="QT49" s="20"/>
      <c r="QU49" s="21"/>
      <c r="QV49" s="21"/>
      <c r="QW49" s="21"/>
      <c r="QX49" s="21"/>
      <c r="QY49" s="21"/>
      <c r="QZ49" s="20"/>
      <c r="RA49" s="20"/>
      <c r="RB49" s="20"/>
      <c r="RC49" s="20"/>
      <c r="RD49" s="21"/>
      <c r="RE49" s="21"/>
      <c r="RF49" s="7"/>
      <c r="RG49" s="7"/>
      <c r="RH49" s="21"/>
      <c r="RI49" s="20"/>
      <c r="RJ49" s="20"/>
      <c r="RK49" s="20"/>
      <c r="RL49" s="21"/>
      <c r="RM49" s="21"/>
      <c r="RN49" s="21"/>
      <c r="RO49" s="21"/>
      <c r="RP49" s="21"/>
      <c r="RQ49" s="20"/>
      <c r="RR49" s="20"/>
      <c r="RS49" s="20"/>
      <c r="RT49" s="20"/>
      <c r="RU49" s="21"/>
      <c r="RV49" s="21"/>
      <c r="RW49" s="7"/>
      <c r="RX49" s="7"/>
      <c r="RY49" s="21"/>
      <c r="RZ49" s="20"/>
      <c r="SA49" s="20"/>
      <c r="SB49" s="20"/>
      <c r="SC49" s="21"/>
      <c r="SD49" s="21"/>
      <c r="SE49" s="21"/>
      <c r="SF49" s="21"/>
      <c r="SG49" s="21"/>
      <c r="SH49" s="20"/>
      <c r="SI49" s="20"/>
      <c r="SJ49" s="20"/>
      <c r="SK49" s="20"/>
      <c r="SL49" s="21"/>
      <c r="SM49" s="21"/>
      <c r="SN49" s="7"/>
      <c r="SO49" s="7"/>
      <c r="SP49" s="21"/>
      <c r="SQ49" s="20"/>
      <c r="SR49" s="20"/>
      <c r="SS49" s="20"/>
      <c r="ST49" s="21"/>
      <c r="SU49" s="21"/>
      <c r="SV49" s="21"/>
      <c r="SW49" s="21"/>
      <c r="SX49" s="21"/>
      <c r="SY49" s="20"/>
      <c r="SZ49" s="20"/>
      <c r="TA49" s="20"/>
      <c r="TB49" s="20"/>
      <c r="TC49" s="21"/>
      <c r="TD49" s="21"/>
      <c r="TE49" s="7"/>
      <c r="TF49" s="7"/>
      <c r="TG49" s="21"/>
      <c r="TH49" s="20"/>
      <c r="TI49" s="20"/>
      <c r="TJ49" s="20"/>
      <c r="TK49" s="21"/>
      <c r="TL49" s="21"/>
      <c r="TM49" s="21"/>
      <c r="TN49" s="21"/>
      <c r="TO49" s="21"/>
      <c r="TP49" s="20"/>
      <c r="TQ49" s="20"/>
      <c r="TR49" s="20"/>
      <c r="TS49" s="20"/>
      <c r="TT49" s="21"/>
      <c r="TU49" s="21"/>
      <c r="TV49" s="7"/>
      <c r="TW49" s="7"/>
      <c r="TX49" s="21"/>
      <c r="TY49" s="20"/>
      <c r="TZ49" s="20"/>
      <c r="UA49" s="20"/>
      <c r="UB49" s="21"/>
      <c r="UC49" s="21"/>
      <c r="UD49" s="21"/>
      <c r="UE49" s="21"/>
      <c r="UF49" s="21"/>
      <c r="UG49" s="20"/>
      <c r="UH49" s="20"/>
      <c r="UI49" s="20"/>
      <c r="UJ49" s="20"/>
      <c r="UK49" s="21"/>
      <c r="UL49" s="21"/>
      <c r="UM49" s="7"/>
      <c r="UN49" s="7"/>
      <c r="UO49" s="21"/>
      <c r="UP49" s="20"/>
      <c r="UQ49" s="20"/>
      <c r="UR49" s="20"/>
      <c r="US49" s="21"/>
      <c r="UT49" s="21"/>
      <c r="UU49" s="21"/>
      <c r="UV49" s="21"/>
      <c r="UW49" s="21"/>
      <c r="UX49" s="20"/>
      <c r="UY49" s="20"/>
      <c r="UZ49" s="20"/>
      <c r="VA49" s="20"/>
      <c r="VB49" s="21"/>
      <c r="VC49" s="21"/>
      <c r="VD49" s="7"/>
      <c r="VE49" s="7"/>
      <c r="VF49" s="21"/>
      <c r="VG49" s="20"/>
      <c r="VH49" s="20"/>
      <c r="VI49" s="20"/>
      <c r="VJ49" s="21"/>
      <c r="VK49" s="21"/>
      <c r="VL49" s="21"/>
      <c r="VM49" s="21"/>
      <c r="VN49" s="21"/>
      <c r="VO49" s="20"/>
      <c r="VP49" s="20"/>
      <c r="VQ49" s="20"/>
      <c r="VR49" s="20"/>
      <c r="VS49" s="21"/>
      <c r="VT49" s="21"/>
      <c r="VU49" s="7"/>
      <c r="VV49" s="7"/>
      <c r="VW49" s="21"/>
      <c r="VX49" s="20"/>
      <c r="VY49" s="20"/>
      <c r="VZ49" s="20"/>
      <c r="WA49" s="21"/>
      <c r="WB49" s="21"/>
      <c r="WC49" s="21"/>
      <c r="WD49" s="21"/>
      <c r="WE49" s="21"/>
      <c r="WF49" s="20"/>
      <c r="WG49" s="20"/>
      <c r="WH49" s="20"/>
      <c r="WI49" s="20"/>
      <c r="WJ49" s="21"/>
      <c r="WK49" s="21"/>
      <c r="WL49" s="7"/>
      <c r="WM49" s="7"/>
      <c r="WN49" s="21"/>
      <c r="WO49" s="20"/>
      <c r="WP49" s="20"/>
      <c r="WQ49" s="20"/>
      <c r="WR49" s="21"/>
      <c r="WS49" s="21"/>
      <c r="WT49" s="21"/>
      <c r="WU49" s="21"/>
      <c r="WV49" s="21"/>
      <c r="WW49" s="20"/>
      <c r="WX49" s="20"/>
      <c r="WY49" s="20"/>
      <c r="WZ49" s="20"/>
      <c r="XA49" s="21"/>
      <c r="XB49" s="21"/>
      <c r="XC49" s="7"/>
      <c r="XD49" s="7"/>
      <c r="XE49" s="21"/>
      <c r="XF49" s="20"/>
      <c r="XG49" s="20"/>
      <c r="XH49" s="20"/>
      <c r="XI49" s="21"/>
      <c r="XJ49" s="21"/>
      <c r="XK49" s="21"/>
      <c r="XL49" s="21"/>
      <c r="XM49" s="21"/>
      <c r="XN49" s="20"/>
      <c r="XO49" s="20"/>
      <c r="XP49" s="20"/>
      <c r="XQ49" s="20"/>
      <c r="XR49" s="21"/>
      <c r="XS49" s="21"/>
      <c r="XT49" s="7"/>
      <c r="XU49" s="7"/>
      <c r="XV49" s="21"/>
      <c r="XW49" s="20"/>
      <c r="XX49" s="20"/>
      <c r="XY49" s="20"/>
      <c r="XZ49" s="21"/>
      <c r="YA49" s="21"/>
      <c r="YB49" s="21"/>
      <c r="YC49" s="21"/>
      <c r="YD49" s="21"/>
      <c r="YE49" s="20"/>
      <c r="YF49" s="20"/>
      <c r="YG49" s="20"/>
      <c r="YH49" s="20"/>
      <c r="YI49" s="21"/>
      <c r="YJ49" s="21"/>
      <c r="YK49" s="7"/>
      <c r="YL49" s="7"/>
      <c r="YM49" s="21"/>
      <c r="YN49" s="20"/>
      <c r="YO49" s="20"/>
      <c r="YP49" s="20"/>
      <c r="YQ49" s="21"/>
      <c r="YR49" s="21"/>
      <c r="YS49" s="21"/>
      <c r="YT49" s="21"/>
      <c r="YU49" s="21"/>
      <c r="YV49" s="20"/>
      <c r="YW49" s="20"/>
      <c r="YX49" s="20"/>
      <c r="YY49" s="20"/>
      <c r="YZ49" s="21"/>
      <c r="ZA49" s="21"/>
      <c r="ZB49" s="7"/>
      <c r="ZC49" s="7"/>
      <c r="ZD49" s="21"/>
      <c r="ZE49" s="20"/>
      <c r="ZF49" s="20"/>
      <c r="ZG49" s="20"/>
      <c r="ZH49" s="21"/>
      <c r="ZI49" s="21"/>
      <c r="ZJ49" s="21"/>
      <c r="ZK49" s="21"/>
      <c r="ZL49" s="21"/>
      <c r="ZM49" s="20"/>
      <c r="ZN49" s="20"/>
      <c r="ZO49" s="20"/>
      <c r="ZP49" s="20"/>
      <c r="ZQ49" s="21"/>
      <c r="ZR49" s="21"/>
      <c r="ZS49" s="7"/>
      <c r="ZT49" s="7"/>
      <c r="ZU49" s="21"/>
      <c r="ZV49" s="20"/>
      <c r="ZW49" s="20"/>
      <c r="ZX49" s="20"/>
      <c r="ZY49" s="21"/>
      <c r="ZZ49" s="21"/>
      <c r="AAA49" s="21"/>
      <c r="AAB49" s="21"/>
      <c r="AAC49" s="21"/>
      <c r="AAD49" s="20"/>
      <c r="AAE49" s="20"/>
      <c r="AAF49" s="20"/>
      <c r="AAG49" s="20"/>
      <c r="AAH49" s="21"/>
      <c r="AAI49" s="21"/>
      <c r="AAJ49" s="7"/>
      <c r="AAK49" s="7"/>
      <c r="AAL49" s="21"/>
      <c r="AAM49" s="20"/>
      <c r="AAN49" s="20"/>
      <c r="AAO49" s="20"/>
      <c r="AAP49" s="21"/>
      <c r="AAQ49" s="21"/>
      <c r="AAR49" s="21"/>
      <c r="AAS49" s="21"/>
      <c r="AAT49" s="21"/>
      <c r="AAU49" s="20"/>
      <c r="AAV49" s="20"/>
      <c r="AAW49" s="20"/>
      <c r="AAX49" s="20"/>
      <c r="AAY49" s="21"/>
      <c r="AAZ49" s="21"/>
      <c r="ABA49" s="7"/>
      <c r="ABB49" s="7"/>
      <c r="ABC49" s="21"/>
      <c r="ABD49" s="20"/>
      <c r="ABE49" s="20"/>
      <c r="ABF49" s="20"/>
      <c r="ABG49" s="21"/>
      <c r="ABH49" s="21"/>
      <c r="ABI49" s="21"/>
      <c r="ABJ49" s="21"/>
      <c r="ABK49" s="21"/>
      <c r="ABL49" s="20"/>
      <c r="ABM49" s="20"/>
      <c r="ABN49" s="20"/>
      <c r="ABO49" s="20"/>
      <c r="ABP49" s="21"/>
      <c r="ABQ49" s="21"/>
      <c r="ABR49" s="7"/>
      <c r="ABS49" s="7"/>
      <c r="ABT49" s="21"/>
      <c r="ABU49" s="20"/>
      <c r="ABV49" s="20"/>
      <c r="ABW49" s="20"/>
      <c r="ABX49" s="21"/>
      <c r="ABY49" s="21"/>
      <c r="ABZ49" s="21"/>
      <c r="ACA49" s="21"/>
      <c r="ACB49" s="21"/>
      <c r="ACC49" s="20"/>
      <c r="ACD49" s="20"/>
      <c r="ACE49" s="20"/>
      <c r="ACF49" s="20"/>
      <c r="ACG49" s="21"/>
      <c r="ACH49" s="21"/>
      <c r="ACI49" s="7"/>
      <c r="ACJ49" s="7"/>
      <c r="ACK49" s="21"/>
      <c r="ACL49" s="20"/>
      <c r="ACM49" s="20"/>
      <c r="ACN49" s="20"/>
      <c r="ACO49" s="21"/>
      <c r="ACP49" s="21"/>
      <c r="ACQ49" s="21"/>
      <c r="ACR49" s="21"/>
      <c r="ACS49" s="21"/>
      <c r="ACT49" s="20"/>
      <c r="ACU49" s="20"/>
      <c r="ACV49" s="20"/>
      <c r="ACW49" s="20"/>
      <c r="ACX49" s="21"/>
      <c r="ACY49" s="21"/>
      <c r="ACZ49" s="7"/>
      <c r="ADA49" s="7"/>
      <c r="ADB49" s="21"/>
      <c r="ADC49" s="20"/>
      <c r="ADD49" s="20"/>
      <c r="ADE49" s="20"/>
      <c r="ADF49" s="21"/>
      <c r="ADG49" s="21"/>
      <c r="ADH49" s="21"/>
      <c r="ADI49" s="21"/>
      <c r="ADJ49" s="21"/>
      <c r="ADK49" s="20"/>
      <c r="ADL49" s="20"/>
      <c r="ADM49" s="20"/>
      <c r="ADN49" s="20"/>
      <c r="ADO49" s="21"/>
      <c r="ADP49" s="21"/>
      <c r="ADQ49" s="7"/>
      <c r="ADR49" s="7"/>
      <c r="ADS49" s="21"/>
      <c r="ADT49" s="20"/>
      <c r="ADU49" s="20"/>
      <c r="ADV49" s="20"/>
      <c r="ADW49" s="21"/>
      <c r="ADX49" s="21"/>
      <c r="ADY49" s="21"/>
      <c r="ADZ49" s="21"/>
      <c r="AEA49" s="21"/>
      <c r="AEB49" s="20"/>
      <c r="AEC49" s="20"/>
      <c r="AED49" s="20"/>
      <c r="AEE49" s="20"/>
      <c r="AEF49" s="21"/>
      <c r="AEG49" s="21"/>
      <c r="AEH49" s="7"/>
      <c r="AEI49" s="7"/>
      <c r="AEJ49" s="21"/>
      <c r="AEK49" s="20"/>
      <c r="AEL49" s="20"/>
      <c r="AEM49" s="20"/>
      <c r="AEN49" s="21"/>
      <c r="AEO49" s="21"/>
      <c r="AEP49" s="21"/>
      <c r="AEQ49" s="21"/>
      <c r="AER49" s="21"/>
      <c r="AES49" s="20"/>
      <c r="AET49" s="20"/>
      <c r="AEU49" s="20"/>
      <c r="AEV49" s="20"/>
      <c r="AEW49" s="21"/>
      <c r="AEX49" s="21"/>
      <c r="AEY49" s="7"/>
      <c r="AEZ49" s="7"/>
      <c r="AFA49" s="21"/>
      <c r="AFB49" s="20"/>
      <c r="AFC49" s="20"/>
      <c r="AFD49" s="20"/>
      <c r="AFE49" s="21"/>
      <c r="AFF49" s="21"/>
      <c r="AFG49" s="21"/>
      <c r="AFH49" s="21"/>
      <c r="AFI49" s="21"/>
      <c r="AFJ49" s="20"/>
      <c r="AFK49" s="20"/>
      <c r="AFL49" s="20"/>
      <c r="AFM49" s="20"/>
      <c r="AFN49" s="21"/>
      <c r="AFO49" s="21"/>
      <c r="AFP49" s="7"/>
      <c r="AFQ49" s="7"/>
      <c r="AFR49" s="21"/>
      <c r="AFS49" s="20"/>
      <c r="AFT49" s="20"/>
      <c r="AFU49" s="20"/>
      <c r="AFV49" s="21"/>
      <c r="AFW49" s="21"/>
      <c r="AFX49" s="21"/>
      <c r="AFY49" s="21"/>
      <c r="AFZ49" s="21"/>
      <c r="AGA49" s="20"/>
      <c r="AGB49" s="20"/>
      <c r="AGC49" s="20"/>
      <c r="AGD49" s="20"/>
      <c r="AGE49" s="21"/>
      <c r="AGF49" s="21"/>
      <c r="AGG49" s="7"/>
      <c r="AGH49" s="7"/>
      <c r="AGI49" s="21"/>
      <c r="AGJ49" s="20"/>
      <c r="AGK49" s="20"/>
      <c r="AGL49" s="20"/>
      <c r="AGM49" s="21"/>
      <c r="AGN49" s="21"/>
      <c r="AGO49" s="21"/>
      <c r="AGP49" s="21"/>
      <c r="AGQ49" s="21"/>
      <c r="AGR49" s="20"/>
      <c r="AGS49" s="20"/>
      <c r="AGT49" s="20"/>
      <c r="AGU49" s="20"/>
      <c r="AGV49" s="21"/>
      <c r="AGW49" s="21"/>
      <c r="AGX49" s="7"/>
      <c r="AGY49" s="7"/>
      <c r="AGZ49" s="21"/>
      <c r="AHA49" s="20"/>
      <c r="AHB49" s="20"/>
      <c r="AHC49" s="20"/>
      <c r="AHD49" s="21"/>
      <c r="AHE49" s="21"/>
      <c r="AHF49" s="21"/>
      <c r="AHG49" s="21"/>
      <c r="AHH49" s="21"/>
      <c r="AHI49" s="20"/>
      <c r="AHJ49" s="20"/>
      <c r="AHK49" s="20"/>
      <c r="AHL49" s="20"/>
      <c r="AHM49" s="21"/>
      <c r="AHN49" s="21"/>
      <c r="AHO49" s="7"/>
      <c r="AHP49" s="7"/>
      <c r="AHQ49" s="21"/>
      <c r="AHR49" s="20"/>
      <c r="AHS49" s="20"/>
      <c r="AHT49" s="20"/>
      <c r="AHU49" s="21"/>
      <c r="AHV49" s="21"/>
      <c r="AHW49" s="21"/>
      <c r="AHX49" s="21"/>
      <c r="AHY49" s="21"/>
      <c r="AHZ49" s="20"/>
      <c r="AIA49" s="20"/>
      <c r="AIB49" s="20"/>
      <c r="AIC49" s="20"/>
      <c r="AID49" s="21"/>
      <c r="AIE49" s="21"/>
      <c r="AIF49" s="7"/>
      <c r="AIG49" s="7"/>
      <c r="AIH49" s="21"/>
      <c r="AII49" s="20"/>
      <c r="AIJ49" s="20"/>
      <c r="AIK49" s="20"/>
      <c r="AIL49" s="21"/>
      <c r="AIM49" s="21"/>
      <c r="AIN49" s="21"/>
      <c r="AIO49" s="21"/>
      <c r="AIP49" s="21"/>
      <c r="AIQ49" s="20"/>
      <c r="AIR49" s="20"/>
      <c r="AIS49" s="20"/>
      <c r="AIT49" s="20"/>
      <c r="AIU49" s="21"/>
      <c r="AIV49" s="21"/>
      <c r="AIW49" s="7"/>
      <c r="AIX49" s="7"/>
      <c r="AIY49" s="21"/>
      <c r="AIZ49" s="20"/>
      <c r="AJA49" s="20"/>
      <c r="AJB49" s="20"/>
      <c r="AJC49" s="21"/>
      <c r="AJD49" s="21"/>
      <c r="AJE49" s="21"/>
      <c r="AJF49" s="21"/>
      <c r="AJG49" s="21"/>
      <c r="AJH49" s="20"/>
      <c r="AJI49" s="20"/>
      <c r="AJJ49" s="20"/>
      <c r="AJK49" s="20"/>
      <c r="AJL49" s="21"/>
      <c r="AJM49" s="21"/>
      <c r="AJN49" s="7"/>
      <c r="AJO49" s="7"/>
      <c r="AJP49" s="21"/>
      <c r="AJQ49" s="20"/>
      <c r="AJR49" s="20"/>
      <c r="AJS49" s="20"/>
      <c r="AJT49" s="21"/>
      <c r="AJU49" s="21"/>
      <c r="AJV49" s="21"/>
      <c r="AJW49" s="21"/>
      <c r="AJX49" s="21"/>
      <c r="AJY49" s="20"/>
      <c r="AJZ49" s="20"/>
      <c r="AKA49" s="20"/>
      <c r="AKB49" s="20"/>
      <c r="AKC49" s="21"/>
      <c r="AKD49" s="21"/>
      <c r="AKE49" s="7"/>
      <c r="AKF49" s="7"/>
      <c r="AKG49" s="21"/>
      <c r="AKH49" s="20"/>
      <c r="AKI49" s="20"/>
      <c r="AKJ49" s="20"/>
      <c r="AKK49" s="21"/>
      <c r="AKL49" s="21"/>
      <c r="AKM49" s="21"/>
      <c r="AKN49" s="21"/>
      <c r="AKO49" s="21"/>
      <c r="AKP49" s="20"/>
      <c r="AKQ49" s="20"/>
      <c r="AKR49" s="20"/>
      <c r="AKS49" s="20"/>
      <c r="AKT49" s="21"/>
      <c r="AKU49" s="21"/>
      <c r="AKV49" s="7"/>
      <c r="AKW49" s="7"/>
      <c r="AKX49" s="21"/>
      <c r="AKY49" s="20"/>
      <c r="AKZ49" s="20"/>
      <c r="ALA49" s="20"/>
      <c r="ALB49" s="21"/>
      <c r="ALC49" s="21"/>
      <c r="ALD49" s="21"/>
      <c r="ALE49" s="21"/>
      <c r="ALF49" s="21"/>
      <c r="ALG49" s="20"/>
      <c r="ALH49" s="20"/>
      <c r="ALI49" s="20"/>
      <c r="ALJ49" s="20"/>
      <c r="ALK49" s="21"/>
      <c r="ALL49" s="21"/>
      <c r="ALM49" s="7"/>
      <c r="ALN49" s="7"/>
      <c r="ALO49" s="21"/>
      <c r="ALP49" s="20"/>
      <c r="ALQ49" s="20"/>
      <c r="ALR49" s="20"/>
      <c r="ALS49" s="21"/>
      <c r="ALT49" s="21"/>
      <c r="ALU49" s="21"/>
      <c r="ALV49" s="21"/>
      <c r="ALW49" s="21"/>
      <c r="ALX49" s="20"/>
      <c r="ALY49" s="20"/>
      <c r="ALZ49" s="20"/>
      <c r="AMA49" s="20"/>
      <c r="AMB49" s="21"/>
      <c r="AMC49" s="21"/>
      <c r="AMD49" s="7"/>
      <c r="AME49" s="7"/>
      <c r="AMF49" s="21"/>
      <c r="AMG49" s="20"/>
      <c r="AMH49" s="20"/>
      <c r="AMI49" s="20"/>
      <c r="AMJ49" s="21"/>
      <c r="AMK49" s="21"/>
      <c r="AML49" s="21"/>
      <c r="AMM49" s="21"/>
      <c r="AMN49" s="21"/>
      <c r="AMO49" s="20"/>
      <c r="AMP49" s="20"/>
      <c r="AMQ49" s="20"/>
      <c r="AMR49" s="20"/>
      <c r="AMS49" s="21"/>
      <c r="AMT49" s="21"/>
      <c r="AMU49" s="7"/>
      <c r="AMV49" s="7"/>
      <c r="AMW49" s="21"/>
      <c r="AMX49" s="20"/>
      <c r="AMY49" s="20"/>
      <c r="AMZ49" s="20"/>
      <c r="ANA49" s="21"/>
      <c r="ANB49" s="21"/>
      <c r="ANC49" s="21"/>
      <c r="AND49" s="21"/>
      <c r="ANE49" s="21"/>
      <c r="ANF49" s="20"/>
      <c r="ANG49" s="20"/>
      <c r="ANH49" s="20"/>
      <c r="ANI49" s="20"/>
      <c r="ANJ49" s="21"/>
      <c r="ANK49" s="21"/>
      <c r="ANL49" s="7"/>
      <c r="ANM49" s="7"/>
      <c r="ANN49" s="21"/>
      <c r="ANO49" s="20"/>
      <c r="ANP49" s="20"/>
      <c r="ANQ49" s="20"/>
      <c r="ANR49" s="21"/>
      <c r="ANS49" s="21"/>
      <c r="ANT49" s="21"/>
      <c r="ANU49" s="21"/>
      <c r="ANV49" s="21"/>
      <c r="ANW49" s="20"/>
      <c r="ANX49" s="20"/>
      <c r="ANY49" s="20"/>
      <c r="ANZ49" s="20"/>
      <c r="AOA49" s="21"/>
      <c r="AOB49" s="21"/>
      <c r="AOC49" s="7"/>
      <c r="AOD49" s="7"/>
      <c r="AOE49" s="21"/>
      <c r="AOF49" s="20"/>
      <c r="AOG49" s="20"/>
      <c r="AOH49" s="20"/>
      <c r="AOI49" s="21"/>
      <c r="AOJ49" s="21"/>
      <c r="AOK49" s="21"/>
      <c r="AOL49" s="21"/>
      <c r="AOM49" s="21"/>
      <c r="AON49" s="20"/>
      <c r="AOO49" s="20"/>
      <c r="AOP49" s="20"/>
      <c r="AOQ49" s="20"/>
      <c r="AOR49" s="21"/>
      <c r="AOS49" s="21"/>
      <c r="AOT49" s="7"/>
      <c r="AOU49" s="7"/>
      <c r="AOV49" s="21"/>
      <c r="AOW49" s="20"/>
      <c r="AOX49" s="20"/>
      <c r="AOY49" s="20"/>
      <c r="AOZ49" s="21"/>
      <c r="APA49" s="21"/>
      <c r="APB49" s="21"/>
      <c r="APC49" s="21"/>
      <c r="APD49" s="21"/>
      <c r="APE49" s="20"/>
      <c r="APF49" s="20"/>
      <c r="APG49" s="20"/>
      <c r="APH49" s="20"/>
      <c r="API49" s="21"/>
      <c r="APJ49" s="21"/>
      <c r="APK49" s="7"/>
      <c r="APL49" s="7"/>
      <c r="APM49" s="21"/>
      <c r="APN49" s="20"/>
      <c r="APO49" s="20"/>
      <c r="APP49" s="20"/>
      <c r="APQ49" s="21"/>
      <c r="APR49" s="21"/>
      <c r="APS49" s="21"/>
      <c r="APT49" s="21"/>
      <c r="APU49" s="21"/>
      <c r="APV49" s="20"/>
      <c r="APW49" s="20"/>
      <c r="APX49" s="20"/>
      <c r="APY49" s="20"/>
      <c r="APZ49" s="21"/>
      <c r="AQA49" s="21"/>
      <c r="AQB49" s="7"/>
      <c r="AQC49" s="7"/>
      <c r="AQD49" s="21"/>
      <c r="AQE49" s="20"/>
      <c r="AQF49" s="20"/>
      <c r="AQG49" s="20"/>
      <c r="AQH49" s="21"/>
      <c r="AQI49" s="21"/>
      <c r="AQJ49" s="21"/>
      <c r="AQK49" s="21"/>
      <c r="AQL49" s="21"/>
      <c r="AQM49" s="20"/>
      <c r="AQN49" s="20"/>
      <c r="AQO49" s="20"/>
      <c r="AQP49" s="20"/>
      <c r="AQQ49" s="21"/>
      <c r="AQR49" s="21"/>
      <c r="AQS49" s="7"/>
      <c r="AQT49" s="7"/>
      <c r="AQU49" s="21"/>
      <c r="AQV49" s="20"/>
      <c r="AQW49" s="20"/>
      <c r="AQX49" s="20"/>
      <c r="AQY49" s="21"/>
      <c r="AQZ49" s="21"/>
      <c r="ARA49" s="21"/>
      <c r="ARB49" s="21"/>
      <c r="ARC49" s="21"/>
      <c r="ARD49" s="20"/>
      <c r="ARE49" s="20"/>
      <c r="ARF49" s="20"/>
      <c r="ARG49" s="20"/>
      <c r="ARH49" s="21"/>
      <c r="ARI49" s="21"/>
      <c r="ARJ49" s="7"/>
      <c r="ARK49" s="7"/>
      <c r="ARL49" s="21"/>
      <c r="ARM49" s="20"/>
      <c r="ARN49" s="20"/>
      <c r="ARO49" s="20"/>
      <c r="ARP49" s="21"/>
      <c r="ARQ49" s="21"/>
      <c r="ARR49" s="21"/>
      <c r="ARS49" s="21"/>
      <c r="ART49" s="21"/>
      <c r="ARU49" s="20"/>
      <c r="ARV49" s="20"/>
      <c r="ARW49" s="20"/>
      <c r="ARX49" s="20"/>
      <c r="ARY49" s="21"/>
      <c r="ARZ49" s="21"/>
      <c r="ASA49" s="7"/>
      <c r="ASB49" s="7"/>
      <c r="ASC49" s="21"/>
      <c r="ASD49" s="20"/>
      <c r="ASE49" s="20"/>
      <c r="ASF49" s="20"/>
      <c r="ASG49" s="21"/>
      <c r="ASH49" s="21"/>
      <c r="ASI49" s="21"/>
      <c r="ASJ49" s="21"/>
      <c r="ASK49" s="21"/>
      <c r="ASL49" s="20"/>
      <c r="ASM49" s="20"/>
      <c r="ASN49" s="20"/>
      <c r="ASO49" s="20"/>
      <c r="ASP49" s="21"/>
      <c r="ASQ49" s="21"/>
      <c r="ASR49" s="7"/>
      <c r="ASS49" s="7"/>
      <c r="AST49" s="21"/>
      <c r="ASU49" s="20"/>
      <c r="ASV49" s="20"/>
      <c r="ASW49" s="20"/>
      <c r="ASX49" s="21"/>
      <c r="ASY49" s="21"/>
      <c r="ASZ49" s="21"/>
      <c r="ATA49" s="21"/>
      <c r="ATB49" s="21"/>
      <c r="ATC49" s="20"/>
      <c r="ATD49" s="20"/>
      <c r="ATE49" s="20"/>
      <c r="ATF49" s="20"/>
      <c r="ATG49" s="21"/>
      <c r="ATH49" s="21"/>
      <c r="ATI49" s="7"/>
      <c r="ATJ49" s="7"/>
      <c r="ATK49" s="21"/>
      <c r="ATL49" s="20"/>
      <c r="ATM49" s="20"/>
      <c r="ATN49" s="20"/>
      <c r="ATO49" s="21"/>
      <c r="ATP49" s="21"/>
      <c r="ATQ49" s="21"/>
      <c r="ATR49" s="21"/>
      <c r="ATS49" s="21"/>
      <c r="ATT49" s="20"/>
      <c r="ATU49" s="20"/>
      <c r="ATV49" s="20"/>
      <c r="ATW49" s="20"/>
      <c r="ATX49" s="21"/>
      <c r="ATY49" s="21"/>
      <c r="ATZ49" s="7"/>
      <c r="AUA49" s="7"/>
      <c r="AUB49" s="21"/>
      <c r="AUC49" s="20"/>
      <c r="AUD49" s="20"/>
      <c r="AUE49" s="20"/>
      <c r="AUF49" s="21"/>
      <c r="AUG49" s="21"/>
      <c r="AUH49" s="21"/>
      <c r="AUI49" s="21"/>
      <c r="AUJ49" s="21"/>
      <c r="AUK49" s="20"/>
      <c r="AUL49" s="20"/>
      <c r="AUM49" s="20"/>
      <c r="AUN49" s="20"/>
      <c r="AUO49" s="21"/>
      <c r="AUP49" s="21"/>
      <c r="AUQ49" s="7"/>
      <c r="AUR49" s="7"/>
      <c r="AUS49" s="21"/>
      <c r="AUT49" s="20"/>
      <c r="AUU49" s="20"/>
      <c r="AUV49" s="20"/>
      <c r="AUW49" s="21"/>
      <c r="AUX49" s="21"/>
      <c r="AUY49" s="21"/>
      <c r="AUZ49" s="21"/>
      <c r="AVA49" s="21"/>
      <c r="AVB49" s="20"/>
      <c r="AVC49" s="20"/>
      <c r="AVD49" s="20"/>
      <c r="AVE49" s="20"/>
      <c r="AVF49" s="21"/>
      <c r="AVG49" s="21"/>
      <c r="AVH49" s="7"/>
      <c r="AVI49" s="7"/>
      <c r="AVJ49" s="21"/>
      <c r="AVK49" s="20"/>
      <c r="AVL49" s="20"/>
      <c r="AVM49" s="20"/>
      <c r="AVN49" s="21"/>
      <c r="AVO49" s="21"/>
      <c r="AVP49" s="21"/>
      <c r="AVQ49" s="21"/>
      <c r="AVR49" s="21"/>
      <c r="AVS49" s="20"/>
      <c r="AVT49" s="20"/>
      <c r="AVU49" s="20"/>
      <c r="AVV49" s="20"/>
      <c r="AVW49" s="21"/>
      <c r="AVX49" s="21"/>
      <c r="AVY49" s="7"/>
      <c r="AVZ49" s="7"/>
      <c r="AWA49" s="21"/>
      <c r="AWB49" s="20"/>
      <c r="AWC49" s="20"/>
      <c r="AWD49" s="20"/>
      <c r="AWE49" s="21"/>
      <c r="AWF49" s="21"/>
      <c r="AWG49" s="21"/>
      <c r="AWH49" s="21"/>
      <c r="AWI49" s="21"/>
      <c r="AWJ49" s="20"/>
      <c r="AWK49" s="20"/>
      <c r="AWL49" s="20"/>
      <c r="AWM49" s="20"/>
      <c r="AWN49" s="21"/>
      <c r="AWO49" s="21"/>
      <c r="AWP49" s="7"/>
      <c r="AWQ49" s="7"/>
      <c r="AWR49" s="21"/>
      <c r="AWS49" s="20"/>
      <c r="AWT49" s="20"/>
      <c r="AWU49" s="20"/>
      <c r="AWV49" s="21"/>
      <c r="AWW49" s="21"/>
      <c r="AWX49" s="21"/>
      <c r="AWY49" s="21"/>
      <c r="AWZ49" s="21"/>
      <c r="AXA49" s="20"/>
      <c r="AXB49" s="20"/>
      <c r="AXC49" s="20"/>
      <c r="AXD49" s="20"/>
      <c r="AXE49" s="21"/>
      <c r="AXF49" s="21"/>
      <c r="AXG49" s="7"/>
      <c r="AXH49" s="7"/>
      <c r="AXI49" s="21"/>
      <c r="AXJ49" s="20"/>
      <c r="AXK49" s="20"/>
      <c r="AXL49" s="20"/>
      <c r="AXM49" s="21"/>
      <c r="AXN49" s="21"/>
      <c r="AXO49" s="21"/>
      <c r="AXP49" s="21"/>
      <c r="AXQ49" s="21"/>
      <c r="AXR49" s="20"/>
      <c r="AXS49" s="20"/>
      <c r="AXT49" s="20"/>
      <c r="AXU49" s="20"/>
      <c r="AXV49" s="21"/>
      <c r="AXW49" s="21"/>
      <c r="AXX49" s="7"/>
      <c r="AXY49" s="7"/>
      <c r="AXZ49" s="21"/>
      <c r="AYA49" s="20"/>
      <c r="AYB49" s="20"/>
      <c r="AYC49" s="20"/>
      <c r="AYD49" s="21"/>
      <c r="AYE49" s="21"/>
      <c r="AYF49" s="21"/>
      <c r="AYG49" s="21"/>
      <c r="AYH49" s="21"/>
      <c r="AYI49" s="20"/>
      <c r="AYJ49" s="20"/>
      <c r="AYK49" s="20"/>
      <c r="AYL49" s="20"/>
      <c r="AYM49" s="21"/>
      <c r="AYN49" s="21"/>
      <c r="AYO49" s="7"/>
      <c r="AYP49" s="7"/>
      <c r="AYQ49" s="21"/>
      <c r="AYR49" s="20"/>
      <c r="AYS49" s="20"/>
      <c r="AYT49" s="20"/>
      <c r="AYU49" s="21"/>
      <c r="AYV49" s="21"/>
      <c r="AYW49" s="21"/>
      <c r="AYX49" s="21"/>
      <c r="AYY49" s="21"/>
      <c r="AYZ49" s="20"/>
      <c r="AZA49" s="20"/>
      <c r="AZB49" s="20"/>
      <c r="AZC49" s="20"/>
      <c r="AZD49" s="21"/>
      <c r="AZE49" s="21"/>
      <c r="AZF49" s="7"/>
      <c r="AZG49" s="7"/>
      <c r="AZH49" s="21"/>
      <c r="AZI49" s="20"/>
      <c r="AZJ49" s="20"/>
      <c r="AZK49" s="20"/>
      <c r="AZL49" s="21"/>
      <c r="AZM49" s="21"/>
      <c r="AZN49" s="21"/>
      <c r="AZO49" s="21"/>
      <c r="AZP49" s="21"/>
      <c r="AZQ49" s="20"/>
      <c r="AZR49" s="20"/>
      <c r="AZS49" s="20"/>
      <c r="AZT49" s="20"/>
      <c r="AZU49" s="21"/>
      <c r="AZV49" s="21"/>
      <c r="AZW49" s="7"/>
      <c r="AZX49" s="7"/>
      <c r="AZY49" s="21"/>
      <c r="AZZ49" s="20"/>
      <c r="BAA49" s="20"/>
      <c r="BAB49" s="20"/>
      <c r="BAC49" s="21"/>
      <c r="BAD49" s="21"/>
      <c r="BAE49" s="21"/>
      <c r="BAF49" s="21"/>
      <c r="BAG49" s="21"/>
      <c r="BAH49" s="20"/>
      <c r="BAI49" s="20"/>
      <c r="BAJ49" s="20"/>
      <c r="BAK49" s="20"/>
      <c r="BAL49" s="21"/>
      <c r="BAM49" s="21"/>
      <c r="BAN49" s="7"/>
      <c r="BAO49" s="7"/>
      <c r="BAP49" s="21"/>
      <c r="BAQ49" s="20"/>
      <c r="BAR49" s="20"/>
      <c r="BAS49" s="20"/>
      <c r="BAT49" s="21"/>
      <c r="BAU49" s="21"/>
      <c r="BAV49" s="21"/>
      <c r="BAW49" s="21"/>
      <c r="BAX49" s="21"/>
      <c r="BAY49" s="20"/>
      <c r="BAZ49" s="20"/>
      <c r="BBA49" s="20"/>
      <c r="BBB49" s="20"/>
      <c r="BBC49" s="21"/>
      <c r="BBD49" s="21"/>
      <c r="BBE49" s="7"/>
      <c r="BBF49" s="7"/>
      <c r="BBG49" s="21"/>
      <c r="BBH49" s="20"/>
      <c r="BBI49" s="20"/>
      <c r="BBJ49" s="20"/>
      <c r="BBK49" s="21"/>
      <c r="BBL49" s="21"/>
      <c r="BBM49" s="21"/>
      <c r="BBN49" s="21"/>
      <c r="BBO49" s="21"/>
      <c r="BBP49" s="20"/>
      <c r="BBQ49" s="20"/>
      <c r="BBR49" s="20"/>
      <c r="BBS49" s="20"/>
      <c r="BBT49" s="21"/>
      <c r="BBU49" s="21"/>
      <c r="BBV49" s="7"/>
      <c r="BBW49" s="7"/>
      <c r="BBX49" s="21"/>
      <c r="BBY49" s="20"/>
      <c r="BBZ49" s="20"/>
      <c r="BCA49" s="20"/>
      <c r="BCB49" s="21"/>
      <c r="BCC49" s="21"/>
      <c r="BCD49" s="21"/>
      <c r="BCE49" s="21"/>
      <c r="BCF49" s="21"/>
      <c r="BCG49" s="20"/>
      <c r="BCH49" s="20"/>
      <c r="BCI49" s="20"/>
      <c r="BCJ49" s="20"/>
      <c r="BCK49" s="21"/>
      <c r="BCL49" s="21"/>
      <c r="BCM49" s="7"/>
      <c r="BCN49" s="7"/>
      <c r="BCO49" s="21"/>
      <c r="BCP49" s="20"/>
      <c r="BCQ49" s="20"/>
      <c r="BCR49" s="20"/>
      <c r="BCS49" s="21"/>
      <c r="BCT49" s="21"/>
      <c r="BCU49" s="21"/>
      <c r="BCV49" s="21"/>
      <c r="BCW49" s="21"/>
      <c r="BCX49" s="20"/>
      <c r="BCY49" s="20"/>
      <c r="BCZ49" s="20"/>
      <c r="BDA49" s="20"/>
      <c r="BDB49" s="21"/>
      <c r="BDC49" s="21"/>
      <c r="BDD49" s="7"/>
      <c r="BDE49" s="7"/>
      <c r="BDF49" s="21"/>
      <c r="BDG49" s="20"/>
      <c r="BDH49" s="20"/>
      <c r="BDI49" s="20"/>
      <c r="BDJ49" s="21"/>
      <c r="BDK49" s="21"/>
      <c r="BDL49" s="21"/>
      <c r="BDM49" s="21"/>
      <c r="BDN49" s="21"/>
      <c r="BDO49" s="20"/>
      <c r="BDP49" s="20"/>
      <c r="BDQ49" s="20"/>
      <c r="BDR49" s="20"/>
      <c r="BDS49" s="21"/>
      <c r="BDT49" s="21"/>
      <c r="BDU49" s="7"/>
      <c r="BDV49" s="7"/>
      <c r="BDW49" s="21"/>
      <c r="BDX49" s="20"/>
      <c r="BDY49" s="20"/>
      <c r="BDZ49" s="20"/>
      <c r="BEA49" s="21"/>
      <c r="BEB49" s="21"/>
      <c r="BEC49" s="21"/>
      <c r="BED49" s="21"/>
      <c r="BEE49" s="21"/>
      <c r="BEF49" s="20"/>
      <c r="BEG49" s="20"/>
      <c r="BEH49" s="20"/>
      <c r="BEI49" s="20"/>
      <c r="BEJ49" s="21"/>
      <c r="BEK49" s="21"/>
      <c r="BEL49" s="7"/>
      <c r="BEM49" s="7"/>
      <c r="BEN49" s="21"/>
      <c r="BEO49" s="20"/>
      <c r="BEP49" s="20"/>
      <c r="BEQ49" s="20"/>
      <c r="BER49" s="21"/>
      <c r="BES49" s="21"/>
      <c r="BET49" s="21"/>
      <c r="BEU49" s="21"/>
      <c r="BEV49" s="21"/>
      <c r="BEW49" s="20"/>
      <c r="BEX49" s="20"/>
      <c r="BEY49" s="20"/>
      <c r="BEZ49" s="20"/>
      <c r="BFA49" s="21"/>
      <c r="BFB49" s="21"/>
      <c r="BFC49" s="7"/>
      <c r="BFD49" s="7"/>
      <c r="BFE49" s="21"/>
      <c r="BFF49" s="20"/>
      <c r="BFG49" s="20"/>
      <c r="BFH49" s="20"/>
      <c r="BFI49" s="21"/>
      <c r="BFJ49" s="21"/>
      <c r="BFK49" s="21"/>
      <c r="BFL49" s="21"/>
      <c r="BFM49" s="21"/>
      <c r="BFN49" s="20"/>
      <c r="BFO49" s="20"/>
      <c r="BFP49" s="20"/>
      <c r="BFQ49" s="20"/>
      <c r="BFR49" s="21"/>
      <c r="BFS49" s="21"/>
      <c r="BFT49" s="7"/>
      <c r="BFU49" s="7"/>
      <c r="BFV49" s="21"/>
      <c r="BFW49" s="20"/>
      <c r="BFX49" s="20"/>
      <c r="BFY49" s="20"/>
      <c r="BFZ49" s="21"/>
      <c r="BGA49" s="21"/>
      <c r="BGB49" s="21"/>
      <c r="BGC49" s="21"/>
      <c r="BGD49" s="21"/>
      <c r="BGE49" s="20"/>
      <c r="BGF49" s="20"/>
      <c r="BGG49" s="20"/>
      <c r="BGH49" s="20"/>
      <c r="BGI49" s="21"/>
      <c r="BGJ49" s="21"/>
      <c r="BGK49" s="7"/>
      <c r="BGL49" s="7"/>
      <c r="BGM49" s="21"/>
      <c r="BGN49" s="20"/>
      <c r="BGO49" s="20"/>
      <c r="BGP49" s="20"/>
      <c r="BGQ49" s="21"/>
      <c r="BGR49" s="21"/>
      <c r="BGS49" s="21"/>
      <c r="BGT49" s="21"/>
      <c r="BGU49" s="21"/>
      <c r="BGV49" s="20"/>
      <c r="BGW49" s="20"/>
      <c r="BGX49" s="20"/>
      <c r="BGY49" s="20"/>
      <c r="BGZ49" s="21"/>
      <c r="BHA49" s="21"/>
      <c r="BHB49" s="7"/>
      <c r="BHC49" s="7"/>
      <c r="BHD49" s="21"/>
      <c r="BHE49" s="20"/>
      <c r="BHF49" s="20"/>
      <c r="BHG49" s="20"/>
      <c r="BHH49" s="21"/>
      <c r="BHI49" s="21"/>
      <c r="BHJ49" s="21"/>
      <c r="BHK49" s="21"/>
      <c r="BHL49" s="21"/>
      <c r="BHM49" s="20"/>
      <c r="BHN49" s="20"/>
      <c r="BHO49" s="20"/>
      <c r="BHP49" s="20"/>
      <c r="BHQ49" s="21"/>
      <c r="BHR49" s="21"/>
      <c r="BHS49" s="7"/>
      <c r="BHT49" s="7"/>
      <c r="BHU49" s="21"/>
      <c r="BHV49" s="20"/>
      <c r="BHW49" s="20"/>
      <c r="BHX49" s="20"/>
      <c r="BHY49" s="21"/>
      <c r="BHZ49" s="21"/>
      <c r="BIA49" s="21"/>
      <c r="BIB49" s="21"/>
      <c r="BIC49" s="21"/>
      <c r="BID49" s="20"/>
      <c r="BIE49" s="20"/>
      <c r="BIF49" s="20"/>
      <c r="BIG49" s="20"/>
      <c r="BIH49" s="21"/>
      <c r="BII49" s="21"/>
      <c r="BIJ49" s="7"/>
      <c r="BIK49" s="7"/>
      <c r="BIL49" s="21"/>
      <c r="BIM49" s="20"/>
      <c r="BIN49" s="20"/>
      <c r="BIO49" s="20"/>
      <c r="BIP49" s="21"/>
      <c r="BIQ49" s="21"/>
      <c r="BIR49" s="21"/>
      <c r="BIS49" s="21"/>
      <c r="BIT49" s="21"/>
      <c r="BIU49" s="20"/>
      <c r="BIV49" s="20"/>
      <c r="BIW49" s="20"/>
      <c r="BIX49" s="20"/>
      <c r="BIY49" s="21"/>
      <c r="BIZ49" s="21"/>
      <c r="BJA49" s="7"/>
      <c r="BJB49" s="7"/>
      <c r="BJC49" s="21"/>
      <c r="BJD49" s="20"/>
      <c r="BJE49" s="20"/>
      <c r="BJF49" s="20"/>
      <c r="BJG49" s="21"/>
      <c r="BJH49" s="21"/>
      <c r="BJI49" s="21"/>
      <c r="BJJ49" s="21"/>
      <c r="BJK49" s="21"/>
      <c r="BJL49" s="20"/>
      <c r="BJM49" s="20"/>
      <c r="BJN49" s="20"/>
      <c r="BJO49" s="20"/>
      <c r="BJP49" s="21"/>
      <c r="BJQ49" s="21"/>
      <c r="BJR49" s="7"/>
      <c r="BJS49" s="7"/>
      <c r="BJT49" s="21"/>
      <c r="BJU49" s="20"/>
      <c r="BJV49" s="20"/>
      <c r="BJW49" s="20"/>
      <c r="BJX49" s="21"/>
      <c r="BJY49" s="21"/>
      <c r="BJZ49" s="21"/>
      <c r="BKA49" s="21"/>
      <c r="BKB49" s="21"/>
      <c r="BKC49" s="20"/>
      <c r="BKD49" s="20"/>
      <c r="BKE49" s="20"/>
      <c r="BKF49" s="20"/>
      <c r="BKG49" s="21"/>
      <c r="BKH49" s="21"/>
      <c r="BKI49" s="7"/>
      <c r="BKJ49" s="7"/>
      <c r="BKK49" s="21"/>
      <c r="BKL49" s="20"/>
      <c r="BKM49" s="20"/>
      <c r="BKN49" s="20"/>
      <c r="BKO49" s="21"/>
      <c r="BKP49" s="21"/>
      <c r="BKQ49" s="21"/>
      <c r="BKR49" s="21"/>
      <c r="BKS49" s="21"/>
      <c r="BKT49" s="20"/>
      <c r="BKU49" s="20"/>
      <c r="BKV49" s="20"/>
      <c r="BKW49" s="20"/>
      <c r="BKX49" s="21"/>
      <c r="BKY49" s="21"/>
      <c r="BKZ49" s="7"/>
      <c r="BLA49" s="7"/>
      <c r="BLB49" s="21"/>
      <c r="BLC49" s="20"/>
      <c r="BLD49" s="20"/>
      <c r="BLE49" s="20"/>
      <c r="BLF49" s="21"/>
      <c r="BLG49" s="21"/>
      <c r="BLH49" s="21"/>
      <c r="BLI49" s="21"/>
      <c r="BLJ49" s="21"/>
      <c r="BLK49" s="20"/>
      <c r="BLL49" s="20"/>
      <c r="BLM49" s="20"/>
      <c r="BLN49" s="20"/>
      <c r="BLO49" s="21"/>
      <c r="BLP49" s="21"/>
      <c r="BLQ49" s="7"/>
      <c r="BLR49" s="7"/>
      <c r="BLS49" s="21"/>
      <c r="BLT49" s="20"/>
      <c r="BLU49" s="20"/>
      <c r="BLV49" s="20"/>
      <c r="BLW49" s="21"/>
      <c r="BLX49" s="21"/>
      <c r="BLY49" s="21"/>
      <c r="BLZ49" s="21"/>
      <c r="BMA49" s="21"/>
      <c r="BMB49" s="20"/>
      <c r="BMC49" s="20"/>
      <c r="BMD49" s="20"/>
      <c r="BME49" s="20"/>
      <c r="BMF49" s="21"/>
      <c r="BMG49" s="21"/>
      <c r="BMH49" s="7"/>
      <c r="BMI49" s="7"/>
      <c r="BMJ49" s="21"/>
      <c r="BMK49" s="20"/>
      <c r="BML49" s="20"/>
      <c r="BMM49" s="20"/>
      <c r="BMN49" s="21"/>
      <c r="BMO49" s="21"/>
      <c r="BMP49" s="21"/>
      <c r="BMQ49" s="21"/>
      <c r="BMR49" s="21"/>
      <c r="BMS49" s="20"/>
      <c r="BMT49" s="20"/>
      <c r="BMU49" s="20"/>
      <c r="BMV49" s="20"/>
      <c r="BMW49" s="21"/>
      <c r="BMX49" s="21"/>
      <c r="BMY49" s="7"/>
      <c r="BMZ49" s="7"/>
      <c r="BNA49" s="21"/>
      <c r="BNB49" s="20"/>
      <c r="BNC49" s="20"/>
      <c r="BND49" s="20"/>
      <c r="BNE49" s="21"/>
      <c r="BNF49" s="21"/>
      <c r="BNG49" s="21"/>
      <c r="BNH49" s="21"/>
      <c r="BNI49" s="21"/>
      <c r="BNJ49" s="20"/>
      <c r="BNK49" s="20"/>
      <c r="BNL49" s="20"/>
      <c r="BNM49" s="20"/>
      <c r="BNN49" s="21"/>
      <c r="BNO49" s="21"/>
      <c r="BNP49" s="7"/>
      <c r="BNQ49" s="7"/>
      <c r="BNR49" s="21"/>
      <c r="BNS49" s="20"/>
      <c r="BNT49" s="20"/>
      <c r="BNU49" s="20"/>
      <c r="BNV49" s="21"/>
      <c r="BNW49" s="21"/>
      <c r="BNX49" s="21"/>
      <c r="BNY49" s="21"/>
      <c r="BNZ49" s="21"/>
      <c r="BOA49" s="20"/>
      <c r="BOB49" s="20"/>
      <c r="BOC49" s="20"/>
      <c r="BOD49" s="20"/>
      <c r="BOE49" s="21"/>
      <c r="BOF49" s="21"/>
      <c r="BOG49" s="7"/>
      <c r="BOH49" s="7"/>
      <c r="BOI49" s="21"/>
      <c r="BOJ49" s="20"/>
      <c r="BOK49" s="20"/>
      <c r="BOL49" s="20"/>
      <c r="BOM49" s="21"/>
      <c r="BON49" s="21"/>
      <c r="BOO49" s="21"/>
      <c r="BOP49" s="21"/>
      <c r="BOQ49" s="21"/>
      <c r="BOR49" s="20"/>
      <c r="BOS49" s="20"/>
      <c r="BOT49" s="20"/>
      <c r="BOU49" s="20"/>
      <c r="BOV49" s="21"/>
      <c r="BOW49" s="21"/>
      <c r="BOX49" s="7"/>
      <c r="BOY49" s="7"/>
      <c r="BOZ49" s="21"/>
      <c r="BPA49" s="20"/>
      <c r="BPB49" s="20"/>
      <c r="BPC49" s="20"/>
      <c r="BPD49" s="21"/>
      <c r="BPE49" s="21"/>
      <c r="BPF49" s="21"/>
      <c r="BPG49" s="21"/>
      <c r="BPH49" s="21"/>
      <c r="BPI49" s="20"/>
      <c r="BPJ49" s="20"/>
      <c r="BPK49" s="20"/>
      <c r="BPL49" s="20"/>
      <c r="BPM49" s="21"/>
      <c r="BPN49" s="21"/>
      <c r="BPO49" s="7"/>
      <c r="BPP49" s="7"/>
      <c r="BPQ49" s="21"/>
      <c r="BPR49" s="20"/>
      <c r="BPS49" s="20"/>
      <c r="BPT49" s="20"/>
      <c r="BPU49" s="21"/>
      <c r="BPV49" s="21"/>
      <c r="BPW49" s="21"/>
      <c r="BPX49" s="21"/>
      <c r="BPY49" s="21"/>
      <c r="BPZ49" s="20"/>
      <c r="BQA49" s="20"/>
      <c r="BQB49" s="20"/>
      <c r="BQC49" s="20"/>
      <c r="BQD49" s="21"/>
      <c r="BQE49" s="21"/>
      <c r="BQF49" s="7"/>
      <c r="BQG49" s="7"/>
      <c r="BQH49" s="21"/>
      <c r="BQI49" s="20"/>
      <c r="BQJ49" s="20"/>
      <c r="BQK49" s="20"/>
      <c r="BQL49" s="21"/>
      <c r="BQM49" s="21"/>
      <c r="BQN49" s="21"/>
      <c r="BQO49" s="21"/>
      <c r="BQP49" s="21"/>
      <c r="BQQ49" s="20"/>
      <c r="BQR49" s="20"/>
      <c r="BQS49" s="20"/>
      <c r="BQT49" s="20"/>
      <c r="BQU49" s="21"/>
      <c r="BQV49" s="21"/>
      <c r="BQW49" s="7"/>
      <c r="BQX49" s="7"/>
      <c r="BQY49" s="21"/>
      <c r="BQZ49" s="20"/>
      <c r="BRA49" s="20"/>
      <c r="BRB49" s="20"/>
      <c r="BRC49" s="21"/>
      <c r="BRD49" s="21"/>
      <c r="BRE49" s="21"/>
      <c r="BRF49" s="21"/>
      <c r="BRG49" s="21"/>
      <c r="BRH49" s="20"/>
      <c r="BRI49" s="20"/>
      <c r="BRJ49" s="20"/>
      <c r="BRK49" s="20"/>
      <c r="BRL49" s="21"/>
      <c r="BRM49" s="21"/>
      <c r="BRN49" s="7"/>
      <c r="BRO49" s="7"/>
      <c r="BRP49" s="21"/>
      <c r="BRQ49" s="20"/>
      <c r="BRR49" s="20"/>
      <c r="BRS49" s="20"/>
      <c r="BRT49" s="21"/>
      <c r="BRU49" s="21"/>
      <c r="BRV49" s="21"/>
      <c r="BRW49" s="21"/>
      <c r="BRX49" s="21"/>
      <c r="BRY49" s="20"/>
      <c r="BRZ49" s="20"/>
      <c r="BSA49" s="20"/>
      <c r="BSB49" s="20"/>
      <c r="BSC49" s="21"/>
      <c r="BSD49" s="21"/>
      <c r="BSE49" s="7"/>
      <c r="BSF49" s="7"/>
      <c r="BSG49" s="21"/>
      <c r="BSH49" s="20"/>
      <c r="BSI49" s="20"/>
      <c r="BSJ49" s="20"/>
      <c r="BSK49" s="21"/>
      <c r="BSL49" s="21"/>
      <c r="BSM49" s="21"/>
      <c r="BSN49" s="21"/>
      <c r="BSO49" s="21"/>
      <c r="BSP49" s="20"/>
      <c r="BSQ49" s="20"/>
      <c r="BSR49" s="20"/>
      <c r="BSS49" s="20"/>
      <c r="BST49" s="21"/>
      <c r="BSU49" s="21"/>
      <c r="BSV49" s="7"/>
      <c r="BSW49" s="7"/>
      <c r="BSX49" s="21"/>
      <c r="BSY49" s="20"/>
      <c r="BSZ49" s="20"/>
      <c r="BTA49" s="20"/>
      <c r="BTB49" s="21"/>
      <c r="BTC49" s="21"/>
      <c r="BTD49" s="21"/>
      <c r="BTE49" s="21"/>
      <c r="BTF49" s="21"/>
      <c r="BTG49" s="20"/>
      <c r="BTH49" s="20"/>
      <c r="BTI49" s="20"/>
      <c r="BTJ49" s="20"/>
      <c r="BTK49" s="21"/>
      <c r="BTL49" s="21"/>
      <c r="BTM49" s="7"/>
      <c r="BTN49" s="7"/>
      <c r="BTO49" s="21"/>
      <c r="BTP49" s="20"/>
      <c r="BTQ49" s="20"/>
      <c r="BTR49" s="20"/>
      <c r="BTS49" s="21"/>
      <c r="BTT49" s="21"/>
      <c r="BTU49" s="21"/>
      <c r="BTV49" s="21"/>
      <c r="BTW49" s="21"/>
      <c r="BTX49" s="20"/>
      <c r="BTY49" s="20"/>
      <c r="BTZ49" s="20"/>
      <c r="BUA49" s="20"/>
      <c r="BUB49" s="21"/>
      <c r="BUC49" s="21"/>
      <c r="BUD49" s="7"/>
      <c r="BUE49" s="7"/>
      <c r="BUF49" s="21"/>
      <c r="BUG49" s="20"/>
      <c r="BUH49" s="20"/>
      <c r="BUI49" s="20"/>
      <c r="BUJ49" s="21"/>
      <c r="BUK49" s="21"/>
      <c r="BUL49" s="21"/>
      <c r="BUM49" s="21"/>
      <c r="BUN49" s="21"/>
      <c r="BUO49" s="20"/>
      <c r="BUP49" s="20"/>
      <c r="BUQ49" s="20"/>
      <c r="BUR49" s="20"/>
      <c r="BUS49" s="21"/>
      <c r="BUT49" s="21"/>
      <c r="BUU49" s="7"/>
      <c r="BUV49" s="7"/>
      <c r="BUW49" s="21"/>
      <c r="BUX49" s="20"/>
      <c r="BUY49" s="20"/>
      <c r="BUZ49" s="20"/>
      <c r="BVA49" s="21"/>
      <c r="BVB49" s="21"/>
      <c r="BVC49" s="21"/>
      <c r="BVD49" s="21"/>
      <c r="BVE49" s="21"/>
      <c r="BVF49" s="20"/>
      <c r="BVG49" s="20"/>
      <c r="BVH49" s="20"/>
      <c r="BVI49" s="20"/>
      <c r="BVJ49" s="21"/>
      <c r="BVK49" s="21"/>
      <c r="BVL49" s="7"/>
      <c r="BVM49" s="7"/>
      <c r="BVN49" s="21"/>
      <c r="BVO49" s="20"/>
      <c r="BVP49" s="20"/>
      <c r="BVQ49" s="20"/>
      <c r="BVR49" s="21"/>
      <c r="BVS49" s="21"/>
      <c r="BVT49" s="21"/>
      <c r="BVU49" s="21"/>
      <c r="BVV49" s="21"/>
      <c r="BVW49" s="20"/>
      <c r="BVX49" s="20"/>
      <c r="BVY49" s="20"/>
      <c r="BVZ49" s="20"/>
      <c r="BWA49" s="21"/>
      <c r="BWB49" s="21"/>
      <c r="BWC49" s="7"/>
      <c r="BWD49" s="7"/>
      <c r="BWE49" s="21"/>
      <c r="BWF49" s="20"/>
      <c r="BWG49" s="20"/>
      <c r="BWH49" s="20"/>
      <c r="BWI49" s="21"/>
      <c r="BWJ49" s="21"/>
      <c r="BWK49" s="21"/>
      <c r="BWL49" s="21"/>
      <c r="BWM49" s="21"/>
      <c r="BWN49" s="20"/>
      <c r="BWO49" s="20"/>
      <c r="BWP49" s="20"/>
      <c r="BWQ49" s="20"/>
      <c r="BWR49" s="21"/>
      <c r="BWS49" s="21"/>
      <c r="BWT49" s="7"/>
      <c r="BWU49" s="7"/>
      <c r="BWV49" s="21"/>
      <c r="BWW49" s="20"/>
      <c r="BWX49" s="20"/>
      <c r="BWY49" s="20"/>
      <c r="BWZ49" s="21"/>
      <c r="BXA49" s="21"/>
      <c r="BXB49" s="21"/>
      <c r="BXC49" s="21"/>
      <c r="BXD49" s="21"/>
      <c r="BXE49" s="20"/>
      <c r="BXF49" s="20"/>
      <c r="BXG49" s="20"/>
      <c r="BXH49" s="20"/>
      <c r="BXI49" s="21"/>
      <c r="BXJ49" s="21"/>
      <c r="BXK49" s="7"/>
      <c r="BXL49" s="7"/>
      <c r="BXM49" s="21"/>
      <c r="BXN49" s="20"/>
      <c r="BXO49" s="20"/>
      <c r="BXP49" s="20"/>
      <c r="BXQ49" s="21"/>
      <c r="BXR49" s="21"/>
      <c r="BXS49" s="21"/>
      <c r="BXT49" s="21"/>
      <c r="BXU49" s="21"/>
      <c r="BXV49" s="20"/>
      <c r="BXW49" s="20"/>
      <c r="BXX49" s="20"/>
      <c r="BXY49" s="20"/>
      <c r="BXZ49" s="21"/>
      <c r="BYA49" s="21"/>
      <c r="BYB49" s="7"/>
      <c r="BYC49" s="7"/>
      <c r="BYD49" s="21"/>
      <c r="BYE49" s="20"/>
      <c r="BYF49" s="20"/>
      <c r="BYG49" s="20"/>
      <c r="BYH49" s="21"/>
      <c r="BYI49" s="21"/>
      <c r="BYJ49" s="21"/>
      <c r="BYK49" s="21"/>
      <c r="BYL49" s="21"/>
      <c r="BYM49" s="20"/>
      <c r="BYN49" s="20"/>
      <c r="BYO49" s="20"/>
      <c r="BYP49" s="20"/>
      <c r="BYQ49" s="21"/>
      <c r="BYR49" s="21"/>
      <c r="BYS49" s="7"/>
      <c r="BYT49" s="7"/>
      <c r="BYU49" s="21"/>
      <c r="BYV49" s="20"/>
      <c r="BYW49" s="20"/>
      <c r="BYX49" s="20"/>
      <c r="BYY49" s="21"/>
      <c r="BYZ49" s="21"/>
      <c r="BZA49" s="21"/>
      <c r="BZB49" s="21"/>
      <c r="BZC49" s="21"/>
      <c r="BZD49" s="20"/>
      <c r="BZE49" s="20"/>
      <c r="BZF49" s="20"/>
      <c r="BZG49" s="20"/>
      <c r="BZH49" s="21"/>
      <c r="BZI49" s="21"/>
      <c r="BZJ49" s="7"/>
      <c r="BZK49" s="7"/>
      <c r="BZL49" s="21"/>
      <c r="BZM49" s="20"/>
      <c r="BZN49" s="20"/>
      <c r="BZO49" s="20"/>
      <c r="BZP49" s="21"/>
      <c r="BZQ49" s="21"/>
      <c r="BZR49" s="21"/>
      <c r="BZS49" s="21"/>
      <c r="BZT49" s="21"/>
      <c r="BZU49" s="20"/>
      <c r="BZV49" s="20"/>
      <c r="BZW49" s="20"/>
      <c r="BZX49" s="20"/>
      <c r="BZY49" s="21"/>
      <c r="BZZ49" s="21"/>
      <c r="CAA49" s="7"/>
      <c r="CAB49" s="7"/>
      <c r="CAC49" s="21"/>
      <c r="CAD49" s="20"/>
      <c r="CAE49" s="20"/>
      <c r="CAF49" s="20"/>
      <c r="CAG49" s="21"/>
      <c r="CAH49" s="21"/>
      <c r="CAI49" s="21"/>
      <c r="CAJ49" s="21"/>
      <c r="CAK49" s="21"/>
      <c r="CAL49" s="20"/>
      <c r="CAM49" s="20"/>
      <c r="CAN49" s="20"/>
      <c r="CAO49" s="20"/>
      <c r="CAP49" s="21"/>
      <c r="CAQ49" s="21"/>
      <c r="CAR49" s="7"/>
      <c r="CAS49" s="7"/>
      <c r="CAT49" s="21"/>
      <c r="CAU49" s="20"/>
      <c r="CAV49" s="20"/>
      <c r="CAW49" s="20"/>
      <c r="CAX49" s="21"/>
      <c r="CAY49" s="21"/>
      <c r="CAZ49" s="21"/>
      <c r="CBA49" s="21"/>
      <c r="CBB49" s="21"/>
      <c r="CBC49" s="20"/>
      <c r="CBD49" s="20"/>
      <c r="CBE49" s="20"/>
      <c r="CBF49" s="20"/>
      <c r="CBG49" s="21"/>
      <c r="CBH49" s="21"/>
      <c r="CBI49" s="7"/>
      <c r="CBJ49" s="7"/>
      <c r="CBK49" s="21"/>
      <c r="CBL49" s="20"/>
      <c r="CBM49" s="20"/>
      <c r="CBN49" s="20"/>
      <c r="CBO49" s="21"/>
      <c r="CBP49" s="21"/>
      <c r="CBQ49" s="21"/>
      <c r="CBR49" s="21"/>
      <c r="CBS49" s="21"/>
      <c r="CBT49" s="20"/>
      <c r="CBU49" s="20"/>
      <c r="CBV49" s="20"/>
      <c r="CBW49" s="20"/>
      <c r="CBX49" s="21"/>
      <c r="CBY49" s="21"/>
      <c r="CBZ49" s="7"/>
      <c r="CCA49" s="7"/>
      <c r="CCB49" s="21"/>
      <c r="CCC49" s="20"/>
      <c r="CCD49" s="20"/>
      <c r="CCE49" s="20"/>
      <c r="CCF49" s="21"/>
      <c r="CCG49" s="21"/>
      <c r="CCH49" s="21"/>
      <c r="CCI49" s="21"/>
      <c r="CCJ49" s="21"/>
      <c r="CCK49" s="20"/>
      <c r="CCL49" s="20"/>
      <c r="CCM49" s="20"/>
      <c r="CCN49" s="20"/>
      <c r="CCO49" s="21"/>
      <c r="CCP49" s="21"/>
      <c r="CCQ49" s="7"/>
      <c r="CCR49" s="7"/>
      <c r="CCS49" s="21"/>
      <c r="CCT49" s="20"/>
      <c r="CCU49" s="20"/>
      <c r="CCV49" s="20"/>
      <c r="CCW49" s="21"/>
      <c r="CCX49" s="21"/>
      <c r="CCY49" s="21"/>
      <c r="CCZ49" s="21"/>
      <c r="CDA49" s="21"/>
      <c r="CDB49" s="20"/>
      <c r="CDC49" s="20"/>
      <c r="CDD49" s="20"/>
      <c r="CDE49" s="20"/>
      <c r="CDF49" s="21"/>
      <c r="CDG49" s="21"/>
      <c r="CDH49" s="7"/>
      <c r="CDI49" s="7"/>
      <c r="CDJ49" s="21"/>
      <c r="CDK49" s="20"/>
      <c r="CDL49" s="20"/>
      <c r="CDM49" s="20"/>
      <c r="CDN49" s="21"/>
      <c r="CDO49" s="21"/>
      <c r="CDP49" s="21"/>
      <c r="CDQ49" s="21"/>
      <c r="CDR49" s="21"/>
      <c r="CDS49" s="20"/>
      <c r="CDT49" s="20"/>
      <c r="CDU49" s="20"/>
      <c r="CDV49" s="20"/>
      <c r="CDW49" s="21"/>
      <c r="CDX49" s="21"/>
      <c r="CDY49" s="7"/>
      <c r="CDZ49" s="7"/>
      <c r="CEA49" s="21"/>
      <c r="CEB49" s="20"/>
      <c r="CEC49" s="20"/>
      <c r="CED49" s="20"/>
      <c r="CEE49" s="21"/>
      <c r="CEF49" s="21"/>
      <c r="CEG49" s="21"/>
      <c r="CEH49" s="21"/>
      <c r="CEI49" s="21"/>
      <c r="CEJ49" s="20"/>
      <c r="CEK49" s="20"/>
      <c r="CEL49" s="20"/>
      <c r="CEM49" s="20"/>
      <c r="CEN49" s="21"/>
      <c r="CEO49" s="21"/>
      <c r="CEP49" s="7"/>
      <c r="CEQ49" s="7"/>
      <c r="CER49" s="21"/>
      <c r="CES49" s="20"/>
      <c r="CET49" s="20"/>
      <c r="CEU49" s="20"/>
      <c r="CEV49" s="21"/>
      <c r="CEW49" s="21"/>
      <c r="CEX49" s="21"/>
      <c r="CEY49" s="21"/>
      <c r="CEZ49" s="21"/>
      <c r="CFA49" s="20"/>
      <c r="CFB49" s="20"/>
      <c r="CFC49" s="20"/>
      <c r="CFD49" s="20"/>
      <c r="CFE49" s="21"/>
      <c r="CFF49" s="21"/>
      <c r="CFG49" s="7"/>
      <c r="CFH49" s="7"/>
      <c r="CFI49" s="21"/>
      <c r="CFJ49" s="20"/>
      <c r="CFK49" s="20"/>
      <c r="CFL49" s="20"/>
      <c r="CFM49" s="21"/>
      <c r="CFN49" s="21"/>
      <c r="CFO49" s="21"/>
      <c r="CFP49" s="21"/>
      <c r="CFQ49" s="21"/>
      <c r="CFR49" s="20"/>
      <c r="CFS49" s="20"/>
      <c r="CFT49" s="20"/>
      <c r="CFU49" s="20"/>
      <c r="CFV49" s="21"/>
      <c r="CFW49" s="21"/>
      <c r="CFX49" s="7"/>
      <c r="CFY49" s="7"/>
      <c r="CFZ49" s="21"/>
      <c r="CGA49" s="20"/>
      <c r="CGB49" s="20"/>
      <c r="CGC49" s="20"/>
      <c r="CGD49" s="21"/>
      <c r="CGE49" s="21"/>
      <c r="CGF49" s="21"/>
      <c r="CGG49" s="21"/>
      <c r="CGH49" s="21"/>
      <c r="CGI49" s="20"/>
      <c r="CGJ49" s="20"/>
      <c r="CGK49" s="20"/>
      <c r="CGL49" s="20"/>
      <c r="CGM49" s="21"/>
      <c r="CGN49" s="21"/>
      <c r="CGO49" s="7"/>
      <c r="CGP49" s="7"/>
      <c r="CGQ49" s="21"/>
      <c r="CGR49" s="20"/>
      <c r="CGS49" s="20"/>
      <c r="CGT49" s="20"/>
      <c r="CGU49" s="21"/>
      <c r="CGV49" s="21"/>
      <c r="CGW49" s="21"/>
      <c r="CGX49" s="21"/>
      <c r="CGY49" s="21"/>
      <c r="CGZ49" s="20"/>
      <c r="CHA49" s="20"/>
      <c r="CHB49" s="20"/>
      <c r="CHC49" s="20"/>
      <c r="CHD49" s="21"/>
      <c r="CHE49" s="21"/>
      <c r="CHF49" s="7"/>
      <c r="CHG49" s="7"/>
      <c r="CHH49" s="21"/>
      <c r="CHI49" s="20"/>
      <c r="CHJ49" s="20"/>
      <c r="CHK49" s="20"/>
      <c r="CHL49" s="21"/>
      <c r="CHM49" s="21"/>
      <c r="CHN49" s="21"/>
      <c r="CHO49" s="21"/>
      <c r="CHP49" s="21"/>
      <c r="CHQ49" s="20"/>
      <c r="CHR49" s="20"/>
      <c r="CHS49" s="20"/>
      <c r="CHT49" s="20"/>
      <c r="CHU49" s="21"/>
      <c r="CHV49" s="21"/>
      <c r="CHW49" s="7"/>
      <c r="CHX49" s="7"/>
      <c r="CHY49" s="21"/>
      <c r="CHZ49" s="20"/>
      <c r="CIA49" s="20"/>
      <c r="CIB49" s="20"/>
      <c r="CIC49" s="21"/>
      <c r="CID49" s="21"/>
      <c r="CIE49" s="21"/>
      <c r="CIF49" s="21"/>
      <c r="CIG49" s="21"/>
      <c r="CIH49" s="20"/>
      <c r="CII49" s="20"/>
      <c r="CIJ49" s="20"/>
      <c r="CIK49" s="20"/>
      <c r="CIL49" s="21"/>
      <c r="CIM49" s="21"/>
      <c r="CIN49" s="7"/>
      <c r="CIO49" s="7"/>
      <c r="CIP49" s="21"/>
      <c r="CIQ49" s="20"/>
      <c r="CIR49" s="20"/>
      <c r="CIS49" s="20"/>
      <c r="CIT49" s="21"/>
      <c r="CIU49" s="21"/>
      <c r="CIV49" s="21"/>
      <c r="CIW49" s="21"/>
      <c r="CIX49" s="21"/>
      <c r="CIY49" s="20"/>
      <c r="CIZ49" s="20"/>
      <c r="CJA49" s="20"/>
      <c r="CJB49" s="20"/>
      <c r="CJC49" s="21"/>
      <c r="CJD49" s="21"/>
      <c r="CJE49" s="7"/>
      <c r="CJF49" s="7"/>
      <c r="CJG49" s="21"/>
      <c r="CJH49" s="20"/>
      <c r="CJI49" s="20"/>
      <c r="CJJ49" s="20"/>
      <c r="CJK49" s="21"/>
      <c r="CJL49" s="21"/>
      <c r="CJM49" s="21"/>
      <c r="CJN49" s="21"/>
      <c r="CJO49" s="21"/>
      <c r="CJP49" s="20"/>
      <c r="CJQ49" s="20"/>
      <c r="CJR49" s="20"/>
      <c r="CJS49" s="20"/>
      <c r="CJT49" s="21"/>
      <c r="CJU49" s="21"/>
      <c r="CJV49" s="7"/>
      <c r="CJW49" s="7"/>
      <c r="CJX49" s="21"/>
      <c r="CJY49" s="20"/>
      <c r="CJZ49" s="20"/>
      <c r="CKA49" s="20"/>
      <c r="CKB49" s="21"/>
      <c r="CKC49" s="21"/>
      <c r="CKD49" s="21"/>
      <c r="CKE49" s="21"/>
      <c r="CKF49" s="21"/>
      <c r="CKG49" s="20"/>
      <c r="CKH49" s="20"/>
      <c r="CKI49" s="20"/>
      <c r="CKJ49" s="20"/>
      <c r="CKK49" s="21"/>
      <c r="CKL49" s="21"/>
      <c r="CKM49" s="7"/>
      <c r="CKN49" s="7"/>
      <c r="CKO49" s="21"/>
      <c r="CKP49" s="20"/>
      <c r="CKQ49" s="20"/>
      <c r="CKR49" s="20"/>
      <c r="CKS49" s="21"/>
      <c r="CKT49" s="21"/>
      <c r="CKU49" s="21"/>
      <c r="CKV49" s="21"/>
      <c r="CKW49" s="21"/>
      <c r="CKX49" s="20"/>
      <c r="CKY49" s="20"/>
      <c r="CKZ49" s="20"/>
      <c r="CLA49" s="20"/>
      <c r="CLB49" s="21"/>
      <c r="CLC49" s="21"/>
      <c r="CLD49" s="7"/>
      <c r="CLE49" s="7"/>
      <c r="CLF49" s="21"/>
      <c r="CLG49" s="20"/>
      <c r="CLH49" s="20"/>
      <c r="CLI49" s="20"/>
      <c r="CLJ49" s="21"/>
      <c r="CLK49" s="21"/>
      <c r="CLL49" s="21"/>
      <c r="CLM49" s="21"/>
      <c r="CLN49" s="21"/>
      <c r="CLO49" s="20"/>
      <c r="CLP49" s="20"/>
      <c r="CLQ49" s="20"/>
      <c r="CLR49" s="20"/>
      <c r="CLS49" s="21"/>
      <c r="CLT49" s="21"/>
      <c r="CLU49" s="7"/>
      <c r="CLV49" s="7"/>
      <c r="CLW49" s="21"/>
      <c r="CLX49" s="20"/>
      <c r="CLY49" s="20"/>
      <c r="CLZ49" s="20"/>
      <c r="CMA49" s="21"/>
      <c r="CMB49" s="21"/>
      <c r="CMC49" s="21"/>
      <c r="CMD49" s="21"/>
      <c r="CME49" s="21"/>
      <c r="CMF49" s="20"/>
      <c r="CMG49" s="20"/>
      <c r="CMH49" s="20"/>
      <c r="CMI49" s="20"/>
      <c r="CMJ49" s="21"/>
      <c r="CMK49" s="21"/>
      <c r="CML49" s="7"/>
      <c r="CMM49" s="7"/>
      <c r="CMN49" s="21"/>
      <c r="CMO49" s="20"/>
      <c r="CMP49" s="20"/>
      <c r="CMQ49" s="20"/>
      <c r="CMR49" s="21"/>
      <c r="CMS49" s="21"/>
      <c r="CMT49" s="21"/>
      <c r="CMU49" s="21"/>
      <c r="CMV49" s="21"/>
      <c r="CMW49" s="20"/>
      <c r="CMX49" s="20"/>
      <c r="CMY49" s="20"/>
      <c r="CMZ49" s="20"/>
      <c r="CNA49" s="21"/>
      <c r="CNB49" s="21"/>
      <c r="CNC49" s="7"/>
      <c r="CND49" s="7"/>
      <c r="CNE49" s="21"/>
      <c r="CNF49" s="20"/>
      <c r="CNG49" s="20"/>
      <c r="CNH49" s="20"/>
      <c r="CNI49" s="21"/>
      <c r="CNJ49" s="21"/>
      <c r="CNK49" s="21"/>
      <c r="CNL49" s="21"/>
      <c r="CNM49" s="21"/>
      <c r="CNN49" s="20"/>
      <c r="CNO49" s="20"/>
      <c r="CNP49" s="20"/>
      <c r="CNQ49" s="20"/>
      <c r="CNR49" s="21"/>
      <c r="CNS49" s="21"/>
      <c r="CNT49" s="7"/>
      <c r="CNU49" s="7"/>
      <c r="CNV49" s="21"/>
      <c r="CNW49" s="20"/>
      <c r="CNX49" s="20"/>
      <c r="CNY49" s="20"/>
      <c r="CNZ49" s="21"/>
      <c r="COA49" s="21"/>
      <c r="COB49" s="21"/>
      <c r="COC49" s="21"/>
      <c r="COD49" s="21"/>
      <c r="COE49" s="20"/>
      <c r="COF49" s="20"/>
      <c r="COG49" s="20"/>
      <c r="COH49" s="20"/>
      <c r="COI49" s="21"/>
      <c r="COJ49" s="21"/>
      <c r="COK49" s="7"/>
      <c r="COL49" s="7"/>
      <c r="COM49" s="21"/>
      <c r="CON49" s="20"/>
      <c r="COO49" s="20"/>
      <c r="COP49" s="20"/>
      <c r="COQ49" s="21"/>
      <c r="COR49" s="21"/>
      <c r="COS49" s="21"/>
      <c r="COT49" s="21"/>
      <c r="COU49" s="21"/>
      <c r="COV49" s="20"/>
      <c r="COW49" s="20"/>
      <c r="COX49" s="20"/>
      <c r="COY49" s="20"/>
      <c r="COZ49" s="21"/>
      <c r="CPA49" s="21"/>
      <c r="CPB49" s="7"/>
      <c r="CPC49" s="7"/>
      <c r="CPD49" s="21"/>
      <c r="CPE49" s="20"/>
      <c r="CPF49" s="20"/>
      <c r="CPG49" s="20"/>
      <c r="CPH49" s="21"/>
      <c r="CPI49" s="21"/>
      <c r="CPJ49" s="21"/>
      <c r="CPK49" s="21"/>
      <c r="CPL49" s="21"/>
      <c r="CPM49" s="20"/>
      <c r="CPN49" s="20"/>
      <c r="CPO49" s="20"/>
      <c r="CPP49" s="20"/>
      <c r="CPQ49" s="21"/>
      <c r="CPR49" s="21"/>
      <c r="CPS49" s="7"/>
      <c r="CPT49" s="7"/>
      <c r="CPU49" s="21"/>
      <c r="CPV49" s="20"/>
      <c r="CPW49" s="20"/>
      <c r="CPX49" s="20"/>
      <c r="CPY49" s="21"/>
      <c r="CPZ49" s="21"/>
      <c r="CQA49" s="21"/>
      <c r="CQB49" s="21"/>
      <c r="CQC49" s="21"/>
      <c r="CQD49" s="20"/>
      <c r="CQE49" s="20"/>
      <c r="CQF49" s="20"/>
      <c r="CQG49" s="20"/>
      <c r="CQH49" s="21"/>
      <c r="CQI49" s="21"/>
      <c r="CQJ49" s="7"/>
      <c r="CQK49" s="7"/>
      <c r="CQL49" s="21"/>
      <c r="CQM49" s="20"/>
      <c r="CQN49" s="20"/>
      <c r="CQO49" s="20"/>
      <c r="CQP49" s="21"/>
      <c r="CQQ49" s="21"/>
      <c r="CQR49" s="21"/>
      <c r="CQS49" s="21"/>
      <c r="CQT49" s="21"/>
      <c r="CQU49" s="20"/>
      <c r="CQV49" s="20"/>
      <c r="CQW49" s="20"/>
      <c r="CQX49" s="20"/>
      <c r="CQY49" s="21"/>
      <c r="CQZ49" s="21"/>
      <c r="CRA49" s="7"/>
      <c r="CRB49" s="7"/>
      <c r="CRC49" s="21"/>
      <c r="CRD49" s="20"/>
      <c r="CRE49" s="20"/>
      <c r="CRF49" s="20"/>
      <c r="CRG49" s="21"/>
      <c r="CRH49" s="21"/>
      <c r="CRI49" s="21"/>
      <c r="CRJ49" s="21"/>
      <c r="CRK49" s="21"/>
      <c r="CRL49" s="20"/>
      <c r="CRM49" s="20"/>
      <c r="CRN49" s="20"/>
      <c r="CRO49" s="20"/>
      <c r="CRP49" s="21"/>
      <c r="CRQ49" s="21"/>
      <c r="CRR49" s="7"/>
      <c r="CRS49" s="7"/>
      <c r="CRT49" s="21"/>
      <c r="CRU49" s="20"/>
      <c r="CRV49" s="20"/>
      <c r="CRW49" s="20"/>
      <c r="CRX49" s="21"/>
      <c r="CRY49" s="21"/>
      <c r="CRZ49" s="21"/>
      <c r="CSA49" s="21"/>
      <c r="CSB49" s="21"/>
      <c r="CSC49" s="20"/>
      <c r="CSD49" s="20"/>
      <c r="CSE49" s="20"/>
      <c r="CSF49" s="20"/>
      <c r="CSG49" s="21"/>
      <c r="CSH49" s="21"/>
      <c r="CSI49" s="7"/>
      <c r="CSJ49" s="7"/>
      <c r="CSK49" s="21"/>
      <c r="CSL49" s="20"/>
      <c r="CSM49" s="20"/>
      <c r="CSN49" s="20"/>
      <c r="CSO49" s="21"/>
      <c r="CSP49" s="21"/>
      <c r="CSQ49" s="21"/>
      <c r="CSR49" s="21"/>
      <c r="CSS49" s="21"/>
      <c r="CST49" s="20"/>
      <c r="CSU49" s="20"/>
      <c r="CSV49" s="20"/>
      <c r="CSW49" s="20"/>
      <c r="CSX49" s="21"/>
      <c r="CSY49" s="21"/>
      <c r="CSZ49" s="7"/>
      <c r="CTA49" s="7"/>
      <c r="CTB49" s="21"/>
      <c r="CTC49" s="20"/>
      <c r="CTD49" s="20"/>
      <c r="CTE49" s="20"/>
      <c r="CTF49" s="21"/>
      <c r="CTG49" s="21"/>
      <c r="CTH49" s="21"/>
      <c r="CTI49" s="21"/>
      <c r="CTJ49" s="21"/>
      <c r="CTK49" s="20"/>
      <c r="CTL49" s="20"/>
      <c r="CTM49" s="20"/>
      <c r="CTN49" s="20"/>
      <c r="CTO49" s="21"/>
      <c r="CTP49" s="21"/>
      <c r="CTQ49" s="7"/>
      <c r="CTR49" s="7"/>
      <c r="CTS49" s="21"/>
      <c r="CTT49" s="20"/>
      <c r="CTU49" s="20"/>
      <c r="CTV49" s="20"/>
      <c r="CTW49" s="21"/>
      <c r="CTX49" s="21"/>
      <c r="CTY49" s="21"/>
      <c r="CTZ49" s="21"/>
      <c r="CUA49" s="21"/>
      <c r="CUB49" s="20"/>
      <c r="CUC49" s="20"/>
      <c r="CUD49" s="20"/>
      <c r="CUE49" s="20"/>
      <c r="CUF49" s="21"/>
      <c r="CUG49" s="21"/>
      <c r="CUH49" s="7"/>
      <c r="CUI49" s="7"/>
      <c r="CUJ49" s="21"/>
      <c r="CUK49" s="20"/>
      <c r="CUL49" s="20"/>
      <c r="CUM49" s="20"/>
      <c r="CUN49" s="21"/>
      <c r="CUO49" s="21"/>
      <c r="CUP49" s="21"/>
      <c r="CUQ49" s="21"/>
      <c r="CUR49" s="21"/>
      <c r="CUS49" s="20"/>
      <c r="CUT49" s="20"/>
      <c r="CUU49" s="20"/>
      <c r="CUV49" s="20"/>
      <c r="CUW49" s="21"/>
      <c r="CUX49" s="21"/>
      <c r="CUY49" s="7"/>
      <c r="CUZ49" s="7"/>
      <c r="CVA49" s="21"/>
      <c r="CVB49" s="20"/>
      <c r="CVC49" s="20"/>
      <c r="CVD49" s="20"/>
      <c r="CVE49" s="21"/>
      <c r="CVF49" s="21"/>
      <c r="CVG49" s="21"/>
      <c r="CVH49" s="21"/>
      <c r="CVI49" s="21"/>
      <c r="CVJ49" s="20"/>
      <c r="CVK49" s="20"/>
      <c r="CVL49" s="20"/>
      <c r="CVM49" s="20"/>
      <c r="CVN49" s="21"/>
      <c r="CVO49" s="21"/>
      <c r="CVP49" s="7"/>
      <c r="CVQ49" s="7"/>
      <c r="CVR49" s="21"/>
      <c r="CVS49" s="20"/>
      <c r="CVT49" s="20"/>
      <c r="CVU49" s="20"/>
      <c r="CVV49" s="21"/>
      <c r="CVW49" s="21"/>
      <c r="CVX49" s="21"/>
      <c r="CVY49" s="21"/>
      <c r="CVZ49" s="21"/>
      <c r="CWA49" s="20"/>
      <c r="CWB49" s="20"/>
      <c r="CWC49" s="20"/>
      <c r="CWD49" s="20"/>
      <c r="CWE49" s="21"/>
      <c r="CWF49" s="21"/>
      <c r="CWG49" s="7"/>
      <c r="CWH49" s="7"/>
      <c r="CWI49" s="21"/>
      <c r="CWJ49" s="20"/>
      <c r="CWK49" s="20"/>
      <c r="CWL49" s="20"/>
      <c r="CWM49" s="21"/>
      <c r="CWN49" s="21"/>
      <c r="CWO49" s="21"/>
      <c r="CWP49" s="21"/>
      <c r="CWQ49" s="21"/>
      <c r="CWR49" s="20"/>
      <c r="CWS49" s="20"/>
      <c r="CWT49" s="20"/>
      <c r="CWU49" s="20"/>
      <c r="CWV49" s="21"/>
      <c r="CWW49" s="21"/>
      <c r="CWX49" s="7"/>
      <c r="CWY49" s="7"/>
      <c r="CWZ49" s="21"/>
      <c r="CXA49" s="20"/>
      <c r="CXB49" s="20"/>
      <c r="CXC49" s="20"/>
      <c r="CXD49" s="21"/>
      <c r="CXE49" s="21"/>
      <c r="CXF49" s="21"/>
      <c r="CXG49" s="21"/>
      <c r="CXH49" s="21"/>
      <c r="CXI49" s="20"/>
      <c r="CXJ49" s="20"/>
      <c r="CXK49" s="20"/>
      <c r="CXL49" s="20"/>
      <c r="CXM49" s="21"/>
      <c r="CXN49" s="21"/>
      <c r="CXO49" s="7"/>
      <c r="CXP49" s="7"/>
      <c r="CXQ49" s="21"/>
      <c r="CXR49" s="20"/>
      <c r="CXS49" s="20"/>
      <c r="CXT49" s="20"/>
      <c r="CXU49" s="21"/>
      <c r="CXV49" s="21"/>
      <c r="CXW49" s="21"/>
      <c r="CXX49" s="21"/>
      <c r="CXY49" s="21"/>
      <c r="CXZ49" s="20"/>
      <c r="CYA49" s="20"/>
      <c r="CYB49" s="20"/>
      <c r="CYC49" s="20"/>
      <c r="CYD49" s="21"/>
      <c r="CYE49" s="21"/>
      <c r="CYF49" s="7"/>
      <c r="CYG49" s="7"/>
      <c r="CYH49" s="21"/>
      <c r="CYI49" s="20"/>
      <c r="CYJ49" s="20"/>
      <c r="CYK49" s="20"/>
      <c r="CYL49" s="21"/>
      <c r="CYM49" s="21"/>
      <c r="CYN49" s="21"/>
      <c r="CYO49" s="21"/>
      <c r="CYP49" s="21"/>
      <c r="CYQ49" s="20"/>
      <c r="CYR49" s="20"/>
      <c r="CYS49" s="20"/>
      <c r="CYT49" s="20"/>
      <c r="CYU49" s="21"/>
      <c r="CYV49" s="21"/>
      <c r="CYW49" s="7"/>
      <c r="CYX49" s="7"/>
      <c r="CYY49" s="21"/>
      <c r="CYZ49" s="20"/>
      <c r="CZA49" s="20"/>
      <c r="CZB49" s="20"/>
      <c r="CZC49" s="21"/>
      <c r="CZD49" s="21"/>
      <c r="CZE49" s="21"/>
      <c r="CZF49" s="21"/>
      <c r="CZG49" s="21"/>
      <c r="CZH49" s="20"/>
      <c r="CZI49" s="20"/>
      <c r="CZJ49" s="20"/>
      <c r="CZK49" s="20"/>
      <c r="CZL49" s="21"/>
      <c r="CZM49" s="21"/>
      <c r="CZN49" s="7"/>
      <c r="CZO49" s="7"/>
      <c r="CZP49" s="21"/>
      <c r="CZQ49" s="20"/>
      <c r="CZR49" s="20"/>
      <c r="CZS49" s="20"/>
      <c r="CZT49" s="21"/>
      <c r="CZU49" s="21"/>
      <c r="CZV49" s="21"/>
      <c r="CZW49" s="21"/>
      <c r="CZX49" s="21"/>
      <c r="CZY49" s="20"/>
      <c r="CZZ49" s="20"/>
      <c r="DAA49" s="20"/>
      <c r="DAB49" s="20"/>
      <c r="DAC49" s="21"/>
      <c r="DAD49" s="21"/>
      <c r="DAE49" s="7"/>
      <c r="DAF49" s="7"/>
      <c r="DAG49" s="21"/>
      <c r="DAH49" s="20"/>
      <c r="DAI49" s="20"/>
      <c r="DAJ49" s="20"/>
      <c r="DAK49" s="21"/>
      <c r="DAL49" s="21"/>
      <c r="DAM49" s="21"/>
      <c r="DAN49" s="21"/>
      <c r="DAO49" s="21"/>
      <c r="DAP49" s="20"/>
      <c r="DAQ49" s="20"/>
      <c r="DAR49" s="20"/>
      <c r="DAS49" s="20"/>
      <c r="DAT49" s="21"/>
      <c r="DAU49" s="21"/>
      <c r="DAV49" s="7"/>
      <c r="DAW49" s="7"/>
      <c r="DAX49" s="21"/>
      <c r="DAY49" s="20"/>
      <c r="DAZ49" s="20"/>
      <c r="DBA49" s="20"/>
      <c r="DBB49" s="21"/>
      <c r="DBC49" s="21"/>
      <c r="DBD49" s="21"/>
      <c r="DBE49" s="21"/>
      <c r="DBF49" s="21"/>
      <c r="DBG49" s="20"/>
      <c r="DBH49" s="20"/>
      <c r="DBI49" s="20"/>
      <c r="DBJ49" s="20"/>
      <c r="DBK49" s="21"/>
      <c r="DBL49" s="21"/>
      <c r="DBM49" s="7"/>
      <c r="DBN49" s="7"/>
      <c r="DBO49" s="21"/>
      <c r="DBP49" s="20"/>
      <c r="DBQ49" s="20"/>
      <c r="DBR49" s="20"/>
      <c r="DBS49" s="21"/>
      <c r="DBT49" s="21"/>
      <c r="DBU49" s="21"/>
      <c r="DBV49" s="21"/>
      <c r="DBW49" s="21"/>
      <c r="DBX49" s="20"/>
      <c r="DBY49" s="20"/>
      <c r="DBZ49" s="20"/>
      <c r="DCA49" s="20"/>
      <c r="DCB49" s="21"/>
      <c r="DCC49" s="21"/>
      <c r="DCD49" s="7"/>
      <c r="DCE49" s="7"/>
      <c r="DCF49" s="21"/>
      <c r="DCG49" s="20"/>
      <c r="DCH49" s="20"/>
      <c r="DCI49" s="20"/>
      <c r="DCJ49" s="21"/>
      <c r="DCK49" s="21"/>
      <c r="DCL49" s="21"/>
      <c r="DCM49" s="21"/>
      <c r="DCN49" s="21"/>
      <c r="DCO49" s="20"/>
      <c r="DCP49" s="20"/>
      <c r="DCQ49" s="20"/>
      <c r="DCR49" s="20"/>
      <c r="DCS49" s="21"/>
      <c r="DCT49" s="21"/>
      <c r="DCU49" s="7"/>
      <c r="DCV49" s="7"/>
      <c r="DCW49" s="21"/>
      <c r="DCX49" s="20"/>
      <c r="DCY49" s="20"/>
      <c r="DCZ49" s="20"/>
      <c r="DDA49" s="21"/>
      <c r="DDB49" s="21"/>
      <c r="DDC49" s="21"/>
      <c r="DDD49" s="21"/>
      <c r="DDE49" s="21"/>
      <c r="DDF49" s="20"/>
      <c r="DDG49" s="20"/>
      <c r="DDH49" s="20"/>
      <c r="DDI49" s="20"/>
      <c r="DDJ49" s="21"/>
      <c r="DDK49" s="21"/>
      <c r="DDL49" s="7"/>
      <c r="DDM49" s="7"/>
      <c r="DDN49" s="21"/>
      <c r="DDO49" s="20"/>
      <c r="DDP49" s="20"/>
      <c r="DDQ49" s="20"/>
      <c r="DDR49" s="21"/>
      <c r="DDS49" s="21"/>
      <c r="DDT49" s="21"/>
      <c r="DDU49" s="21"/>
      <c r="DDV49" s="21"/>
      <c r="DDW49" s="20"/>
      <c r="DDX49" s="20"/>
      <c r="DDY49" s="20"/>
      <c r="DDZ49" s="20"/>
      <c r="DEA49" s="21"/>
      <c r="DEB49" s="21"/>
      <c r="DEC49" s="7"/>
      <c r="DED49" s="7"/>
      <c r="DEE49" s="21"/>
      <c r="DEF49" s="20"/>
      <c r="DEG49" s="20"/>
      <c r="DEH49" s="20"/>
      <c r="DEI49" s="21"/>
      <c r="DEJ49" s="21"/>
      <c r="DEK49" s="21"/>
      <c r="DEL49" s="21"/>
      <c r="DEM49" s="21"/>
      <c r="DEN49" s="20"/>
      <c r="DEO49" s="20"/>
      <c r="DEP49" s="20"/>
      <c r="DEQ49" s="20"/>
      <c r="DER49" s="21"/>
      <c r="DES49" s="21"/>
      <c r="DET49" s="7"/>
      <c r="DEU49" s="7"/>
      <c r="DEV49" s="21"/>
      <c r="DEW49" s="20"/>
      <c r="DEX49" s="20"/>
      <c r="DEY49" s="20"/>
      <c r="DEZ49" s="21"/>
      <c r="DFA49" s="21"/>
      <c r="DFB49" s="21"/>
      <c r="DFC49" s="21"/>
      <c r="DFD49" s="21"/>
      <c r="DFE49" s="20"/>
      <c r="DFF49" s="20"/>
      <c r="DFG49" s="20"/>
      <c r="DFH49" s="20"/>
      <c r="DFI49" s="21"/>
      <c r="DFJ49" s="21"/>
      <c r="DFK49" s="7"/>
      <c r="DFL49" s="7"/>
      <c r="DFM49" s="21"/>
      <c r="DFN49" s="20"/>
      <c r="DFO49" s="20"/>
      <c r="DFP49" s="20"/>
      <c r="DFQ49" s="21"/>
      <c r="DFR49" s="21"/>
      <c r="DFS49" s="21"/>
      <c r="DFT49" s="21"/>
      <c r="DFU49" s="21"/>
      <c r="DFV49" s="20"/>
      <c r="DFW49" s="20"/>
      <c r="DFX49" s="20"/>
      <c r="DFY49" s="20"/>
      <c r="DFZ49" s="21"/>
      <c r="DGA49" s="21"/>
      <c r="DGB49" s="7"/>
      <c r="DGC49" s="7"/>
      <c r="DGD49" s="21"/>
      <c r="DGE49" s="20"/>
      <c r="DGF49" s="20"/>
      <c r="DGG49" s="20"/>
      <c r="DGH49" s="21"/>
      <c r="DGI49" s="21"/>
      <c r="DGJ49" s="21"/>
      <c r="DGK49" s="21"/>
      <c r="DGL49" s="21"/>
      <c r="DGM49" s="20"/>
      <c r="DGN49" s="20"/>
      <c r="DGO49" s="20"/>
      <c r="DGP49" s="20"/>
      <c r="DGQ49" s="21"/>
      <c r="DGR49" s="21"/>
      <c r="DGS49" s="7"/>
      <c r="DGT49" s="7"/>
      <c r="DGU49" s="21"/>
      <c r="DGV49" s="20"/>
      <c r="DGW49" s="20"/>
      <c r="DGX49" s="20"/>
      <c r="DGY49" s="21"/>
      <c r="DGZ49" s="21"/>
      <c r="DHA49" s="21"/>
      <c r="DHB49" s="21"/>
      <c r="DHC49" s="21"/>
      <c r="DHD49" s="20"/>
      <c r="DHE49" s="20"/>
      <c r="DHF49" s="20"/>
      <c r="DHG49" s="20"/>
      <c r="DHH49" s="21"/>
      <c r="DHI49" s="21"/>
      <c r="DHJ49" s="7"/>
      <c r="DHK49" s="7"/>
      <c r="DHL49" s="21"/>
      <c r="DHM49" s="20"/>
      <c r="DHN49" s="20"/>
      <c r="DHO49" s="20"/>
      <c r="DHP49" s="21"/>
      <c r="DHQ49" s="21"/>
      <c r="DHR49" s="21"/>
      <c r="DHS49" s="21"/>
      <c r="DHT49" s="21"/>
      <c r="DHU49" s="20"/>
      <c r="DHV49" s="20"/>
      <c r="DHW49" s="20"/>
      <c r="DHX49" s="20"/>
      <c r="DHY49" s="21"/>
      <c r="DHZ49" s="21"/>
      <c r="DIA49" s="7"/>
      <c r="DIB49" s="7"/>
      <c r="DIC49" s="21"/>
      <c r="DID49" s="20"/>
      <c r="DIE49" s="20"/>
      <c r="DIF49" s="20"/>
      <c r="DIG49" s="21"/>
      <c r="DIH49" s="21"/>
      <c r="DII49" s="21"/>
      <c r="DIJ49" s="21"/>
      <c r="DIK49" s="21"/>
      <c r="DIL49" s="20"/>
      <c r="DIM49" s="20"/>
      <c r="DIN49" s="20"/>
      <c r="DIO49" s="20"/>
      <c r="DIP49" s="21"/>
      <c r="DIQ49" s="21"/>
      <c r="DIR49" s="7"/>
      <c r="DIS49" s="7"/>
      <c r="DIT49" s="21"/>
      <c r="DIU49" s="20"/>
      <c r="DIV49" s="20"/>
      <c r="DIW49" s="20"/>
      <c r="DIX49" s="21"/>
      <c r="DIY49" s="21"/>
      <c r="DIZ49" s="21"/>
      <c r="DJA49" s="21"/>
      <c r="DJB49" s="21"/>
      <c r="DJC49" s="20"/>
      <c r="DJD49" s="20"/>
      <c r="DJE49" s="20"/>
      <c r="DJF49" s="20"/>
      <c r="DJG49" s="21"/>
      <c r="DJH49" s="21"/>
      <c r="DJI49" s="7"/>
      <c r="DJJ49" s="7"/>
      <c r="DJK49" s="21"/>
      <c r="DJL49" s="20"/>
      <c r="DJM49" s="20"/>
      <c r="DJN49" s="20"/>
      <c r="DJO49" s="21"/>
      <c r="DJP49" s="21"/>
      <c r="DJQ49" s="21"/>
      <c r="DJR49" s="21"/>
      <c r="DJS49" s="21"/>
      <c r="DJT49" s="20"/>
      <c r="DJU49" s="20"/>
      <c r="DJV49" s="20"/>
      <c r="DJW49" s="20"/>
      <c r="DJX49" s="21"/>
      <c r="DJY49" s="21"/>
      <c r="DJZ49" s="7"/>
      <c r="DKA49" s="7"/>
      <c r="DKB49" s="21"/>
      <c r="DKC49" s="20"/>
      <c r="DKD49" s="20"/>
      <c r="DKE49" s="20"/>
      <c r="DKF49" s="21"/>
      <c r="DKG49" s="21"/>
      <c r="DKH49" s="21"/>
      <c r="DKI49" s="21"/>
      <c r="DKJ49" s="21"/>
      <c r="DKK49" s="20"/>
      <c r="DKL49" s="20"/>
      <c r="DKM49" s="20"/>
      <c r="DKN49" s="20"/>
      <c r="DKO49" s="21"/>
      <c r="DKP49" s="21"/>
      <c r="DKQ49" s="7"/>
      <c r="DKR49" s="7"/>
      <c r="DKS49" s="21"/>
      <c r="DKT49" s="20"/>
      <c r="DKU49" s="20"/>
      <c r="DKV49" s="20"/>
      <c r="DKW49" s="21"/>
      <c r="DKX49" s="21"/>
      <c r="DKY49" s="21"/>
      <c r="DKZ49" s="21"/>
      <c r="DLA49" s="21"/>
      <c r="DLB49" s="20"/>
      <c r="DLC49" s="20"/>
      <c r="DLD49" s="20"/>
      <c r="DLE49" s="20"/>
      <c r="DLF49" s="21"/>
      <c r="DLG49" s="21"/>
      <c r="DLH49" s="7"/>
      <c r="DLI49" s="7"/>
      <c r="DLJ49" s="21"/>
      <c r="DLK49" s="20"/>
      <c r="DLL49" s="20"/>
      <c r="DLM49" s="20"/>
      <c r="DLN49" s="21"/>
      <c r="DLO49" s="21"/>
      <c r="DLP49" s="21"/>
      <c r="DLQ49" s="21"/>
      <c r="DLR49" s="21"/>
      <c r="DLS49" s="20"/>
      <c r="DLT49" s="20"/>
      <c r="DLU49" s="20"/>
      <c r="DLV49" s="20"/>
      <c r="DLW49" s="21"/>
      <c r="DLX49" s="21"/>
      <c r="DLY49" s="7"/>
      <c r="DLZ49" s="7"/>
      <c r="DMA49" s="21"/>
      <c r="DMB49" s="20"/>
      <c r="DMC49" s="20"/>
      <c r="DMD49" s="20"/>
      <c r="DME49" s="21"/>
      <c r="DMF49" s="21"/>
      <c r="DMG49" s="21"/>
      <c r="DMH49" s="21"/>
      <c r="DMI49" s="21"/>
      <c r="DMJ49" s="20"/>
      <c r="DMK49" s="20"/>
      <c r="DML49" s="20"/>
      <c r="DMM49" s="20"/>
      <c r="DMN49" s="21"/>
      <c r="DMO49" s="21"/>
      <c r="DMP49" s="7"/>
      <c r="DMQ49" s="7"/>
      <c r="DMR49" s="21"/>
      <c r="DMS49" s="20"/>
      <c r="DMT49" s="20"/>
      <c r="DMU49" s="20"/>
      <c r="DMV49" s="21"/>
      <c r="DMW49" s="21"/>
      <c r="DMX49" s="21"/>
      <c r="DMY49" s="21"/>
      <c r="DMZ49" s="21"/>
      <c r="DNA49" s="20"/>
      <c r="DNB49" s="20"/>
      <c r="DNC49" s="20"/>
      <c r="DND49" s="20"/>
      <c r="DNE49" s="21"/>
      <c r="DNF49" s="21"/>
      <c r="DNG49" s="7"/>
      <c r="DNH49" s="7"/>
      <c r="DNI49" s="21"/>
      <c r="DNJ49" s="20"/>
      <c r="DNK49" s="20"/>
      <c r="DNL49" s="20"/>
      <c r="DNM49" s="21"/>
      <c r="DNN49" s="21"/>
      <c r="DNO49" s="21"/>
      <c r="DNP49" s="21"/>
      <c r="DNQ49" s="21"/>
      <c r="DNR49" s="20"/>
      <c r="DNS49" s="20"/>
      <c r="DNT49" s="20"/>
      <c r="DNU49" s="20"/>
      <c r="DNV49" s="21"/>
      <c r="DNW49" s="21"/>
      <c r="DNX49" s="7"/>
      <c r="DNY49" s="7"/>
      <c r="DNZ49" s="21"/>
      <c r="DOA49" s="20"/>
      <c r="DOB49" s="20"/>
      <c r="DOC49" s="20"/>
      <c r="DOD49" s="21"/>
      <c r="DOE49" s="21"/>
      <c r="DOF49" s="21"/>
      <c r="DOG49" s="21"/>
      <c r="DOH49" s="21"/>
      <c r="DOI49" s="20"/>
      <c r="DOJ49" s="20"/>
      <c r="DOK49" s="20"/>
      <c r="DOL49" s="20"/>
      <c r="DOM49" s="21"/>
      <c r="DON49" s="21"/>
      <c r="DOO49" s="7"/>
      <c r="DOP49" s="7"/>
      <c r="DOQ49" s="21"/>
      <c r="DOR49" s="20"/>
      <c r="DOS49" s="20"/>
      <c r="DOT49" s="20"/>
      <c r="DOU49" s="21"/>
      <c r="DOV49" s="21"/>
      <c r="DOW49" s="21"/>
      <c r="DOX49" s="21"/>
      <c r="DOY49" s="21"/>
      <c r="DOZ49" s="20"/>
      <c r="DPA49" s="20"/>
      <c r="DPB49" s="20"/>
      <c r="DPC49" s="20"/>
      <c r="DPD49" s="21"/>
      <c r="DPE49" s="21"/>
      <c r="DPF49" s="7"/>
      <c r="DPG49" s="7"/>
      <c r="DPH49" s="21"/>
      <c r="DPI49" s="20"/>
      <c r="DPJ49" s="20"/>
      <c r="DPK49" s="20"/>
      <c r="DPL49" s="21"/>
      <c r="DPM49" s="21"/>
      <c r="DPN49" s="21"/>
      <c r="DPO49" s="21"/>
      <c r="DPP49" s="21"/>
      <c r="DPQ49" s="20"/>
      <c r="DPR49" s="20"/>
      <c r="DPS49" s="20"/>
      <c r="DPT49" s="20"/>
      <c r="DPU49" s="21"/>
      <c r="DPV49" s="21"/>
      <c r="DPW49" s="7"/>
      <c r="DPX49" s="7"/>
      <c r="DPY49" s="21"/>
      <c r="DPZ49" s="20"/>
      <c r="DQA49" s="20"/>
      <c r="DQB49" s="20"/>
      <c r="DQC49" s="21"/>
      <c r="DQD49" s="21"/>
      <c r="DQE49" s="21"/>
      <c r="DQF49" s="21"/>
      <c r="DQG49" s="21"/>
      <c r="DQH49" s="20"/>
      <c r="DQI49" s="20"/>
      <c r="DQJ49" s="20"/>
      <c r="DQK49" s="20"/>
      <c r="DQL49" s="21"/>
      <c r="DQM49" s="21"/>
      <c r="DQN49" s="7"/>
      <c r="DQO49" s="7"/>
      <c r="DQP49" s="21"/>
      <c r="DQQ49" s="20"/>
      <c r="DQR49" s="20"/>
      <c r="DQS49" s="20"/>
      <c r="DQT49" s="21"/>
      <c r="DQU49" s="21"/>
      <c r="DQV49" s="21"/>
      <c r="DQW49" s="21"/>
      <c r="DQX49" s="21"/>
      <c r="DQY49" s="20"/>
      <c r="DQZ49" s="20"/>
      <c r="DRA49" s="20"/>
      <c r="DRB49" s="20"/>
      <c r="DRC49" s="21"/>
      <c r="DRD49" s="21"/>
      <c r="DRE49" s="7"/>
      <c r="DRF49" s="7"/>
      <c r="DRG49" s="21"/>
      <c r="DRH49" s="20"/>
      <c r="DRI49" s="20"/>
      <c r="DRJ49" s="20"/>
      <c r="DRK49" s="21"/>
      <c r="DRL49" s="21"/>
      <c r="DRM49" s="21"/>
      <c r="DRN49" s="21"/>
      <c r="DRO49" s="21"/>
      <c r="DRP49" s="20"/>
      <c r="DRQ49" s="20"/>
      <c r="DRR49" s="20"/>
      <c r="DRS49" s="20"/>
      <c r="DRT49" s="21"/>
      <c r="DRU49" s="21"/>
      <c r="DRV49" s="7"/>
      <c r="DRW49" s="7"/>
      <c r="DRX49" s="21"/>
      <c r="DRY49" s="20"/>
      <c r="DRZ49" s="20"/>
      <c r="DSA49" s="20"/>
      <c r="DSB49" s="21"/>
      <c r="DSC49" s="21"/>
      <c r="DSD49" s="21"/>
      <c r="DSE49" s="21"/>
      <c r="DSF49" s="21"/>
      <c r="DSG49" s="20"/>
      <c r="DSH49" s="20"/>
      <c r="DSI49" s="20"/>
      <c r="DSJ49" s="20"/>
      <c r="DSK49" s="21"/>
      <c r="DSL49" s="21"/>
      <c r="DSM49" s="7"/>
      <c r="DSN49" s="7"/>
      <c r="DSO49" s="21"/>
      <c r="DSP49" s="20"/>
      <c r="DSQ49" s="20"/>
      <c r="DSR49" s="20"/>
      <c r="DSS49" s="21"/>
      <c r="DST49" s="21"/>
      <c r="DSU49" s="21"/>
      <c r="DSV49" s="21"/>
      <c r="DSW49" s="21"/>
      <c r="DSX49" s="20"/>
      <c r="DSY49" s="20"/>
      <c r="DSZ49" s="20"/>
      <c r="DTA49" s="20"/>
      <c r="DTB49" s="21"/>
      <c r="DTC49" s="21"/>
      <c r="DTD49" s="7"/>
      <c r="DTE49" s="7"/>
      <c r="DTF49" s="21"/>
      <c r="DTG49" s="20"/>
      <c r="DTH49" s="20"/>
      <c r="DTI49" s="20"/>
      <c r="DTJ49" s="21"/>
      <c r="DTK49" s="21"/>
      <c r="DTL49" s="21"/>
      <c r="DTM49" s="21"/>
      <c r="DTN49" s="21"/>
      <c r="DTO49" s="20"/>
      <c r="DTP49" s="20"/>
      <c r="DTQ49" s="20"/>
      <c r="DTR49" s="20"/>
      <c r="DTS49" s="21"/>
      <c r="DTT49" s="21"/>
      <c r="DTU49" s="7"/>
      <c r="DTV49" s="7"/>
      <c r="DTW49" s="21"/>
      <c r="DTX49" s="20"/>
      <c r="DTY49" s="20"/>
      <c r="DTZ49" s="20"/>
      <c r="DUA49" s="21"/>
      <c r="DUB49" s="21"/>
      <c r="DUC49" s="21"/>
      <c r="DUD49" s="21"/>
      <c r="DUE49" s="21"/>
      <c r="DUF49" s="20"/>
      <c r="DUG49" s="20"/>
      <c r="DUH49" s="20"/>
      <c r="DUI49" s="20"/>
      <c r="DUJ49" s="21"/>
      <c r="DUK49" s="21"/>
      <c r="DUL49" s="7"/>
      <c r="DUM49" s="7"/>
      <c r="DUN49" s="21"/>
      <c r="DUO49" s="20"/>
      <c r="DUP49" s="20"/>
      <c r="DUQ49" s="20"/>
      <c r="DUR49" s="21"/>
      <c r="DUS49" s="21"/>
      <c r="DUT49" s="21"/>
      <c r="DUU49" s="21"/>
      <c r="DUV49" s="21"/>
      <c r="DUW49" s="20"/>
      <c r="DUX49" s="20"/>
      <c r="DUY49" s="20"/>
      <c r="DUZ49" s="20"/>
      <c r="DVA49" s="21"/>
      <c r="DVB49" s="21"/>
      <c r="DVC49" s="7"/>
      <c r="DVD49" s="7"/>
      <c r="DVE49" s="21"/>
      <c r="DVF49" s="20"/>
      <c r="DVG49" s="20"/>
      <c r="DVH49" s="20"/>
      <c r="DVI49" s="21"/>
      <c r="DVJ49" s="21"/>
      <c r="DVK49" s="21"/>
      <c r="DVL49" s="21"/>
      <c r="DVM49" s="21"/>
      <c r="DVN49" s="20"/>
      <c r="DVO49" s="20"/>
      <c r="DVP49" s="20"/>
      <c r="DVQ49" s="20"/>
      <c r="DVR49" s="21"/>
      <c r="DVS49" s="21"/>
      <c r="DVT49" s="7"/>
      <c r="DVU49" s="7"/>
      <c r="DVV49" s="21"/>
      <c r="DVW49" s="20"/>
      <c r="DVX49" s="20"/>
      <c r="DVY49" s="20"/>
      <c r="DVZ49" s="21"/>
      <c r="DWA49" s="21"/>
      <c r="DWB49" s="21"/>
      <c r="DWC49" s="21"/>
      <c r="DWD49" s="21"/>
      <c r="DWE49" s="20"/>
      <c r="DWF49" s="20"/>
      <c r="DWG49" s="20"/>
      <c r="DWH49" s="20"/>
      <c r="DWI49" s="21"/>
      <c r="DWJ49" s="21"/>
      <c r="DWK49" s="7"/>
      <c r="DWL49" s="7"/>
      <c r="DWM49" s="21"/>
      <c r="DWN49" s="20"/>
      <c r="DWO49" s="20"/>
      <c r="DWP49" s="20"/>
      <c r="DWQ49" s="21"/>
      <c r="DWR49" s="21"/>
      <c r="DWS49" s="21"/>
      <c r="DWT49" s="21"/>
      <c r="DWU49" s="21"/>
      <c r="DWV49" s="20"/>
      <c r="DWW49" s="20"/>
      <c r="DWX49" s="20"/>
      <c r="DWY49" s="20"/>
      <c r="DWZ49" s="21"/>
      <c r="DXA49" s="21"/>
      <c r="DXB49" s="7"/>
      <c r="DXC49" s="7"/>
      <c r="DXD49" s="21"/>
      <c r="DXE49" s="20"/>
      <c r="DXF49" s="20"/>
      <c r="DXG49" s="20"/>
      <c r="DXH49" s="21"/>
      <c r="DXI49" s="21"/>
      <c r="DXJ49" s="21"/>
      <c r="DXK49" s="21"/>
      <c r="DXL49" s="21"/>
      <c r="DXM49" s="20"/>
      <c r="DXN49" s="20"/>
      <c r="DXO49" s="20"/>
      <c r="DXP49" s="20"/>
      <c r="DXQ49" s="21"/>
      <c r="DXR49" s="21"/>
      <c r="DXS49" s="7"/>
      <c r="DXT49" s="7"/>
      <c r="DXU49" s="21"/>
      <c r="DXV49" s="20"/>
      <c r="DXW49" s="20"/>
      <c r="DXX49" s="20"/>
      <c r="DXY49" s="21"/>
      <c r="DXZ49" s="21"/>
      <c r="DYA49" s="21"/>
      <c r="DYB49" s="21"/>
      <c r="DYC49" s="21"/>
      <c r="DYD49" s="20"/>
      <c r="DYE49" s="20"/>
      <c r="DYF49" s="20"/>
      <c r="DYG49" s="20"/>
      <c r="DYH49" s="21"/>
      <c r="DYI49" s="21"/>
      <c r="DYJ49" s="7"/>
      <c r="DYK49" s="7"/>
      <c r="DYL49" s="21"/>
      <c r="DYM49" s="20"/>
      <c r="DYN49" s="20"/>
      <c r="DYO49" s="20"/>
      <c r="DYP49" s="21"/>
      <c r="DYQ49" s="21"/>
      <c r="DYR49" s="21"/>
      <c r="DYS49" s="21"/>
      <c r="DYT49" s="21"/>
      <c r="DYU49" s="20"/>
      <c r="DYV49" s="20"/>
      <c r="DYW49" s="20"/>
      <c r="DYX49" s="20"/>
      <c r="DYY49" s="21"/>
      <c r="DYZ49" s="21"/>
      <c r="DZA49" s="7"/>
      <c r="DZB49" s="7"/>
      <c r="DZC49" s="21"/>
      <c r="DZD49" s="20"/>
      <c r="DZE49" s="20"/>
      <c r="DZF49" s="20"/>
      <c r="DZG49" s="21"/>
      <c r="DZH49" s="21"/>
      <c r="DZI49" s="21"/>
      <c r="DZJ49" s="21"/>
      <c r="DZK49" s="21"/>
      <c r="DZL49" s="20"/>
      <c r="DZM49" s="20"/>
      <c r="DZN49" s="20"/>
      <c r="DZO49" s="20"/>
      <c r="DZP49" s="21"/>
      <c r="DZQ49" s="21"/>
      <c r="DZR49" s="7"/>
      <c r="DZS49" s="7"/>
      <c r="DZT49" s="21"/>
      <c r="DZU49" s="20"/>
      <c r="DZV49" s="20"/>
      <c r="DZW49" s="20"/>
      <c r="DZX49" s="21"/>
      <c r="DZY49" s="21"/>
      <c r="DZZ49" s="21"/>
      <c r="EAA49" s="21"/>
      <c r="EAB49" s="21"/>
      <c r="EAC49" s="20"/>
      <c r="EAD49" s="20"/>
      <c r="EAE49" s="20"/>
      <c r="EAF49" s="20"/>
      <c r="EAG49" s="21"/>
      <c r="EAH49" s="21"/>
      <c r="EAI49" s="7"/>
      <c r="EAJ49" s="7"/>
      <c r="EAK49" s="21"/>
      <c r="EAL49" s="20"/>
      <c r="EAM49" s="20"/>
      <c r="EAN49" s="20"/>
      <c r="EAO49" s="21"/>
      <c r="EAP49" s="21"/>
      <c r="EAQ49" s="21"/>
      <c r="EAR49" s="21"/>
      <c r="EAS49" s="21"/>
      <c r="EAT49" s="20"/>
      <c r="EAU49" s="20"/>
      <c r="EAV49" s="20"/>
      <c r="EAW49" s="20"/>
      <c r="EAX49" s="21"/>
      <c r="EAY49" s="21"/>
      <c r="EAZ49" s="7"/>
      <c r="EBA49" s="7"/>
      <c r="EBB49" s="21"/>
      <c r="EBC49" s="20"/>
      <c r="EBD49" s="20"/>
      <c r="EBE49" s="20"/>
      <c r="EBF49" s="21"/>
      <c r="EBG49" s="21"/>
      <c r="EBH49" s="21"/>
      <c r="EBI49" s="21"/>
      <c r="EBJ49" s="21"/>
      <c r="EBK49" s="20"/>
      <c r="EBL49" s="20"/>
      <c r="EBM49" s="20"/>
      <c r="EBN49" s="20"/>
      <c r="EBO49" s="21"/>
      <c r="EBP49" s="21"/>
      <c r="EBQ49" s="7"/>
      <c r="EBR49" s="7"/>
      <c r="EBS49" s="21"/>
      <c r="EBT49" s="20"/>
      <c r="EBU49" s="20"/>
      <c r="EBV49" s="20"/>
      <c r="EBW49" s="21"/>
      <c r="EBX49" s="21"/>
      <c r="EBY49" s="21"/>
      <c r="EBZ49" s="21"/>
      <c r="ECA49" s="21"/>
      <c r="ECB49" s="20"/>
      <c r="ECC49" s="20"/>
      <c r="ECD49" s="20"/>
      <c r="ECE49" s="20"/>
      <c r="ECF49" s="21"/>
      <c r="ECG49" s="21"/>
      <c r="ECH49" s="7"/>
      <c r="ECI49" s="7"/>
      <c r="ECJ49" s="21"/>
      <c r="ECK49" s="20"/>
      <c r="ECL49" s="20"/>
      <c r="ECM49" s="20"/>
      <c r="ECN49" s="21"/>
      <c r="ECO49" s="21"/>
      <c r="ECP49" s="21"/>
      <c r="ECQ49" s="21"/>
      <c r="ECR49" s="21"/>
      <c r="ECS49" s="20"/>
      <c r="ECT49" s="20"/>
      <c r="ECU49" s="20"/>
      <c r="ECV49" s="20"/>
      <c r="ECW49" s="21"/>
      <c r="ECX49" s="21"/>
      <c r="ECY49" s="7"/>
      <c r="ECZ49" s="7"/>
      <c r="EDA49" s="21"/>
      <c r="EDB49" s="20"/>
      <c r="EDC49" s="20"/>
      <c r="EDD49" s="20"/>
      <c r="EDE49" s="21"/>
      <c r="EDF49" s="21"/>
      <c r="EDG49" s="21"/>
      <c r="EDH49" s="21"/>
      <c r="EDI49" s="21"/>
      <c r="EDJ49" s="20"/>
      <c r="EDK49" s="20"/>
      <c r="EDL49" s="20"/>
      <c r="EDM49" s="20"/>
      <c r="EDN49" s="21"/>
      <c r="EDO49" s="21"/>
      <c r="EDP49" s="7"/>
      <c r="EDQ49" s="7"/>
      <c r="EDR49" s="21"/>
      <c r="EDS49" s="20"/>
      <c r="EDT49" s="20"/>
      <c r="EDU49" s="20"/>
      <c r="EDV49" s="21"/>
      <c r="EDW49" s="21"/>
      <c r="EDX49" s="21"/>
      <c r="EDY49" s="21"/>
      <c r="EDZ49" s="21"/>
      <c r="EEA49" s="20"/>
      <c r="EEB49" s="20"/>
      <c r="EEC49" s="20"/>
      <c r="EED49" s="20"/>
      <c r="EEE49" s="21"/>
      <c r="EEF49" s="21"/>
      <c r="EEG49" s="7"/>
      <c r="EEH49" s="7"/>
      <c r="EEI49" s="21"/>
      <c r="EEJ49" s="20"/>
      <c r="EEK49" s="20"/>
      <c r="EEL49" s="20"/>
      <c r="EEM49" s="21"/>
      <c r="EEN49" s="21"/>
      <c r="EEO49" s="21"/>
      <c r="EEP49" s="21"/>
      <c r="EEQ49" s="21"/>
      <c r="EER49" s="20"/>
      <c r="EES49" s="20"/>
      <c r="EET49" s="20"/>
      <c r="EEU49" s="20"/>
      <c r="EEV49" s="21"/>
      <c r="EEW49" s="21"/>
      <c r="EEX49" s="7"/>
      <c r="EEY49" s="7"/>
      <c r="EEZ49" s="21"/>
      <c r="EFA49" s="20"/>
      <c r="EFB49" s="20"/>
      <c r="EFC49" s="20"/>
      <c r="EFD49" s="21"/>
      <c r="EFE49" s="21"/>
      <c r="EFF49" s="21"/>
      <c r="EFG49" s="21"/>
      <c r="EFH49" s="21"/>
      <c r="EFI49" s="20"/>
      <c r="EFJ49" s="20"/>
      <c r="EFK49" s="20"/>
      <c r="EFL49" s="20"/>
      <c r="EFM49" s="21"/>
      <c r="EFN49" s="21"/>
      <c r="EFO49" s="7"/>
      <c r="EFP49" s="7"/>
      <c r="EFQ49" s="21"/>
      <c r="EFR49" s="20"/>
      <c r="EFS49" s="20"/>
      <c r="EFT49" s="20"/>
      <c r="EFU49" s="21"/>
      <c r="EFV49" s="21"/>
      <c r="EFW49" s="21"/>
      <c r="EFX49" s="21"/>
      <c r="EFY49" s="21"/>
      <c r="EFZ49" s="20"/>
      <c r="EGA49" s="20"/>
      <c r="EGB49" s="20"/>
      <c r="EGC49" s="20"/>
      <c r="EGD49" s="21"/>
      <c r="EGE49" s="21"/>
      <c r="EGF49" s="7"/>
      <c r="EGG49" s="7"/>
      <c r="EGH49" s="21"/>
      <c r="EGI49" s="20"/>
      <c r="EGJ49" s="20"/>
      <c r="EGK49" s="20"/>
      <c r="EGL49" s="21"/>
      <c r="EGM49" s="21"/>
      <c r="EGN49" s="21"/>
      <c r="EGO49" s="21"/>
      <c r="EGP49" s="21"/>
      <c r="EGQ49" s="20"/>
      <c r="EGR49" s="20"/>
      <c r="EGS49" s="20"/>
      <c r="EGT49" s="20"/>
      <c r="EGU49" s="21"/>
      <c r="EGV49" s="21"/>
      <c r="EGW49" s="7"/>
      <c r="EGX49" s="7"/>
      <c r="EGY49" s="21"/>
      <c r="EGZ49" s="20"/>
      <c r="EHA49" s="20"/>
      <c r="EHB49" s="20"/>
      <c r="EHC49" s="21"/>
      <c r="EHD49" s="21"/>
      <c r="EHE49" s="21"/>
      <c r="EHF49" s="21"/>
      <c r="EHG49" s="21"/>
      <c r="EHH49" s="20"/>
      <c r="EHI49" s="20"/>
      <c r="EHJ49" s="20"/>
      <c r="EHK49" s="20"/>
      <c r="EHL49" s="21"/>
      <c r="EHM49" s="21"/>
      <c r="EHN49" s="7"/>
      <c r="EHO49" s="7"/>
      <c r="EHP49" s="21"/>
      <c r="EHQ49" s="20"/>
      <c r="EHR49" s="20"/>
      <c r="EHS49" s="20"/>
      <c r="EHT49" s="21"/>
      <c r="EHU49" s="21"/>
      <c r="EHV49" s="21"/>
      <c r="EHW49" s="21"/>
      <c r="EHX49" s="21"/>
      <c r="EHY49" s="20"/>
      <c r="EHZ49" s="20"/>
      <c r="EIA49" s="20"/>
      <c r="EIB49" s="20"/>
      <c r="EIC49" s="21"/>
      <c r="EID49" s="21"/>
      <c r="EIE49" s="7"/>
      <c r="EIF49" s="7"/>
      <c r="EIG49" s="21"/>
      <c r="EIH49" s="20"/>
      <c r="EII49" s="20"/>
      <c r="EIJ49" s="20"/>
      <c r="EIK49" s="21"/>
      <c r="EIL49" s="21"/>
      <c r="EIM49" s="21"/>
      <c r="EIN49" s="21"/>
      <c r="EIO49" s="21"/>
      <c r="EIP49" s="20"/>
      <c r="EIQ49" s="20"/>
      <c r="EIR49" s="20"/>
      <c r="EIS49" s="20"/>
      <c r="EIT49" s="21"/>
      <c r="EIU49" s="21"/>
      <c r="EIV49" s="7"/>
      <c r="EIW49" s="7"/>
      <c r="EIX49" s="21"/>
      <c r="EIY49" s="20"/>
      <c r="EIZ49" s="20"/>
      <c r="EJA49" s="20"/>
      <c r="EJB49" s="21"/>
      <c r="EJC49" s="21"/>
      <c r="EJD49" s="21"/>
      <c r="EJE49" s="21"/>
      <c r="EJF49" s="21"/>
      <c r="EJG49" s="20"/>
      <c r="EJH49" s="20"/>
      <c r="EJI49" s="20"/>
      <c r="EJJ49" s="20"/>
      <c r="EJK49" s="21"/>
      <c r="EJL49" s="21"/>
      <c r="EJM49" s="7"/>
      <c r="EJN49" s="7"/>
      <c r="EJO49" s="21"/>
      <c r="EJP49" s="20"/>
      <c r="EJQ49" s="20"/>
      <c r="EJR49" s="20"/>
      <c r="EJS49" s="21"/>
      <c r="EJT49" s="21"/>
      <c r="EJU49" s="21"/>
      <c r="EJV49" s="21"/>
      <c r="EJW49" s="21"/>
      <c r="EJX49" s="20"/>
      <c r="EJY49" s="20"/>
      <c r="EJZ49" s="20"/>
      <c r="EKA49" s="20"/>
      <c r="EKB49" s="21"/>
      <c r="EKC49" s="21"/>
      <c r="EKD49" s="7"/>
      <c r="EKE49" s="7"/>
      <c r="EKF49" s="21"/>
      <c r="EKG49" s="20"/>
      <c r="EKH49" s="20"/>
      <c r="EKI49" s="20"/>
      <c r="EKJ49" s="21"/>
      <c r="EKK49" s="21"/>
      <c r="EKL49" s="21"/>
      <c r="EKM49" s="21"/>
      <c r="EKN49" s="21"/>
      <c r="EKO49" s="20"/>
      <c r="EKP49" s="20"/>
      <c r="EKQ49" s="20"/>
      <c r="EKR49" s="20"/>
      <c r="EKS49" s="21"/>
      <c r="EKT49" s="21"/>
      <c r="EKU49" s="7"/>
      <c r="EKV49" s="7"/>
      <c r="EKW49" s="21"/>
      <c r="EKX49" s="20"/>
      <c r="EKY49" s="20"/>
      <c r="EKZ49" s="20"/>
      <c r="ELA49" s="21"/>
      <c r="ELB49" s="21"/>
      <c r="ELC49" s="21"/>
      <c r="ELD49" s="21"/>
      <c r="ELE49" s="21"/>
      <c r="ELF49" s="20"/>
      <c r="ELG49" s="20"/>
      <c r="ELH49" s="20"/>
      <c r="ELI49" s="20"/>
      <c r="ELJ49" s="21"/>
      <c r="ELK49" s="21"/>
      <c r="ELL49" s="7"/>
      <c r="ELM49" s="7"/>
      <c r="ELN49" s="21"/>
      <c r="ELO49" s="20"/>
      <c r="ELP49" s="20"/>
      <c r="ELQ49" s="20"/>
      <c r="ELR49" s="21"/>
      <c r="ELS49" s="21"/>
      <c r="ELT49" s="21"/>
      <c r="ELU49" s="21"/>
      <c r="ELV49" s="21"/>
      <c r="ELW49" s="20"/>
      <c r="ELX49" s="20"/>
      <c r="ELY49" s="20"/>
      <c r="ELZ49" s="20"/>
      <c r="EMA49" s="21"/>
      <c r="EMB49" s="21"/>
      <c r="EMC49" s="7"/>
      <c r="EMD49" s="7"/>
      <c r="EME49" s="21"/>
      <c r="EMF49" s="20"/>
      <c r="EMG49" s="20"/>
      <c r="EMH49" s="20"/>
      <c r="EMI49" s="21"/>
      <c r="EMJ49" s="21"/>
      <c r="EMK49" s="21"/>
      <c r="EML49" s="21"/>
      <c r="EMM49" s="21"/>
      <c r="EMN49" s="20"/>
      <c r="EMO49" s="20"/>
      <c r="EMP49" s="20"/>
      <c r="EMQ49" s="20"/>
      <c r="EMR49" s="21"/>
      <c r="EMS49" s="21"/>
      <c r="EMT49" s="7"/>
      <c r="EMU49" s="7"/>
      <c r="EMV49" s="21"/>
      <c r="EMW49" s="20"/>
      <c r="EMX49" s="20"/>
      <c r="EMY49" s="20"/>
      <c r="EMZ49" s="21"/>
      <c r="ENA49" s="21"/>
      <c r="ENB49" s="21"/>
      <c r="ENC49" s="21"/>
      <c r="END49" s="21"/>
      <c r="ENE49" s="20"/>
      <c r="ENF49" s="20"/>
      <c r="ENG49" s="20"/>
      <c r="ENH49" s="20"/>
      <c r="ENI49" s="21"/>
      <c r="ENJ49" s="21"/>
      <c r="ENK49" s="7"/>
      <c r="ENL49" s="7"/>
      <c r="ENM49" s="21"/>
      <c r="ENN49" s="20"/>
      <c r="ENO49" s="20"/>
      <c r="ENP49" s="20"/>
      <c r="ENQ49" s="21"/>
      <c r="ENR49" s="21"/>
      <c r="ENS49" s="21"/>
      <c r="ENT49" s="21"/>
      <c r="ENU49" s="21"/>
      <c r="ENV49" s="20"/>
      <c r="ENW49" s="20"/>
      <c r="ENX49" s="20"/>
      <c r="ENY49" s="20"/>
      <c r="ENZ49" s="21"/>
      <c r="EOA49" s="21"/>
      <c r="EOB49" s="7"/>
      <c r="EOC49" s="7"/>
      <c r="EOD49" s="21"/>
      <c r="EOE49" s="20"/>
      <c r="EOF49" s="20"/>
      <c r="EOG49" s="20"/>
      <c r="EOH49" s="21"/>
      <c r="EOI49" s="21"/>
      <c r="EOJ49" s="21"/>
      <c r="EOK49" s="21"/>
      <c r="EOL49" s="21"/>
      <c r="EOM49" s="20"/>
      <c r="EON49" s="20"/>
      <c r="EOO49" s="20"/>
      <c r="EOP49" s="20"/>
      <c r="EOQ49" s="21"/>
      <c r="EOR49" s="21"/>
      <c r="EOS49" s="7"/>
      <c r="EOT49" s="7"/>
      <c r="EOU49" s="21"/>
      <c r="EOV49" s="20"/>
      <c r="EOW49" s="20"/>
      <c r="EOX49" s="20"/>
      <c r="EOY49" s="21"/>
      <c r="EOZ49" s="21"/>
      <c r="EPA49" s="21"/>
      <c r="EPB49" s="21"/>
      <c r="EPC49" s="21"/>
      <c r="EPD49" s="20"/>
      <c r="EPE49" s="20"/>
      <c r="EPF49" s="20"/>
      <c r="EPG49" s="20"/>
      <c r="EPH49" s="21"/>
      <c r="EPI49" s="21"/>
      <c r="EPJ49" s="7"/>
      <c r="EPK49" s="7"/>
      <c r="EPL49" s="21"/>
      <c r="EPM49" s="20"/>
      <c r="EPN49" s="20"/>
      <c r="EPO49" s="20"/>
      <c r="EPP49" s="21"/>
      <c r="EPQ49" s="21"/>
      <c r="EPR49" s="21"/>
      <c r="EPS49" s="21"/>
      <c r="EPT49" s="21"/>
      <c r="EPU49" s="20"/>
      <c r="EPV49" s="20"/>
      <c r="EPW49" s="20"/>
      <c r="EPX49" s="20"/>
      <c r="EPY49" s="21"/>
      <c r="EPZ49" s="21"/>
      <c r="EQA49" s="7"/>
      <c r="EQB49" s="7"/>
      <c r="EQC49" s="21"/>
      <c r="EQD49" s="20"/>
      <c r="EQE49" s="20"/>
      <c r="EQF49" s="20"/>
      <c r="EQG49" s="21"/>
      <c r="EQH49" s="21"/>
      <c r="EQI49" s="21"/>
      <c r="EQJ49" s="21"/>
      <c r="EQK49" s="21"/>
      <c r="EQL49" s="20"/>
      <c r="EQM49" s="20"/>
      <c r="EQN49" s="20"/>
      <c r="EQO49" s="20"/>
      <c r="EQP49" s="21"/>
      <c r="EQQ49" s="21"/>
      <c r="EQR49" s="7"/>
      <c r="EQS49" s="7"/>
      <c r="EQT49" s="21"/>
      <c r="EQU49" s="20"/>
      <c r="EQV49" s="20"/>
      <c r="EQW49" s="20"/>
      <c r="EQX49" s="21"/>
      <c r="EQY49" s="21"/>
      <c r="EQZ49" s="21"/>
      <c r="ERA49" s="21"/>
      <c r="ERB49" s="21"/>
      <c r="ERC49" s="20"/>
      <c r="ERD49" s="20"/>
      <c r="ERE49" s="20"/>
      <c r="ERF49" s="20"/>
      <c r="ERG49" s="21"/>
      <c r="ERH49" s="21"/>
      <c r="ERI49" s="7"/>
      <c r="ERJ49" s="7"/>
      <c r="ERK49" s="21"/>
      <c r="ERL49" s="20"/>
      <c r="ERM49" s="20"/>
      <c r="ERN49" s="20"/>
      <c r="ERO49" s="21"/>
      <c r="ERP49" s="21"/>
      <c r="ERQ49" s="21"/>
      <c r="ERR49" s="21"/>
      <c r="ERS49" s="21"/>
      <c r="ERT49" s="20"/>
      <c r="ERU49" s="20"/>
      <c r="ERV49" s="20"/>
      <c r="ERW49" s="20"/>
      <c r="ERX49" s="21"/>
      <c r="ERY49" s="21"/>
      <c r="ERZ49" s="7"/>
      <c r="ESA49" s="7"/>
      <c r="ESB49" s="21"/>
      <c r="ESC49" s="20"/>
      <c r="ESD49" s="20"/>
      <c r="ESE49" s="20"/>
      <c r="ESF49" s="21"/>
      <c r="ESG49" s="21"/>
      <c r="ESH49" s="21"/>
      <c r="ESI49" s="21"/>
      <c r="ESJ49" s="21"/>
      <c r="ESK49" s="20"/>
      <c r="ESL49" s="20"/>
      <c r="ESM49" s="20"/>
      <c r="ESN49" s="20"/>
      <c r="ESO49" s="21"/>
      <c r="ESP49" s="21"/>
      <c r="ESQ49" s="7"/>
      <c r="ESR49" s="7"/>
      <c r="ESS49" s="21"/>
      <c r="EST49" s="20"/>
      <c r="ESU49" s="20"/>
      <c r="ESV49" s="20"/>
      <c r="ESW49" s="21"/>
      <c r="ESX49" s="21"/>
      <c r="ESY49" s="21"/>
      <c r="ESZ49" s="21"/>
      <c r="ETA49" s="21"/>
      <c r="ETB49" s="20"/>
      <c r="ETC49" s="20"/>
      <c r="ETD49" s="20"/>
      <c r="ETE49" s="20"/>
      <c r="ETF49" s="21"/>
      <c r="ETG49" s="21"/>
      <c r="ETH49" s="7"/>
      <c r="ETI49" s="7"/>
      <c r="ETJ49" s="21"/>
      <c r="ETK49" s="20"/>
      <c r="ETL49" s="20"/>
      <c r="ETM49" s="20"/>
      <c r="ETN49" s="21"/>
      <c r="ETO49" s="21"/>
      <c r="ETP49" s="21"/>
      <c r="ETQ49" s="21"/>
      <c r="ETR49" s="21"/>
      <c r="ETS49" s="20"/>
      <c r="ETT49" s="20"/>
      <c r="ETU49" s="20"/>
      <c r="ETV49" s="20"/>
      <c r="ETW49" s="21"/>
      <c r="ETX49" s="21"/>
      <c r="ETY49" s="7"/>
      <c r="ETZ49" s="7"/>
      <c r="EUA49" s="21"/>
      <c r="EUB49" s="20"/>
      <c r="EUC49" s="20"/>
      <c r="EUD49" s="20"/>
      <c r="EUE49" s="21"/>
      <c r="EUF49" s="21"/>
      <c r="EUG49" s="21"/>
      <c r="EUH49" s="21"/>
      <c r="EUI49" s="21"/>
      <c r="EUJ49" s="20"/>
      <c r="EUK49" s="20"/>
      <c r="EUL49" s="20"/>
      <c r="EUM49" s="20"/>
      <c r="EUN49" s="21"/>
      <c r="EUO49" s="21"/>
      <c r="EUP49" s="7"/>
      <c r="EUQ49" s="7"/>
      <c r="EUR49" s="21"/>
      <c r="EUS49" s="20"/>
      <c r="EUT49" s="20"/>
      <c r="EUU49" s="20"/>
      <c r="EUV49" s="21"/>
      <c r="EUW49" s="21"/>
      <c r="EUX49" s="21"/>
      <c r="EUY49" s="21"/>
      <c r="EUZ49" s="21"/>
      <c r="EVA49" s="20"/>
      <c r="EVB49" s="20"/>
      <c r="EVC49" s="20"/>
      <c r="EVD49" s="20"/>
      <c r="EVE49" s="21"/>
      <c r="EVF49" s="21"/>
      <c r="EVG49" s="7"/>
      <c r="EVH49" s="7"/>
      <c r="EVI49" s="21"/>
      <c r="EVJ49" s="20"/>
      <c r="EVK49" s="20"/>
      <c r="EVL49" s="20"/>
      <c r="EVM49" s="21"/>
      <c r="EVN49" s="21"/>
      <c r="EVO49" s="21"/>
      <c r="EVP49" s="21"/>
      <c r="EVQ49" s="21"/>
      <c r="EVR49" s="20"/>
      <c r="EVS49" s="20"/>
      <c r="EVT49" s="20"/>
      <c r="EVU49" s="20"/>
      <c r="EVV49" s="21"/>
      <c r="EVW49" s="21"/>
      <c r="EVX49" s="7"/>
      <c r="EVY49" s="7"/>
      <c r="EVZ49" s="21"/>
      <c r="EWA49" s="20"/>
      <c r="EWB49" s="20"/>
      <c r="EWC49" s="20"/>
      <c r="EWD49" s="21"/>
      <c r="EWE49" s="21"/>
      <c r="EWF49" s="21"/>
      <c r="EWG49" s="21"/>
      <c r="EWH49" s="21"/>
      <c r="EWI49" s="20"/>
      <c r="EWJ49" s="20"/>
      <c r="EWK49" s="20"/>
      <c r="EWL49" s="20"/>
      <c r="EWM49" s="21"/>
      <c r="EWN49" s="21"/>
      <c r="EWO49" s="7"/>
      <c r="EWP49" s="7"/>
      <c r="EWQ49" s="21"/>
      <c r="EWR49" s="20"/>
      <c r="EWS49" s="20"/>
      <c r="EWT49" s="20"/>
      <c r="EWU49" s="21"/>
      <c r="EWV49" s="21"/>
      <c r="EWW49" s="21"/>
      <c r="EWX49" s="21"/>
      <c r="EWY49" s="21"/>
      <c r="EWZ49" s="20"/>
      <c r="EXA49" s="20"/>
      <c r="EXB49" s="20"/>
      <c r="EXC49" s="20"/>
      <c r="EXD49" s="21"/>
      <c r="EXE49" s="21"/>
      <c r="EXF49" s="7"/>
      <c r="EXG49" s="7"/>
      <c r="EXH49" s="21"/>
      <c r="EXI49" s="20"/>
      <c r="EXJ49" s="20"/>
      <c r="EXK49" s="20"/>
      <c r="EXL49" s="21"/>
      <c r="EXM49" s="21"/>
      <c r="EXN49" s="21"/>
      <c r="EXO49" s="21"/>
      <c r="EXP49" s="21"/>
      <c r="EXQ49" s="20"/>
      <c r="EXR49" s="20"/>
      <c r="EXS49" s="20"/>
      <c r="EXT49" s="20"/>
      <c r="EXU49" s="21"/>
      <c r="EXV49" s="21"/>
      <c r="EXW49" s="7"/>
      <c r="EXX49" s="7"/>
      <c r="EXY49" s="21"/>
      <c r="EXZ49" s="20"/>
      <c r="EYA49" s="20"/>
      <c r="EYB49" s="20"/>
      <c r="EYC49" s="21"/>
      <c r="EYD49" s="21"/>
      <c r="EYE49" s="21"/>
      <c r="EYF49" s="21"/>
      <c r="EYG49" s="21"/>
      <c r="EYH49" s="20"/>
      <c r="EYI49" s="20"/>
      <c r="EYJ49" s="20"/>
      <c r="EYK49" s="20"/>
      <c r="EYL49" s="21"/>
      <c r="EYM49" s="21"/>
      <c r="EYN49" s="7"/>
      <c r="EYO49" s="7"/>
      <c r="EYP49" s="21"/>
      <c r="EYQ49" s="20"/>
      <c r="EYR49" s="20"/>
      <c r="EYS49" s="20"/>
      <c r="EYT49" s="21"/>
      <c r="EYU49" s="21"/>
      <c r="EYV49" s="21"/>
      <c r="EYW49" s="21"/>
      <c r="EYX49" s="21"/>
      <c r="EYY49" s="20"/>
      <c r="EYZ49" s="20"/>
      <c r="EZA49" s="20"/>
      <c r="EZB49" s="20"/>
      <c r="EZC49" s="21"/>
      <c r="EZD49" s="21"/>
      <c r="EZE49" s="7"/>
      <c r="EZF49" s="7"/>
      <c r="EZG49" s="21"/>
      <c r="EZH49" s="20"/>
      <c r="EZI49" s="20"/>
      <c r="EZJ49" s="20"/>
      <c r="EZK49" s="21"/>
      <c r="EZL49" s="21"/>
      <c r="EZM49" s="21"/>
      <c r="EZN49" s="21"/>
      <c r="EZO49" s="21"/>
      <c r="EZP49" s="20"/>
      <c r="EZQ49" s="20"/>
      <c r="EZR49" s="20"/>
      <c r="EZS49" s="20"/>
      <c r="EZT49" s="21"/>
      <c r="EZU49" s="21"/>
      <c r="EZV49" s="7"/>
      <c r="EZW49" s="7"/>
      <c r="EZX49" s="21"/>
      <c r="EZY49" s="20"/>
      <c r="EZZ49" s="20"/>
      <c r="FAA49" s="20"/>
      <c r="FAB49" s="21"/>
      <c r="FAC49" s="21"/>
      <c r="FAD49" s="21"/>
      <c r="FAE49" s="21"/>
      <c r="FAF49" s="21"/>
      <c r="FAG49" s="20"/>
      <c r="FAH49" s="20"/>
      <c r="FAI49" s="20"/>
      <c r="FAJ49" s="20"/>
      <c r="FAK49" s="21"/>
      <c r="FAL49" s="21"/>
      <c r="FAM49" s="7"/>
      <c r="FAN49" s="7"/>
      <c r="FAO49" s="21"/>
      <c r="FAP49" s="20"/>
      <c r="FAQ49" s="20"/>
      <c r="FAR49" s="20"/>
      <c r="FAS49" s="21"/>
      <c r="FAT49" s="21"/>
      <c r="FAU49" s="21"/>
      <c r="FAV49" s="21"/>
      <c r="FAW49" s="21"/>
      <c r="FAX49" s="20"/>
      <c r="FAY49" s="20"/>
      <c r="FAZ49" s="20"/>
      <c r="FBA49" s="20"/>
      <c r="FBB49" s="21"/>
      <c r="FBC49" s="21"/>
      <c r="FBD49" s="7"/>
      <c r="FBE49" s="7"/>
      <c r="FBF49" s="21"/>
      <c r="FBG49" s="20"/>
      <c r="FBH49" s="20"/>
      <c r="FBI49" s="20"/>
      <c r="FBJ49" s="21"/>
      <c r="FBK49" s="21"/>
      <c r="FBL49" s="21"/>
      <c r="FBM49" s="21"/>
      <c r="FBN49" s="21"/>
      <c r="FBO49" s="20"/>
      <c r="FBP49" s="20"/>
      <c r="FBQ49" s="20"/>
      <c r="FBR49" s="20"/>
      <c r="FBS49" s="21"/>
      <c r="FBT49" s="21"/>
      <c r="FBU49" s="7"/>
      <c r="FBV49" s="7"/>
      <c r="FBW49" s="21"/>
      <c r="FBX49" s="20"/>
      <c r="FBY49" s="20"/>
      <c r="FBZ49" s="20"/>
      <c r="FCA49" s="21"/>
      <c r="FCB49" s="21"/>
      <c r="FCC49" s="21"/>
      <c r="FCD49" s="21"/>
      <c r="FCE49" s="21"/>
      <c r="FCF49" s="20"/>
      <c r="FCG49" s="20"/>
      <c r="FCH49" s="20"/>
      <c r="FCI49" s="20"/>
      <c r="FCJ49" s="21"/>
      <c r="FCK49" s="21"/>
      <c r="FCL49" s="7"/>
      <c r="FCM49" s="7"/>
      <c r="FCN49" s="21"/>
      <c r="FCO49" s="20"/>
      <c r="FCP49" s="20"/>
      <c r="FCQ49" s="20"/>
      <c r="FCR49" s="21"/>
      <c r="FCS49" s="21"/>
      <c r="FCT49" s="21"/>
      <c r="FCU49" s="21"/>
      <c r="FCV49" s="21"/>
      <c r="FCW49" s="20"/>
      <c r="FCX49" s="20"/>
      <c r="FCY49" s="20"/>
      <c r="FCZ49" s="20"/>
      <c r="FDA49" s="21"/>
      <c r="FDB49" s="21"/>
      <c r="FDC49" s="7"/>
      <c r="FDD49" s="7"/>
      <c r="FDE49" s="21"/>
      <c r="FDF49" s="20"/>
      <c r="FDG49" s="20"/>
      <c r="FDH49" s="20"/>
      <c r="FDI49" s="21"/>
      <c r="FDJ49" s="21"/>
      <c r="FDK49" s="21"/>
      <c r="FDL49" s="21"/>
      <c r="FDM49" s="21"/>
      <c r="FDN49" s="20"/>
      <c r="FDO49" s="20"/>
      <c r="FDP49" s="20"/>
      <c r="FDQ49" s="20"/>
      <c r="FDR49" s="21"/>
      <c r="FDS49" s="21"/>
      <c r="FDT49" s="7"/>
      <c r="FDU49" s="7"/>
      <c r="FDV49" s="21"/>
      <c r="FDW49" s="20"/>
      <c r="FDX49" s="20"/>
      <c r="FDY49" s="20"/>
      <c r="FDZ49" s="21"/>
      <c r="FEA49" s="21"/>
      <c r="FEB49" s="21"/>
      <c r="FEC49" s="21"/>
      <c r="FED49" s="21"/>
      <c r="FEE49" s="20"/>
      <c r="FEF49" s="20"/>
      <c r="FEG49" s="20"/>
      <c r="FEH49" s="20"/>
      <c r="FEI49" s="21"/>
      <c r="FEJ49" s="21"/>
      <c r="FEK49" s="7"/>
      <c r="FEL49" s="7"/>
      <c r="FEM49" s="21"/>
      <c r="FEN49" s="20"/>
      <c r="FEO49" s="20"/>
      <c r="FEP49" s="20"/>
      <c r="FEQ49" s="21"/>
      <c r="FER49" s="21"/>
      <c r="FES49" s="21"/>
      <c r="FET49" s="21"/>
      <c r="FEU49" s="21"/>
      <c r="FEV49" s="20"/>
      <c r="FEW49" s="20"/>
      <c r="FEX49" s="20"/>
      <c r="FEY49" s="20"/>
      <c r="FEZ49" s="21"/>
      <c r="FFA49" s="21"/>
      <c r="FFB49" s="7"/>
      <c r="FFC49" s="7"/>
      <c r="FFD49" s="21"/>
      <c r="FFE49" s="20"/>
      <c r="FFF49" s="20"/>
      <c r="FFG49" s="20"/>
      <c r="FFH49" s="21"/>
      <c r="FFI49" s="21"/>
      <c r="FFJ49" s="21"/>
      <c r="FFK49" s="21"/>
      <c r="FFL49" s="21"/>
      <c r="FFM49" s="20"/>
      <c r="FFN49" s="20"/>
      <c r="FFO49" s="20"/>
      <c r="FFP49" s="20"/>
      <c r="FFQ49" s="21"/>
      <c r="FFR49" s="21"/>
      <c r="FFS49" s="7"/>
      <c r="FFT49" s="7"/>
      <c r="FFU49" s="21"/>
      <c r="FFV49" s="20"/>
      <c r="FFW49" s="20"/>
      <c r="FFX49" s="20"/>
      <c r="FFY49" s="21"/>
      <c r="FFZ49" s="21"/>
      <c r="FGA49" s="21"/>
      <c r="FGB49" s="21"/>
      <c r="FGC49" s="21"/>
      <c r="FGD49" s="20"/>
      <c r="FGE49" s="20"/>
      <c r="FGF49" s="20"/>
      <c r="FGG49" s="20"/>
      <c r="FGH49" s="21"/>
      <c r="FGI49" s="21"/>
      <c r="FGJ49" s="7"/>
      <c r="FGK49" s="7"/>
      <c r="FGL49" s="21"/>
      <c r="FGM49" s="20"/>
      <c r="FGN49" s="20"/>
      <c r="FGO49" s="20"/>
      <c r="FGP49" s="21"/>
      <c r="FGQ49" s="21"/>
      <c r="FGR49" s="21"/>
      <c r="FGS49" s="21"/>
      <c r="FGT49" s="21"/>
      <c r="FGU49" s="20"/>
      <c r="FGV49" s="20"/>
      <c r="FGW49" s="20"/>
      <c r="FGX49" s="20"/>
      <c r="FGY49" s="21"/>
      <c r="FGZ49" s="21"/>
      <c r="FHA49" s="7"/>
      <c r="FHB49" s="7"/>
      <c r="FHC49" s="21"/>
      <c r="FHD49" s="20"/>
      <c r="FHE49" s="20"/>
      <c r="FHF49" s="20"/>
      <c r="FHG49" s="21"/>
      <c r="FHH49" s="21"/>
      <c r="FHI49" s="21"/>
      <c r="FHJ49" s="21"/>
      <c r="FHK49" s="21"/>
      <c r="FHL49" s="20"/>
      <c r="FHM49" s="20"/>
      <c r="FHN49" s="20"/>
      <c r="FHO49" s="20"/>
      <c r="FHP49" s="21"/>
      <c r="FHQ49" s="21"/>
      <c r="FHR49" s="7"/>
      <c r="FHS49" s="7"/>
      <c r="FHT49" s="21"/>
      <c r="FHU49" s="20"/>
      <c r="FHV49" s="20"/>
      <c r="FHW49" s="20"/>
      <c r="FHX49" s="21"/>
      <c r="FHY49" s="21"/>
      <c r="FHZ49" s="21"/>
      <c r="FIA49" s="21"/>
      <c r="FIB49" s="21"/>
      <c r="FIC49" s="20"/>
      <c r="FID49" s="20"/>
      <c r="FIE49" s="20"/>
      <c r="FIF49" s="20"/>
      <c r="FIG49" s="21"/>
      <c r="FIH49" s="21"/>
      <c r="FII49" s="7"/>
      <c r="FIJ49" s="7"/>
      <c r="FIK49" s="21"/>
      <c r="FIL49" s="20"/>
      <c r="FIM49" s="20"/>
      <c r="FIN49" s="20"/>
      <c r="FIO49" s="21"/>
      <c r="FIP49" s="21"/>
      <c r="FIQ49" s="21"/>
      <c r="FIR49" s="21"/>
      <c r="FIS49" s="21"/>
      <c r="FIT49" s="20"/>
      <c r="FIU49" s="20"/>
      <c r="FIV49" s="20"/>
      <c r="FIW49" s="20"/>
      <c r="FIX49" s="21"/>
      <c r="FIY49" s="21"/>
      <c r="FIZ49" s="7"/>
      <c r="FJA49" s="7"/>
      <c r="FJB49" s="21"/>
      <c r="FJC49" s="20"/>
      <c r="FJD49" s="20"/>
      <c r="FJE49" s="20"/>
      <c r="FJF49" s="21"/>
      <c r="FJG49" s="21"/>
      <c r="FJH49" s="21"/>
      <c r="FJI49" s="21"/>
      <c r="FJJ49" s="21"/>
      <c r="FJK49" s="20"/>
      <c r="FJL49" s="20"/>
      <c r="FJM49" s="20"/>
      <c r="FJN49" s="20"/>
      <c r="FJO49" s="21"/>
      <c r="FJP49" s="21"/>
      <c r="FJQ49" s="7"/>
      <c r="FJR49" s="7"/>
      <c r="FJS49" s="21"/>
      <c r="FJT49" s="20"/>
      <c r="FJU49" s="20"/>
      <c r="FJV49" s="20"/>
      <c r="FJW49" s="21"/>
      <c r="FJX49" s="21"/>
      <c r="FJY49" s="21"/>
      <c r="FJZ49" s="21"/>
      <c r="FKA49" s="21"/>
      <c r="FKB49" s="20"/>
      <c r="FKC49" s="20"/>
      <c r="FKD49" s="20"/>
      <c r="FKE49" s="20"/>
      <c r="FKF49" s="21"/>
      <c r="FKG49" s="21"/>
      <c r="FKH49" s="7"/>
      <c r="FKI49" s="7"/>
      <c r="FKJ49" s="21"/>
      <c r="FKK49" s="20"/>
      <c r="FKL49" s="20"/>
      <c r="FKM49" s="20"/>
      <c r="FKN49" s="21"/>
      <c r="FKO49" s="21"/>
      <c r="FKP49" s="21"/>
      <c r="FKQ49" s="21"/>
      <c r="FKR49" s="21"/>
      <c r="FKS49" s="20"/>
      <c r="FKT49" s="20"/>
      <c r="FKU49" s="20"/>
      <c r="FKV49" s="20"/>
      <c r="FKW49" s="21"/>
      <c r="FKX49" s="21"/>
      <c r="FKY49" s="7"/>
      <c r="FKZ49" s="7"/>
      <c r="FLA49" s="21"/>
      <c r="FLB49" s="20"/>
      <c r="FLC49" s="20"/>
      <c r="FLD49" s="20"/>
      <c r="FLE49" s="21"/>
      <c r="FLF49" s="21"/>
      <c r="FLG49" s="21"/>
      <c r="FLH49" s="21"/>
      <c r="FLI49" s="21"/>
      <c r="FLJ49" s="20"/>
      <c r="FLK49" s="20"/>
      <c r="FLL49" s="20"/>
      <c r="FLM49" s="20"/>
      <c r="FLN49" s="21"/>
      <c r="FLO49" s="21"/>
      <c r="FLP49" s="7"/>
      <c r="FLQ49" s="7"/>
      <c r="FLR49" s="21"/>
      <c r="FLS49" s="20"/>
      <c r="FLT49" s="20"/>
      <c r="FLU49" s="20"/>
      <c r="FLV49" s="21"/>
      <c r="FLW49" s="21"/>
      <c r="FLX49" s="21"/>
      <c r="FLY49" s="21"/>
      <c r="FLZ49" s="21"/>
      <c r="FMA49" s="20"/>
      <c r="FMB49" s="20"/>
      <c r="FMC49" s="20"/>
      <c r="FMD49" s="20"/>
      <c r="FME49" s="21"/>
      <c r="FMF49" s="21"/>
      <c r="FMG49" s="7"/>
      <c r="FMH49" s="7"/>
      <c r="FMI49" s="21"/>
      <c r="FMJ49" s="20"/>
      <c r="FMK49" s="20"/>
      <c r="FML49" s="20"/>
      <c r="FMM49" s="21"/>
      <c r="FMN49" s="21"/>
      <c r="FMO49" s="21"/>
      <c r="FMP49" s="21"/>
      <c r="FMQ49" s="21"/>
      <c r="FMR49" s="20"/>
      <c r="FMS49" s="20"/>
      <c r="FMT49" s="20"/>
      <c r="FMU49" s="20"/>
      <c r="FMV49" s="21"/>
      <c r="FMW49" s="21"/>
      <c r="FMX49" s="7"/>
      <c r="FMY49" s="7"/>
      <c r="FMZ49" s="21"/>
      <c r="FNA49" s="20"/>
      <c r="FNB49" s="20"/>
      <c r="FNC49" s="20"/>
      <c r="FND49" s="21"/>
      <c r="FNE49" s="21"/>
      <c r="FNF49" s="21"/>
      <c r="FNG49" s="21"/>
      <c r="FNH49" s="21"/>
      <c r="FNI49" s="20"/>
      <c r="FNJ49" s="20"/>
      <c r="FNK49" s="20"/>
      <c r="FNL49" s="20"/>
      <c r="FNM49" s="21"/>
      <c r="FNN49" s="21"/>
      <c r="FNO49" s="7"/>
      <c r="FNP49" s="7"/>
      <c r="FNQ49" s="21"/>
      <c r="FNR49" s="20"/>
      <c r="FNS49" s="20"/>
      <c r="FNT49" s="20"/>
      <c r="FNU49" s="21"/>
      <c r="FNV49" s="21"/>
      <c r="FNW49" s="21"/>
      <c r="FNX49" s="21"/>
      <c r="FNY49" s="21"/>
      <c r="FNZ49" s="20"/>
      <c r="FOA49" s="20"/>
      <c r="FOB49" s="20"/>
      <c r="FOC49" s="20"/>
      <c r="FOD49" s="21"/>
      <c r="FOE49" s="21"/>
      <c r="FOF49" s="7"/>
      <c r="FOG49" s="7"/>
      <c r="FOH49" s="21"/>
      <c r="FOI49" s="20"/>
      <c r="FOJ49" s="20"/>
      <c r="FOK49" s="20"/>
      <c r="FOL49" s="21"/>
      <c r="FOM49" s="21"/>
      <c r="FON49" s="21"/>
      <c r="FOO49" s="21"/>
      <c r="FOP49" s="21"/>
      <c r="FOQ49" s="20"/>
      <c r="FOR49" s="20"/>
      <c r="FOS49" s="20"/>
      <c r="FOT49" s="20"/>
      <c r="FOU49" s="21"/>
      <c r="FOV49" s="21"/>
      <c r="FOW49" s="7"/>
      <c r="FOX49" s="7"/>
      <c r="FOY49" s="21"/>
      <c r="FOZ49" s="20"/>
      <c r="FPA49" s="20"/>
      <c r="FPB49" s="20"/>
      <c r="FPC49" s="21"/>
      <c r="FPD49" s="21"/>
      <c r="FPE49" s="21"/>
      <c r="FPF49" s="21"/>
      <c r="FPG49" s="21"/>
      <c r="FPH49" s="20"/>
      <c r="FPI49" s="20"/>
      <c r="FPJ49" s="20"/>
      <c r="FPK49" s="20"/>
      <c r="FPL49" s="21"/>
      <c r="FPM49" s="21"/>
      <c r="FPN49" s="7"/>
      <c r="FPO49" s="7"/>
      <c r="FPP49" s="21"/>
      <c r="FPQ49" s="20"/>
      <c r="FPR49" s="20"/>
      <c r="FPS49" s="20"/>
      <c r="FPT49" s="21"/>
      <c r="FPU49" s="21"/>
      <c r="FPV49" s="21"/>
      <c r="FPW49" s="21"/>
      <c r="FPX49" s="21"/>
      <c r="FPY49" s="20"/>
      <c r="FPZ49" s="20"/>
      <c r="FQA49" s="20"/>
      <c r="FQB49" s="20"/>
      <c r="FQC49" s="21"/>
      <c r="FQD49" s="21"/>
      <c r="FQE49" s="7"/>
      <c r="FQF49" s="7"/>
      <c r="FQG49" s="21"/>
      <c r="FQH49" s="20"/>
      <c r="FQI49" s="20"/>
      <c r="FQJ49" s="20"/>
      <c r="FQK49" s="21"/>
      <c r="FQL49" s="21"/>
      <c r="FQM49" s="21"/>
      <c r="FQN49" s="21"/>
      <c r="FQO49" s="21"/>
      <c r="FQP49" s="20"/>
      <c r="FQQ49" s="20"/>
      <c r="FQR49" s="20"/>
      <c r="FQS49" s="20"/>
      <c r="FQT49" s="21"/>
      <c r="FQU49" s="21"/>
      <c r="FQV49" s="7"/>
      <c r="FQW49" s="7"/>
      <c r="FQX49" s="21"/>
      <c r="FQY49" s="20"/>
      <c r="FQZ49" s="20"/>
      <c r="FRA49" s="20"/>
      <c r="FRB49" s="21"/>
      <c r="FRC49" s="21"/>
      <c r="FRD49" s="21"/>
      <c r="FRE49" s="21"/>
      <c r="FRF49" s="21"/>
      <c r="FRG49" s="20"/>
      <c r="FRH49" s="20"/>
      <c r="FRI49" s="20"/>
      <c r="FRJ49" s="20"/>
      <c r="FRK49" s="21"/>
      <c r="FRL49" s="21"/>
      <c r="FRM49" s="7"/>
      <c r="FRN49" s="7"/>
      <c r="FRO49" s="21"/>
      <c r="FRP49" s="20"/>
      <c r="FRQ49" s="20"/>
      <c r="FRR49" s="20"/>
      <c r="FRS49" s="21"/>
      <c r="FRT49" s="21"/>
      <c r="FRU49" s="21"/>
      <c r="FRV49" s="21"/>
      <c r="FRW49" s="21"/>
      <c r="FRX49" s="20"/>
      <c r="FRY49" s="20"/>
      <c r="FRZ49" s="20"/>
      <c r="FSA49" s="20"/>
      <c r="FSB49" s="21"/>
      <c r="FSC49" s="21"/>
      <c r="FSD49" s="7"/>
      <c r="FSE49" s="7"/>
      <c r="FSF49" s="21"/>
      <c r="FSG49" s="20"/>
      <c r="FSH49" s="20"/>
      <c r="FSI49" s="20"/>
      <c r="FSJ49" s="21"/>
      <c r="FSK49" s="21"/>
      <c r="FSL49" s="21"/>
      <c r="FSM49" s="21"/>
      <c r="FSN49" s="21"/>
      <c r="FSO49" s="20"/>
      <c r="FSP49" s="20"/>
      <c r="FSQ49" s="20"/>
      <c r="FSR49" s="20"/>
      <c r="FSS49" s="21"/>
      <c r="FST49" s="21"/>
      <c r="FSU49" s="7"/>
      <c r="FSV49" s="7"/>
      <c r="FSW49" s="21"/>
      <c r="FSX49" s="20"/>
      <c r="FSY49" s="20"/>
      <c r="FSZ49" s="20"/>
      <c r="FTA49" s="21"/>
      <c r="FTB49" s="21"/>
      <c r="FTC49" s="21"/>
      <c r="FTD49" s="21"/>
      <c r="FTE49" s="21"/>
      <c r="FTF49" s="20"/>
      <c r="FTG49" s="20"/>
      <c r="FTH49" s="20"/>
      <c r="FTI49" s="20"/>
      <c r="FTJ49" s="21"/>
      <c r="FTK49" s="21"/>
      <c r="FTL49" s="7"/>
      <c r="FTM49" s="7"/>
      <c r="FTN49" s="21"/>
      <c r="FTO49" s="20"/>
      <c r="FTP49" s="20"/>
      <c r="FTQ49" s="20"/>
      <c r="FTR49" s="21"/>
      <c r="FTS49" s="21"/>
      <c r="FTT49" s="21"/>
      <c r="FTU49" s="21"/>
      <c r="FTV49" s="21"/>
      <c r="FTW49" s="20"/>
      <c r="FTX49" s="20"/>
      <c r="FTY49" s="20"/>
      <c r="FTZ49" s="20"/>
      <c r="FUA49" s="21"/>
      <c r="FUB49" s="21"/>
      <c r="FUC49" s="7"/>
      <c r="FUD49" s="7"/>
      <c r="FUE49" s="21"/>
      <c r="FUF49" s="20"/>
      <c r="FUG49" s="20"/>
      <c r="FUH49" s="20"/>
      <c r="FUI49" s="21"/>
      <c r="FUJ49" s="21"/>
      <c r="FUK49" s="21"/>
      <c r="FUL49" s="21"/>
      <c r="FUM49" s="21"/>
      <c r="FUN49" s="20"/>
      <c r="FUO49" s="20"/>
      <c r="FUP49" s="20"/>
      <c r="FUQ49" s="20"/>
      <c r="FUR49" s="21"/>
      <c r="FUS49" s="21"/>
      <c r="FUT49" s="7"/>
      <c r="FUU49" s="7"/>
      <c r="FUV49" s="21"/>
      <c r="FUW49" s="20"/>
      <c r="FUX49" s="20"/>
      <c r="FUY49" s="20"/>
      <c r="FUZ49" s="21"/>
      <c r="FVA49" s="21"/>
      <c r="FVB49" s="21"/>
      <c r="FVC49" s="21"/>
      <c r="FVD49" s="21"/>
      <c r="FVE49" s="20"/>
      <c r="FVF49" s="20"/>
      <c r="FVG49" s="20"/>
      <c r="FVH49" s="20"/>
      <c r="FVI49" s="21"/>
      <c r="FVJ49" s="21"/>
      <c r="FVK49" s="7"/>
      <c r="FVL49" s="7"/>
      <c r="FVM49" s="21"/>
      <c r="FVN49" s="20"/>
      <c r="FVO49" s="20"/>
      <c r="FVP49" s="20"/>
      <c r="FVQ49" s="21"/>
      <c r="FVR49" s="21"/>
      <c r="FVS49" s="21"/>
      <c r="FVT49" s="21"/>
      <c r="FVU49" s="21"/>
      <c r="FVV49" s="20"/>
      <c r="FVW49" s="20"/>
      <c r="FVX49" s="20"/>
      <c r="FVY49" s="20"/>
      <c r="FVZ49" s="21"/>
      <c r="FWA49" s="21"/>
      <c r="FWB49" s="7"/>
      <c r="FWC49" s="7"/>
      <c r="FWD49" s="21"/>
      <c r="FWE49" s="20"/>
      <c r="FWF49" s="20"/>
      <c r="FWG49" s="20"/>
      <c r="FWH49" s="21"/>
      <c r="FWI49" s="21"/>
      <c r="FWJ49" s="21"/>
      <c r="FWK49" s="21"/>
      <c r="FWL49" s="21"/>
      <c r="FWM49" s="20"/>
      <c r="FWN49" s="20"/>
      <c r="FWO49" s="20"/>
      <c r="FWP49" s="20"/>
      <c r="FWQ49" s="21"/>
      <c r="FWR49" s="21"/>
      <c r="FWS49" s="7"/>
      <c r="FWT49" s="7"/>
      <c r="FWU49" s="21"/>
      <c r="FWV49" s="20"/>
      <c r="FWW49" s="20"/>
      <c r="FWX49" s="20"/>
      <c r="FWY49" s="21"/>
      <c r="FWZ49" s="21"/>
      <c r="FXA49" s="21"/>
      <c r="FXB49" s="21"/>
      <c r="FXC49" s="21"/>
      <c r="FXD49" s="20"/>
      <c r="FXE49" s="20"/>
      <c r="FXF49" s="20"/>
      <c r="FXG49" s="20"/>
      <c r="FXH49" s="21"/>
      <c r="FXI49" s="21"/>
      <c r="FXJ49" s="7"/>
      <c r="FXK49" s="7"/>
      <c r="FXL49" s="21"/>
      <c r="FXM49" s="20"/>
      <c r="FXN49" s="20"/>
      <c r="FXO49" s="20"/>
      <c r="FXP49" s="21"/>
      <c r="FXQ49" s="21"/>
      <c r="FXR49" s="21"/>
      <c r="FXS49" s="21"/>
      <c r="FXT49" s="21"/>
      <c r="FXU49" s="20"/>
      <c r="FXV49" s="20"/>
      <c r="FXW49" s="20"/>
      <c r="FXX49" s="20"/>
      <c r="FXY49" s="21"/>
      <c r="FXZ49" s="21"/>
      <c r="FYA49" s="7"/>
      <c r="FYB49" s="7"/>
      <c r="FYC49" s="21"/>
      <c r="FYD49" s="20"/>
      <c r="FYE49" s="20"/>
      <c r="FYF49" s="20"/>
      <c r="FYG49" s="21"/>
      <c r="FYH49" s="21"/>
      <c r="FYI49" s="21"/>
      <c r="FYJ49" s="21"/>
      <c r="FYK49" s="21"/>
      <c r="FYL49" s="20"/>
      <c r="FYM49" s="20"/>
      <c r="FYN49" s="20"/>
      <c r="FYO49" s="20"/>
      <c r="FYP49" s="21"/>
      <c r="FYQ49" s="21"/>
      <c r="FYR49" s="7"/>
      <c r="FYS49" s="7"/>
      <c r="FYT49" s="21"/>
      <c r="FYU49" s="20"/>
      <c r="FYV49" s="20"/>
      <c r="FYW49" s="20"/>
      <c r="FYX49" s="21"/>
      <c r="FYY49" s="21"/>
      <c r="FYZ49" s="21"/>
      <c r="FZA49" s="21"/>
      <c r="FZB49" s="21"/>
      <c r="FZC49" s="20"/>
      <c r="FZD49" s="20"/>
      <c r="FZE49" s="20"/>
      <c r="FZF49" s="20"/>
      <c r="FZG49" s="21"/>
      <c r="FZH49" s="21"/>
      <c r="FZI49" s="7"/>
      <c r="FZJ49" s="7"/>
      <c r="FZK49" s="21"/>
      <c r="FZL49" s="20"/>
      <c r="FZM49" s="20"/>
      <c r="FZN49" s="20"/>
      <c r="FZO49" s="21"/>
      <c r="FZP49" s="21"/>
      <c r="FZQ49" s="21"/>
      <c r="FZR49" s="21"/>
      <c r="FZS49" s="21"/>
      <c r="FZT49" s="20"/>
      <c r="FZU49" s="20"/>
      <c r="FZV49" s="20"/>
      <c r="FZW49" s="20"/>
      <c r="FZX49" s="21"/>
      <c r="FZY49" s="21"/>
      <c r="FZZ49" s="7"/>
      <c r="GAA49" s="7"/>
      <c r="GAB49" s="21"/>
      <c r="GAC49" s="20"/>
      <c r="GAD49" s="20"/>
      <c r="GAE49" s="20"/>
      <c r="GAF49" s="21"/>
      <c r="GAG49" s="21"/>
      <c r="GAH49" s="21"/>
      <c r="GAI49" s="21"/>
      <c r="GAJ49" s="21"/>
      <c r="GAK49" s="20"/>
      <c r="GAL49" s="20"/>
      <c r="GAM49" s="20"/>
      <c r="GAN49" s="20"/>
      <c r="GAO49" s="21"/>
      <c r="GAP49" s="21"/>
      <c r="GAQ49" s="7"/>
      <c r="GAR49" s="7"/>
      <c r="GAS49" s="21"/>
      <c r="GAT49" s="20"/>
      <c r="GAU49" s="20"/>
      <c r="GAV49" s="20"/>
      <c r="GAW49" s="21"/>
      <c r="GAX49" s="21"/>
      <c r="GAY49" s="21"/>
      <c r="GAZ49" s="21"/>
      <c r="GBA49" s="21"/>
      <c r="GBB49" s="20"/>
      <c r="GBC49" s="20"/>
      <c r="GBD49" s="20"/>
      <c r="GBE49" s="20"/>
      <c r="GBF49" s="21"/>
      <c r="GBG49" s="21"/>
      <c r="GBH49" s="7"/>
      <c r="GBI49" s="7"/>
      <c r="GBJ49" s="21"/>
      <c r="GBK49" s="20"/>
      <c r="GBL49" s="20"/>
      <c r="GBM49" s="20"/>
      <c r="GBN49" s="21"/>
      <c r="GBO49" s="21"/>
      <c r="GBP49" s="21"/>
      <c r="GBQ49" s="21"/>
      <c r="GBR49" s="21"/>
      <c r="GBS49" s="20"/>
      <c r="GBT49" s="20"/>
      <c r="GBU49" s="20"/>
      <c r="GBV49" s="20"/>
      <c r="GBW49" s="21"/>
      <c r="GBX49" s="21"/>
      <c r="GBY49" s="7"/>
      <c r="GBZ49" s="7"/>
      <c r="GCA49" s="21"/>
      <c r="GCB49" s="20"/>
      <c r="GCC49" s="20"/>
      <c r="GCD49" s="20"/>
      <c r="GCE49" s="21"/>
      <c r="GCF49" s="21"/>
      <c r="GCG49" s="21"/>
      <c r="GCH49" s="21"/>
      <c r="GCI49" s="21"/>
      <c r="GCJ49" s="20"/>
      <c r="GCK49" s="20"/>
      <c r="GCL49" s="20"/>
      <c r="GCM49" s="20"/>
      <c r="GCN49" s="21"/>
      <c r="GCO49" s="21"/>
      <c r="GCP49" s="7"/>
      <c r="GCQ49" s="7"/>
      <c r="GCR49" s="21"/>
      <c r="GCS49" s="20"/>
      <c r="GCT49" s="20"/>
      <c r="GCU49" s="20"/>
      <c r="GCV49" s="21"/>
      <c r="GCW49" s="21"/>
      <c r="GCX49" s="21"/>
      <c r="GCY49" s="21"/>
      <c r="GCZ49" s="21"/>
      <c r="GDA49" s="20"/>
      <c r="GDB49" s="20"/>
      <c r="GDC49" s="20"/>
      <c r="GDD49" s="20"/>
      <c r="GDE49" s="21"/>
      <c r="GDF49" s="21"/>
      <c r="GDG49" s="7"/>
      <c r="GDH49" s="7"/>
      <c r="GDI49" s="21"/>
      <c r="GDJ49" s="20"/>
      <c r="GDK49" s="20"/>
      <c r="GDL49" s="20"/>
      <c r="GDM49" s="21"/>
      <c r="GDN49" s="21"/>
      <c r="GDO49" s="21"/>
      <c r="GDP49" s="21"/>
      <c r="GDQ49" s="21"/>
      <c r="GDR49" s="20"/>
      <c r="GDS49" s="20"/>
      <c r="GDT49" s="20"/>
      <c r="GDU49" s="20"/>
      <c r="GDV49" s="21"/>
      <c r="GDW49" s="21"/>
      <c r="GDX49" s="7"/>
      <c r="GDY49" s="7"/>
      <c r="GDZ49" s="21"/>
      <c r="GEA49" s="20"/>
      <c r="GEB49" s="20"/>
      <c r="GEC49" s="20"/>
      <c r="GED49" s="21"/>
      <c r="GEE49" s="21"/>
      <c r="GEF49" s="21"/>
      <c r="GEG49" s="21"/>
      <c r="GEH49" s="21"/>
      <c r="GEI49" s="20"/>
      <c r="GEJ49" s="20"/>
      <c r="GEK49" s="20"/>
      <c r="GEL49" s="20"/>
      <c r="GEM49" s="21"/>
      <c r="GEN49" s="21"/>
      <c r="GEO49" s="7"/>
      <c r="GEP49" s="7"/>
      <c r="GEQ49" s="21"/>
      <c r="GER49" s="20"/>
      <c r="GES49" s="20"/>
      <c r="GET49" s="20"/>
      <c r="GEU49" s="21"/>
      <c r="GEV49" s="21"/>
      <c r="GEW49" s="21"/>
      <c r="GEX49" s="21"/>
      <c r="GEY49" s="21"/>
      <c r="GEZ49" s="20"/>
      <c r="GFA49" s="20"/>
      <c r="GFB49" s="20"/>
      <c r="GFC49" s="20"/>
      <c r="GFD49" s="21"/>
      <c r="GFE49" s="21"/>
      <c r="GFF49" s="7"/>
      <c r="GFG49" s="7"/>
      <c r="GFH49" s="21"/>
      <c r="GFI49" s="20"/>
      <c r="GFJ49" s="20"/>
      <c r="GFK49" s="20"/>
      <c r="GFL49" s="21"/>
      <c r="GFM49" s="21"/>
      <c r="GFN49" s="21"/>
      <c r="GFO49" s="21"/>
      <c r="GFP49" s="21"/>
      <c r="GFQ49" s="20"/>
      <c r="GFR49" s="20"/>
      <c r="GFS49" s="20"/>
      <c r="GFT49" s="20"/>
      <c r="GFU49" s="21"/>
      <c r="GFV49" s="21"/>
      <c r="GFW49" s="7"/>
      <c r="GFX49" s="7"/>
      <c r="GFY49" s="21"/>
      <c r="GFZ49" s="20"/>
      <c r="GGA49" s="20"/>
      <c r="GGB49" s="20"/>
      <c r="GGC49" s="21"/>
      <c r="GGD49" s="21"/>
      <c r="GGE49" s="21"/>
      <c r="GGF49" s="21"/>
      <c r="GGG49" s="21"/>
      <c r="GGH49" s="20"/>
      <c r="GGI49" s="20"/>
      <c r="GGJ49" s="20"/>
      <c r="GGK49" s="20"/>
      <c r="GGL49" s="21"/>
      <c r="GGM49" s="21"/>
      <c r="GGN49" s="7"/>
      <c r="GGO49" s="7"/>
      <c r="GGP49" s="21"/>
      <c r="GGQ49" s="20"/>
      <c r="GGR49" s="20"/>
      <c r="GGS49" s="20"/>
      <c r="GGT49" s="21"/>
      <c r="GGU49" s="21"/>
      <c r="GGV49" s="21"/>
      <c r="GGW49" s="21"/>
      <c r="GGX49" s="21"/>
      <c r="GGY49" s="20"/>
      <c r="GGZ49" s="20"/>
      <c r="GHA49" s="20"/>
      <c r="GHB49" s="20"/>
      <c r="GHC49" s="21"/>
      <c r="GHD49" s="21"/>
      <c r="GHE49" s="7"/>
      <c r="GHF49" s="7"/>
      <c r="GHG49" s="21"/>
      <c r="GHH49" s="20"/>
      <c r="GHI49" s="20"/>
      <c r="GHJ49" s="20"/>
      <c r="GHK49" s="21"/>
      <c r="GHL49" s="21"/>
      <c r="GHM49" s="21"/>
      <c r="GHN49" s="21"/>
      <c r="GHO49" s="21"/>
      <c r="GHP49" s="20"/>
      <c r="GHQ49" s="20"/>
      <c r="GHR49" s="20"/>
      <c r="GHS49" s="20"/>
      <c r="GHT49" s="21"/>
      <c r="GHU49" s="21"/>
      <c r="GHV49" s="7"/>
      <c r="GHW49" s="7"/>
      <c r="GHX49" s="21"/>
      <c r="GHY49" s="20"/>
      <c r="GHZ49" s="20"/>
      <c r="GIA49" s="20"/>
      <c r="GIB49" s="21"/>
      <c r="GIC49" s="21"/>
      <c r="GID49" s="21"/>
      <c r="GIE49" s="21"/>
      <c r="GIF49" s="21"/>
      <c r="GIG49" s="20"/>
      <c r="GIH49" s="20"/>
      <c r="GII49" s="20"/>
      <c r="GIJ49" s="20"/>
      <c r="GIK49" s="21"/>
      <c r="GIL49" s="21"/>
      <c r="GIM49" s="7"/>
      <c r="GIN49" s="7"/>
      <c r="GIO49" s="21"/>
      <c r="GIP49" s="20"/>
      <c r="GIQ49" s="20"/>
      <c r="GIR49" s="20"/>
      <c r="GIS49" s="21"/>
      <c r="GIT49" s="21"/>
      <c r="GIU49" s="21"/>
      <c r="GIV49" s="21"/>
      <c r="GIW49" s="21"/>
      <c r="GIX49" s="20"/>
      <c r="GIY49" s="20"/>
      <c r="GIZ49" s="20"/>
      <c r="GJA49" s="20"/>
      <c r="GJB49" s="21"/>
      <c r="GJC49" s="21"/>
      <c r="GJD49" s="7"/>
      <c r="GJE49" s="7"/>
      <c r="GJF49" s="21"/>
      <c r="GJG49" s="20"/>
      <c r="GJH49" s="20"/>
      <c r="GJI49" s="20"/>
      <c r="GJJ49" s="21"/>
      <c r="GJK49" s="21"/>
      <c r="GJL49" s="21"/>
      <c r="GJM49" s="21"/>
      <c r="GJN49" s="21"/>
      <c r="GJO49" s="20"/>
      <c r="GJP49" s="20"/>
      <c r="GJQ49" s="20"/>
      <c r="GJR49" s="20"/>
      <c r="GJS49" s="21"/>
      <c r="GJT49" s="21"/>
      <c r="GJU49" s="7"/>
      <c r="GJV49" s="7"/>
      <c r="GJW49" s="21"/>
      <c r="GJX49" s="20"/>
      <c r="GJY49" s="20"/>
      <c r="GJZ49" s="20"/>
      <c r="GKA49" s="21"/>
      <c r="GKB49" s="21"/>
      <c r="GKC49" s="21"/>
      <c r="GKD49" s="21"/>
      <c r="GKE49" s="21"/>
      <c r="GKF49" s="20"/>
      <c r="GKG49" s="20"/>
      <c r="GKH49" s="20"/>
      <c r="GKI49" s="20"/>
      <c r="GKJ49" s="21"/>
      <c r="GKK49" s="21"/>
      <c r="GKL49" s="7"/>
      <c r="GKM49" s="7"/>
      <c r="GKN49" s="21"/>
      <c r="GKO49" s="20"/>
      <c r="GKP49" s="20"/>
      <c r="GKQ49" s="20"/>
      <c r="GKR49" s="21"/>
      <c r="GKS49" s="21"/>
      <c r="GKT49" s="21"/>
      <c r="GKU49" s="21"/>
      <c r="GKV49" s="21"/>
      <c r="GKW49" s="20"/>
      <c r="GKX49" s="20"/>
      <c r="GKY49" s="20"/>
      <c r="GKZ49" s="20"/>
      <c r="GLA49" s="21"/>
      <c r="GLB49" s="21"/>
      <c r="GLC49" s="7"/>
      <c r="GLD49" s="7"/>
      <c r="GLE49" s="21"/>
      <c r="GLF49" s="20"/>
      <c r="GLG49" s="20"/>
      <c r="GLH49" s="20"/>
      <c r="GLI49" s="21"/>
      <c r="GLJ49" s="21"/>
      <c r="GLK49" s="21"/>
      <c r="GLL49" s="21"/>
      <c r="GLM49" s="21"/>
      <c r="GLN49" s="20"/>
      <c r="GLO49" s="20"/>
      <c r="GLP49" s="20"/>
      <c r="GLQ49" s="20"/>
      <c r="GLR49" s="21"/>
      <c r="GLS49" s="21"/>
      <c r="GLT49" s="7"/>
      <c r="GLU49" s="7"/>
      <c r="GLV49" s="21"/>
      <c r="GLW49" s="20"/>
      <c r="GLX49" s="20"/>
      <c r="GLY49" s="20"/>
      <c r="GLZ49" s="21"/>
      <c r="GMA49" s="21"/>
      <c r="GMB49" s="21"/>
      <c r="GMC49" s="21"/>
      <c r="GMD49" s="21"/>
      <c r="GME49" s="20"/>
      <c r="GMF49" s="20"/>
      <c r="GMG49" s="20"/>
      <c r="GMH49" s="20"/>
      <c r="GMI49" s="21"/>
      <c r="GMJ49" s="21"/>
      <c r="GMK49" s="7"/>
      <c r="GML49" s="7"/>
      <c r="GMM49" s="21"/>
      <c r="GMN49" s="20"/>
      <c r="GMO49" s="20"/>
      <c r="GMP49" s="20"/>
      <c r="GMQ49" s="21"/>
      <c r="GMR49" s="21"/>
      <c r="GMS49" s="21"/>
      <c r="GMT49" s="21"/>
      <c r="GMU49" s="21"/>
      <c r="GMV49" s="20"/>
      <c r="GMW49" s="20"/>
      <c r="GMX49" s="20"/>
      <c r="GMY49" s="20"/>
      <c r="GMZ49" s="21"/>
      <c r="GNA49" s="21"/>
      <c r="GNB49" s="7"/>
      <c r="GNC49" s="7"/>
      <c r="GND49" s="21"/>
      <c r="GNE49" s="20"/>
      <c r="GNF49" s="20"/>
      <c r="GNG49" s="20"/>
      <c r="GNH49" s="21"/>
      <c r="GNI49" s="21"/>
      <c r="GNJ49" s="21"/>
      <c r="GNK49" s="21"/>
      <c r="GNL49" s="21"/>
      <c r="GNM49" s="20"/>
      <c r="GNN49" s="20"/>
      <c r="GNO49" s="20"/>
      <c r="GNP49" s="20"/>
      <c r="GNQ49" s="21"/>
      <c r="GNR49" s="21"/>
      <c r="GNS49" s="7"/>
      <c r="GNT49" s="7"/>
      <c r="GNU49" s="21"/>
      <c r="GNV49" s="20"/>
      <c r="GNW49" s="20"/>
      <c r="GNX49" s="20"/>
      <c r="GNY49" s="21"/>
      <c r="GNZ49" s="21"/>
      <c r="GOA49" s="21"/>
      <c r="GOB49" s="21"/>
      <c r="GOC49" s="21"/>
      <c r="GOD49" s="20"/>
      <c r="GOE49" s="20"/>
      <c r="GOF49" s="20"/>
      <c r="GOG49" s="20"/>
      <c r="GOH49" s="21"/>
      <c r="GOI49" s="21"/>
      <c r="GOJ49" s="7"/>
      <c r="GOK49" s="7"/>
      <c r="GOL49" s="21"/>
      <c r="GOM49" s="20"/>
      <c r="GON49" s="20"/>
      <c r="GOO49" s="20"/>
      <c r="GOP49" s="21"/>
      <c r="GOQ49" s="21"/>
      <c r="GOR49" s="21"/>
      <c r="GOS49" s="21"/>
      <c r="GOT49" s="21"/>
      <c r="GOU49" s="20"/>
      <c r="GOV49" s="20"/>
      <c r="GOW49" s="20"/>
      <c r="GOX49" s="20"/>
      <c r="GOY49" s="21"/>
      <c r="GOZ49" s="21"/>
      <c r="GPA49" s="7"/>
      <c r="GPB49" s="7"/>
      <c r="GPC49" s="21"/>
      <c r="GPD49" s="20"/>
      <c r="GPE49" s="20"/>
      <c r="GPF49" s="20"/>
      <c r="GPG49" s="21"/>
      <c r="GPH49" s="21"/>
      <c r="GPI49" s="21"/>
      <c r="GPJ49" s="21"/>
      <c r="GPK49" s="21"/>
      <c r="GPL49" s="20"/>
      <c r="GPM49" s="20"/>
      <c r="GPN49" s="20"/>
      <c r="GPO49" s="20"/>
      <c r="GPP49" s="21"/>
      <c r="GPQ49" s="21"/>
      <c r="GPR49" s="7"/>
      <c r="GPS49" s="7"/>
      <c r="GPT49" s="21"/>
      <c r="GPU49" s="20"/>
      <c r="GPV49" s="20"/>
      <c r="GPW49" s="20"/>
      <c r="GPX49" s="21"/>
      <c r="GPY49" s="21"/>
      <c r="GPZ49" s="21"/>
      <c r="GQA49" s="21"/>
      <c r="GQB49" s="21"/>
      <c r="GQC49" s="20"/>
      <c r="GQD49" s="20"/>
      <c r="GQE49" s="20"/>
      <c r="GQF49" s="20"/>
      <c r="GQG49" s="21"/>
      <c r="GQH49" s="21"/>
      <c r="GQI49" s="7"/>
      <c r="GQJ49" s="7"/>
      <c r="GQK49" s="21"/>
      <c r="GQL49" s="20"/>
      <c r="GQM49" s="20"/>
      <c r="GQN49" s="20"/>
      <c r="GQO49" s="21"/>
      <c r="GQP49" s="21"/>
      <c r="GQQ49" s="21"/>
      <c r="GQR49" s="21"/>
      <c r="GQS49" s="21"/>
      <c r="GQT49" s="20"/>
      <c r="GQU49" s="20"/>
      <c r="GQV49" s="20"/>
      <c r="GQW49" s="20"/>
      <c r="GQX49" s="21"/>
      <c r="GQY49" s="21"/>
      <c r="GQZ49" s="7"/>
      <c r="GRA49" s="7"/>
      <c r="GRB49" s="21"/>
      <c r="GRC49" s="20"/>
      <c r="GRD49" s="20"/>
      <c r="GRE49" s="20"/>
      <c r="GRF49" s="21"/>
      <c r="GRG49" s="21"/>
      <c r="GRH49" s="21"/>
      <c r="GRI49" s="21"/>
      <c r="GRJ49" s="21"/>
      <c r="GRK49" s="20"/>
      <c r="GRL49" s="20"/>
      <c r="GRM49" s="20"/>
      <c r="GRN49" s="20"/>
      <c r="GRO49" s="21"/>
      <c r="GRP49" s="21"/>
      <c r="GRQ49" s="7"/>
      <c r="GRR49" s="7"/>
      <c r="GRS49" s="21"/>
      <c r="GRT49" s="20"/>
      <c r="GRU49" s="20"/>
      <c r="GRV49" s="20"/>
      <c r="GRW49" s="21"/>
      <c r="GRX49" s="21"/>
      <c r="GRY49" s="21"/>
      <c r="GRZ49" s="21"/>
      <c r="GSA49" s="21"/>
      <c r="GSB49" s="20"/>
      <c r="GSC49" s="20"/>
      <c r="GSD49" s="20"/>
      <c r="GSE49" s="20"/>
      <c r="GSF49" s="21"/>
      <c r="GSG49" s="21"/>
      <c r="GSH49" s="7"/>
      <c r="GSI49" s="7"/>
      <c r="GSJ49" s="21"/>
      <c r="GSK49" s="20"/>
      <c r="GSL49" s="20"/>
      <c r="GSM49" s="20"/>
      <c r="GSN49" s="21"/>
      <c r="GSO49" s="21"/>
      <c r="GSP49" s="21"/>
      <c r="GSQ49" s="21"/>
      <c r="GSR49" s="21"/>
      <c r="GSS49" s="20"/>
      <c r="GST49" s="20"/>
      <c r="GSU49" s="20"/>
      <c r="GSV49" s="20"/>
      <c r="GSW49" s="21"/>
      <c r="GSX49" s="21"/>
      <c r="GSY49" s="7"/>
      <c r="GSZ49" s="7"/>
      <c r="GTA49" s="21"/>
      <c r="GTB49" s="20"/>
      <c r="GTC49" s="20"/>
      <c r="GTD49" s="20"/>
      <c r="GTE49" s="21"/>
      <c r="GTF49" s="21"/>
      <c r="GTG49" s="21"/>
      <c r="GTH49" s="21"/>
      <c r="GTI49" s="21"/>
      <c r="GTJ49" s="20"/>
      <c r="GTK49" s="20"/>
      <c r="GTL49" s="20"/>
      <c r="GTM49" s="20"/>
      <c r="GTN49" s="21"/>
      <c r="GTO49" s="21"/>
      <c r="GTP49" s="7"/>
      <c r="GTQ49" s="7"/>
      <c r="GTR49" s="21"/>
      <c r="GTS49" s="20"/>
      <c r="GTT49" s="20"/>
      <c r="GTU49" s="20"/>
      <c r="GTV49" s="21"/>
      <c r="GTW49" s="21"/>
      <c r="GTX49" s="21"/>
      <c r="GTY49" s="21"/>
      <c r="GTZ49" s="21"/>
      <c r="GUA49" s="20"/>
      <c r="GUB49" s="20"/>
      <c r="GUC49" s="20"/>
      <c r="GUD49" s="20"/>
      <c r="GUE49" s="21"/>
      <c r="GUF49" s="21"/>
      <c r="GUG49" s="7"/>
      <c r="GUH49" s="7"/>
      <c r="GUI49" s="21"/>
      <c r="GUJ49" s="20"/>
      <c r="GUK49" s="20"/>
      <c r="GUL49" s="20"/>
      <c r="GUM49" s="21"/>
      <c r="GUN49" s="21"/>
      <c r="GUO49" s="21"/>
      <c r="GUP49" s="21"/>
      <c r="GUQ49" s="21"/>
      <c r="GUR49" s="20"/>
      <c r="GUS49" s="20"/>
      <c r="GUT49" s="20"/>
      <c r="GUU49" s="20"/>
      <c r="GUV49" s="21"/>
      <c r="GUW49" s="21"/>
      <c r="GUX49" s="7"/>
      <c r="GUY49" s="7"/>
      <c r="GUZ49" s="21"/>
      <c r="GVA49" s="20"/>
      <c r="GVB49" s="20"/>
      <c r="GVC49" s="20"/>
      <c r="GVD49" s="21"/>
      <c r="GVE49" s="21"/>
      <c r="GVF49" s="21"/>
      <c r="GVG49" s="21"/>
      <c r="GVH49" s="21"/>
      <c r="GVI49" s="20"/>
      <c r="GVJ49" s="20"/>
      <c r="GVK49" s="20"/>
      <c r="GVL49" s="20"/>
      <c r="GVM49" s="21"/>
      <c r="GVN49" s="21"/>
      <c r="GVO49" s="7"/>
      <c r="GVP49" s="7"/>
      <c r="GVQ49" s="21"/>
      <c r="GVR49" s="20"/>
      <c r="GVS49" s="20"/>
      <c r="GVT49" s="20"/>
      <c r="GVU49" s="21"/>
      <c r="GVV49" s="21"/>
      <c r="GVW49" s="21"/>
      <c r="GVX49" s="21"/>
      <c r="GVY49" s="21"/>
      <c r="GVZ49" s="20"/>
      <c r="GWA49" s="20"/>
      <c r="GWB49" s="20"/>
      <c r="GWC49" s="20"/>
      <c r="GWD49" s="21"/>
      <c r="GWE49" s="21"/>
      <c r="GWF49" s="7"/>
      <c r="GWG49" s="7"/>
      <c r="GWH49" s="21"/>
      <c r="GWI49" s="20"/>
      <c r="GWJ49" s="20"/>
      <c r="GWK49" s="20"/>
      <c r="GWL49" s="21"/>
      <c r="GWM49" s="21"/>
      <c r="GWN49" s="21"/>
      <c r="GWO49" s="21"/>
      <c r="GWP49" s="21"/>
      <c r="GWQ49" s="20"/>
      <c r="GWR49" s="20"/>
      <c r="GWS49" s="20"/>
      <c r="GWT49" s="20"/>
      <c r="GWU49" s="21"/>
      <c r="GWV49" s="21"/>
      <c r="GWW49" s="7"/>
      <c r="GWX49" s="7"/>
      <c r="GWY49" s="21"/>
      <c r="GWZ49" s="20"/>
      <c r="GXA49" s="20"/>
      <c r="GXB49" s="20"/>
      <c r="GXC49" s="21"/>
      <c r="GXD49" s="21"/>
      <c r="GXE49" s="21"/>
      <c r="GXF49" s="21"/>
      <c r="GXG49" s="21"/>
      <c r="GXH49" s="20"/>
      <c r="GXI49" s="20"/>
      <c r="GXJ49" s="20"/>
      <c r="GXK49" s="20"/>
      <c r="GXL49" s="21"/>
      <c r="GXM49" s="21"/>
      <c r="GXN49" s="7"/>
      <c r="GXO49" s="7"/>
      <c r="GXP49" s="21"/>
      <c r="GXQ49" s="20"/>
      <c r="GXR49" s="20"/>
      <c r="GXS49" s="20"/>
      <c r="GXT49" s="21"/>
      <c r="GXU49" s="21"/>
      <c r="GXV49" s="21"/>
      <c r="GXW49" s="21"/>
      <c r="GXX49" s="21"/>
      <c r="GXY49" s="20"/>
      <c r="GXZ49" s="20"/>
      <c r="GYA49" s="20"/>
      <c r="GYB49" s="20"/>
      <c r="GYC49" s="21"/>
      <c r="GYD49" s="21"/>
      <c r="GYE49" s="7"/>
      <c r="GYF49" s="7"/>
      <c r="GYG49" s="21"/>
      <c r="GYH49" s="20"/>
      <c r="GYI49" s="20"/>
      <c r="GYJ49" s="20"/>
      <c r="GYK49" s="21"/>
      <c r="GYL49" s="21"/>
      <c r="GYM49" s="21"/>
      <c r="GYN49" s="21"/>
      <c r="GYO49" s="21"/>
      <c r="GYP49" s="20"/>
      <c r="GYQ49" s="20"/>
      <c r="GYR49" s="20"/>
      <c r="GYS49" s="20"/>
      <c r="GYT49" s="21"/>
      <c r="GYU49" s="21"/>
      <c r="GYV49" s="7"/>
      <c r="GYW49" s="7"/>
      <c r="GYX49" s="21"/>
      <c r="GYY49" s="20"/>
      <c r="GYZ49" s="20"/>
      <c r="GZA49" s="20"/>
      <c r="GZB49" s="21"/>
      <c r="GZC49" s="21"/>
      <c r="GZD49" s="21"/>
      <c r="GZE49" s="21"/>
      <c r="GZF49" s="21"/>
      <c r="GZG49" s="20"/>
      <c r="GZH49" s="20"/>
      <c r="GZI49" s="20"/>
      <c r="GZJ49" s="20"/>
      <c r="GZK49" s="21"/>
      <c r="GZL49" s="21"/>
      <c r="GZM49" s="7"/>
      <c r="GZN49" s="7"/>
      <c r="GZO49" s="21"/>
      <c r="GZP49" s="20"/>
      <c r="GZQ49" s="20"/>
      <c r="GZR49" s="20"/>
      <c r="GZS49" s="21"/>
      <c r="GZT49" s="21"/>
      <c r="GZU49" s="21"/>
      <c r="GZV49" s="21"/>
      <c r="GZW49" s="21"/>
      <c r="GZX49" s="20"/>
      <c r="GZY49" s="20"/>
      <c r="GZZ49" s="20"/>
      <c r="HAA49" s="20"/>
      <c r="HAB49" s="21"/>
      <c r="HAC49" s="21"/>
      <c r="HAD49" s="7"/>
      <c r="HAE49" s="7"/>
      <c r="HAF49" s="21"/>
      <c r="HAG49" s="20"/>
      <c r="HAH49" s="20"/>
      <c r="HAI49" s="20"/>
      <c r="HAJ49" s="21"/>
      <c r="HAK49" s="21"/>
      <c r="HAL49" s="21"/>
      <c r="HAM49" s="21"/>
      <c r="HAN49" s="21"/>
      <c r="HAO49" s="20"/>
      <c r="HAP49" s="20"/>
      <c r="HAQ49" s="20"/>
      <c r="HAR49" s="20"/>
      <c r="HAS49" s="21"/>
      <c r="HAT49" s="21"/>
      <c r="HAU49" s="7"/>
      <c r="HAV49" s="7"/>
      <c r="HAW49" s="21"/>
      <c r="HAX49" s="20"/>
      <c r="HAY49" s="20"/>
      <c r="HAZ49" s="20"/>
      <c r="HBA49" s="21"/>
      <c r="HBB49" s="21"/>
      <c r="HBC49" s="21"/>
      <c r="HBD49" s="21"/>
      <c r="HBE49" s="21"/>
      <c r="HBF49" s="20"/>
      <c r="HBG49" s="20"/>
      <c r="HBH49" s="20"/>
      <c r="HBI49" s="20"/>
      <c r="HBJ49" s="21"/>
      <c r="HBK49" s="21"/>
      <c r="HBL49" s="7"/>
      <c r="HBM49" s="7"/>
      <c r="HBN49" s="21"/>
      <c r="HBO49" s="20"/>
      <c r="HBP49" s="20"/>
      <c r="HBQ49" s="20"/>
      <c r="HBR49" s="21"/>
      <c r="HBS49" s="21"/>
      <c r="HBT49" s="21"/>
      <c r="HBU49" s="21"/>
      <c r="HBV49" s="21"/>
      <c r="HBW49" s="20"/>
      <c r="HBX49" s="20"/>
      <c r="HBY49" s="20"/>
      <c r="HBZ49" s="20"/>
      <c r="HCA49" s="21"/>
      <c r="HCB49" s="21"/>
      <c r="HCC49" s="7"/>
      <c r="HCD49" s="7"/>
      <c r="HCE49" s="21"/>
      <c r="HCF49" s="20"/>
      <c r="HCG49" s="20"/>
      <c r="HCH49" s="20"/>
      <c r="HCI49" s="21"/>
      <c r="HCJ49" s="21"/>
      <c r="HCK49" s="21"/>
      <c r="HCL49" s="21"/>
      <c r="HCM49" s="21"/>
      <c r="HCN49" s="20"/>
      <c r="HCO49" s="20"/>
      <c r="HCP49" s="20"/>
      <c r="HCQ49" s="20"/>
      <c r="HCR49" s="21"/>
      <c r="HCS49" s="21"/>
      <c r="HCT49" s="7"/>
      <c r="HCU49" s="7"/>
      <c r="HCV49" s="21"/>
      <c r="HCW49" s="20"/>
      <c r="HCX49" s="20"/>
      <c r="HCY49" s="20"/>
      <c r="HCZ49" s="21"/>
      <c r="HDA49" s="21"/>
      <c r="HDB49" s="21"/>
      <c r="HDC49" s="21"/>
      <c r="HDD49" s="21"/>
      <c r="HDE49" s="20"/>
      <c r="HDF49" s="20"/>
      <c r="HDG49" s="20"/>
      <c r="HDH49" s="20"/>
      <c r="HDI49" s="21"/>
      <c r="HDJ49" s="21"/>
      <c r="HDK49" s="7"/>
      <c r="HDL49" s="7"/>
      <c r="HDM49" s="21"/>
      <c r="HDN49" s="20"/>
      <c r="HDO49" s="20"/>
      <c r="HDP49" s="20"/>
      <c r="HDQ49" s="21"/>
      <c r="HDR49" s="21"/>
      <c r="HDS49" s="21"/>
      <c r="HDT49" s="21"/>
      <c r="HDU49" s="21"/>
      <c r="HDV49" s="20"/>
      <c r="HDW49" s="20"/>
      <c r="HDX49" s="20"/>
      <c r="HDY49" s="20"/>
      <c r="HDZ49" s="21"/>
      <c r="HEA49" s="21"/>
      <c r="HEB49" s="7"/>
      <c r="HEC49" s="7"/>
      <c r="HED49" s="21"/>
      <c r="HEE49" s="20"/>
      <c r="HEF49" s="20"/>
      <c r="HEG49" s="20"/>
      <c r="HEH49" s="21"/>
      <c r="HEI49" s="21"/>
      <c r="HEJ49" s="21"/>
      <c r="HEK49" s="21"/>
      <c r="HEL49" s="21"/>
      <c r="HEM49" s="20"/>
      <c r="HEN49" s="20"/>
      <c r="HEO49" s="20"/>
      <c r="HEP49" s="20"/>
      <c r="HEQ49" s="21"/>
      <c r="HER49" s="21"/>
      <c r="HES49" s="7"/>
      <c r="HET49" s="7"/>
      <c r="HEU49" s="21"/>
      <c r="HEV49" s="20"/>
      <c r="HEW49" s="20"/>
      <c r="HEX49" s="20"/>
      <c r="HEY49" s="21"/>
      <c r="HEZ49" s="21"/>
      <c r="HFA49" s="21"/>
      <c r="HFB49" s="21"/>
      <c r="HFC49" s="21"/>
      <c r="HFD49" s="20"/>
      <c r="HFE49" s="20"/>
      <c r="HFF49" s="20"/>
      <c r="HFG49" s="20"/>
      <c r="HFH49" s="21"/>
      <c r="HFI49" s="21"/>
      <c r="HFJ49" s="7"/>
      <c r="HFK49" s="7"/>
      <c r="HFL49" s="21"/>
      <c r="HFM49" s="20"/>
      <c r="HFN49" s="20"/>
      <c r="HFO49" s="20"/>
      <c r="HFP49" s="21"/>
      <c r="HFQ49" s="21"/>
      <c r="HFR49" s="21"/>
      <c r="HFS49" s="21"/>
      <c r="HFT49" s="21"/>
      <c r="HFU49" s="20"/>
      <c r="HFV49" s="20"/>
      <c r="HFW49" s="20"/>
      <c r="HFX49" s="20"/>
      <c r="HFY49" s="21"/>
      <c r="HFZ49" s="21"/>
      <c r="HGA49" s="7"/>
      <c r="HGB49" s="7"/>
      <c r="HGC49" s="21"/>
      <c r="HGD49" s="20"/>
      <c r="HGE49" s="20"/>
      <c r="HGF49" s="20"/>
      <c r="HGG49" s="21"/>
      <c r="HGH49" s="21"/>
      <c r="HGI49" s="21"/>
      <c r="HGJ49" s="21"/>
      <c r="HGK49" s="21"/>
      <c r="HGL49" s="20"/>
      <c r="HGM49" s="20"/>
      <c r="HGN49" s="20"/>
      <c r="HGO49" s="20"/>
      <c r="HGP49" s="21"/>
      <c r="HGQ49" s="21"/>
      <c r="HGR49" s="7"/>
      <c r="HGS49" s="7"/>
      <c r="HGT49" s="21"/>
      <c r="HGU49" s="20"/>
      <c r="HGV49" s="20"/>
      <c r="HGW49" s="20"/>
      <c r="HGX49" s="21"/>
      <c r="HGY49" s="21"/>
      <c r="HGZ49" s="21"/>
      <c r="HHA49" s="21"/>
      <c r="HHB49" s="21"/>
      <c r="HHC49" s="20"/>
      <c r="HHD49" s="20"/>
      <c r="HHE49" s="20"/>
      <c r="HHF49" s="20"/>
      <c r="HHG49" s="21"/>
      <c r="HHH49" s="21"/>
      <c r="HHI49" s="7"/>
      <c r="HHJ49" s="7"/>
      <c r="HHK49" s="21"/>
      <c r="HHL49" s="20"/>
      <c r="HHM49" s="20"/>
      <c r="HHN49" s="20"/>
      <c r="HHO49" s="21"/>
      <c r="HHP49" s="21"/>
      <c r="HHQ49" s="21"/>
      <c r="HHR49" s="21"/>
      <c r="HHS49" s="21"/>
      <c r="HHT49" s="20"/>
      <c r="HHU49" s="20"/>
      <c r="HHV49" s="20"/>
      <c r="HHW49" s="20"/>
      <c r="HHX49" s="21"/>
      <c r="HHY49" s="21"/>
      <c r="HHZ49" s="7"/>
      <c r="HIA49" s="7"/>
      <c r="HIB49" s="21"/>
      <c r="HIC49" s="20"/>
      <c r="HID49" s="20"/>
      <c r="HIE49" s="20"/>
      <c r="HIF49" s="21"/>
      <c r="HIG49" s="21"/>
      <c r="HIH49" s="21"/>
      <c r="HII49" s="21"/>
      <c r="HIJ49" s="21"/>
      <c r="HIK49" s="20"/>
      <c r="HIL49" s="20"/>
      <c r="HIM49" s="20"/>
      <c r="HIN49" s="20"/>
      <c r="HIO49" s="21"/>
      <c r="HIP49" s="21"/>
      <c r="HIQ49" s="7"/>
      <c r="HIR49" s="7"/>
      <c r="HIS49" s="21"/>
      <c r="HIT49" s="20"/>
      <c r="HIU49" s="20"/>
      <c r="HIV49" s="20"/>
      <c r="HIW49" s="21"/>
      <c r="HIX49" s="21"/>
      <c r="HIY49" s="21"/>
      <c r="HIZ49" s="21"/>
      <c r="HJA49" s="21"/>
      <c r="HJB49" s="20"/>
      <c r="HJC49" s="20"/>
      <c r="HJD49" s="20"/>
      <c r="HJE49" s="20"/>
      <c r="HJF49" s="21"/>
      <c r="HJG49" s="21"/>
      <c r="HJH49" s="7"/>
      <c r="HJI49" s="7"/>
      <c r="HJJ49" s="21"/>
      <c r="HJK49" s="20"/>
      <c r="HJL49" s="20"/>
      <c r="HJM49" s="20"/>
      <c r="HJN49" s="21"/>
      <c r="HJO49" s="21"/>
      <c r="HJP49" s="21"/>
      <c r="HJQ49" s="21"/>
      <c r="HJR49" s="21"/>
      <c r="HJS49" s="20"/>
      <c r="HJT49" s="20"/>
      <c r="HJU49" s="20"/>
      <c r="HJV49" s="20"/>
      <c r="HJW49" s="21"/>
      <c r="HJX49" s="21"/>
      <c r="HJY49" s="7"/>
      <c r="HJZ49" s="7"/>
      <c r="HKA49" s="21"/>
      <c r="HKB49" s="20"/>
      <c r="HKC49" s="20"/>
      <c r="HKD49" s="20"/>
      <c r="HKE49" s="21"/>
      <c r="HKF49" s="21"/>
      <c r="HKG49" s="21"/>
      <c r="HKH49" s="21"/>
      <c r="HKI49" s="21"/>
      <c r="HKJ49" s="20"/>
      <c r="HKK49" s="20"/>
      <c r="HKL49" s="20"/>
      <c r="HKM49" s="20"/>
      <c r="HKN49" s="21"/>
      <c r="HKO49" s="21"/>
      <c r="HKP49" s="7"/>
      <c r="HKQ49" s="7"/>
      <c r="HKR49" s="21"/>
      <c r="HKS49" s="20"/>
      <c r="HKT49" s="20"/>
      <c r="HKU49" s="20"/>
      <c r="HKV49" s="21"/>
      <c r="HKW49" s="21"/>
      <c r="HKX49" s="21"/>
      <c r="HKY49" s="21"/>
      <c r="HKZ49" s="21"/>
      <c r="HLA49" s="20"/>
      <c r="HLB49" s="20"/>
      <c r="HLC49" s="20"/>
      <c r="HLD49" s="20"/>
      <c r="HLE49" s="21"/>
      <c r="HLF49" s="21"/>
      <c r="HLG49" s="7"/>
      <c r="HLH49" s="7"/>
      <c r="HLI49" s="21"/>
      <c r="HLJ49" s="20"/>
      <c r="HLK49" s="20"/>
      <c r="HLL49" s="20"/>
      <c r="HLM49" s="21"/>
      <c r="HLN49" s="21"/>
      <c r="HLO49" s="21"/>
      <c r="HLP49" s="21"/>
      <c r="HLQ49" s="21"/>
      <c r="HLR49" s="20"/>
      <c r="HLS49" s="20"/>
      <c r="HLT49" s="20"/>
      <c r="HLU49" s="20"/>
      <c r="HLV49" s="21"/>
      <c r="HLW49" s="21"/>
      <c r="HLX49" s="7"/>
      <c r="HLY49" s="7"/>
      <c r="HLZ49" s="21"/>
      <c r="HMA49" s="20"/>
      <c r="HMB49" s="20"/>
      <c r="HMC49" s="20"/>
      <c r="HMD49" s="21"/>
      <c r="HME49" s="21"/>
      <c r="HMF49" s="21"/>
      <c r="HMG49" s="21"/>
      <c r="HMH49" s="21"/>
      <c r="HMI49" s="20"/>
      <c r="HMJ49" s="20"/>
      <c r="HMK49" s="20"/>
      <c r="HML49" s="20"/>
      <c r="HMM49" s="21"/>
      <c r="HMN49" s="21"/>
      <c r="HMO49" s="7"/>
      <c r="HMP49" s="7"/>
      <c r="HMQ49" s="21"/>
      <c r="HMR49" s="20"/>
      <c r="HMS49" s="20"/>
      <c r="HMT49" s="20"/>
      <c r="HMU49" s="21"/>
      <c r="HMV49" s="21"/>
      <c r="HMW49" s="21"/>
      <c r="HMX49" s="21"/>
      <c r="HMY49" s="21"/>
      <c r="HMZ49" s="20"/>
      <c r="HNA49" s="20"/>
      <c r="HNB49" s="20"/>
      <c r="HNC49" s="20"/>
      <c r="HND49" s="21"/>
      <c r="HNE49" s="21"/>
      <c r="HNF49" s="7"/>
      <c r="HNG49" s="7"/>
      <c r="HNH49" s="21"/>
      <c r="HNI49" s="20"/>
      <c r="HNJ49" s="20"/>
      <c r="HNK49" s="20"/>
      <c r="HNL49" s="21"/>
      <c r="HNM49" s="21"/>
      <c r="HNN49" s="21"/>
      <c r="HNO49" s="21"/>
      <c r="HNP49" s="21"/>
      <c r="HNQ49" s="20"/>
      <c r="HNR49" s="20"/>
      <c r="HNS49" s="20"/>
      <c r="HNT49" s="20"/>
      <c r="HNU49" s="21"/>
      <c r="HNV49" s="21"/>
      <c r="HNW49" s="7"/>
      <c r="HNX49" s="7"/>
      <c r="HNY49" s="21"/>
      <c r="HNZ49" s="20"/>
      <c r="HOA49" s="20"/>
      <c r="HOB49" s="20"/>
      <c r="HOC49" s="21"/>
      <c r="HOD49" s="21"/>
      <c r="HOE49" s="21"/>
      <c r="HOF49" s="21"/>
      <c r="HOG49" s="21"/>
      <c r="HOH49" s="20"/>
      <c r="HOI49" s="20"/>
      <c r="HOJ49" s="20"/>
      <c r="HOK49" s="20"/>
      <c r="HOL49" s="21"/>
      <c r="HOM49" s="21"/>
      <c r="HON49" s="7"/>
      <c r="HOO49" s="7"/>
      <c r="HOP49" s="21"/>
      <c r="HOQ49" s="20"/>
      <c r="HOR49" s="20"/>
      <c r="HOS49" s="20"/>
      <c r="HOT49" s="21"/>
      <c r="HOU49" s="21"/>
      <c r="HOV49" s="21"/>
      <c r="HOW49" s="21"/>
      <c r="HOX49" s="21"/>
      <c r="HOY49" s="20"/>
      <c r="HOZ49" s="20"/>
      <c r="HPA49" s="20"/>
      <c r="HPB49" s="20"/>
      <c r="HPC49" s="21"/>
      <c r="HPD49" s="21"/>
      <c r="HPE49" s="7"/>
      <c r="HPF49" s="7"/>
      <c r="HPG49" s="21"/>
      <c r="HPH49" s="20"/>
      <c r="HPI49" s="20"/>
      <c r="HPJ49" s="20"/>
      <c r="HPK49" s="21"/>
      <c r="HPL49" s="21"/>
      <c r="HPM49" s="21"/>
      <c r="HPN49" s="21"/>
      <c r="HPO49" s="21"/>
      <c r="HPP49" s="20"/>
      <c r="HPQ49" s="20"/>
      <c r="HPR49" s="20"/>
      <c r="HPS49" s="20"/>
      <c r="HPT49" s="21"/>
      <c r="HPU49" s="21"/>
      <c r="HPV49" s="7"/>
      <c r="HPW49" s="7"/>
      <c r="HPX49" s="21"/>
      <c r="HPY49" s="20"/>
      <c r="HPZ49" s="20"/>
      <c r="HQA49" s="20"/>
      <c r="HQB49" s="21"/>
      <c r="HQC49" s="21"/>
      <c r="HQD49" s="21"/>
      <c r="HQE49" s="21"/>
      <c r="HQF49" s="21"/>
      <c r="HQG49" s="20"/>
      <c r="HQH49" s="20"/>
      <c r="HQI49" s="20"/>
      <c r="HQJ49" s="20"/>
      <c r="HQK49" s="21"/>
      <c r="HQL49" s="21"/>
      <c r="HQM49" s="7"/>
      <c r="HQN49" s="7"/>
      <c r="HQO49" s="21"/>
      <c r="HQP49" s="20"/>
      <c r="HQQ49" s="20"/>
      <c r="HQR49" s="20"/>
      <c r="HQS49" s="21"/>
      <c r="HQT49" s="21"/>
      <c r="HQU49" s="21"/>
      <c r="HQV49" s="21"/>
      <c r="HQW49" s="21"/>
      <c r="HQX49" s="20"/>
      <c r="HQY49" s="20"/>
      <c r="HQZ49" s="20"/>
      <c r="HRA49" s="20"/>
      <c r="HRB49" s="21"/>
      <c r="HRC49" s="21"/>
      <c r="HRD49" s="7"/>
      <c r="HRE49" s="7"/>
      <c r="HRF49" s="21"/>
      <c r="HRG49" s="20"/>
      <c r="HRH49" s="20"/>
      <c r="HRI49" s="20"/>
      <c r="HRJ49" s="21"/>
      <c r="HRK49" s="21"/>
      <c r="HRL49" s="21"/>
      <c r="HRM49" s="21"/>
      <c r="HRN49" s="21"/>
      <c r="HRO49" s="20"/>
      <c r="HRP49" s="20"/>
      <c r="HRQ49" s="20"/>
      <c r="HRR49" s="20"/>
      <c r="HRS49" s="21"/>
      <c r="HRT49" s="21"/>
      <c r="HRU49" s="7"/>
      <c r="HRV49" s="7"/>
      <c r="HRW49" s="21"/>
      <c r="HRX49" s="20"/>
      <c r="HRY49" s="20"/>
      <c r="HRZ49" s="20"/>
      <c r="HSA49" s="21"/>
      <c r="HSB49" s="21"/>
      <c r="HSC49" s="21"/>
      <c r="HSD49" s="21"/>
      <c r="HSE49" s="21"/>
      <c r="HSF49" s="20"/>
      <c r="HSG49" s="20"/>
      <c r="HSH49" s="20"/>
      <c r="HSI49" s="20"/>
      <c r="HSJ49" s="21"/>
      <c r="HSK49" s="21"/>
      <c r="HSL49" s="7"/>
      <c r="HSM49" s="7"/>
      <c r="HSN49" s="21"/>
      <c r="HSO49" s="20"/>
      <c r="HSP49" s="20"/>
      <c r="HSQ49" s="20"/>
      <c r="HSR49" s="21"/>
      <c r="HSS49" s="21"/>
      <c r="HST49" s="21"/>
      <c r="HSU49" s="21"/>
      <c r="HSV49" s="21"/>
      <c r="HSW49" s="20"/>
      <c r="HSX49" s="20"/>
      <c r="HSY49" s="20"/>
      <c r="HSZ49" s="20"/>
      <c r="HTA49" s="21"/>
      <c r="HTB49" s="21"/>
      <c r="HTC49" s="7"/>
      <c r="HTD49" s="7"/>
      <c r="HTE49" s="21"/>
      <c r="HTF49" s="20"/>
      <c r="HTG49" s="20"/>
      <c r="HTH49" s="20"/>
      <c r="HTI49" s="21"/>
      <c r="HTJ49" s="21"/>
      <c r="HTK49" s="21"/>
      <c r="HTL49" s="21"/>
      <c r="HTM49" s="21"/>
      <c r="HTN49" s="20"/>
      <c r="HTO49" s="20"/>
      <c r="HTP49" s="20"/>
      <c r="HTQ49" s="20"/>
      <c r="HTR49" s="21"/>
      <c r="HTS49" s="21"/>
      <c r="HTT49" s="7"/>
      <c r="HTU49" s="7"/>
      <c r="HTV49" s="21"/>
      <c r="HTW49" s="20"/>
      <c r="HTX49" s="20"/>
      <c r="HTY49" s="20"/>
      <c r="HTZ49" s="21"/>
      <c r="HUA49" s="21"/>
      <c r="HUB49" s="21"/>
      <c r="HUC49" s="21"/>
      <c r="HUD49" s="21"/>
      <c r="HUE49" s="20"/>
      <c r="HUF49" s="20"/>
      <c r="HUG49" s="20"/>
      <c r="HUH49" s="20"/>
      <c r="HUI49" s="21"/>
      <c r="HUJ49" s="21"/>
      <c r="HUK49" s="7"/>
      <c r="HUL49" s="7"/>
      <c r="HUM49" s="21"/>
      <c r="HUN49" s="20"/>
      <c r="HUO49" s="20"/>
      <c r="HUP49" s="20"/>
      <c r="HUQ49" s="21"/>
      <c r="HUR49" s="21"/>
      <c r="HUS49" s="21"/>
      <c r="HUT49" s="21"/>
      <c r="HUU49" s="21"/>
      <c r="HUV49" s="20"/>
      <c r="HUW49" s="20"/>
      <c r="HUX49" s="20"/>
      <c r="HUY49" s="20"/>
      <c r="HUZ49" s="21"/>
      <c r="HVA49" s="21"/>
      <c r="HVB49" s="7"/>
      <c r="HVC49" s="7"/>
      <c r="HVD49" s="21"/>
      <c r="HVE49" s="20"/>
      <c r="HVF49" s="20"/>
      <c r="HVG49" s="20"/>
      <c r="HVH49" s="21"/>
      <c r="HVI49" s="21"/>
      <c r="HVJ49" s="21"/>
      <c r="HVK49" s="21"/>
      <c r="HVL49" s="21"/>
      <c r="HVM49" s="20"/>
      <c r="HVN49" s="20"/>
      <c r="HVO49" s="20"/>
      <c r="HVP49" s="20"/>
      <c r="HVQ49" s="21"/>
      <c r="HVR49" s="21"/>
      <c r="HVS49" s="7"/>
      <c r="HVT49" s="7"/>
      <c r="HVU49" s="21"/>
      <c r="HVV49" s="20"/>
      <c r="HVW49" s="20"/>
      <c r="HVX49" s="20"/>
      <c r="HVY49" s="21"/>
      <c r="HVZ49" s="21"/>
      <c r="HWA49" s="21"/>
      <c r="HWB49" s="21"/>
      <c r="HWC49" s="21"/>
      <c r="HWD49" s="20"/>
      <c r="HWE49" s="20"/>
      <c r="HWF49" s="20"/>
      <c r="HWG49" s="20"/>
      <c r="HWH49" s="21"/>
      <c r="HWI49" s="21"/>
      <c r="HWJ49" s="7"/>
      <c r="HWK49" s="7"/>
      <c r="HWL49" s="21"/>
      <c r="HWM49" s="20"/>
      <c r="HWN49" s="20"/>
      <c r="HWO49" s="20"/>
      <c r="HWP49" s="21"/>
      <c r="HWQ49" s="21"/>
      <c r="HWR49" s="21"/>
      <c r="HWS49" s="21"/>
      <c r="HWT49" s="21"/>
      <c r="HWU49" s="20"/>
      <c r="HWV49" s="20"/>
      <c r="HWW49" s="20"/>
      <c r="HWX49" s="20"/>
      <c r="HWY49" s="21"/>
      <c r="HWZ49" s="21"/>
      <c r="HXA49" s="7"/>
      <c r="HXB49" s="7"/>
      <c r="HXC49" s="21"/>
      <c r="HXD49" s="20"/>
      <c r="HXE49" s="20"/>
      <c r="HXF49" s="20"/>
      <c r="HXG49" s="21"/>
      <c r="HXH49" s="21"/>
      <c r="HXI49" s="21"/>
      <c r="HXJ49" s="21"/>
      <c r="HXK49" s="21"/>
      <c r="HXL49" s="20"/>
      <c r="HXM49" s="20"/>
      <c r="HXN49" s="20"/>
      <c r="HXO49" s="20"/>
      <c r="HXP49" s="21"/>
      <c r="HXQ49" s="21"/>
      <c r="HXR49" s="7"/>
      <c r="HXS49" s="7"/>
      <c r="HXT49" s="21"/>
      <c r="HXU49" s="20"/>
      <c r="HXV49" s="20"/>
      <c r="HXW49" s="20"/>
      <c r="HXX49" s="21"/>
      <c r="HXY49" s="21"/>
      <c r="HXZ49" s="21"/>
      <c r="HYA49" s="21"/>
      <c r="HYB49" s="21"/>
      <c r="HYC49" s="20"/>
      <c r="HYD49" s="20"/>
      <c r="HYE49" s="20"/>
      <c r="HYF49" s="20"/>
      <c r="HYG49" s="21"/>
      <c r="HYH49" s="21"/>
      <c r="HYI49" s="7"/>
      <c r="HYJ49" s="7"/>
      <c r="HYK49" s="21"/>
      <c r="HYL49" s="20"/>
      <c r="HYM49" s="20"/>
      <c r="HYN49" s="20"/>
      <c r="HYO49" s="21"/>
      <c r="HYP49" s="21"/>
      <c r="HYQ49" s="21"/>
      <c r="HYR49" s="21"/>
      <c r="HYS49" s="21"/>
      <c r="HYT49" s="20"/>
      <c r="HYU49" s="20"/>
      <c r="HYV49" s="20"/>
      <c r="HYW49" s="20"/>
      <c r="HYX49" s="21"/>
      <c r="HYY49" s="21"/>
      <c r="HYZ49" s="7"/>
      <c r="HZA49" s="7"/>
      <c r="HZB49" s="21"/>
      <c r="HZC49" s="20"/>
      <c r="HZD49" s="20"/>
      <c r="HZE49" s="20"/>
      <c r="HZF49" s="21"/>
      <c r="HZG49" s="21"/>
      <c r="HZH49" s="21"/>
      <c r="HZI49" s="21"/>
      <c r="HZJ49" s="21"/>
      <c r="HZK49" s="20"/>
      <c r="HZL49" s="20"/>
      <c r="HZM49" s="20"/>
      <c r="HZN49" s="20"/>
      <c r="HZO49" s="21"/>
      <c r="HZP49" s="21"/>
      <c r="HZQ49" s="7"/>
      <c r="HZR49" s="7"/>
      <c r="HZS49" s="21"/>
      <c r="HZT49" s="20"/>
      <c r="HZU49" s="20"/>
      <c r="HZV49" s="20"/>
      <c r="HZW49" s="21"/>
      <c r="HZX49" s="21"/>
      <c r="HZY49" s="21"/>
      <c r="HZZ49" s="21"/>
      <c r="IAA49" s="21"/>
      <c r="IAB49" s="20"/>
      <c r="IAC49" s="20"/>
      <c r="IAD49" s="20"/>
      <c r="IAE49" s="20"/>
      <c r="IAF49" s="21"/>
      <c r="IAG49" s="21"/>
      <c r="IAH49" s="7"/>
      <c r="IAI49" s="7"/>
      <c r="IAJ49" s="21"/>
      <c r="IAK49" s="20"/>
      <c r="IAL49" s="20"/>
      <c r="IAM49" s="20"/>
      <c r="IAN49" s="21"/>
      <c r="IAO49" s="21"/>
      <c r="IAP49" s="21"/>
      <c r="IAQ49" s="21"/>
      <c r="IAR49" s="21"/>
      <c r="IAS49" s="20"/>
      <c r="IAT49" s="20"/>
      <c r="IAU49" s="20"/>
      <c r="IAV49" s="20"/>
      <c r="IAW49" s="21"/>
      <c r="IAX49" s="21"/>
      <c r="IAY49" s="7"/>
      <c r="IAZ49" s="7"/>
      <c r="IBA49" s="21"/>
      <c r="IBB49" s="20"/>
      <c r="IBC49" s="20"/>
      <c r="IBD49" s="20"/>
      <c r="IBE49" s="21"/>
      <c r="IBF49" s="21"/>
      <c r="IBG49" s="21"/>
      <c r="IBH49" s="21"/>
      <c r="IBI49" s="21"/>
      <c r="IBJ49" s="20"/>
      <c r="IBK49" s="20"/>
      <c r="IBL49" s="20"/>
      <c r="IBM49" s="20"/>
      <c r="IBN49" s="21"/>
      <c r="IBO49" s="21"/>
      <c r="IBP49" s="7"/>
      <c r="IBQ49" s="7"/>
      <c r="IBR49" s="21"/>
      <c r="IBS49" s="20"/>
      <c r="IBT49" s="20"/>
      <c r="IBU49" s="20"/>
      <c r="IBV49" s="21"/>
      <c r="IBW49" s="21"/>
      <c r="IBX49" s="21"/>
      <c r="IBY49" s="21"/>
      <c r="IBZ49" s="21"/>
      <c r="ICA49" s="20"/>
      <c r="ICB49" s="20"/>
      <c r="ICC49" s="20"/>
      <c r="ICD49" s="20"/>
      <c r="ICE49" s="21"/>
      <c r="ICF49" s="21"/>
      <c r="ICG49" s="7"/>
      <c r="ICH49" s="7"/>
      <c r="ICI49" s="21"/>
      <c r="ICJ49" s="20"/>
      <c r="ICK49" s="20"/>
      <c r="ICL49" s="20"/>
      <c r="ICM49" s="21"/>
      <c r="ICN49" s="21"/>
      <c r="ICO49" s="21"/>
      <c r="ICP49" s="21"/>
      <c r="ICQ49" s="21"/>
      <c r="ICR49" s="20"/>
      <c r="ICS49" s="20"/>
      <c r="ICT49" s="20"/>
      <c r="ICU49" s="20"/>
      <c r="ICV49" s="21"/>
      <c r="ICW49" s="21"/>
      <c r="ICX49" s="7"/>
      <c r="ICY49" s="7"/>
      <c r="ICZ49" s="21"/>
      <c r="IDA49" s="20"/>
      <c r="IDB49" s="20"/>
      <c r="IDC49" s="20"/>
      <c r="IDD49" s="21"/>
      <c r="IDE49" s="21"/>
      <c r="IDF49" s="21"/>
      <c r="IDG49" s="21"/>
      <c r="IDH49" s="21"/>
      <c r="IDI49" s="20"/>
      <c r="IDJ49" s="20"/>
      <c r="IDK49" s="20"/>
      <c r="IDL49" s="20"/>
      <c r="IDM49" s="21"/>
      <c r="IDN49" s="21"/>
      <c r="IDO49" s="7"/>
      <c r="IDP49" s="7"/>
      <c r="IDQ49" s="21"/>
      <c r="IDR49" s="20"/>
      <c r="IDS49" s="20"/>
      <c r="IDT49" s="20"/>
      <c r="IDU49" s="21"/>
      <c r="IDV49" s="21"/>
      <c r="IDW49" s="21"/>
      <c r="IDX49" s="21"/>
      <c r="IDY49" s="21"/>
      <c r="IDZ49" s="20"/>
      <c r="IEA49" s="20"/>
      <c r="IEB49" s="20"/>
      <c r="IEC49" s="20"/>
      <c r="IED49" s="21"/>
      <c r="IEE49" s="21"/>
      <c r="IEF49" s="7"/>
      <c r="IEG49" s="7"/>
      <c r="IEH49" s="21"/>
      <c r="IEI49" s="20"/>
      <c r="IEJ49" s="20"/>
      <c r="IEK49" s="20"/>
      <c r="IEL49" s="21"/>
      <c r="IEM49" s="21"/>
      <c r="IEN49" s="21"/>
      <c r="IEO49" s="21"/>
      <c r="IEP49" s="21"/>
      <c r="IEQ49" s="20"/>
      <c r="IER49" s="20"/>
      <c r="IES49" s="20"/>
      <c r="IET49" s="20"/>
      <c r="IEU49" s="21"/>
      <c r="IEV49" s="21"/>
      <c r="IEW49" s="7"/>
      <c r="IEX49" s="7"/>
      <c r="IEY49" s="21"/>
      <c r="IEZ49" s="20"/>
      <c r="IFA49" s="20"/>
      <c r="IFB49" s="20"/>
      <c r="IFC49" s="21"/>
      <c r="IFD49" s="21"/>
      <c r="IFE49" s="21"/>
      <c r="IFF49" s="21"/>
      <c r="IFG49" s="21"/>
      <c r="IFH49" s="20"/>
      <c r="IFI49" s="20"/>
      <c r="IFJ49" s="20"/>
      <c r="IFK49" s="20"/>
      <c r="IFL49" s="21"/>
      <c r="IFM49" s="21"/>
      <c r="IFN49" s="7"/>
      <c r="IFO49" s="7"/>
      <c r="IFP49" s="21"/>
      <c r="IFQ49" s="20"/>
      <c r="IFR49" s="20"/>
      <c r="IFS49" s="20"/>
      <c r="IFT49" s="21"/>
      <c r="IFU49" s="21"/>
      <c r="IFV49" s="21"/>
      <c r="IFW49" s="21"/>
      <c r="IFX49" s="21"/>
      <c r="IFY49" s="20"/>
      <c r="IFZ49" s="20"/>
      <c r="IGA49" s="20"/>
      <c r="IGB49" s="20"/>
      <c r="IGC49" s="21"/>
      <c r="IGD49" s="21"/>
      <c r="IGE49" s="7"/>
      <c r="IGF49" s="7"/>
      <c r="IGG49" s="21"/>
      <c r="IGH49" s="20"/>
      <c r="IGI49" s="20"/>
      <c r="IGJ49" s="20"/>
      <c r="IGK49" s="21"/>
      <c r="IGL49" s="21"/>
      <c r="IGM49" s="21"/>
      <c r="IGN49" s="21"/>
      <c r="IGO49" s="21"/>
      <c r="IGP49" s="20"/>
      <c r="IGQ49" s="20"/>
      <c r="IGR49" s="20"/>
      <c r="IGS49" s="20"/>
      <c r="IGT49" s="21"/>
      <c r="IGU49" s="21"/>
      <c r="IGV49" s="7"/>
      <c r="IGW49" s="7"/>
      <c r="IGX49" s="21"/>
      <c r="IGY49" s="20"/>
      <c r="IGZ49" s="20"/>
      <c r="IHA49" s="20"/>
      <c r="IHB49" s="21"/>
      <c r="IHC49" s="21"/>
      <c r="IHD49" s="21"/>
      <c r="IHE49" s="21"/>
      <c r="IHF49" s="21"/>
      <c r="IHG49" s="20"/>
      <c r="IHH49" s="20"/>
      <c r="IHI49" s="20"/>
      <c r="IHJ49" s="20"/>
      <c r="IHK49" s="21"/>
      <c r="IHL49" s="21"/>
      <c r="IHM49" s="7"/>
      <c r="IHN49" s="7"/>
      <c r="IHO49" s="21"/>
      <c r="IHP49" s="20"/>
      <c r="IHQ49" s="20"/>
      <c r="IHR49" s="20"/>
      <c r="IHS49" s="21"/>
      <c r="IHT49" s="21"/>
      <c r="IHU49" s="21"/>
      <c r="IHV49" s="21"/>
      <c r="IHW49" s="21"/>
      <c r="IHX49" s="20"/>
      <c r="IHY49" s="20"/>
      <c r="IHZ49" s="20"/>
      <c r="IIA49" s="20"/>
      <c r="IIB49" s="21"/>
      <c r="IIC49" s="21"/>
      <c r="IID49" s="7"/>
      <c r="IIE49" s="7"/>
      <c r="IIF49" s="21"/>
      <c r="IIG49" s="20"/>
      <c r="IIH49" s="20"/>
      <c r="III49" s="20"/>
      <c r="IIJ49" s="21"/>
      <c r="IIK49" s="21"/>
      <c r="IIL49" s="21"/>
      <c r="IIM49" s="21"/>
      <c r="IIN49" s="21"/>
      <c r="IIO49" s="20"/>
      <c r="IIP49" s="20"/>
      <c r="IIQ49" s="20"/>
      <c r="IIR49" s="20"/>
      <c r="IIS49" s="21"/>
      <c r="IIT49" s="21"/>
      <c r="IIU49" s="7"/>
      <c r="IIV49" s="7"/>
      <c r="IIW49" s="21"/>
      <c r="IIX49" s="20"/>
      <c r="IIY49" s="20"/>
      <c r="IIZ49" s="20"/>
      <c r="IJA49" s="21"/>
      <c r="IJB49" s="21"/>
      <c r="IJC49" s="21"/>
      <c r="IJD49" s="21"/>
      <c r="IJE49" s="21"/>
      <c r="IJF49" s="20"/>
      <c r="IJG49" s="20"/>
      <c r="IJH49" s="20"/>
      <c r="IJI49" s="20"/>
      <c r="IJJ49" s="21"/>
      <c r="IJK49" s="21"/>
      <c r="IJL49" s="7"/>
      <c r="IJM49" s="7"/>
      <c r="IJN49" s="21"/>
      <c r="IJO49" s="20"/>
      <c r="IJP49" s="20"/>
      <c r="IJQ49" s="20"/>
      <c r="IJR49" s="21"/>
      <c r="IJS49" s="21"/>
      <c r="IJT49" s="21"/>
      <c r="IJU49" s="21"/>
      <c r="IJV49" s="21"/>
      <c r="IJW49" s="20"/>
      <c r="IJX49" s="20"/>
      <c r="IJY49" s="20"/>
      <c r="IJZ49" s="20"/>
      <c r="IKA49" s="21"/>
      <c r="IKB49" s="21"/>
      <c r="IKC49" s="7"/>
      <c r="IKD49" s="7"/>
      <c r="IKE49" s="21"/>
      <c r="IKF49" s="20"/>
      <c r="IKG49" s="20"/>
      <c r="IKH49" s="20"/>
      <c r="IKI49" s="21"/>
      <c r="IKJ49" s="21"/>
      <c r="IKK49" s="21"/>
      <c r="IKL49" s="21"/>
      <c r="IKM49" s="21"/>
      <c r="IKN49" s="20"/>
      <c r="IKO49" s="20"/>
      <c r="IKP49" s="20"/>
      <c r="IKQ49" s="20"/>
      <c r="IKR49" s="21"/>
      <c r="IKS49" s="21"/>
      <c r="IKT49" s="7"/>
      <c r="IKU49" s="7"/>
      <c r="IKV49" s="21"/>
      <c r="IKW49" s="20"/>
      <c r="IKX49" s="20"/>
      <c r="IKY49" s="20"/>
      <c r="IKZ49" s="21"/>
      <c r="ILA49" s="21"/>
      <c r="ILB49" s="21"/>
      <c r="ILC49" s="21"/>
      <c r="ILD49" s="21"/>
      <c r="ILE49" s="20"/>
      <c r="ILF49" s="20"/>
      <c r="ILG49" s="20"/>
      <c r="ILH49" s="20"/>
      <c r="ILI49" s="21"/>
      <c r="ILJ49" s="21"/>
      <c r="ILK49" s="7"/>
      <c r="ILL49" s="7"/>
      <c r="ILM49" s="21"/>
      <c r="ILN49" s="20"/>
      <c r="ILO49" s="20"/>
      <c r="ILP49" s="20"/>
      <c r="ILQ49" s="21"/>
      <c r="ILR49" s="21"/>
      <c r="ILS49" s="21"/>
      <c r="ILT49" s="21"/>
      <c r="ILU49" s="21"/>
      <c r="ILV49" s="20"/>
      <c r="ILW49" s="20"/>
      <c r="ILX49" s="20"/>
      <c r="ILY49" s="20"/>
      <c r="ILZ49" s="21"/>
      <c r="IMA49" s="21"/>
      <c r="IMB49" s="7"/>
      <c r="IMC49" s="7"/>
      <c r="IMD49" s="21"/>
      <c r="IME49" s="20"/>
      <c r="IMF49" s="20"/>
      <c r="IMG49" s="20"/>
      <c r="IMH49" s="21"/>
      <c r="IMI49" s="21"/>
      <c r="IMJ49" s="21"/>
      <c r="IMK49" s="21"/>
      <c r="IML49" s="21"/>
      <c r="IMM49" s="20"/>
      <c r="IMN49" s="20"/>
      <c r="IMO49" s="20"/>
      <c r="IMP49" s="20"/>
      <c r="IMQ49" s="21"/>
      <c r="IMR49" s="21"/>
      <c r="IMS49" s="7"/>
      <c r="IMT49" s="7"/>
      <c r="IMU49" s="21"/>
      <c r="IMV49" s="20"/>
      <c r="IMW49" s="20"/>
      <c r="IMX49" s="20"/>
      <c r="IMY49" s="21"/>
      <c r="IMZ49" s="21"/>
      <c r="INA49" s="21"/>
      <c r="INB49" s="21"/>
      <c r="INC49" s="21"/>
      <c r="IND49" s="20"/>
      <c r="INE49" s="20"/>
      <c r="INF49" s="20"/>
      <c r="ING49" s="20"/>
      <c r="INH49" s="21"/>
      <c r="INI49" s="21"/>
      <c r="INJ49" s="7"/>
      <c r="INK49" s="7"/>
      <c r="INL49" s="21"/>
      <c r="INM49" s="20"/>
      <c r="INN49" s="20"/>
      <c r="INO49" s="20"/>
      <c r="INP49" s="21"/>
      <c r="INQ49" s="21"/>
      <c r="INR49" s="21"/>
      <c r="INS49" s="21"/>
      <c r="INT49" s="21"/>
      <c r="INU49" s="20"/>
      <c r="INV49" s="20"/>
      <c r="INW49" s="20"/>
      <c r="INX49" s="20"/>
      <c r="INY49" s="21"/>
      <c r="INZ49" s="21"/>
      <c r="IOA49" s="7"/>
      <c r="IOB49" s="7"/>
      <c r="IOC49" s="21"/>
      <c r="IOD49" s="20"/>
      <c r="IOE49" s="20"/>
      <c r="IOF49" s="20"/>
      <c r="IOG49" s="21"/>
      <c r="IOH49" s="21"/>
      <c r="IOI49" s="21"/>
      <c r="IOJ49" s="21"/>
      <c r="IOK49" s="21"/>
      <c r="IOL49" s="20"/>
      <c r="IOM49" s="20"/>
      <c r="ION49" s="20"/>
      <c r="IOO49" s="20"/>
      <c r="IOP49" s="21"/>
      <c r="IOQ49" s="21"/>
      <c r="IOR49" s="7"/>
      <c r="IOS49" s="7"/>
      <c r="IOT49" s="21"/>
      <c r="IOU49" s="20"/>
      <c r="IOV49" s="20"/>
      <c r="IOW49" s="20"/>
      <c r="IOX49" s="21"/>
      <c r="IOY49" s="21"/>
      <c r="IOZ49" s="21"/>
      <c r="IPA49" s="21"/>
      <c r="IPB49" s="21"/>
      <c r="IPC49" s="20"/>
      <c r="IPD49" s="20"/>
      <c r="IPE49" s="20"/>
      <c r="IPF49" s="20"/>
      <c r="IPG49" s="21"/>
      <c r="IPH49" s="21"/>
      <c r="IPI49" s="7"/>
      <c r="IPJ49" s="7"/>
      <c r="IPK49" s="21"/>
      <c r="IPL49" s="20"/>
      <c r="IPM49" s="20"/>
      <c r="IPN49" s="20"/>
      <c r="IPO49" s="21"/>
      <c r="IPP49" s="21"/>
      <c r="IPQ49" s="21"/>
      <c r="IPR49" s="21"/>
      <c r="IPS49" s="21"/>
      <c r="IPT49" s="20"/>
      <c r="IPU49" s="20"/>
      <c r="IPV49" s="20"/>
      <c r="IPW49" s="20"/>
      <c r="IPX49" s="21"/>
      <c r="IPY49" s="21"/>
      <c r="IPZ49" s="7"/>
      <c r="IQA49" s="7"/>
      <c r="IQB49" s="21"/>
      <c r="IQC49" s="20"/>
      <c r="IQD49" s="20"/>
      <c r="IQE49" s="20"/>
      <c r="IQF49" s="21"/>
      <c r="IQG49" s="21"/>
      <c r="IQH49" s="21"/>
      <c r="IQI49" s="21"/>
      <c r="IQJ49" s="21"/>
      <c r="IQK49" s="20"/>
      <c r="IQL49" s="20"/>
      <c r="IQM49" s="20"/>
      <c r="IQN49" s="20"/>
      <c r="IQO49" s="21"/>
      <c r="IQP49" s="21"/>
      <c r="IQQ49" s="7"/>
      <c r="IQR49" s="7"/>
      <c r="IQS49" s="21"/>
      <c r="IQT49" s="20"/>
      <c r="IQU49" s="20"/>
      <c r="IQV49" s="20"/>
      <c r="IQW49" s="21"/>
      <c r="IQX49" s="21"/>
      <c r="IQY49" s="21"/>
      <c r="IQZ49" s="21"/>
      <c r="IRA49" s="21"/>
      <c r="IRB49" s="20"/>
      <c r="IRC49" s="20"/>
      <c r="IRD49" s="20"/>
      <c r="IRE49" s="20"/>
      <c r="IRF49" s="21"/>
      <c r="IRG49" s="21"/>
      <c r="IRH49" s="7"/>
      <c r="IRI49" s="7"/>
      <c r="IRJ49" s="21"/>
      <c r="IRK49" s="20"/>
      <c r="IRL49" s="20"/>
      <c r="IRM49" s="20"/>
      <c r="IRN49" s="21"/>
      <c r="IRO49" s="21"/>
      <c r="IRP49" s="21"/>
      <c r="IRQ49" s="21"/>
      <c r="IRR49" s="21"/>
      <c r="IRS49" s="20"/>
      <c r="IRT49" s="20"/>
      <c r="IRU49" s="20"/>
      <c r="IRV49" s="20"/>
      <c r="IRW49" s="21"/>
      <c r="IRX49" s="21"/>
      <c r="IRY49" s="7"/>
      <c r="IRZ49" s="7"/>
      <c r="ISA49" s="21"/>
      <c r="ISB49" s="20"/>
      <c r="ISC49" s="20"/>
      <c r="ISD49" s="20"/>
      <c r="ISE49" s="21"/>
      <c r="ISF49" s="21"/>
      <c r="ISG49" s="21"/>
      <c r="ISH49" s="21"/>
      <c r="ISI49" s="21"/>
      <c r="ISJ49" s="20"/>
      <c r="ISK49" s="20"/>
      <c r="ISL49" s="20"/>
      <c r="ISM49" s="20"/>
      <c r="ISN49" s="21"/>
      <c r="ISO49" s="21"/>
      <c r="ISP49" s="7"/>
      <c r="ISQ49" s="7"/>
      <c r="ISR49" s="21"/>
      <c r="ISS49" s="20"/>
      <c r="IST49" s="20"/>
      <c r="ISU49" s="20"/>
      <c r="ISV49" s="21"/>
      <c r="ISW49" s="21"/>
      <c r="ISX49" s="21"/>
      <c r="ISY49" s="21"/>
      <c r="ISZ49" s="21"/>
      <c r="ITA49" s="20"/>
      <c r="ITB49" s="20"/>
      <c r="ITC49" s="20"/>
      <c r="ITD49" s="20"/>
      <c r="ITE49" s="21"/>
      <c r="ITF49" s="21"/>
      <c r="ITG49" s="7"/>
      <c r="ITH49" s="7"/>
      <c r="ITI49" s="21"/>
      <c r="ITJ49" s="20"/>
      <c r="ITK49" s="20"/>
      <c r="ITL49" s="20"/>
      <c r="ITM49" s="21"/>
      <c r="ITN49" s="21"/>
      <c r="ITO49" s="21"/>
      <c r="ITP49" s="21"/>
      <c r="ITQ49" s="21"/>
      <c r="ITR49" s="20"/>
      <c r="ITS49" s="20"/>
      <c r="ITT49" s="20"/>
      <c r="ITU49" s="20"/>
      <c r="ITV49" s="21"/>
      <c r="ITW49" s="21"/>
      <c r="ITX49" s="7"/>
      <c r="ITY49" s="7"/>
      <c r="ITZ49" s="21"/>
      <c r="IUA49" s="20"/>
      <c r="IUB49" s="20"/>
      <c r="IUC49" s="20"/>
      <c r="IUD49" s="21"/>
      <c r="IUE49" s="21"/>
      <c r="IUF49" s="21"/>
      <c r="IUG49" s="21"/>
      <c r="IUH49" s="21"/>
      <c r="IUI49" s="20"/>
      <c r="IUJ49" s="20"/>
      <c r="IUK49" s="20"/>
      <c r="IUL49" s="20"/>
      <c r="IUM49" s="21"/>
      <c r="IUN49" s="21"/>
      <c r="IUO49" s="7"/>
      <c r="IUP49" s="7"/>
      <c r="IUQ49" s="21"/>
      <c r="IUR49" s="20"/>
      <c r="IUS49" s="20"/>
      <c r="IUT49" s="20"/>
      <c r="IUU49" s="21"/>
      <c r="IUV49" s="21"/>
      <c r="IUW49" s="21"/>
      <c r="IUX49" s="21"/>
      <c r="IUY49" s="21"/>
      <c r="IUZ49" s="20"/>
      <c r="IVA49" s="20"/>
      <c r="IVB49" s="20"/>
      <c r="IVC49" s="20"/>
      <c r="IVD49" s="21"/>
      <c r="IVE49" s="21"/>
      <c r="IVF49" s="7"/>
      <c r="IVG49" s="7"/>
      <c r="IVH49" s="21"/>
      <c r="IVI49" s="20"/>
      <c r="IVJ49" s="20"/>
      <c r="IVK49" s="20"/>
      <c r="IVL49" s="21"/>
      <c r="IVM49" s="21"/>
      <c r="IVN49" s="21"/>
      <c r="IVO49" s="21"/>
      <c r="IVP49" s="21"/>
      <c r="IVQ49" s="20"/>
      <c r="IVR49" s="20"/>
      <c r="IVS49" s="20"/>
      <c r="IVT49" s="20"/>
      <c r="IVU49" s="21"/>
      <c r="IVV49" s="21"/>
      <c r="IVW49" s="7"/>
      <c r="IVX49" s="7"/>
      <c r="IVY49" s="21"/>
      <c r="IVZ49" s="20"/>
      <c r="IWA49" s="20"/>
      <c r="IWB49" s="20"/>
      <c r="IWC49" s="21"/>
      <c r="IWD49" s="21"/>
      <c r="IWE49" s="21"/>
      <c r="IWF49" s="21"/>
      <c r="IWG49" s="21"/>
      <c r="IWH49" s="20"/>
      <c r="IWI49" s="20"/>
      <c r="IWJ49" s="20"/>
      <c r="IWK49" s="20"/>
      <c r="IWL49" s="21"/>
      <c r="IWM49" s="21"/>
      <c r="IWN49" s="7"/>
      <c r="IWO49" s="7"/>
      <c r="IWP49" s="21"/>
      <c r="IWQ49" s="20"/>
      <c r="IWR49" s="20"/>
      <c r="IWS49" s="20"/>
      <c r="IWT49" s="21"/>
      <c r="IWU49" s="21"/>
      <c r="IWV49" s="21"/>
      <c r="IWW49" s="21"/>
      <c r="IWX49" s="21"/>
      <c r="IWY49" s="20"/>
      <c r="IWZ49" s="20"/>
      <c r="IXA49" s="20"/>
      <c r="IXB49" s="20"/>
      <c r="IXC49" s="21"/>
      <c r="IXD49" s="21"/>
      <c r="IXE49" s="7"/>
      <c r="IXF49" s="7"/>
      <c r="IXG49" s="21"/>
      <c r="IXH49" s="20"/>
      <c r="IXI49" s="20"/>
      <c r="IXJ49" s="20"/>
      <c r="IXK49" s="21"/>
      <c r="IXL49" s="21"/>
      <c r="IXM49" s="21"/>
      <c r="IXN49" s="21"/>
      <c r="IXO49" s="21"/>
      <c r="IXP49" s="20"/>
      <c r="IXQ49" s="20"/>
      <c r="IXR49" s="20"/>
      <c r="IXS49" s="20"/>
      <c r="IXT49" s="21"/>
      <c r="IXU49" s="21"/>
      <c r="IXV49" s="7"/>
      <c r="IXW49" s="7"/>
      <c r="IXX49" s="21"/>
      <c r="IXY49" s="20"/>
      <c r="IXZ49" s="20"/>
      <c r="IYA49" s="20"/>
      <c r="IYB49" s="21"/>
      <c r="IYC49" s="21"/>
      <c r="IYD49" s="21"/>
      <c r="IYE49" s="21"/>
      <c r="IYF49" s="21"/>
      <c r="IYG49" s="20"/>
      <c r="IYH49" s="20"/>
      <c r="IYI49" s="20"/>
      <c r="IYJ49" s="20"/>
      <c r="IYK49" s="21"/>
      <c r="IYL49" s="21"/>
      <c r="IYM49" s="7"/>
      <c r="IYN49" s="7"/>
      <c r="IYO49" s="21"/>
      <c r="IYP49" s="20"/>
      <c r="IYQ49" s="20"/>
      <c r="IYR49" s="20"/>
      <c r="IYS49" s="21"/>
      <c r="IYT49" s="21"/>
      <c r="IYU49" s="21"/>
      <c r="IYV49" s="21"/>
      <c r="IYW49" s="21"/>
      <c r="IYX49" s="20"/>
      <c r="IYY49" s="20"/>
      <c r="IYZ49" s="20"/>
      <c r="IZA49" s="20"/>
      <c r="IZB49" s="21"/>
      <c r="IZC49" s="21"/>
      <c r="IZD49" s="7"/>
      <c r="IZE49" s="7"/>
      <c r="IZF49" s="21"/>
      <c r="IZG49" s="20"/>
      <c r="IZH49" s="20"/>
      <c r="IZI49" s="20"/>
      <c r="IZJ49" s="21"/>
      <c r="IZK49" s="21"/>
      <c r="IZL49" s="21"/>
      <c r="IZM49" s="21"/>
      <c r="IZN49" s="21"/>
      <c r="IZO49" s="20"/>
      <c r="IZP49" s="20"/>
      <c r="IZQ49" s="20"/>
      <c r="IZR49" s="20"/>
      <c r="IZS49" s="21"/>
      <c r="IZT49" s="21"/>
      <c r="IZU49" s="7"/>
      <c r="IZV49" s="7"/>
      <c r="IZW49" s="21"/>
      <c r="IZX49" s="20"/>
      <c r="IZY49" s="20"/>
      <c r="IZZ49" s="20"/>
      <c r="JAA49" s="21"/>
      <c r="JAB49" s="21"/>
      <c r="JAC49" s="21"/>
      <c r="JAD49" s="21"/>
      <c r="JAE49" s="21"/>
      <c r="JAF49" s="20"/>
      <c r="JAG49" s="20"/>
      <c r="JAH49" s="20"/>
      <c r="JAI49" s="20"/>
      <c r="JAJ49" s="21"/>
      <c r="JAK49" s="21"/>
      <c r="JAL49" s="7"/>
      <c r="JAM49" s="7"/>
      <c r="JAN49" s="21"/>
      <c r="JAO49" s="20"/>
      <c r="JAP49" s="20"/>
      <c r="JAQ49" s="20"/>
      <c r="JAR49" s="21"/>
      <c r="JAS49" s="21"/>
      <c r="JAT49" s="21"/>
      <c r="JAU49" s="21"/>
      <c r="JAV49" s="21"/>
      <c r="JAW49" s="20"/>
      <c r="JAX49" s="20"/>
      <c r="JAY49" s="20"/>
      <c r="JAZ49" s="20"/>
      <c r="JBA49" s="21"/>
      <c r="JBB49" s="21"/>
      <c r="JBC49" s="7"/>
      <c r="JBD49" s="7"/>
      <c r="JBE49" s="21"/>
      <c r="JBF49" s="20"/>
      <c r="JBG49" s="20"/>
      <c r="JBH49" s="20"/>
      <c r="JBI49" s="21"/>
      <c r="JBJ49" s="21"/>
      <c r="JBK49" s="21"/>
      <c r="JBL49" s="21"/>
      <c r="JBM49" s="21"/>
      <c r="JBN49" s="20"/>
      <c r="JBO49" s="20"/>
      <c r="JBP49" s="20"/>
      <c r="JBQ49" s="20"/>
      <c r="JBR49" s="21"/>
      <c r="JBS49" s="21"/>
      <c r="JBT49" s="7"/>
      <c r="JBU49" s="7"/>
      <c r="JBV49" s="21"/>
      <c r="JBW49" s="20"/>
      <c r="JBX49" s="20"/>
      <c r="JBY49" s="20"/>
      <c r="JBZ49" s="21"/>
      <c r="JCA49" s="21"/>
      <c r="JCB49" s="21"/>
      <c r="JCC49" s="21"/>
      <c r="JCD49" s="21"/>
      <c r="JCE49" s="20"/>
      <c r="JCF49" s="20"/>
      <c r="JCG49" s="20"/>
      <c r="JCH49" s="20"/>
      <c r="JCI49" s="21"/>
      <c r="JCJ49" s="21"/>
      <c r="JCK49" s="7"/>
      <c r="JCL49" s="7"/>
      <c r="JCM49" s="21"/>
      <c r="JCN49" s="20"/>
      <c r="JCO49" s="20"/>
      <c r="JCP49" s="20"/>
      <c r="JCQ49" s="21"/>
      <c r="JCR49" s="21"/>
      <c r="JCS49" s="21"/>
      <c r="JCT49" s="21"/>
      <c r="JCU49" s="21"/>
      <c r="JCV49" s="20"/>
      <c r="JCW49" s="20"/>
      <c r="JCX49" s="20"/>
      <c r="JCY49" s="20"/>
      <c r="JCZ49" s="21"/>
      <c r="JDA49" s="21"/>
      <c r="JDB49" s="7"/>
      <c r="JDC49" s="7"/>
      <c r="JDD49" s="21"/>
      <c r="JDE49" s="20"/>
      <c r="JDF49" s="20"/>
      <c r="JDG49" s="20"/>
      <c r="JDH49" s="21"/>
      <c r="JDI49" s="21"/>
      <c r="JDJ49" s="21"/>
      <c r="JDK49" s="21"/>
      <c r="JDL49" s="21"/>
      <c r="JDM49" s="20"/>
      <c r="JDN49" s="20"/>
      <c r="JDO49" s="20"/>
      <c r="JDP49" s="20"/>
      <c r="JDQ49" s="21"/>
      <c r="JDR49" s="21"/>
      <c r="JDS49" s="7"/>
      <c r="JDT49" s="7"/>
      <c r="JDU49" s="21"/>
      <c r="JDV49" s="20"/>
      <c r="JDW49" s="20"/>
      <c r="JDX49" s="20"/>
      <c r="JDY49" s="21"/>
      <c r="JDZ49" s="21"/>
      <c r="JEA49" s="21"/>
      <c r="JEB49" s="21"/>
      <c r="JEC49" s="21"/>
      <c r="JED49" s="20"/>
      <c r="JEE49" s="20"/>
      <c r="JEF49" s="20"/>
      <c r="JEG49" s="20"/>
      <c r="JEH49" s="21"/>
      <c r="JEI49" s="21"/>
      <c r="JEJ49" s="7"/>
      <c r="JEK49" s="7"/>
      <c r="JEL49" s="21"/>
      <c r="JEM49" s="20"/>
      <c r="JEN49" s="20"/>
      <c r="JEO49" s="20"/>
      <c r="JEP49" s="21"/>
      <c r="JEQ49" s="21"/>
      <c r="JER49" s="21"/>
      <c r="JES49" s="21"/>
      <c r="JET49" s="21"/>
      <c r="JEU49" s="20"/>
      <c r="JEV49" s="20"/>
      <c r="JEW49" s="20"/>
      <c r="JEX49" s="20"/>
      <c r="JEY49" s="21"/>
      <c r="JEZ49" s="21"/>
      <c r="JFA49" s="7"/>
      <c r="JFB49" s="7"/>
      <c r="JFC49" s="21"/>
      <c r="JFD49" s="20"/>
      <c r="JFE49" s="20"/>
      <c r="JFF49" s="20"/>
      <c r="JFG49" s="21"/>
      <c r="JFH49" s="21"/>
      <c r="JFI49" s="21"/>
      <c r="JFJ49" s="21"/>
      <c r="JFK49" s="21"/>
      <c r="JFL49" s="20"/>
      <c r="JFM49" s="20"/>
      <c r="JFN49" s="20"/>
      <c r="JFO49" s="20"/>
      <c r="JFP49" s="21"/>
      <c r="JFQ49" s="21"/>
      <c r="JFR49" s="7"/>
      <c r="JFS49" s="7"/>
      <c r="JFT49" s="21"/>
      <c r="JFU49" s="20"/>
      <c r="JFV49" s="20"/>
      <c r="JFW49" s="20"/>
      <c r="JFX49" s="21"/>
      <c r="JFY49" s="21"/>
      <c r="JFZ49" s="21"/>
      <c r="JGA49" s="21"/>
      <c r="JGB49" s="21"/>
      <c r="JGC49" s="20"/>
      <c r="JGD49" s="20"/>
      <c r="JGE49" s="20"/>
      <c r="JGF49" s="20"/>
      <c r="JGG49" s="21"/>
      <c r="JGH49" s="21"/>
      <c r="JGI49" s="7"/>
      <c r="JGJ49" s="7"/>
      <c r="JGK49" s="21"/>
      <c r="JGL49" s="20"/>
      <c r="JGM49" s="20"/>
      <c r="JGN49" s="20"/>
      <c r="JGO49" s="21"/>
      <c r="JGP49" s="21"/>
      <c r="JGQ49" s="21"/>
      <c r="JGR49" s="21"/>
      <c r="JGS49" s="21"/>
      <c r="JGT49" s="20"/>
      <c r="JGU49" s="20"/>
      <c r="JGV49" s="20"/>
      <c r="JGW49" s="20"/>
      <c r="JGX49" s="21"/>
      <c r="JGY49" s="21"/>
      <c r="JGZ49" s="7"/>
      <c r="JHA49" s="7"/>
      <c r="JHB49" s="21"/>
      <c r="JHC49" s="20"/>
      <c r="JHD49" s="20"/>
      <c r="JHE49" s="20"/>
      <c r="JHF49" s="21"/>
      <c r="JHG49" s="21"/>
      <c r="JHH49" s="21"/>
      <c r="JHI49" s="21"/>
      <c r="JHJ49" s="21"/>
      <c r="JHK49" s="20"/>
      <c r="JHL49" s="20"/>
      <c r="JHM49" s="20"/>
      <c r="JHN49" s="20"/>
      <c r="JHO49" s="21"/>
      <c r="JHP49" s="21"/>
      <c r="JHQ49" s="7"/>
      <c r="JHR49" s="7"/>
      <c r="JHS49" s="21"/>
      <c r="JHT49" s="20"/>
      <c r="JHU49" s="20"/>
      <c r="JHV49" s="20"/>
      <c r="JHW49" s="21"/>
      <c r="JHX49" s="21"/>
      <c r="JHY49" s="21"/>
      <c r="JHZ49" s="21"/>
      <c r="JIA49" s="21"/>
      <c r="JIB49" s="20"/>
      <c r="JIC49" s="20"/>
      <c r="JID49" s="20"/>
      <c r="JIE49" s="20"/>
      <c r="JIF49" s="21"/>
      <c r="JIG49" s="21"/>
      <c r="JIH49" s="7"/>
      <c r="JII49" s="7"/>
      <c r="JIJ49" s="21"/>
      <c r="JIK49" s="20"/>
      <c r="JIL49" s="20"/>
      <c r="JIM49" s="20"/>
      <c r="JIN49" s="21"/>
      <c r="JIO49" s="21"/>
      <c r="JIP49" s="21"/>
      <c r="JIQ49" s="21"/>
      <c r="JIR49" s="21"/>
      <c r="JIS49" s="20"/>
      <c r="JIT49" s="20"/>
      <c r="JIU49" s="20"/>
      <c r="JIV49" s="20"/>
      <c r="JIW49" s="21"/>
      <c r="JIX49" s="21"/>
      <c r="JIY49" s="7"/>
      <c r="JIZ49" s="7"/>
      <c r="JJA49" s="21"/>
      <c r="JJB49" s="20"/>
      <c r="JJC49" s="20"/>
      <c r="JJD49" s="20"/>
      <c r="JJE49" s="21"/>
      <c r="JJF49" s="21"/>
      <c r="JJG49" s="21"/>
      <c r="JJH49" s="21"/>
      <c r="JJI49" s="21"/>
      <c r="JJJ49" s="20"/>
      <c r="JJK49" s="20"/>
      <c r="JJL49" s="20"/>
      <c r="JJM49" s="20"/>
      <c r="JJN49" s="21"/>
      <c r="JJO49" s="21"/>
      <c r="JJP49" s="7"/>
      <c r="JJQ49" s="7"/>
      <c r="JJR49" s="21"/>
      <c r="JJS49" s="20"/>
      <c r="JJT49" s="20"/>
      <c r="JJU49" s="20"/>
      <c r="JJV49" s="21"/>
      <c r="JJW49" s="21"/>
      <c r="JJX49" s="21"/>
      <c r="JJY49" s="21"/>
      <c r="JJZ49" s="21"/>
      <c r="JKA49" s="20"/>
      <c r="JKB49" s="20"/>
      <c r="JKC49" s="20"/>
      <c r="JKD49" s="20"/>
      <c r="JKE49" s="21"/>
      <c r="JKF49" s="21"/>
      <c r="JKG49" s="7"/>
      <c r="JKH49" s="7"/>
      <c r="JKI49" s="21"/>
      <c r="JKJ49" s="20"/>
      <c r="JKK49" s="20"/>
      <c r="JKL49" s="20"/>
      <c r="JKM49" s="21"/>
      <c r="JKN49" s="21"/>
      <c r="JKO49" s="21"/>
      <c r="JKP49" s="21"/>
      <c r="JKQ49" s="21"/>
      <c r="JKR49" s="20"/>
      <c r="JKS49" s="20"/>
      <c r="JKT49" s="20"/>
      <c r="JKU49" s="20"/>
      <c r="JKV49" s="21"/>
      <c r="JKW49" s="21"/>
      <c r="JKX49" s="7"/>
      <c r="JKY49" s="7"/>
      <c r="JKZ49" s="21"/>
      <c r="JLA49" s="20"/>
      <c r="JLB49" s="20"/>
      <c r="JLC49" s="20"/>
      <c r="JLD49" s="21"/>
      <c r="JLE49" s="21"/>
      <c r="JLF49" s="21"/>
      <c r="JLG49" s="21"/>
      <c r="JLH49" s="21"/>
      <c r="JLI49" s="20"/>
      <c r="JLJ49" s="20"/>
      <c r="JLK49" s="20"/>
      <c r="JLL49" s="20"/>
      <c r="JLM49" s="21"/>
      <c r="JLN49" s="21"/>
      <c r="JLO49" s="7"/>
      <c r="JLP49" s="7"/>
      <c r="JLQ49" s="21"/>
      <c r="JLR49" s="20"/>
      <c r="JLS49" s="20"/>
      <c r="JLT49" s="20"/>
      <c r="JLU49" s="21"/>
      <c r="JLV49" s="21"/>
      <c r="JLW49" s="21"/>
      <c r="JLX49" s="21"/>
      <c r="JLY49" s="21"/>
      <c r="JLZ49" s="20"/>
      <c r="JMA49" s="20"/>
      <c r="JMB49" s="20"/>
      <c r="JMC49" s="20"/>
      <c r="JMD49" s="21"/>
      <c r="JME49" s="21"/>
      <c r="JMF49" s="7"/>
      <c r="JMG49" s="7"/>
      <c r="JMH49" s="21"/>
      <c r="JMI49" s="20"/>
      <c r="JMJ49" s="20"/>
      <c r="JMK49" s="20"/>
      <c r="JML49" s="21"/>
      <c r="JMM49" s="21"/>
      <c r="JMN49" s="21"/>
      <c r="JMO49" s="21"/>
      <c r="JMP49" s="21"/>
      <c r="JMQ49" s="20"/>
      <c r="JMR49" s="20"/>
      <c r="JMS49" s="20"/>
      <c r="JMT49" s="20"/>
      <c r="JMU49" s="21"/>
      <c r="JMV49" s="21"/>
      <c r="JMW49" s="7"/>
      <c r="JMX49" s="7"/>
      <c r="JMY49" s="21"/>
      <c r="JMZ49" s="20"/>
      <c r="JNA49" s="20"/>
      <c r="JNB49" s="20"/>
      <c r="JNC49" s="21"/>
      <c r="JND49" s="21"/>
      <c r="JNE49" s="21"/>
      <c r="JNF49" s="21"/>
      <c r="JNG49" s="21"/>
      <c r="JNH49" s="20"/>
      <c r="JNI49" s="20"/>
      <c r="JNJ49" s="20"/>
      <c r="JNK49" s="20"/>
      <c r="JNL49" s="21"/>
      <c r="JNM49" s="21"/>
      <c r="JNN49" s="7"/>
      <c r="JNO49" s="7"/>
      <c r="JNP49" s="21"/>
      <c r="JNQ49" s="20"/>
      <c r="JNR49" s="20"/>
      <c r="JNS49" s="20"/>
      <c r="JNT49" s="21"/>
      <c r="JNU49" s="21"/>
      <c r="JNV49" s="21"/>
      <c r="JNW49" s="21"/>
      <c r="JNX49" s="21"/>
      <c r="JNY49" s="20"/>
      <c r="JNZ49" s="20"/>
      <c r="JOA49" s="20"/>
      <c r="JOB49" s="20"/>
      <c r="JOC49" s="21"/>
      <c r="JOD49" s="21"/>
      <c r="JOE49" s="7"/>
      <c r="JOF49" s="7"/>
      <c r="JOG49" s="21"/>
      <c r="JOH49" s="20"/>
      <c r="JOI49" s="20"/>
      <c r="JOJ49" s="20"/>
      <c r="JOK49" s="21"/>
      <c r="JOL49" s="21"/>
      <c r="JOM49" s="21"/>
      <c r="JON49" s="21"/>
      <c r="JOO49" s="21"/>
      <c r="JOP49" s="20"/>
      <c r="JOQ49" s="20"/>
      <c r="JOR49" s="20"/>
      <c r="JOS49" s="20"/>
      <c r="JOT49" s="21"/>
      <c r="JOU49" s="21"/>
      <c r="JOV49" s="7"/>
      <c r="JOW49" s="7"/>
      <c r="JOX49" s="21"/>
      <c r="JOY49" s="20"/>
      <c r="JOZ49" s="20"/>
      <c r="JPA49" s="20"/>
      <c r="JPB49" s="21"/>
      <c r="JPC49" s="21"/>
      <c r="JPD49" s="21"/>
      <c r="JPE49" s="21"/>
      <c r="JPF49" s="21"/>
      <c r="JPG49" s="20"/>
      <c r="JPH49" s="20"/>
      <c r="JPI49" s="20"/>
      <c r="JPJ49" s="20"/>
      <c r="JPK49" s="21"/>
      <c r="JPL49" s="21"/>
      <c r="JPM49" s="7"/>
      <c r="JPN49" s="7"/>
      <c r="JPO49" s="21"/>
      <c r="JPP49" s="20"/>
      <c r="JPQ49" s="20"/>
      <c r="JPR49" s="20"/>
      <c r="JPS49" s="21"/>
      <c r="JPT49" s="21"/>
      <c r="JPU49" s="21"/>
      <c r="JPV49" s="21"/>
      <c r="JPW49" s="21"/>
      <c r="JPX49" s="20"/>
      <c r="JPY49" s="20"/>
      <c r="JPZ49" s="20"/>
      <c r="JQA49" s="20"/>
      <c r="JQB49" s="21"/>
      <c r="JQC49" s="21"/>
      <c r="JQD49" s="7"/>
      <c r="JQE49" s="7"/>
      <c r="JQF49" s="21"/>
      <c r="JQG49" s="20"/>
      <c r="JQH49" s="20"/>
      <c r="JQI49" s="20"/>
      <c r="JQJ49" s="21"/>
      <c r="JQK49" s="21"/>
      <c r="JQL49" s="21"/>
      <c r="JQM49" s="21"/>
      <c r="JQN49" s="21"/>
      <c r="JQO49" s="20"/>
      <c r="JQP49" s="20"/>
      <c r="JQQ49" s="20"/>
      <c r="JQR49" s="20"/>
      <c r="JQS49" s="21"/>
      <c r="JQT49" s="21"/>
      <c r="JQU49" s="7"/>
      <c r="JQV49" s="7"/>
      <c r="JQW49" s="21"/>
      <c r="JQX49" s="20"/>
      <c r="JQY49" s="20"/>
      <c r="JQZ49" s="20"/>
      <c r="JRA49" s="21"/>
      <c r="JRB49" s="21"/>
      <c r="JRC49" s="21"/>
      <c r="JRD49" s="21"/>
      <c r="JRE49" s="21"/>
      <c r="JRF49" s="20"/>
      <c r="JRG49" s="20"/>
      <c r="JRH49" s="20"/>
      <c r="JRI49" s="20"/>
      <c r="JRJ49" s="21"/>
      <c r="JRK49" s="21"/>
      <c r="JRL49" s="7"/>
      <c r="JRM49" s="7"/>
      <c r="JRN49" s="21"/>
      <c r="JRO49" s="20"/>
      <c r="JRP49" s="20"/>
      <c r="JRQ49" s="20"/>
      <c r="JRR49" s="21"/>
      <c r="JRS49" s="21"/>
      <c r="JRT49" s="21"/>
      <c r="JRU49" s="21"/>
      <c r="JRV49" s="21"/>
      <c r="JRW49" s="20"/>
      <c r="JRX49" s="20"/>
      <c r="JRY49" s="20"/>
      <c r="JRZ49" s="20"/>
      <c r="JSA49" s="21"/>
      <c r="JSB49" s="21"/>
      <c r="JSC49" s="7"/>
      <c r="JSD49" s="7"/>
      <c r="JSE49" s="21"/>
      <c r="JSF49" s="20"/>
      <c r="JSG49" s="20"/>
      <c r="JSH49" s="20"/>
      <c r="JSI49" s="21"/>
      <c r="JSJ49" s="21"/>
      <c r="JSK49" s="21"/>
      <c r="JSL49" s="21"/>
      <c r="JSM49" s="21"/>
      <c r="JSN49" s="20"/>
      <c r="JSO49" s="20"/>
      <c r="JSP49" s="20"/>
      <c r="JSQ49" s="20"/>
      <c r="JSR49" s="21"/>
      <c r="JSS49" s="21"/>
      <c r="JST49" s="7"/>
      <c r="JSU49" s="7"/>
      <c r="JSV49" s="21"/>
      <c r="JSW49" s="20"/>
      <c r="JSX49" s="20"/>
      <c r="JSY49" s="20"/>
      <c r="JSZ49" s="21"/>
      <c r="JTA49" s="21"/>
      <c r="JTB49" s="21"/>
      <c r="JTC49" s="21"/>
      <c r="JTD49" s="21"/>
      <c r="JTE49" s="20"/>
      <c r="JTF49" s="20"/>
      <c r="JTG49" s="20"/>
      <c r="JTH49" s="20"/>
      <c r="JTI49" s="21"/>
      <c r="JTJ49" s="21"/>
      <c r="JTK49" s="7"/>
      <c r="JTL49" s="7"/>
      <c r="JTM49" s="21"/>
      <c r="JTN49" s="20"/>
      <c r="JTO49" s="20"/>
      <c r="JTP49" s="20"/>
      <c r="JTQ49" s="21"/>
      <c r="JTR49" s="21"/>
      <c r="JTS49" s="21"/>
      <c r="JTT49" s="21"/>
      <c r="JTU49" s="21"/>
      <c r="JTV49" s="20"/>
      <c r="JTW49" s="20"/>
      <c r="JTX49" s="20"/>
      <c r="JTY49" s="20"/>
      <c r="JTZ49" s="21"/>
      <c r="JUA49" s="21"/>
      <c r="JUB49" s="7"/>
      <c r="JUC49" s="7"/>
      <c r="JUD49" s="21"/>
      <c r="JUE49" s="20"/>
      <c r="JUF49" s="20"/>
      <c r="JUG49" s="20"/>
      <c r="JUH49" s="21"/>
      <c r="JUI49" s="21"/>
      <c r="JUJ49" s="21"/>
      <c r="JUK49" s="21"/>
      <c r="JUL49" s="21"/>
      <c r="JUM49" s="20"/>
      <c r="JUN49" s="20"/>
      <c r="JUO49" s="20"/>
      <c r="JUP49" s="20"/>
      <c r="JUQ49" s="21"/>
      <c r="JUR49" s="21"/>
      <c r="JUS49" s="7"/>
      <c r="JUT49" s="7"/>
      <c r="JUU49" s="21"/>
      <c r="JUV49" s="20"/>
      <c r="JUW49" s="20"/>
      <c r="JUX49" s="20"/>
      <c r="JUY49" s="21"/>
      <c r="JUZ49" s="21"/>
      <c r="JVA49" s="21"/>
      <c r="JVB49" s="21"/>
      <c r="JVC49" s="21"/>
      <c r="JVD49" s="20"/>
      <c r="JVE49" s="20"/>
      <c r="JVF49" s="20"/>
      <c r="JVG49" s="20"/>
      <c r="JVH49" s="21"/>
      <c r="JVI49" s="21"/>
      <c r="JVJ49" s="7"/>
      <c r="JVK49" s="7"/>
      <c r="JVL49" s="21"/>
      <c r="JVM49" s="20"/>
      <c r="JVN49" s="20"/>
      <c r="JVO49" s="20"/>
      <c r="JVP49" s="21"/>
      <c r="JVQ49" s="21"/>
      <c r="JVR49" s="21"/>
      <c r="JVS49" s="21"/>
      <c r="JVT49" s="21"/>
      <c r="JVU49" s="20"/>
      <c r="JVV49" s="20"/>
      <c r="JVW49" s="20"/>
      <c r="JVX49" s="20"/>
      <c r="JVY49" s="21"/>
      <c r="JVZ49" s="21"/>
      <c r="JWA49" s="7"/>
      <c r="JWB49" s="7"/>
      <c r="JWC49" s="21"/>
      <c r="JWD49" s="20"/>
      <c r="JWE49" s="20"/>
      <c r="JWF49" s="20"/>
      <c r="JWG49" s="21"/>
      <c r="JWH49" s="21"/>
      <c r="JWI49" s="21"/>
      <c r="JWJ49" s="21"/>
      <c r="JWK49" s="21"/>
      <c r="JWL49" s="20"/>
      <c r="JWM49" s="20"/>
      <c r="JWN49" s="20"/>
      <c r="JWO49" s="20"/>
      <c r="JWP49" s="21"/>
      <c r="JWQ49" s="21"/>
      <c r="JWR49" s="7"/>
      <c r="JWS49" s="7"/>
      <c r="JWT49" s="21"/>
      <c r="JWU49" s="20"/>
      <c r="JWV49" s="20"/>
      <c r="JWW49" s="20"/>
      <c r="JWX49" s="21"/>
      <c r="JWY49" s="21"/>
      <c r="JWZ49" s="21"/>
      <c r="JXA49" s="21"/>
      <c r="JXB49" s="21"/>
      <c r="JXC49" s="20"/>
      <c r="JXD49" s="20"/>
      <c r="JXE49" s="20"/>
      <c r="JXF49" s="20"/>
      <c r="JXG49" s="21"/>
      <c r="JXH49" s="21"/>
      <c r="JXI49" s="7"/>
      <c r="JXJ49" s="7"/>
      <c r="JXK49" s="21"/>
      <c r="JXL49" s="20"/>
      <c r="JXM49" s="20"/>
      <c r="JXN49" s="20"/>
      <c r="JXO49" s="21"/>
      <c r="JXP49" s="21"/>
      <c r="JXQ49" s="21"/>
      <c r="JXR49" s="21"/>
      <c r="JXS49" s="21"/>
      <c r="JXT49" s="20"/>
      <c r="JXU49" s="20"/>
      <c r="JXV49" s="20"/>
      <c r="JXW49" s="20"/>
      <c r="JXX49" s="21"/>
      <c r="JXY49" s="21"/>
      <c r="JXZ49" s="7"/>
      <c r="JYA49" s="7"/>
      <c r="JYB49" s="21"/>
      <c r="JYC49" s="20"/>
      <c r="JYD49" s="20"/>
      <c r="JYE49" s="20"/>
      <c r="JYF49" s="21"/>
      <c r="JYG49" s="21"/>
      <c r="JYH49" s="21"/>
      <c r="JYI49" s="21"/>
      <c r="JYJ49" s="21"/>
      <c r="JYK49" s="20"/>
      <c r="JYL49" s="20"/>
      <c r="JYM49" s="20"/>
      <c r="JYN49" s="20"/>
      <c r="JYO49" s="21"/>
      <c r="JYP49" s="21"/>
      <c r="JYQ49" s="7"/>
      <c r="JYR49" s="7"/>
      <c r="JYS49" s="21"/>
      <c r="JYT49" s="20"/>
      <c r="JYU49" s="20"/>
      <c r="JYV49" s="20"/>
      <c r="JYW49" s="21"/>
      <c r="JYX49" s="21"/>
      <c r="JYY49" s="21"/>
      <c r="JYZ49" s="21"/>
      <c r="JZA49" s="21"/>
      <c r="JZB49" s="20"/>
      <c r="JZC49" s="20"/>
      <c r="JZD49" s="20"/>
      <c r="JZE49" s="20"/>
      <c r="JZF49" s="21"/>
      <c r="JZG49" s="21"/>
      <c r="JZH49" s="7"/>
      <c r="JZI49" s="7"/>
      <c r="JZJ49" s="21"/>
      <c r="JZK49" s="20"/>
      <c r="JZL49" s="20"/>
      <c r="JZM49" s="20"/>
      <c r="JZN49" s="21"/>
      <c r="JZO49" s="21"/>
      <c r="JZP49" s="21"/>
      <c r="JZQ49" s="21"/>
      <c r="JZR49" s="21"/>
      <c r="JZS49" s="20"/>
      <c r="JZT49" s="20"/>
      <c r="JZU49" s="20"/>
      <c r="JZV49" s="20"/>
      <c r="JZW49" s="21"/>
      <c r="JZX49" s="21"/>
      <c r="JZY49" s="7"/>
      <c r="JZZ49" s="7"/>
      <c r="KAA49" s="21"/>
      <c r="KAB49" s="20"/>
      <c r="KAC49" s="20"/>
      <c r="KAD49" s="20"/>
      <c r="KAE49" s="21"/>
      <c r="KAF49" s="21"/>
      <c r="KAG49" s="21"/>
      <c r="KAH49" s="21"/>
      <c r="KAI49" s="21"/>
      <c r="KAJ49" s="20"/>
      <c r="KAK49" s="20"/>
      <c r="KAL49" s="20"/>
      <c r="KAM49" s="20"/>
      <c r="KAN49" s="21"/>
      <c r="KAO49" s="21"/>
      <c r="KAP49" s="7"/>
      <c r="KAQ49" s="7"/>
      <c r="KAR49" s="21"/>
      <c r="KAS49" s="20"/>
      <c r="KAT49" s="20"/>
      <c r="KAU49" s="20"/>
      <c r="KAV49" s="21"/>
      <c r="KAW49" s="21"/>
      <c r="KAX49" s="21"/>
      <c r="KAY49" s="21"/>
      <c r="KAZ49" s="21"/>
      <c r="KBA49" s="20"/>
      <c r="KBB49" s="20"/>
      <c r="KBC49" s="20"/>
      <c r="KBD49" s="20"/>
      <c r="KBE49" s="21"/>
      <c r="KBF49" s="21"/>
      <c r="KBG49" s="7"/>
      <c r="KBH49" s="7"/>
      <c r="KBI49" s="21"/>
      <c r="KBJ49" s="20"/>
      <c r="KBK49" s="20"/>
      <c r="KBL49" s="20"/>
      <c r="KBM49" s="21"/>
      <c r="KBN49" s="21"/>
      <c r="KBO49" s="21"/>
      <c r="KBP49" s="21"/>
      <c r="KBQ49" s="21"/>
      <c r="KBR49" s="20"/>
      <c r="KBS49" s="20"/>
      <c r="KBT49" s="20"/>
      <c r="KBU49" s="20"/>
      <c r="KBV49" s="21"/>
      <c r="KBW49" s="21"/>
      <c r="KBX49" s="7"/>
      <c r="KBY49" s="7"/>
      <c r="KBZ49" s="21"/>
      <c r="KCA49" s="20"/>
      <c r="KCB49" s="20"/>
      <c r="KCC49" s="20"/>
      <c r="KCD49" s="21"/>
      <c r="KCE49" s="21"/>
      <c r="KCF49" s="21"/>
      <c r="KCG49" s="21"/>
      <c r="KCH49" s="21"/>
      <c r="KCI49" s="20"/>
      <c r="KCJ49" s="20"/>
      <c r="KCK49" s="20"/>
      <c r="KCL49" s="20"/>
      <c r="KCM49" s="21"/>
      <c r="KCN49" s="21"/>
      <c r="KCO49" s="7"/>
      <c r="KCP49" s="7"/>
      <c r="KCQ49" s="21"/>
      <c r="KCR49" s="20"/>
      <c r="KCS49" s="20"/>
      <c r="KCT49" s="20"/>
      <c r="KCU49" s="21"/>
      <c r="KCV49" s="21"/>
      <c r="KCW49" s="21"/>
      <c r="KCX49" s="21"/>
      <c r="KCY49" s="21"/>
      <c r="KCZ49" s="20"/>
      <c r="KDA49" s="20"/>
      <c r="KDB49" s="20"/>
      <c r="KDC49" s="20"/>
      <c r="KDD49" s="21"/>
      <c r="KDE49" s="21"/>
      <c r="KDF49" s="7"/>
      <c r="KDG49" s="7"/>
      <c r="KDH49" s="21"/>
      <c r="KDI49" s="20"/>
      <c r="KDJ49" s="20"/>
      <c r="KDK49" s="20"/>
      <c r="KDL49" s="21"/>
      <c r="KDM49" s="21"/>
      <c r="KDN49" s="21"/>
      <c r="KDO49" s="21"/>
      <c r="KDP49" s="21"/>
      <c r="KDQ49" s="20"/>
      <c r="KDR49" s="20"/>
      <c r="KDS49" s="20"/>
      <c r="KDT49" s="20"/>
      <c r="KDU49" s="21"/>
      <c r="KDV49" s="21"/>
      <c r="KDW49" s="7"/>
      <c r="KDX49" s="7"/>
      <c r="KDY49" s="21"/>
      <c r="KDZ49" s="20"/>
      <c r="KEA49" s="20"/>
      <c r="KEB49" s="20"/>
      <c r="KEC49" s="21"/>
      <c r="KED49" s="21"/>
      <c r="KEE49" s="21"/>
      <c r="KEF49" s="21"/>
      <c r="KEG49" s="21"/>
      <c r="KEH49" s="20"/>
      <c r="KEI49" s="20"/>
      <c r="KEJ49" s="20"/>
      <c r="KEK49" s="20"/>
      <c r="KEL49" s="21"/>
      <c r="KEM49" s="21"/>
      <c r="KEN49" s="7"/>
      <c r="KEO49" s="7"/>
      <c r="KEP49" s="21"/>
      <c r="KEQ49" s="20"/>
      <c r="KER49" s="20"/>
      <c r="KES49" s="20"/>
      <c r="KET49" s="21"/>
      <c r="KEU49" s="21"/>
      <c r="KEV49" s="21"/>
      <c r="KEW49" s="21"/>
      <c r="KEX49" s="21"/>
      <c r="KEY49" s="20"/>
      <c r="KEZ49" s="20"/>
      <c r="KFA49" s="20"/>
      <c r="KFB49" s="20"/>
      <c r="KFC49" s="21"/>
      <c r="KFD49" s="21"/>
      <c r="KFE49" s="7"/>
      <c r="KFF49" s="7"/>
      <c r="KFG49" s="21"/>
      <c r="KFH49" s="20"/>
      <c r="KFI49" s="20"/>
      <c r="KFJ49" s="20"/>
      <c r="KFK49" s="21"/>
      <c r="KFL49" s="21"/>
      <c r="KFM49" s="21"/>
      <c r="KFN49" s="21"/>
      <c r="KFO49" s="21"/>
      <c r="KFP49" s="20"/>
      <c r="KFQ49" s="20"/>
      <c r="KFR49" s="20"/>
      <c r="KFS49" s="20"/>
      <c r="KFT49" s="21"/>
      <c r="KFU49" s="21"/>
      <c r="KFV49" s="7"/>
      <c r="KFW49" s="7"/>
      <c r="KFX49" s="21"/>
      <c r="KFY49" s="20"/>
      <c r="KFZ49" s="20"/>
      <c r="KGA49" s="20"/>
      <c r="KGB49" s="21"/>
      <c r="KGC49" s="21"/>
      <c r="KGD49" s="21"/>
      <c r="KGE49" s="21"/>
      <c r="KGF49" s="21"/>
      <c r="KGG49" s="20"/>
      <c r="KGH49" s="20"/>
      <c r="KGI49" s="20"/>
      <c r="KGJ49" s="20"/>
      <c r="KGK49" s="21"/>
      <c r="KGL49" s="21"/>
      <c r="KGM49" s="7"/>
      <c r="KGN49" s="7"/>
      <c r="KGO49" s="21"/>
      <c r="KGP49" s="20"/>
      <c r="KGQ49" s="20"/>
      <c r="KGR49" s="20"/>
      <c r="KGS49" s="21"/>
      <c r="KGT49" s="21"/>
      <c r="KGU49" s="21"/>
      <c r="KGV49" s="21"/>
      <c r="KGW49" s="21"/>
      <c r="KGX49" s="20"/>
      <c r="KGY49" s="20"/>
      <c r="KGZ49" s="20"/>
      <c r="KHA49" s="20"/>
      <c r="KHB49" s="21"/>
      <c r="KHC49" s="21"/>
      <c r="KHD49" s="7"/>
      <c r="KHE49" s="7"/>
      <c r="KHF49" s="21"/>
      <c r="KHG49" s="20"/>
      <c r="KHH49" s="20"/>
      <c r="KHI49" s="20"/>
      <c r="KHJ49" s="21"/>
      <c r="KHK49" s="21"/>
      <c r="KHL49" s="21"/>
      <c r="KHM49" s="21"/>
      <c r="KHN49" s="21"/>
      <c r="KHO49" s="20"/>
      <c r="KHP49" s="20"/>
      <c r="KHQ49" s="20"/>
      <c r="KHR49" s="20"/>
      <c r="KHS49" s="21"/>
      <c r="KHT49" s="21"/>
      <c r="KHU49" s="7"/>
      <c r="KHV49" s="7"/>
      <c r="KHW49" s="21"/>
      <c r="KHX49" s="20"/>
      <c r="KHY49" s="20"/>
      <c r="KHZ49" s="20"/>
      <c r="KIA49" s="21"/>
      <c r="KIB49" s="21"/>
      <c r="KIC49" s="21"/>
      <c r="KID49" s="21"/>
      <c r="KIE49" s="21"/>
      <c r="KIF49" s="20"/>
      <c r="KIG49" s="20"/>
      <c r="KIH49" s="20"/>
      <c r="KII49" s="20"/>
      <c r="KIJ49" s="21"/>
      <c r="KIK49" s="21"/>
      <c r="KIL49" s="7"/>
      <c r="KIM49" s="7"/>
      <c r="KIN49" s="21"/>
      <c r="KIO49" s="20"/>
      <c r="KIP49" s="20"/>
      <c r="KIQ49" s="20"/>
      <c r="KIR49" s="21"/>
      <c r="KIS49" s="21"/>
      <c r="KIT49" s="21"/>
      <c r="KIU49" s="21"/>
      <c r="KIV49" s="21"/>
      <c r="KIW49" s="20"/>
      <c r="KIX49" s="20"/>
      <c r="KIY49" s="20"/>
      <c r="KIZ49" s="20"/>
      <c r="KJA49" s="21"/>
      <c r="KJB49" s="21"/>
      <c r="KJC49" s="7"/>
      <c r="KJD49" s="7"/>
      <c r="KJE49" s="21"/>
      <c r="KJF49" s="20"/>
      <c r="KJG49" s="20"/>
      <c r="KJH49" s="20"/>
      <c r="KJI49" s="21"/>
      <c r="KJJ49" s="21"/>
      <c r="KJK49" s="21"/>
      <c r="KJL49" s="21"/>
      <c r="KJM49" s="21"/>
      <c r="KJN49" s="20"/>
      <c r="KJO49" s="20"/>
      <c r="KJP49" s="20"/>
      <c r="KJQ49" s="20"/>
      <c r="KJR49" s="21"/>
      <c r="KJS49" s="21"/>
      <c r="KJT49" s="7"/>
      <c r="KJU49" s="7"/>
      <c r="KJV49" s="21"/>
      <c r="KJW49" s="20"/>
      <c r="KJX49" s="20"/>
      <c r="KJY49" s="20"/>
      <c r="KJZ49" s="21"/>
      <c r="KKA49" s="21"/>
      <c r="KKB49" s="21"/>
      <c r="KKC49" s="21"/>
      <c r="KKD49" s="21"/>
      <c r="KKE49" s="20"/>
      <c r="KKF49" s="20"/>
      <c r="KKG49" s="20"/>
      <c r="KKH49" s="20"/>
      <c r="KKI49" s="21"/>
      <c r="KKJ49" s="21"/>
      <c r="KKK49" s="7"/>
      <c r="KKL49" s="7"/>
      <c r="KKM49" s="21"/>
      <c r="KKN49" s="20"/>
      <c r="KKO49" s="20"/>
      <c r="KKP49" s="20"/>
      <c r="KKQ49" s="21"/>
      <c r="KKR49" s="21"/>
      <c r="KKS49" s="21"/>
      <c r="KKT49" s="21"/>
      <c r="KKU49" s="21"/>
      <c r="KKV49" s="20"/>
      <c r="KKW49" s="20"/>
      <c r="KKX49" s="20"/>
      <c r="KKY49" s="20"/>
      <c r="KKZ49" s="21"/>
      <c r="KLA49" s="21"/>
      <c r="KLB49" s="7"/>
      <c r="KLC49" s="7"/>
      <c r="KLD49" s="21"/>
      <c r="KLE49" s="20"/>
      <c r="KLF49" s="20"/>
      <c r="KLG49" s="20"/>
      <c r="KLH49" s="21"/>
      <c r="KLI49" s="21"/>
      <c r="KLJ49" s="21"/>
      <c r="KLK49" s="21"/>
      <c r="KLL49" s="21"/>
      <c r="KLM49" s="20"/>
      <c r="KLN49" s="20"/>
      <c r="KLO49" s="20"/>
      <c r="KLP49" s="20"/>
      <c r="KLQ49" s="21"/>
      <c r="KLR49" s="21"/>
      <c r="KLS49" s="7"/>
      <c r="KLT49" s="7"/>
      <c r="KLU49" s="21"/>
      <c r="KLV49" s="20"/>
      <c r="KLW49" s="20"/>
      <c r="KLX49" s="20"/>
      <c r="KLY49" s="21"/>
      <c r="KLZ49" s="21"/>
      <c r="KMA49" s="21"/>
      <c r="KMB49" s="21"/>
      <c r="KMC49" s="21"/>
      <c r="KMD49" s="20"/>
      <c r="KME49" s="20"/>
      <c r="KMF49" s="20"/>
      <c r="KMG49" s="20"/>
      <c r="KMH49" s="21"/>
      <c r="KMI49" s="21"/>
      <c r="KMJ49" s="7"/>
      <c r="KMK49" s="7"/>
      <c r="KML49" s="21"/>
      <c r="KMM49" s="20"/>
      <c r="KMN49" s="20"/>
      <c r="KMO49" s="20"/>
      <c r="KMP49" s="21"/>
      <c r="KMQ49" s="21"/>
      <c r="KMR49" s="21"/>
      <c r="KMS49" s="21"/>
      <c r="KMT49" s="21"/>
      <c r="KMU49" s="20"/>
      <c r="KMV49" s="20"/>
      <c r="KMW49" s="20"/>
      <c r="KMX49" s="20"/>
      <c r="KMY49" s="21"/>
      <c r="KMZ49" s="21"/>
      <c r="KNA49" s="7"/>
      <c r="KNB49" s="7"/>
      <c r="KNC49" s="21"/>
      <c r="KND49" s="20"/>
      <c r="KNE49" s="20"/>
      <c r="KNF49" s="20"/>
      <c r="KNG49" s="21"/>
      <c r="KNH49" s="21"/>
      <c r="KNI49" s="21"/>
      <c r="KNJ49" s="21"/>
      <c r="KNK49" s="21"/>
      <c r="KNL49" s="20"/>
      <c r="KNM49" s="20"/>
      <c r="KNN49" s="20"/>
      <c r="KNO49" s="20"/>
      <c r="KNP49" s="21"/>
      <c r="KNQ49" s="21"/>
      <c r="KNR49" s="7"/>
      <c r="KNS49" s="7"/>
      <c r="KNT49" s="21"/>
      <c r="KNU49" s="20"/>
      <c r="KNV49" s="20"/>
      <c r="KNW49" s="20"/>
      <c r="KNX49" s="21"/>
      <c r="KNY49" s="21"/>
      <c r="KNZ49" s="21"/>
      <c r="KOA49" s="21"/>
      <c r="KOB49" s="21"/>
      <c r="KOC49" s="20"/>
      <c r="KOD49" s="20"/>
      <c r="KOE49" s="20"/>
      <c r="KOF49" s="20"/>
      <c r="KOG49" s="21"/>
      <c r="KOH49" s="21"/>
      <c r="KOI49" s="7"/>
      <c r="KOJ49" s="7"/>
      <c r="KOK49" s="21"/>
      <c r="KOL49" s="20"/>
      <c r="KOM49" s="20"/>
      <c r="KON49" s="20"/>
      <c r="KOO49" s="21"/>
      <c r="KOP49" s="21"/>
      <c r="KOQ49" s="21"/>
      <c r="KOR49" s="21"/>
      <c r="KOS49" s="21"/>
      <c r="KOT49" s="20"/>
      <c r="KOU49" s="20"/>
      <c r="KOV49" s="20"/>
      <c r="KOW49" s="20"/>
      <c r="KOX49" s="21"/>
      <c r="KOY49" s="21"/>
      <c r="KOZ49" s="7"/>
      <c r="KPA49" s="7"/>
      <c r="KPB49" s="21"/>
      <c r="KPC49" s="20"/>
      <c r="KPD49" s="20"/>
      <c r="KPE49" s="20"/>
      <c r="KPF49" s="21"/>
      <c r="KPG49" s="21"/>
      <c r="KPH49" s="21"/>
      <c r="KPI49" s="21"/>
      <c r="KPJ49" s="21"/>
      <c r="KPK49" s="20"/>
      <c r="KPL49" s="20"/>
      <c r="KPM49" s="20"/>
      <c r="KPN49" s="20"/>
      <c r="KPO49" s="21"/>
      <c r="KPP49" s="21"/>
      <c r="KPQ49" s="7"/>
      <c r="KPR49" s="7"/>
      <c r="KPS49" s="21"/>
      <c r="KPT49" s="20"/>
      <c r="KPU49" s="20"/>
      <c r="KPV49" s="20"/>
      <c r="KPW49" s="21"/>
      <c r="KPX49" s="21"/>
      <c r="KPY49" s="21"/>
      <c r="KPZ49" s="21"/>
      <c r="KQA49" s="21"/>
      <c r="KQB49" s="20"/>
      <c r="KQC49" s="20"/>
      <c r="KQD49" s="20"/>
      <c r="KQE49" s="20"/>
      <c r="KQF49" s="21"/>
      <c r="KQG49" s="21"/>
      <c r="KQH49" s="7"/>
      <c r="KQI49" s="7"/>
      <c r="KQJ49" s="21"/>
      <c r="KQK49" s="20"/>
      <c r="KQL49" s="20"/>
      <c r="KQM49" s="20"/>
      <c r="KQN49" s="21"/>
      <c r="KQO49" s="21"/>
      <c r="KQP49" s="21"/>
      <c r="KQQ49" s="21"/>
      <c r="KQR49" s="21"/>
      <c r="KQS49" s="20"/>
      <c r="KQT49" s="20"/>
      <c r="KQU49" s="20"/>
      <c r="KQV49" s="20"/>
      <c r="KQW49" s="21"/>
      <c r="KQX49" s="21"/>
      <c r="KQY49" s="7"/>
      <c r="KQZ49" s="7"/>
      <c r="KRA49" s="21"/>
      <c r="KRB49" s="20"/>
      <c r="KRC49" s="20"/>
      <c r="KRD49" s="20"/>
      <c r="KRE49" s="21"/>
      <c r="KRF49" s="21"/>
      <c r="KRG49" s="21"/>
      <c r="KRH49" s="21"/>
      <c r="KRI49" s="21"/>
      <c r="KRJ49" s="20"/>
      <c r="KRK49" s="20"/>
      <c r="KRL49" s="20"/>
      <c r="KRM49" s="20"/>
      <c r="KRN49" s="21"/>
      <c r="KRO49" s="21"/>
      <c r="KRP49" s="7"/>
      <c r="KRQ49" s="7"/>
      <c r="KRR49" s="21"/>
      <c r="KRS49" s="20"/>
      <c r="KRT49" s="20"/>
      <c r="KRU49" s="20"/>
      <c r="KRV49" s="21"/>
      <c r="KRW49" s="21"/>
      <c r="KRX49" s="21"/>
      <c r="KRY49" s="21"/>
      <c r="KRZ49" s="21"/>
      <c r="KSA49" s="20"/>
      <c r="KSB49" s="20"/>
      <c r="KSC49" s="20"/>
      <c r="KSD49" s="20"/>
      <c r="KSE49" s="21"/>
      <c r="KSF49" s="21"/>
      <c r="KSG49" s="7"/>
      <c r="KSH49" s="7"/>
      <c r="KSI49" s="21"/>
      <c r="KSJ49" s="20"/>
      <c r="KSK49" s="20"/>
      <c r="KSL49" s="20"/>
      <c r="KSM49" s="21"/>
      <c r="KSN49" s="21"/>
      <c r="KSO49" s="21"/>
      <c r="KSP49" s="21"/>
      <c r="KSQ49" s="21"/>
      <c r="KSR49" s="20"/>
      <c r="KSS49" s="20"/>
      <c r="KST49" s="20"/>
      <c r="KSU49" s="20"/>
      <c r="KSV49" s="21"/>
      <c r="KSW49" s="21"/>
      <c r="KSX49" s="7"/>
      <c r="KSY49" s="7"/>
      <c r="KSZ49" s="21"/>
      <c r="KTA49" s="20"/>
      <c r="KTB49" s="20"/>
      <c r="KTC49" s="20"/>
      <c r="KTD49" s="21"/>
      <c r="KTE49" s="21"/>
      <c r="KTF49" s="21"/>
      <c r="KTG49" s="21"/>
      <c r="KTH49" s="21"/>
      <c r="KTI49" s="20"/>
      <c r="KTJ49" s="20"/>
      <c r="KTK49" s="20"/>
      <c r="KTL49" s="20"/>
      <c r="KTM49" s="21"/>
      <c r="KTN49" s="21"/>
      <c r="KTO49" s="7"/>
      <c r="KTP49" s="7"/>
      <c r="KTQ49" s="21"/>
      <c r="KTR49" s="20"/>
      <c r="KTS49" s="20"/>
      <c r="KTT49" s="20"/>
      <c r="KTU49" s="21"/>
      <c r="KTV49" s="21"/>
      <c r="KTW49" s="21"/>
      <c r="KTX49" s="21"/>
      <c r="KTY49" s="21"/>
      <c r="KTZ49" s="20"/>
      <c r="KUA49" s="20"/>
      <c r="KUB49" s="20"/>
      <c r="KUC49" s="20"/>
      <c r="KUD49" s="21"/>
      <c r="KUE49" s="21"/>
      <c r="KUF49" s="7"/>
      <c r="KUG49" s="7"/>
      <c r="KUH49" s="21"/>
      <c r="KUI49" s="20"/>
      <c r="KUJ49" s="20"/>
      <c r="KUK49" s="20"/>
      <c r="KUL49" s="21"/>
      <c r="KUM49" s="21"/>
      <c r="KUN49" s="21"/>
      <c r="KUO49" s="21"/>
      <c r="KUP49" s="21"/>
      <c r="KUQ49" s="20"/>
      <c r="KUR49" s="20"/>
      <c r="KUS49" s="20"/>
      <c r="KUT49" s="20"/>
      <c r="KUU49" s="21"/>
      <c r="KUV49" s="21"/>
      <c r="KUW49" s="7"/>
      <c r="KUX49" s="7"/>
      <c r="KUY49" s="21"/>
      <c r="KUZ49" s="20"/>
      <c r="KVA49" s="20"/>
      <c r="KVB49" s="20"/>
      <c r="KVC49" s="21"/>
      <c r="KVD49" s="21"/>
      <c r="KVE49" s="21"/>
      <c r="KVF49" s="21"/>
      <c r="KVG49" s="21"/>
      <c r="KVH49" s="20"/>
      <c r="KVI49" s="20"/>
      <c r="KVJ49" s="20"/>
      <c r="KVK49" s="20"/>
      <c r="KVL49" s="21"/>
      <c r="KVM49" s="21"/>
      <c r="KVN49" s="7"/>
      <c r="KVO49" s="7"/>
      <c r="KVP49" s="21"/>
      <c r="KVQ49" s="20"/>
      <c r="KVR49" s="20"/>
      <c r="KVS49" s="20"/>
      <c r="KVT49" s="21"/>
      <c r="KVU49" s="21"/>
      <c r="KVV49" s="21"/>
      <c r="KVW49" s="21"/>
      <c r="KVX49" s="21"/>
      <c r="KVY49" s="20"/>
      <c r="KVZ49" s="20"/>
      <c r="KWA49" s="20"/>
      <c r="KWB49" s="20"/>
      <c r="KWC49" s="21"/>
      <c r="KWD49" s="21"/>
      <c r="KWE49" s="7"/>
      <c r="KWF49" s="7"/>
      <c r="KWG49" s="21"/>
      <c r="KWH49" s="20"/>
      <c r="KWI49" s="20"/>
      <c r="KWJ49" s="20"/>
      <c r="KWK49" s="21"/>
      <c r="KWL49" s="21"/>
      <c r="KWM49" s="21"/>
      <c r="KWN49" s="21"/>
      <c r="KWO49" s="21"/>
      <c r="KWP49" s="20"/>
      <c r="KWQ49" s="20"/>
      <c r="KWR49" s="20"/>
      <c r="KWS49" s="20"/>
      <c r="KWT49" s="21"/>
      <c r="KWU49" s="21"/>
      <c r="KWV49" s="7"/>
      <c r="KWW49" s="7"/>
      <c r="KWX49" s="21"/>
      <c r="KWY49" s="20"/>
      <c r="KWZ49" s="20"/>
      <c r="KXA49" s="20"/>
      <c r="KXB49" s="21"/>
      <c r="KXC49" s="21"/>
      <c r="KXD49" s="21"/>
      <c r="KXE49" s="21"/>
      <c r="KXF49" s="21"/>
      <c r="KXG49" s="20"/>
      <c r="KXH49" s="20"/>
      <c r="KXI49" s="20"/>
      <c r="KXJ49" s="20"/>
      <c r="KXK49" s="21"/>
      <c r="KXL49" s="21"/>
      <c r="KXM49" s="7"/>
      <c r="KXN49" s="7"/>
      <c r="KXO49" s="21"/>
      <c r="KXP49" s="20"/>
      <c r="KXQ49" s="20"/>
      <c r="KXR49" s="20"/>
      <c r="KXS49" s="21"/>
      <c r="KXT49" s="21"/>
      <c r="KXU49" s="21"/>
      <c r="KXV49" s="21"/>
      <c r="KXW49" s="21"/>
      <c r="KXX49" s="20"/>
      <c r="KXY49" s="20"/>
      <c r="KXZ49" s="20"/>
      <c r="KYA49" s="20"/>
      <c r="KYB49" s="21"/>
      <c r="KYC49" s="21"/>
      <c r="KYD49" s="7"/>
      <c r="KYE49" s="7"/>
      <c r="KYF49" s="21"/>
      <c r="KYG49" s="20"/>
      <c r="KYH49" s="20"/>
      <c r="KYI49" s="20"/>
      <c r="KYJ49" s="21"/>
      <c r="KYK49" s="21"/>
      <c r="KYL49" s="21"/>
      <c r="KYM49" s="21"/>
      <c r="KYN49" s="21"/>
      <c r="KYO49" s="20"/>
      <c r="KYP49" s="20"/>
      <c r="KYQ49" s="20"/>
      <c r="KYR49" s="20"/>
      <c r="KYS49" s="21"/>
      <c r="KYT49" s="21"/>
      <c r="KYU49" s="7"/>
      <c r="KYV49" s="7"/>
      <c r="KYW49" s="21"/>
      <c r="KYX49" s="20"/>
      <c r="KYY49" s="20"/>
      <c r="KYZ49" s="20"/>
      <c r="KZA49" s="21"/>
      <c r="KZB49" s="21"/>
      <c r="KZC49" s="21"/>
      <c r="KZD49" s="21"/>
      <c r="KZE49" s="21"/>
      <c r="KZF49" s="20"/>
      <c r="KZG49" s="20"/>
      <c r="KZH49" s="20"/>
      <c r="KZI49" s="20"/>
      <c r="KZJ49" s="21"/>
      <c r="KZK49" s="21"/>
      <c r="KZL49" s="7"/>
      <c r="KZM49" s="7"/>
      <c r="KZN49" s="21"/>
      <c r="KZO49" s="20"/>
      <c r="KZP49" s="20"/>
      <c r="KZQ49" s="20"/>
      <c r="KZR49" s="21"/>
      <c r="KZS49" s="21"/>
      <c r="KZT49" s="21"/>
      <c r="KZU49" s="21"/>
      <c r="KZV49" s="21"/>
      <c r="KZW49" s="20"/>
      <c r="KZX49" s="20"/>
      <c r="KZY49" s="20"/>
      <c r="KZZ49" s="20"/>
      <c r="LAA49" s="21"/>
      <c r="LAB49" s="21"/>
      <c r="LAC49" s="7"/>
      <c r="LAD49" s="7"/>
      <c r="LAE49" s="21"/>
      <c r="LAF49" s="20"/>
      <c r="LAG49" s="20"/>
      <c r="LAH49" s="20"/>
      <c r="LAI49" s="21"/>
      <c r="LAJ49" s="21"/>
      <c r="LAK49" s="21"/>
      <c r="LAL49" s="21"/>
      <c r="LAM49" s="21"/>
      <c r="LAN49" s="20"/>
      <c r="LAO49" s="20"/>
      <c r="LAP49" s="20"/>
      <c r="LAQ49" s="20"/>
      <c r="LAR49" s="21"/>
      <c r="LAS49" s="21"/>
      <c r="LAT49" s="7"/>
      <c r="LAU49" s="7"/>
      <c r="LAV49" s="21"/>
      <c r="LAW49" s="20"/>
      <c r="LAX49" s="20"/>
      <c r="LAY49" s="20"/>
      <c r="LAZ49" s="21"/>
      <c r="LBA49" s="21"/>
      <c r="LBB49" s="21"/>
      <c r="LBC49" s="21"/>
      <c r="LBD49" s="21"/>
      <c r="LBE49" s="20"/>
      <c r="LBF49" s="20"/>
      <c r="LBG49" s="20"/>
      <c r="LBH49" s="20"/>
      <c r="LBI49" s="21"/>
      <c r="LBJ49" s="21"/>
      <c r="LBK49" s="7"/>
      <c r="LBL49" s="7"/>
      <c r="LBM49" s="21"/>
      <c r="LBN49" s="20"/>
      <c r="LBO49" s="20"/>
      <c r="LBP49" s="20"/>
      <c r="LBQ49" s="21"/>
      <c r="LBR49" s="21"/>
      <c r="LBS49" s="21"/>
      <c r="LBT49" s="21"/>
      <c r="LBU49" s="21"/>
      <c r="LBV49" s="20"/>
      <c r="LBW49" s="20"/>
      <c r="LBX49" s="20"/>
      <c r="LBY49" s="20"/>
      <c r="LBZ49" s="21"/>
      <c r="LCA49" s="21"/>
      <c r="LCB49" s="7"/>
      <c r="LCC49" s="7"/>
      <c r="LCD49" s="21"/>
      <c r="LCE49" s="20"/>
      <c r="LCF49" s="20"/>
      <c r="LCG49" s="20"/>
      <c r="LCH49" s="21"/>
      <c r="LCI49" s="21"/>
      <c r="LCJ49" s="21"/>
      <c r="LCK49" s="21"/>
      <c r="LCL49" s="21"/>
      <c r="LCM49" s="20"/>
      <c r="LCN49" s="20"/>
      <c r="LCO49" s="20"/>
      <c r="LCP49" s="20"/>
      <c r="LCQ49" s="21"/>
      <c r="LCR49" s="21"/>
      <c r="LCS49" s="7"/>
      <c r="LCT49" s="7"/>
      <c r="LCU49" s="21"/>
      <c r="LCV49" s="20"/>
      <c r="LCW49" s="20"/>
      <c r="LCX49" s="20"/>
      <c r="LCY49" s="21"/>
      <c r="LCZ49" s="21"/>
      <c r="LDA49" s="21"/>
      <c r="LDB49" s="21"/>
      <c r="LDC49" s="21"/>
      <c r="LDD49" s="20"/>
      <c r="LDE49" s="20"/>
      <c r="LDF49" s="20"/>
      <c r="LDG49" s="20"/>
      <c r="LDH49" s="21"/>
      <c r="LDI49" s="21"/>
      <c r="LDJ49" s="7"/>
      <c r="LDK49" s="7"/>
      <c r="LDL49" s="21"/>
      <c r="LDM49" s="20"/>
      <c r="LDN49" s="20"/>
      <c r="LDO49" s="20"/>
      <c r="LDP49" s="21"/>
      <c r="LDQ49" s="21"/>
      <c r="LDR49" s="21"/>
      <c r="LDS49" s="21"/>
      <c r="LDT49" s="21"/>
      <c r="LDU49" s="20"/>
      <c r="LDV49" s="20"/>
      <c r="LDW49" s="20"/>
      <c r="LDX49" s="20"/>
      <c r="LDY49" s="21"/>
      <c r="LDZ49" s="21"/>
      <c r="LEA49" s="7"/>
      <c r="LEB49" s="7"/>
      <c r="LEC49" s="21"/>
      <c r="LED49" s="20"/>
      <c r="LEE49" s="20"/>
      <c r="LEF49" s="20"/>
      <c r="LEG49" s="21"/>
      <c r="LEH49" s="21"/>
      <c r="LEI49" s="21"/>
      <c r="LEJ49" s="21"/>
      <c r="LEK49" s="21"/>
      <c r="LEL49" s="20"/>
      <c r="LEM49" s="20"/>
      <c r="LEN49" s="20"/>
      <c r="LEO49" s="20"/>
      <c r="LEP49" s="21"/>
      <c r="LEQ49" s="21"/>
      <c r="LER49" s="7"/>
      <c r="LES49" s="7"/>
      <c r="LET49" s="21"/>
      <c r="LEU49" s="20"/>
      <c r="LEV49" s="20"/>
      <c r="LEW49" s="20"/>
      <c r="LEX49" s="21"/>
      <c r="LEY49" s="21"/>
      <c r="LEZ49" s="21"/>
      <c r="LFA49" s="21"/>
      <c r="LFB49" s="21"/>
      <c r="LFC49" s="20"/>
      <c r="LFD49" s="20"/>
      <c r="LFE49" s="20"/>
      <c r="LFF49" s="20"/>
      <c r="LFG49" s="21"/>
      <c r="LFH49" s="21"/>
      <c r="LFI49" s="7"/>
      <c r="LFJ49" s="7"/>
      <c r="LFK49" s="21"/>
      <c r="LFL49" s="20"/>
      <c r="LFM49" s="20"/>
      <c r="LFN49" s="20"/>
      <c r="LFO49" s="21"/>
      <c r="LFP49" s="21"/>
      <c r="LFQ49" s="21"/>
      <c r="LFR49" s="21"/>
      <c r="LFS49" s="21"/>
      <c r="LFT49" s="20"/>
      <c r="LFU49" s="20"/>
      <c r="LFV49" s="20"/>
      <c r="LFW49" s="20"/>
      <c r="LFX49" s="21"/>
      <c r="LFY49" s="21"/>
      <c r="LFZ49" s="7"/>
      <c r="LGA49" s="7"/>
      <c r="LGB49" s="21"/>
      <c r="LGC49" s="20"/>
      <c r="LGD49" s="20"/>
      <c r="LGE49" s="20"/>
      <c r="LGF49" s="21"/>
      <c r="LGG49" s="21"/>
      <c r="LGH49" s="21"/>
      <c r="LGI49" s="21"/>
      <c r="LGJ49" s="21"/>
      <c r="LGK49" s="20"/>
      <c r="LGL49" s="20"/>
      <c r="LGM49" s="20"/>
      <c r="LGN49" s="20"/>
      <c r="LGO49" s="21"/>
      <c r="LGP49" s="21"/>
      <c r="LGQ49" s="7"/>
      <c r="LGR49" s="7"/>
      <c r="LGS49" s="21"/>
      <c r="LGT49" s="20"/>
      <c r="LGU49" s="20"/>
      <c r="LGV49" s="20"/>
      <c r="LGW49" s="21"/>
      <c r="LGX49" s="21"/>
      <c r="LGY49" s="21"/>
      <c r="LGZ49" s="21"/>
      <c r="LHA49" s="21"/>
      <c r="LHB49" s="20"/>
      <c r="LHC49" s="20"/>
      <c r="LHD49" s="20"/>
      <c r="LHE49" s="20"/>
      <c r="LHF49" s="21"/>
      <c r="LHG49" s="21"/>
      <c r="LHH49" s="7"/>
      <c r="LHI49" s="7"/>
      <c r="LHJ49" s="21"/>
      <c r="LHK49" s="20"/>
      <c r="LHL49" s="20"/>
      <c r="LHM49" s="20"/>
      <c r="LHN49" s="21"/>
      <c r="LHO49" s="21"/>
      <c r="LHP49" s="21"/>
      <c r="LHQ49" s="21"/>
      <c r="LHR49" s="21"/>
      <c r="LHS49" s="20"/>
      <c r="LHT49" s="20"/>
      <c r="LHU49" s="20"/>
      <c r="LHV49" s="20"/>
      <c r="LHW49" s="21"/>
      <c r="LHX49" s="21"/>
      <c r="LHY49" s="7"/>
      <c r="LHZ49" s="7"/>
      <c r="LIA49" s="21"/>
      <c r="LIB49" s="20"/>
      <c r="LIC49" s="20"/>
      <c r="LID49" s="20"/>
      <c r="LIE49" s="21"/>
      <c r="LIF49" s="21"/>
      <c r="LIG49" s="21"/>
      <c r="LIH49" s="21"/>
      <c r="LII49" s="21"/>
      <c r="LIJ49" s="20"/>
      <c r="LIK49" s="20"/>
      <c r="LIL49" s="20"/>
      <c r="LIM49" s="20"/>
      <c r="LIN49" s="21"/>
      <c r="LIO49" s="21"/>
      <c r="LIP49" s="7"/>
      <c r="LIQ49" s="7"/>
      <c r="LIR49" s="21"/>
      <c r="LIS49" s="20"/>
      <c r="LIT49" s="20"/>
      <c r="LIU49" s="20"/>
      <c r="LIV49" s="21"/>
      <c r="LIW49" s="21"/>
      <c r="LIX49" s="21"/>
      <c r="LIY49" s="21"/>
      <c r="LIZ49" s="21"/>
      <c r="LJA49" s="20"/>
      <c r="LJB49" s="20"/>
      <c r="LJC49" s="20"/>
      <c r="LJD49" s="20"/>
      <c r="LJE49" s="21"/>
      <c r="LJF49" s="21"/>
      <c r="LJG49" s="7"/>
      <c r="LJH49" s="7"/>
      <c r="LJI49" s="21"/>
      <c r="LJJ49" s="20"/>
      <c r="LJK49" s="20"/>
      <c r="LJL49" s="20"/>
      <c r="LJM49" s="21"/>
      <c r="LJN49" s="21"/>
      <c r="LJO49" s="21"/>
      <c r="LJP49" s="21"/>
      <c r="LJQ49" s="21"/>
      <c r="LJR49" s="20"/>
      <c r="LJS49" s="20"/>
      <c r="LJT49" s="20"/>
      <c r="LJU49" s="20"/>
      <c r="LJV49" s="21"/>
      <c r="LJW49" s="21"/>
      <c r="LJX49" s="7"/>
      <c r="LJY49" s="7"/>
      <c r="LJZ49" s="21"/>
      <c r="LKA49" s="20"/>
      <c r="LKB49" s="20"/>
      <c r="LKC49" s="20"/>
      <c r="LKD49" s="21"/>
      <c r="LKE49" s="21"/>
      <c r="LKF49" s="21"/>
      <c r="LKG49" s="21"/>
      <c r="LKH49" s="21"/>
      <c r="LKI49" s="20"/>
      <c r="LKJ49" s="20"/>
      <c r="LKK49" s="20"/>
      <c r="LKL49" s="20"/>
      <c r="LKM49" s="21"/>
      <c r="LKN49" s="21"/>
      <c r="LKO49" s="7"/>
      <c r="LKP49" s="7"/>
      <c r="LKQ49" s="21"/>
      <c r="LKR49" s="20"/>
      <c r="LKS49" s="20"/>
      <c r="LKT49" s="20"/>
      <c r="LKU49" s="21"/>
      <c r="LKV49" s="21"/>
      <c r="LKW49" s="21"/>
      <c r="LKX49" s="21"/>
      <c r="LKY49" s="21"/>
      <c r="LKZ49" s="20"/>
      <c r="LLA49" s="20"/>
      <c r="LLB49" s="20"/>
      <c r="LLC49" s="20"/>
      <c r="LLD49" s="21"/>
      <c r="LLE49" s="21"/>
      <c r="LLF49" s="7"/>
      <c r="LLG49" s="7"/>
      <c r="LLH49" s="21"/>
      <c r="LLI49" s="20"/>
      <c r="LLJ49" s="20"/>
      <c r="LLK49" s="20"/>
      <c r="LLL49" s="21"/>
      <c r="LLM49" s="21"/>
      <c r="LLN49" s="21"/>
      <c r="LLO49" s="21"/>
      <c r="LLP49" s="21"/>
      <c r="LLQ49" s="20"/>
      <c r="LLR49" s="20"/>
      <c r="LLS49" s="20"/>
      <c r="LLT49" s="20"/>
      <c r="LLU49" s="21"/>
      <c r="LLV49" s="21"/>
      <c r="LLW49" s="7"/>
      <c r="LLX49" s="7"/>
      <c r="LLY49" s="21"/>
      <c r="LLZ49" s="20"/>
      <c r="LMA49" s="20"/>
      <c r="LMB49" s="20"/>
      <c r="LMC49" s="21"/>
      <c r="LMD49" s="21"/>
      <c r="LME49" s="21"/>
      <c r="LMF49" s="21"/>
      <c r="LMG49" s="21"/>
      <c r="LMH49" s="20"/>
      <c r="LMI49" s="20"/>
      <c r="LMJ49" s="20"/>
      <c r="LMK49" s="20"/>
      <c r="LML49" s="21"/>
      <c r="LMM49" s="21"/>
      <c r="LMN49" s="7"/>
      <c r="LMO49" s="7"/>
      <c r="LMP49" s="21"/>
      <c r="LMQ49" s="20"/>
      <c r="LMR49" s="20"/>
      <c r="LMS49" s="20"/>
      <c r="LMT49" s="21"/>
      <c r="LMU49" s="21"/>
      <c r="LMV49" s="21"/>
      <c r="LMW49" s="21"/>
      <c r="LMX49" s="21"/>
      <c r="LMY49" s="20"/>
      <c r="LMZ49" s="20"/>
      <c r="LNA49" s="20"/>
      <c r="LNB49" s="20"/>
      <c r="LNC49" s="21"/>
      <c r="LND49" s="21"/>
      <c r="LNE49" s="7"/>
      <c r="LNF49" s="7"/>
      <c r="LNG49" s="21"/>
      <c r="LNH49" s="20"/>
      <c r="LNI49" s="20"/>
      <c r="LNJ49" s="20"/>
      <c r="LNK49" s="21"/>
      <c r="LNL49" s="21"/>
      <c r="LNM49" s="21"/>
      <c r="LNN49" s="21"/>
      <c r="LNO49" s="21"/>
      <c r="LNP49" s="20"/>
      <c r="LNQ49" s="20"/>
      <c r="LNR49" s="20"/>
      <c r="LNS49" s="20"/>
      <c r="LNT49" s="21"/>
      <c r="LNU49" s="21"/>
      <c r="LNV49" s="7"/>
      <c r="LNW49" s="7"/>
      <c r="LNX49" s="21"/>
      <c r="LNY49" s="20"/>
      <c r="LNZ49" s="20"/>
      <c r="LOA49" s="20"/>
      <c r="LOB49" s="21"/>
      <c r="LOC49" s="21"/>
      <c r="LOD49" s="21"/>
      <c r="LOE49" s="21"/>
      <c r="LOF49" s="21"/>
      <c r="LOG49" s="20"/>
      <c r="LOH49" s="20"/>
      <c r="LOI49" s="20"/>
      <c r="LOJ49" s="20"/>
      <c r="LOK49" s="21"/>
      <c r="LOL49" s="21"/>
      <c r="LOM49" s="7"/>
      <c r="LON49" s="7"/>
      <c r="LOO49" s="21"/>
      <c r="LOP49" s="20"/>
      <c r="LOQ49" s="20"/>
      <c r="LOR49" s="20"/>
      <c r="LOS49" s="21"/>
      <c r="LOT49" s="21"/>
      <c r="LOU49" s="21"/>
      <c r="LOV49" s="21"/>
      <c r="LOW49" s="21"/>
      <c r="LOX49" s="20"/>
      <c r="LOY49" s="20"/>
      <c r="LOZ49" s="20"/>
      <c r="LPA49" s="20"/>
      <c r="LPB49" s="21"/>
      <c r="LPC49" s="21"/>
      <c r="LPD49" s="7"/>
      <c r="LPE49" s="7"/>
      <c r="LPF49" s="21"/>
      <c r="LPG49" s="20"/>
      <c r="LPH49" s="20"/>
      <c r="LPI49" s="20"/>
      <c r="LPJ49" s="21"/>
      <c r="LPK49" s="21"/>
      <c r="LPL49" s="21"/>
      <c r="LPM49" s="21"/>
      <c r="LPN49" s="21"/>
      <c r="LPO49" s="20"/>
      <c r="LPP49" s="20"/>
      <c r="LPQ49" s="20"/>
      <c r="LPR49" s="20"/>
      <c r="LPS49" s="21"/>
      <c r="LPT49" s="21"/>
      <c r="LPU49" s="7"/>
      <c r="LPV49" s="7"/>
      <c r="LPW49" s="21"/>
      <c r="LPX49" s="20"/>
      <c r="LPY49" s="20"/>
      <c r="LPZ49" s="20"/>
      <c r="LQA49" s="21"/>
      <c r="LQB49" s="21"/>
      <c r="LQC49" s="21"/>
      <c r="LQD49" s="21"/>
      <c r="LQE49" s="21"/>
      <c r="LQF49" s="20"/>
      <c r="LQG49" s="20"/>
      <c r="LQH49" s="20"/>
      <c r="LQI49" s="20"/>
      <c r="LQJ49" s="21"/>
      <c r="LQK49" s="21"/>
      <c r="LQL49" s="7"/>
      <c r="LQM49" s="7"/>
      <c r="LQN49" s="21"/>
      <c r="LQO49" s="20"/>
      <c r="LQP49" s="20"/>
      <c r="LQQ49" s="20"/>
      <c r="LQR49" s="21"/>
      <c r="LQS49" s="21"/>
      <c r="LQT49" s="21"/>
      <c r="LQU49" s="21"/>
      <c r="LQV49" s="21"/>
      <c r="LQW49" s="20"/>
      <c r="LQX49" s="20"/>
      <c r="LQY49" s="20"/>
      <c r="LQZ49" s="20"/>
      <c r="LRA49" s="21"/>
      <c r="LRB49" s="21"/>
      <c r="LRC49" s="7"/>
      <c r="LRD49" s="7"/>
      <c r="LRE49" s="21"/>
      <c r="LRF49" s="20"/>
      <c r="LRG49" s="20"/>
      <c r="LRH49" s="20"/>
      <c r="LRI49" s="21"/>
      <c r="LRJ49" s="21"/>
      <c r="LRK49" s="21"/>
      <c r="LRL49" s="21"/>
      <c r="LRM49" s="21"/>
      <c r="LRN49" s="20"/>
      <c r="LRO49" s="20"/>
      <c r="LRP49" s="20"/>
      <c r="LRQ49" s="20"/>
      <c r="LRR49" s="21"/>
      <c r="LRS49" s="21"/>
      <c r="LRT49" s="7"/>
      <c r="LRU49" s="7"/>
      <c r="LRV49" s="21"/>
      <c r="LRW49" s="20"/>
      <c r="LRX49" s="20"/>
      <c r="LRY49" s="20"/>
      <c r="LRZ49" s="21"/>
      <c r="LSA49" s="21"/>
      <c r="LSB49" s="21"/>
      <c r="LSC49" s="21"/>
      <c r="LSD49" s="21"/>
      <c r="LSE49" s="20"/>
      <c r="LSF49" s="20"/>
      <c r="LSG49" s="20"/>
      <c r="LSH49" s="20"/>
      <c r="LSI49" s="21"/>
      <c r="LSJ49" s="21"/>
      <c r="LSK49" s="7"/>
      <c r="LSL49" s="7"/>
      <c r="LSM49" s="21"/>
      <c r="LSN49" s="20"/>
      <c r="LSO49" s="20"/>
      <c r="LSP49" s="20"/>
      <c r="LSQ49" s="21"/>
      <c r="LSR49" s="21"/>
      <c r="LSS49" s="21"/>
      <c r="LST49" s="21"/>
      <c r="LSU49" s="21"/>
      <c r="LSV49" s="20"/>
      <c r="LSW49" s="20"/>
      <c r="LSX49" s="20"/>
      <c r="LSY49" s="20"/>
      <c r="LSZ49" s="21"/>
      <c r="LTA49" s="21"/>
      <c r="LTB49" s="7"/>
      <c r="LTC49" s="7"/>
      <c r="LTD49" s="21"/>
      <c r="LTE49" s="20"/>
      <c r="LTF49" s="20"/>
      <c r="LTG49" s="20"/>
      <c r="LTH49" s="21"/>
      <c r="LTI49" s="21"/>
      <c r="LTJ49" s="21"/>
      <c r="LTK49" s="21"/>
      <c r="LTL49" s="21"/>
      <c r="LTM49" s="20"/>
      <c r="LTN49" s="20"/>
      <c r="LTO49" s="20"/>
      <c r="LTP49" s="20"/>
      <c r="LTQ49" s="21"/>
      <c r="LTR49" s="21"/>
      <c r="LTS49" s="7"/>
      <c r="LTT49" s="7"/>
      <c r="LTU49" s="21"/>
      <c r="LTV49" s="20"/>
      <c r="LTW49" s="20"/>
      <c r="LTX49" s="20"/>
      <c r="LTY49" s="21"/>
      <c r="LTZ49" s="21"/>
      <c r="LUA49" s="21"/>
      <c r="LUB49" s="21"/>
      <c r="LUC49" s="21"/>
      <c r="LUD49" s="20"/>
      <c r="LUE49" s="20"/>
      <c r="LUF49" s="20"/>
      <c r="LUG49" s="20"/>
      <c r="LUH49" s="21"/>
      <c r="LUI49" s="21"/>
      <c r="LUJ49" s="7"/>
      <c r="LUK49" s="7"/>
      <c r="LUL49" s="21"/>
      <c r="LUM49" s="20"/>
      <c r="LUN49" s="20"/>
      <c r="LUO49" s="20"/>
      <c r="LUP49" s="21"/>
      <c r="LUQ49" s="21"/>
      <c r="LUR49" s="21"/>
      <c r="LUS49" s="21"/>
      <c r="LUT49" s="21"/>
      <c r="LUU49" s="20"/>
      <c r="LUV49" s="20"/>
      <c r="LUW49" s="20"/>
      <c r="LUX49" s="20"/>
      <c r="LUY49" s="21"/>
      <c r="LUZ49" s="21"/>
      <c r="LVA49" s="7"/>
      <c r="LVB49" s="7"/>
      <c r="LVC49" s="21"/>
      <c r="LVD49" s="20"/>
      <c r="LVE49" s="20"/>
      <c r="LVF49" s="20"/>
      <c r="LVG49" s="21"/>
      <c r="LVH49" s="21"/>
      <c r="LVI49" s="21"/>
      <c r="LVJ49" s="21"/>
      <c r="LVK49" s="21"/>
      <c r="LVL49" s="20"/>
      <c r="LVM49" s="20"/>
      <c r="LVN49" s="20"/>
      <c r="LVO49" s="20"/>
      <c r="LVP49" s="21"/>
      <c r="LVQ49" s="21"/>
      <c r="LVR49" s="7"/>
      <c r="LVS49" s="7"/>
      <c r="LVT49" s="21"/>
      <c r="LVU49" s="20"/>
      <c r="LVV49" s="20"/>
      <c r="LVW49" s="20"/>
      <c r="LVX49" s="21"/>
      <c r="LVY49" s="21"/>
      <c r="LVZ49" s="21"/>
      <c r="LWA49" s="21"/>
      <c r="LWB49" s="21"/>
      <c r="LWC49" s="20"/>
      <c r="LWD49" s="20"/>
      <c r="LWE49" s="20"/>
      <c r="LWF49" s="20"/>
      <c r="LWG49" s="21"/>
      <c r="LWH49" s="21"/>
      <c r="LWI49" s="7"/>
      <c r="LWJ49" s="7"/>
      <c r="LWK49" s="21"/>
      <c r="LWL49" s="20"/>
      <c r="LWM49" s="20"/>
      <c r="LWN49" s="20"/>
      <c r="LWO49" s="21"/>
      <c r="LWP49" s="21"/>
      <c r="LWQ49" s="21"/>
      <c r="LWR49" s="21"/>
      <c r="LWS49" s="21"/>
      <c r="LWT49" s="20"/>
      <c r="LWU49" s="20"/>
      <c r="LWV49" s="20"/>
      <c r="LWW49" s="20"/>
      <c r="LWX49" s="21"/>
      <c r="LWY49" s="21"/>
      <c r="LWZ49" s="7"/>
      <c r="LXA49" s="7"/>
      <c r="LXB49" s="21"/>
      <c r="LXC49" s="20"/>
      <c r="LXD49" s="20"/>
      <c r="LXE49" s="20"/>
      <c r="LXF49" s="21"/>
      <c r="LXG49" s="21"/>
      <c r="LXH49" s="21"/>
      <c r="LXI49" s="21"/>
      <c r="LXJ49" s="21"/>
      <c r="LXK49" s="20"/>
      <c r="LXL49" s="20"/>
      <c r="LXM49" s="20"/>
      <c r="LXN49" s="20"/>
      <c r="LXO49" s="21"/>
      <c r="LXP49" s="21"/>
      <c r="LXQ49" s="7"/>
      <c r="LXR49" s="7"/>
      <c r="LXS49" s="21"/>
      <c r="LXT49" s="20"/>
      <c r="LXU49" s="20"/>
      <c r="LXV49" s="20"/>
      <c r="LXW49" s="21"/>
      <c r="LXX49" s="21"/>
      <c r="LXY49" s="21"/>
      <c r="LXZ49" s="21"/>
      <c r="LYA49" s="21"/>
      <c r="LYB49" s="20"/>
      <c r="LYC49" s="20"/>
      <c r="LYD49" s="20"/>
      <c r="LYE49" s="20"/>
      <c r="LYF49" s="21"/>
      <c r="LYG49" s="21"/>
      <c r="LYH49" s="7"/>
      <c r="LYI49" s="7"/>
      <c r="LYJ49" s="21"/>
      <c r="LYK49" s="20"/>
      <c r="LYL49" s="20"/>
      <c r="LYM49" s="20"/>
      <c r="LYN49" s="21"/>
      <c r="LYO49" s="21"/>
      <c r="LYP49" s="21"/>
      <c r="LYQ49" s="21"/>
      <c r="LYR49" s="21"/>
      <c r="LYS49" s="20"/>
      <c r="LYT49" s="20"/>
      <c r="LYU49" s="20"/>
      <c r="LYV49" s="20"/>
      <c r="LYW49" s="21"/>
      <c r="LYX49" s="21"/>
      <c r="LYY49" s="7"/>
      <c r="LYZ49" s="7"/>
      <c r="LZA49" s="21"/>
      <c r="LZB49" s="20"/>
      <c r="LZC49" s="20"/>
      <c r="LZD49" s="20"/>
      <c r="LZE49" s="21"/>
      <c r="LZF49" s="21"/>
      <c r="LZG49" s="21"/>
      <c r="LZH49" s="21"/>
      <c r="LZI49" s="21"/>
      <c r="LZJ49" s="20"/>
      <c r="LZK49" s="20"/>
      <c r="LZL49" s="20"/>
      <c r="LZM49" s="20"/>
      <c r="LZN49" s="21"/>
      <c r="LZO49" s="21"/>
      <c r="LZP49" s="7"/>
      <c r="LZQ49" s="7"/>
      <c r="LZR49" s="21"/>
      <c r="LZS49" s="20"/>
      <c r="LZT49" s="20"/>
      <c r="LZU49" s="20"/>
      <c r="LZV49" s="21"/>
      <c r="LZW49" s="21"/>
      <c r="LZX49" s="21"/>
      <c r="LZY49" s="21"/>
      <c r="LZZ49" s="21"/>
      <c r="MAA49" s="20"/>
      <c r="MAB49" s="20"/>
      <c r="MAC49" s="20"/>
      <c r="MAD49" s="20"/>
      <c r="MAE49" s="21"/>
      <c r="MAF49" s="21"/>
      <c r="MAG49" s="7"/>
      <c r="MAH49" s="7"/>
      <c r="MAI49" s="21"/>
      <c r="MAJ49" s="20"/>
      <c r="MAK49" s="20"/>
      <c r="MAL49" s="20"/>
      <c r="MAM49" s="21"/>
      <c r="MAN49" s="21"/>
      <c r="MAO49" s="21"/>
      <c r="MAP49" s="21"/>
      <c r="MAQ49" s="21"/>
      <c r="MAR49" s="20"/>
      <c r="MAS49" s="20"/>
      <c r="MAT49" s="20"/>
      <c r="MAU49" s="20"/>
      <c r="MAV49" s="21"/>
      <c r="MAW49" s="21"/>
      <c r="MAX49" s="7"/>
      <c r="MAY49" s="7"/>
      <c r="MAZ49" s="21"/>
      <c r="MBA49" s="20"/>
      <c r="MBB49" s="20"/>
      <c r="MBC49" s="20"/>
      <c r="MBD49" s="21"/>
      <c r="MBE49" s="21"/>
      <c r="MBF49" s="21"/>
      <c r="MBG49" s="21"/>
      <c r="MBH49" s="21"/>
      <c r="MBI49" s="20"/>
      <c r="MBJ49" s="20"/>
      <c r="MBK49" s="20"/>
      <c r="MBL49" s="20"/>
      <c r="MBM49" s="21"/>
      <c r="MBN49" s="21"/>
      <c r="MBO49" s="7"/>
      <c r="MBP49" s="7"/>
      <c r="MBQ49" s="21"/>
      <c r="MBR49" s="20"/>
      <c r="MBS49" s="20"/>
      <c r="MBT49" s="20"/>
      <c r="MBU49" s="21"/>
      <c r="MBV49" s="21"/>
      <c r="MBW49" s="21"/>
      <c r="MBX49" s="21"/>
      <c r="MBY49" s="21"/>
      <c r="MBZ49" s="20"/>
      <c r="MCA49" s="20"/>
      <c r="MCB49" s="20"/>
      <c r="MCC49" s="20"/>
      <c r="MCD49" s="21"/>
      <c r="MCE49" s="21"/>
      <c r="MCF49" s="7"/>
      <c r="MCG49" s="7"/>
      <c r="MCH49" s="21"/>
      <c r="MCI49" s="20"/>
      <c r="MCJ49" s="20"/>
      <c r="MCK49" s="20"/>
      <c r="MCL49" s="21"/>
      <c r="MCM49" s="21"/>
      <c r="MCN49" s="21"/>
      <c r="MCO49" s="21"/>
      <c r="MCP49" s="21"/>
      <c r="MCQ49" s="20"/>
      <c r="MCR49" s="20"/>
      <c r="MCS49" s="20"/>
      <c r="MCT49" s="20"/>
      <c r="MCU49" s="21"/>
      <c r="MCV49" s="21"/>
      <c r="MCW49" s="7"/>
      <c r="MCX49" s="7"/>
      <c r="MCY49" s="21"/>
      <c r="MCZ49" s="20"/>
      <c r="MDA49" s="20"/>
      <c r="MDB49" s="20"/>
      <c r="MDC49" s="21"/>
      <c r="MDD49" s="21"/>
      <c r="MDE49" s="21"/>
      <c r="MDF49" s="21"/>
      <c r="MDG49" s="21"/>
      <c r="MDH49" s="20"/>
      <c r="MDI49" s="20"/>
      <c r="MDJ49" s="20"/>
      <c r="MDK49" s="20"/>
      <c r="MDL49" s="21"/>
      <c r="MDM49" s="21"/>
      <c r="MDN49" s="7"/>
      <c r="MDO49" s="7"/>
      <c r="MDP49" s="21"/>
      <c r="MDQ49" s="20"/>
      <c r="MDR49" s="20"/>
      <c r="MDS49" s="20"/>
      <c r="MDT49" s="21"/>
      <c r="MDU49" s="21"/>
      <c r="MDV49" s="21"/>
      <c r="MDW49" s="21"/>
      <c r="MDX49" s="21"/>
      <c r="MDY49" s="20"/>
      <c r="MDZ49" s="20"/>
      <c r="MEA49" s="20"/>
      <c r="MEB49" s="20"/>
      <c r="MEC49" s="21"/>
      <c r="MED49" s="21"/>
      <c r="MEE49" s="7"/>
      <c r="MEF49" s="7"/>
      <c r="MEG49" s="21"/>
      <c r="MEH49" s="20"/>
      <c r="MEI49" s="20"/>
      <c r="MEJ49" s="20"/>
      <c r="MEK49" s="21"/>
      <c r="MEL49" s="21"/>
      <c r="MEM49" s="21"/>
      <c r="MEN49" s="21"/>
      <c r="MEO49" s="21"/>
      <c r="MEP49" s="20"/>
      <c r="MEQ49" s="20"/>
      <c r="MER49" s="20"/>
      <c r="MES49" s="20"/>
      <c r="MET49" s="21"/>
      <c r="MEU49" s="21"/>
      <c r="MEV49" s="7"/>
      <c r="MEW49" s="7"/>
      <c r="MEX49" s="21"/>
      <c r="MEY49" s="20"/>
      <c r="MEZ49" s="20"/>
      <c r="MFA49" s="20"/>
      <c r="MFB49" s="21"/>
      <c r="MFC49" s="21"/>
      <c r="MFD49" s="21"/>
      <c r="MFE49" s="21"/>
      <c r="MFF49" s="21"/>
      <c r="MFG49" s="20"/>
      <c r="MFH49" s="20"/>
      <c r="MFI49" s="20"/>
      <c r="MFJ49" s="20"/>
      <c r="MFK49" s="21"/>
      <c r="MFL49" s="21"/>
      <c r="MFM49" s="7"/>
      <c r="MFN49" s="7"/>
      <c r="MFO49" s="21"/>
      <c r="MFP49" s="20"/>
      <c r="MFQ49" s="20"/>
      <c r="MFR49" s="20"/>
      <c r="MFS49" s="21"/>
      <c r="MFT49" s="21"/>
      <c r="MFU49" s="21"/>
      <c r="MFV49" s="21"/>
      <c r="MFW49" s="21"/>
      <c r="MFX49" s="20"/>
      <c r="MFY49" s="20"/>
      <c r="MFZ49" s="20"/>
      <c r="MGA49" s="20"/>
      <c r="MGB49" s="21"/>
      <c r="MGC49" s="21"/>
      <c r="MGD49" s="7"/>
      <c r="MGE49" s="7"/>
      <c r="MGF49" s="21"/>
      <c r="MGG49" s="20"/>
      <c r="MGH49" s="20"/>
      <c r="MGI49" s="20"/>
      <c r="MGJ49" s="21"/>
      <c r="MGK49" s="21"/>
      <c r="MGL49" s="21"/>
      <c r="MGM49" s="21"/>
      <c r="MGN49" s="21"/>
      <c r="MGO49" s="20"/>
      <c r="MGP49" s="20"/>
      <c r="MGQ49" s="20"/>
      <c r="MGR49" s="20"/>
      <c r="MGS49" s="21"/>
      <c r="MGT49" s="21"/>
      <c r="MGU49" s="7"/>
      <c r="MGV49" s="7"/>
      <c r="MGW49" s="21"/>
      <c r="MGX49" s="20"/>
      <c r="MGY49" s="20"/>
      <c r="MGZ49" s="20"/>
      <c r="MHA49" s="21"/>
      <c r="MHB49" s="21"/>
      <c r="MHC49" s="21"/>
      <c r="MHD49" s="21"/>
      <c r="MHE49" s="21"/>
      <c r="MHF49" s="20"/>
      <c r="MHG49" s="20"/>
      <c r="MHH49" s="20"/>
      <c r="MHI49" s="20"/>
      <c r="MHJ49" s="21"/>
      <c r="MHK49" s="21"/>
      <c r="MHL49" s="7"/>
      <c r="MHM49" s="7"/>
      <c r="MHN49" s="21"/>
      <c r="MHO49" s="20"/>
      <c r="MHP49" s="20"/>
      <c r="MHQ49" s="20"/>
      <c r="MHR49" s="21"/>
      <c r="MHS49" s="21"/>
      <c r="MHT49" s="21"/>
      <c r="MHU49" s="21"/>
      <c r="MHV49" s="21"/>
      <c r="MHW49" s="20"/>
      <c r="MHX49" s="20"/>
      <c r="MHY49" s="20"/>
      <c r="MHZ49" s="20"/>
      <c r="MIA49" s="21"/>
      <c r="MIB49" s="21"/>
      <c r="MIC49" s="7"/>
      <c r="MID49" s="7"/>
      <c r="MIE49" s="21"/>
      <c r="MIF49" s="20"/>
      <c r="MIG49" s="20"/>
      <c r="MIH49" s="20"/>
      <c r="MII49" s="21"/>
      <c r="MIJ49" s="21"/>
      <c r="MIK49" s="21"/>
      <c r="MIL49" s="21"/>
      <c r="MIM49" s="21"/>
      <c r="MIN49" s="20"/>
      <c r="MIO49" s="20"/>
      <c r="MIP49" s="20"/>
      <c r="MIQ49" s="20"/>
      <c r="MIR49" s="21"/>
      <c r="MIS49" s="21"/>
      <c r="MIT49" s="7"/>
      <c r="MIU49" s="7"/>
      <c r="MIV49" s="21"/>
      <c r="MIW49" s="20"/>
      <c r="MIX49" s="20"/>
      <c r="MIY49" s="20"/>
      <c r="MIZ49" s="21"/>
      <c r="MJA49" s="21"/>
      <c r="MJB49" s="21"/>
      <c r="MJC49" s="21"/>
      <c r="MJD49" s="21"/>
      <c r="MJE49" s="20"/>
      <c r="MJF49" s="20"/>
      <c r="MJG49" s="20"/>
      <c r="MJH49" s="20"/>
      <c r="MJI49" s="21"/>
      <c r="MJJ49" s="21"/>
      <c r="MJK49" s="7"/>
      <c r="MJL49" s="7"/>
      <c r="MJM49" s="21"/>
      <c r="MJN49" s="20"/>
      <c r="MJO49" s="20"/>
      <c r="MJP49" s="20"/>
      <c r="MJQ49" s="21"/>
      <c r="MJR49" s="21"/>
      <c r="MJS49" s="21"/>
      <c r="MJT49" s="21"/>
      <c r="MJU49" s="21"/>
      <c r="MJV49" s="20"/>
      <c r="MJW49" s="20"/>
      <c r="MJX49" s="20"/>
      <c r="MJY49" s="20"/>
      <c r="MJZ49" s="21"/>
      <c r="MKA49" s="21"/>
      <c r="MKB49" s="7"/>
      <c r="MKC49" s="7"/>
      <c r="MKD49" s="21"/>
      <c r="MKE49" s="20"/>
      <c r="MKF49" s="20"/>
      <c r="MKG49" s="20"/>
      <c r="MKH49" s="21"/>
      <c r="MKI49" s="21"/>
      <c r="MKJ49" s="21"/>
      <c r="MKK49" s="21"/>
      <c r="MKL49" s="21"/>
      <c r="MKM49" s="20"/>
      <c r="MKN49" s="20"/>
      <c r="MKO49" s="20"/>
      <c r="MKP49" s="20"/>
      <c r="MKQ49" s="21"/>
      <c r="MKR49" s="21"/>
      <c r="MKS49" s="7"/>
      <c r="MKT49" s="7"/>
      <c r="MKU49" s="21"/>
      <c r="MKV49" s="20"/>
      <c r="MKW49" s="20"/>
      <c r="MKX49" s="20"/>
      <c r="MKY49" s="21"/>
      <c r="MKZ49" s="21"/>
      <c r="MLA49" s="21"/>
      <c r="MLB49" s="21"/>
      <c r="MLC49" s="21"/>
      <c r="MLD49" s="20"/>
      <c r="MLE49" s="20"/>
      <c r="MLF49" s="20"/>
      <c r="MLG49" s="20"/>
      <c r="MLH49" s="21"/>
      <c r="MLI49" s="21"/>
      <c r="MLJ49" s="7"/>
      <c r="MLK49" s="7"/>
      <c r="MLL49" s="21"/>
      <c r="MLM49" s="20"/>
      <c r="MLN49" s="20"/>
      <c r="MLO49" s="20"/>
      <c r="MLP49" s="21"/>
      <c r="MLQ49" s="21"/>
      <c r="MLR49" s="21"/>
      <c r="MLS49" s="21"/>
      <c r="MLT49" s="21"/>
      <c r="MLU49" s="20"/>
      <c r="MLV49" s="20"/>
      <c r="MLW49" s="20"/>
      <c r="MLX49" s="20"/>
      <c r="MLY49" s="21"/>
      <c r="MLZ49" s="21"/>
      <c r="MMA49" s="7"/>
      <c r="MMB49" s="7"/>
      <c r="MMC49" s="21"/>
      <c r="MMD49" s="20"/>
      <c r="MME49" s="20"/>
      <c r="MMF49" s="20"/>
      <c r="MMG49" s="21"/>
      <c r="MMH49" s="21"/>
      <c r="MMI49" s="21"/>
      <c r="MMJ49" s="21"/>
      <c r="MMK49" s="21"/>
      <c r="MML49" s="20"/>
      <c r="MMM49" s="20"/>
      <c r="MMN49" s="20"/>
      <c r="MMO49" s="20"/>
      <c r="MMP49" s="21"/>
      <c r="MMQ49" s="21"/>
      <c r="MMR49" s="7"/>
      <c r="MMS49" s="7"/>
      <c r="MMT49" s="21"/>
      <c r="MMU49" s="20"/>
      <c r="MMV49" s="20"/>
      <c r="MMW49" s="20"/>
      <c r="MMX49" s="21"/>
      <c r="MMY49" s="21"/>
      <c r="MMZ49" s="21"/>
      <c r="MNA49" s="21"/>
      <c r="MNB49" s="21"/>
      <c r="MNC49" s="20"/>
      <c r="MND49" s="20"/>
      <c r="MNE49" s="20"/>
      <c r="MNF49" s="20"/>
      <c r="MNG49" s="21"/>
      <c r="MNH49" s="21"/>
      <c r="MNI49" s="7"/>
      <c r="MNJ49" s="7"/>
      <c r="MNK49" s="21"/>
      <c r="MNL49" s="20"/>
      <c r="MNM49" s="20"/>
      <c r="MNN49" s="20"/>
      <c r="MNO49" s="21"/>
      <c r="MNP49" s="21"/>
      <c r="MNQ49" s="21"/>
      <c r="MNR49" s="21"/>
      <c r="MNS49" s="21"/>
      <c r="MNT49" s="20"/>
      <c r="MNU49" s="20"/>
      <c r="MNV49" s="20"/>
      <c r="MNW49" s="20"/>
      <c r="MNX49" s="21"/>
      <c r="MNY49" s="21"/>
      <c r="MNZ49" s="7"/>
      <c r="MOA49" s="7"/>
      <c r="MOB49" s="21"/>
      <c r="MOC49" s="20"/>
      <c r="MOD49" s="20"/>
      <c r="MOE49" s="20"/>
      <c r="MOF49" s="21"/>
      <c r="MOG49" s="21"/>
      <c r="MOH49" s="21"/>
      <c r="MOI49" s="21"/>
      <c r="MOJ49" s="21"/>
      <c r="MOK49" s="20"/>
      <c r="MOL49" s="20"/>
      <c r="MOM49" s="20"/>
      <c r="MON49" s="20"/>
      <c r="MOO49" s="21"/>
      <c r="MOP49" s="21"/>
      <c r="MOQ49" s="7"/>
      <c r="MOR49" s="7"/>
      <c r="MOS49" s="21"/>
      <c r="MOT49" s="20"/>
      <c r="MOU49" s="20"/>
      <c r="MOV49" s="20"/>
      <c r="MOW49" s="21"/>
      <c r="MOX49" s="21"/>
      <c r="MOY49" s="21"/>
      <c r="MOZ49" s="21"/>
      <c r="MPA49" s="21"/>
      <c r="MPB49" s="20"/>
      <c r="MPC49" s="20"/>
      <c r="MPD49" s="20"/>
      <c r="MPE49" s="20"/>
      <c r="MPF49" s="21"/>
      <c r="MPG49" s="21"/>
      <c r="MPH49" s="7"/>
      <c r="MPI49" s="7"/>
      <c r="MPJ49" s="21"/>
      <c r="MPK49" s="20"/>
      <c r="MPL49" s="20"/>
      <c r="MPM49" s="20"/>
      <c r="MPN49" s="21"/>
      <c r="MPO49" s="21"/>
      <c r="MPP49" s="21"/>
      <c r="MPQ49" s="21"/>
      <c r="MPR49" s="21"/>
      <c r="MPS49" s="20"/>
      <c r="MPT49" s="20"/>
      <c r="MPU49" s="20"/>
      <c r="MPV49" s="20"/>
      <c r="MPW49" s="21"/>
      <c r="MPX49" s="21"/>
      <c r="MPY49" s="7"/>
      <c r="MPZ49" s="7"/>
      <c r="MQA49" s="21"/>
      <c r="MQB49" s="20"/>
      <c r="MQC49" s="20"/>
      <c r="MQD49" s="20"/>
      <c r="MQE49" s="21"/>
      <c r="MQF49" s="21"/>
      <c r="MQG49" s="21"/>
      <c r="MQH49" s="21"/>
      <c r="MQI49" s="21"/>
      <c r="MQJ49" s="20"/>
      <c r="MQK49" s="20"/>
      <c r="MQL49" s="20"/>
      <c r="MQM49" s="20"/>
      <c r="MQN49" s="21"/>
      <c r="MQO49" s="21"/>
      <c r="MQP49" s="7"/>
      <c r="MQQ49" s="7"/>
      <c r="MQR49" s="21"/>
      <c r="MQS49" s="20"/>
      <c r="MQT49" s="20"/>
      <c r="MQU49" s="20"/>
      <c r="MQV49" s="21"/>
      <c r="MQW49" s="21"/>
      <c r="MQX49" s="21"/>
      <c r="MQY49" s="21"/>
      <c r="MQZ49" s="21"/>
      <c r="MRA49" s="20"/>
      <c r="MRB49" s="20"/>
      <c r="MRC49" s="20"/>
      <c r="MRD49" s="20"/>
      <c r="MRE49" s="21"/>
      <c r="MRF49" s="21"/>
      <c r="MRG49" s="7"/>
      <c r="MRH49" s="7"/>
      <c r="MRI49" s="21"/>
      <c r="MRJ49" s="20"/>
      <c r="MRK49" s="20"/>
      <c r="MRL49" s="20"/>
      <c r="MRM49" s="21"/>
      <c r="MRN49" s="21"/>
      <c r="MRO49" s="21"/>
      <c r="MRP49" s="21"/>
      <c r="MRQ49" s="21"/>
      <c r="MRR49" s="20"/>
      <c r="MRS49" s="20"/>
      <c r="MRT49" s="20"/>
      <c r="MRU49" s="20"/>
      <c r="MRV49" s="21"/>
      <c r="MRW49" s="21"/>
      <c r="MRX49" s="7"/>
      <c r="MRY49" s="7"/>
      <c r="MRZ49" s="21"/>
      <c r="MSA49" s="20"/>
      <c r="MSB49" s="20"/>
      <c r="MSC49" s="20"/>
      <c r="MSD49" s="21"/>
      <c r="MSE49" s="21"/>
      <c r="MSF49" s="21"/>
      <c r="MSG49" s="21"/>
      <c r="MSH49" s="21"/>
      <c r="MSI49" s="20"/>
      <c r="MSJ49" s="20"/>
      <c r="MSK49" s="20"/>
      <c r="MSL49" s="20"/>
      <c r="MSM49" s="21"/>
      <c r="MSN49" s="21"/>
      <c r="MSO49" s="7"/>
      <c r="MSP49" s="7"/>
      <c r="MSQ49" s="21"/>
      <c r="MSR49" s="20"/>
      <c r="MSS49" s="20"/>
      <c r="MST49" s="20"/>
      <c r="MSU49" s="21"/>
      <c r="MSV49" s="21"/>
      <c r="MSW49" s="21"/>
      <c r="MSX49" s="21"/>
      <c r="MSY49" s="21"/>
      <c r="MSZ49" s="20"/>
      <c r="MTA49" s="20"/>
      <c r="MTB49" s="20"/>
      <c r="MTC49" s="20"/>
      <c r="MTD49" s="21"/>
      <c r="MTE49" s="21"/>
      <c r="MTF49" s="7"/>
      <c r="MTG49" s="7"/>
      <c r="MTH49" s="21"/>
      <c r="MTI49" s="20"/>
      <c r="MTJ49" s="20"/>
      <c r="MTK49" s="20"/>
      <c r="MTL49" s="21"/>
      <c r="MTM49" s="21"/>
      <c r="MTN49" s="21"/>
      <c r="MTO49" s="21"/>
      <c r="MTP49" s="21"/>
      <c r="MTQ49" s="20"/>
      <c r="MTR49" s="20"/>
      <c r="MTS49" s="20"/>
      <c r="MTT49" s="20"/>
      <c r="MTU49" s="21"/>
      <c r="MTV49" s="21"/>
      <c r="MTW49" s="7"/>
      <c r="MTX49" s="7"/>
      <c r="MTY49" s="21"/>
      <c r="MTZ49" s="20"/>
      <c r="MUA49" s="20"/>
      <c r="MUB49" s="20"/>
      <c r="MUC49" s="21"/>
      <c r="MUD49" s="21"/>
      <c r="MUE49" s="21"/>
      <c r="MUF49" s="21"/>
      <c r="MUG49" s="21"/>
      <c r="MUH49" s="20"/>
      <c r="MUI49" s="20"/>
      <c r="MUJ49" s="20"/>
      <c r="MUK49" s="20"/>
      <c r="MUL49" s="21"/>
      <c r="MUM49" s="21"/>
      <c r="MUN49" s="7"/>
      <c r="MUO49" s="7"/>
      <c r="MUP49" s="21"/>
      <c r="MUQ49" s="20"/>
      <c r="MUR49" s="20"/>
      <c r="MUS49" s="20"/>
      <c r="MUT49" s="21"/>
      <c r="MUU49" s="21"/>
      <c r="MUV49" s="21"/>
      <c r="MUW49" s="21"/>
      <c r="MUX49" s="21"/>
      <c r="MUY49" s="20"/>
      <c r="MUZ49" s="20"/>
      <c r="MVA49" s="20"/>
      <c r="MVB49" s="20"/>
      <c r="MVC49" s="21"/>
      <c r="MVD49" s="21"/>
      <c r="MVE49" s="7"/>
      <c r="MVF49" s="7"/>
      <c r="MVG49" s="21"/>
      <c r="MVH49" s="20"/>
      <c r="MVI49" s="20"/>
      <c r="MVJ49" s="20"/>
      <c r="MVK49" s="21"/>
      <c r="MVL49" s="21"/>
      <c r="MVM49" s="21"/>
      <c r="MVN49" s="21"/>
      <c r="MVO49" s="21"/>
      <c r="MVP49" s="20"/>
      <c r="MVQ49" s="20"/>
      <c r="MVR49" s="20"/>
      <c r="MVS49" s="20"/>
      <c r="MVT49" s="21"/>
      <c r="MVU49" s="21"/>
      <c r="MVV49" s="7"/>
      <c r="MVW49" s="7"/>
      <c r="MVX49" s="21"/>
      <c r="MVY49" s="20"/>
      <c r="MVZ49" s="20"/>
      <c r="MWA49" s="20"/>
      <c r="MWB49" s="21"/>
      <c r="MWC49" s="21"/>
      <c r="MWD49" s="21"/>
      <c r="MWE49" s="21"/>
      <c r="MWF49" s="21"/>
      <c r="MWG49" s="20"/>
      <c r="MWH49" s="20"/>
      <c r="MWI49" s="20"/>
      <c r="MWJ49" s="20"/>
      <c r="MWK49" s="21"/>
      <c r="MWL49" s="21"/>
      <c r="MWM49" s="7"/>
      <c r="MWN49" s="7"/>
      <c r="MWO49" s="21"/>
      <c r="MWP49" s="20"/>
      <c r="MWQ49" s="20"/>
      <c r="MWR49" s="20"/>
      <c r="MWS49" s="21"/>
      <c r="MWT49" s="21"/>
      <c r="MWU49" s="21"/>
      <c r="MWV49" s="21"/>
      <c r="MWW49" s="21"/>
      <c r="MWX49" s="20"/>
      <c r="MWY49" s="20"/>
      <c r="MWZ49" s="20"/>
      <c r="MXA49" s="20"/>
      <c r="MXB49" s="21"/>
      <c r="MXC49" s="21"/>
      <c r="MXD49" s="7"/>
      <c r="MXE49" s="7"/>
      <c r="MXF49" s="21"/>
      <c r="MXG49" s="20"/>
      <c r="MXH49" s="20"/>
      <c r="MXI49" s="20"/>
      <c r="MXJ49" s="21"/>
      <c r="MXK49" s="21"/>
      <c r="MXL49" s="21"/>
      <c r="MXM49" s="21"/>
      <c r="MXN49" s="21"/>
      <c r="MXO49" s="20"/>
      <c r="MXP49" s="20"/>
      <c r="MXQ49" s="20"/>
      <c r="MXR49" s="20"/>
      <c r="MXS49" s="21"/>
      <c r="MXT49" s="21"/>
      <c r="MXU49" s="7"/>
      <c r="MXV49" s="7"/>
      <c r="MXW49" s="21"/>
      <c r="MXX49" s="20"/>
      <c r="MXY49" s="20"/>
      <c r="MXZ49" s="20"/>
      <c r="MYA49" s="21"/>
      <c r="MYB49" s="21"/>
      <c r="MYC49" s="21"/>
      <c r="MYD49" s="21"/>
      <c r="MYE49" s="21"/>
      <c r="MYF49" s="20"/>
      <c r="MYG49" s="20"/>
      <c r="MYH49" s="20"/>
      <c r="MYI49" s="20"/>
      <c r="MYJ49" s="21"/>
      <c r="MYK49" s="21"/>
      <c r="MYL49" s="7"/>
      <c r="MYM49" s="7"/>
      <c r="MYN49" s="21"/>
      <c r="MYO49" s="20"/>
      <c r="MYP49" s="20"/>
      <c r="MYQ49" s="20"/>
      <c r="MYR49" s="21"/>
      <c r="MYS49" s="21"/>
      <c r="MYT49" s="21"/>
      <c r="MYU49" s="21"/>
      <c r="MYV49" s="21"/>
      <c r="MYW49" s="20"/>
      <c r="MYX49" s="20"/>
      <c r="MYY49" s="20"/>
      <c r="MYZ49" s="20"/>
      <c r="MZA49" s="21"/>
      <c r="MZB49" s="21"/>
      <c r="MZC49" s="7"/>
      <c r="MZD49" s="7"/>
      <c r="MZE49" s="21"/>
      <c r="MZF49" s="20"/>
      <c r="MZG49" s="20"/>
      <c r="MZH49" s="20"/>
      <c r="MZI49" s="21"/>
      <c r="MZJ49" s="21"/>
      <c r="MZK49" s="21"/>
      <c r="MZL49" s="21"/>
      <c r="MZM49" s="21"/>
      <c r="MZN49" s="20"/>
      <c r="MZO49" s="20"/>
      <c r="MZP49" s="20"/>
      <c r="MZQ49" s="20"/>
      <c r="MZR49" s="21"/>
      <c r="MZS49" s="21"/>
      <c r="MZT49" s="7"/>
      <c r="MZU49" s="7"/>
      <c r="MZV49" s="21"/>
      <c r="MZW49" s="20"/>
      <c r="MZX49" s="20"/>
      <c r="MZY49" s="20"/>
      <c r="MZZ49" s="21"/>
      <c r="NAA49" s="21"/>
      <c r="NAB49" s="21"/>
      <c r="NAC49" s="21"/>
      <c r="NAD49" s="21"/>
      <c r="NAE49" s="20"/>
      <c r="NAF49" s="20"/>
      <c r="NAG49" s="20"/>
      <c r="NAH49" s="20"/>
      <c r="NAI49" s="21"/>
      <c r="NAJ49" s="21"/>
      <c r="NAK49" s="7"/>
      <c r="NAL49" s="7"/>
      <c r="NAM49" s="21"/>
      <c r="NAN49" s="20"/>
      <c r="NAO49" s="20"/>
      <c r="NAP49" s="20"/>
      <c r="NAQ49" s="21"/>
      <c r="NAR49" s="21"/>
      <c r="NAS49" s="21"/>
      <c r="NAT49" s="21"/>
      <c r="NAU49" s="21"/>
      <c r="NAV49" s="20"/>
      <c r="NAW49" s="20"/>
      <c r="NAX49" s="20"/>
      <c r="NAY49" s="20"/>
      <c r="NAZ49" s="21"/>
      <c r="NBA49" s="21"/>
      <c r="NBB49" s="7"/>
      <c r="NBC49" s="7"/>
      <c r="NBD49" s="21"/>
      <c r="NBE49" s="20"/>
      <c r="NBF49" s="20"/>
      <c r="NBG49" s="20"/>
      <c r="NBH49" s="21"/>
      <c r="NBI49" s="21"/>
      <c r="NBJ49" s="21"/>
      <c r="NBK49" s="21"/>
      <c r="NBL49" s="21"/>
      <c r="NBM49" s="20"/>
      <c r="NBN49" s="20"/>
      <c r="NBO49" s="20"/>
      <c r="NBP49" s="20"/>
      <c r="NBQ49" s="21"/>
      <c r="NBR49" s="21"/>
      <c r="NBS49" s="7"/>
      <c r="NBT49" s="7"/>
      <c r="NBU49" s="21"/>
      <c r="NBV49" s="20"/>
      <c r="NBW49" s="20"/>
      <c r="NBX49" s="20"/>
      <c r="NBY49" s="21"/>
      <c r="NBZ49" s="21"/>
      <c r="NCA49" s="21"/>
      <c r="NCB49" s="21"/>
      <c r="NCC49" s="21"/>
      <c r="NCD49" s="20"/>
      <c r="NCE49" s="20"/>
      <c r="NCF49" s="20"/>
      <c r="NCG49" s="20"/>
      <c r="NCH49" s="21"/>
      <c r="NCI49" s="21"/>
      <c r="NCJ49" s="7"/>
      <c r="NCK49" s="7"/>
      <c r="NCL49" s="21"/>
      <c r="NCM49" s="20"/>
      <c r="NCN49" s="20"/>
      <c r="NCO49" s="20"/>
      <c r="NCP49" s="21"/>
      <c r="NCQ49" s="21"/>
      <c r="NCR49" s="21"/>
      <c r="NCS49" s="21"/>
      <c r="NCT49" s="21"/>
      <c r="NCU49" s="20"/>
      <c r="NCV49" s="20"/>
      <c r="NCW49" s="20"/>
      <c r="NCX49" s="20"/>
      <c r="NCY49" s="21"/>
      <c r="NCZ49" s="21"/>
      <c r="NDA49" s="7"/>
      <c r="NDB49" s="7"/>
      <c r="NDC49" s="21"/>
      <c r="NDD49" s="20"/>
      <c r="NDE49" s="20"/>
      <c r="NDF49" s="20"/>
      <c r="NDG49" s="21"/>
      <c r="NDH49" s="21"/>
      <c r="NDI49" s="21"/>
      <c r="NDJ49" s="21"/>
      <c r="NDK49" s="21"/>
      <c r="NDL49" s="20"/>
      <c r="NDM49" s="20"/>
      <c r="NDN49" s="20"/>
      <c r="NDO49" s="20"/>
      <c r="NDP49" s="21"/>
      <c r="NDQ49" s="21"/>
      <c r="NDR49" s="7"/>
      <c r="NDS49" s="7"/>
      <c r="NDT49" s="21"/>
      <c r="NDU49" s="20"/>
      <c r="NDV49" s="20"/>
      <c r="NDW49" s="20"/>
      <c r="NDX49" s="21"/>
      <c r="NDY49" s="21"/>
      <c r="NDZ49" s="21"/>
      <c r="NEA49" s="21"/>
      <c r="NEB49" s="21"/>
      <c r="NEC49" s="20"/>
      <c r="NED49" s="20"/>
      <c r="NEE49" s="20"/>
      <c r="NEF49" s="20"/>
      <c r="NEG49" s="21"/>
      <c r="NEH49" s="21"/>
      <c r="NEI49" s="7"/>
      <c r="NEJ49" s="7"/>
      <c r="NEK49" s="21"/>
      <c r="NEL49" s="20"/>
      <c r="NEM49" s="20"/>
      <c r="NEN49" s="20"/>
      <c r="NEO49" s="21"/>
      <c r="NEP49" s="21"/>
      <c r="NEQ49" s="21"/>
      <c r="NER49" s="21"/>
      <c r="NES49" s="21"/>
      <c r="NET49" s="20"/>
      <c r="NEU49" s="20"/>
      <c r="NEV49" s="20"/>
      <c r="NEW49" s="20"/>
      <c r="NEX49" s="21"/>
      <c r="NEY49" s="21"/>
      <c r="NEZ49" s="7"/>
      <c r="NFA49" s="7"/>
      <c r="NFB49" s="21"/>
      <c r="NFC49" s="20"/>
      <c r="NFD49" s="20"/>
      <c r="NFE49" s="20"/>
      <c r="NFF49" s="21"/>
      <c r="NFG49" s="21"/>
      <c r="NFH49" s="21"/>
      <c r="NFI49" s="21"/>
      <c r="NFJ49" s="21"/>
      <c r="NFK49" s="20"/>
      <c r="NFL49" s="20"/>
      <c r="NFM49" s="20"/>
      <c r="NFN49" s="20"/>
      <c r="NFO49" s="21"/>
      <c r="NFP49" s="21"/>
      <c r="NFQ49" s="7"/>
      <c r="NFR49" s="7"/>
      <c r="NFS49" s="21"/>
      <c r="NFT49" s="20"/>
      <c r="NFU49" s="20"/>
      <c r="NFV49" s="20"/>
      <c r="NFW49" s="21"/>
      <c r="NFX49" s="21"/>
      <c r="NFY49" s="21"/>
      <c r="NFZ49" s="21"/>
      <c r="NGA49" s="21"/>
      <c r="NGB49" s="20"/>
      <c r="NGC49" s="20"/>
      <c r="NGD49" s="20"/>
      <c r="NGE49" s="20"/>
      <c r="NGF49" s="21"/>
      <c r="NGG49" s="21"/>
      <c r="NGH49" s="7"/>
      <c r="NGI49" s="7"/>
      <c r="NGJ49" s="21"/>
      <c r="NGK49" s="20"/>
      <c r="NGL49" s="20"/>
      <c r="NGM49" s="20"/>
      <c r="NGN49" s="21"/>
      <c r="NGO49" s="21"/>
      <c r="NGP49" s="21"/>
      <c r="NGQ49" s="21"/>
      <c r="NGR49" s="21"/>
      <c r="NGS49" s="20"/>
      <c r="NGT49" s="20"/>
      <c r="NGU49" s="20"/>
      <c r="NGV49" s="20"/>
      <c r="NGW49" s="21"/>
      <c r="NGX49" s="21"/>
      <c r="NGY49" s="7"/>
      <c r="NGZ49" s="7"/>
      <c r="NHA49" s="21"/>
      <c r="NHB49" s="20"/>
      <c r="NHC49" s="20"/>
      <c r="NHD49" s="20"/>
      <c r="NHE49" s="21"/>
      <c r="NHF49" s="21"/>
      <c r="NHG49" s="21"/>
      <c r="NHH49" s="21"/>
      <c r="NHI49" s="21"/>
      <c r="NHJ49" s="20"/>
      <c r="NHK49" s="20"/>
      <c r="NHL49" s="20"/>
      <c r="NHM49" s="20"/>
      <c r="NHN49" s="21"/>
      <c r="NHO49" s="21"/>
      <c r="NHP49" s="7"/>
      <c r="NHQ49" s="7"/>
      <c r="NHR49" s="21"/>
      <c r="NHS49" s="20"/>
      <c r="NHT49" s="20"/>
      <c r="NHU49" s="20"/>
      <c r="NHV49" s="21"/>
      <c r="NHW49" s="21"/>
      <c r="NHX49" s="21"/>
      <c r="NHY49" s="21"/>
      <c r="NHZ49" s="21"/>
      <c r="NIA49" s="20"/>
      <c r="NIB49" s="20"/>
      <c r="NIC49" s="20"/>
      <c r="NID49" s="20"/>
      <c r="NIE49" s="21"/>
      <c r="NIF49" s="21"/>
      <c r="NIG49" s="7"/>
      <c r="NIH49" s="7"/>
      <c r="NII49" s="21"/>
      <c r="NIJ49" s="20"/>
      <c r="NIK49" s="20"/>
      <c r="NIL49" s="20"/>
      <c r="NIM49" s="21"/>
      <c r="NIN49" s="21"/>
      <c r="NIO49" s="21"/>
      <c r="NIP49" s="21"/>
      <c r="NIQ49" s="21"/>
      <c r="NIR49" s="20"/>
      <c r="NIS49" s="20"/>
      <c r="NIT49" s="20"/>
      <c r="NIU49" s="20"/>
      <c r="NIV49" s="21"/>
      <c r="NIW49" s="21"/>
      <c r="NIX49" s="7"/>
      <c r="NIY49" s="7"/>
      <c r="NIZ49" s="21"/>
      <c r="NJA49" s="20"/>
      <c r="NJB49" s="20"/>
      <c r="NJC49" s="20"/>
      <c r="NJD49" s="21"/>
      <c r="NJE49" s="21"/>
      <c r="NJF49" s="21"/>
      <c r="NJG49" s="21"/>
      <c r="NJH49" s="21"/>
      <c r="NJI49" s="20"/>
      <c r="NJJ49" s="20"/>
      <c r="NJK49" s="20"/>
      <c r="NJL49" s="20"/>
      <c r="NJM49" s="21"/>
      <c r="NJN49" s="21"/>
      <c r="NJO49" s="7"/>
      <c r="NJP49" s="7"/>
      <c r="NJQ49" s="21"/>
      <c r="NJR49" s="20"/>
      <c r="NJS49" s="20"/>
      <c r="NJT49" s="20"/>
      <c r="NJU49" s="21"/>
      <c r="NJV49" s="21"/>
      <c r="NJW49" s="21"/>
      <c r="NJX49" s="21"/>
      <c r="NJY49" s="21"/>
      <c r="NJZ49" s="20"/>
      <c r="NKA49" s="20"/>
      <c r="NKB49" s="20"/>
      <c r="NKC49" s="20"/>
      <c r="NKD49" s="21"/>
      <c r="NKE49" s="21"/>
      <c r="NKF49" s="7"/>
      <c r="NKG49" s="7"/>
      <c r="NKH49" s="21"/>
      <c r="NKI49" s="20"/>
      <c r="NKJ49" s="20"/>
      <c r="NKK49" s="20"/>
      <c r="NKL49" s="21"/>
      <c r="NKM49" s="21"/>
      <c r="NKN49" s="21"/>
      <c r="NKO49" s="21"/>
      <c r="NKP49" s="21"/>
      <c r="NKQ49" s="20"/>
      <c r="NKR49" s="20"/>
      <c r="NKS49" s="20"/>
      <c r="NKT49" s="20"/>
      <c r="NKU49" s="21"/>
      <c r="NKV49" s="21"/>
      <c r="NKW49" s="7"/>
      <c r="NKX49" s="7"/>
      <c r="NKY49" s="21"/>
      <c r="NKZ49" s="20"/>
      <c r="NLA49" s="20"/>
      <c r="NLB49" s="20"/>
      <c r="NLC49" s="21"/>
      <c r="NLD49" s="21"/>
      <c r="NLE49" s="21"/>
      <c r="NLF49" s="21"/>
      <c r="NLG49" s="21"/>
      <c r="NLH49" s="20"/>
      <c r="NLI49" s="20"/>
      <c r="NLJ49" s="20"/>
      <c r="NLK49" s="20"/>
      <c r="NLL49" s="21"/>
      <c r="NLM49" s="21"/>
      <c r="NLN49" s="7"/>
      <c r="NLO49" s="7"/>
      <c r="NLP49" s="21"/>
      <c r="NLQ49" s="20"/>
      <c r="NLR49" s="20"/>
      <c r="NLS49" s="20"/>
      <c r="NLT49" s="21"/>
      <c r="NLU49" s="21"/>
      <c r="NLV49" s="21"/>
      <c r="NLW49" s="21"/>
      <c r="NLX49" s="21"/>
      <c r="NLY49" s="20"/>
      <c r="NLZ49" s="20"/>
      <c r="NMA49" s="20"/>
      <c r="NMB49" s="20"/>
      <c r="NMC49" s="21"/>
      <c r="NMD49" s="21"/>
      <c r="NME49" s="7"/>
      <c r="NMF49" s="7"/>
      <c r="NMG49" s="21"/>
      <c r="NMH49" s="20"/>
      <c r="NMI49" s="20"/>
      <c r="NMJ49" s="20"/>
      <c r="NMK49" s="21"/>
      <c r="NML49" s="21"/>
      <c r="NMM49" s="21"/>
      <c r="NMN49" s="21"/>
      <c r="NMO49" s="21"/>
      <c r="NMP49" s="20"/>
      <c r="NMQ49" s="20"/>
      <c r="NMR49" s="20"/>
      <c r="NMS49" s="20"/>
      <c r="NMT49" s="21"/>
      <c r="NMU49" s="21"/>
      <c r="NMV49" s="7"/>
      <c r="NMW49" s="7"/>
      <c r="NMX49" s="21"/>
      <c r="NMY49" s="20"/>
      <c r="NMZ49" s="20"/>
      <c r="NNA49" s="20"/>
      <c r="NNB49" s="21"/>
      <c r="NNC49" s="21"/>
      <c r="NND49" s="21"/>
      <c r="NNE49" s="21"/>
      <c r="NNF49" s="21"/>
      <c r="NNG49" s="20"/>
      <c r="NNH49" s="20"/>
      <c r="NNI49" s="20"/>
      <c r="NNJ49" s="20"/>
      <c r="NNK49" s="21"/>
      <c r="NNL49" s="21"/>
      <c r="NNM49" s="7"/>
      <c r="NNN49" s="7"/>
      <c r="NNO49" s="21"/>
      <c r="NNP49" s="20"/>
      <c r="NNQ49" s="20"/>
      <c r="NNR49" s="20"/>
      <c r="NNS49" s="21"/>
      <c r="NNT49" s="21"/>
      <c r="NNU49" s="21"/>
      <c r="NNV49" s="21"/>
      <c r="NNW49" s="21"/>
      <c r="NNX49" s="20"/>
      <c r="NNY49" s="20"/>
      <c r="NNZ49" s="20"/>
      <c r="NOA49" s="20"/>
      <c r="NOB49" s="21"/>
      <c r="NOC49" s="21"/>
      <c r="NOD49" s="7"/>
      <c r="NOE49" s="7"/>
      <c r="NOF49" s="21"/>
      <c r="NOG49" s="20"/>
      <c r="NOH49" s="20"/>
      <c r="NOI49" s="20"/>
      <c r="NOJ49" s="21"/>
      <c r="NOK49" s="21"/>
      <c r="NOL49" s="21"/>
      <c r="NOM49" s="21"/>
      <c r="NON49" s="21"/>
      <c r="NOO49" s="20"/>
      <c r="NOP49" s="20"/>
      <c r="NOQ49" s="20"/>
      <c r="NOR49" s="20"/>
      <c r="NOS49" s="21"/>
      <c r="NOT49" s="21"/>
      <c r="NOU49" s="7"/>
      <c r="NOV49" s="7"/>
      <c r="NOW49" s="21"/>
      <c r="NOX49" s="20"/>
      <c r="NOY49" s="20"/>
      <c r="NOZ49" s="20"/>
      <c r="NPA49" s="21"/>
      <c r="NPB49" s="21"/>
      <c r="NPC49" s="21"/>
      <c r="NPD49" s="21"/>
      <c r="NPE49" s="21"/>
      <c r="NPF49" s="20"/>
      <c r="NPG49" s="20"/>
      <c r="NPH49" s="20"/>
      <c r="NPI49" s="20"/>
      <c r="NPJ49" s="21"/>
      <c r="NPK49" s="21"/>
      <c r="NPL49" s="7"/>
      <c r="NPM49" s="7"/>
      <c r="NPN49" s="21"/>
      <c r="NPO49" s="20"/>
      <c r="NPP49" s="20"/>
      <c r="NPQ49" s="20"/>
      <c r="NPR49" s="21"/>
      <c r="NPS49" s="21"/>
      <c r="NPT49" s="21"/>
      <c r="NPU49" s="21"/>
      <c r="NPV49" s="21"/>
      <c r="NPW49" s="20"/>
      <c r="NPX49" s="20"/>
      <c r="NPY49" s="20"/>
      <c r="NPZ49" s="20"/>
      <c r="NQA49" s="21"/>
      <c r="NQB49" s="21"/>
      <c r="NQC49" s="7"/>
      <c r="NQD49" s="7"/>
      <c r="NQE49" s="21"/>
      <c r="NQF49" s="20"/>
      <c r="NQG49" s="20"/>
      <c r="NQH49" s="20"/>
      <c r="NQI49" s="21"/>
      <c r="NQJ49" s="21"/>
      <c r="NQK49" s="21"/>
      <c r="NQL49" s="21"/>
      <c r="NQM49" s="21"/>
      <c r="NQN49" s="20"/>
      <c r="NQO49" s="20"/>
      <c r="NQP49" s="20"/>
      <c r="NQQ49" s="20"/>
      <c r="NQR49" s="21"/>
      <c r="NQS49" s="21"/>
      <c r="NQT49" s="7"/>
      <c r="NQU49" s="7"/>
      <c r="NQV49" s="21"/>
      <c r="NQW49" s="20"/>
      <c r="NQX49" s="20"/>
      <c r="NQY49" s="20"/>
      <c r="NQZ49" s="21"/>
      <c r="NRA49" s="21"/>
      <c r="NRB49" s="21"/>
      <c r="NRC49" s="21"/>
      <c r="NRD49" s="21"/>
      <c r="NRE49" s="20"/>
      <c r="NRF49" s="20"/>
      <c r="NRG49" s="20"/>
      <c r="NRH49" s="20"/>
      <c r="NRI49" s="21"/>
      <c r="NRJ49" s="21"/>
      <c r="NRK49" s="7"/>
      <c r="NRL49" s="7"/>
      <c r="NRM49" s="21"/>
      <c r="NRN49" s="20"/>
      <c r="NRO49" s="20"/>
      <c r="NRP49" s="20"/>
      <c r="NRQ49" s="21"/>
      <c r="NRR49" s="21"/>
      <c r="NRS49" s="21"/>
      <c r="NRT49" s="21"/>
      <c r="NRU49" s="21"/>
      <c r="NRV49" s="20"/>
      <c r="NRW49" s="20"/>
      <c r="NRX49" s="20"/>
      <c r="NRY49" s="20"/>
      <c r="NRZ49" s="21"/>
      <c r="NSA49" s="21"/>
      <c r="NSB49" s="7"/>
      <c r="NSC49" s="7"/>
      <c r="NSD49" s="21"/>
      <c r="NSE49" s="20"/>
      <c r="NSF49" s="20"/>
      <c r="NSG49" s="20"/>
      <c r="NSH49" s="21"/>
      <c r="NSI49" s="21"/>
      <c r="NSJ49" s="21"/>
      <c r="NSK49" s="21"/>
      <c r="NSL49" s="21"/>
      <c r="NSM49" s="20"/>
      <c r="NSN49" s="20"/>
      <c r="NSO49" s="20"/>
      <c r="NSP49" s="20"/>
      <c r="NSQ49" s="21"/>
      <c r="NSR49" s="21"/>
      <c r="NSS49" s="7"/>
      <c r="NST49" s="7"/>
      <c r="NSU49" s="21"/>
      <c r="NSV49" s="20"/>
      <c r="NSW49" s="20"/>
      <c r="NSX49" s="20"/>
      <c r="NSY49" s="21"/>
      <c r="NSZ49" s="21"/>
      <c r="NTA49" s="21"/>
      <c r="NTB49" s="21"/>
      <c r="NTC49" s="21"/>
      <c r="NTD49" s="20"/>
      <c r="NTE49" s="20"/>
      <c r="NTF49" s="20"/>
      <c r="NTG49" s="20"/>
      <c r="NTH49" s="21"/>
      <c r="NTI49" s="21"/>
      <c r="NTJ49" s="7"/>
      <c r="NTK49" s="7"/>
      <c r="NTL49" s="21"/>
      <c r="NTM49" s="20"/>
      <c r="NTN49" s="20"/>
      <c r="NTO49" s="20"/>
      <c r="NTP49" s="21"/>
      <c r="NTQ49" s="21"/>
      <c r="NTR49" s="21"/>
      <c r="NTS49" s="21"/>
      <c r="NTT49" s="21"/>
      <c r="NTU49" s="20"/>
      <c r="NTV49" s="20"/>
      <c r="NTW49" s="20"/>
      <c r="NTX49" s="20"/>
      <c r="NTY49" s="21"/>
      <c r="NTZ49" s="21"/>
      <c r="NUA49" s="7"/>
      <c r="NUB49" s="7"/>
      <c r="NUC49" s="21"/>
      <c r="NUD49" s="20"/>
      <c r="NUE49" s="20"/>
      <c r="NUF49" s="20"/>
      <c r="NUG49" s="21"/>
      <c r="NUH49" s="21"/>
      <c r="NUI49" s="21"/>
      <c r="NUJ49" s="21"/>
      <c r="NUK49" s="21"/>
      <c r="NUL49" s="20"/>
      <c r="NUM49" s="20"/>
      <c r="NUN49" s="20"/>
      <c r="NUO49" s="20"/>
      <c r="NUP49" s="21"/>
      <c r="NUQ49" s="21"/>
      <c r="NUR49" s="7"/>
      <c r="NUS49" s="7"/>
      <c r="NUT49" s="21"/>
      <c r="NUU49" s="20"/>
      <c r="NUV49" s="20"/>
      <c r="NUW49" s="20"/>
      <c r="NUX49" s="21"/>
      <c r="NUY49" s="21"/>
      <c r="NUZ49" s="21"/>
      <c r="NVA49" s="21"/>
      <c r="NVB49" s="21"/>
      <c r="NVC49" s="20"/>
      <c r="NVD49" s="20"/>
      <c r="NVE49" s="20"/>
      <c r="NVF49" s="20"/>
      <c r="NVG49" s="21"/>
      <c r="NVH49" s="21"/>
      <c r="NVI49" s="7"/>
      <c r="NVJ49" s="7"/>
      <c r="NVK49" s="21"/>
      <c r="NVL49" s="20"/>
      <c r="NVM49" s="20"/>
      <c r="NVN49" s="20"/>
      <c r="NVO49" s="21"/>
      <c r="NVP49" s="21"/>
      <c r="NVQ49" s="21"/>
      <c r="NVR49" s="21"/>
      <c r="NVS49" s="21"/>
      <c r="NVT49" s="20"/>
      <c r="NVU49" s="20"/>
      <c r="NVV49" s="20"/>
      <c r="NVW49" s="20"/>
      <c r="NVX49" s="21"/>
      <c r="NVY49" s="21"/>
      <c r="NVZ49" s="7"/>
      <c r="NWA49" s="7"/>
      <c r="NWB49" s="21"/>
      <c r="NWC49" s="20"/>
      <c r="NWD49" s="20"/>
      <c r="NWE49" s="20"/>
      <c r="NWF49" s="21"/>
      <c r="NWG49" s="21"/>
      <c r="NWH49" s="21"/>
      <c r="NWI49" s="21"/>
      <c r="NWJ49" s="21"/>
      <c r="NWK49" s="20"/>
      <c r="NWL49" s="20"/>
      <c r="NWM49" s="20"/>
      <c r="NWN49" s="20"/>
      <c r="NWO49" s="21"/>
      <c r="NWP49" s="21"/>
      <c r="NWQ49" s="7"/>
      <c r="NWR49" s="7"/>
      <c r="NWS49" s="21"/>
      <c r="NWT49" s="20"/>
      <c r="NWU49" s="20"/>
      <c r="NWV49" s="20"/>
      <c r="NWW49" s="21"/>
      <c r="NWX49" s="21"/>
      <c r="NWY49" s="21"/>
      <c r="NWZ49" s="21"/>
      <c r="NXA49" s="21"/>
      <c r="NXB49" s="20"/>
      <c r="NXC49" s="20"/>
      <c r="NXD49" s="20"/>
      <c r="NXE49" s="20"/>
      <c r="NXF49" s="21"/>
      <c r="NXG49" s="21"/>
      <c r="NXH49" s="7"/>
      <c r="NXI49" s="7"/>
      <c r="NXJ49" s="21"/>
      <c r="NXK49" s="20"/>
      <c r="NXL49" s="20"/>
      <c r="NXM49" s="20"/>
      <c r="NXN49" s="21"/>
      <c r="NXO49" s="21"/>
      <c r="NXP49" s="21"/>
      <c r="NXQ49" s="21"/>
      <c r="NXR49" s="21"/>
      <c r="NXS49" s="20"/>
      <c r="NXT49" s="20"/>
      <c r="NXU49" s="20"/>
      <c r="NXV49" s="20"/>
      <c r="NXW49" s="21"/>
      <c r="NXX49" s="21"/>
      <c r="NXY49" s="7"/>
      <c r="NXZ49" s="7"/>
      <c r="NYA49" s="21"/>
      <c r="NYB49" s="20"/>
      <c r="NYC49" s="20"/>
      <c r="NYD49" s="20"/>
      <c r="NYE49" s="21"/>
      <c r="NYF49" s="21"/>
      <c r="NYG49" s="21"/>
      <c r="NYH49" s="21"/>
      <c r="NYI49" s="21"/>
      <c r="NYJ49" s="20"/>
      <c r="NYK49" s="20"/>
      <c r="NYL49" s="20"/>
      <c r="NYM49" s="20"/>
      <c r="NYN49" s="21"/>
      <c r="NYO49" s="21"/>
      <c r="NYP49" s="7"/>
      <c r="NYQ49" s="7"/>
      <c r="NYR49" s="21"/>
      <c r="NYS49" s="20"/>
      <c r="NYT49" s="20"/>
      <c r="NYU49" s="20"/>
      <c r="NYV49" s="21"/>
      <c r="NYW49" s="21"/>
      <c r="NYX49" s="21"/>
      <c r="NYY49" s="21"/>
      <c r="NYZ49" s="21"/>
      <c r="NZA49" s="20"/>
      <c r="NZB49" s="20"/>
      <c r="NZC49" s="20"/>
      <c r="NZD49" s="20"/>
      <c r="NZE49" s="21"/>
      <c r="NZF49" s="21"/>
      <c r="NZG49" s="7"/>
      <c r="NZH49" s="7"/>
      <c r="NZI49" s="21"/>
      <c r="NZJ49" s="20"/>
      <c r="NZK49" s="20"/>
      <c r="NZL49" s="20"/>
      <c r="NZM49" s="21"/>
      <c r="NZN49" s="21"/>
      <c r="NZO49" s="21"/>
      <c r="NZP49" s="21"/>
      <c r="NZQ49" s="21"/>
      <c r="NZR49" s="20"/>
      <c r="NZS49" s="20"/>
      <c r="NZT49" s="20"/>
      <c r="NZU49" s="20"/>
      <c r="NZV49" s="21"/>
      <c r="NZW49" s="21"/>
      <c r="NZX49" s="7"/>
      <c r="NZY49" s="7"/>
      <c r="NZZ49" s="21"/>
      <c r="OAA49" s="20"/>
      <c r="OAB49" s="20"/>
      <c r="OAC49" s="20"/>
      <c r="OAD49" s="21"/>
      <c r="OAE49" s="21"/>
      <c r="OAF49" s="21"/>
      <c r="OAG49" s="21"/>
      <c r="OAH49" s="21"/>
      <c r="OAI49" s="20"/>
      <c r="OAJ49" s="20"/>
      <c r="OAK49" s="20"/>
      <c r="OAL49" s="20"/>
      <c r="OAM49" s="21"/>
      <c r="OAN49" s="21"/>
      <c r="OAO49" s="7"/>
      <c r="OAP49" s="7"/>
      <c r="OAQ49" s="21"/>
      <c r="OAR49" s="20"/>
      <c r="OAS49" s="20"/>
      <c r="OAT49" s="20"/>
      <c r="OAU49" s="21"/>
      <c r="OAV49" s="21"/>
      <c r="OAW49" s="21"/>
      <c r="OAX49" s="21"/>
      <c r="OAY49" s="21"/>
      <c r="OAZ49" s="20"/>
      <c r="OBA49" s="20"/>
      <c r="OBB49" s="20"/>
      <c r="OBC49" s="20"/>
      <c r="OBD49" s="21"/>
      <c r="OBE49" s="21"/>
      <c r="OBF49" s="7"/>
      <c r="OBG49" s="7"/>
      <c r="OBH49" s="21"/>
      <c r="OBI49" s="20"/>
      <c r="OBJ49" s="20"/>
      <c r="OBK49" s="20"/>
      <c r="OBL49" s="21"/>
      <c r="OBM49" s="21"/>
      <c r="OBN49" s="21"/>
      <c r="OBO49" s="21"/>
      <c r="OBP49" s="21"/>
      <c r="OBQ49" s="20"/>
      <c r="OBR49" s="20"/>
      <c r="OBS49" s="20"/>
      <c r="OBT49" s="20"/>
      <c r="OBU49" s="21"/>
      <c r="OBV49" s="21"/>
      <c r="OBW49" s="7"/>
      <c r="OBX49" s="7"/>
      <c r="OBY49" s="21"/>
      <c r="OBZ49" s="20"/>
      <c r="OCA49" s="20"/>
      <c r="OCB49" s="20"/>
      <c r="OCC49" s="21"/>
      <c r="OCD49" s="21"/>
      <c r="OCE49" s="21"/>
      <c r="OCF49" s="21"/>
      <c r="OCG49" s="21"/>
      <c r="OCH49" s="20"/>
      <c r="OCI49" s="20"/>
      <c r="OCJ49" s="20"/>
      <c r="OCK49" s="20"/>
      <c r="OCL49" s="21"/>
      <c r="OCM49" s="21"/>
      <c r="OCN49" s="7"/>
      <c r="OCO49" s="7"/>
      <c r="OCP49" s="21"/>
      <c r="OCQ49" s="20"/>
      <c r="OCR49" s="20"/>
      <c r="OCS49" s="20"/>
      <c r="OCT49" s="21"/>
      <c r="OCU49" s="21"/>
      <c r="OCV49" s="21"/>
      <c r="OCW49" s="21"/>
      <c r="OCX49" s="21"/>
      <c r="OCY49" s="20"/>
      <c r="OCZ49" s="20"/>
      <c r="ODA49" s="20"/>
      <c r="ODB49" s="20"/>
      <c r="ODC49" s="21"/>
      <c r="ODD49" s="21"/>
      <c r="ODE49" s="7"/>
      <c r="ODF49" s="7"/>
      <c r="ODG49" s="21"/>
      <c r="ODH49" s="20"/>
      <c r="ODI49" s="20"/>
      <c r="ODJ49" s="20"/>
      <c r="ODK49" s="21"/>
      <c r="ODL49" s="21"/>
      <c r="ODM49" s="21"/>
      <c r="ODN49" s="21"/>
      <c r="ODO49" s="21"/>
      <c r="ODP49" s="20"/>
      <c r="ODQ49" s="20"/>
      <c r="ODR49" s="20"/>
      <c r="ODS49" s="20"/>
      <c r="ODT49" s="21"/>
      <c r="ODU49" s="21"/>
      <c r="ODV49" s="7"/>
      <c r="ODW49" s="7"/>
      <c r="ODX49" s="21"/>
      <c r="ODY49" s="20"/>
      <c r="ODZ49" s="20"/>
      <c r="OEA49" s="20"/>
      <c r="OEB49" s="21"/>
      <c r="OEC49" s="21"/>
      <c r="OED49" s="21"/>
      <c r="OEE49" s="21"/>
      <c r="OEF49" s="21"/>
      <c r="OEG49" s="20"/>
      <c r="OEH49" s="20"/>
      <c r="OEI49" s="20"/>
      <c r="OEJ49" s="20"/>
      <c r="OEK49" s="21"/>
      <c r="OEL49" s="21"/>
      <c r="OEM49" s="7"/>
      <c r="OEN49" s="7"/>
      <c r="OEO49" s="21"/>
      <c r="OEP49" s="20"/>
      <c r="OEQ49" s="20"/>
      <c r="OER49" s="20"/>
      <c r="OES49" s="21"/>
      <c r="OET49" s="21"/>
      <c r="OEU49" s="21"/>
      <c r="OEV49" s="21"/>
      <c r="OEW49" s="21"/>
      <c r="OEX49" s="20"/>
      <c r="OEY49" s="20"/>
      <c r="OEZ49" s="20"/>
      <c r="OFA49" s="20"/>
      <c r="OFB49" s="21"/>
      <c r="OFC49" s="21"/>
      <c r="OFD49" s="7"/>
      <c r="OFE49" s="7"/>
      <c r="OFF49" s="21"/>
      <c r="OFG49" s="20"/>
      <c r="OFH49" s="20"/>
      <c r="OFI49" s="20"/>
      <c r="OFJ49" s="21"/>
      <c r="OFK49" s="21"/>
      <c r="OFL49" s="21"/>
      <c r="OFM49" s="21"/>
      <c r="OFN49" s="21"/>
      <c r="OFO49" s="20"/>
      <c r="OFP49" s="20"/>
      <c r="OFQ49" s="20"/>
      <c r="OFR49" s="20"/>
      <c r="OFS49" s="21"/>
      <c r="OFT49" s="21"/>
      <c r="OFU49" s="7"/>
      <c r="OFV49" s="7"/>
      <c r="OFW49" s="21"/>
      <c r="OFX49" s="20"/>
      <c r="OFY49" s="20"/>
      <c r="OFZ49" s="20"/>
      <c r="OGA49" s="21"/>
      <c r="OGB49" s="21"/>
      <c r="OGC49" s="21"/>
      <c r="OGD49" s="21"/>
      <c r="OGE49" s="21"/>
      <c r="OGF49" s="20"/>
      <c r="OGG49" s="20"/>
      <c r="OGH49" s="20"/>
      <c r="OGI49" s="20"/>
      <c r="OGJ49" s="21"/>
      <c r="OGK49" s="21"/>
      <c r="OGL49" s="7"/>
      <c r="OGM49" s="7"/>
      <c r="OGN49" s="21"/>
      <c r="OGO49" s="20"/>
      <c r="OGP49" s="20"/>
      <c r="OGQ49" s="20"/>
      <c r="OGR49" s="21"/>
      <c r="OGS49" s="21"/>
      <c r="OGT49" s="21"/>
      <c r="OGU49" s="21"/>
      <c r="OGV49" s="21"/>
      <c r="OGW49" s="20"/>
      <c r="OGX49" s="20"/>
      <c r="OGY49" s="20"/>
      <c r="OGZ49" s="20"/>
      <c r="OHA49" s="21"/>
      <c r="OHB49" s="21"/>
      <c r="OHC49" s="7"/>
      <c r="OHD49" s="7"/>
      <c r="OHE49" s="21"/>
      <c r="OHF49" s="20"/>
      <c r="OHG49" s="20"/>
      <c r="OHH49" s="20"/>
      <c r="OHI49" s="21"/>
      <c r="OHJ49" s="21"/>
      <c r="OHK49" s="21"/>
      <c r="OHL49" s="21"/>
      <c r="OHM49" s="21"/>
      <c r="OHN49" s="20"/>
      <c r="OHO49" s="20"/>
      <c r="OHP49" s="20"/>
      <c r="OHQ49" s="20"/>
      <c r="OHR49" s="21"/>
      <c r="OHS49" s="21"/>
      <c r="OHT49" s="7"/>
      <c r="OHU49" s="7"/>
      <c r="OHV49" s="21"/>
      <c r="OHW49" s="20"/>
      <c r="OHX49" s="20"/>
      <c r="OHY49" s="20"/>
      <c r="OHZ49" s="21"/>
      <c r="OIA49" s="21"/>
      <c r="OIB49" s="21"/>
      <c r="OIC49" s="21"/>
      <c r="OID49" s="21"/>
      <c r="OIE49" s="20"/>
      <c r="OIF49" s="20"/>
      <c r="OIG49" s="20"/>
      <c r="OIH49" s="20"/>
      <c r="OII49" s="21"/>
      <c r="OIJ49" s="21"/>
      <c r="OIK49" s="7"/>
      <c r="OIL49" s="7"/>
      <c r="OIM49" s="21"/>
      <c r="OIN49" s="20"/>
      <c r="OIO49" s="20"/>
      <c r="OIP49" s="20"/>
      <c r="OIQ49" s="21"/>
      <c r="OIR49" s="21"/>
      <c r="OIS49" s="21"/>
      <c r="OIT49" s="21"/>
      <c r="OIU49" s="21"/>
      <c r="OIV49" s="20"/>
      <c r="OIW49" s="20"/>
      <c r="OIX49" s="20"/>
      <c r="OIY49" s="20"/>
      <c r="OIZ49" s="21"/>
      <c r="OJA49" s="21"/>
      <c r="OJB49" s="7"/>
      <c r="OJC49" s="7"/>
      <c r="OJD49" s="21"/>
      <c r="OJE49" s="20"/>
      <c r="OJF49" s="20"/>
      <c r="OJG49" s="20"/>
      <c r="OJH49" s="21"/>
      <c r="OJI49" s="21"/>
      <c r="OJJ49" s="21"/>
      <c r="OJK49" s="21"/>
      <c r="OJL49" s="21"/>
      <c r="OJM49" s="20"/>
      <c r="OJN49" s="20"/>
      <c r="OJO49" s="20"/>
      <c r="OJP49" s="20"/>
      <c r="OJQ49" s="21"/>
      <c r="OJR49" s="21"/>
      <c r="OJS49" s="7"/>
      <c r="OJT49" s="7"/>
      <c r="OJU49" s="21"/>
      <c r="OJV49" s="20"/>
      <c r="OJW49" s="20"/>
      <c r="OJX49" s="20"/>
      <c r="OJY49" s="21"/>
      <c r="OJZ49" s="21"/>
      <c r="OKA49" s="21"/>
      <c r="OKB49" s="21"/>
      <c r="OKC49" s="21"/>
      <c r="OKD49" s="20"/>
      <c r="OKE49" s="20"/>
      <c r="OKF49" s="20"/>
      <c r="OKG49" s="20"/>
      <c r="OKH49" s="21"/>
      <c r="OKI49" s="21"/>
      <c r="OKJ49" s="7"/>
      <c r="OKK49" s="7"/>
      <c r="OKL49" s="21"/>
      <c r="OKM49" s="20"/>
      <c r="OKN49" s="20"/>
      <c r="OKO49" s="20"/>
      <c r="OKP49" s="21"/>
      <c r="OKQ49" s="21"/>
      <c r="OKR49" s="21"/>
      <c r="OKS49" s="21"/>
      <c r="OKT49" s="21"/>
      <c r="OKU49" s="20"/>
      <c r="OKV49" s="20"/>
      <c r="OKW49" s="20"/>
      <c r="OKX49" s="20"/>
      <c r="OKY49" s="21"/>
      <c r="OKZ49" s="21"/>
      <c r="OLA49" s="7"/>
      <c r="OLB49" s="7"/>
      <c r="OLC49" s="21"/>
      <c r="OLD49" s="20"/>
      <c r="OLE49" s="20"/>
      <c r="OLF49" s="20"/>
      <c r="OLG49" s="21"/>
      <c r="OLH49" s="21"/>
      <c r="OLI49" s="21"/>
      <c r="OLJ49" s="21"/>
      <c r="OLK49" s="21"/>
      <c r="OLL49" s="20"/>
      <c r="OLM49" s="20"/>
      <c r="OLN49" s="20"/>
      <c r="OLO49" s="20"/>
      <c r="OLP49" s="21"/>
      <c r="OLQ49" s="21"/>
      <c r="OLR49" s="7"/>
      <c r="OLS49" s="7"/>
      <c r="OLT49" s="21"/>
      <c r="OLU49" s="20"/>
      <c r="OLV49" s="20"/>
      <c r="OLW49" s="20"/>
      <c r="OLX49" s="21"/>
      <c r="OLY49" s="21"/>
      <c r="OLZ49" s="21"/>
      <c r="OMA49" s="21"/>
      <c r="OMB49" s="21"/>
      <c r="OMC49" s="20"/>
      <c r="OMD49" s="20"/>
      <c r="OME49" s="20"/>
      <c r="OMF49" s="20"/>
      <c r="OMG49" s="21"/>
      <c r="OMH49" s="21"/>
      <c r="OMI49" s="7"/>
      <c r="OMJ49" s="7"/>
      <c r="OMK49" s="21"/>
      <c r="OML49" s="20"/>
      <c r="OMM49" s="20"/>
      <c r="OMN49" s="20"/>
      <c r="OMO49" s="21"/>
      <c r="OMP49" s="21"/>
      <c r="OMQ49" s="21"/>
      <c r="OMR49" s="21"/>
      <c r="OMS49" s="21"/>
      <c r="OMT49" s="20"/>
      <c r="OMU49" s="20"/>
      <c r="OMV49" s="20"/>
      <c r="OMW49" s="20"/>
      <c r="OMX49" s="21"/>
      <c r="OMY49" s="21"/>
      <c r="OMZ49" s="7"/>
      <c r="ONA49" s="7"/>
      <c r="ONB49" s="21"/>
      <c r="ONC49" s="20"/>
      <c r="OND49" s="20"/>
      <c r="ONE49" s="20"/>
      <c r="ONF49" s="21"/>
      <c r="ONG49" s="21"/>
      <c r="ONH49" s="21"/>
      <c r="ONI49" s="21"/>
      <c r="ONJ49" s="21"/>
      <c r="ONK49" s="20"/>
      <c r="ONL49" s="20"/>
      <c r="ONM49" s="20"/>
      <c r="ONN49" s="20"/>
      <c r="ONO49" s="21"/>
      <c r="ONP49" s="21"/>
      <c r="ONQ49" s="7"/>
      <c r="ONR49" s="7"/>
      <c r="ONS49" s="21"/>
      <c r="ONT49" s="20"/>
      <c r="ONU49" s="20"/>
      <c r="ONV49" s="20"/>
      <c r="ONW49" s="21"/>
      <c r="ONX49" s="21"/>
      <c r="ONY49" s="21"/>
      <c r="ONZ49" s="21"/>
      <c r="OOA49" s="21"/>
      <c r="OOB49" s="20"/>
      <c r="OOC49" s="20"/>
      <c r="OOD49" s="20"/>
      <c r="OOE49" s="20"/>
      <c r="OOF49" s="21"/>
      <c r="OOG49" s="21"/>
      <c r="OOH49" s="7"/>
      <c r="OOI49" s="7"/>
      <c r="OOJ49" s="21"/>
      <c r="OOK49" s="20"/>
      <c r="OOL49" s="20"/>
      <c r="OOM49" s="20"/>
      <c r="OON49" s="21"/>
      <c r="OOO49" s="21"/>
      <c r="OOP49" s="21"/>
      <c r="OOQ49" s="21"/>
      <c r="OOR49" s="21"/>
      <c r="OOS49" s="20"/>
      <c r="OOT49" s="20"/>
      <c r="OOU49" s="20"/>
      <c r="OOV49" s="20"/>
      <c r="OOW49" s="21"/>
      <c r="OOX49" s="21"/>
      <c r="OOY49" s="7"/>
      <c r="OOZ49" s="7"/>
      <c r="OPA49" s="21"/>
      <c r="OPB49" s="20"/>
      <c r="OPC49" s="20"/>
      <c r="OPD49" s="20"/>
      <c r="OPE49" s="21"/>
      <c r="OPF49" s="21"/>
      <c r="OPG49" s="21"/>
      <c r="OPH49" s="21"/>
      <c r="OPI49" s="21"/>
      <c r="OPJ49" s="20"/>
      <c r="OPK49" s="20"/>
      <c r="OPL49" s="20"/>
      <c r="OPM49" s="20"/>
      <c r="OPN49" s="21"/>
      <c r="OPO49" s="21"/>
      <c r="OPP49" s="7"/>
      <c r="OPQ49" s="7"/>
      <c r="OPR49" s="21"/>
      <c r="OPS49" s="20"/>
      <c r="OPT49" s="20"/>
      <c r="OPU49" s="20"/>
      <c r="OPV49" s="21"/>
      <c r="OPW49" s="21"/>
      <c r="OPX49" s="21"/>
      <c r="OPY49" s="21"/>
      <c r="OPZ49" s="21"/>
      <c r="OQA49" s="20"/>
      <c r="OQB49" s="20"/>
      <c r="OQC49" s="20"/>
      <c r="OQD49" s="20"/>
      <c r="OQE49" s="21"/>
      <c r="OQF49" s="21"/>
      <c r="OQG49" s="7"/>
      <c r="OQH49" s="7"/>
      <c r="OQI49" s="21"/>
      <c r="OQJ49" s="20"/>
      <c r="OQK49" s="20"/>
      <c r="OQL49" s="20"/>
      <c r="OQM49" s="21"/>
      <c r="OQN49" s="21"/>
      <c r="OQO49" s="21"/>
      <c r="OQP49" s="21"/>
      <c r="OQQ49" s="21"/>
      <c r="OQR49" s="20"/>
      <c r="OQS49" s="20"/>
      <c r="OQT49" s="20"/>
      <c r="OQU49" s="20"/>
      <c r="OQV49" s="21"/>
      <c r="OQW49" s="21"/>
      <c r="OQX49" s="7"/>
      <c r="OQY49" s="7"/>
      <c r="OQZ49" s="21"/>
      <c r="ORA49" s="20"/>
      <c r="ORB49" s="20"/>
      <c r="ORC49" s="20"/>
      <c r="ORD49" s="21"/>
      <c r="ORE49" s="21"/>
      <c r="ORF49" s="21"/>
      <c r="ORG49" s="21"/>
      <c r="ORH49" s="21"/>
      <c r="ORI49" s="20"/>
      <c r="ORJ49" s="20"/>
      <c r="ORK49" s="20"/>
      <c r="ORL49" s="20"/>
      <c r="ORM49" s="21"/>
      <c r="ORN49" s="21"/>
      <c r="ORO49" s="7"/>
      <c r="ORP49" s="7"/>
      <c r="ORQ49" s="21"/>
      <c r="ORR49" s="20"/>
      <c r="ORS49" s="20"/>
      <c r="ORT49" s="20"/>
      <c r="ORU49" s="21"/>
      <c r="ORV49" s="21"/>
      <c r="ORW49" s="21"/>
      <c r="ORX49" s="21"/>
      <c r="ORY49" s="21"/>
      <c r="ORZ49" s="20"/>
      <c r="OSA49" s="20"/>
      <c r="OSB49" s="20"/>
      <c r="OSC49" s="20"/>
      <c r="OSD49" s="21"/>
      <c r="OSE49" s="21"/>
      <c r="OSF49" s="7"/>
      <c r="OSG49" s="7"/>
      <c r="OSH49" s="21"/>
      <c r="OSI49" s="20"/>
      <c r="OSJ49" s="20"/>
      <c r="OSK49" s="20"/>
      <c r="OSL49" s="21"/>
      <c r="OSM49" s="21"/>
      <c r="OSN49" s="21"/>
      <c r="OSO49" s="21"/>
      <c r="OSP49" s="21"/>
      <c r="OSQ49" s="20"/>
      <c r="OSR49" s="20"/>
      <c r="OSS49" s="20"/>
      <c r="OST49" s="20"/>
      <c r="OSU49" s="21"/>
      <c r="OSV49" s="21"/>
      <c r="OSW49" s="7"/>
      <c r="OSX49" s="7"/>
      <c r="OSY49" s="21"/>
      <c r="OSZ49" s="20"/>
      <c r="OTA49" s="20"/>
      <c r="OTB49" s="20"/>
      <c r="OTC49" s="21"/>
      <c r="OTD49" s="21"/>
      <c r="OTE49" s="21"/>
      <c r="OTF49" s="21"/>
      <c r="OTG49" s="21"/>
      <c r="OTH49" s="20"/>
      <c r="OTI49" s="20"/>
      <c r="OTJ49" s="20"/>
      <c r="OTK49" s="20"/>
      <c r="OTL49" s="21"/>
      <c r="OTM49" s="21"/>
      <c r="OTN49" s="7"/>
      <c r="OTO49" s="7"/>
      <c r="OTP49" s="21"/>
      <c r="OTQ49" s="20"/>
      <c r="OTR49" s="20"/>
      <c r="OTS49" s="20"/>
      <c r="OTT49" s="21"/>
      <c r="OTU49" s="21"/>
      <c r="OTV49" s="21"/>
      <c r="OTW49" s="21"/>
      <c r="OTX49" s="21"/>
      <c r="OTY49" s="20"/>
      <c r="OTZ49" s="20"/>
      <c r="OUA49" s="20"/>
      <c r="OUB49" s="20"/>
      <c r="OUC49" s="21"/>
      <c r="OUD49" s="21"/>
      <c r="OUE49" s="7"/>
      <c r="OUF49" s="7"/>
      <c r="OUG49" s="21"/>
      <c r="OUH49" s="20"/>
      <c r="OUI49" s="20"/>
      <c r="OUJ49" s="20"/>
      <c r="OUK49" s="21"/>
      <c r="OUL49" s="21"/>
      <c r="OUM49" s="21"/>
      <c r="OUN49" s="21"/>
      <c r="OUO49" s="21"/>
      <c r="OUP49" s="20"/>
      <c r="OUQ49" s="20"/>
      <c r="OUR49" s="20"/>
      <c r="OUS49" s="20"/>
      <c r="OUT49" s="21"/>
      <c r="OUU49" s="21"/>
      <c r="OUV49" s="7"/>
      <c r="OUW49" s="7"/>
      <c r="OUX49" s="21"/>
      <c r="OUY49" s="20"/>
      <c r="OUZ49" s="20"/>
      <c r="OVA49" s="20"/>
      <c r="OVB49" s="21"/>
      <c r="OVC49" s="21"/>
      <c r="OVD49" s="21"/>
      <c r="OVE49" s="21"/>
      <c r="OVF49" s="21"/>
      <c r="OVG49" s="20"/>
      <c r="OVH49" s="20"/>
      <c r="OVI49" s="20"/>
      <c r="OVJ49" s="20"/>
      <c r="OVK49" s="21"/>
      <c r="OVL49" s="21"/>
      <c r="OVM49" s="7"/>
      <c r="OVN49" s="7"/>
      <c r="OVO49" s="21"/>
      <c r="OVP49" s="20"/>
      <c r="OVQ49" s="20"/>
      <c r="OVR49" s="20"/>
      <c r="OVS49" s="21"/>
      <c r="OVT49" s="21"/>
      <c r="OVU49" s="21"/>
      <c r="OVV49" s="21"/>
      <c r="OVW49" s="21"/>
      <c r="OVX49" s="20"/>
      <c r="OVY49" s="20"/>
      <c r="OVZ49" s="20"/>
      <c r="OWA49" s="20"/>
      <c r="OWB49" s="21"/>
      <c r="OWC49" s="21"/>
      <c r="OWD49" s="7"/>
      <c r="OWE49" s="7"/>
      <c r="OWF49" s="21"/>
      <c r="OWG49" s="20"/>
      <c r="OWH49" s="20"/>
      <c r="OWI49" s="20"/>
      <c r="OWJ49" s="21"/>
      <c r="OWK49" s="21"/>
      <c r="OWL49" s="21"/>
      <c r="OWM49" s="21"/>
      <c r="OWN49" s="21"/>
      <c r="OWO49" s="20"/>
      <c r="OWP49" s="20"/>
      <c r="OWQ49" s="20"/>
      <c r="OWR49" s="20"/>
      <c r="OWS49" s="21"/>
      <c r="OWT49" s="21"/>
      <c r="OWU49" s="7"/>
      <c r="OWV49" s="7"/>
      <c r="OWW49" s="21"/>
      <c r="OWX49" s="20"/>
      <c r="OWY49" s="20"/>
      <c r="OWZ49" s="20"/>
      <c r="OXA49" s="21"/>
      <c r="OXB49" s="21"/>
      <c r="OXC49" s="21"/>
      <c r="OXD49" s="21"/>
      <c r="OXE49" s="21"/>
      <c r="OXF49" s="20"/>
      <c r="OXG49" s="20"/>
      <c r="OXH49" s="20"/>
      <c r="OXI49" s="20"/>
      <c r="OXJ49" s="21"/>
      <c r="OXK49" s="21"/>
      <c r="OXL49" s="7"/>
      <c r="OXM49" s="7"/>
      <c r="OXN49" s="21"/>
      <c r="OXO49" s="20"/>
      <c r="OXP49" s="20"/>
      <c r="OXQ49" s="20"/>
      <c r="OXR49" s="21"/>
      <c r="OXS49" s="21"/>
      <c r="OXT49" s="21"/>
      <c r="OXU49" s="21"/>
      <c r="OXV49" s="21"/>
      <c r="OXW49" s="20"/>
      <c r="OXX49" s="20"/>
      <c r="OXY49" s="20"/>
      <c r="OXZ49" s="20"/>
      <c r="OYA49" s="21"/>
      <c r="OYB49" s="21"/>
      <c r="OYC49" s="7"/>
      <c r="OYD49" s="7"/>
      <c r="OYE49" s="21"/>
      <c r="OYF49" s="20"/>
      <c r="OYG49" s="20"/>
      <c r="OYH49" s="20"/>
      <c r="OYI49" s="21"/>
      <c r="OYJ49" s="21"/>
      <c r="OYK49" s="21"/>
      <c r="OYL49" s="21"/>
      <c r="OYM49" s="21"/>
      <c r="OYN49" s="20"/>
      <c r="OYO49" s="20"/>
      <c r="OYP49" s="20"/>
      <c r="OYQ49" s="20"/>
      <c r="OYR49" s="21"/>
      <c r="OYS49" s="21"/>
      <c r="OYT49" s="7"/>
      <c r="OYU49" s="7"/>
      <c r="OYV49" s="21"/>
      <c r="OYW49" s="20"/>
      <c r="OYX49" s="20"/>
      <c r="OYY49" s="20"/>
      <c r="OYZ49" s="21"/>
      <c r="OZA49" s="21"/>
      <c r="OZB49" s="21"/>
      <c r="OZC49" s="21"/>
      <c r="OZD49" s="21"/>
      <c r="OZE49" s="20"/>
      <c r="OZF49" s="20"/>
      <c r="OZG49" s="20"/>
      <c r="OZH49" s="20"/>
      <c r="OZI49" s="21"/>
      <c r="OZJ49" s="21"/>
      <c r="OZK49" s="7"/>
      <c r="OZL49" s="7"/>
      <c r="OZM49" s="21"/>
      <c r="OZN49" s="20"/>
      <c r="OZO49" s="20"/>
      <c r="OZP49" s="20"/>
      <c r="OZQ49" s="21"/>
      <c r="OZR49" s="21"/>
      <c r="OZS49" s="21"/>
      <c r="OZT49" s="21"/>
      <c r="OZU49" s="21"/>
      <c r="OZV49" s="20"/>
      <c r="OZW49" s="20"/>
      <c r="OZX49" s="20"/>
      <c r="OZY49" s="20"/>
      <c r="OZZ49" s="21"/>
      <c r="PAA49" s="21"/>
      <c r="PAB49" s="7"/>
      <c r="PAC49" s="7"/>
      <c r="PAD49" s="21"/>
      <c r="PAE49" s="20"/>
      <c r="PAF49" s="20"/>
      <c r="PAG49" s="20"/>
      <c r="PAH49" s="21"/>
      <c r="PAI49" s="21"/>
      <c r="PAJ49" s="21"/>
      <c r="PAK49" s="21"/>
      <c r="PAL49" s="21"/>
      <c r="PAM49" s="20"/>
      <c r="PAN49" s="20"/>
      <c r="PAO49" s="20"/>
      <c r="PAP49" s="20"/>
      <c r="PAQ49" s="21"/>
      <c r="PAR49" s="21"/>
      <c r="PAS49" s="7"/>
      <c r="PAT49" s="7"/>
      <c r="PAU49" s="21"/>
      <c r="PAV49" s="20"/>
      <c r="PAW49" s="20"/>
      <c r="PAX49" s="20"/>
      <c r="PAY49" s="21"/>
      <c r="PAZ49" s="21"/>
      <c r="PBA49" s="21"/>
      <c r="PBB49" s="21"/>
      <c r="PBC49" s="21"/>
      <c r="PBD49" s="20"/>
      <c r="PBE49" s="20"/>
      <c r="PBF49" s="20"/>
      <c r="PBG49" s="20"/>
      <c r="PBH49" s="21"/>
      <c r="PBI49" s="21"/>
      <c r="PBJ49" s="7"/>
      <c r="PBK49" s="7"/>
      <c r="PBL49" s="21"/>
      <c r="PBM49" s="20"/>
      <c r="PBN49" s="20"/>
      <c r="PBO49" s="20"/>
      <c r="PBP49" s="21"/>
      <c r="PBQ49" s="21"/>
      <c r="PBR49" s="21"/>
      <c r="PBS49" s="21"/>
      <c r="PBT49" s="21"/>
      <c r="PBU49" s="20"/>
      <c r="PBV49" s="20"/>
      <c r="PBW49" s="20"/>
      <c r="PBX49" s="20"/>
      <c r="PBY49" s="21"/>
      <c r="PBZ49" s="21"/>
      <c r="PCA49" s="7"/>
      <c r="PCB49" s="7"/>
      <c r="PCC49" s="21"/>
      <c r="PCD49" s="20"/>
      <c r="PCE49" s="20"/>
      <c r="PCF49" s="20"/>
      <c r="PCG49" s="21"/>
      <c r="PCH49" s="21"/>
      <c r="PCI49" s="21"/>
      <c r="PCJ49" s="21"/>
      <c r="PCK49" s="21"/>
      <c r="PCL49" s="20"/>
      <c r="PCM49" s="20"/>
      <c r="PCN49" s="20"/>
      <c r="PCO49" s="20"/>
      <c r="PCP49" s="21"/>
      <c r="PCQ49" s="21"/>
      <c r="PCR49" s="7"/>
      <c r="PCS49" s="7"/>
      <c r="PCT49" s="21"/>
      <c r="PCU49" s="20"/>
      <c r="PCV49" s="20"/>
      <c r="PCW49" s="20"/>
      <c r="PCX49" s="21"/>
      <c r="PCY49" s="21"/>
      <c r="PCZ49" s="21"/>
      <c r="PDA49" s="21"/>
      <c r="PDB49" s="21"/>
      <c r="PDC49" s="20"/>
      <c r="PDD49" s="20"/>
      <c r="PDE49" s="20"/>
      <c r="PDF49" s="20"/>
      <c r="PDG49" s="21"/>
      <c r="PDH49" s="21"/>
      <c r="PDI49" s="7"/>
      <c r="PDJ49" s="7"/>
      <c r="PDK49" s="21"/>
      <c r="PDL49" s="20"/>
      <c r="PDM49" s="20"/>
      <c r="PDN49" s="20"/>
      <c r="PDO49" s="21"/>
      <c r="PDP49" s="21"/>
      <c r="PDQ49" s="21"/>
      <c r="PDR49" s="21"/>
      <c r="PDS49" s="21"/>
      <c r="PDT49" s="20"/>
      <c r="PDU49" s="20"/>
      <c r="PDV49" s="20"/>
      <c r="PDW49" s="20"/>
      <c r="PDX49" s="21"/>
      <c r="PDY49" s="21"/>
      <c r="PDZ49" s="7"/>
      <c r="PEA49" s="7"/>
      <c r="PEB49" s="21"/>
      <c r="PEC49" s="20"/>
      <c r="PED49" s="20"/>
      <c r="PEE49" s="20"/>
      <c r="PEF49" s="21"/>
      <c r="PEG49" s="21"/>
      <c r="PEH49" s="21"/>
      <c r="PEI49" s="21"/>
      <c r="PEJ49" s="21"/>
      <c r="PEK49" s="20"/>
      <c r="PEL49" s="20"/>
      <c r="PEM49" s="20"/>
      <c r="PEN49" s="20"/>
      <c r="PEO49" s="21"/>
      <c r="PEP49" s="21"/>
      <c r="PEQ49" s="7"/>
      <c r="PER49" s="7"/>
      <c r="PES49" s="21"/>
      <c r="PET49" s="20"/>
      <c r="PEU49" s="20"/>
      <c r="PEV49" s="20"/>
      <c r="PEW49" s="21"/>
      <c r="PEX49" s="21"/>
      <c r="PEY49" s="21"/>
      <c r="PEZ49" s="21"/>
      <c r="PFA49" s="21"/>
      <c r="PFB49" s="20"/>
      <c r="PFC49" s="20"/>
      <c r="PFD49" s="20"/>
      <c r="PFE49" s="20"/>
      <c r="PFF49" s="21"/>
      <c r="PFG49" s="21"/>
      <c r="PFH49" s="7"/>
      <c r="PFI49" s="7"/>
      <c r="PFJ49" s="21"/>
      <c r="PFK49" s="20"/>
      <c r="PFL49" s="20"/>
      <c r="PFM49" s="20"/>
      <c r="PFN49" s="21"/>
      <c r="PFO49" s="21"/>
      <c r="PFP49" s="21"/>
      <c r="PFQ49" s="21"/>
      <c r="PFR49" s="21"/>
      <c r="PFS49" s="20"/>
      <c r="PFT49" s="20"/>
      <c r="PFU49" s="20"/>
      <c r="PFV49" s="20"/>
      <c r="PFW49" s="21"/>
      <c r="PFX49" s="21"/>
      <c r="PFY49" s="7"/>
      <c r="PFZ49" s="7"/>
      <c r="PGA49" s="21"/>
      <c r="PGB49" s="20"/>
      <c r="PGC49" s="20"/>
      <c r="PGD49" s="20"/>
      <c r="PGE49" s="21"/>
      <c r="PGF49" s="21"/>
      <c r="PGG49" s="21"/>
      <c r="PGH49" s="21"/>
      <c r="PGI49" s="21"/>
      <c r="PGJ49" s="20"/>
      <c r="PGK49" s="20"/>
      <c r="PGL49" s="20"/>
      <c r="PGM49" s="20"/>
      <c r="PGN49" s="21"/>
      <c r="PGO49" s="21"/>
      <c r="PGP49" s="7"/>
      <c r="PGQ49" s="7"/>
      <c r="PGR49" s="21"/>
      <c r="PGS49" s="20"/>
      <c r="PGT49" s="20"/>
      <c r="PGU49" s="20"/>
      <c r="PGV49" s="21"/>
      <c r="PGW49" s="21"/>
      <c r="PGX49" s="21"/>
      <c r="PGY49" s="21"/>
      <c r="PGZ49" s="21"/>
      <c r="PHA49" s="20"/>
      <c r="PHB49" s="20"/>
      <c r="PHC49" s="20"/>
      <c r="PHD49" s="20"/>
      <c r="PHE49" s="21"/>
      <c r="PHF49" s="21"/>
      <c r="PHG49" s="7"/>
      <c r="PHH49" s="7"/>
      <c r="PHI49" s="21"/>
      <c r="PHJ49" s="20"/>
      <c r="PHK49" s="20"/>
      <c r="PHL49" s="20"/>
      <c r="PHM49" s="21"/>
      <c r="PHN49" s="21"/>
      <c r="PHO49" s="21"/>
      <c r="PHP49" s="21"/>
      <c r="PHQ49" s="21"/>
      <c r="PHR49" s="20"/>
      <c r="PHS49" s="20"/>
      <c r="PHT49" s="20"/>
      <c r="PHU49" s="20"/>
      <c r="PHV49" s="21"/>
      <c r="PHW49" s="21"/>
      <c r="PHX49" s="7"/>
      <c r="PHY49" s="7"/>
      <c r="PHZ49" s="21"/>
      <c r="PIA49" s="20"/>
      <c r="PIB49" s="20"/>
      <c r="PIC49" s="20"/>
      <c r="PID49" s="21"/>
      <c r="PIE49" s="21"/>
      <c r="PIF49" s="21"/>
      <c r="PIG49" s="21"/>
      <c r="PIH49" s="21"/>
      <c r="PII49" s="20"/>
      <c r="PIJ49" s="20"/>
      <c r="PIK49" s="20"/>
      <c r="PIL49" s="20"/>
      <c r="PIM49" s="21"/>
      <c r="PIN49" s="21"/>
      <c r="PIO49" s="7"/>
      <c r="PIP49" s="7"/>
      <c r="PIQ49" s="21"/>
      <c r="PIR49" s="20"/>
      <c r="PIS49" s="20"/>
      <c r="PIT49" s="20"/>
      <c r="PIU49" s="21"/>
      <c r="PIV49" s="21"/>
      <c r="PIW49" s="21"/>
      <c r="PIX49" s="21"/>
      <c r="PIY49" s="21"/>
      <c r="PIZ49" s="20"/>
      <c r="PJA49" s="20"/>
      <c r="PJB49" s="20"/>
      <c r="PJC49" s="20"/>
      <c r="PJD49" s="21"/>
      <c r="PJE49" s="21"/>
      <c r="PJF49" s="7"/>
      <c r="PJG49" s="7"/>
      <c r="PJH49" s="21"/>
      <c r="PJI49" s="20"/>
      <c r="PJJ49" s="20"/>
      <c r="PJK49" s="20"/>
      <c r="PJL49" s="21"/>
      <c r="PJM49" s="21"/>
      <c r="PJN49" s="21"/>
      <c r="PJO49" s="21"/>
      <c r="PJP49" s="21"/>
      <c r="PJQ49" s="20"/>
      <c r="PJR49" s="20"/>
      <c r="PJS49" s="20"/>
      <c r="PJT49" s="20"/>
      <c r="PJU49" s="21"/>
      <c r="PJV49" s="21"/>
      <c r="PJW49" s="7"/>
      <c r="PJX49" s="7"/>
      <c r="PJY49" s="21"/>
      <c r="PJZ49" s="20"/>
      <c r="PKA49" s="20"/>
      <c r="PKB49" s="20"/>
      <c r="PKC49" s="21"/>
      <c r="PKD49" s="21"/>
      <c r="PKE49" s="21"/>
      <c r="PKF49" s="21"/>
      <c r="PKG49" s="21"/>
      <c r="PKH49" s="20"/>
      <c r="PKI49" s="20"/>
      <c r="PKJ49" s="20"/>
      <c r="PKK49" s="20"/>
      <c r="PKL49" s="21"/>
      <c r="PKM49" s="21"/>
      <c r="PKN49" s="7"/>
      <c r="PKO49" s="7"/>
      <c r="PKP49" s="21"/>
      <c r="PKQ49" s="20"/>
      <c r="PKR49" s="20"/>
      <c r="PKS49" s="20"/>
      <c r="PKT49" s="21"/>
      <c r="PKU49" s="21"/>
      <c r="PKV49" s="21"/>
      <c r="PKW49" s="21"/>
      <c r="PKX49" s="21"/>
      <c r="PKY49" s="20"/>
      <c r="PKZ49" s="20"/>
      <c r="PLA49" s="20"/>
      <c r="PLB49" s="20"/>
      <c r="PLC49" s="21"/>
      <c r="PLD49" s="21"/>
      <c r="PLE49" s="7"/>
      <c r="PLF49" s="7"/>
      <c r="PLG49" s="21"/>
      <c r="PLH49" s="20"/>
      <c r="PLI49" s="20"/>
      <c r="PLJ49" s="20"/>
      <c r="PLK49" s="21"/>
      <c r="PLL49" s="21"/>
      <c r="PLM49" s="21"/>
      <c r="PLN49" s="21"/>
      <c r="PLO49" s="21"/>
      <c r="PLP49" s="20"/>
      <c r="PLQ49" s="20"/>
      <c r="PLR49" s="20"/>
      <c r="PLS49" s="20"/>
      <c r="PLT49" s="21"/>
      <c r="PLU49" s="21"/>
      <c r="PLV49" s="7"/>
      <c r="PLW49" s="7"/>
      <c r="PLX49" s="21"/>
      <c r="PLY49" s="20"/>
      <c r="PLZ49" s="20"/>
      <c r="PMA49" s="20"/>
      <c r="PMB49" s="21"/>
      <c r="PMC49" s="21"/>
      <c r="PMD49" s="21"/>
      <c r="PME49" s="21"/>
      <c r="PMF49" s="21"/>
      <c r="PMG49" s="20"/>
      <c r="PMH49" s="20"/>
      <c r="PMI49" s="20"/>
      <c r="PMJ49" s="20"/>
      <c r="PMK49" s="21"/>
      <c r="PML49" s="21"/>
      <c r="PMM49" s="7"/>
      <c r="PMN49" s="7"/>
      <c r="PMO49" s="21"/>
      <c r="PMP49" s="20"/>
      <c r="PMQ49" s="20"/>
      <c r="PMR49" s="20"/>
      <c r="PMS49" s="21"/>
      <c r="PMT49" s="21"/>
      <c r="PMU49" s="21"/>
      <c r="PMV49" s="21"/>
      <c r="PMW49" s="21"/>
      <c r="PMX49" s="20"/>
      <c r="PMY49" s="20"/>
      <c r="PMZ49" s="20"/>
      <c r="PNA49" s="20"/>
      <c r="PNB49" s="21"/>
      <c r="PNC49" s="21"/>
      <c r="PND49" s="7"/>
      <c r="PNE49" s="7"/>
      <c r="PNF49" s="21"/>
      <c r="PNG49" s="20"/>
      <c r="PNH49" s="20"/>
      <c r="PNI49" s="20"/>
      <c r="PNJ49" s="21"/>
      <c r="PNK49" s="21"/>
      <c r="PNL49" s="21"/>
      <c r="PNM49" s="21"/>
      <c r="PNN49" s="21"/>
      <c r="PNO49" s="20"/>
      <c r="PNP49" s="20"/>
      <c r="PNQ49" s="20"/>
      <c r="PNR49" s="20"/>
      <c r="PNS49" s="21"/>
      <c r="PNT49" s="21"/>
      <c r="PNU49" s="7"/>
      <c r="PNV49" s="7"/>
      <c r="PNW49" s="21"/>
      <c r="PNX49" s="20"/>
      <c r="PNY49" s="20"/>
      <c r="PNZ49" s="20"/>
      <c r="POA49" s="21"/>
      <c r="POB49" s="21"/>
      <c r="POC49" s="21"/>
      <c r="POD49" s="21"/>
      <c r="POE49" s="21"/>
      <c r="POF49" s="20"/>
      <c r="POG49" s="20"/>
      <c r="POH49" s="20"/>
      <c r="POI49" s="20"/>
      <c r="POJ49" s="21"/>
      <c r="POK49" s="21"/>
      <c r="POL49" s="7"/>
      <c r="POM49" s="7"/>
      <c r="PON49" s="21"/>
      <c r="POO49" s="20"/>
      <c r="POP49" s="20"/>
      <c r="POQ49" s="20"/>
      <c r="POR49" s="21"/>
      <c r="POS49" s="21"/>
      <c r="POT49" s="21"/>
      <c r="POU49" s="21"/>
      <c r="POV49" s="21"/>
      <c r="POW49" s="20"/>
      <c r="POX49" s="20"/>
      <c r="POY49" s="20"/>
      <c r="POZ49" s="20"/>
      <c r="PPA49" s="21"/>
      <c r="PPB49" s="21"/>
      <c r="PPC49" s="7"/>
      <c r="PPD49" s="7"/>
      <c r="PPE49" s="21"/>
      <c r="PPF49" s="20"/>
      <c r="PPG49" s="20"/>
      <c r="PPH49" s="20"/>
      <c r="PPI49" s="21"/>
      <c r="PPJ49" s="21"/>
      <c r="PPK49" s="21"/>
      <c r="PPL49" s="21"/>
      <c r="PPM49" s="21"/>
      <c r="PPN49" s="20"/>
      <c r="PPO49" s="20"/>
      <c r="PPP49" s="20"/>
      <c r="PPQ49" s="20"/>
      <c r="PPR49" s="21"/>
      <c r="PPS49" s="21"/>
      <c r="PPT49" s="7"/>
      <c r="PPU49" s="7"/>
      <c r="PPV49" s="21"/>
      <c r="PPW49" s="20"/>
      <c r="PPX49" s="20"/>
      <c r="PPY49" s="20"/>
      <c r="PPZ49" s="21"/>
      <c r="PQA49" s="21"/>
      <c r="PQB49" s="21"/>
      <c r="PQC49" s="21"/>
      <c r="PQD49" s="21"/>
      <c r="PQE49" s="20"/>
      <c r="PQF49" s="20"/>
      <c r="PQG49" s="20"/>
      <c r="PQH49" s="20"/>
      <c r="PQI49" s="21"/>
      <c r="PQJ49" s="21"/>
      <c r="PQK49" s="7"/>
      <c r="PQL49" s="7"/>
      <c r="PQM49" s="21"/>
      <c r="PQN49" s="20"/>
      <c r="PQO49" s="20"/>
      <c r="PQP49" s="20"/>
      <c r="PQQ49" s="21"/>
      <c r="PQR49" s="21"/>
      <c r="PQS49" s="21"/>
      <c r="PQT49" s="21"/>
      <c r="PQU49" s="21"/>
      <c r="PQV49" s="20"/>
      <c r="PQW49" s="20"/>
      <c r="PQX49" s="20"/>
      <c r="PQY49" s="20"/>
      <c r="PQZ49" s="21"/>
      <c r="PRA49" s="21"/>
      <c r="PRB49" s="7"/>
      <c r="PRC49" s="7"/>
      <c r="PRD49" s="21"/>
      <c r="PRE49" s="20"/>
      <c r="PRF49" s="20"/>
      <c r="PRG49" s="20"/>
      <c r="PRH49" s="21"/>
      <c r="PRI49" s="21"/>
      <c r="PRJ49" s="21"/>
      <c r="PRK49" s="21"/>
      <c r="PRL49" s="21"/>
      <c r="PRM49" s="20"/>
      <c r="PRN49" s="20"/>
      <c r="PRO49" s="20"/>
      <c r="PRP49" s="20"/>
      <c r="PRQ49" s="21"/>
      <c r="PRR49" s="21"/>
      <c r="PRS49" s="7"/>
      <c r="PRT49" s="7"/>
      <c r="PRU49" s="21"/>
      <c r="PRV49" s="20"/>
      <c r="PRW49" s="20"/>
      <c r="PRX49" s="20"/>
      <c r="PRY49" s="21"/>
      <c r="PRZ49" s="21"/>
      <c r="PSA49" s="21"/>
      <c r="PSB49" s="21"/>
      <c r="PSC49" s="21"/>
      <c r="PSD49" s="20"/>
      <c r="PSE49" s="20"/>
      <c r="PSF49" s="20"/>
      <c r="PSG49" s="20"/>
      <c r="PSH49" s="21"/>
      <c r="PSI49" s="21"/>
      <c r="PSJ49" s="7"/>
      <c r="PSK49" s="7"/>
      <c r="PSL49" s="21"/>
      <c r="PSM49" s="20"/>
      <c r="PSN49" s="20"/>
      <c r="PSO49" s="20"/>
      <c r="PSP49" s="21"/>
      <c r="PSQ49" s="21"/>
      <c r="PSR49" s="21"/>
      <c r="PSS49" s="21"/>
      <c r="PST49" s="21"/>
      <c r="PSU49" s="20"/>
      <c r="PSV49" s="20"/>
      <c r="PSW49" s="20"/>
      <c r="PSX49" s="20"/>
      <c r="PSY49" s="21"/>
      <c r="PSZ49" s="21"/>
      <c r="PTA49" s="7"/>
      <c r="PTB49" s="7"/>
      <c r="PTC49" s="21"/>
      <c r="PTD49" s="20"/>
      <c r="PTE49" s="20"/>
      <c r="PTF49" s="20"/>
      <c r="PTG49" s="21"/>
      <c r="PTH49" s="21"/>
      <c r="PTI49" s="21"/>
      <c r="PTJ49" s="21"/>
      <c r="PTK49" s="21"/>
      <c r="PTL49" s="20"/>
      <c r="PTM49" s="20"/>
      <c r="PTN49" s="20"/>
      <c r="PTO49" s="20"/>
      <c r="PTP49" s="21"/>
      <c r="PTQ49" s="21"/>
      <c r="PTR49" s="7"/>
      <c r="PTS49" s="7"/>
      <c r="PTT49" s="21"/>
      <c r="PTU49" s="20"/>
      <c r="PTV49" s="20"/>
      <c r="PTW49" s="20"/>
      <c r="PTX49" s="21"/>
      <c r="PTY49" s="21"/>
      <c r="PTZ49" s="21"/>
      <c r="PUA49" s="21"/>
      <c r="PUB49" s="21"/>
      <c r="PUC49" s="20"/>
      <c r="PUD49" s="20"/>
      <c r="PUE49" s="20"/>
      <c r="PUF49" s="20"/>
      <c r="PUG49" s="21"/>
      <c r="PUH49" s="21"/>
      <c r="PUI49" s="7"/>
      <c r="PUJ49" s="7"/>
      <c r="PUK49" s="21"/>
      <c r="PUL49" s="20"/>
      <c r="PUM49" s="20"/>
      <c r="PUN49" s="20"/>
      <c r="PUO49" s="21"/>
      <c r="PUP49" s="21"/>
      <c r="PUQ49" s="21"/>
      <c r="PUR49" s="21"/>
      <c r="PUS49" s="21"/>
      <c r="PUT49" s="20"/>
      <c r="PUU49" s="20"/>
      <c r="PUV49" s="20"/>
      <c r="PUW49" s="20"/>
      <c r="PUX49" s="21"/>
      <c r="PUY49" s="21"/>
      <c r="PUZ49" s="7"/>
      <c r="PVA49" s="7"/>
      <c r="PVB49" s="21"/>
      <c r="PVC49" s="20"/>
      <c r="PVD49" s="20"/>
      <c r="PVE49" s="20"/>
      <c r="PVF49" s="21"/>
      <c r="PVG49" s="21"/>
      <c r="PVH49" s="21"/>
      <c r="PVI49" s="21"/>
      <c r="PVJ49" s="21"/>
      <c r="PVK49" s="20"/>
      <c r="PVL49" s="20"/>
      <c r="PVM49" s="20"/>
      <c r="PVN49" s="20"/>
      <c r="PVO49" s="21"/>
      <c r="PVP49" s="21"/>
      <c r="PVQ49" s="7"/>
      <c r="PVR49" s="7"/>
      <c r="PVS49" s="21"/>
      <c r="PVT49" s="20"/>
      <c r="PVU49" s="20"/>
      <c r="PVV49" s="20"/>
      <c r="PVW49" s="21"/>
      <c r="PVX49" s="21"/>
      <c r="PVY49" s="21"/>
      <c r="PVZ49" s="21"/>
      <c r="PWA49" s="21"/>
      <c r="PWB49" s="20"/>
      <c r="PWC49" s="20"/>
      <c r="PWD49" s="20"/>
      <c r="PWE49" s="20"/>
      <c r="PWF49" s="21"/>
      <c r="PWG49" s="21"/>
      <c r="PWH49" s="7"/>
      <c r="PWI49" s="7"/>
      <c r="PWJ49" s="21"/>
      <c r="PWK49" s="20"/>
      <c r="PWL49" s="20"/>
      <c r="PWM49" s="20"/>
      <c r="PWN49" s="21"/>
      <c r="PWO49" s="21"/>
      <c r="PWP49" s="21"/>
      <c r="PWQ49" s="21"/>
      <c r="PWR49" s="21"/>
      <c r="PWS49" s="20"/>
      <c r="PWT49" s="20"/>
      <c r="PWU49" s="20"/>
      <c r="PWV49" s="20"/>
      <c r="PWW49" s="21"/>
      <c r="PWX49" s="21"/>
      <c r="PWY49" s="7"/>
      <c r="PWZ49" s="7"/>
      <c r="PXA49" s="21"/>
      <c r="PXB49" s="20"/>
      <c r="PXC49" s="20"/>
      <c r="PXD49" s="20"/>
      <c r="PXE49" s="21"/>
      <c r="PXF49" s="21"/>
      <c r="PXG49" s="21"/>
      <c r="PXH49" s="21"/>
      <c r="PXI49" s="21"/>
      <c r="PXJ49" s="20"/>
      <c r="PXK49" s="20"/>
      <c r="PXL49" s="20"/>
      <c r="PXM49" s="20"/>
      <c r="PXN49" s="21"/>
      <c r="PXO49" s="21"/>
      <c r="PXP49" s="7"/>
      <c r="PXQ49" s="7"/>
      <c r="PXR49" s="21"/>
      <c r="PXS49" s="20"/>
      <c r="PXT49" s="20"/>
      <c r="PXU49" s="20"/>
      <c r="PXV49" s="21"/>
      <c r="PXW49" s="21"/>
      <c r="PXX49" s="21"/>
      <c r="PXY49" s="21"/>
      <c r="PXZ49" s="21"/>
      <c r="PYA49" s="20"/>
      <c r="PYB49" s="20"/>
      <c r="PYC49" s="20"/>
      <c r="PYD49" s="20"/>
      <c r="PYE49" s="21"/>
      <c r="PYF49" s="21"/>
      <c r="PYG49" s="7"/>
      <c r="PYH49" s="7"/>
      <c r="PYI49" s="21"/>
      <c r="PYJ49" s="20"/>
      <c r="PYK49" s="20"/>
      <c r="PYL49" s="20"/>
      <c r="PYM49" s="21"/>
      <c r="PYN49" s="21"/>
      <c r="PYO49" s="21"/>
      <c r="PYP49" s="21"/>
      <c r="PYQ49" s="21"/>
      <c r="PYR49" s="20"/>
      <c r="PYS49" s="20"/>
      <c r="PYT49" s="20"/>
      <c r="PYU49" s="20"/>
      <c r="PYV49" s="21"/>
      <c r="PYW49" s="21"/>
      <c r="PYX49" s="7"/>
      <c r="PYY49" s="7"/>
      <c r="PYZ49" s="21"/>
      <c r="PZA49" s="20"/>
      <c r="PZB49" s="20"/>
      <c r="PZC49" s="20"/>
      <c r="PZD49" s="21"/>
      <c r="PZE49" s="21"/>
      <c r="PZF49" s="21"/>
      <c r="PZG49" s="21"/>
      <c r="PZH49" s="21"/>
      <c r="PZI49" s="20"/>
      <c r="PZJ49" s="20"/>
      <c r="PZK49" s="20"/>
      <c r="PZL49" s="20"/>
      <c r="PZM49" s="21"/>
      <c r="PZN49" s="21"/>
      <c r="PZO49" s="7"/>
      <c r="PZP49" s="7"/>
      <c r="PZQ49" s="21"/>
      <c r="PZR49" s="20"/>
      <c r="PZS49" s="20"/>
      <c r="PZT49" s="20"/>
      <c r="PZU49" s="21"/>
      <c r="PZV49" s="21"/>
      <c r="PZW49" s="21"/>
      <c r="PZX49" s="21"/>
      <c r="PZY49" s="21"/>
      <c r="PZZ49" s="20"/>
      <c r="QAA49" s="20"/>
      <c r="QAB49" s="20"/>
      <c r="QAC49" s="20"/>
      <c r="QAD49" s="21"/>
      <c r="QAE49" s="21"/>
      <c r="QAF49" s="7"/>
      <c r="QAG49" s="7"/>
      <c r="QAH49" s="21"/>
      <c r="QAI49" s="20"/>
      <c r="QAJ49" s="20"/>
      <c r="QAK49" s="20"/>
      <c r="QAL49" s="21"/>
      <c r="QAM49" s="21"/>
      <c r="QAN49" s="21"/>
      <c r="QAO49" s="21"/>
      <c r="QAP49" s="21"/>
      <c r="QAQ49" s="20"/>
      <c r="QAR49" s="20"/>
      <c r="QAS49" s="20"/>
      <c r="QAT49" s="20"/>
      <c r="QAU49" s="21"/>
      <c r="QAV49" s="21"/>
      <c r="QAW49" s="7"/>
      <c r="QAX49" s="7"/>
      <c r="QAY49" s="21"/>
      <c r="QAZ49" s="20"/>
      <c r="QBA49" s="20"/>
      <c r="QBB49" s="20"/>
      <c r="QBC49" s="21"/>
      <c r="QBD49" s="21"/>
      <c r="QBE49" s="21"/>
      <c r="QBF49" s="21"/>
      <c r="QBG49" s="21"/>
      <c r="QBH49" s="20"/>
      <c r="QBI49" s="20"/>
      <c r="QBJ49" s="20"/>
      <c r="QBK49" s="20"/>
      <c r="QBL49" s="21"/>
      <c r="QBM49" s="21"/>
      <c r="QBN49" s="7"/>
      <c r="QBO49" s="7"/>
      <c r="QBP49" s="21"/>
      <c r="QBQ49" s="20"/>
      <c r="QBR49" s="20"/>
      <c r="QBS49" s="20"/>
      <c r="QBT49" s="21"/>
      <c r="QBU49" s="21"/>
      <c r="QBV49" s="21"/>
      <c r="QBW49" s="21"/>
      <c r="QBX49" s="21"/>
      <c r="QBY49" s="20"/>
      <c r="QBZ49" s="20"/>
      <c r="QCA49" s="20"/>
      <c r="QCB49" s="20"/>
      <c r="QCC49" s="21"/>
      <c r="QCD49" s="21"/>
      <c r="QCE49" s="7"/>
      <c r="QCF49" s="7"/>
      <c r="QCG49" s="21"/>
      <c r="QCH49" s="20"/>
      <c r="QCI49" s="20"/>
      <c r="QCJ49" s="20"/>
      <c r="QCK49" s="21"/>
      <c r="QCL49" s="21"/>
      <c r="QCM49" s="21"/>
      <c r="QCN49" s="21"/>
      <c r="QCO49" s="21"/>
      <c r="QCP49" s="20"/>
      <c r="QCQ49" s="20"/>
      <c r="QCR49" s="20"/>
      <c r="QCS49" s="20"/>
      <c r="QCT49" s="21"/>
      <c r="QCU49" s="21"/>
      <c r="QCV49" s="7"/>
      <c r="QCW49" s="7"/>
      <c r="QCX49" s="21"/>
      <c r="QCY49" s="20"/>
      <c r="QCZ49" s="20"/>
      <c r="QDA49" s="20"/>
      <c r="QDB49" s="21"/>
      <c r="QDC49" s="21"/>
      <c r="QDD49" s="21"/>
      <c r="QDE49" s="21"/>
      <c r="QDF49" s="21"/>
      <c r="QDG49" s="20"/>
      <c r="QDH49" s="20"/>
      <c r="QDI49" s="20"/>
      <c r="QDJ49" s="20"/>
      <c r="QDK49" s="21"/>
      <c r="QDL49" s="21"/>
      <c r="QDM49" s="7"/>
      <c r="QDN49" s="7"/>
      <c r="QDO49" s="21"/>
      <c r="QDP49" s="20"/>
      <c r="QDQ49" s="20"/>
      <c r="QDR49" s="20"/>
      <c r="QDS49" s="21"/>
      <c r="QDT49" s="21"/>
      <c r="QDU49" s="21"/>
      <c r="QDV49" s="21"/>
      <c r="QDW49" s="21"/>
      <c r="QDX49" s="20"/>
      <c r="QDY49" s="20"/>
      <c r="QDZ49" s="20"/>
      <c r="QEA49" s="20"/>
      <c r="QEB49" s="21"/>
      <c r="QEC49" s="21"/>
      <c r="QED49" s="7"/>
      <c r="QEE49" s="7"/>
      <c r="QEF49" s="21"/>
      <c r="QEG49" s="20"/>
      <c r="QEH49" s="20"/>
      <c r="QEI49" s="20"/>
      <c r="QEJ49" s="21"/>
      <c r="QEK49" s="21"/>
      <c r="QEL49" s="21"/>
      <c r="QEM49" s="21"/>
      <c r="QEN49" s="21"/>
      <c r="QEO49" s="20"/>
      <c r="QEP49" s="20"/>
      <c r="QEQ49" s="20"/>
      <c r="QER49" s="20"/>
      <c r="QES49" s="21"/>
      <c r="QET49" s="21"/>
      <c r="QEU49" s="7"/>
      <c r="QEV49" s="7"/>
      <c r="QEW49" s="21"/>
      <c r="QEX49" s="20"/>
      <c r="QEY49" s="20"/>
      <c r="QEZ49" s="20"/>
      <c r="QFA49" s="21"/>
      <c r="QFB49" s="21"/>
      <c r="QFC49" s="21"/>
      <c r="QFD49" s="21"/>
      <c r="QFE49" s="21"/>
      <c r="QFF49" s="20"/>
      <c r="QFG49" s="20"/>
      <c r="QFH49" s="20"/>
      <c r="QFI49" s="20"/>
      <c r="QFJ49" s="21"/>
      <c r="QFK49" s="21"/>
      <c r="QFL49" s="7"/>
      <c r="QFM49" s="7"/>
      <c r="QFN49" s="21"/>
      <c r="QFO49" s="20"/>
      <c r="QFP49" s="20"/>
      <c r="QFQ49" s="20"/>
      <c r="QFR49" s="21"/>
      <c r="QFS49" s="21"/>
      <c r="QFT49" s="21"/>
      <c r="QFU49" s="21"/>
      <c r="QFV49" s="21"/>
      <c r="QFW49" s="20"/>
      <c r="QFX49" s="20"/>
      <c r="QFY49" s="20"/>
      <c r="QFZ49" s="20"/>
      <c r="QGA49" s="21"/>
      <c r="QGB49" s="21"/>
      <c r="QGC49" s="7"/>
      <c r="QGD49" s="7"/>
      <c r="QGE49" s="21"/>
      <c r="QGF49" s="20"/>
      <c r="QGG49" s="20"/>
      <c r="QGH49" s="20"/>
      <c r="QGI49" s="21"/>
      <c r="QGJ49" s="21"/>
      <c r="QGK49" s="21"/>
      <c r="QGL49" s="21"/>
      <c r="QGM49" s="21"/>
      <c r="QGN49" s="20"/>
      <c r="QGO49" s="20"/>
      <c r="QGP49" s="20"/>
      <c r="QGQ49" s="20"/>
      <c r="QGR49" s="21"/>
      <c r="QGS49" s="21"/>
      <c r="QGT49" s="7"/>
      <c r="QGU49" s="7"/>
      <c r="QGV49" s="21"/>
      <c r="QGW49" s="20"/>
      <c r="QGX49" s="20"/>
      <c r="QGY49" s="20"/>
      <c r="QGZ49" s="21"/>
      <c r="QHA49" s="21"/>
      <c r="QHB49" s="21"/>
      <c r="QHC49" s="21"/>
      <c r="QHD49" s="21"/>
      <c r="QHE49" s="20"/>
      <c r="QHF49" s="20"/>
      <c r="QHG49" s="20"/>
      <c r="QHH49" s="20"/>
      <c r="QHI49" s="21"/>
      <c r="QHJ49" s="21"/>
      <c r="QHK49" s="7"/>
      <c r="QHL49" s="7"/>
      <c r="QHM49" s="21"/>
      <c r="QHN49" s="20"/>
      <c r="QHO49" s="20"/>
      <c r="QHP49" s="20"/>
      <c r="QHQ49" s="21"/>
      <c r="QHR49" s="21"/>
      <c r="QHS49" s="21"/>
      <c r="QHT49" s="21"/>
      <c r="QHU49" s="21"/>
      <c r="QHV49" s="20"/>
      <c r="QHW49" s="20"/>
      <c r="QHX49" s="20"/>
      <c r="QHY49" s="20"/>
      <c r="QHZ49" s="21"/>
      <c r="QIA49" s="21"/>
      <c r="QIB49" s="7"/>
      <c r="QIC49" s="7"/>
      <c r="QID49" s="21"/>
      <c r="QIE49" s="20"/>
      <c r="QIF49" s="20"/>
      <c r="QIG49" s="20"/>
      <c r="QIH49" s="21"/>
      <c r="QII49" s="21"/>
      <c r="QIJ49" s="21"/>
      <c r="QIK49" s="21"/>
      <c r="QIL49" s="21"/>
      <c r="QIM49" s="20"/>
      <c r="QIN49" s="20"/>
      <c r="QIO49" s="20"/>
      <c r="QIP49" s="20"/>
      <c r="QIQ49" s="21"/>
      <c r="QIR49" s="21"/>
      <c r="QIS49" s="7"/>
      <c r="QIT49" s="7"/>
      <c r="QIU49" s="21"/>
      <c r="QIV49" s="20"/>
      <c r="QIW49" s="20"/>
      <c r="QIX49" s="20"/>
      <c r="QIY49" s="21"/>
      <c r="QIZ49" s="21"/>
      <c r="QJA49" s="21"/>
      <c r="QJB49" s="21"/>
      <c r="QJC49" s="21"/>
      <c r="QJD49" s="20"/>
      <c r="QJE49" s="20"/>
      <c r="QJF49" s="20"/>
      <c r="QJG49" s="20"/>
      <c r="QJH49" s="21"/>
      <c r="QJI49" s="21"/>
      <c r="QJJ49" s="7"/>
      <c r="QJK49" s="7"/>
      <c r="QJL49" s="21"/>
      <c r="QJM49" s="20"/>
      <c r="QJN49" s="20"/>
      <c r="QJO49" s="20"/>
      <c r="QJP49" s="21"/>
      <c r="QJQ49" s="21"/>
      <c r="QJR49" s="21"/>
      <c r="QJS49" s="21"/>
      <c r="QJT49" s="21"/>
      <c r="QJU49" s="20"/>
      <c r="QJV49" s="20"/>
      <c r="QJW49" s="20"/>
      <c r="QJX49" s="20"/>
      <c r="QJY49" s="21"/>
      <c r="QJZ49" s="21"/>
      <c r="QKA49" s="7"/>
      <c r="QKB49" s="7"/>
      <c r="QKC49" s="21"/>
      <c r="QKD49" s="20"/>
      <c r="QKE49" s="20"/>
      <c r="QKF49" s="20"/>
      <c r="QKG49" s="21"/>
      <c r="QKH49" s="21"/>
      <c r="QKI49" s="21"/>
      <c r="QKJ49" s="21"/>
      <c r="QKK49" s="21"/>
      <c r="QKL49" s="20"/>
      <c r="QKM49" s="20"/>
      <c r="QKN49" s="20"/>
      <c r="QKO49" s="20"/>
      <c r="QKP49" s="21"/>
      <c r="QKQ49" s="21"/>
      <c r="QKR49" s="7"/>
      <c r="QKS49" s="7"/>
      <c r="QKT49" s="21"/>
      <c r="QKU49" s="20"/>
      <c r="QKV49" s="20"/>
      <c r="QKW49" s="20"/>
      <c r="QKX49" s="21"/>
      <c r="QKY49" s="21"/>
      <c r="QKZ49" s="21"/>
      <c r="QLA49" s="21"/>
      <c r="QLB49" s="21"/>
      <c r="QLC49" s="20"/>
      <c r="QLD49" s="20"/>
      <c r="QLE49" s="20"/>
      <c r="QLF49" s="20"/>
      <c r="QLG49" s="21"/>
      <c r="QLH49" s="21"/>
      <c r="QLI49" s="7"/>
      <c r="QLJ49" s="7"/>
      <c r="QLK49" s="21"/>
      <c r="QLL49" s="20"/>
      <c r="QLM49" s="20"/>
      <c r="QLN49" s="20"/>
      <c r="QLO49" s="21"/>
      <c r="QLP49" s="21"/>
      <c r="QLQ49" s="21"/>
      <c r="QLR49" s="21"/>
      <c r="QLS49" s="21"/>
      <c r="QLT49" s="20"/>
      <c r="QLU49" s="20"/>
      <c r="QLV49" s="20"/>
      <c r="QLW49" s="20"/>
      <c r="QLX49" s="21"/>
      <c r="QLY49" s="21"/>
      <c r="QLZ49" s="7"/>
      <c r="QMA49" s="7"/>
      <c r="QMB49" s="21"/>
      <c r="QMC49" s="20"/>
      <c r="QMD49" s="20"/>
      <c r="QME49" s="20"/>
      <c r="QMF49" s="21"/>
      <c r="QMG49" s="21"/>
      <c r="QMH49" s="21"/>
      <c r="QMI49" s="21"/>
      <c r="QMJ49" s="21"/>
      <c r="QMK49" s="20"/>
      <c r="QML49" s="20"/>
      <c r="QMM49" s="20"/>
      <c r="QMN49" s="20"/>
      <c r="QMO49" s="21"/>
      <c r="QMP49" s="21"/>
      <c r="QMQ49" s="7"/>
      <c r="QMR49" s="7"/>
      <c r="QMS49" s="21"/>
      <c r="QMT49" s="20"/>
      <c r="QMU49" s="20"/>
      <c r="QMV49" s="20"/>
      <c r="QMW49" s="21"/>
      <c r="QMX49" s="21"/>
      <c r="QMY49" s="21"/>
      <c r="QMZ49" s="21"/>
      <c r="QNA49" s="21"/>
      <c r="QNB49" s="20"/>
      <c r="QNC49" s="20"/>
      <c r="QND49" s="20"/>
      <c r="QNE49" s="20"/>
      <c r="QNF49" s="21"/>
      <c r="QNG49" s="21"/>
      <c r="QNH49" s="7"/>
      <c r="QNI49" s="7"/>
      <c r="QNJ49" s="21"/>
      <c r="QNK49" s="20"/>
      <c r="QNL49" s="20"/>
      <c r="QNM49" s="20"/>
      <c r="QNN49" s="21"/>
      <c r="QNO49" s="21"/>
      <c r="QNP49" s="21"/>
      <c r="QNQ49" s="21"/>
      <c r="QNR49" s="21"/>
      <c r="QNS49" s="20"/>
      <c r="QNT49" s="20"/>
      <c r="QNU49" s="20"/>
      <c r="QNV49" s="20"/>
      <c r="QNW49" s="21"/>
      <c r="QNX49" s="21"/>
      <c r="QNY49" s="7"/>
      <c r="QNZ49" s="7"/>
      <c r="QOA49" s="21"/>
      <c r="QOB49" s="20"/>
      <c r="QOC49" s="20"/>
      <c r="QOD49" s="20"/>
      <c r="QOE49" s="21"/>
      <c r="QOF49" s="21"/>
      <c r="QOG49" s="21"/>
      <c r="QOH49" s="21"/>
      <c r="QOI49" s="21"/>
      <c r="QOJ49" s="20"/>
      <c r="QOK49" s="20"/>
      <c r="QOL49" s="20"/>
      <c r="QOM49" s="20"/>
      <c r="QON49" s="21"/>
      <c r="QOO49" s="21"/>
      <c r="QOP49" s="7"/>
      <c r="QOQ49" s="7"/>
      <c r="QOR49" s="21"/>
      <c r="QOS49" s="20"/>
      <c r="QOT49" s="20"/>
      <c r="QOU49" s="20"/>
      <c r="QOV49" s="21"/>
      <c r="QOW49" s="21"/>
      <c r="QOX49" s="21"/>
      <c r="QOY49" s="21"/>
      <c r="QOZ49" s="21"/>
      <c r="QPA49" s="20"/>
      <c r="QPB49" s="20"/>
      <c r="QPC49" s="20"/>
      <c r="QPD49" s="20"/>
      <c r="QPE49" s="21"/>
      <c r="QPF49" s="21"/>
      <c r="QPG49" s="7"/>
      <c r="QPH49" s="7"/>
      <c r="QPI49" s="21"/>
      <c r="QPJ49" s="20"/>
      <c r="QPK49" s="20"/>
      <c r="QPL49" s="20"/>
      <c r="QPM49" s="21"/>
      <c r="QPN49" s="21"/>
      <c r="QPO49" s="21"/>
      <c r="QPP49" s="21"/>
      <c r="QPQ49" s="21"/>
      <c r="QPR49" s="20"/>
      <c r="QPS49" s="20"/>
      <c r="QPT49" s="20"/>
      <c r="QPU49" s="20"/>
      <c r="QPV49" s="21"/>
      <c r="QPW49" s="21"/>
      <c r="QPX49" s="7"/>
      <c r="QPY49" s="7"/>
      <c r="QPZ49" s="21"/>
      <c r="QQA49" s="20"/>
      <c r="QQB49" s="20"/>
      <c r="QQC49" s="20"/>
      <c r="QQD49" s="21"/>
      <c r="QQE49" s="21"/>
      <c r="QQF49" s="21"/>
      <c r="QQG49" s="21"/>
      <c r="QQH49" s="21"/>
      <c r="QQI49" s="20"/>
      <c r="QQJ49" s="20"/>
      <c r="QQK49" s="20"/>
      <c r="QQL49" s="20"/>
      <c r="QQM49" s="21"/>
      <c r="QQN49" s="21"/>
      <c r="QQO49" s="7"/>
      <c r="QQP49" s="7"/>
      <c r="QQQ49" s="21"/>
      <c r="QQR49" s="20"/>
      <c r="QQS49" s="20"/>
      <c r="QQT49" s="20"/>
      <c r="QQU49" s="21"/>
      <c r="QQV49" s="21"/>
      <c r="QQW49" s="21"/>
      <c r="QQX49" s="21"/>
      <c r="QQY49" s="21"/>
      <c r="QQZ49" s="20"/>
      <c r="QRA49" s="20"/>
      <c r="QRB49" s="20"/>
      <c r="QRC49" s="20"/>
      <c r="QRD49" s="21"/>
      <c r="QRE49" s="21"/>
      <c r="QRF49" s="7"/>
      <c r="QRG49" s="7"/>
      <c r="QRH49" s="21"/>
      <c r="QRI49" s="20"/>
      <c r="QRJ49" s="20"/>
      <c r="QRK49" s="20"/>
      <c r="QRL49" s="21"/>
      <c r="QRM49" s="21"/>
      <c r="QRN49" s="21"/>
      <c r="QRO49" s="21"/>
      <c r="QRP49" s="21"/>
      <c r="QRQ49" s="20"/>
      <c r="QRR49" s="20"/>
      <c r="QRS49" s="20"/>
      <c r="QRT49" s="20"/>
      <c r="QRU49" s="21"/>
      <c r="QRV49" s="21"/>
      <c r="QRW49" s="7"/>
      <c r="QRX49" s="7"/>
      <c r="QRY49" s="21"/>
      <c r="QRZ49" s="20"/>
      <c r="QSA49" s="20"/>
      <c r="QSB49" s="20"/>
      <c r="QSC49" s="21"/>
      <c r="QSD49" s="21"/>
      <c r="QSE49" s="21"/>
      <c r="QSF49" s="21"/>
      <c r="QSG49" s="21"/>
      <c r="QSH49" s="20"/>
      <c r="QSI49" s="20"/>
      <c r="QSJ49" s="20"/>
      <c r="QSK49" s="20"/>
      <c r="QSL49" s="21"/>
      <c r="QSM49" s="21"/>
      <c r="QSN49" s="7"/>
      <c r="QSO49" s="7"/>
      <c r="QSP49" s="21"/>
      <c r="QSQ49" s="20"/>
      <c r="QSR49" s="20"/>
      <c r="QSS49" s="20"/>
      <c r="QST49" s="21"/>
      <c r="QSU49" s="21"/>
      <c r="QSV49" s="21"/>
      <c r="QSW49" s="21"/>
      <c r="QSX49" s="21"/>
      <c r="QSY49" s="20"/>
      <c r="QSZ49" s="20"/>
      <c r="QTA49" s="20"/>
      <c r="QTB49" s="20"/>
      <c r="QTC49" s="21"/>
      <c r="QTD49" s="21"/>
      <c r="QTE49" s="7"/>
      <c r="QTF49" s="7"/>
      <c r="QTG49" s="21"/>
      <c r="QTH49" s="20"/>
      <c r="QTI49" s="20"/>
      <c r="QTJ49" s="20"/>
      <c r="QTK49" s="21"/>
      <c r="QTL49" s="21"/>
      <c r="QTM49" s="21"/>
      <c r="QTN49" s="21"/>
      <c r="QTO49" s="21"/>
      <c r="QTP49" s="20"/>
      <c r="QTQ49" s="20"/>
      <c r="QTR49" s="20"/>
      <c r="QTS49" s="20"/>
      <c r="QTT49" s="21"/>
      <c r="QTU49" s="21"/>
      <c r="QTV49" s="7"/>
      <c r="QTW49" s="7"/>
      <c r="QTX49" s="21"/>
      <c r="QTY49" s="20"/>
      <c r="QTZ49" s="20"/>
      <c r="QUA49" s="20"/>
      <c r="QUB49" s="21"/>
      <c r="QUC49" s="21"/>
      <c r="QUD49" s="21"/>
      <c r="QUE49" s="21"/>
      <c r="QUF49" s="21"/>
      <c r="QUG49" s="20"/>
      <c r="QUH49" s="20"/>
      <c r="QUI49" s="20"/>
      <c r="QUJ49" s="20"/>
      <c r="QUK49" s="21"/>
      <c r="QUL49" s="21"/>
      <c r="QUM49" s="7"/>
      <c r="QUN49" s="7"/>
      <c r="QUO49" s="21"/>
      <c r="QUP49" s="20"/>
      <c r="QUQ49" s="20"/>
      <c r="QUR49" s="20"/>
      <c r="QUS49" s="21"/>
      <c r="QUT49" s="21"/>
      <c r="QUU49" s="21"/>
      <c r="QUV49" s="21"/>
      <c r="QUW49" s="21"/>
      <c r="QUX49" s="20"/>
      <c r="QUY49" s="20"/>
      <c r="QUZ49" s="20"/>
      <c r="QVA49" s="20"/>
      <c r="QVB49" s="21"/>
      <c r="QVC49" s="21"/>
      <c r="QVD49" s="7"/>
      <c r="QVE49" s="7"/>
      <c r="QVF49" s="21"/>
      <c r="QVG49" s="20"/>
      <c r="QVH49" s="20"/>
      <c r="QVI49" s="20"/>
      <c r="QVJ49" s="21"/>
      <c r="QVK49" s="21"/>
      <c r="QVL49" s="21"/>
      <c r="QVM49" s="21"/>
      <c r="QVN49" s="21"/>
      <c r="QVO49" s="20"/>
      <c r="QVP49" s="20"/>
      <c r="QVQ49" s="20"/>
      <c r="QVR49" s="20"/>
      <c r="QVS49" s="21"/>
      <c r="QVT49" s="21"/>
      <c r="QVU49" s="7"/>
      <c r="QVV49" s="7"/>
      <c r="QVW49" s="21"/>
      <c r="QVX49" s="20"/>
      <c r="QVY49" s="20"/>
      <c r="QVZ49" s="20"/>
      <c r="QWA49" s="21"/>
      <c r="QWB49" s="21"/>
      <c r="QWC49" s="21"/>
      <c r="QWD49" s="21"/>
      <c r="QWE49" s="21"/>
      <c r="QWF49" s="20"/>
      <c r="QWG49" s="20"/>
      <c r="QWH49" s="20"/>
      <c r="QWI49" s="20"/>
      <c r="QWJ49" s="21"/>
      <c r="QWK49" s="21"/>
      <c r="QWL49" s="7"/>
      <c r="QWM49" s="7"/>
      <c r="QWN49" s="21"/>
      <c r="QWO49" s="20"/>
      <c r="QWP49" s="20"/>
      <c r="QWQ49" s="20"/>
      <c r="QWR49" s="21"/>
      <c r="QWS49" s="21"/>
      <c r="QWT49" s="21"/>
      <c r="QWU49" s="21"/>
      <c r="QWV49" s="21"/>
      <c r="QWW49" s="20"/>
      <c r="QWX49" s="20"/>
      <c r="QWY49" s="20"/>
      <c r="QWZ49" s="20"/>
      <c r="QXA49" s="21"/>
      <c r="QXB49" s="21"/>
      <c r="QXC49" s="7"/>
      <c r="QXD49" s="7"/>
      <c r="QXE49" s="21"/>
      <c r="QXF49" s="20"/>
      <c r="QXG49" s="20"/>
      <c r="QXH49" s="20"/>
      <c r="QXI49" s="21"/>
      <c r="QXJ49" s="21"/>
      <c r="QXK49" s="21"/>
      <c r="QXL49" s="21"/>
      <c r="QXM49" s="21"/>
      <c r="QXN49" s="20"/>
      <c r="QXO49" s="20"/>
      <c r="QXP49" s="20"/>
      <c r="QXQ49" s="20"/>
      <c r="QXR49" s="21"/>
      <c r="QXS49" s="21"/>
      <c r="QXT49" s="7"/>
      <c r="QXU49" s="7"/>
      <c r="QXV49" s="21"/>
      <c r="QXW49" s="20"/>
      <c r="QXX49" s="20"/>
      <c r="QXY49" s="20"/>
      <c r="QXZ49" s="21"/>
      <c r="QYA49" s="21"/>
      <c r="QYB49" s="21"/>
      <c r="QYC49" s="21"/>
      <c r="QYD49" s="21"/>
      <c r="QYE49" s="20"/>
      <c r="QYF49" s="20"/>
      <c r="QYG49" s="20"/>
      <c r="QYH49" s="20"/>
      <c r="QYI49" s="21"/>
      <c r="QYJ49" s="21"/>
      <c r="QYK49" s="7"/>
      <c r="QYL49" s="7"/>
      <c r="QYM49" s="21"/>
      <c r="QYN49" s="20"/>
      <c r="QYO49" s="20"/>
      <c r="QYP49" s="20"/>
      <c r="QYQ49" s="21"/>
      <c r="QYR49" s="21"/>
      <c r="QYS49" s="21"/>
      <c r="QYT49" s="21"/>
      <c r="QYU49" s="21"/>
      <c r="QYV49" s="20"/>
      <c r="QYW49" s="20"/>
      <c r="QYX49" s="20"/>
      <c r="QYY49" s="20"/>
      <c r="QYZ49" s="21"/>
      <c r="QZA49" s="21"/>
      <c r="QZB49" s="7"/>
      <c r="QZC49" s="7"/>
      <c r="QZD49" s="21"/>
      <c r="QZE49" s="20"/>
      <c r="QZF49" s="20"/>
      <c r="QZG49" s="20"/>
      <c r="QZH49" s="21"/>
      <c r="QZI49" s="21"/>
      <c r="QZJ49" s="21"/>
      <c r="QZK49" s="21"/>
      <c r="QZL49" s="21"/>
      <c r="QZM49" s="20"/>
      <c r="QZN49" s="20"/>
      <c r="QZO49" s="20"/>
      <c r="QZP49" s="20"/>
      <c r="QZQ49" s="21"/>
      <c r="QZR49" s="21"/>
      <c r="QZS49" s="7"/>
      <c r="QZT49" s="7"/>
      <c r="QZU49" s="21"/>
      <c r="QZV49" s="20"/>
      <c r="QZW49" s="20"/>
      <c r="QZX49" s="20"/>
      <c r="QZY49" s="21"/>
      <c r="QZZ49" s="21"/>
      <c r="RAA49" s="21"/>
      <c r="RAB49" s="21"/>
      <c r="RAC49" s="21"/>
      <c r="RAD49" s="20"/>
      <c r="RAE49" s="20"/>
      <c r="RAF49" s="20"/>
      <c r="RAG49" s="20"/>
      <c r="RAH49" s="21"/>
      <c r="RAI49" s="21"/>
      <c r="RAJ49" s="7"/>
      <c r="RAK49" s="7"/>
      <c r="RAL49" s="21"/>
      <c r="RAM49" s="20"/>
      <c r="RAN49" s="20"/>
      <c r="RAO49" s="20"/>
      <c r="RAP49" s="21"/>
      <c r="RAQ49" s="21"/>
      <c r="RAR49" s="21"/>
      <c r="RAS49" s="21"/>
      <c r="RAT49" s="21"/>
      <c r="RAU49" s="20"/>
      <c r="RAV49" s="20"/>
      <c r="RAW49" s="20"/>
      <c r="RAX49" s="20"/>
      <c r="RAY49" s="21"/>
      <c r="RAZ49" s="21"/>
      <c r="RBA49" s="7"/>
      <c r="RBB49" s="7"/>
      <c r="RBC49" s="21"/>
      <c r="RBD49" s="20"/>
      <c r="RBE49" s="20"/>
      <c r="RBF49" s="20"/>
      <c r="RBG49" s="21"/>
      <c r="RBH49" s="21"/>
      <c r="RBI49" s="21"/>
      <c r="RBJ49" s="21"/>
      <c r="RBK49" s="21"/>
      <c r="RBL49" s="20"/>
      <c r="RBM49" s="20"/>
      <c r="RBN49" s="20"/>
      <c r="RBO49" s="20"/>
      <c r="RBP49" s="21"/>
      <c r="RBQ49" s="21"/>
      <c r="RBR49" s="7"/>
      <c r="RBS49" s="7"/>
      <c r="RBT49" s="21"/>
      <c r="RBU49" s="20"/>
      <c r="RBV49" s="20"/>
      <c r="RBW49" s="20"/>
      <c r="RBX49" s="21"/>
      <c r="RBY49" s="21"/>
      <c r="RBZ49" s="21"/>
      <c r="RCA49" s="21"/>
      <c r="RCB49" s="21"/>
      <c r="RCC49" s="20"/>
      <c r="RCD49" s="20"/>
      <c r="RCE49" s="20"/>
      <c r="RCF49" s="20"/>
      <c r="RCG49" s="21"/>
      <c r="RCH49" s="21"/>
      <c r="RCI49" s="7"/>
      <c r="RCJ49" s="7"/>
      <c r="RCK49" s="21"/>
      <c r="RCL49" s="20"/>
      <c r="RCM49" s="20"/>
      <c r="RCN49" s="20"/>
      <c r="RCO49" s="21"/>
      <c r="RCP49" s="21"/>
      <c r="RCQ49" s="21"/>
      <c r="RCR49" s="21"/>
      <c r="RCS49" s="21"/>
      <c r="RCT49" s="20"/>
      <c r="RCU49" s="20"/>
      <c r="RCV49" s="20"/>
      <c r="RCW49" s="20"/>
      <c r="RCX49" s="21"/>
      <c r="RCY49" s="21"/>
      <c r="RCZ49" s="7"/>
      <c r="RDA49" s="7"/>
      <c r="RDB49" s="21"/>
      <c r="RDC49" s="20"/>
      <c r="RDD49" s="20"/>
      <c r="RDE49" s="20"/>
      <c r="RDF49" s="21"/>
      <c r="RDG49" s="21"/>
      <c r="RDH49" s="21"/>
      <c r="RDI49" s="21"/>
      <c r="RDJ49" s="21"/>
      <c r="RDK49" s="20"/>
      <c r="RDL49" s="20"/>
      <c r="RDM49" s="20"/>
      <c r="RDN49" s="20"/>
      <c r="RDO49" s="21"/>
      <c r="RDP49" s="21"/>
      <c r="RDQ49" s="7"/>
      <c r="RDR49" s="7"/>
      <c r="RDS49" s="21"/>
      <c r="RDT49" s="20"/>
      <c r="RDU49" s="20"/>
      <c r="RDV49" s="20"/>
      <c r="RDW49" s="21"/>
      <c r="RDX49" s="21"/>
      <c r="RDY49" s="21"/>
      <c r="RDZ49" s="21"/>
      <c r="REA49" s="21"/>
      <c r="REB49" s="20"/>
      <c r="REC49" s="20"/>
      <c r="RED49" s="20"/>
      <c r="REE49" s="20"/>
      <c r="REF49" s="21"/>
      <c r="REG49" s="21"/>
      <c r="REH49" s="7"/>
      <c r="REI49" s="7"/>
      <c r="REJ49" s="21"/>
      <c r="REK49" s="20"/>
      <c r="REL49" s="20"/>
      <c r="REM49" s="20"/>
      <c r="REN49" s="21"/>
      <c r="REO49" s="21"/>
      <c r="REP49" s="21"/>
      <c r="REQ49" s="21"/>
      <c r="RER49" s="21"/>
      <c r="RES49" s="20"/>
      <c r="RET49" s="20"/>
      <c r="REU49" s="20"/>
      <c r="REV49" s="20"/>
      <c r="REW49" s="21"/>
      <c r="REX49" s="21"/>
      <c r="REY49" s="7"/>
      <c r="REZ49" s="7"/>
      <c r="RFA49" s="21"/>
      <c r="RFB49" s="20"/>
      <c r="RFC49" s="20"/>
      <c r="RFD49" s="20"/>
      <c r="RFE49" s="21"/>
      <c r="RFF49" s="21"/>
      <c r="RFG49" s="21"/>
      <c r="RFH49" s="21"/>
      <c r="RFI49" s="21"/>
      <c r="RFJ49" s="20"/>
      <c r="RFK49" s="20"/>
      <c r="RFL49" s="20"/>
      <c r="RFM49" s="20"/>
      <c r="RFN49" s="21"/>
      <c r="RFO49" s="21"/>
      <c r="RFP49" s="7"/>
      <c r="RFQ49" s="7"/>
      <c r="RFR49" s="21"/>
      <c r="RFS49" s="20"/>
      <c r="RFT49" s="20"/>
      <c r="RFU49" s="20"/>
      <c r="RFV49" s="21"/>
      <c r="RFW49" s="21"/>
      <c r="RFX49" s="21"/>
      <c r="RFY49" s="21"/>
      <c r="RFZ49" s="21"/>
      <c r="RGA49" s="20"/>
      <c r="RGB49" s="20"/>
      <c r="RGC49" s="20"/>
      <c r="RGD49" s="20"/>
      <c r="RGE49" s="21"/>
      <c r="RGF49" s="21"/>
      <c r="RGG49" s="7"/>
      <c r="RGH49" s="7"/>
      <c r="RGI49" s="21"/>
      <c r="RGJ49" s="20"/>
      <c r="RGK49" s="20"/>
      <c r="RGL49" s="20"/>
      <c r="RGM49" s="21"/>
      <c r="RGN49" s="21"/>
      <c r="RGO49" s="21"/>
      <c r="RGP49" s="21"/>
      <c r="RGQ49" s="21"/>
      <c r="RGR49" s="20"/>
      <c r="RGS49" s="20"/>
      <c r="RGT49" s="20"/>
      <c r="RGU49" s="20"/>
      <c r="RGV49" s="21"/>
      <c r="RGW49" s="21"/>
      <c r="RGX49" s="7"/>
      <c r="RGY49" s="7"/>
      <c r="RGZ49" s="21"/>
      <c r="RHA49" s="20"/>
      <c r="RHB49" s="20"/>
      <c r="RHC49" s="20"/>
      <c r="RHD49" s="21"/>
      <c r="RHE49" s="21"/>
      <c r="RHF49" s="21"/>
      <c r="RHG49" s="21"/>
      <c r="RHH49" s="21"/>
      <c r="RHI49" s="20"/>
      <c r="RHJ49" s="20"/>
      <c r="RHK49" s="20"/>
      <c r="RHL49" s="20"/>
      <c r="RHM49" s="21"/>
      <c r="RHN49" s="21"/>
      <c r="RHO49" s="7"/>
      <c r="RHP49" s="7"/>
      <c r="RHQ49" s="21"/>
      <c r="RHR49" s="20"/>
      <c r="RHS49" s="20"/>
      <c r="RHT49" s="20"/>
      <c r="RHU49" s="21"/>
      <c r="RHV49" s="21"/>
      <c r="RHW49" s="21"/>
      <c r="RHX49" s="21"/>
      <c r="RHY49" s="21"/>
      <c r="RHZ49" s="20"/>
      <c r="RIA49" s="20"/>
      <c r="RIB49" s="20"/>
      <c r="RIC49" s="20"/>
      <c r="RID49" s="21"/>
      <c r="RIE49" s="21"/>
      <c r="RIF49" s="7"/>
      <c r="RIG49" s="7"/>
      <c r="RIH49" s="21"/>
      <c r="RII49" s="20"/>
      <c r="RIJ49" s="20"/>
      <c r="RIK49" s="20"/>
      <c r="RIL49" s="21"/>
      <c r="RIM49" s="21"/>
      <c r="RIN49" s="21"/>
      <c r="RIO49" s="21"/>
      <c r="RIP49" s="21"/>
      <c r="RIQ49" s="20"/>
      <c r="RIR49" s="20"/>
      <c r="RIS49" s="20"/>
      <c r="RIT49" s="20"/>
      <c r="RIU49" s="21"/>
      <c r="RIV49" s="21"/>
      <c r="RIW49" s="7"/>
      <c r="RIX49" s="7"/>
      <c r="RIY49" s="21"/>
      <c r="RIZ49" s="20"/>
      <c r="RJA49" s="20"/>
      <c r="RJB49" s="20"/>
      <c r="RJC49" s="21"/>
      <c r="RJD49" s="21"/>
      <c r="RJE49" s="21"/>
      <c r="RJF49" s="21"/>
      <c r="RJG49" s="21"/>
      <c r="RJH49" s="20"/>
      <c r="RJI49" s="20"/>
      <c r="RJJ49" s="20"/>
      <c r="RJK49" s="20"/>
      <c r="RJL49" s="21"/>
      <c r="RJM49" s="21"/>
      <c r="RJN49" s="7"/>
      <c r="RJO49" s="7"/>
      <c r="RJP49" s="21"/>
      <c r="RJQ49" s="20"/>
      <c r="RJR49" s="20"/>
      <c r="RJS49" s="20"/>
      <c r="RJT49" s="21"/>
      <c r="RJU49" s="21"/>
      <c r="RJV49" s="21"/>
      <c r="RJW49" s="21"/>
      <c r="RJX49" s="21"/>
      <c r="RJY49" s="20"/>
      <c r="RJZ49" s="20"/>
      <c r="RKA49" s="20"/>
      <c r="RKB49" s="20"/>
      <c r="RKC49" s="21"/>
      <c r="RKD49" s="21"/>
      <c r="RKE49" s="7"/>
      <c r="RKF49" s="7"/>
      <c r="RKG49" s="21"/>
      <c r="RKH49" s="20"/>
      <c r="RKI49" s="20"/>
      <c r="RKJ49" s="20"/>
      <c r="RKK49" s="21"/>
      <c r="RKL49" s="21"/>
      <c r="RKM49" s="21"/>
      <c r="RKN49" s="21"/>
      <c r="RKO49" s="21"/>
      <c r="RKP49" s="20"/>
      <c r="RKQ49" s="20"/>
      <c r="RKR49" s="20"/>
      <c r="RKS49" s="20"/>
      <c r="RKT49" s="21"/>
      <c r="RKU49" s="21"/>
      <c r="RKV49" s="7"/>
      <c r="RKW49" s="7"/>
      <c r="RKX49" s="21"/>
      <c r="RKY49" s="20"/>
      <c r="RKZ49" s="20"/>
      <c r="RLA49" s="20"/>
      <c r="RLB49" s="21"/>
      <c r="RLC49" s="21"/>
      <c r="RLD49" s="21"/>
      <c r="RLE49" s="21"/>
      <c r="RLF49" s="21"/>
      <c r="RLG49" s="20"/>
      <c r="RLH49" s="20"/>
      <c r="RLI49" s="20"/>
      <c r="RLJ49" s="20"/>
      <c r="RLK49" s="21"/>
      <c r="RLL49" s="21"/>
      <c r="RLM49" s="7"/>
      <c r="RLN49" s="7"/>
      <c r="RLO49" s="21"/>
      <c r="RLP49" s="20"/>
      <c r="RLQ49" s="20"/>
      <c r="RLR49" s="20"/>
      <c r="RLS49" s="21"/>
      <c r="RLT49" s="21"/>
      <c r="RLU49" s="21"/>
      <c r="RLV49" s="21"/>
      <c r="RLW49" s="21"/>
      <c r="RLX49" s="20"/>
      <c r="RLY49" s="20"/>
      <c r="RLZ49" s="20"/>
      <c r="RMA49" s="20"/>
      <c r="RMB49" s="21"/>
      <c r="RMC49" s="21"/>
      <c r="RMD49" s="7"/>
      <c r="RME49" s="7"/>
      <c r="RMF49" s="21"/>
      <c r="RMG49" s="20"/>
      <c r="RMH49" s="20"/>
      <c r="RMI49" s="20"/>
      <c r="RMJ49" s="21"/>
      <c r="RMK49" s="21"/>
      <c r="RML49" s="21"/>
      <c r="RMM49" s="21"/>
      <c r="RMN49" s="21"/>
      <c r="RMO49" s="20"/>
      <c r="RMP49" s="20"/>
      <c r="RMQ49" s="20"/>
      <c r="RMR49" s="20"/>
      <c r="RMS49" s="21"/>
      <c r="RMT49" s="21"/>
      <c r="RMU49" s="7"/>
      <c r="RMV49" s="7"/>
      <c r="RMW49" s="21"/>
      <c r="RMX49" s="20"/>
      <c r="RMY49" s="20"/>
      <c r="RMZ49" s="20"/>
      <c r="RNA49" s="21"/>
      <c r="RNB49" s="21"/>
      <c r="RNC49" s="21"/>
      <c r="RND49" s="21"/>
      <c r="RNE49" s="21"/>
      <c r="RNF49" s="20"/>
      <c r="RNG49" s="20"/>
      <c r="RNH49" s="20"/>
      <c r="RNI49" s="20"/>
      <c r="RNJ49" s="21"/>
      <c r="RNK49" s="21"/>
      <c r="RNL49" s="7"/>
      <c r="RNM49" s="7"/>
      <c r="RNN49" s="21"/>
      <c r="RNO49" s="20"/>
      <c r="RNP49" s="20"/>
      <c r="RNQ49" s="20"/>
      <c r="RNR49" s="21"/>
      <c r="RNS49" s="21"/>
      <c r="RNT49" s="21"/>
      <c r="RNU49" s="21"/>
      <c r="RNV49" s="21"/>
      <c r="RNW49" s="20"/>
      <c r="RNX49" s="20"/>
      <c r="RNY49" s="20"/>
      <c r="RNZ49" s="20"/>
      <c r="ROA49" s="21"/>
      <c r="ROB49" s="21"/>
      <c r="ROC49" s="7"/>
      <c r="ROD49" s="7"/>
      <c r="ROE49" s="21"/>
      <c r="ROF49" s="20"/>
      <c r="ROG49" s="20"/>
      <c r="ROH49" s="20"/>
      <c r="ROI49" s="21"/>
      <c r="ROJ49" s="21"/>
      <c r="ROK49" s="21"/>
      <c r="ROL49" s="21"/>
      <c r="ROM49" s="21"/>
      <c r="RON49" s="20"/>
      <c r="ROO49" s="20"/>
      <c r="ROP49" s="20"/>
      <c r="ROQ49" s="20"/>
      <c r="ROR49" s="21"/>
      <c r="ROS49" s="21"/>
      <c r="ROT49" s="7"/>
      <c r="ROU49" s="7"/>
      <c r="ROV49" s="21"/>
      <c r="ROW49" s="20"/>
      <c r="ROX49" s="20"/>
      <c r="ROY49" s="20"/>
      <c r="ROZ49" s="21"/>
      <c r="RPA49" s="21"/>
      <c r="RPB49" s="21"/>
      <c r="RPC49" s="21"/>
      <c r="RPD49" s="21"/>
      <c r="RPE49" s="20"/>
      <c r="RPF49" s="20"/>
      <c r="RPG49" s="20"/>
      <c r="RPH49" s="20"/>
      <c r="RPI49" s="21"/>
      <c r="RPJ49" s="21"/>
      <c r="RPK49" s="7"/>
      <c r="RPL49" s="7"/>
      <c r="RPM49" s="21"/>
      <c r="RPN49" s="20"/>
      <c r="RPO49" s="20"/>
      <c r="RPP49" s="20"/>
      <c r="RPQ49" s="21"/>
      <c r="RPR49" s="21"/>
      <c r="RPS49" s="21"/>
      <c r="RPT49" s="21"/>
      <c r="RPU49" s="21"/>
      <c r="RPV49" s="20"/>
      <c r="RPW49" s="20"/>
      <c r="RPX49" s="20"/>
      <c r="RPY49" s="20"/>
      <c r="RPZ49" s="21"/>
      <c r="RQA49" s="21"/>
      <c r="RQB49" s="7"/>
      <c r="RQC49" s="7"/>
      <c r="RQD49" s="21"/>
      <c r="RQE49" s="20"/>
      <c r="RQF49" s="20"/>
      <c r="RQG49" s="20"/>
      <c r="RQH49" s="21"/>
      <c r="RQI49" s="21"/>
      <c r="RQJ49" s="21"/>
      <c r="RQK49" s="21"/>
      <c r="RQL49" s="21"/>
      <c r="RQM49" s="20"/>
      <c r="RQN49" s="20"/>
      <c r="RQO49" s="20"/>
      <c r="RQP49" s="20"/>
      <c r="RQQ49" s="21"/>
      <c r="RQR49" s="21"/>
      <c r="RQS49" s="7"/>
      <c r="RQT49" s="7"/>
      <c r="RQU49" s="21"/>
      <c r="RQV49" s="20"/>
      <c r="RQW49" s="20"/>
      <c r="RQX49" s="20"/>
      <c r="RQY49" s="21"/>
      <c r="RQZ49" s="21"/>
      <c r="RRA49" s="21"/>
      <c r="RRB49" s="21"/>
      <c r="RRC49" s="21"/>
      <c r="RRD49" s="20"/>
      <c r="RRE49" s="20"/>
      <c r="RRF49" s="20"/>
      <c r="RRG49" s="20"/>
      <c r="RRH49" s="21"/>
      <c r="RRI49" s="21"/>
      <c r="RRJ49" s="7"/>
      <c r="RRK49" s="7"/>
      <c r="RRL49" s="21"/>
      <c r="RRM49" s="20"/>
      <c r="RRN49" s="20"/>
      <c r="RRO49" s="20"/>
      <c r="RRP49" s="21"/>
      <c r="RRQ49" s="21"/>
      <c r="RRR49" s="21"/>
      <c r="RRS49" s="21"/>
      <c r="RRT49" s="21"/>
      <c r="RRU49" s="20"/>
      <c r="RRV49" s="20"/>
      <c r="RRW49" s="20"/>
      <c r="RRX49" s="20"/>
      <c r="RRY49" s="21"/>
      <c r="RRZ49" s="21"/>
      <c r="RSA49" s="7"/>
      <c r="RSB49" s="7"/>
      <c r="RSC49" s="21"/>
      <c r="RSD49" s="20"/>
      <c r="RSE49" s="20"/>
      <c r="RSF49" s="20"/>
      <c r="RSG49" s="21"/>
      <c r="RSH49" s="21"/>
      <c r="RSI49" s="21"/>
      <c r="RSJ49" s="21"/>
      <c r="RSK49" s="21"/>
      <c r="RSL49" s="20"/>
      <c r="RSM49" s="20"/>
      <c r="RSN49" s="20"/>
      <c r="RSO49" s="20"/>
      <c r="RSP49" s="21"/>
      <c r="RSQ49" s="21"/>
      <c r="RSR49" s="7"/>
      <c r="RSS49" s="7"/>
      <c r="RST49" s="21"/>
      <c r="RSU49" s="20"/>
      <c r="RSV49" s="20"/>
      <c r="RSW49" s="20"/>
      <c r="RSX49" s="21"/>
      <c r="RSY49" s="21"/>
      <c r="RSZ49" s="21"/>
      <c r="RTA49" s="21"/>
      <c r="RTB49" s="21"/>
      <c r="RTC49" s="20"/>
      <c r="RTD49" s="20"/>
      <c r="RTE49" s="20"/>
      <c r="RTF49" s="20"/>
      <c r="RTG49" s="21"/>
      <c r="RTH49" s="21"/>
      <c r="RTI49" s="7"/>
      <c r="RTJ49" s="7"/>
      <c r="RTK49" s="21"/>
      <c r="RTL49" s="20"/>
      <c r="RTM49" s="20"/>
      <c r="RTN49" s="20"/>
      <c r="RTO49" s="21"/>
      <c r="RTP49" s="21"/>
      <c r="RTQ49" s="21"/>
      <c r="RTR49" s="21"/>
      <c r="RTS49" s="21"/>
      <c r="RTT49" s="20"/>
      <c r="RTU49" s="20"/>
      <c r="RTV49" s="20"/>
      <c r="RTW49" s="20"/>
      <c r="RTX49" s="21"/>
      <c r="RTY49" s="21"/>
      <c r="RTZ49" s="7"/>
      <c r="RUA49" s="7"/>
      <c r="RUB49" s="21"/>
      <c r="RUC49" s="20"/>
      <c r="RUD49" s="20"/>
      <c r="RUE49" s="20"/>
      <c r="RUF49" s="21"/>
      <c r="RUG49" s="21"/>
      <c r="RUH49" s="21"/>
      <c r="RUI49" s="21"/>
      <c r="RUJ49" s="21"/>
      <c r="RUK49" s="20"/>
      <c r="RUL49" s="20"/>
      <c r="RUM49" s="20"/>
      <c r="RUN49" s="20"/>
      <c r="RUO49" s="21"/>
      <c r="RUP49" s="21"/>
      <c r="RUQ49" s="7"/>
      <c r="RUR49" s="7"/>
      <c r="RUS49" s="21"/>
      <c r="RUT49" s="20"/>
      <c r="RUU49" s="20"/>
      <c r="RUV49" s="20"/>
      <c r="RUW49" s="21"/>
      <c r="RUX49" s="21"/>
      <c r="RUY49" s="21"/>
      <c r="RUZ49" s="21"/>
      <c r="RVA49" s="21"/>
      <c r="RVB49" s="20"/>
      <c r="RVC49" s="20"/>
      <c r="RVD49" s="20"/>
      <c r="RVE49" s="20"/>
      <c r="RVF49" s="21"/>
      <c r="RVG49" s="21"/>
      <c r="RVH49" s="7"/>
      <c r="RVI49" s="7"/>
      <c r="RVJ49" s="21"/>
      <c r="RVK49" s="20"/>
      <c r="RVL49" s="20"/>
      <c r="RVM49" s="20"/>
      <c r="RVN49" s="21"/>
      <c r="RVO49" s="21"/>
      <c r="RVP49" s="21"/>
      <c r="RVQ49" s="21"/>
      <c r="RVR49" s="21"/>
      <c r="RVS49" s="20"/>
      <c r="RVT49" s="20"/>
      <c r="RVU49" s="20"/>
      <c r="RVV49" s="20"/>
      <c r="RVW49" s="21"/>
      <c r="RVX49" s="21"/>
      <c r="RVY49" s="7"/>
      <c r="RVZ49" s="7"/>
      <c r="RWA49" s="21"/>
      <c r="RWB49" s="20"/>
      <c r="RWC49" s="20"/>
      <c r="RWD49" s="20"/>
      <c r="RWE49" s="21"/>
      <c r="RWF49" s="21"/>
      <c r="RWG49" s="21"/>
      <c r="RWH49" s="21"/>
      <c r="RWI49" s="21"/>
      <c r="RWJ49" s="20"/>
      <c r="RWK49" s="20"/>
      <c r="RWL49" s="20"/>
      <c r="RWM49" s="20"/>
      <c r="RWN49" s="21"/>
      <c r="RWO49" s="21"/>
      <c r="RWP49" s="7"/>
      <c r="RWQ49" s="7"/>
      <c r="RWR49" s="21"/>
      <c r="RWS49" s="20"/>
      <c r="RWT49" s="20"/>
      <c r="RWU49" s="20"/>
      <c r="RWV49" s="21"/>
      <c r="RWW49" s="21"/>
      <c r="RWX49" s="21"/>
      <c r="RWY49" s="21"/>
      <c r="RWZ49" s="21"/>
      <c r="RXA49" s="20"/>
      <c r="RXB49" s="20"/>
      <c r="RXC49" s="20"/>
      <c r="RXD49" s="20"/>
      <c r="RXE49" s="21"/>
      <c r="RXF49" s="21"/>
      <c r="RXG49" s="7"/>
      <c r="RXH49" s="7"/>
      <c r="RXI49" s="21"/>
      <c r="RXJ49" s="20"/>
      <c r="RXK49" s="20"/>
      <c r="RXL49" s="20"/>
      <c r="RXM49" s="21"/>
      <c r="RXN49" s="21"/>
      <c r="RXO49" s="21"/>
      <c r="RXP49" s="21"/>
      <c r="RXQ49" s="21"/>
      <c r="RXR49" s="20"/>
      <c r="RXS49" s="20"/>
      <c r="RXT49" s="20"/>
      <c r="RXU49" s="20"/>
      <c r="RXV49" s="21"/>
      <c r="RXW49" s="21"/>
      <c r="RXX49" s="7"/>
      <c r="RXY49" s="7"/>
      <c r="RXZ49" s="21"/>
      <c r="RYA49" s="20"/>
      <c r="RYB49" s="20"/>
      <c r="RYC49" s="20"/>
      <c r="RYD49" s="21"/>
      <c r="RYE49" s="21"/>
      <c r="RYF49" s="21"/>
      <c r="RYG49" s="21"/>
      <c r="RYH49" s="21"/>
      <c r="RYI49" s="20"/>
      <c r="RYJ49" s="20"/>
      <c r="RYK49" s="20"/>
      <c r="RYL49" s="20"/>
      <c r="RYM49" s="21"/>
      <c r="RYN49" s="21"/>
      <c r="RYO49" s="7"/>
      <c r="RYP49" s="7"/>
      <c r="RYQ49" s="21"/>
      <c r="RYR49" s="20"/>
      <c r="RYS49" s="20"/>
      <c r="RYT49" s="20"/>
      <c r="RYU49" s="21"/>
      <c r="RYV49" s="21"/>
      <c r="RYW49" s="21"/>
      <c r="RYX49" s="21"/>
      <c r="RYY49" s="21"/>
      <c r="RYZ49" s="20"/>
      <c r="RZA49" s="20"/>
      <c r="RZB49" s="20"/>
      <c r="RZC49" s="20"/>
      <c r="RZD49" s="21"/>
      <c r="RZE49" s="21"/>
      <c r="RZF49" s="7"/>
      <c r="RZG49" s="7"/>
      <c r="RZH49" s="21"/>
      <c r="RZI49" s="20"/>
      <c r="RZJ49" s="20"/>
      <c r="RZK49" s="20"/>
      <c r="RZL49" s="21"/>
      <c r="RZM49" s="21"/>
      <c r="RZN49" s="21"/>
      <c r="RZO49" s="21"/>
      <c r="RZP49" s="21"/>
      <c r="RZQ49" s="20"/>
      <c r="RZR49" s="20"/>
      <c r="RZS49" s="20"/>
      <c r="RZT49" s="20"/>
      <c r="RZU49" s="21"/>
      <c r="RZV49" s="21"/>
      <c r="RZW49" s="7"/>
      <c r="RZX49" s="7"/>
      <c r="RZY49" s="21"/>
      <c r="RZZ49" s="20"/>
      <c r="SAA49" s="20"/>
      <c r="SAB49" s="20"/>
      <c r="SAC49" s="21"/>
      <c r="SAD49" s="21"/>
      <c r="SAE49" s="21"/>
      <c r="SAF49" s="21"/>
      <c r="SAG49" s="21"/>
      <c r="SAH49" s="20"/>
      <c r="SAI49" s="20"/>
      <c r="SAJ49" s="20"/>
      <c r="SAK49" s="20"/>
      <c r="SAL49" s="21"/>
      <c r="SAM49" s="21"/>
      <c r="SAN49" s="7"/>
      <c r="SAO49" s="7"/>
      <c r="SAP49" s="21"/>
      <c r="SAQ49" s="20"/>
      <c r="SAR49" s="20"/>
      <c r="SAS49" s="20"/>
      <c r="SAT49" s="21"/>
      <c r="SAU49" s="21"/>
      <c r="SAV49" s="21"/>
      <c r="SAW49" s="21"/>
      <c r="SAX49" s="21"/>
      <c r="SAY49" s="20"/>
      <c r="SAZ49" s="20"/>
      <c r="SBA49" s="20"/>
      <c r="SBB49" s="20"/>
      <c r="SBC49" s="21"/>
      <c r="SBD49" s="21"/>
      <c r="SBE49" s="7"/>
      <c r="SBF49" s="7"/>
      <c r="SBG49" s="21"/>
      <c r="SBH49" s="20"/>
      <c r="SBI49" s="20"/>
      <c r="SBJ49" s="20"/>
      <c r="SBK49" s="21"/>
      <c r="SBL49" s="21"/>
      <c r="SBM49" s="21"/>
      <c r="SBN49" s="21"/>
      <c r="SBO49" s="21"/>
      <c r="SBP49" s="20"/>
      <c r="SBQ49" s="20"/>
      <c r="SBR49" s="20"/>
      <c r="SBS49" s="20"/>
      <c r="SBT49" s="21"/>
      <c r="SBU49" s="21"/>
      <c r="SBV49" s="7"/>
      <c r="SBW49" s="7"/>
      <c r="SBX49" s="21"/>
      <c r="SBY49" s="20"/>
      <c r="SBZ49" s="20"/>
      <c r="SCA49" s="20"/>
      <c r="SCB49" s="21"/>
      <c r="SCC49" s="21"/>
      <c r="SCD49" s="21"/>
      <c r="SCE49" s="21"/>
      <c r="SCF49" s="21"/>
      <c r="SCG49" s="20"/>
      <c r="SCH49" s="20"/>
      <c r="SCI49" s="20"/>
      <c r="SCJ49" s="20"/>
      <c r="SCK49" s="21"/>
      <c r="SCL49" s="21"/>
      <c r="SCM49" s="7"/>
      <c r="SCN49" s="7"/>
      <c r="SCO49" s="21"/>
      <c r="SCP49" s="20"/>
      <c r="SCQ49" s="20"/>
      <c r="SCR49" s="20"/>
      <c r="SCS49" s="21"/>
      <c r="SCT49" s="21"/>
      <c r="SCU49" s="21"/>
      <c r="SCV49" s="21"/>
      <c r="SCW49" s="21"/>
      <c r="SCX49" s="20"/>
      <c r="SCY49" s="20"/>
      <c r="SCZ49" s="20"/>
      <c r="SDA49" s="20"/>
      <c r="SDB49" s="21"/>
      <c r="SDC49" s="21"/>
      <c r="SDD49" s="7"/>
      <c r="SDE49" s="7"/>
      <c r="SDF49" s="21"/>
      <c r="SDG49" s="20"/>
      <c r="SDH49" s="20"/>
      <c r="SDI49" s="20"/>
      <c r="SDJ49" s="21"/>
      <c r="SDK49" s="21"/>
      <c r="SDL49" s="21"/>
      <c r="SDM49" s="21"/>
      <c r="SDN49" s="21"/>
      <c r="SDO49" s="20"/>
      <c r="SDP49" s="20"/>
      <c r="SDQ49" s="20"/>
      <c r="SDR49" s="20"/>
      <c r="SDS49" s="21"/>
      <c r="SDT49" s="21"/>
      <c r="SDU49" s="7"/>
      <c r="SDV49" s="7"/>
      <c r="SDW49" s="21"/>
      <c r="SDX49" s="20"/>
      <c r="SDY49" s="20"/>
      <c r="SDZ49" s="20"/>
      <c r="SEA49" s="21"/>
      <c r="SEB49" s="21"/>
      <c r="SEC49" s="21"/>
      <c r="SED49" s="21"/>
      <c r="SEE49" s="21"/>
      <c r="SEF49" s="20"/>
      <c r="SEG49" s="20"/>
      <c r="SEH49" s="20"/>
      <c r="SEI49" s="20"/>
      <c r="SEJ49" s="21"/>
      <c r="SEK49" s="21"/>
      <c r="SEL49" s="7"/>
      <c r="SEM49" s="7"/>
      <c r="SEN49" s="21"/>
      <c r="SEO49" s="20"/>
      <c r="SEP49" s="20"/>
      <c r="SEQ49" s="20"/>
      <c r="SER49" s="21"/>
      <c r="SES49" s="21"/>
      <c r="SET49" s="21"/>
      <c r="SEU49" s="21"/>
      <c r="SEV49" s="21"/>
      <c r="SEW49" s="20"/>
      <c r="SEX49" s="20"/>
      <c r="SEY49" s="20"/>
      <c r="SEZ49" s="20"/>
      <c r="SFA49" s="21"/>
      <c r="SFB49" s="21"/>
      <c r="SFC49" s="7"/>
      <c r="SFD49" s="7"/>
      <c r="SFE49" s="21"/>
      <c r="SFF49" s="20"/>
      <c r="SFG49" s="20"/>
      <c r="SFH49" s="20"/>
      <c r="SFI49" s="21"/>
      <c r="SFJ49" s="21"/>
      <c r="SFK49" s="21"/>
      <c r="SFL49" s="21"/>
      <c r="SFM49" s="21"/>
      <c r="SFN49" s="20"/>
      <c r="SFO49" s="20"/>
      <c r="SFP49" s="20"/>
      <c r="SFQ49" s="20"/>
      <c r="SFR49" s="21"/>
      <c r="SFS49" s="21"/>
      <c r="SFT49" s="7"/>
      <c r="SFU49" s="7"/>
      <c r="SFV49" s="21"/>
      <c r="SFW49" s="20"/>
      <c r="SFX49" s="20"/>
      <c r="SFY49" s="20"/>
      <c r="SFZ49" s="21"/>
      <c r="SGA49" s="21"/>
      <c r="SGB49" s="21"/>
      <c r="SGC49" s="21"/>
      <c r="SGD49" s="21"/>
      <c r="SGE49" s="20"/>
      <c r="SGF49" s="20"/>
      <c r="SGG49" s="20"/>
      <c r="SGH49" s="20"/>
      <c r="SGI49" s="21"/>
      <c r="SGJ49" s="21"/>
      <c r="SGK49" s="7"/>
      <c r="SGL49" s="7"/>
      <c r="SGM49" s="21"/>
      <c r="SGN49" s="20"/>
      <c r="SGO49" s="20"/>
      <c r="SGP49" s="20"/>
      <c r="SGQ49" s="21"/>
      <c r="SGR49" s="21"/>
      <c r="SGS49" s="21"/>
      <c r="SGT49" s="21"/>
      <c r="SGU49" s="21"/>
      <c r="SGV49" s="20"/>
      <c r="SGW49" s="20"/>
      <c r="SGX49" s="20"/>
      <c r="SGY49" s="20"/>
      <c r="SGZ49" s="21"/>
      <c r="SHA49" s="21"/>
      <c r="SHB49" s="7"/>
      <c r="SHC49" s="7"/>
      <c r="SHD49" s="21"/>
      <c r="SHE49" s="20"/>
      <c r="SHF49" s="20"/>
      <c r="SHG49" s="20"/>
      <c r="SHH49" s="21"/>
      <c r="SHI49" s="21"/>
      <c r="SHJ49" s="21"/>
      <c r="SHK49" s="21"/>
      <c r="SHL49" s="21"/>
      <c r="SHM49" s="20"/>
      <c r="SHN49" s="20"/>
      <c r="SHO49" s="20"/>
      <c r="SHP49" s="20"/>
      <c r="SHQ49" s="21"/>
      <c r="SHR49" s="21"/>
      <c r="SHS49" s="7"/>
      <c r="SHT49" s="7"/>
      <c r="SHU49" s="21"/>
      <c r="SHV49" s="20"/>
      <c r="SHW49" s="20"/>
      <c r="SHX49" s="20"/>
      <c r="SHY49" s="21"/>
      <c r="SHZ49" s="21"/>
      <c r="SIA49" s="21"/>
      <c r="SIB49" s="21"/>
      <c r="SIC49" s="21"/>
      <c r="SID49" s="20"/>
      <c r="SIE49" s="20"/>
      <c r="SIF49" s="20"/>
      <c r="SIG49" s="20"/>
      <c r="SIH49" s="21"/>
      <c r="SII49" s="21"/>
      <c r="SIJ49" s="7"/>
      <c r="SIK49" s="7"/>
      <c r="SIL49" s="21"/>
      <c r="SIM49" s="20"/>
      <c r="SIN49" s="20"/>
      <c r="SIO49" s="20"/>
      <c r="SIP49" s="21"/>
      <c r="SIQ49" s="21"/>
      <c r="SIR49" s="21"/>
      <c r="SIS49" s="21"/>
      <c r="SIT49" s="21"/>
      <c r="SIU49" s="20"/>
      <c r="SIV49" s="20"/>
      <c r="SIW49" s="20"/>
      <c r="SIX49" s="20"/>
      <c r="SIY49" s="21"/>
      <c r="SIZ49" s="21"/>
      <c r="SJA49" s="7"/>
      <c r="SJB49" s="7"/>
      <c r="SJC49" s="21"/>
      <c r="SJD49" s="20"/>
      <c r="SJE49" s="20"/>
      <c r="SJF49" s="20"/>
      <c r="SJG49" s="21"/>
      <c r="SJH49" s="21"/>
      <c r="SJI49" s="21"/>
      <c r="SJJ49" s="21"/>
      <c r="SJK49" s="21"/>
      <c r="SJL49" s="20"/>
      <c r="SJM49" s="20"/>
      <c r="SJN49" s="20"/>
      <c r="SJO49" s="20"/>
      <c r="SJP49" s="21"/>
      <c r="SJQ49" s="21"/>
      <c r="SJR49" s="7"/>
      <c r="SJS49" s="7"/>
      <c r="SJT49" s="21"/>
      <c r="SJU49" s="20"/>
      <c r="SJV49" s="20"/>
      <c r="SJW49" s="20"/>
      <c r="SJX49" s="21"/>
      <c r="SJY49" s="21"/>
      <c r="SJZ49" s="21"/>
      <c r="SKA49" s="21"/>
      <c r="SKB49" s="21"/>
      <c r="SKC49" s="20"/>
      <c r="SKD49" s="20"/>
      <c r="SKE49" s="20"/>
      <c r="SKF49" s="20"/>
      <c r="SKG49" s="21"/>
      <c r="SKH49" s="21"/>
      <c r="SKI49" s="7"/>
      <c r="SKJ49" s="7"/>
      <c r="SKK49" s="21"/>
      <c r="SKL49" s="20"/>
      <c r="SKM49" s="20"/>
      <c r="SKN49" s="20"/>
      <c r="SKO49" s="21"/>
      <c r="SKP49" s="21"/>
      <c r="SKQ49" s="21"/>
      <c r="SKR49" s="21"/>
      <c r="SKS49" s="21"/>
      <c r="SKT49" s="20"/>
      <c r="SKU49" s="20"/>
      <c r="SKV49" s="20"/>
      <c r="SKW49" s="20"/>
      <c r="SKX49" s="21"/>
      <c r="SKY49" s="21"/>
      <c r="SKZ49" s="7"/>
      <c r="SLA49" s="7"/>
      <c r="SLB49" s="21"/>
      <c r="SLC49" s="20"/>
      <c r="SLD49" s="20"/>
      <c r="SLE49" s="20"/>
      <c r="SLF49" s="21"/>
      <c r="SLG49" s="21"/>
      <c r="SLH49" s="21"/>
      <c r="SLI49" s="21"/>
      <c r="SLJ49" s="21"/>
      <c r="SLK49" s="20"/>
      <c r="SLL49" s="20"/>
      <c r="SLM49" s="20"/>
      <c r="SLN49" s="20"/>
      <c r="SLO49" s="21"/>
      <c r="SLP49" s="21"/>
      <c r="SLQ49" s="7"/>
      <c r="SLR49" s="7"/>
      <c r="SLS49" s="21"/>
      <c r="SLT49" s="20"/>
      <c r="SLU49" s="20"/>
      <c r="SLV49" s="20"/>
      <c r="SLW49" s="21"/>
      <c r="SLX49" s="21"/>
      <c r="SLY49" s="21"/>
      <c r="SLZ49" s="21"/>
      <c r="SMA49" s="21"/>
      <c r="SMB49" s="20"/>
      <c r="SMC49" s="20"/>
      <c r="SMD49" s="20"/>
      <c r="SME49" s="20"/>
      <c r="SMF49" s="21"/>
      <c r="SMG49" s="21"/>
      <c r="SMH49" s="7"/>
      <c r="SMI49" s="7"/>
      <c r="SMJ49" s="21"/>
      <c r="SMK49" s="20"/>
      <c r="SML49" s="20"/>
      <c r="SMM49" s="20"/>
      <c r="SMN49" s="21"/>
      <c r="SMO49" s="21"/>
      <c r="SMP49" s="21"/>
      <c r="SMQ49" s="21"/>
      <c r="SMR49" s="21"/>
      <c r="SMS49" s="20"/>
      <c r="SMT49" s="20"/>
      <c r="SMU49" s="20"/>
      <c r="SMV49" s="20"/>
      <c r="SMW49" s="21"/>
      <c r="SMX49" s="21"/>
      <c r="SMY49" s="7"/>
      <c r="SMZ49" s="7"/>
      <c r="SNA49" s="21"/>
      <c r="SNB49" s="20"/>
      <c r="SNC49" s="20"/>
      <c r="SND49" s="20"/>
      <c r="SNE49" s="21"/>
      <c r="SNF49" s="21"/>
      <c r="SNG49" s="21"/>
      <c r="SNH49" s="21"/>
      <c r="SNI49" s="21"/>
      <c r="SNJ49" s="20"/>
      <c r="SNK49" s="20"/>
      <c r="SNL49" s="20"/>
      <c r="SNM49" s="20"/>
      <c r="SNN49" s="21"/>
      <c r="SNO49" s="21"/>
      <c r="SNP49" s="7"/>
      <c r="SNQ49" s="7"/>
      <c r="SNR49" s="21"/>
      <c r="SNS49" s="20"/>
      <c r="SNT49" s="20"/>
      <c r="SNU49" s="20"/>
      <c r="SNV49" s="21"/>
      <c r="SNW49" s="21"/>
      <c r="SNX49" s="21"/>
      <c r="SNY49" s="21"/>
      <c r="SNZ49" s="21"/>
      <c r="SOA49" s="20"/>
      <c r="SOB49" s="20"/>
      <c r="SOC49" s="20"/>
      <c r="SOD49" s="20"/>
      <c r="SOE49" s="21"/>
      <c r="SOF49" s="21"/>
      <c r="SOG49" s="7"/>
      <c r="SOH49" s="7"/>
      <c r="SOI49" s="21"/>
      <c r="SOJ49" s="20"/>
      <c r="SOK49" s="20"/>
      <c r="SOL49" s="20"/>
      <c r="SOM49" s="21"/>
      <c r="SON49" s="21"/>
      <c r="SOO49" s="21"/>
      <c r="SOP49" s="21"/>
      <c r="SOQ49" s="21"/>
      <c r="SOR49" s="20"/>
      <c r="SOS49" s="20"/>
      <c r="SOT49" s="20"/>
      <c r="SOU49" s="20"/>
      <c r="SOV49" s="21"/>
      <c r="SOW49" s="21"/>
      <c r="SOX49" s="7"/>
      <c r="SOY49" s="7"/>
      <c r="SOZ49" s="21"/>
      <c r="SPA49" s="20"/>
      <c r="SPB49" s="20"/>
      <c r="SPC49" s="20"/>
      <c r="SPD49" s="21"/>
      <c r="SPE49" s="21"/>
      <c r="SPF49" s="21"/>
      <c r="SPG49" s="21"/>
      <c r="SPH49" s="21"/>
      <c r="SPI49" s="20"/>
      <c r="SPJ49" s="20"/>
      <c r="SPK49" s="20"/>
      <c r="SPL49" s="20"/>
      <c r="SPM49" s="21"/>
      <c r="SPN49" s="21"/>
      <c r="SPO49" s="7"/>
      <c r="SPP49" s="7"/>
      <c r="SPQ49" s="21"/>
      <c r="SPR49" s="20"/>
      <c r="SPS49" s="20"/>
      <c r="SPT49" s="20"/>
      <c r="SPU49" s="21"/>
      <c r="SPV49" s="21"/>
      <c r="SPW49" s="21"/>
      <c r="SPX49" s="21"/>
      <c r="SPY49" s="21"/>
      <c r="SPZ49" s="20"/>
      <c r="SQA49" s="20"/>
      <c r="SQB49" s="20"/>
      <c r="SQC49" s="20"/>
      <c r="SQD49" s="21"/>
      <c r="SQE49" s="21"/>
      <c r="SQF49" s="7"/>
      <c r="SQG49" s="7"/>
      <c r="SQH49" s="21"/>
      <c r="SQI49" s="20"/>
      <c r="SQJ49" s="20"/>
      <c r="SQK49" s="20"/>
      <c r="SQL49" s="21"/>
      <c r="SQM49" s="21"/>
      <c r="SQN49" s="21"/>
      <c r="SQO49" s="21"/>
      <c r="SQP49" s="21"/>
      <c r="SQQ49" s="20"/>
      <c r="SQR49" s="20"/>
      <c r="SQS49" s="20"/>
      <c r="SQT49" s="20"/>
      <c r="SQU49" s="21"/>
      <c r="SQV49" s="21"/>
      <c r="SQW49" s="7"/>
      <c r="SQX49" s="7"/>
      <c r="SQY49" s="21"/>
      <c r="SQZ49" s="20"/>
      <c r="SRA49" s="20"/>
      <c r="SRB49" s="20"/>
      <c r="SRC49" s="21"/>
      <c r="SRD49" s="21"/>
      <c r="SRE49" s="21"/>
      <c r="SRF49" s="21"/>
      <c r="SRG49" s="21"/>
      <c r="SRH49" s="20"/>
      <c r="SRI49" s="20"/>
      <c r="SRJ49" s="20"/>
      <c r="SRK49" s="20"/>
      <c r="SRL49" s="21"/>
      <c r="SRM49" s="21"/>
      <c r="SRN49" s="7"/>
      <c r="SRO49" s="7"/>
      <c r="SRP49" s="21"/>
      <c r="SRQ49" s="20"/>
      <c r="SRR49" s="20"/>
      <c r="SRS49" s="20"/>
      <c r="SRT49" s="21"/>
      <c r="SRU49" s="21"/>
      <c r="SRV49" s="21"/>
      <c r="SRW49" s="21"/>
      <c r="SRX49" s="21"/>
      <c r="SRY49" s="20"/>
      <c r="SRZ49" s="20"/>
      <c r="SSA49" s="20"/>
      <c r="SSB49" s="20"/>
      <c r="SSC49" s="21"/>
      <c r="SSD49" s="21"/>
      <c r="SSE49" s="7"/>
      <c r="SSF49" s="7"/>
      <c r="SSG49" s="21"/>
      <c r="SSH49" s="20"/>
      <c r="SSI49" s="20"/>
      <c r="SSJ49" s="20"/>
      <c r="SSK49" s="21"/>
      <c r="SSL49" s="21"/>
      <c r="SSM49" s="21"/>
      <c r="SSN49" s="21"/>
      <c r="SSO49" s="21"/>
      <c r="SSP49" s="20"/>
      <c r="SSQ49" s="20"/>
      <c r="SSR49" s="20"/>
      <c r="SSS49" s="20"/>
      <c r="SST49" s="21"/>
      <c r="SSU49" s="21"/>
      <c r="SSV49" s="7"/>
      <c r="SSW49" s="7"/>
      <c r="SSX49" s="21"/>
      <c r="SSY49" s="20"/>
      <c r="SSZ49" s="20"/>
      <c r="STA49" s="20"/>
      <c r="STB49" s="21"/>
      <c r="STC49" s="21"/>
      <c r="STD49" s="21"/>
      <c r="STE49" s="21"/>
      <c r="STF49" s="21"/>
      <c r="STG49" s="20"/>
      <c r="STH49" s="20"/>
      <c r="STI49" s="20"/>
      <c r="STJ49" s="20"/>
      <c r="STK49" s="21"/>
      <c r="STL49" s="21"/>
      <c r="STM49" s="7"/>
      <c r="STN49" s="7"/>
      <c r="STO49" s="21"/>
      <c r="STP49" s="20"/>
      <c r="STQ49" s="20"/>
      <c r="STR49" s="20"/>
      <c r="STS49" s="21"/>
      <c r="STT49" s="21"/>
      <c r="STU49" s="21"/>
      <c r="STV49" s="21"/>
      <c r="STW49" s="21"/>
      <c r="STX49" s="20"/>
      <c r="STY49" s="20"/>
      <c r="STZ49" s="20"/>
      <c r="SUA49" s="20"/>
      <c r="SUB49" s="21"/>
      <c r="SUC49" s="21"/>
      <c r="SUD49" s="7"/>
      <c r="SUE49" s="7"/>
      <c r="SUF49" s="21"/>
      <c r="SUG49" s="20"/>
      <c r="SUH49" s="20"/>
      <c r="SUI49" s="20"/>
      <c r="SUJ49" s="21"/>
      <c r="SUK49" s="21"/>
      <c r="SUL49" s="21"/>
      <c r="SUM49" s="21"/>
      <c r="SUN49" s="21"/>
      <c r="SUO49" s="20"/>
      <c r="SUP49" s="20"/>
      <c r="SUQ49" s="20"/>
      <c r="SUR49" s="20"/>
      <c r="SUS49" s="21"/>
      <c r="SUT49" s="21"/>
      <c r="SUU49" s="7"/>
      <c r="SUV49" s="7"/>
      <c r="SUW49" s="21"/>
      <c r="SUX49" s="20"/>
      <c r="SUY49" s="20"/>
      <c r="SUZ49" s="20"/>
      <c r="SVA49" s="21"/>
      <c r="SVB49" s="21"/>
      <c r="SVC49" s="21"/>
      <c r="SVD49" s="21"/>
      <c r="SVE49" s="21"/>
      <c r="SVF49" s="20"/>
      <c r="SVG49" s="20"/>
      <c r="SVH49" s="20"/>
      <c r="SVI49" s="20"/>
      <c r="SVJ49" s="21"/>
      <c r="SVK49" s="21"/>
      <c r="SVL49" s="7"/>
      <c r="SVM49" s="7"/>
      <c r="SVN49" s="21"/>
      <c r="SVO49" s="20"/>
      <c r="SVP49" s="20"/>
      <c r="SVQ49" s="20"/>
      <c r="SVR49" s="21"/>
      <c r="SVS49" s="21"/>
      <c r="SVT49" s="21"/>
      <c r="SVU49" s="21"/>
      <c r="SVV49" s="21"/>
      <c r="SVW49" s="20"/>
      <c r="SVX49" s="20"/>
      <c r="SVY49" s="20"/>
      <c r="SVZ49" s="20"/>
      <c r="SWA49" s="21"/>
      <c r="SWB49" s="21"/>
      <c r="SWC49" s="7"/>
      <c r="SWD49" s="7"/>
      <c r="SWE49" s="21"/>
      <c r="SWF49" s="20"/>
      <c r="SWG49" s="20"/>
      <c r="SWH49" s="20"/>
      <c r="SWI49" s="21"/>
      <c r="SWJ49" s="21"/>
      <c r="SWK49" s="21"/>
      <c r="SWL49" s="21"/>
      <c r="SWM49" s="21"/>
      <c r="SWN49" s="20"/>
      <c r="SWO49" s="20"/>
      <c r="SWP49" s="20"/>
      <c r="SWQ49" s="20"/>
      <c r="SWR49" s="21"/>
      <c r="SWS49" s="21"/>
      <c r="SWT49" s="7"/>
      <c r="SWU49" s="7"/>
      <c r="SWV49" s="21"/>
      <c r="SWW49" s="20"/>
      <c r="SWX49" s="20"/>
      <c r="SWY49" s="20"/>
      <c r="SWZ49" s="21"/>
      <c r="SXA49" s="21"/>
      <c r="SXB49" s="21"/>
      <c r="SXC49" s="21"/>
      <c r="SXD49" s="21"/>
      <c r="SXE49" s="20"/>
      <c r="SXF49" s="20"/>
      <c r="SXG49" s="20"/>
      <c r="SXH49" s="20"/>
      <c r="SXI49" s="21"/>
      <c r="SXJ49" s="21"/>
      <c r="SXK49" s="7"/>
      <c r="SXL49" s="7"/>
      <c r="SXM49" s="21"/>
      <c r="SXN49" s="20"/>
      <c r="SXO49" s="20"/>
      <c r="SXP49" s="20"/>
      <c r="SXQ49" s="21"/>
      <c r="SXR49" s="21"/>
      <c r="SXS49" s="21"/>
      <c r="SXT49" s="21"/>
      <c r="SXU49" s="21"/>
      <c r="SXV49" s="20"/>
      <c r="SXW49" s="20"/>
      <c r="SXX49" s="20"/>
      <c r="SXY49" s="20"/>
      <c r="SXZ49" s="21"/>
      <c r="SYA49" s="21"/>
      <c r="SYB49" s="7"/>
      <c r="SYC49" s="7"/>
      <c r="SYD49" s="21"/>
      <c r="SYE49" s="20"/>
      <c r="SYF49" s="20"/>
      <c r="SYG49" s="20"/>
      <c r="SYH49" s="21"/>
      <c r="SYI49" s="21"/>
      <c r="SYJ49" s="21"/>
      <c r="SYK49" s="21"/>
      <c r="SYL49" s="21"/>
      <c r="SYM49" s="20"/>
      <c r="SYN49" s="20"/>
      <c r="SYO49" s="20"/>
      <c r="SYP49" s="20"/>
      <c r="SYQ49" s="21"/>
      <c r="SYR49" s="21"/>
      <c r="SYS49" s="7"/>
      <c r="SYT49" s="7"/>
      <c r="SYU49" s="21"/>
      <c r="SYV49" s="20"/>
      <c r="SYW49" s="20"/>
      <c r="SYX49" s="20"/>
      <c r="SYY49" s="21"/>
      <c r="SYZ49" s="21"/>
      <c r="SZA49" s="21"/>
      <c r="SZB49" s="21"/>
      <c r="SZC49" s="21"/>
      <c r="SZD49" s="20"/>
      <c r="SZE49" s="20"/>
      <c r="SZF49" s="20"/>
      <c r="SZG49" s="20"/>
      <c r="SZH49" s="21"/>
      <c r="SZI49" s="21"/>
      <c r="SZJ49" s="7"/>
      <c r="SZK49" s="7"/>
      <c r="SZL49" s="21"/>
      <c r="SZM49" s="20"/>
      <c r="SZN49" s="20"/>
      <c r="SZO49" s="20"/>
      <c r="SZP49" s="21"/>
      <c r="SZQ49" s="21"/>
      <c r="SZR49" s="21"/>
      <c r="SZS49" s="21"/>
      <c r="SZT49" s="21"/>
      <c r="SZU49" s="20"/>
      <c r="SZV49" s="20"/>
      <c r="SZW49" s="20"/>
      <c r="SZX49" s="20"/>
      <c r="SZY49" s="21"/>
      <c r="SZZ49" s="21"/>
      <c r="TAA49" s="7"/>
      <c r="TAB49" s="7"/>
      <c r="TAC49" s="21"/>
      <c r="TAD49" s="20"/>
      <c r="TAE49" s="20"/>
      <c r="TAF49" s="20"/>
      <c r="TAG49" s="21"/>
      <c r="TAH49" s="21"/>
      <c r="TAI49" s="21"/>
      <c r="TAJ49" s="21"/>
      <c r="TAK49" s="21"/>
      <c r="TAL49" s="20"/>
      <c r="TAM49" s="20"/>
      <c r="TAN49" s="20"/>
      <c r="TAO49" s="20"/>
      <c r="TAP49" s="21"/>
      <c r="TAQ49" s="21"/>
      <c r="TAR49" s="7"/>
      <c r="TAS49" s="7"/>
      <c r="TAT49" s="21"/>
      <c r="TAU49" s="20"/>
      <c r="TAV49" s="20"/>
      <c r="TAW49" s="20"/>
      <c r="TAX49" s="21"/>
      <c r="TAY49" s="21"/>
      <c r="TAZ49" s="21"/>
      <c r="TBA49" s="21"/>
      <c r="TBB49" s="21"/>
      <c r="TBC49" s="20"/>
      <c r="TBD49" s="20"/>
      <c r="TBE49" s="20"/>
      <c r="TBF49" s="20"/>
      <c r="TBG49" s="21"/>
      <c r="TBH49" s="21"/>
      <c r="TBI49" s="7"/>
      <c r="TBJ49" s="7"/>
      <c r="TBK49" s="21"/>
      <c r="TBL49" s="20"/>
      <c r="TBM49" s="20"/>
      <c r="TBN49" s="20"/>
      <c r="TBO49" s="21"/>
      <c r="TBP49" s="21"/>
      <c r="TBQ49" s="21"/>
      <c r="TBR49" s="21"/>
      <c r="TBS49" s="21"/>
      <c r="TBT49" s="20"/>
      <c r="TBU49" s="20"/>
      <c r="TBV49" s="20"/>
      <c r="TBW49" s="20"/>
      <c r="TBX49" s="21"/>
      <c r="TBY49" s="21"/>
      <c r="TBZ49" s="7"/>
      <c r="TCA49" s="7"/>
      <c r="TCB49" s="21"/>
      <c r="TCC49" s="20"/>
      <c r="TCD49" s="20"/>
      <c r="TCE49" s="20"/>
      <c r="TCF49" s="21"/>
      <c r="TCG49" s="21"/>
      <c r="TCH49" s="21"/>
      <c r="TCI49" s="21"/>
      <c r="TCJ49" s="21"/>
      <c r="TCK49" s="20"/>
      <c r="TCL49" s="20"/>
      <c r="TCM49" s="20"/>
      <c r="TCN49" s="20"/>
      <c r="TCO49" s="21"/>
      <c r="TCP49" s="21"/>
      <c r="TCQ49" s="7"/>
      <c r="TCR49" s="7"/>
      <c r="TCS49" s="21"/>
      <c r="TCT49" s="20"/>
      <c r="TCU49" s="20"/>
      <c r="TCV49" s="20"/>
      <c r="TCW49" s="21"/>
      <c r="TCX49" s="21"/>
      <c r="TCY49" s="21"/>
      <c r="TCZ49" s="21"/>
      <c r="TDA49" s="21"/>
      <c r="TDB49" s="20"/>
      <c r="TDC49" s="20"/>
      <c r="TDD49" s="20"/>
      <c r="TDE49" s="20"/>
      <c r="TDF49" s="21"/>
      <c r="TDG49" s="21"/>
      <c r="TDH49" s="7"/>
      <c r="TDI49" s="7"/>
      <c r="TDJ49" s="21"/>
      <c r="TDK49" s="20"/>
      <c r="TDL49" s="20"/>
      <c r="TDM49" s="20"/>
      <c r="TDN49" s="21"/>
      <c r="TDO49" s="21"/>
      <c r="TDP49" s="21"/>
      <c r="TDQ49" s="21"/>
      <c r="TDR49" s="21"/>
      <c r="TDS49" s="20"/>
      <c r="TDT49" s="20"/>
      <c r="TDU49" s="20"/>
      <c r="TDV49" s="20"/>
      <c r="TDW49" s="21"/>
      <c r="TDX49" s="21"/>
      <c r="TDY49" s="7"/>
      <c r="TDZ49" s="7"/>
      <c r="TEA49" s="21"/>
      <c r="TEB49" s="20"/>
      <c r="TEC49" s="20"/>
      <c r="TED49" s="20"/>
      <c r="TEE49" s="21"/>
      <c r="TEF49" s="21"/>
      <c r="TEG49" s="21"/>
      <c r="TEH49" s="21"/>
      <c r="TEI49" s="21"/>
      <c r="TEJ49" s="20"/>
      <c r="TEK49" s="20"/>
      <c r="TEL49" s="20"/>
      <c r="TEM49" s="20"/>
      <c r="TEN49" s="21"/>
      <c r="TEO49" s="21"/>
      <c r="TEP49" s="7"/>
      <c r="TEQ49" s="7"/>
      <c r="TER49" s="21"/>
      <c r="TES49" s="20"/>
      <c r="TET49" s="20"/>
      <c r="TEU49" s="20"/>
      <c r="TEV49" s="21"/>
      <c r="TEW49" s="21"/>
      <c r="TEX49" s="21"/>
      <c r="TEY49" s="21"/>
      <c r="TEZ49" s="21"/>
      <c r="TFA49" s="20"/>
      <c r="TFB49" s="20"/>
      <c r="TFC49" s="20"/>
      <c r="TFD49" s="20"/>
      <c r="TFE49" s="21"/>
      <c r="TFF49" s="21"/>
      <c r="TFG49" s="7"/>
      <c r="TFH49" s="7"/>
      <c r="TFI49" s="21"/>
      <c r="TFJ49" s="20"/>
      <c r="TFK49" s="20"/>
      <c r="TFL49" s="20"/>
      <c r="TFM49" s="21"/>
      <c r="TFN49" s="21"/>
      <c r="TFO49" s="21"/>
      <c r="TFP49" s="21"/>
      <c r="TFQ49" s="21"/>
      <c r="TFR49" s="20"/>
      <c r="TFS49" s="20"/>
      <c r="TFT49" s="20"/>
      <c r="TFU49" s="20"/>
      <c r="TFV49" s="21"/>
      <c r="TFW49" s="21"/>
      <c r="TFX49" s="7"/>
      <c r="TFY49" s="7"/>
      <c r="TFZ49" s="21"/>
      <c r="TGA49" s="20"/>
      <c r="TGB49" s="20"/>
      <c r="TGC49" s="20"/>
      <c r="TGD49" s="21"/>
      <c r="TGE49" s="21"/>
      <c r="TGF49" s="21"/>
      <c r="TGG49" s="21"/>
      <c r="TGH49" s="21"/>
      <c r="TGI49" s="20"/>
      <c r="TGJ49" s="20"/>
      <c r="TGK49" s="20"/>
      <c r="TGL49" s="20"/>
      <c r="TGM49" s="21"/>
      <c r="TGN49" s="21"/>
      <c r="TGO49" s="7"/>
      <c r="TGP49" s="7"/>
      <c r="TGQ49" s="21"/>
      <c r="TGR49" s="20"/>
      <c r="TGS49" s="20"/>
      <c r="TGT49" s="20"/>
      <c r="TGU49" s="21"/>
      <c r="TGV49" s="21"/>
      <c r="TGW49" s="21"/>
      <c r="TGX49" s="21"/>
      <c r="TGY49" s="21"/>
      <c r="TGZ49" s="20"/>
      <c r="THA49" s="20"/>
      <c r="THB49" s="20"/>
      <c r="THC49" s="20"/>
      <c r="THD49" s="21"/>
      <c r="THE49" s="21"/>
      <c r="THF49" s="7"/>
      <c r="THG49" s="7"/>
      <c r="THH49" s="21"/>
      <c r="THI49" s="20"/>
      <c r="THJ49" s="20"/>
      <c r="THK49" s="20"/>
      <c r="THL49" s="21"/>
      <c r="THM49" s="21"/>
      <c r="THN49" s="21"/>
      <c r="THO49" s="21"/>
      <c r="THP49" s="21"/>
      <c r="THQ49" s="20"/>
      <c r="THR49" s="20"/>
      <c r="THS49" s="20"/>
      <c r="THT49" s="20"/>
      <c r="THU49" s="21"/>
      <c r="THV49" s="21"/>
      <c r="THW49" s="7"/>
      <c r="THX49" s="7"/>
      <c r="THY49" s="21"/>
      <c r="THZ49" s="20"/>
      <c r="TIA49" s="20"/>
      <c r="TIB49" s="20"/>
      <c r="TIC49" s="21"/>
      <c r="TID49" s="21"/>
      <c r="TIE49" s="21"/>
      <c r="TIF49" s="21"/>
      <c r="TIG49" s="21"/>
      <c r="TIH49" s="20"/>
      <c r="TII49" s="20"/>
      <c r="TIJ49" s="20"/>
      <c r="TIK49" s="20"/>
      <c r="TIL49" s="21"/>
      <c r="TIM49" s="21"/>
      <c r="TIN49" s="7"/>
      <c r="TIO49" s="7"/>
      <c r="TIP49" s="21"/>
      <c r="TIQ49" s="20"/>
      <c r="TIR49" s="20"/>
      <c r="TIS49" s="20"/>
      <c r="TIT49" s="21"/>
      <c r="TIU49" s="21"/>
      <c r="TIV49" s="21"/>
      <c r="TIW49" s="21"/>
      <c r="TIX49" s="21"/>
      <c r="TIY49" s="20"/>
      <c r="TIZ49" s="20"/>
      <c r="TJA49" s="20"/>
      <c r="TJB49" s="20"/>
      <c r="TJC49" s="21"/>
      <c r="TJD49" s="21"/>
      <c r="TJE49" s="7"/>
      <c r="TJF49" s="7"/>
      <c r="TJG49" s="21"/>
      <c r="TJH49" s="20"/>
      <c r="TJI49" s="20"/>
      <c r="TJJ49" s="20"/>
      <c r="TJK49" s="21"/>
      <c r="TJL49" s="21"/>
      <c r="TJM49" s="21"/>
      <c r="TJN49" s="21"/>
      <c r="TJO49" s="21"/>
      <c r="TJP49" s="20"/>
      <c r="TJQ49" s="20"/>
      <c r="TJR49" s="20"/>
      <c r="TJS49" s="20"/>
      <c r="TJT49" s="21"/>
      <c r="TJU49" s="21"/>
      <c r="TJV49" s="7"/>
      <c r="TJW49" s="7"/>
      <c r="TJX49" s="21"/>
      <c r="TJY49" s="20"/>
      <c r="TJZ49" s="20"/>
      <c r="TKA49" s="20"/>
      <c r="TKB49" s="21"/>
      <c r="TKC49" s="21"/>
      <c r="TKD49" s="21"/>
      <c r="TKE49" s="21"/>
      <c r="TKF49" s="21"/>
      <c r="TKG49" s="20"/>
      <c r="TKH49" s="20"/>
      <c r="TKI49" s="20"/>
      <c r="TKJ49" s="20"/>
      <c r="TKK49" s="21"/>
      <c r="TKL49" s="21"/>
      <c r="TKM49" s="7"/>
      <c r="TKN49" s="7"/>
      <c r="TKO49" s="21"/>
      <c r="TKP49" s="20"/>
      <c r="TKQ49" s="20"/>
      <c r="TKR49" s="20"/>
      <c r="TKS49" s="21"/>
      <c r="TKT49" s="21"/>
      <c r="TKU49" s="21"/>
      <c r="TKV49" s="21"/>
      <c r="TKW49" s="21"/>
      <c r="TKX49" s="20"/>
      <c r="TKY49" s="20"/>
      <c r="TKZ49" s="20"/>
      <c r="TLA49" s="20"/>
      <c r="TLB49" s="21"/>
      <c r="TLC49" s="21"/>
      <c r="TLD49" s="7"/>
      <c r="TLE49" s="7"/>
      <c r="TLF49" s="21"/>
      <c r="TLG49" s="20"/>
      <c r="TLH49" s="20"/>
      <c r="TLI49" s="20"/>
      <c r="TLJ49" s="21"/>
      <c r="TLK49" s="21"/>
      <c r="TLL49" s="21"/>
      <c r="TLM49" s="21"/>
      <c r="TLN49" s="21"/>
      <c r="TLO49" s="20"/>
      <c r="TLP49" s="20"/>
      <c r="TLQ49" s="20"/>
      <c r="TLR49" s="20"/>
      <c r="TLS49" s="21"/>
      <c r="TLT49" s="21"/>
      <c r="TLU49" s="7"/>
      <c r="TLV49" s="7"/>
      <c r="TLW49" s="21"/>
      <c r="TLX49" s="20"/>
      <c r="TLY49" s="20"/>
      <c r="TLZ49" s="20"/>
      <c r="TMA49" s="21"/>
      <c r="TMB49" s="21"/>
      <c r="TMC49" s="21"/>
      <c r="TMD49" s="21"/>
      <c r="TME49" s="21"/>
      <c r="TMF49" s="20"/>
      <c r="TMG49" s="20"/>
      <c r="TMH49" s="20"/>
      <c r="TMI49" s="20"/>
      <c r="TMJ49" s="21"/>
      <c r="TMK49" s="21"/>
      <c r="TML49" s="7"/>
      <c r="TMM49" s="7"/>
      <c r="TMN49" s="21"/>
      <c r="TMO49" s="20"/>
      <c r="TMP49" s="20"/>
      <c r="TMQ49" s="20"/>
      <c r="TMR49" s="21"/>
      <c r="TMS49" s="21"/>
      <c r="TMT49" s="21"/>
      <c r="TMU49" s="21"/>
      <c r="TMV49" s="21"/>
      <c r="TMW49" s="20"/>
      <c r="TMX49" s="20"/>
      <c r="TMY49" s="20"/>
      <c r="TMZ49" s="20"/>
      <c r="TNA49" s="21"/>
      <c r="TNB49" s="21"/>
      <c r="TNC49" s="7"/>
      <c r="TND49" s="7"/>
      <c r="TNE49" s="21"/>
      <c r="TNF49" s="20"/>
      <c r="TNG49" s="20"/>
      <c r="TNH49" s="20"/>
      <c r="TNI49" s="21"/>
      <c r="TNJ49" s="21"/>
      <c r="TNK49" s="21"/>
      <c r="TNL49" s="21"/>
      <c r="TNM49" s="21"/>
      <c r="TNN49" s="20"/>
      <c r="TNO49" s="20"/>
      <c r="TNP49" s="20"/>
      <c r="TNQ49" s="20"/>
      <c r="TNR49" s="21"/>
      <c r="TNS49" s="21"/>
      <c r="TNT49" s="7"/>
      <c r="TNU49" s="7"/>
      <c r="TNV49" s="21"/>
      <c r="TNW49" s="20"/>
      <c r="TNX49" s="20"/>
      <c r="TNY49" s="20"/>
      <c r="TNZ49" s="21"/>
      <c r="TOA49" s="21"/>
      <c r="TOB49" s="21"/>
      <c r="TOC49" s="21"/>
      <c r="TOD49" s="21"/>
      <c r="TOE49" s="20"/>
      <c r="TOF49" s="20"/>
      <c r="TOG49" s="20"/>
      <c r="TOH49" s="20"/>
      <c r="TOI49" s="21"/>
      <c r="TOJ49" s="21"/>
      <c r="TOK49" s="7"/>
      <c r="TOL49" s="7"/>
      <c r="TOM49" s="21"/>
      <c r="TON49" s="20"/>
      <c r="TOO49" s="20"/>
      <c r="TOP49" s="20"/>
      <c r="TOQ49" s="21"/>
      <c r="TOR49" s="21"/>
      <c r="TOS49" s="21"/>
      <c r="TOT49" s="21"/>
      <c r="TOU49" s="21"/>
      <c r="TOV49" s="20"/>
      <c r="TOW49" s="20"/>
      <c r="TOX49" s="20"/>
      <c r="TOY49" s="20"/>
      <c r="TOZ49" s="21"/>
      <c r="TPA49" s="21"/>
      <c r="TPB49" s="7"/>
      <c r="TPC49" s="7"/>
      <c r="TPD49" s="21"/>
      <c r="TPE49" s="20"/>
      <c r="TPF49" s="20"/>
      <c r="TPG49" s="20"/>
      <c r="TPH49" s="21"/>
      <c r="TPI49" s="21"/>
      <c r="TPJ49" s="21"/>
      <c r="TPK49" s="21"/>
      <c r="TPL49" s="21"/>
      <c r="TPM49" s="20"/>
      <c r="TPN49" s="20"/>
      <c r="TPO49" s="20"/>
      <c r="TPP49" s="20"/>
      <c r="TPQ49" s="21"/>
      <c r="TPR49" s="21"/>
      <c r="TPS49" s="7"/>
      <c r="TPT49" s="7"/>
      <c r="TPU49" s="21"/>
      <c r="TPV49" s="20"/>
      <c r="TPW49" s="20"/>
      <c r="TPX49" s="20"/>
      <c r="TPY49" s="21"/>
      <c r="TPZ49" s="21"/>
      <c r="TQA49" s="21"/>
      <c r="TQB49" s="21"/>
      <c r="TQC49" s="21"/>
      <c r="TQD49" s="20"/>
      <c r="TQE49" s="20"/>
      <c r="TQF49" s="20"/>
      <c r="TQG49" s="20"/>
      <c r="TQH49" s="21"/>
      <c r="TQI49" s="21"/>
      <c r="TQJ49" s="7"/>
      <c r="TQK49" s="7"/>
      <c r="TQL49" s="21"/>
      <c r="TQM49" s="20"/>
      <c r="TQN49" s="20"/>
      <c r="TQO49" s="20"/>
      <c r="TQP49" s="21"/>
      <c r="TQQ49" s="21"/>
      <c r="TQR49" s="21"/>
      <c r="TQS49" s="21"/>
      <c r="TQT49" s="21"/>
      <c r="TQU49" s="20"/>
      <c r="TQV49" s="20"/>
      <c r="TQW49" s="20"/>
      <c r="TQX49" s="20"/>
      <c r="TQY49" s="21"/>
      <c r="TQZ49" s="21"/>
      <c r="TRA49" s="7"/>
      <c r="TRB49" s="7"/>
      <c r="TRC49" s="21"/>
      <c r="TRD49" s="20"/>
      <c r="TRE49" s="20"/>
      <c r="TRF49" s="20"/>
      <c r="TRG49" s="21"/>
      <c r="TRH49" s="21"/>
      <c r="TRI49" s="21"/>
      <c r="TRJ49" s="21"/>
      <c r="TRK49" s="21"/>
      <c r="TRL49" s="20"/>
      <c r="TRM49" s="20"/>
      <c r="TRN49" s="20"/>
      <c r="TRO49" s="20"/>
      <c r="TRP49" s="21"/>
      <c r="TRQ49" s="21"/>
      <c r="TRR49" s="7"/>
      <c r="TRS49" s="7"/>
      <c r="TRT49" s="21"/>
      <c r="TRU49" s="20"/>
      <c r="TRV49" s="20"/>
      <c r="TRW49" s="20"/>
      <c r="TRX49" s="21"/>
      <c r="TRY49" s="21"/>
      <c r="TRZ49" s="21"/>
      <c r="TSA49" s="21"/>
      <c r="TSB49" s="21"/>
      <c r="TSC49" s="20"/>
      <c r="TSD49" s="20"/>
      <c r="TSE49" s="20"/>
      <c r="TSF49" s="20"/>
      <c r="TSG49" s="21"/>
      <c r="TSH49" s="21"/>
      <c r="TSI49" s="7"/>
      <c r="TSJ49" s="7"/>
      <c r="TSK49" s="21"/>
      <c r="TSL49" s="20"/>
      <c r="TSM49" s="20"/>
      <c r="TSN49" s="20"/>
      <c r="TSO49" s="21"/>
      <c r="TSP49" s="21"/>
      <c r="TSQ49" s="21"/>
      <c r="TSR49" s="21"/>
      <c r="TSS49" s="21"/>
      <c r="TST49" s="20"/>
      <c r="TSU49" s="20"/>
      <c r="TSV49" s="20"/>
      <c r="TSW49" s="20"/>
      <c r="TSX49" s="21"/>
      <c r="TSY49" s="21"/>
      <c r="TSZ49" s="7"/>
      <c r="TTA49" s="7"/>
      <c r="TTB49" s="21"/>
      <c r="TTC49" s="20"/>
      <c r="TTD49" s="20"/>
      <c r="TTE49" s="20"/>
      <c r="TTF49" s="21"/>
      <c r="TTG49" s="21"/>
      <c r="TTH49" s="21"/>
      <c r="TTI49" s="21"/>
      <c r="TTJ49" s="21"/>
      <c r="TTK49" s="20"/>
      <c r="TTL49" s="20"/>
      <c r="TTM49" s="20"/>
      <c r="TTN49" s="20"/>
      <c r="TTO49" s="21"/>
      <c r="TTP49" s="21"/>
      <c r="TTQ49" s="7"/>
      <c r="TTR49" s="7"/>
      <c r="TTS49" s="21"/>
      <c r="TTT49" s="20"/>
      <c r="TTU49" s="20"/>
      <c r="TTV49" s="20"/>
      <c r="TTW49" s="21"/>
      <c r="TTX49" s="21"/>
      <c r="TTY49" s="21"/>
      <c r="TTZ49" s="21"/>
      <c r="TUA49" s="21"/>
      <c r="TUB49" s="20"/>
      <c r="TUC49" s="20"/>
      <c r="TUD49" s="20"/>
      <c r="TUE49" s="20"/>
      <c r="TUF49" s="21"/>
      <c r="TUG49" s="21"/>
      <c r="TUH49" s="7"/>
      <c r="TUI49" s="7"/>
      <c r="TUJ49" s="21"/>
      <c r="TUK49" s="20"/>
      <c r="TUL49" s="20"/>
      <c r="TUM49" s="20"/>
      <c r="TUN49" s="21"/>
      <c r="TUO49" s="21"/>
      <c r="TUP49" s="21"/>
      <c r="TUQ49" s="21"/>
      <c r="TUR49" s="21"/>
      <c r="TUS49" s="20"/>
      <c r="TUT49" s="20"/>
      <c r="TUU49" s="20"/>
      <c r="TUV49" s="20"/>
      <c r="TUW49" s="21"/>
      <c r="TUX49" s="21"/>
      <c r="TUY49" s="7"/>
      <c r="TUZ49" s="7"/>
      <c r="TVA49" s="21"/>
      <c r="TVB49" s="20"/>
      <c r="TVC49" s="20"/>
      <c r="TVD49" s="20"/>
      <c r="TVE49" s="21"/>
      <c r="TVF49" s="21"/>
      <c r="TVG49" s="21"/>
      <c r="TVH49" s="21"/>
      <c r="TVI49" s="21"/>
      <c r="TVJ49" s="20"/>
      <c r="TVK49" s="20"/>
      <c r="TVL49" s="20"/>
      <c r="TVM49" s="20"/>
      <c r="TVN49" s="21"/>
      <c r="TVO49" s="21"/>
      <c r="TVP49" s="7"/>
      <c r="TVQ49" s="7"/>
      <c r="TVR49" s="21"/>
      <c r="TVS49" s="20"/>
      <c r="TVT49" s="20"/>
      <c r="TVU49" s="20"/>
      <c r="TVV49" s="21"/>
      <c r="TVW49" s="21"/>
      <c r="TVX49" s="21"/>
      <c r="TVY49" s="21"/>
      <c r="TVZ49" s="21"/>
      <c r="TWA49" s="20"/>
      <c r="TWB49" s="20"/>
      <c r="TWC49" s="20"/>
      <c r="TWD49" s="20"/>
      <c r="TWE49" s="21"/>
      <c r="TWF49" s="21"/>
      <c r="TWG49" s="7"/>
      <c r="TWH49" s="7"/>
      <c r="TWI49" s="21"/>
      <c r="TWJ49" s="20"/>
      <c r="TWK49" s="20"/>
      <c r="TWL49" s="20"/>
      <c r="TWM49" s="21"/>
      <c r="TWN49" s="21"/>
      <c r="TWO49" s="21"/>
      <c r="TWP49" s="21"/>
      <c r="TWQ49" s="21"/>
      <c r="TWR49" s="20"/>
      <c r="TWS49" s="20"/>
      <c r="TWT49" s="20"/>
      <c r="TWU49" s="20"/>
      <c r="TWV49" s="21"/>
      <c r="TWW49" s="21"/>
      <c r="TWX49" s="7"/>
      <c r="TWY49" s="7"/>
      <c r="TWZ49" s="21"/>
      <c r="TXA49" s="20"/>
      <c r="TXB49" s="20"/>
      <c r="TXC49" s="20"/>
      <c r="TXD49" s="21"/>
      <c r="TXE49" s="21"/>
      <c r="TXF49" s="21"/>
      <c r="TXG49" s="21"/>
      <c r="TXH49" s="21"/>
      <c r="TXI49" s="20"/>
      <c r="TXJ49" s="20"/>
      <c r="TXK49" s="20"/>
      <c r="TXL49" s="20"/>
      <c r="TXM49" s="21"/>
      <c r="TXN49" s="21"/>
      <c r="TXO49" s="7"/>
      <c r="TXP49" s="7"/>
      <c r="TXQ49" s="21"/>
      <c r="TXR49" s="20"/>
      <c r="TXS49" s="20"/>
      <c r="TXT49" s="20"/>
      <c r="TXU49" s="21"/>
      <c r="TXV49" s="21"/>
      <c r="TXW49" s="21"/>
      <c r="TXX49" s="21"/>
      <c r="TXY49" s="21"/>
      <c r="TXZ49" s="20"/>
      <c r="TYA49" s="20"/>
      <c r="TYB49" s="20"/>
      <c r="TYC49" s="20"/>
      <c r="TYD49" s="21"/>
      <c r="TYE49" s="21"/>
      <c r="TYF49" s="7"/>
      <c r="TYG49" s="7"/>
      <c r="TYH49" s="21"/>
      <c r="TYI49" s="20"/>
      <c r="TYJ49" s="20"/>
      <c r="TYK49" s="20"/>
      <c r="TYL49" s="21"/>
      <c r="TYM49" s="21"/>
      <c r="TYN49" s="21"/>
      <c r="TYO49" s="21"/>
      <c r="TYP49" s="21"/>
      <c r="TYQ49" s="20"/>
      <c r="TYR49" s="20"/>
      <c r="TYS49" s="20"/>
      <c r="TYT49" s="20"/>
      <c r="TYU49" s="21"/>
      <c r="TYV49" s="21"/>
      <c r="TYW49" s="7"/>
      <c r="TYX49" s="7"/>
      <c r="TYY49" s="21"/>
      <c r="TYZ49" s="20"/>
      <c r="TZA49" s="20"/>
      <c r="TZB49" s="20"/>
      <c r="TZC49" s="21"/>
      <c r="TZD49" s="21"/>
      <c r="TZE49" s="21"/>
      <c r="TZF49" s="21"/>
      <c r="TZG49" s="21"/>
      <c r="TZH49" s="20"/>
      <c r="TZI49" s="20"/>
      <c r="TZJ49" s="20"/>
      <c r="TZK49" s="20"/>
      <c r="TZL49" s="21"/>
      <c r="TZM49" s="21"/>
      <c r="TZN49" s="7"/>
      <c r="TZO49" s="7"/>
      <c r="TZP49" s="21"/>
      <c r="TZQ49" s="20"/>
      <c r="TZR49" s="20"/>
      <c r="TZS49" s="20"/>
      <c r="TZT49" s="21"/>
      <c r="TZU49" s="21"/>
      <c r="TZV49" s="21"/>
      <c r="TZW49" s="21"/>
      <c r="TZX49" s="21"/>
      <c r="TZY49" s="20"/>
      <c r="TZZ49" s="20"/>
      <c r="UAA49" s="20"/>
      <c r="UAB49" s="20"/>
      <c r="UAC49" s="21"/>
      <c r="UAD49" s="21"/>
      <c r="UAE49" s="7"/>
      <c r="UAF49" s="7"/>
      <c r="UAG49" s="21"/>
      <c r="UAH49" s="20"/>
      <c r="UAI49" s="20"/>
      <c r="UAJ49" s="20"/>
      <c r="UAK49" s="21"/>
      <c r="UAL49" s="21"/>
      <c r="UAM49" s="21"/>
      <c r="UAN49" s="21"/>
      <c r="UAO49" s="21"/>
      <c r="UAP49" s="20"/>
      <c r="UAQ49" s="20"/>
      <c r="UAR49" s="20"/>
      <c r="UAS49" s="20"/>
      <c r="UAT49" s="21"/>
      <c r="UAU49" s="21"/>
      <c r="UAV49" s="7"/>
      <c r="UAW49" s="7"/>
      <c r="UAX49" s="21"/>
      <c r="UAY49" s="20"/>
      <c r="UAZ49" s="20"/>
      <c r="UBA49" s="20"/>
      <c r="UBB49" s="21"/>
      <c r="UBC49" s="21"/>
      <c r="UBD49" s="21"/>
      <c r="UBE49" s="21"/>
      <c r="UBF49" s="21"/>
      <c r="UBG49" s="20"/>
      <c r="UBH49" s="20"/>
      <c r="UBI49" s="20"/>
      <c r="UBJ49" s="20"/>
      <c r="UBK49" s="21"/>
      <c r="UBL49" s="21"/>
      <c r="UBM49" s="7"/>
      <c r="UBN49" s="7"/>
      <c r="UBO49" s="21"/>
      <c r="UBP49" s="20"/>
      <c r="UBQ49" s="20"/>
      <c r="UBR49" s="20"/>
      <c r="UBS49" s="21"/>
      <c r="UBT49" s="21"/>
      <c r="UBU49" s="21"/>
      <c r="UBV49" s="21"/>
      <c r="UBW49" s="21"/>
      <c r="UBX49" s="20"/>
      <c r="UBY49" s="20"/>
      <c r="UBZ49" s="20"/>
      <c r="UCA49" s="20"/>
      <c r="UCB49" s="21"/>
      <c r="UCC49" s="21"/>
      <c r="UCD49" s="7"/>
      <c r="UCE49" s="7"/>
      <c r="UCF49" s="21"/>
      <c r="UCG49" s="20"/>
      <c r="UCH49" s="20"/>
      <c r="UCI49" s="20"/>
      <c r="UCJ49" s="21"/>
      <c r="UCK49" s="21"/>
      <c r="UCL49" s="21"/>
      <c r="UCM49" s="21"/>
      <c r="UCN49" s="21"/>
      <c r="UCO49" s="20"/>
      <c r="UCP49" s="20"/>
      <c r="UCQ49" s="20"/>
      <c r="UCR49" s="20"/>
      <c r="UCS49" s="21"/>
      <c r="UCT49" s="21"/>
      <c r="UCU49" s="7"/>
      <c r="UCV49" s="7"/>
      <c r="UCW49" s="21"/>
      <c r="UCX49" s="20"/>
      <c r="UCY49" s="20"/>
      <c r="UCZ49" s="20"/>
      <c r="UDA49" s="21"/>
      <c r="UDB49" s="21"/>
      <c r="UDC49" s="21"/>
      <c r="UDD49" s="21"/>
      <c r="UDE49" s="21"/>
      <c r="UDF49" s="20"/>
      <c r="UDG49" s="20"/>
      <c r="UDH49" s="20"/>
      <c r="UDI49" s="20"/>
      <c r="UDJ49" s="21"/>
      <c r="UDK49" s="21"/>
      <c r="UDL49" s="7"/>
      <c r="UDM49" s="7"/>
      <c r="UDN49" s="21"/>
      <c r="UDO49" s="20"/>
      <c r="UDP49" s="20"/>
      <c r="UDQ49" s="20"/>
      <c r="UDR49" s="21"/>
      <c r="UDS49" s="21"/>
      <c r="UDT49" s="21"/>
      <c r="UDU49" s="21"/>
      <c r="UDV49" s="21"/>
      <c r="UDW49" s="20"/>
      <c r="UDX49" s="20"/>
      <c r="UDY49" s="20"/>
      <c r="UDZ49" s="20"/>
      <c r="UEA49" s="21"/>
      <c r="UEB49" s="21"/>
      <c r="UEC49" s="7"/>
      <c r="UED49" s="7"/>
      <c r="UEE49" s="21"/>
      <c r="UEF49" s="20"/>
      <c r="UEG49" s="20"/>
      <c r="UEH49" s="20"/>
      <c r="UEI49" s="21"/>
      <c r="UEJ49" s="21"/>
      <c r="UEK49" s="21"/>
      <c r="UEL49" s="21"/>
      <c r="UEM49" s="21"/>
      <c r="UEN49" s="20"/>
      <c r="UEO49" s="20"/>
      <c r="UEP49" s="20"/>
      <c r="UEQ49" s="20"/>
      <c r="UER49" s="21"/>
      <c r="UES49" s="21"/>
      <c r="UET49" s="7"/>
      <c r="UEU49" s="7"/>
      <c r="UEV49" s="21"/>
      <c r="UEW49" s="20"/>
      <c r="UEX49" s="20"/>
      <c r="UEY49" s="20"/>
      <c r="UEZ49" s="21"/>
      <c r="UFA49" s="21"/>
      <c r="UFB49" s="21"/>
      <c r="UFC49" s="21"/>
      <c r="UFD49" s="21"/>
      <c r="UFE49" s="20"/>
      <c r="UFF49" s="20"/>
      <c r="UFG49" s="20"/>
      <c r="UFH49" s="20"/>
      <c r="UFI49" s="21"/>
      <c r="UFJ49" s="21"/>
      <c r="UFK49" s="7"/>
      <c r="UFL49" s="7"/>
      <c r="UFM49" s="21"/>
      <c r="UFN49" s="20"/>
      <c r="UFO49" s="20"/>
      <c r="UFP49" s="20"/>
      <c r="UFQ49" s="21"/>
      <c r="UFR49" s="21"/>
      <c r="UFS49" s="21"/>
      <c r="UFT49" s="21"/>
      <c r="UFU49" s="21"/>
      <c r="UFV49" s="20"/>
      <c r="UFW49" s="20"/>
      <c r="UFX49" s="20"/>
      <c r="UFY49" s="20"/>
      <c r="UFZ49" s="21"/>
      <c r="UGA49" s="21"/>
      <c r="UGB49" s="7"/>
      <c r="UGC49" s="7"/>
      <c r="UGD49" s="21"/>
      <c r="UGE49" s="20"/>
      <c r="UGF49" s="20"/>
      <c r="UGG49" s="20"/>
      <c r="UGH49" s="21"/>
      <c r="UGI49" s="21"/>
      <c r="UGJ49" s="21"/>
      <c r="UGK49" s="21"/>
      <c r="UGL49" s="21"/>
      <c r="UGM49" s="20"/>
      <c r="UGN49" s="20"/>
      <c r="UGO49" s="20"/>
      <c r="UGP49" s="20"/>
      <c r="UGQ49" s="21"/>
      <c r="UGR49" s="21"/>
      <c r="UGS49" s="7"/>
      <c r="UGT49" s="7"/>
      <c r="UGU49" s="21"/>
      <c r="UGV49" s="20"/>
      <c r="UGW49" s="20"/>
      <c r="UGX49" s="20"/>
      <c r="UGY49" s="21"/>
      <c r="UGZ49" s="21"/>
      <c r="UHA49" s="21"/>
      <c r="UHB49" s="21"/>
      <c r="UHC49" s="21"/>
      <c r="UHD49" s="20"/>
      <c r="UHE49" s="20"/>
      <c r="UHF49" s="20"/>
      <c r="UHG49" s="20"/>
      <c r="UHH49" s="21"/>
      <c r="UHI49" s="21"/>
      <c r="UHJ49" s="7"/>
      <c r="UHK49" s="7"/>
      <c r="UHL49" s="21"/>
      <c r="UHM49" s="20"/>
      <c r="UHN49" s="20"/>
      <c r="UHO49" s="20"/>
      <c r="UHP49" s="21"/>
      <c r="UHQ49" s="21"/>
      <c r="UHR49" s="21"/>
      <c r="UHS49" s="21"/>
      <c r="UHT49" s="21"/>
      <c r="UHU49" s="20"/>
      <c r="UHV49" s="20"/>
      <c r="UHW49" s="20"/>
      <c r="UHX49" s="20"/>
      <c r="UHY49" s="21"/>
      <c r="UHZ49" s="21"/>
      <c r="UIA49" s="7"/>
      <c r="UIB49" s="7"/>
      <c r="UIC49" s="21"/>
      <c r="UID49" s="20"/>
      <c r="UIE49" s="20"/>
      <c r="UIF49" s="20"/>
      <c r="UIG49" s="21"/>
      <c r="UIH49" s="21"/>
      <c r="UII49" s="21"/>
      <c r="UIJ49" s="21"/>
      <c r="UIK49" s="21"/>
      <c r="UIL49" s="20"/>
      <c r="UIM49" s="20"/>
      <c r="UIN49" s="20"/>
      <c r="UIO49" s="20"/>
      <c r="UIP49" s="21"/>
      <c r="UIQ49" s="21"/>
      <c r="UIR49" s="7"/>
      <c r="UIS49" s="7"/>
      <c r="UIT49" s="21"/>
      <c r="UIU49" s="20"/>
      <c r="UIV49" s="20"/>
      <c r="UIW49" s="20"/>
      <c r="UIX49" s="21"/>
      <c r="UIY49" s="21"/>
      <c r="UIZ49" s="21"/>
      <c r="UJA49" s="21"/>
      <c r="UJB49" s="21"/>
      <c r="UJC49" s="20"/>
      <c r="UJD49" s="20"/>
      <c r="UJE49" s="20"/>
      <c r="UJF49" s="20"/>
      <c r="UJG49" s="21"/>
      <c r="UJH49" s="21"/>
      <c r="UJI49" s="7"/>
      <c r="UJJ49" s="7"/>
      <c r="UJK49" s="21"/>
      <c r="UJL49" s="20"/>
      <c r="UJM49" s="20"/>
      <c r="UJN49" s="20"/>
      <c r="UJO49" s="21"/>
      <c r="UJP49" s="21"/>
      <c r="UJQ49" s="21"/>
      <c r="UJR49" s="21"/>
      <c r="UJS49" s="21"/>
      <c r="UJT49" s="20"/>
      <c r="UJU49" s="20"/>
      <c r="UJV49" s="20"/>
      <c r="UJW49" s="20"/>
      <c r="UJX49" s="21"/>
      <c r="UJY49" s="21"/>
      <c r="UJZ49" s="7"/>
      <c r="UKA49" s="7"/>
      <c r="UKB49" s="21"/>
      <c r="UKC49" s="20"/>
      <c r="UKD49" s="20"/>
      <c r="UKE49" s="20"/>
      <c r="UKF49" s="21"/>
      <c r="UKG49" s="21"/>
      <c r="UKH49" s="21"/>
      <c r="UKI49" s="21"/>
      <c r="UKJ49" s="21"/>
      <c r="UKK49" s="20"/>
      <c r="UKL49" s="20"/>
      <c r="UKM49" s="20"/>
      <c r="UKN49" s="20"/>
      <c r="UKO49" s="21"/>
      <c r="UKP49" s="21"/>
      <c r="UKQ49" s="7"/>
      <c r="UKR49" s="7"/>
      <c r="UKS49" s="21"/>
      <c r="UKT49" s="20"/>
      <c r="UKU49" s="20"/>
      <c r="UKV49" s="20"/>
      <c r="UKW49" s="21"/>
      <c r="UKX49" s="21"/>
      <c r="UKY49" s="21"/>
      <c r="UKZ49" s="21"/>
      <c r="ULA49" s="21"/>
      <c r="ULB49" s="20"/>
      <c r="ULC49" s="20"/>
      <c r="ULD49" s="20"/>
      <c r="ULE49" s="20"/>
      <c r="ULF49" s="21"/>
      <c r="ULG49" s="21"/>
      <c r="ULH49" s="7"/>
      <c r="ULI49" s="7"/>
      <c r="ULJ49" s="21"/>
      <c r="ULK49" s="20"/>
      <c r="ULL49" s="20"/>
      <c r="ULM49" s="20"/>
      <c r="ULN49" s="21"/>
      <c r="ULO49" s="21"/>
      <c r="ULP49" s="21"/>
      <c r="ULQ49" s="21"/>
      <c r="ULR49" s="21"/>
      <c r="ULS49" s="20"/>
      <c r="ULT49" s="20"/>
      <c r="ULU49" s="20"/>
      <c r="ULV49" s="20"/>
      <c r="ULW49" s="21"/>
      <c r="ULX49" s="21"/>
      <c r="ULY49" s="7"/>
      <c r="ULZ49" s="7"/>
      <c r="UMA49" s="21"/>
      <c r="UMB49" s="20"/>
      <c r="UMC49" s="20"/>
      <c r="UMD49" s="20"/>
      <c r="UME49" s="21"/>
      <c r="UMF49" s="21"/>
      <c r="UMG49" s="21"/>
      <c r="UMH49" s="21"/>
      <c r="UMI49" s="21"/>
      <c r="UMJ49" s="20"/>
      <c r="UMK49" s="20"/>
      <c r="UML49" s="20"/>
      <c r="UMM49" s="20"/>
      <c r="UMN49" s="21"/>
      <c r="UMO49" s="21"/>
      <c r="UMP49" s="7"/>
      <c r="UMQ49" s="7"/>
      <c r="UMR49" s="21"/>
      <c r="UMS49" s="20"/>
      <c r="UMT49" s="20"/>
      <c r="UMU49" s="20"/>
      <c r="UMV49" s="21"/>
      <c r="UMW49" s="21"/>
      <c r="UMX49" s="21"/>
      <c r="UMY49" s="21"/>
      <c r="UMZ49" s="21"/>
      <c r="UNA49" s="20"/>
      <c r="UNB49" s="20"/>
      <c r="UNC49" s="20"/>
      <c r="UND49" s="20"/>
      <c r="UNE49" s="21"/>
      <c r="UNF49" s="21"/>
      <c r="UNG49" s="7"/>
      <c r="UNH49" s="7"/>
      <c r="UNI49" s="21"/>
      <c r="UNJ49" s="20"/>
      <c r="UNK49" s="20"/>
      <c r="UNL49" s="20"/>
      <c r="UNM49" s="21"/>
      <c r="UNN49" s="21"/>
      <c r="UNO49" s="21"/>
      <c r="UNP49" s="21"/>
      <c r="UNQ49" s="21"/>
      <c r="UNR49" s="20"/>
      <c r="UNS49" s="20"/>
      <c r="UNT49" s="20"/>
      <c r="UNU49" s="20"/>
      <c r="UNV49" s="21"/>
      <c r="UNW49" s="21"/>
      <c r="UNX49" s="7"/>
      <c r="UNY49" s="7"/>
      <c r="UNZ49" s="21"/>
      <c r="UOA49" s="20"/>
      <c r="UOB49" s="20"/>
      <c r="UOC49" s="20"/>
      <c r="UOD49" s="21"/>
      <c r="UOE49" s="21"/>
      <c r="UOF49" s="21"/>
      <c r="UOG49" s="21"/>
      <c r="UOH49" s="21"/>
      <c r="UOI49" s="20"/>
      <c r="UOJ49" s="20"/>
      <c r="UOK49" s="20"/>
      <c r="UOL49" s="20"/>
      <c r="UOM49" s="21"/>
      <c r="UON49" s="21"/>
      <c r="UOO49" s="7"/>
      <c r="UOP49" s="7"/>
      <c r="UOQ49" s="21"/>
      <c r="UOR49" s="20"/>
      <c r="UOS49" s="20"/>
      <c r="UOT49" s="20"/>
      <c r="UOU49" s="21"/>
      <c r="UOV49" s="21"/>
      <c r="UOW49" s="21"/>
      <c r="UOX49" s="21"/>
      <c r="UOY49" s="21"/>
      <c r="UOZ49" s="20"/>
      <c r="UPA49" s="20"/>
      <c r="UPB49" s="20"/>
      <c r="UPC49" s="20"/>
      <c r="UPD49" s="21"/>
      <c r="UPE49" s="21"/>
      <c r="UPF49" s="7"/>
      <c r="UPG49" s="7"/>
      <c r="UPH49" s="21"/>
      <c r="UPI49" s="20"/>
      <c r="UPJ49" s="20"/>
      <c r="UPK49" s="20"/>
      <c r="UPL49" s="21"/>
      <c r="UPM49" s="21"/>
      <c r="UPN49" s="21"/>
      <c r="UPO49" s="21"/>
      <c r="UPP49" s="21"/>
      <c r="UPQ49" s="20"/>
      <c r="UPR49" s="20"/>
      <c r="UPS49" s="20"/>
      <c r="UPT49" s="20"/>
      <c r="UPU49" s="21"/>
      <c r="UPV49" s="21"/>
      <c r="UPW49" s="7"/>
      <c r="UPX49" s="7"/>
      <c r="UPY49" s="21"/>
      <c r="UPZ49" s="20"/>
      <c r="UQA49" s="20"/>
      <c r="UQB49" s="20"/>
      <c r="UQC49" s="21"/>
      <c r="UQD49" s="21"/>
      <c r="UQE49" s="21"/>
      <c r="UQF49" s="21"/>
      <c r="UQG49" s="21"/>
      <c r="UQH49" s="20"/>
      <c r="UQI49" s="20"/>
      <c r="UQJ49" s="20"/>
      <c r="UQK49" s="20"/>
      <c r="UQL49" s="21"/>
      <c r="UQM49" s="21"/>
      <c r="UQN49" s="7"/>
      <c r="UQO49" s="7"/>
      <c r="UQP49" s="21"/>
      <c r="UQQ49" s="20"/>
      <c r="UQR49" s="20"/>
      <c r="UQS49" s="20"/>
      <c r="UQT49" s="21"/>
      <c r="UQU49" s="21"/>
      <c r="UQV49" s="21"/>
      <c r="UQW49" s="21"/>
      <c r="UQX49" s="21"/>
      <c r="UQY49" s="20"/>
      <c r="UQZ49" s="20"/>
      <c r="URA49" s="20"/>
      <c r="URB49" s="20"/>
      <c r="URC49" s="21"/>
      <c r="URD49" s="21"/>
      <c r="URE49" s="7"/>
      <c r="URF49" s="7"/>
      <c r="URG49" s="21"/>
      <c r="URH49" s="20"/>
      <c r="URI49" s="20"/>
      <c r="URJ49" s="20"/>
      <c r="URK49" s="21"/>
      <c r="URL49" s="21"/>
      <c r="URM49" s="21"/>
      <c r="URN49" s="21"/>
      <c r="URO49" s="21"/>
      <c r="URP49" s="20"/>
      <c r="URQ49" s="20"/>
      <c r="URR49" s="20"/>
      <c r="URS49" s="20"/>
      <c r="URT49" s="21"/>
      <c r="URU49" s="21"/>
      <c r="URV49" s="7"/>
      <c r="URW49" s="7"/>
      <c r="URX49" s="21"/>
      <c r="URY49" s="20"/>
      <c r="URZ49" s="20"/>
      <c r="USA49" s="20"/>
      <c r="USB49" s="21"/>
      <c r="USC49" s="21"/>
      <c r="USD49" s="21"/>
      <c r="USE49" s="21"/>
      <c r="USF49" s="21"/>
      <c r="USG49" s="20"/>
      <c r="USH49" s="20"/>
      <c r="USI49" s="20"/>
      <c r="USJ49" s="20"/>
      <c r="USK49" s="21"/>
      <c r="USL49" s="21"/>
      <c r="USM49" s="7"/>
      <c r="USN49" s="7"/>
      <c r="USO49" s="21"/>
      <c r="USP49" s="20"/>
      <c r="USQ49" s="20"/>
      <c r="USR49" s="20"/>
      <c r="USS49" s="21"/>
      <c r="UST49" s="21"/>
      <c r="USU49" s="21"/>
      <c r="USV49" s="21"/>
      <c r="USW49" s="21"/>
      <c r="USX49" s="20"/>
      <c r="USY49" s="20"/>
      <c r="USZ49" s="20"/>
      <c r="UTA49" s="20"/>
      <c r="UTB49" s="21"/>
      <c r="UTC49" s="21"/>
      <c r="UTD49" s="7"/>
      <c r="UTE49" s="7"/>
      <c r="UTF49" s="21"/>
      <c r="UTG49" s="20"/>
      <c r="UTH49" s="20"/>
      <c r="UTI49" s="20"/>
      <c r="UTJ49" s="21"/>
      <c r="UTK49" s="21"/>
      <c r="UTL49" s="21"/>
      <c r="UTM49" s="21"/>
      <c r="UTN49" s="21"/>
      <c r="UTO49" s="20"/>
      <c r="UTP49" s="20"/>
      <c r="UTQ49" s="20"/>
      <c r="UTR49" s="20"/>
      <c r="UTS49" s="21"/>
      <c r="UTT49" s="21"/>
      <c r="UTU49" s="7"/>
      <c r="UTV49" s="7"/>
      <c r="UTW49" s="21"/>
      <c r="UTX49" s="20"/>
      <c r="UTY49" s="20"/>
      <c r="UTZ49" s="20"/>
      <c r="UUA49" s="21"/>
      <c r="UUB49" s="21"/>
      <c r="UUC49" s="21"/>
      <c r="UUD49" s="21"/>
      <c r="UUE49" s="21"/>
      <c r="UUF49" s="20"/>
      <c r="UUG49" s="20"/>
      <c r="UUH49" s="20"/>
      <c r="UUI49" s="20"/>
      <c r="UUJ49" s="21"/>
      <c r="UUK49" s="21"/>
      <c r="UUL49" s="7"/>
      <c r="UUM49" s="7"/>
      <c r="UUN49" s="21"/>
      <c r="UUO49" s="20"/>
      <c r="UUP49" s="20"/>
      <c r="UUQ49" s="20"/>
      <c r="UUR49" s="21"/>
      <c r="UUS49" s="21"/>
      <c r="UUT49" s="21"/>
      <c r="UUU49" s="21"/>
      <c r="UUV49" s="21"/>
      <c r="UUW49" s="20"/>
      <c r="UUX49" s="20"/>
      <c r="UUY49" s="20"/>
      <c r="UUZ49" s="20"/>
      <c r="UVA49" s="21"/>
      <c r="UVB49" s="21"/>
      <c r="UVC49" s="7"/>
      <c r="UVD49" s="7"/>
      <c r="UVE49" s="21"/>
      <c r="UVF49" s="20"/>
      <c r="UVG49" s="20"/>
      <c r="UVH49" s="20"/>
      <c r="UVI49" s="21"/>
      <c r="UVJ49" s="21"/>
      <c r="UVK49" s="21"/>
      <c r="UVL49" s="21"/>
      <c r="UVM49" s="21"/>
      <c r="UVN49" s="20"/>
      <c r="UVO49" s="20"/>
      <c r="UVP49" s="20"/>
      <c r="UVQ49" s="20"/>
      <c r="UVR49" s="21"/>
      <c r="UVS49" s="21"/>
      <c r="UVT49" s="7"/>
      <c r="UVU49" s="7"/>
      <c r="UVV49" s="21"/>
      <c r="UVW49" s="20"/>
      <c r="UVX49" s="20"/>
      <c r="UVY49" s="20"/>
      <c r="UVZ49" s="21"/>
      <c r="UWA49" s="21"/>
      <c r="UWB49" s="21"/>
      <c r="UWC49" s="21"/>
      <c r="UWD49" s="21"/>
      <c r="UWE49" s="20"/>
      <c r="UWF49" s="20"/>
      <c r="UWG49" s="20"/>
      <c r="UWH49" s="20"/>
      <c r="UWI49" s="21"/>
      <c r="UWJ49" s="21"/>
      <c r="UWK49" s="7"/>
      <c r="UWL49" s="7"/>
      <c r="UWM49" s="21"/>
      <c r="UWN49" s="20"/>
      <c r="UWO49" s="20"/>
      <c r="UWP49" s="20"/>
      <c r="UWQ49" s="21"/>
      <c r="UWR49" s="21"/>
      <c r="UWS49" s="21"/>
      <c r="UWT49" s="21"/>
      <c r="UWU49" s="21"/>
      <c r="UWV49" s="20"/>
      <c r="UWW49" s="20"/>
      <c r="UWX49" s="20"/>
      <c r="UWY49" s="20"/>
      <c r="UWZ49" s="21"/>
      <c r="UXA49" s="21"/>
      <c r="UXB49" s="7"/>
      <c r="UXC49" s="7"/>
      <c r="UXD49" s="21"/>
      <c r="UXE49" s="20"/>
      <c r="UXF49" s="20"/>
      <c r="UXG49" s="20"/>
      <c r="UXH49" s="21"/>
      <c r="UXI49" s="21"/>
      <c r="UXJ49" s="21"/>
      <c r="UXK49" s="21"/>
      <c r="UXL49" s="21"/>
      <c r="UXM49" s="20"/>
      <c r="UXN49" s="20"/>
      <c r="UXO49" s="20"/>
      <c r="UXP49" s="20"/>
      <c r="UXQ49" s="21"/>
      <c r="UXR49" s="21"/>
      <c r="UXS49" s="7"/>
      <c r="UXT49" s="7"/>
      <c r="UXU49" s="21"/>
      <c r="UXV49" s="20"/>
      <c r="UXW49" s="20"/>
      <c r="UXX49" s="20"/>
      <c r="UXY49" s="21"/>
      <c r="UXZ49" s="21"/>
      <c r="UYA49" s="21"/>
      <c r="UYB49" s="21"/>
      <c r="UYC49" s="21"/>
      <c r="UYD49" s="20"/>
      <c r="UYE49" s="20"/>
      <c r="UYF49" s="20"/>
      <c r="UYG49" s="20"/>
      <c r="UYH49" s="21"/>
      <c r="UYI49" s="21"/>
      <c r="UYJ49" s="7"/>
      <c r="UYK49" s="7"/>
      <c r="UYL49" s="21"/>
      <c r="UYM49" s="20"/>
      <c r="UYN49" s="20"/>
      <c r="UYO49" s="20"/>
      <c r="UYP49" s="21"/>
      <c r="UYQ49" s="21"/>
      <c r="UYR49" s="21"/>
      <c r="UYS49" s="21"/>
      <c r="UYT49" s="21"/>
      <c r="UYU49" s="20"/>
      <c r="UYV49" s="20"/>
      <c r="UYW49" s="20"/>
      <c r="UYX49" s="20"/>
      <c r="UYY49" s="21"/>
      <c r="UYZ49" s="21"/>
      <c r="UZA49" s="7"/>
      <c r="UZB49" s="7"/>
      <c r="UZC49" s="21"/>
      <c r="UZD49" s="20"/>
      <c r="UZE49" s="20"/>
      <c r="UZF49" s="20"/>
      <c r="UZG49" s="21"/>
      <c r="UZH49" s="21"/>
      <c r="UZI49" s="21"/>
      <c r="UZJ49" s="21"/>
      <c r="UZK49" s="21"/>
      <c r="UZL49" s="20"/>
      <c r="UZM49" s="20"/>
      <c r="UZN49" s="20"/>
      <c r="UZO49" s="20"/>
      <c r="UZP49" s="21"/>
      <c r="UZQ49" s="21"/>
      <c r="UZR49" s="7"/>
      <c r="UZS49" s="7"/>
      <c r="UZT49" s="21"/>
      <c r="UZU49" s="20"/>
      <c r="UZV49" s="20"/>
      <c r="UZW49" s="20"/>
      <c r="UZX49" s="21"/>
      <c r="UZY49" s="21"/>
      <c r="UZZ49" s="21"/>
      <c r="VAA49" s="21"/>
      <c r="VAB49" s="21"/>
      <c r="VAC49" s="20"/>
      <c r="VAD49" s="20"/>
      <c r="VAE49" s="20"/>
      <c r="VAF49" s="20"/>
      <c r="VAG49" s="21"/>
      <c r="VAH49" s="21"/>
      <c r="VAI49" s="7"/>
      <c r="VAJ49" s="7"/>
      <c r="VAK49" s="21"/>
      <c r="VAL49" s="20"/>
      <c r="VAM49" s="20"/>
      <c r="VAN49" s="20"/>
      <c r="VAO49" s="21"/>
      <c r="VAP49" s="21"/>
      <c r="VAQ49" s="21"/>
      <c r="VAR49" s="21"/>
      <c r="VAS49" s="21"/>
      <c r="VAT49" s="20"/>
      <c r="VAU49" s="20"/>
      <c r="VAV49" s="20"/>
      <c r="VAW49" s="20"/>
      <c r="VAX49" s="21"/>
      <c r="VAY49" s="21"/>
      <c r="VAZ49" s="7"/>
      <c r="VBA49" s="7"/>
      <c r="VBB49" s="21"/>
      <c r="VBC49" s="20"/>
      <c r="VBD49" s="20"/>
      <c r="VBE49" s="20"/>
      <c r="VBF49" s="21"/>
      <c r="VBG49" s="21"/>
      <c r="VBH49" s="21"/>
      <c r="VBI49" s="21"/>
      <c r="VBJ49" s="21"/>
      <c r="VBK49" s="20"/>
      <c r="VBL49" s="20"/>
      <c r="VBM49" s="20"/>
      <c r="VBN49" s="20"/>
      <c r="VBO49" s="21"/>
      <c r="VBP49" s="21"/>
      <c r="VBQ49" s="7"/>
      <c r="VBR49" s="7"/>
      <c r="VBS49" s="21"/>
      <c r="VBT49" s="20"/>
      <c r="VBU49" s="20"/>
      <c r="VBV49" s="20"/>
      <c r="VBW49" s="21"/>
      <c r="VBX49" s="21"/>
      <c r="VBY49" s="21"/>
      <c r="VBZ49" s="21"/>
      <c r="VCA49" s="21"/>
      <c r="VCB49" s="20"/>
      <c r="VCC49" s="20"/>
      <c r="VCD49" s="20"/>
      <c r="VCE49" s="20"/>
      <c r="VCF49" s="21"/>
      <c r="VCG49" s="21"/>
      <c r="VCH49" s="7"/>
      <c r="VCI49" s="7"/>
      <c r="VCJ49" s="21"/>
      <c r="VCK49" s="20"/>
      <c r="VCL49" s="20"/>
      <c r="VCM49" s="20"/>
      <c r="VCN49" s="21"/>
      <c r="VCO49" s="21"/>
      <c r="VCP49" s="21"/>
      <c r="VCQ49" s="21"/>
      <c r="VCR49" s="21"/>
      <c r="VCS49" s="20"/>
      <c r="VCT49" s="20"/>
      <c r="VCU49" s="20"/>
      <c r="VCV49" s="20"/>
      <c r="VCW49" s="21"/>
      <c r="VCX49" s="21"/>
      <c r="VCY49" s="7"/>
      <c r="VCZ49" s="7"/>
      <c r="VDA49" s="21"/>
      <c r="VDB49" s="20"/>
      <c r="VDC49" s="20"/>
      <c r="VDD49" s="20"/>
      <c r="VDE49" s="21"/>
      <c r="VDF49" s="21"/>
      <c r="VDG49" s="21"/>
      <c r="VDH49" s="21"/>
      <c r="VDI49" s="21"/>
      <c r="VDJ49" s="20"/>
      <c r="VDK49" s="20"/>
      <c r="VDL49" s="20"/>
      <c r="VDM49" s="20"/>
      <c r="VDN49" s="21"/>
      <c r="VDO49" s="21"/>
      <c r="VDP49" s="7"/>
      <c r="VDQ49" s="7"/>
      <c r="VDR49" s="21"/>
      <c r="VDS49" s="20"/>
      <c r="VDT49" s="20"/>
      <c r="VDU49" s="20"/>
      <c r="VDV49" s="21"/>
      <c r="VDW49" s="21"/>
      <c r="VDX49" s="21"/>
      <c r="VDY49" s="21"/>
      <c r="VDZ49" s="21"/>
      <c r="VEA49" s="20"/>
      <c r="VEB49" s="20"/>
      <c r="VEC49" s="20"/>
      <c r="VED49" s="20"/>
      <c r="VEE49" s="21"/>
      <c r="VEF49" s="21"/>
      <c r="VEG49" s="7"/>
      <c r="VEH49" s="7"/>
      <c r="VEI49" s="21"/>
      <c r="VEJ49" s="20"/>
      <c r="VEK49" s="20"/>
      <c r="VEL49" s="20"/>
      <c r="VEM49" s="21"/>
      <c r="VEN49" s="21"/>
      <c r="VEO49" s="21"/>
      <c r="VEP49" s="21"/>
      <c r="VEQ49" s="21"/>
      <c r="VER49" s="20"/>
      <c r="VES49" s="20"/>
      <c r="VET49" s="20"/>
      <c r="VEU49" s="20"/>
      <c r="VEV49" s="21"/>
      <c r="VEW49" s="21"/>
      <c r="VEX49" s="7"/>
      <c r="VEY49" s="7"/>
      <c r="VEZ49" s="21"/>
      <c r="VFA49" s="20"/>
      <c r="VFB49" s="20"/>
      <c r="VFC49" s="20"/>
      <c r="VFD49" s="21"/>
      <c r="VFE49" s="21"/>
      <c r="VFF49" s="21"/>
      <c r="VFG49" s="21"/>
      <c r="VFH49" s="21"/>
      <c r="VFI49" s="20"/>
      <c r="VFJ49" s="20"/>
      <c r="VFK49" s="20"/>
      <c r="VFL49" s="20"/>
      <c r="VFM49" s="21"/>
      <c r="VFN49" s="21"/>
      <c r="VFO49" s="7"/>
      <c r="VFP49" s="7"/>
      <c r="VFQ49" s="21"/>
      <c r="VFR49" s="20"/>
      <c r="VFS49" s="20"/>
      <c r="VFT49" s="20"/>
      <c r="VFU49" s="21"/>
      <c r="VFV49" s="21"/>
      <c r="VFW49" s="21"/>
      <c r="VFX49" s="21"/>
      <c r="VFY49" s="21"/>
      <c r="VFZ49" s="20"/>
      <c r="VGA49" s="20"/>
      <c r="VGB49" s="20"/>
      <c r="VGC49" s="20"/>
      <c r="VGD49" s="21"/>
      <c r="VGE49" s="21"/>
      <c r="VGF49" s="7"/>
      <c r="VGG49" s="7"/>
      <c r="VGH49" s="21"/>
      <c r="VGI49" s="20"/>
      <c r="VGJ49" s="20"/>
      <c r="VGK49" s="20"/>
      <c r="VGL49" s="21"/>
      <c r="VGM49" s="21"/>
      <c r="VGN49" s="21"/>
      <c r="VGO49" s="21"/>
      <c r="VGP49" s="21"/>
      <c r="VGQ49" s="20"/>
      <c r="VGR49" s="20"/>
      <c r="VGS49" s="20"/>
      <c r="VGT49" s="20"/>
      <c r="VGU49" s="21"/>
      <c r="VGV49" s="21"/>
      <c r="VGW49" s="7"/>
      <c r="VGX49" s="7"/>
      <c r="VGY49" s="21"/>
      <c r="VGZ49" s="20"/>
      <c r="VHA49" s="20"/>
      <c r="VHB49" s="20"/>
      <c r="VHC49" s="21"/>
      <c r="VHD49" s="21"/>
      <c r="VHE49" s="21"/>
      <c r="VHF49" s="21"/>
      <c r="VHG49" s="21"/>
      <c r="VHH49" s="20"/>
      <c r="VHI49" s="20"/>
      <c r="VHJ49" s="20"/>
      <c r="VHK49" s="20"/>
      <c r="VHL49" s="21"/>
      <c r="VHM49" s="21"/>
      <c r="VHN49" s="7"/>
      <c r="VHO49" s="7"/>
      <c r="VHP49" s="21"/>
      <c r="VHQ49" s="20"/>
      <c r="VHR49" s="20"/>
      <c r="VHS49" s="20"/>
      <c r="VHT49" s="21"/>
      <c r="VHU49" s="21"/>
      <c r="VHV49" s="21"/>
      <c r="VHW49" s="21"/>
      <c r="VHX49" s="21"/>
      <c r="VHY49" s="20"/>
      <c r="VHZ49" s="20"/>
      <c r="VIA49" s="20"/>
      <c r="VIB49" s="20"/>
      <c r="VIC49" s="21"/>
      <c r="VID49" s="21"/>
      <c r="VIE49" s="7"/>
      <c r="VIF49" s="7"/>
      <c r="VIG49" s="21"/>
      <c r="VIH49" s="20"/>
      <c r="VII49" s="20"/>
      <c r="VIJ49" s="20"/>
      <c r="VIK49" s="21"/>
      <c r="VIL49" s="21"/>
      <c r="VIM49" s="21"/>
      <c r="VIN49" s="21"/>
      <c r="VIO49" s="21"/>
      <c r="VIP49" s="20"/>
      <c r="VIQ49" s="20"/>
      <c r="VIR49" s="20"/>
      <c r="VIS49" s="20"/>
      <c r="VIT49" s="21"/>
      <c r="VIU49" s="21"/>
      <c r="VIV49" s="7"/>
      <c r="VIW49" s="7"/>
      <c r="VIX49" s="21"/>
      <c r="VIY49" s="20"/>
      <c r="VIZ49" s="20"/>
      <c r="VJA49" s="20"/>
      <c r="VJB49" s="21"/>
      <c r="VJC49" s="21"/>
      <c r="VJD49" s="21"/>
      <c r="VJE49" s="21"/>
      <c r="VJF49" s="21"/>
      <c r="VJG49" s="20"/>
      <c r="VJH49" s="20"/>
      <c r="VJI49" s="20"/>
      <c r="VJJ49" s="20"/>
      <c r="VJK49" s="21"/>
      <c r="VJL49" s="21"/>
      <c r="VJM49" s="7"/>
      <c r="VJN49" s="7"/>
      <c r="VJO49" s="21"/>
      <c r="VJP49" s="20"/>
      <c r="VJQ49" s="20"/>
      <c r="VJR49" s="20"/>
      <c r="VJS49" s="21"/>
      <c r="VJT49" s="21"/>
      <c r="VJU49" s="21"/>
      <c r="VJV49" s="21"/>
      <c r="VJW49" s="21"/>
      <c r="VJX49" s="20"/>
      <c r="VJY49" s="20"/>
      <c r="VJZ49" s="20"/>
      <c r="VKA49" s="20"/>
      <c r="VKB49" s="21"/>
      <c r="VKC49" s="21"/>
      <c r="VKD49" s="7"/>
      <c r="VKE49" s="7"/>
      <c r="VKF49" s="21"/>
      <c r="VKG49" s="20"/>
      <c r="VKH49" s="20"/>
      <c r="VKI49" s="20"/>
      <c r="VKJ49" s="21"/>
      <c r="VKK49" s="21"/>
      <c r="VKL49" s="21"/>
      <c r="VKM49" s="21"/>
      <c r="VKN49" s="21"/>
      <c r="VKO49" s="20"/>
      <c r="VKP49" s="20"/>
      <c r="VKQ49" s="20"/>
      <c r="VKR49" s="20"/>
      <c r="VKS49" s="21"/>
      <c r="VKT49" s="21"/>
      <c r="VKU49" s="7"/>
      <c r="VKV49" s="7"/>
      <c r="VKW49" s="21"/>
      <c r="VKX49" s="20"/>
      <c r="VKY49" s="20"/>
      <c r="VKZ49" s="20"/>
      <c r="VLA49" s="21"/>
      <c r="VLB49" s="21"/>
      <c r="VLC49" s="21"/>
      <c r="VLD49" s="21"/>
      <c r="VLE49" s="21"/>
      <c r="VLF49" s="20"/>
      <c r="VLG49" s="20"/>
      <c r="VLH49" s="20"/>
      <c r="VLI49" s="20"/>
      <c r="VLJ49" s="21"/>
      <c r="VLK49" s="21"/>
      <c r="VLL49" s="7"/>
      <c r="VLM49" s="7"/>
      <c r="VLN49" s="21"/>
      <c r="VLO49" s="20"/>
      <c r="VLP49" s="20"/>
      <c r="VLQ49" s="20"/>
      <c r="VLR49" s="21"/>
      <c r="VLS49" s="21"/>
      <c r="VLT49" s="21"/>
      <c r="VLU49" s="21"/>
      <c r="VLV49" s="21"/>
      <c r="VLW49" s="20"/>
      <c r="VLX49" s="20"/>
      <c r="VLY49" s="20"/>
      <c r="VLZ49" s="20"/>
      <c r="VMA49" s="21"/>
      <c r="VMB49" s="21"/>
      <c r="VMC49" s="7"/>
      <c r="VMD49" s="7"/>
      <c r="VME49" s="21"/>
      <c r="VMF49" s="20"/>
      <c r="VMG49" s="20"/>
      <c r="VMH49" s="20"/>
      <c r="VMI49" s="21"/>
      <c r="VMJ49" s="21"/>
      <c r="VMK49" s="21"/>
      <c r="VML49" s="21"/>
      <c r="VMM49" s="21"/>
      <c r="VMN49" s="20"/>
      <c r="VMO49" s="20"/>
      <c r="VMP49" s="20"/>
      <c r="VMQ49" s="20"/>
      <c r="VMR49" s="21"/>
      <c r="VMS49" s="21"/>
      <c r="VMT49" s="7"/>
      <c r="VMU49" s="7"/>
      <c r="VMV49" s="21"/>
      <c r="VMW49" s="20"/>
      <c r="VMX49" s="20"/>
      <c r="VMY49" s="20"/>
      <c r="VMZ49" s="21"/>
      <c r="VNA49" s="21"/>
      <c r="VNB49" s="21"/>
      <c r="VNC49" s="21"/>
      <c r="VND49" s="21"/>
      <c r="VNE49" s="20"/>
      <c r="VNF49" s="20"/>
      <c r="VNG49" s="20"/>
      <c r="VNH49" s="20"/>
      <c r="VNI49" s="21"/>
      <c r="VNJ49" s="21"/>
      <c r="VNK49" s="7"/>
      <c r="VNL49" s="7"/>
      <c r="VNM49" s="21"/>
      <c r="VNN49" s="20"/>
      <c r="VNO49" s="20"/>
      <c r="VNP49" s="20"/>
      <c r="VNQ49" s="21"/>
      <c r="VNR49" s="21"/>
      <c r="VNS49" s="21"/>
      <c r="VNT49" s="21"/>
      <c r="VNU49" s="21"/>
      <c r="VNV49" s="20"/>
      <c r="VNW49" s="20"/>
      <c r="VNX49" s="20"/>
      <c r="VNY49" s="20"/>
      <c r="VNZ49" s="21"/>
      <c r="VOA49" s="21"/>
      <c r="VOB49" s="7"/>
      <c r="VOC49" s="7"/>
      <c r="VOD49" s="21"/>
      <c r="VOE49" s="20"/>
      <c r="VOF49" s="20"/>
      <c r="VOG49" s="20"/>
      <c r="VOH49" s="21"/>
      <c r="VOI49" s="21"/>
      <c r="VOJ49" s="21"/>
      <c r="VOK49" s="21"/>
      <c r="VOL49" s="21"/>
      <c r="VOM49" s="20"/>
      <c r="VON49" s="20"/>
      <c r="VOO49" s="20"/>
      <c r="VOP49" s="20"/>
      <c r="VOQ49" s="21"/>
      <c r="VOR49" s="21"/>
      <c r="VOS49" s="7"/>
      <c r="VOT49" s="7"/>
      <c r="VOU49" s="21"/>
      <c r="VOV49" s="20"/>
      <c r="VOW49" s="20"/>
      <c r="VOX49" s="20"/>
      <c r="VOY49" s="21"/>
      <c r="VOZ49" s="21"/>
      <c r="VPA49" s="21"/>
      <c r="VPB49" s="21"/>
      <c r="VPC49" s="21"/>
      <c r="VPD49" s="20"/>
      <c r="VPE49" s="20"/>
      <c r="VPF49" s="20"/>
      <c r="VPG49" s="20"/>
      <c r="VPH49" s="21"/>
      <c r="VPI49" s="21"/>
      <c r="VPJ49" s="7"/>
      <c r="VPK49" s="7"/>
      <c r="VPL49" s="21"/>
      <c r="VPM49" s="20"/>
      <c r="VPN49" s="20"/>
      <c r="VPO49" s="20"/>
      <c r="VPP49" s="21"/>
      <c r="VPQ49" s="21"/>
      <c r="VPR49" s="21"/>
      <c r="VPS49" s="21"/>
      <c r="VPT49" s="21"/>
      <c r="VPU49" s="20"/>
      <c r="VPV49" s="20"/>
      <c r="VPW49" s="20"/>
      <c r="VPX49" s="20"/>
      <c r="VPY49" s="21"/>
      <c r="VPZ49" s="21"/>
      <c r="VQA49" s="7"/>
      <c r="VQB49" s="7"/>
      <c r="VQC49" s="21"/>
      <c r="VQD49" s="20"/>
      <c r="VQE49" s="20"/>
      <c r="VQF49" s="20"/>
      <c r="VQG49" s="21"/>
      <c r="VQH49" s="21"/>
      <c r="VQI49" s="21"/>
      <c r="VQJ49" s="21"/>
      <c r="VQK49" s="21"/>
      <c r="VQL49" s="20"/>
      <c r="VQM49" s="20"/>
      <c r="VQN49" s="20"/>
      <c r="VQO49" s="20"/>
      <c r="VQP49" s="21"/>
      <c r="VQQ49" s="21"/>
      <c r="VQR49" s="7"/>
      <c r="VQS49" s="7"/>
      <c r="VQT49" s="21"/>
      <c r="VQU49" s="20"/>
      <c r="VQV49" s="20"/>
      <c r="VQW49" s="20"/>
      <c r="VQX49" s="21"/>
      <c r="VQY49" s="21"/>
      <c r="VQZ49" s="21"/>
      <c r="VRA49" s="21"/>
      <c r="VRB49" s="21"/>
      <c r="VRC49" s="20"/>
      <c r="VRD49" s="20"/>
      <c r="VRE49" s="20"/>
      <c r="VRF49" s="20"/>
      <c r="VRG49" s="21"/>
      <c r="VRH49" s="21"/>
      <c r="VRI49" s="7"/>
      <c r="VRJ49" s="7"/>
      <c r="VRK49" s="21"/>
      <c r="VRL49" s="20"/>
      <c r="VRM49" s="20"/>
      <c r="VRN49" s="20"/>
      <c r="VRO49" s="21"/>
      <c r="VRP49" s="21"/>
      <c r="VRQ49" s="21"/>
      <c r="VRR49" s="21"/>
      <c r="VRS49" s="21"/>
      <c r="VRT49" s="20"/>
      <c r="VRU49" s="20"/>
      <c r="VRV49" s="20"/>
      <c r="VRW49" s="20"/>
      <c r="VRX49" s="21"/>
      <c r="VRY49" s="21"/>
      <c r="VRZ49" s="7"/>
      <c r="VSA49" s="7"/>
      <c r="VSB49" s="21"/>
      <c r="VSC49" s="20"/>
      <c r="VSD49" s="20"/>
      <c r="VSE49" s="20"/>
      <c r="VSF49" s="21"/>
      <c r="VSG49" s="21"/>
      <c r="VSH49" s="21"/>
      <c r="VSI49" s="21"/>
      <c r="VSJ49" s="21"/>
      <c r="VSK49" s="20"/>
      <c r="VSL49" s="20"/>
      <c r="VSM49" s="20"/>
      <c r="VSN49" s="20"/>
      <c r="VSO49" s="21"/>
      <c r="VSP49" s="21"/>
      <c r="VSQ49" s="7"/>
      <c r="VSR49" s="7"/>
      <c r="VSS49" s="21"/>
      <c r="VST49" s="20"/>
      <c r="VSU49" s="20"/>
      <c r="VSV49" s="20"/>
      <c r="VSW49" s="21"/>
      <c r="VSX49" s="21"/>
      <c r="VSY49" s="21"/>
      <c r="VSZ49" s="21"/>
      <c r="VTA49" s="21"/>
      <c r="VTB49" s="20"/>
      <c r="VTC49" s="20"/>
      <c r="VTD49" s="20"/>
      <c r="VTE49" s="20"/>
      <c r="VTF49" s="21"/>
      <c r="VTG49" s="21"/>
      <c r="VTH49" s="7"/>
      <c r="VTI49" s="7"/>
      <c r="VTJ49" s="21"/>
      <c r="VTK49" s="20"/>
      <c r="VTL49" s="20"/>
      <c r="VTM49" s="20"/>
      <c r="VTN49" s="21"/>
      <c r="VTO49" s="21"/>
      <c r="VTP49" s="21"/>
      <c r="VTQ49" s="21"/>
      <c r="VTR49" s="21"/>
      <c r="VTS49" s="20"/>
      <c r="VTT49" s="20"/>
      <c r="VTU49" s="20"/>
      <c r="VTV49" s="20"/>
      <c r="VTW49" s="21"/>
      <c r="VTX49" s="21"/>
      <c r="VTY49" s="7"/>
      <c r="VTZ49" s="7"/>
      <c r="VUA49" s="21"/>
      <c r="VUB49" s="20"/>
      <c r="VUC49" s="20"/>
      <c r="VUD49" s="20"/>
      <c r="VUE49" s="21"/>
      <c r="VUF49" s="21"/>
      <c r="VUG49" s="21"/>
      <c r="VUH49" s="21"/>
      <c r="VUI49" s="21"/>
      <c r="VUJ49" s="20"/>
      <c r="VUK49" s="20"/>
      <c r="VUL49" s="20"/>
      <c r="VUM49" s="20"/>
      <c r="VUN49" s="21"/>
      <c r="VUO49" s="21"/>
      <c r="VUP49" s="7"/>
      <c r="VUQ49" s="7"/>
      <c r="VUR49" s="21"/>
      <c r="VUS49" s="20"/>
      <c r="VUT49" s="20"/>
      <c r="VUU49" s="20"/>
      <c r="VUV49" s="21"/>
      <c r="VUW49" s="21"/>
      <c r="VUX49" s="21"/>
      <c r="VUY49" s="21"/>
      <c r="VUZ49" s="21"/>
      <c r="VVA49" s="20"/>
      <c r="VVB49" s="20"/>
      <c r="VVC49" s="20"/>
      <c r="VVD49" s="20"/>
      <c r="VVE49" s="21"/>
      <c r="VVF49" s="21"/>
      <c r="VVG49" s="7"/>
      <c r="VVH49" s="7"/>
      <c r="VVI49" s="21"/>
      <c r="VVJ49" s="20"/>
      <c r="VVK49" s="20"/>
      <c r="VVL49" s="20"/>
      <c r="VVM49" s="21"/>
      <c r="VVN49" s="21"/>
      <c r="VVO49" s="21"/>
      <c r="VVP49" s="21"/>
      <c r="VVQ49" s="21"/>
      <c r="VVR49" s="20"/>
      <c r="VVS49" s="20"/>
      <c r="VVT49" s="20"/>
      <c r="VVU49" s="20"/>
      <c r="VVV49" s="21"/>
      <c r="VVW49" s="21"/>
      <c r="VVX49" s="7"/>
      <c r="VVY49" s="7"/>
      <c r="VVZ49" s="21"/>
      <c r="VWA49" s="20"/>
      <c r="VWB49" s="20"/>
      <c r="VWC49" s="20"/>
      <c r="VWD49" s="21"/>
      <c r="VWE49" s="21"/>
      <c r="VWF49" s="21"/>
      <c r="VWG49" s="21"/>
      <c r="VWH49" s="21"/>
      <c r="VWI49" s="20"/>
      <c r="VWJ49" s="20"/>
      <c r="VWK49" s="20"/>
      <c r="VWL49" s="20"/>
      <c r="VWM49" s="21"/>
      <c r="VWN49" s="21"/>
      <c r="VWO49" s="7"/>
      <c r="VWP49" s="7"/>
      <c r="VWQ49" s="21"/>
      <c r="VWR49" s="20"/>
      <c r="VWS49" s="20"/>
      <c r="VWT49" s="20"/>
      <c r="VWU49" s="21"/>
      <c r="VWV49" s="21"/>
      <c r="VWW49" s="21"/>
      <c r="VWX49" s="21"/>
      <c r="VWY49" s="21"/>
      <c r="VWZ49" s="20"/>
      <c r="VXA49" s="20"/>
      <c r="VXB49" s="20"/>
      <c r="VXC49" s="20"/>
      <c r="VXD49" s="21"/>
      <c r="VXE49" s="21"/>
      <c r="VXF49" s="7"/>
      <c r="VXG49" s="7"/>
      <c r="VXH49" s="21"/>
      <c r="VXI49" s="20"/>
      <c r="VXJ49" s="20"/>
      <c r="VXK49" s="20"/>
      <c r="VXL49" s="21"/>
      <c r="VXM49" s="21"/>
      <c r="VXN49" s="21"/>
      <c r="VXO49" s="21"/>
      <c r="VXP49" s="21"/>
      <c r="VXQ49" s="20"/>
      <c r="VXR49" s="20"/>
      <c r="VXS49" s="20"/>
      <c r="VXT49" s="20"/>
      <c r="VXU49" s="21"/>
      <c r="VXV49" s="21"/>
      <c r="VXW49" s="7"/>
      <c r="VXX49" s="7"/>
      <c r="VXY49" s="21"/>
      <c r="VXZ49" s="20"/>
      <c r="VYA49" s="20"/>
      <c r="VYB49" s="20"/>
      <c r="VYC49" s="21"/>
      <c r="VYD49" s="21"/>
      <c r="VYE49" s="21"/>
      <c r="VYF49" s="21"/>
      <c r="VYG49" s="21"/>
      <c r="VYH49" s="20"/>
      <c r="VYI49" s="20"/>
      <c r="VYJ49" s="20"/>
      <c r="VYK49" s="20"/>
      <c r="VYL49" s="21"/>
      <c r="VYM49" s="21"/>
      <c r="VYN49" s="7"/>
      <c r="VYO49" s="7"/>
      <c r="VYP49" s="21"/>
      <c r="VYQ49" s="20"/>
      <c r="VYR49" s="20"/>
      <c r="VYS49" s="20"/>
      <c r="VYT49" s="21"/>
      <c r="VYU49" s="21"/>
      <c r="VYV49" s="21"/>
      <c r="VYW49" s="21"/>
      <c r="VYX49" s="21"/>
      <c r="VYY49" s="20"/>
      <c r="VYZ49" s="20"/>
      <c r="VZA49" s="20"/>
      <c r="VZB49" s="20"/>
      <c r="VZC49" s="21"/>
      <c r="VZD49" s="21"/>
      <c r="VZE49" s="7"/>
      <c r="VZF49" s="7"/>
      <c r="VZG49" s="21"/>
      <c r="VZH49" s="20"/>
      <c r="VZI49" s="20"/>
      <c r="VZJ49" s="20"/>
      <c r="VZK49" s="21"/>
      <c r="VZL49" s="21"/>
      <c r="VZM49" s="21"/>
      <c r="VZN49" s="21"/>
      <c r="VZO49" s="21"/>
      <c r="VZP49" s="20"/>
      <c r="VZQ49" s="20"/>
      <c r="VZR49" s="20"/>
      <c r="VZS49" s="20"/>
      <c r="VZT49" s="21"/>
      <c r="VZU49" s="21"/>
      <c r="VZV49" s="7"/>
      <c r="VZW49" s="7"/>
      <c r="VZX49" s="21"/>
      <c r="VZY49" s="20"/>
      <c r="VZZ49" s="20"/>
      <c r="WAA49" s="20"/>
      <c r="WAB49" s="21"/>
      <c r="WAC49" s="21"/>
      <c r="WAD49" s="21"/>
      <c r="WAE49" s="21"/>
      <c r="WAF49" s="21"/>
      <c r="WAG49" s="20"/>
      <c r="WAH49" s="20"/>
      <c r="WAI49" s="20"/>
      <c r="WAJ49" s="20"/>
      <c r="WAK49" s="21"/>
      <c r="WAL49" s="21"/>
      <c r="WAM49" s="7"/>
      <c r="WAN49" s="7"/>
      <c r="WAO49" s="21"/>
      <c r="WAP49" s="20"/>
      <c r="WAQ49" s="20"/>
      <c r="WAR49" s="20"/>
      <c r="WAS49" s="21"/>
      <c r="WAT49" s="21"/>
      <c r="WAU49" s="21"/>
      <c r="WAV49" s="21"/>
      <c r="WAW49" s="21"/>
      <c r="WAX49" s="20"/>
      <c r="WAY49" s="20"/>
      <c r="WAZ49" s="20"/>
      <c r="WBA49" s="20"/>
      <c r="WBB49" s="21"/>
      <c r="WBC49" s="21"/>
      <c r="WBD49" s="7"/>
      <c r="WBE49" s="7"/>
      <c r="WBF49" s="21"/>
      <c r="WBG49" s="20"/>
      <c r="WBH49" s="20"/>
      <c r="WBI49" s="20"/>
      <c r="WBJ49" s="21"/>
      <c r="WBK49" s="21"/>
      <c r="WBL49" s="21"/>
      <c r="WBM49" s="21"/>
      <c r="WBN49" s="21"/>
      <c r="WBO49" s="20"/>
      <c r="WBP49" s="20"/>
      <c r="WBQ49" s="20"/>
      <c r="WBR49" s="20"/>
      <c r="WBS49" s="21"/>
      <c r="WBT49" s="21"/>
      <c r="WBU49" s="7"/>
      <c r="WBV49" s="7"/>
      <c r="WBW49" s="21"/>
      <c r="WBX49" s="20"/>
      <c r="WBY49" s="20"/>
      <c r="WBZ49" s="20"/>
      <c r="WCA49" s="21"/>
      <c r="WCB49" s="21"/>
      <c r="WCC49" s="21"/>
      <c r="WCD49" s="21"/>
      <c r="WCE49" s="21"/>
      <c r="WCF49" s="20"/>
      <c r="WCG49" s="20"/>
      <c r="WCH49" s="20"/>
      <c r="WCI49" s="20"/>
      <c r="WCJ49" s="21"/>
      <c r="WCK49" s="21"/>
      <c r="WCL49" s="7"/>
      <c r="WCM49" s="7"/>
      <c r="WCN49" s="21"/>
      <c r="WCO49" s="20"/>
      <c r="WCP49" s="20"/>
      <c r="WCQ49" s="20"/>
      <c r="WCR49" s="21"/>
      <c r="WCS49" s="21"/>
      <c r="WCT49" s="21"/>
      <c r="WCU49" s="21"/>
      <c r="WCV49" s="21"/>
      <c r="WCW49" s="20"/>
      <c r="WCX49" s="20"/>
      <c r="WCY49" s="20"/>
      <c r="WCZ49" s="20"/>
      <c r="WDA49" s="21"/>
      <c r="WDB49" s="21"/>
      <c r="WDC49" s="7"/>
      <c r="WDD49" s="7"/>
      <c r="WDE49" s="21"/>
      <c r="WDF49" s="20"/>
      <c r="WDG49" s="20"/>
      <c r="WDH49" s="20"/>
      <c r="WDI49" s="21"/>
      <c r="WDJ49" s="21"/>
      <c r="WDK49" s="21"/>
      <c r="WDL49" s="21"/>
      <c r="WDM49" s="21"/>
      <c r="WDN49" s="20"/>
      <c r="WDO49" s="20"/>
      <c r="WDP49" s="20"/>
      <c r="WDQ49" s="20"/>
      <c r="WDR49" s="21"/>
      <c r="WDS49" s="21"/>
      <c r="WDT49" s="7"/>
      <c r="WDU49" s="7"/>
      <c r="WDV49" s="21"/>
      <c r="WDW49" s="20"/>
      <c r="WDX49" s="20"/>
      <c r="WDY49" s="20"/>
      <c r="WDZ49" s="21"/>
      <c r="WEA49" s="21"/>
      <c r="WEB49" s="21"/>
      <c r="WEC49" s="21"/>
      <c r="WED49" s="21"/>
      <c r="WEE49" s="20"/>
      <c r="WEF49" s="20"/>
      <c r="WEG49" s="20"/>
      <c r="WEH49" s="20"/>
      <c r="WEI49" s="21"/>
      <c r="WEJ49" s="21"/>
      <c r="WEK49" s="7"/>
      <c r="WEL49" s="7"/>
      <c r="WEM49" s="21"/>
      <c r="WEN49" s="20"/>
      <c r="WEO49" s="20"/>
      <c r="WEP49" s="20"/>
      <c r="WEQ49" s="21"/>
      <c r="WER49" s="21"/>
      <c r="WES49" s="21"/>
      <c r="WET49" s="21"/>
      <c r="WEU49" s="21"/>
      <c r="WEV49" s="20"/>
      <c r="WEW49" s="20"/>
      <c r="WEX49" s="20"/>
      <c r="WEY49" s="20"/>
      <c r="WEZ49" s="21"/>
      <c r="WFA49" s="21"/>
      <c r="WFB49" s="7"/>
      <c r="WFC49" s="7"/>
      <c r="WFD49" s="21"/>
      <c r="WFE49" s="20"/>
      <c r="WFF49" s="20"/>
      <c r="WFG49" s="20"/>
      <c r="WFH49" s="21"/>
      <c r="WFI49" s="21"/>
      <c r="WFJ49" s="21"/>
      <c r="WFK49" s="21"/>
      <c r="WFL49" s="21"/>
      <c r="WFM49" s="20"/>
      <c r="WFN49" s="20"/>
      <c r="WFO49" s="20"/>
      <c r="WFP49" s="20"/>
      <c r="WFQ49" s="21"/>
      <c r="WFR49" s="21"/>
      <c r="WFS49" s="7"/>
      <c r="WFT49" s="7"/>
      <c r="WFU49" s="21"/>
      <c r="WFV49" s="20"/>
      <c r="WFW49" s="20"/>
      <c r="WFX49" s="20"/>
      <c r="WFY49" s="21"/>
      <c r="WFZ49" s="21"/>
      <c r="WGA49" s="21"/>
      <c r="WGB49" s="21"/>
      <c r="WGC49" s="21"/>
      <c r="WGD49" s="20"/>
      <c r="WGE49" s="20"/>
      <c r="WGF49" s="20"/>
      <c r="WGG49" s="20"/>
      <c r="WGH49" s="21"/>
      <c r="WGI49" s="21"/>
      <c r="WGJ49" s="7"/>
      <c r="WGK49" s="7"/>
      <c r="WGL49" s="21"/>
      <c r="WGM49" s="20"/>
      <c r="WGN49" s="20"/>
      <c r="WGO49" s="20"/>
      <c r="WGP49" s="21"/>
      <c r="WGQ49" s="21"/>
      <c r="WGR49" s="21"/>
      <c r="WGS49" s="21"/>
      <c r="WGT49" s="21"/>
      <c r="WGU49" s="20"/>
      <c r="WGV49" s="20"/>
      <c r="WGW49" s="20"/>
      <c r="WGX49" s="20"/>
      <c r="WGY49" s="21"/>
      <c r="WGZ49" s="21"/>
      <c r="WHA49" s="7"/>
      <c r="WHB49" s="7"/>
      <c r="WHC49" s="21"/>
      <c r="WHD49" s="20"/>
      <c r="WHE49" s="20"/>
      <c r="WHF49" s="20"/>
      <c r="WHG49" s="21"/>
      <c r="WHH49" s="21"/>
      <c r="WHI49" s="21"/>
      <c r="WHJ49" s="21"/>
      <c r="WHK49" s="21"/>
      <c r="WHL49" s="20"/>
      <c r="WHM49" s="20"/>
      <c r="WHN49" s="20"/>
      <c r="WHO49" s="20"/>
      <c r="WHP49" s="21"/>
      <c r="WHQ49" s="21"/>
      <c r="WHR49" s="7"/>
      <c r="WHS49" s="7"/>
      <c r="WHT49" s="21"/>
      <c r="WHU49" s="20"/>
      <c r="WHV49" s="20"/>
      <c r="WHW49" s="20"/>
      <c r="WHX49" s="21"/>
      <c r="WHY49" s="21"/>
      <c r="WHZ49" s="21"/>
      <c r="WIA49" s="21"/>
      <c r="WIB49" s="21"/>
      <c r="WIC49" s="20"/>
      <c r="WID49" s="20"/>
      <c r="WIE49" s="20"/>
      <c r="WIF49" s="20"/>
      <c r="WIG49" s="21"/>
      <c r="WIH49" s="21"/>
      <c r="WII49" s="7"/>
      <c r="WIJ49" s="7"/>
      <c r="WIK49" s="21"/>
      <c r="WIL49" s="20"/>
      <c r="WIM49" s="20"/>
      <c r="WIN49" s="20"/>
      <c r="WIO49" s="21"/>
      <c r="WIP49" s="21"/>
      <c r="WIQ49" s="21"/>
      <c r="WIR49" s="21"/>
      <c r="WIS49" s="21"/>
      <c r="WIT49" s="20"/>
      <c r="WIU49" s="20"/>
      <c r="WIV49" s="20"/>
      <c r="WIW49" s="20"/>
      <c r="WIX49" s="21"/>
      <c r="WIY49" s="21"/>
      <c r="WIZ49" s="7"/>
      <c r="WJA49" s="7"/>
      <c r="WJB49" s="21"/>
      <c r="WJC49" s="20"/>
      <c r="WJD49" s="20"/>
      <c r="WJE49" s="20"/>
      <c r="WJF49" s="21"/>
      <c r="WJG49" s="21"/>
      <c r="WJH49" s="21"/>
      <c r="WJI49" s="21"/>
      <c r="WJJ49" s="21"/>
      <c r="WJK49" s="20"/>
      <c r="WJL49" s="20"/>
      <c r="WJM49" s="20"/>
      <c r="WJN49" s="20"/>
      <c r="WJO49" s="21"/>
      <c r="WJP49" s="21"/>
      <c r="WJQ49" s="7"/>
      <c r="WJR49" s="7"/>
      <c r="WJS49" s="21"/>
      <c r="WJT49" s="20"/>
      <c r="WJU49" s="20"/>
      <c r="WJV49" s="20"/>
      <c r="WJW49" s="21"/>
      <c r="WJX49" s="21"/>
      <c r="WJY49" s="21"/>
      <c r="WJZ49" s="21"/>
      <c r="WKA49" s="21"/>
      <c r="WKB49" s="20"/>
      <c r="WKC49" s="20"/>
      <c r="WKD49" s="20"/>
      <c r="WKE49" s="20"/>
      <c r="WKF49" s="21"/>
      <c r="WKG49" s="21"/>
      <c r="WKH49" s="7"/>
      <c r="WKI49" s="7"/>
      <c r="WKJ49" s="21"/>
      <c r="WKK49" s="20"/>
      <c r="WKL49" s="20"/>
      <c r="WKM49" s="20"/>
      <c r="WKN49" s="21"/>
      <c r="WKO49" s="21"/>
      <c r="WKP49" s="21"/>
      <c r="WKQ49" s="21"/>
      <c r="WKR49" s="21"/>
      <c r="WKS49" s="20"/>
      <c r="WKT49" s="20"/>
      <c r="WKU49" s="20"/>
      <c r="WKV49" s="20"/>
      <c r="WKW49" s="21"/>
      <c r="WKX49" s="21"/>
      <c r="WKY49" s="7"/>
      <c r="WKZ49" s="7"/>
      <c r="WLA49" s="21"/>
      <c r="WLB49" s="20"/>
      <c r="WLC49" s="20"/>
      <c r="WLD49" s="20"/>
      <c r="WLE49" s="21"/>
      <c r="WLF49" s="21"/>
      <c r="WLG49" s="21"/>
      <c r="WLH49" s="21"/>
      <c r="WLI49" s="21"/>
      <c r="WLJ49" s="20"/>
      <c r="WLK49" s="20"/>
      <c r="WLL49" s="20"/>
      <c r="WLM49" s="20"/>
      <c r="WLN49" s="21"/>
      <c r="WLO49" s="21"/>
      <c r="WLP49" s="7"/>
      <c r="WLQ49" s="7"/>
      <c r="WLR49" s="21"/>
      <c r="WLS49" s="20"/>
      <c r="WLT49" s="20"/>
      <c r="WLU49" s="20"/>
      <c r="WLV49" s="21"/>
      <c r="WLW49" s="21"/>
      <c r="WLX49" s="21"/>
      <c r="WLY49" s="21"/>
      <c r="WLZ49" s="21"/>
      <c r="WMA49" s="20"/>
      <c r="WMB49" s="20"/>
      <c r="WMC49" s="20"/>
      <c r="WMD49" s="20"/>
      <c r="WME49" s="21"/>
      <c r="WMF49" s="21"/>
      <c r="WMG49" s="7"/>
      <c r="WMH49" s="7"/>
      <c r="WMI49" s="21"/>
      <c r="WMJ49" s="20"/>
      <c r="WMK49" s="20"/>
      <c r="WML49" s="20"/>
      <c r="WMM49" s="21"/>
      <c r="WMN49" s="21"/>
      <c r="WMO49" s="21"/>
      <c r="WMP49" s="21"/>
      <c r="WMQ49" s="21"/>
      <c r="WMR49" s="20"/>
      <c r="WMS49" s="20"/>
      <c r="WMT49" s="20"/>
      <c r="WMU49" s="20"/>
      <c r="WMV49" s="21"/>
      <c r="WMW49" s="21"/>
      <c r="WMX49" s="7"/>
      <c r="WMY49" s="7"/>
      <c r="WMZ49" s="21"/>
      <c r="WNA49" s="20"/>
      <c r="WNB49" s="20"/>
      <c r="WNC49" s="20"/>
      <c r="WND49" s="21"/>
      <c r="WNE49" s="21"/>
      <c r="WNF49" s="21"/>
      <c r="WNG49" s="21"/>
      <c r="WNH49" s="21"/>
      <c r="WNI49" s="20"/>
      <c r="WNJ49" s="20"/>
      <c r="WNK49" s="20"/>
      <c r="WNL49" s="20"/>
      <c r="WNM49" s="21"/>
      <c r="WNN49" s="21"/>
      <c r="WNO49" s="7"/>
      <c r="WNP49" s="7"/>
      <c r="WNQ49" s="21"/>
      <c r="WNR49" s="20"/>
      <c r="WNS49" s="20"/>
      <c r="WNT49" s="20"/>
      <c r="WNU49" s="21"/>
      <c r="WNV49" s="21"/>
      <c r="WNW49" s="21"/>
      <c r="WNX49" s="21"/>
      <c r="WNY49" s="21"/>
      <c r="WNZ49" s="20"/>
      <c r="WOA49" s="20"/>
      <c r="WOB49" s="20"/>
      <c r="WOC49" s="20"/>
      <c r="WOD49" s="21"/>
      <c r="WOE49" s="21"/>
      <c r="WOF49" s="7"/>
      <c r="WOG49" s="7"/>
      <c r="WOH49" s="21"/>
      <c r="WOI49" s="20"/>
      <c r="WOJ49" s="20"/>
      <c r="WOK49" s="20"/>
      <c r="WOL49" s="21"/>
      <c r="WOM49" s="21"/>
      <c r="WON49" s="21"/>
      <c r="WOO49" s="21"/>
      <c r="WOP49" s="21"/>
      <c r="WOQ49" s="20"/>
      <c r="WOR49" s="20"/>
      <c r="WOS49" s="20"/>
      <c r="WOT49" s="20"/>
      <c r="WOU49" s="21"/>
      <c r="WOV49" s="21"/>
      <c r="WOW49" s="7"/>
      <c r="WOX49" s="7"/>
      <c r="WOY49" s="21"/>
      <c r="WOZ49" s="20"/>
      <c r="WPA49" s="20"/>
      <c r="WPB49" s="20"/>
      <c r="WPC49" s="21"/>
      <c r="WPD49" s="21"/>
      <c r="WPE49" s="21"/>
      <c r="WPF49" s="21"/>
      <c r="WPG49" s="21"/>
      <c r="WPH49" s="20"/>
      <c r="WPI49" s="20"/>
      <c r="WPJ49" s="20"/>
      <c r="WPK49" s="20"/>
      <c r="WPL49" s="21"/>
      <c r="WPM49" s="21"/>
      <c r="WPN49" s="7"/>
      <c r="WPO49" s="7"/>
      <c r="WPP49" s="21"/>
      <c r="WPQ49" s="20"/>
      <c r="WPR49" s="20"/>
      <c r="WPS49" s="20"/>
      <c r="WPT49" s="21"/>
      <c r="WPU49" s="21"/>
      <c r="WPV49" s="21"/>
      <c r="WPW49" s="21"/>
      <c r="WPX49" s="21"/>
      <c r="WPY49" s="20"/>
      <c r="WPZ49" s="20"/>
      <c r="WQA49" s="20"/>
      <c r="WQB49" s="20"/>
      <c r="WQC49" s="21"/>
      <c r="WQD49" s="21"/>
      <c r="WQE49" s="7"/>
      <c r="WQF49" s="7"/>
      <c r="WQG49" s="21"/>
      <c r="WQH49" s="20"/>
      <c r="WQI49" s="20"/>
      <c r="WQJ49" s="20"/>
      <c r="WQK49" s="21"/>
      <c r="WQL49" s="21"/>
      <c r="WQM49" s="21"/>
      <c r="WQN49" s="21"/>
      <c r="WQO49" s="21"/>
      <c r="WQP49" s="20"/>
      <c r="WQQ49" s="20"/>
      <c r="WQR49" s="20"/>
      <c r="WQS49" s="20"/>
      <c r="WQT49" s="21"/>
      <c r="WQU49" s="21"/>
      <c r="WQV49" s="7"/>
      <c r="WQW49" s="7"/>
      <c r="WQX49" s="21"/>
      <c r="WQY49" s="20"/>
      <c r="WQZ49" s="20"/>
      <c r="WRA49" s="20"/>
      <c r="WRB49" s="21"/>
      <c r="WRC49" s="21"/>
      <c r="WRD49" s="21"/>
      <c r="WRE49" s="21"/>
      <c r="WRF49" s="21"/>
      <c r="WRG49" s="20"/>
      <c r="WRH49" s="20"/>
      <c r="WRI49" s="20"/>
      <c r="WRJ49" s="20"/>
      <c r="WRK49" s="21"/>
      <c r="WRL49" s="21"/>
      <c r="WRM49" s="7"/>
      <c r="WRN49" s="7"/>
      <c r="WRO49" s="21"/>
      <c r="WRP49" s="20"/>
      <c r="WRQ49" s="20"/>
      <c r="WRR49" s="20"/>
      <c r="WRS49" s="21"/>
      <c r="WRT49" s="21"/>
      <c r="WRU49" s="21"/>
      <c r="WRV49" s="21"/>
      <c r="WRW49" s="21"/>
      <c r="WRX49" s="20"/>
      <c r="WRY49" s="20"/>
      <c r="WRZ49" s="20"/>
      <c r="WSA49" s="20"/>
      <c r="WSB49" s="21"/>
      <c r="WSC49" s="21"/>
      <c r="WSD49" s="7"/>
      <c r="WSE49" s="7"/>
      <c r="WSF49" s="21"/>
      <c r="WSG49" s="20"/>
      <c r="WSH49" s="20"/>
      <c r="WSI49" s="20"/>
      <c r="WSJ49" s="21"/>
      <c r="WSK49" s="21"/>
      <c r="WSL49" s="21"/>
      <c r="WSM49" s="21"/>
      <c r="WSN49" s="21"/>
      <c r="WSO49" s="20"/>
      <c r="WSP49" s="20"/>
      <c r="WSQ49" s="20"/>
      <c r="WSR49" s="20"/>
      <c r="WSS49" s="21"/>
      <c r="WST49" s="21"/>
      <c r="WSU49" s="7"/>
      <c r="WSV49" s="7"/>
      <c r="WSW49" s="21"/>
      <c r="WSX49" s="20"/>
      <c r="WSY49" s="20"/>
      <c r="WSZ49" s="20"/>
      <c r="WTA49" s="21"/>
      <c r="WTB49" s="21"/>
      <c r="WTC49" s="21"/>
      <c r="WTD49" s="21"/>
      <c r="WTE49" s="21"/>
      <c r="WTF49" s="20"/>
      <c r="WTG49" s="20"/>
      <c r="WTH49" s="20"/>
      <c r="WTI49" s="20"/>
      <c r="WTJ49" s="21"/>
      <c r="WTK49" s="21"/>
      <c r="WTL49" s="7"/>
      <c r="WTM49" s="7"/>
      <c r="WTN49" s="21"/>
      <c r="WTO49" s="20"/>
      <c r="WTP49" s="20"/>
      <c r="WTQ49" s="20"/>
      <c r="WTR49" s="21"/>
      <c r="WTS49" s="21"/>
      <c r="WTT49" s="21"/>
      <c r="WTU49" s="21"/>
      <c r="WTV49" s="21"/>
      <c r="WTW49" s="20"/>
      <c r="WTX49" s="20"/>
      <c r="WTY49" s="20"/>
      <c r="WTZ49" s="20"/>
      <c r="WUA49" s="21"/>
      <c r="WUB49" s="21"/>
      <c r="WUC49" s="7"/>
      <c r="WUD49" s="7"/>
      <c r="WUE49" s="21"/>
      <c r="WUF49" s="20"/>
      <c r="WUG49" s="20"/>
      <c r="WUH49" s="20"/>
      <c r="WUI49" s="21"/>
      <c r="WUJ49" s="21"/>
      <c r="WUK49" s="21"/>
      <c r="WUL49" s="21"/>
      <c r="WUM49" s="21"/>
      <c r="WUN49" s="20"/>
      <c r="WUO49" s="20"/>
      <c r="WUP49" s="20"/>
      <c r="WUQ49" s="20"/>
      <c r="WUR49" s="21"/>
      <c r="WUS49" s="21"/>
      <c r="WUT49" s="7"/>
      <c r="WUU49" s="7"/>
      <c r="WUV49" s="21"/>
      <c r="WUW49" s="20"/>
      <c r="WUX49" s="20"/>
      <c r="WUY49" s="20"/>
      <c r="WUZ49" s="21"/>
      <c r="WVA49" s="21"/>
      <c r="WVB49" s="21"/>
      <c r="WVC49" s="21"/>
      <c r="WVD49" s="21"/>
      <c r="WVE49" s="20"/>
      <c r="WVF49" s="20"/>
      <c r="WVG49" s="20"/>
      <c r="WVH49" s="20"/>
      <c r="WVI49" s="21"/>
      <c r="WVJ49" s="21"/>
      <c r="WVK49" s="7"/>
      <c r="WVL49" s="7"/>
      <c r="WVM49" s="21"/>
      <c r="WVN49" s="20"/>
      <c r="WVO49" s="20"/>
      <c r="WVP49" s="20"/>
      <c r="WVQ49" s="21"/>
      <c r="WVR49" s="21"/>
      <c r="WVS49" s="21"/>
      <c r="WVT49" s="21"/>
      <c r="WVU49" s="21"/>
      <c r="WVV49" s="20"/>
      <c r="WVW49" s="20"/>
      <c r="WVX49" s="20"/>
      <c r="WVY49" s="20"/>
      <c r="WVZ49" s="21"/>
      <c r="WWA49" s="21"/>
      <c r="WWB49" s="7"/>
      <c r="WWC49" s="7"/>
      <c r="WWD49" s="21"/>
      <c r="WWE49" s="20"/>
      <c r="WWF49" s="20"/>
      <c r="WWG49" s="20"/>
      <c r="WWH49" s="21"/>
      <c r="WWI49" s="21"/>
      <c r="WWJ49" s="21"/>
      <c r="WWK49" s="21"/>
      <c r="WWL49" s="21"/>
      <c r="WWM49" s="20"/>
      <c r="WWN49" s="20"/>
      <c r="WWO49" s="20"/>
      <c r="WWP49" s="20"/>
      <c r="WWQ49" s="21"/>
      <c r="WWR49" s="21"/>
      <c r="WWS49" s="7"/>
      <c r="WWT49" s="7"/>
      <c r="WWU49" s="21"/>
      <c r="WWV49" s="20"/>
      <c r="WWW49" s="20"/>
      <c r="WWX49" s="20"/>
      <c r="WWY49" s="21"/>
      <c r="WWZ49" s="21"/>
      <c r="WXA49" s="21"/>
      <c r="WXB49" s="21"/>
      <c r="WXC49" s="21"/>
      <c r="WXD49" s="20"/>
      <c r="WXE49" s="20"/>
      <c r="WXF49" s="20"/>
      <c r="WXG49" s="20"/>
      <c r="WXH49" s="21"/>
      <c r="WXI49" s="21"/>
      <c r="WXJ49" s="7"/>
      <c r="WXK49" s="7"/>
      <c r="WXL49" s="21"/>
      <c r="WXM49" s="20"/>
      <c r="WXN49" s="20"/>
      <c r="WXO49" s="20"/>
      <c r="WXP49" s="21"/>
      <c r="WXQ49" s="21"/>
      <c r="WXR49" s="21"/>
      <c r="WXS49" s="21"/>
      <c r="WXT49" s="21"/>
      <c r="WXU49" s="20"/>
      <c r="WXV49" s="20"/>
      <c r="WXW49" s="20"/>
      <c r="WXX49" s="20"/>
      <c r="WXY49" s="21"/>
      <c r="WXZ49" s="21"/>
      <c r="WYA49" s="7"/>
      <c r="WYB49" s="7"/>
      <c r="WYC49" s="21"/>
      <c r="WYD49" s="20"/>
      <c r="WYE49" s="20"/>
      <c r="WYF49" s="20"/>
      <c r="WYG49" s="21"/>
      <c r="WYH49" s="21"/>
      <c r="WYI49" s="21"/>
      <c r="WYJ49" s="21"/>
      <c r="WYK49" s="21"/>
      <c r="WYL49" s="20"/>
      <c r="WYM49" s="20"/>
      <c r="WYN49" s="20"/>
      <c r="WYO49" s="20"/>
      <c r="WYP49" s="21"/>
      <c r="WYQ49" s="21"/>
      <c r="WYR49" s="7"/>
      <c r="WYS49" s="7"/>
      <c r="WYT49" s="21"/>
      <c r="WYU49" s="20"/>
      <c r="WYV49" s="20"/>
      <c r="WYW49" s="20"/>
      <c r="WYX49" s="21"/>
      <c r="WYY49" s="21"/>
      <c r="WYZ49" s="21"/>
      <c r="WZA49" s="21"/>
      <c r="WZB49" s="21"/>
      <c r="WZC49" s="20"/>
      <c r="WZD49" s="20"/>
      <c r="WZE49" s="20"/>
      <c r="WZF49" s="20"/>
      <c r="WZG49" s="21"/>
      <c r="WZH49" s="21"/>
      <c r="WZI49" s="7"/>
      <c r="WZJ49" s="7"/>
      <c r="WZK49" s="21"/>
      <c r="WZL49" s="20"/>
      <c r="WZM49" s="20"/>
      <c r="WZN49" s="20"/>
      <c r="WZO49" s="21"/>
      <c r="WZP49" s="21"/>
      <c r="WZQ49" s="21"/>
      <c r="WZR49" s="21"/>
      <c r="WZS49" s="21"/>
      <c r="WZT49" s="20"/>
      <c r="WZU49" s="20"/>
      <c r="WZV49" s="20"/>
      <c r="WZW49" s="20"/>
      <c r="WZX49" s="21"/>
      <c r="WZY49" s="21"/>
      <c r="WZZ49" s="7"/>
      <c r="XAA49" s="7"/>
      <c r="XAB49" s="21"/>
      <c r="XAC49" s="20"/>
      <c r="XAD49" s="20"/>
      <c r="XAE49" s="20"/>
      <c r="XAF49" s="21"/>
      <c r="XAG49" s="21"/>
      <c r="XAH49" s="21"/>
      <c r="XAI49" s="21"/>
      <c r="XAJ49" s="21"/>
      <c r="XAK49" s="20"/>
      <c r="XAL49" s="20"/>
      <c r="XAM49" s="20"/>
      <c r="XAN49" s="20"/>
      <c r="XAO49" s="21"/>
      <c r="XAP49" s="21"/>
      <c r="XAQ49" s="7"/>
      <c r="XAR49" s="7"/>
      <c r="XAS49" s="21"/>
      <c r="XAT49" s="20"/>
      <c r="XAU49" s="20"/>
      <c r="XAV49" s="20"/>
      <c r="XAW49" s="21"/>
      <c r="XAX49" s="21"/>
      <c r="XAY49" s="21"/>
      <c r="XAZ49" s="21"/>
      <c r="XBA49" s="21"/>
      <c r="XBB49" s="20"/>
      <c r="XBC49" s="20"/>
      <c r="XBD49" s="20"/>
      <c r="XBE49" s="20"/>
      <c r="XBF49" s="21"/>
      <c r="XBG49" s="21"/>
      <c r="XBH49" s="7"/>
      <c r="XBI49" s="7"/>
      <c r="XBJ49" s="21"/>
      <c r="XBK49" s="20"/>
      <c r="XBL49" s="20"/>
      <c r="XBM49" s="20"/>
      <c r="XBN49" s="21"/>
      <c r="XBO49" s="21"/>
      <c r="XBP49" s="21"/>
      <c r="XBQ49" s="21"/>
      <c r="XBR49" s="21"/>
      <c r="XBS49" s="20"/>
      <c r="XBT49" s="20"/>
      <c r="XBU49" s="20"/>
      <c r="XBV49" s="20"/>
      <c r="XBW49" s="21"/>
      <c r="XBX49" s="21"/>
      <c r="XBY49" s="7"/>
      <c r="XBZ49" s="7"/>
      <c r="XCA49" s="21"/>
      <c r="XCB49" s="20"/>
      <c r="XCC49" s="20"/>
      <c r="XCD49" s="20"/>
      <c r="XCE49" s="21"/>
      <c r="XCF49" s="21"/>
      <c r="XCG49" s="21"/>
      <c r="XCH49" s="21"/>
      <c r="XCI49" s="21"/>
      <c r="XCJ49" s="20"/>
      <c r="XCK49" s="20"/>
      <c r="XCL49" s="20"/>
      <c r="XCM49" s="20"/>
      <c r="XCN49" s="21"/>
      <c r="XCO49" s="21"/>
      <c r="XCP49" s="7"/>
      <c r="XCQ49" s="7"/>
      <c r="XCR49" s="21"/>
      <c r="XCS49" s="20"/>
      <c r="XCT49" s="20"/>
      <c r="XCU49" s="20"/>
      <c r="XCV49" s="21"/>
      <c r="XCW49" s="21"/>
      <c r="XCX49" s="21"/>
      <c r="XCY49" s="21"/>
      <c r="XCZ49" s="21"/>
      <c r="XDA49" s="20"/>
      <c r="XDB49" s="20"/>
      <c r="XDC49" s="20"/>
      <c r="XDD49" s="20"/>
      <c r="XDE49" s="21"/>
      <c r="XDF49" s="21"/>
      <c r="XDG49" s="7"/>
      <c r="XDH49" s="7"/>
      <c r="XDI49" s="21"/>
      <c r="XDJ49" s="20"/>
      <c r="XDK49" s="20"/>
      <c r="XDL49" s="20"/>
      <c r="XDM49" s="21"/>
      <c r="XDN49" s="21"/>
      <c r="XDO49" s="21"/>
      <c r="XDP49" s="21"/>
      <c r="XDQ49" s="21"/>
      <c r="XDR49" s="20"/>
      <c r="XDS49" s="20"/>
      <c r="XDT49" s="20"/>
      <c r="XDU49" s="20"/>
      <c r="XDV49" s="21"/>
      <c r="XDW49" s="21"/>
      <c r="XDX49" s="7"/>
      <c r="XDY49" s="7"/>
      <c r="XDZ49" s="21"/>
      <c r="XEA49" s="20"/>
      <c r="XEB49" s="20"/>
      <c r="XEC49" s="20"/>
      <c r="XED49" s="21"/>
      <c r="XEE49" s="21"/>
      <c r="XEF49" s="21"/>
      <c r="XEG49" s="21"/>
      <c r="XEH49" s="21"/>
      <c r="XEI49" s="20"/>
      <c r="XEJ49" s="20"/>
      <c r="XEK49" s="20"/>
      <c r="XEL49" s="20"/>
      <c r="XEM49" s="21"/>
      <c r="XEN49" s="21"/>
      <c r="XEO49" s="7"/>
      <c r="XEP49" s="7"/>
      <c r="XEQ49" s="21"/>
      <c r="XER49" s="20"/>
      <c r="XES49" s="20"/>
      <c r="XET49" s="20"/>
      <c r="XEU49" s="21"/>
      <c r="XEV49" s="21"/>
      <c r="XEW49" s="21"/>
      <c r="XEX49" s="21"/>
      <c r="XEY49" s="21"/>
      <c r="XEZ49" s="20"/>
      <c r="XFA49" s="20"/>
      <c r="XFB49" s="20"/>
      <c r="XFC49" s="20"/>
      <c r="XFD49" s="21"/>
    </row>
    <row r="50" spans="1:16384" ht="14.25" customHeight="1" x14ac:dyDescent="0.25">
      <c r="A50" s="29">
        <v>0</v>
      </c>
      <c r="B50" s="29">
        <v>1</v>
      </c>
      <c r="C50" s="29">
        <v>3</v>
      </c>
      <c r="D50" s="30" t="s">
        <v>634</v>
      </c>
      <c r="E50" s="30" t="s">
        <v>635</v>
      </c>
      <c r="F50" s="30" t="s">
        <v>636</v>
      </c>
      <c r="G50" s="30" t="s">
        <v>514</v>
      </c>
      <c r="H50" s="30" t="s">
        <v>165</v>
      </c>
      <c r="I50" s="29" t="s">
        <v>637</v>
      </c>
      <c r="J50" s="29"/>
      <c r="K50" s="29" t="s">
        <v>376</v>
      </c>
      <c r="L50" s="29">
        <v>55</v>
      </c>
      <c r="M50" s="30" t="s">
        <v>638</v>
      </c>
      <c r="N50" s="30" t="s">
        <v>914</v>
      </c>
      <c r="O50" s="31">
        <v>1</v>
      </c>
      <c r="P50" s="31"/>
      <c r="Q50" s="30"/>
      <c r="S50" s="2">
        <f t="shared" si="7"/>
        <v>0</v>
      </c>
      <c r="T50" s="2">
        <f t="shared" si="8"/>
        <v>0</v>
      </c>
      <c r="U50" s="2">
        <f t="shared" si="9"/>
        <v>0</v>
      </c>
      <c r="V50" s="2">
        <f t="shared" si="10"/>
        <v>0</v>
      </c>
      <c r="W50" s="2">
        <f t="shared" si="11"/>
        <v>0</v>
      </c>
      <c r="X50" s="2">
        <f t="shared" si="12"/>
        <v>0</v>
      </c>
      <c r="Y50" s="2">
        <f t="shared" si="13"/>
        <v>0</v>
      </c>
      <c r="Z50" s="2">
        <f t="shared" si="14"/>
        <v>0</v>
      </c>
      <c r="AA50" s="2">
        <f t="shared" si="15"/>
        <v>0</v>
      </c>
      <c r="AB50" s="2">
        <f t="shared" si="16"/>
        <v>0</v>
      </c>
      <c r="AD50" s="2">
        <f t="shared" si="17"/>
        <v>0</v>
      </c>
      <c r="AE50" s="2">
        <f t="shared" si="18"/>
        <v>1</v>
      </c>
      <c r="AF50" s="2">
        <f t="shared" si="19"/>
        <v>0</v>
      </c>
      <c r="AG50" s="2">
        <f t="shared" si="20"/>
        <v>1</v>
      </c>
      <c r="AH50" s="2">
        <f t="shared" si="21"/>
        <v>0</v>
      </c>
      <c r="AI50" s="2">
        <f t="shared" si="22"/>
        <v>1</v>
      </c>
    </row>
    <row r="51" spans="1:16384" ht="14.25" customHeight="1" x14ac:dyDescent="0.25">
      <c r="A51" s="29">
        <v>0</v>
      </c>
      <c r="B51" s="29">
        <v>1</v>
      </c>
      <c r="C51" s="29">
        <v>3</v>
      </c>
      <c r="D51" s="30" t="s">
        <v>723</v>
      </c>
      <c r="E51" s="30" t="s">
        <v>259</v>
      </c>
      <c r="F51" s="30" t="s">
        <v>824</v>
      </c>
      <c r="G51" s="30" t="s">
        <v>726</v>
      </c>
      <c r="H51" s="30" t="s">
        <v>165</v>
      </c>
      <c r="I51" s="29" t="s">
        <v>725</v>
      </c>
      <c r="J51" s="29">
        <v>99</v>
      </c>
      <c r="K51" s="29" t="s">
        <v>331</v>
      </c>
      <c r="L51" s="29" t="s">
        <v>346</v>
      </c>
      <c r="M51" s="30" t="s">
        <v>724</v>
      </c>
      <c r="N51" s="30" t="s">
        <v>883</v>
      </c>
      <c r="O51" s="31">
        <v>1</v>
      </c>
      <c r="P51" s="31"/>
      <c r="Q51" s="30"/>
      <c r="S51" s="2">
        <f t="shared" si="7"/>
        <v>0</v>
      </c>
      <c r="T51" s="2">
        <f t="shared" si="8"/>
        <v>0</v>
      </c>
      <c r="U51" s="2">
        <f t="shared" si="9"/>
        <v>0</v>
      </c>
      <c r="V51" s="2">
        <f t="shared" si="10"/>
        <v>0</v>
      </c>
      <c r="W51" s="2">
        <f t="shared" si="11"/>
        <v>0</v>
      </c>
      <c r="X51" s="2">
        <f t="shared" si="12"/>
        <v>0</v>
      </c>
      <c r="Y51" s="2">
        <f t="shared" si="13"/>
        <v>0</v>
      </c>
      <c r="Z51" s="2">
        <f t="shared" si="14"/>
        <v>0</v>
      </c>
      <c r="AA51" s="2">
        <f t="shared" si="15"/>
        <v>0</v>
      </c>
      <c r="AB51" s="2">
        <f t="shared" si="16"/>
        <v>0</v>
      </c>
      <c r="AD51" s="2">
        <f t="shared" si="17"/>
        <v>0</v>
      </c>
      <c r="AE51" s="2">
        <f t="shared" si="18"/>
        <v>1</v>
      </c>
      <c r="AF51" s="2">
        <f t="shared" si="19"/>
        <v>0</v>
      </c>
      <c r="AG51" s="2">
        <f t="shared" si="20"/>
        <v>1</v>
      </c>
      <c r="AH51" s="2">
        <f t="shared" si="21"/>
        <v>0</v>
      </c>
      <c r="AI51" s="2">
        <f t="shared" si="22"/>
        <v>1</v>
      </c>
    </row>
    <row r="52" spans="1:16384" ht="14.25" customHeight="1" x14ac:dyDescent="0.25">
      <c r="A52" s="20">
        <v>0</v>
      </c>
      <c r="B52" s="20">
        <v>1</v>
      </c>
      <c r="C52" s="20">
        <v>3</v>
      </c>
      <c r="D52" s="21" t="s">
        <v>964</v>
      </c>
      <c r="E52" s="21" t="s">
        <v>259</v>
      </c>
      <c r="F52" s="21" t="s">
        <v>965</v>
      </c>
      <c r="G52" s="21" t="s">
        <v>966</v>
      </c>
      <c r="H52" s="21" t="s">
        <v>165</v>
      </c>
      <c r="I52" s="20" t="s">
        <v>967</v>
      </c>
      <c r="J52" s="20"/>
      <c r="K52" s="20" t="s">
        <v>376</v>
      </c>
      <c r="L52" s="20">
        <v>65</v>
      </c>
      <c r="M52" s="21" t="s">
        <v>968</v>
      </c>
      <c r="N52" s="21"/>
      <c r="O52" s="20"/>
      <c r="P52" s="20"/>
      <c r="Q52" s="21"/>
      <c r="S52" s="2">
        <f t="shared" si="7"/>
        <v>0</v>
      </c>
      <c r="T52" s="2">
        <f t="shared" si="8"/>
        <v>0</v>
      </c>
      <c r="U52" s="2">
        <f t="shared" si="9"/>
        <v>0</v>
      </c>
      <c r="V52" s="2">
        <f t="shared" si="10"/>
        <v>0</v>
      </c>
      <c r="W52" s="2">
        <f t="shared" si="11"/>
        <v>0</v>
      </c>
      <c r="X52" s="2">
        <f t="shared" si="12"/>
        <v>0</v>
      </c>
      <c r="Y52" s="2">
        <f t="shared" si="13"/>
        <v>0</v>
      </c>
      <c r="Z52" s="2">
        <f t="shared" si="14"/>
        <v>0</v>
      </c>
      <c r="AA52" s="2">
        <f t="shared" si="15"/>
        <v>0</v>
      </c>
      <c r="AB52" s="2">
        <f t="shared" si="16"/>
        <v>0</v>
      </c>
      <c r="AD52" s="2">
        <f t="shared" si="17"/>
        <v>0</v>
      </c>
      <c r="AE52" s="2">
        <f t="shared" si="18"/>
        <v>0</v>
      </c>
      <c r="AF52" s="2">
        <f t="shared" si="19"/>
        <v>0</v>
      </c>
      <c r="AG52" s="2">
        <f t="shared" si="20"/>
        <v>0</v>
      </c>
      <c r="AH52" s="2">
        <f t="shared" si="21"/>
        <v>0</v>
      </c>
      <c r="AI52" s="2">
        <f t="shared" si="22"/>
        <v>1</v>
      </c>
    </row>
    <row r="53" spans="1:16384" ht="14.25" customHeight="1" x14ac:dyDescent="0.25">
      <c r="A53" s="29">
        <v>0</v>
      </c>
      <c r="B53" s="29">
        <v>1</v>
      </c>
      <c r="C53" s="29">
        <v>3</v>
      </c>
      <c r="D53" s="30" t="s">
        <v>56</v>
      </c>
      <c r="E53" s="30" t="s">
        <v>259</v>
      </c>
      <c r="F53" s="30" t="s">
        <v>111</v>
      </c>
      <c r="G53" s="30" t="s">
        <v>112</v>
      </c>
      <c r="H53" s="30" t="s">
        <v>165</v>
      </c>
      <c r="I53" s="29" t="s">
        <v>175</v>
      </c>
      <c r="J53" s="29">
        <v>99</v>
      </c>
      <c r="K53" s="29" t="s">
        <v>326</v>
      </c>
      <c r="L53" s="29">
        <v>65</v>
      </c>
      <c r="M53" s="30" t="s">
        <v>731</v>
      </c>
      <c r="N53" s="30" t="s">
        <v>914</v>
      </c>
      <c r="O53" s="31">
        <v>1</v>
      </c>
      <c r="P53" s="31"/>
      <c r="Q53" s="30"/>
      <c r="S53" s="2">
        <f t="shared" si="7"/>
        <v>0</v>
      </c>
      <c r="T53" s="2">
        <f t="shared" si="8"/>
        <v>0</v>
      </c>
      <c r="U53" s="2">
        <f t="shared" si="9"/>
        <v>0</v>
      </c>
      <c r="V53" s="2">
        <f t="shared" si="10"/>
        <v>0</v>
      </c>
      <c r="W53" s="2">
        <f t="shared" si="11"/>
        <v>0</v>
      </c>
      <c r="X53" s="2">
        <f t="shared" si="12"/>
        <v>0</v>
      </c>
      <c r="Y53" s="2">
        <f t="shared" si="13"/>
        <v>0</v>
      </c>
      <c r="Z53" s="2">
        <f t="shared" si="14"/>
        <v>0</v>
      </c>
      <c r="AA53" s="2">
        <f t="shared" si="15"/>
        <v>0</v>
      </c>
      <c r="AB53" s="2">
        <f t="shared" si="16"/>
        <v>0</v>
      </c>
      <c r="AD53" s="2">
        <f t="shared" si="17"/>
        <v>0</v>
      </c>
      <c r="AE53" s="2">
        <f t="shared" si="18"/>
        <v>1</v>
      </c>
      <c r="AF53" s="2">
        <f t="shared" si="19"/>
        <v>0</v>
      </c>
      <c r="AG53" s="2">
        <f t="shared" si="20"/>
        <v>1</v>
      </c>
      <c r="AH53" s="2">
        <f t="shared" si="21"/>
        <v>0</v>
      </c>
      <c r="AI53" s="2">
        <f t="shared" si="22"/>
        <v>1</v>
      </c>
    </row>
    <row r="54" spans="1:16384" ht="14.25" customHeight="1" x14ac:dyDescent="0.25">
      <c r="A54" s="20">
        <v>0</v>
      </c>
      <c r="B54" s="20">
        <v>1</v>
      </c>
      <c r="C54" s="20">
        <v>3</v>
      </c>
      <c r="D54" s="21" t="s">
        <v>49</v>
      </c>
      <c r="E54" s="21" t="s">
        <v>259</v>
      </c>
      <c r="F54" s="21" t="s">
        <v>101</v>
      </c>
      <c r="G54" s="21" t="s">
        <v>93</v>
      </c>
      <c r="H54" s="21" t="s">
        <v>165</v>
      </c>
      <c r="I54" s="20" t="s">
        <v>169</v>
      </c>
      <c r="J54" s="20">
        <v>8</v>
      </c>
      <c r="K54" s="20" t="s">
        <v>332</v>
      </c>
      <c r="L54" s="20">
        <v>50</v>
      </c>
      <c r="M54" s="21" t="s">
        <v>891</v>
      </c>
      <c r="N54" s="21"/>
      <c r="O54" s="7"/>
      <c r="P54" s="7"/>
      <c r="Q54" s="21"/>
      <c r="S54" s="2">
        <f t="shared" si="7"/>
        <v>0</v>
      </c>
      <c r="T54" s="2">
        <f t="shared" si="8"/>
        <v>0</v>
      </c>
      <c r="U54" s="2">
        <f t="shared" si="9"/>
        <v>0</v>
      </c>
      <c r="V54" s="2">
        <f t="shared" si="10"/>
        <v>0</v>
      </c>
      <c r="W54" s="2">
        <f t="shared" si="11"/>
        <v>0</v>
      </c>
      <c r="X54" s="2">
        <f t="shared" si="12"/>
        <v>0</v>
      </c>
      <c r="Y54" s="2">
        <f t="shared" si="13"/>
        <v>0</v>
      </c>
      <c r="Z54" s="2">
        <f t="shared" si="14"/>
        <v>1</v>
      </c>
      <c r="AA54" s="2">
        <f t="shared" si="15"/>
        <v>0</v>
      </c>
      <c r="AB54" s="2">
        <f t="shared" si="16"/>
        <v>0</v>
      </c>
      <c r="AD54" s="2">
        <f t="shared" si="17"/>
        <v>0</v>
      </c>
      <c r="AE54" s="2">
        <f t="shared" si="18"/>
        <v>0</v>
      </c>
      <c r="AF54" s="2">
        <f t="shared" si="19"/>
        <v>0</v>
      </c>
      <c r="AG54" s="2">
        <f t="shared" si="20"/>
        <v>0</v>
      </c>
      <c r="AH54" s="2">
        <f t="shared" si="21"/>
        <v>0</v>
      </c>
      <c r="AI54" s="2">
        <f t="shared" si="22"/>
        <v>1</v>
      </c>
    </row>
    <row r="55" spans="1:16384" ht="14.25" customHeight="1" x14ac:dyDescent="0.25">
      <c r="A55" s="29">
        <v>0</v>
      </c>
      <c r="B55" s="29">
        <v>1</v>
      </c>
      <c r="C55" s="29">
        <v>4</v>
      </c>
      <c r="D55" s="30" t="s">
        <v>252</v>
      </c>
      <c r="E55" s="30" t="s">
        <v>234</v>
      </c>
      <c r="F55" s="30" t="s">
        <v>235</v>
      </c>
      <c r="G55" s="30" t="s">
        <v>109</v>
      </c>
      <c r="H55" s="30" t="s">
        <v>165</v>
      </c>
      <c r="I55" s="29" t="s">
        <v>236</v>
      </c>
      <c r="J55" s="29">
        <v>9</v>
      </c>
      <c r="K55" s="29" t="s">
        <v>332</v>
      </c>
      <c r="L55" s="29" t="s">
        <v>345</v>
      </c>
      <c r="M55" s="30" t="s">
        <v>775</v>
      </c>
      <c r="N55" s="30" t="s">
        <v>880</v>
      </c>
      <c r="O55" s="31">
        <v>1</v>
      </c>
      <c r="P55" s="31">
        <v>1</v>
      </c>
      <c r="Q55" s="30"/>
      <c r="S55" s="2">
        <f t="shared" si="7"/>
        <v>0</v>
      </c>
      <c r="T55" s="2">
        <f t="shared" si="8"/>
        <v>0</v>
      </c>
      <c r="U55" s="2">
        <f t="shared" si="9"/>
        <v>0</v>
      </c>
      <c r="V55" s="2">
        <f t="shared" si="10"/>
        <v>0</v>
      </c>
      <c r="W55" s="2">
        <f t="shared" si="11"/>
        <v>0</v>
      </c>
      <c r="X55" s="2">
        <f t="shared" si="12"/>
        <v>0</v>
      </c>
      <c r="Y55" s="2">
        <f t="shared" si="13"/>
        <v>0</v>
      </c>
      <c r="Z55" s="2">
        <f t="shared" si="14"/>
        <v>0</v>
      </c>
      <c r="AA55" s="2">
        <f t="shared" si="15"/>
        <v>1</v>
      </c>
      <c r="AB55" s="2">
        <f t="shared" si="16"/>
        <v>0</v>
      </c>
      <c r="AD55" s="2">
        <f t="shared" si="17"/>
        <v>1</v>
      </c>
      <c r="AE55" s="2">
        <f t="shared" si="18"/>
        <v>0</v>
      </c>
      <c r="AF55" s="2">
        <f t="shared" si="19"/>
        <v>1</v>
      </c>
      <c r="AG55" s="2">
        <f t="shared" si="20"/>
        <v>0</v>
      </c>
      <c r="AH55" s="2">
        <f t="shared" si="21"/>
        <v>1</v>
      </c>
      <c r="AI55" s="2">
        <f t="shared" si="22"/>
        <v>0</v>
      </c>
    </row>
    <row r="56" spans="1:16384" s="3" customFormat="1" ht="14.25" customHeight="1" x14ac:dyDescent="0.25">
      <c r="A56" s="20">
        <v>0</v>
      </c>
      <c r="B56" s="20">
        <v>1</v>
      </c>
      <c r="C56" s="20">
        <v>4</v>
      </c>
      <c r="D56" s="21" t="s">
        <v>307</v>
      </c>
      <c r="E56" s="21" t="s">
        <v>29</v>
      </c>
      <c r="F56" s="21" t="s">
        <v>283</v>
      </c>
      <c r="G56" s="21" t="s">
        <v>284</v>
      </c>
      <c r="H56" s="21" t="s">
        <v>165</v>
      </c>
      <c r="I56" s="20" t="s">
        <v>285</v>
      </c>
      <c r="J56" s="20">
        <v>99</v>
      </c>
      <c r="K56" s="20" t="s">
        <v>376</v>
      </c>
      <c r="L56" s="20" t="s">
        <v>334</v>
      </c>
      <c r="M56" s="21" t="s">
        <v>266</v>
      </c>
      <c r="N56" s="21"/>
      <c r="O56" s="7"/>
      <c r="P56" s="7"/>
      <c r="Q56" s="21"/>
      <c r="R56" s="2"/>
      <c r="S56" s="2">
        <f t="shared" si="7"/>
        <v>0</v>
      </c>
      <c r="T56" s="2">
        <f t="shared" si="8"/>
        <v>0</v>
      </c>
      <c r="U56" s="2">
        <f t="shared" si="9"/>
        <v>0</v>
      </c>
      <c r="V56" s="2">
        <f t="shared" si="10"/>
        <v>0</v>
      </c>
      <c r="W56" s="2">
        <f t="shared" si="11"/>
        <v>0</v>
      </c>
      <c r="X56" s="2">
        <f t="shared" si="12"/>
        <v>0</v>
      </c>
      <c r="Y56" s="2">
        <f t="shared" si="13"/>
        <v>0</v>
      </c>
      <c r="Z56" s="2">
        <f t="shared" si="14"/>
        <v>0</v>
      </c>
      <c r="AA56" s="2">
        <f t="shared" si="15"/>
        <v>0</v>
      </c>
      <c r="AB56" s="2">
        <f t="shared" si="16"/>
        <v>0</v>
      </c>
      <c r="AC56" s="2"/>
      <c r="AD56" s="2">
        <f t="shared" si="17"/>
        <v>0</v>
      </c>
      <c r="AE56" s="2">
        <f t="shared" si="18"/>
        <v>0</v>
      </c>
      <c r="AF56" s="2">
        <f t="shared" si="19"/>
        <v>0</v>
      </c>
      <c r="AG56" s="2">
        <f t="shared" si="20"/>
        <v>0</v>
      </c>
      <c r="AH56" s="2">
        <f t="shared" si="21"/>
        <v>0</v>
      </c>
      <c r="AI56" s="2">
        <f t="shared" si="22"/>
        <v>1</v>
      </c>
    </row>
    <row r="57" spans="1:16384" s="3" customFormat="1" ht="14.25" customHeight="1" x14ac:dyDescent="0.25">
      <c r="A57" s="20">
        <v>0</v>
      </c>
      <c r="B57" s="20">
        <v>1</v>
      </c>
      <c r="C57" s="20">
        <v>5</v>
      </c>
      <c r="D57" s="21" t="s">
        <v>708</v>
      </c>
      <c r="E57" s="21" t="s">
        <v>705</v>
      </c>
      <c r="F57" s="21" t="s">
        <v>704</v>
      </c>
      <c r="G57" s="21" t="s">
        <v>303</v>
      </c>
      <c r="H57" s="21" t="s">
        <v>165</v>
      </c>
      <c r="I57" s="20" t="s">
        <v>706</v>
      </c>
      <c r="J57" s="20">
        <v>99</v>
      </c>
      <c r="K57" s="20" t="s">
        <v>376</v>
      </c>
      <c r="L57" s="20">
        <v>55</v>
      </c>
      <c r="M57" s="21" t="s">
        <v>703</v>
      </c>
      <c r="N57" s="21"/>
      <c r="O57" s="7"/>
      <c r="P57" s="7"/>
      <c r="Q57" s="21"/>
      <c r="R57" s="2"/>
      <c r="S57" s="2">
        <f t="shared" si="7"/>
        <v>0</v>
      </c>
      <c r="T57" s="2">
        <f t="shared" si="8"/>
        <v>0</v>
      </c>
      <c r="U57" s="2">
        <f t="shared" si="9"/>
        <v>0</v>
      </c>
      <c r="V57" s="2">
        <f t="shared" si="10"/>
        <v>0</v>
      </c>
      <c r="W57" s="2">
        <f t="shared" si="11"/>
        <v>0</v>
      </c>
      <c r="X57" s="2">
        <f t="shared" si="12"/>
        <v>0</v>
      </c>
      <c r="Y57" s="2">
        <f t="shared" si="13"/>
        <v>0</v>
      </c>
      <c r="Z57" s="2">
        <f t="shared" si="14"/>
        <v>0</v>
      </c>
      <c r="AA57" s="2">
        <f t="shared" si="15"/>
        <v>0</v>
      </c>
      <c r="AB57" s="2">
        <f t="shared" si="16"/>
        <v>0</v>
      </c>
      <c r="AC57" s="2"/>
      <c r="AD57" s="2">
        <f t="shared" si="17"/>
        <v>0</v>
      </c>
      <c r="AE57" s="2">
        <f t="shared" si="18"/>
        <v>0</v>
      </c>
      <c r="AF57" s="2">
        <f t="shared" si="19"/>
        <v>0</v>
      </c>
      <c r="AG57" s="2">
        <f t="shared" si="20"/>
        <v>0</v>
      </c>
      <c r="AH57" s="2">
        <f t="shared" si="21"/>
        <v>0</v>
      </c>
      <c r="AI57" s="2">
        <f t="shared" si="22"/>
        <v>1</v>
      </c>
    </row>
    <row r="58" spans="1:16384" ht="14.25" customHeight="1" x14ac:dyDescent="0.25">
      <c r="A58" s="29">
        <v>0</v>
      </c>
      <c r="B58" s="29">
        <v>1</v>
      </c>
      <c r="C58" s="29">
        <v>5</v>
      </c>
      <c r="D58" s="30" t="s">
        <v>874</v>
      </c>
      <c r="E58" s="30" t="s">
        <v>877</v>
      </c>
      <c r="F58" s="30" t="s">
        <v>875</v>
      </c>
      <c r="G58" s="30" t="s">
        <v>401</v>
      </c>
      <c r="H58" s="30" t="s">
        <v>165</v>
      </c>
      <c r="I58" s="29" t="s">
        <v>876</v>
      </c>
      <c r="J58" s="29"/>
      <c r="K58" s="29" t="s">
        <v>376</v>
      </c>
      <c r="L58" s="29">
        <v>55</v>
      </c>
      <c r="M58" s="30" t="s">
        <v>878</v>
      </c>
      <c r="N58" s="30" t="s">
        <v>914</v>
      </c>
      <c r="O58" s="31">
        <v>1</v>
      </c>
      <c r="P58" s="31"/>
      <c r="Q58" s="30"/>
      <c r="S58" s="2">
        <f t="shared" si="7"/>
        <v>0</v>
      </c>
      <c r="T58" s="2">
        <f t="shared" si="8"/>
        <v>0</v>
      </c>
      <c r="U58" s="2">
        <f t="shared" si="9"/>
        <v>0</v>
      </c>
      <c r="V58" s="2">
        <f t="shared" si="10"/>
        <v>0</v>
      </c>
      <c r="W58" s="2">
        <f t="shared" si="11"/>
        <v>0</v>
      </c>
      <c r="X58" s="2">
        <f t="shared" si="12"/>
        <v>0</v>
      </c>
      <c r="Y58" s="2">
        <f t="shared" si="13"/>
        <v>0</v>
      </c>
      <c r="Z58" s="2">
        <f t="shared" si="14"/>
        <v>0</v>
      </c>
      <c r="AA58" s="2">
        <f t="shared" si="15"/>
        <v>0</v>
      </c>
      <c r="AB58" s="2">
        <f t="shared" si="16"/>
        <v>0</v>
      </c>
      <c r="AD58" s="2">
        <f t="shared" si="17"/>
        <v>0</v>
      </c>
      <c r="AE58" s="2">
        <f t="shared" si="18"/>
        <v>1</v>
      </c>
      <c r="AF58" s="2">
        <f t="shared" si="19"/>
        <v>0</v>
      </c>
      <c r="AG58" s="2">
        <f t="shared" si="20"/>
        <v>1</v>
      </c>
      <c r="AH58" s="2">
        <f t="shared" si="21"/>
        <v>0</v>
      </c>
      <c r="AI58" s="2">
        <f t="shared" si="22"/>
        <v>1</v>
      </c>
    </row>
    <row r="59" spans="1:16384" ht="14.25" customHeight="1" x14ac:dyDescent="0.25">
      <c r="A59" s="29">
        <v>0</v>
      </c>
      <c r="B59" s="29">
        <v>1</v>
      </c>
      <c r="C59" s="29">
        <v>5</v>
      </c>
      <c r="D59" s="30" t="s">
        <v>859</v>
      </c>
      <c r="E59" s="30" t="s">
        <v>795</v>
      </c>
      <c r="F59" s="30" t="s">
        <v>860</v>
      </c>
      <c r="G59" s="30" t="s">
        <v>309</v>
      </c>
      <c r="H59" s="30" t="s">
        <v>165</v>
      </c>
      <c r="I59" s="29" t="s">
        <v>861</v>
      </c>
      <c r="J59" s="29"/>
      <c r="K59" s="29" t="s">
        <v>376</v>
      </c>
      <c r="L59" s="29">
        <v>50</v>
      </c>
      <c r="M59" s="30" t="s">
        <v>862</v>
      </c>
      <c r="N59" s="30" t="s">
        <v>914</v>
      </c>
      <c r="O59" s="31">
        <v>1</v>
      </c>
      <c r="P59" s="31"/>
      <c r="Q59" s="30"/>
      <c r="S59" s="2">
        <f t="shared" si="7"/>
        <v>0</v>
      </c>
      <c r="T59" s="2">
        <f t="shared" si="8"/>
        <v>0</v>
      </c>
      <c r="U59" s="2">
        <f t="shared" si="9"/>
        <v>0</v>
      </c>
      <c r="V59" s="2">
        <f t="shared" si="10"/>
        <v>0</v>
      </c>
      <c r="W59" s="2">
        <f t="shared" si="11"/>
        <v>0</v>
      </c>
      <c r="X59" s="2">
        <f t="shared" si="12"/>
        <v>0</v>
      </c>
      <c r="Y59" s="2">
        <f t="shared" si="13"/>
        <v>0</v>
      </c>
      <c r="Z59" s="2">
        <f t="shared" si="14"/>
        <v>0</v>
      </c>
      <c r="AA59" s="2">
        <f t="shared" si="15"/>
        <v>0</v>
      </c>
      <c r="AB59" s="2">
        <f t="shared" si="16"/>
        <v>0</v>
      </c>
      <c r="AD59" s="2">
        <f t="shared" si="17"/>
        <v>0</v>
      </c>
      <c r="AE59" s="2">
        <f t="shared" si="18"/>
        <v>1</v>
      </c>
      <c r="AF59" s="2">
        <f t="shared" si="19"/>
        <v>0</v>
      </c>
      <c r="AG59" s="2">
        <f t="shared" si="20"/>
        <v>1</v>
      </c>
      <c r="AH59" s="2">
        <f t="shared" si="21"/>
        <v>0</v>
      </c>
      <c r="AI59" s="2">
        <f t="shared" si="22"/>
        <v>1</v>
      </c>
    </row>
    <row r="60" spans="1:16384" ht="14.25" customHeight="1" x14ac:dyDescent="0.25">
      <c r="A60" s="20">
        <v>0</v>
      </c>
      <c r="B60" s="20">
        <v>1</v>
      </c>
      <c r="C60" s="20">
        <v>5</v>
      </c>
      <c r="D60" s="21" t="s">
        <v>796</v>
      </c>
      <c r="E60" s="21" t="s">
        <v>795</v>
      </c>
      <c r="F60" s="21" t="s">
        <v>829</v>
      </c>
      <c r="G60" s="21" t="s">
        <v>93</v>
      </c>
      <c r="H60" s="21" t="s">
        <v>165</v>
      </c>
      <c r="I60" s="20" t="s">
        <v>843</v>
      </c>
      <c r="J60" s="20">
        <v>8</v>
      </c>
      <c r="K60" s="20" t="s">
        <v>332</v>
      </c>
      <c r="L60" s="20">
        <v>50</v>
      </c>
      <c r="M60" s="21" t="s">
        <v>862</v>
      </c>
      <c r="N60" s="21"/>
      <c r="O60" s="7"/>
      <c r="P60" s="7"/>
      <c r="Q60" s="21"/>
      <c r="S60" s="2">
        <f t="shared" si="7"/>
        <v>0</v>
      </c>
      <c r="T60" s="2">
        <f t="shared" si="8"/>
        <v>0</v>
      </c>
      <c r="U60" s="2">
        <f t="shared" si="9"/>
        <v>0</v>
      </c>
      <c r="V60" s="2">
        <f t="shared" si="10"/>
        <v>0</v>
      </c>
      <c r="W60" s="2">
        <f t="shared" si="11"/>
        <v>0</v>
      </c>
      <c r="X60" s="2">
        <f t="shared" si="12"/>
        <v>0</v>
      </c>
      <c r="Y60" s="2">
        <f t="shared" si="13"/>
        <v>0</v>
      </c>
      <c r="Z60" s="2">
        <f t="shared" si="14"/>
        <v>1</v>
      </c>
      <c r="AA60" s="2">
        <f t="shared" si="15"/>
        <v>0</v>
      </c>
      <c r="AB60" s="2">
        <f t="shared" si="16"/>
        <v>0</v>
      </c>
      <c r="AD60" s="2">
        <f t="shared" si="17"/>
        <v>0</v>
      </c>
      <c r="AE60" s="2">
        <f t="shared" si="18"/>
        <v>0</v>
      </c>
      <c r="AF60" s="2">
        <f t="shared" si="19"/>
        <v>0</v>
      </c>
      <c r="AG60" s="2">
        <f t="shared" si="20"/>
        <v>0</v>
      </c>
      <c r="AH60" s="2">
        <f t="shared" si="21"/>
        <v>0</v>
      </c>
      <c r="AI60" s="2">
        <f t="shared" si="22"/>
        <v>1</v>
      </c>
    </row>
    <row r="61" spans="1:16384" ht="14.25" customHeight="1" x14ac:dyDescent="0.25">
      <c r="A61" s="29">
        <v>0</v>
      </c>
      <c r="B61" s="29">
        <v>1</v>
      </c>
      <c r="C61" s="29">
        <v>5</v>
      </c>
      <c r="D61" s="30" t="s">
        <v>856</v>
      </c>
      <c r="E61" s="30" t="s">
        <v>795</v>
      </c>
      <c r="F61" s="30" t="s">
        <v>857</v>
      </c>
      <c r="G61" s="30" t="s">
        <v>368</v>
      </c>
      <c r="H61" s="30" t="s">
        <v>165</v>
      </c>
      <c r="I61" s="29" t="s">
        <v>858</v>
      </c>
      <c r="J61" s="29"/>
      <c r="K61" s="29" t="s">
        <v>376</v>
      </c>
      <c r="L61" s="29">
        <v>45</v>
      </c>
      <c r="M61" s="30" t="s">
        <v>418</v>
      </c>
      <c r="N61" s="30" t="s">
        <v>880</v>
      </c>
      <c r="O61" s="31">
        <v>1</v>
      </c>
      <c r="P61" s="31">
        <v>1</v>
      </c>
      <c r="Q61" s="30"/>
      <c r="S61" s="2">
        <f t="shared" si="7"/>
        <v>0</v>
      </c>
      <c r="T61" s="2">
        <f t="shared" si="8"/>
        <v>0</v>
      </c>
      <c r="U61" s="2">
        <f t="shared" si="9"/>
        <v>0</v>
      </c>
      <c r="V61" s="2">
        <f t="shared" si="10"/>
        <v>0</v>
      </c>
      <c r="W61" s="2">
        <f t="shared" si="11"/>
        <v>0</v>
      </c>
      <c r="X61" s="2">
        <f t="shared" si="12"/>
        <v>0</v>
      </c>
      <c r="Y61" s="2">
        <f t="shared" si="13"/>
        <v>0</v>
      </c>
      <c r="Z61" s="2">
        <f t="shared" si="14"/>
        <v>0</v>
      </c>
      <c r="AA61" s="2">
        <f t="shared" si="15"/>
        <v>0</v>
      </c>
      <c r="AB61" s="2">
        <f t="shared" si="16"/>
        <v>0</v>
      </c>
      <c r="AD61" s="2">
        <f t="shared" si="17"/>
        <v>1</v>
      </c>
      <c r="AE61" s="2">
        <f t="shared" si="18"/>
        <v>0</v>
      </c>
      <c r="AF61" s="2">
        <f t="shared" si="19"/>
        <v>1</v>
      </c>
      <c r="AG61" s="2">
        <f t="shared" si="20"/>
        <v>0</v>
      </c>
      <c r="AH61" s="2">
        <f t="shared" si="21"/>
        <v>1</v>
      </c>
      <c r="AI61" s="2">
        <f t="shared" si="22"/>
        <v>0</v>
      </c>
    </row>
    <row r="62" spans="1:16384" ht="14.25" customHeight="1" x14ac:dyDescent="0.25">
      <c r="A62" s="29">
        <v>0</v>
      </c>
      <c r="B62" s="29">
        <v>1</v>
      </c>
      <c r="C62" s="29">
        <v>5</v>
      </c>
      <c r="D62" s="30" t="s">
        <v>57</v>
      </c>
      <c r="E62" s="30" t="s">
        <v>259</v>
      </c>
      <c r="F62" s="30" t="s">
        <v>113</v>
      </c>
      <c r="G62" s="30" t="s">
        <v>114</v>
      </c>
      <c r="H62" s="30" t="s">
        <v>165</v>
      </c>
      <c r="I62" s="29" t="s">
        <v>176</v>
      </c>
      <c r="J62" s="29">
        <v>99</v>
      </c>
      <c r="K62" s="29" t="s">
        <v>376</v>
      </c>
      <c r="L62" s="29">
        <v>30</v>
      </c>
      <c r="M62" s="30" t="s">
        <v>266</v>
      </c>
      <c r="N62" s="30" t="s">
        <v>893</v>
      </c>
      <c r="O62" s="31">
        <v>1</v>
      </c>
      <c r="P62" s="31"/>
      <c r="Q62" s="30"/>
      <c r="S62" s="2">
        <f t="shared" si="7"/>
        <v>0</v>
      </c>
      <c r="T62" s="2">
        <f t="shared" si="8"/>
        <v>0</v>
      </c>
      <c r="U62" s="2">
        <f t="shared" si="9"/>
        <v>0</v>
      </c>
      <c r="V62" s="2">
        <f t="shared" si="10"/>
        <v>0</v>
      </c>
      <c r="W62" s="2">
        <f t="shared" si="11"/>
        <v>0</v>
      </c>
      <c r="X62" s="2">
        <f t="shared" si="12"/>
        <v>0</v>
      </c>
      <c r="Y62" s="2">
        <f t="shared" si="13"/>
        <v>0</v>
      </c>
      <c r="Z62" s="2">
        <f t="shared" si="14"/>
        <v>0</v>
      </c>
      <c r="AA62" s="2">
        <f t="shared" si="15"/>
        <v>0</v>
      </c>
      <c r="AB62" s="2">
        <f t="shared" si="16"/>
        <v>0</v>
      </c>
      <c r="AD62" s="2">
        <f t="shared" si="17"/>
        <v>0</v>
      </c>
      <c r="AE62" s="2">
        <f t="shared" si="18"/>
        <v>1</v>
      </c>
      <c r="AF62" s="2">
        <f t="shared" si="19"/>
        <v>0</v>
      </c>
      <c r="AG62" s="2">
        <f t="shared" si="20"/>
        <v>1</v>
      </c>
      <c r="AH62" s="2">
        <f t="shared" si="21"/>
        <v>0</v>
      </c>
      <c r="AI62" s="2">
        <f t="shared" si="22"/>
        <v>1</v>
      </c>
    </row>
    <row r="63" spans="1:16384" ht="14.25" customHeight="1" x14ac:dyDescent="0.25">
      <c r="A63" s="29">
        <v>0</v>
      </c>
      <c r="B63" s="29">
        <v>1</v>
      </c>
      <c r="C63" s="29">
        <v>5</v>
      </c>
      <c r="D63" s="30" t="s">
        <v>984</v>
      </c>
      <c r="E63" s="30" t="s">
        <v>362</v>
      </c>
      <c r="F63" s="30" t="s">
        <v>294</v>
      </c>
      <c r="G63" s="30" t="s">
        <v>129</v>
      </c>
      <c r="H63" s="30" t="s">
        <v>165</v>
      </c>
      <c r="I63" s="29" t="s">
        <v>295</v>
      </c>
      <c r="J63" s="29">
        <v>99</v>
      </c>
      <c r="K63" s="29" t="s">
        <v>376</v>
      </c>
      <c r="L63" s="29">
        <v>42</v>
      </c>
      <c r="M63" s="30" t="s">
        <v>418</v>
      </c>
      <c r="N63" s="30" t="s">
        <v>893</v>
      </c>
      <c r="O63" s="31">
        <v>1</v>
      </c>
      <c r="P63" s="31"/>
      <c r="Q63" s="30"/>
      <c r="S63" s="2">
        <f t="shared" si="7"/>
        <v>0</v>
      </c>
      <c r="T63" s="2">
        <f t="shared" si="8"/>
        <v>0</v>
      </c>
      <c r="U63" s="2">
        <f t="shared" si="9"/>
        <v>0</v>
      </c>
      <c r="V63" s="2">
        <f t="shared" si="10"/>
        <v>0</v>
      </c>
      <c r="W63" s="2">
        <f t="shared" si="11"/>
        <v>0</v>
      </c>
      <c r="X63" s="2">
        <f t="shared" si="12"/>
        <v>0</v>
      </c>
      <c r="Y63" s="2">
        <f t="shared" si="13"/>
        <v>0</v>
      </c>
      <c r="Z63" s="2">
        <f t="shared" si="14"/>
        <v>0</v>
      </c>
      <c r="AA63" s="2">
        <f t="shared" si="15"/>
        <v>0</v>
      </c>
      <c r="AB63" s="2">
        <f t="shared" si="16"/>
        <v>0</v>
      </c>
      <c r="AD63" s="2">
        <f t="shared" si="17"/>
        <v>0</v>
      </c>
      <c r="AE63" s="2">
        <f t="shared" si="18"/>
        <v>1</v>
      </c>
      <c r="AF63" s="2">
        <f t="shared" si="19"/>
        <v>0</v>
      </c>
      <c r="AG63" s="2">
        <f t="shared" si="20"/>
        <v>1</v>
      </c>
      <c r="AH63" s="2">
        <f t="shared" si="21"/>
        <v>0</v>
      </c>
      <c r="AI63" s="2">
        <f t="shared" si="22"/>
        <v>1</v>
      </c>
    </row>
    <row r="64" spans="1:16384" ht="14.25" customHeight="1" x14ac:dyDescent="0.25">
      <c r="A64" s="29">
        <v>0</v>
      </c>
      <c r="B64" s="29">
        <v>1</v>
      </c>
      <c r="C64" s="29">
        <v>5</v>
      </c>
      <c r="D64" s="30" t="s">
        <v>555</v>
      </c>
      <c r="E64" s="30" t="s">
        <v>296</v>
      </c>
      <c r="F64" s="30" t="s">
        <v>556</v>
      </c>
      <c r="G64" s="30" t="s">
        <v>589</v>
      </c>
      <c r="H64" s="30" t="s">
        <v>165</v>
      </c>
      <c r="I64" s="29" t="s">
        <v>557</v>
      </c>
      <c r="J64" s="29">
        <v>99</v>
      </c>
      <c r="K64" s="29" t="s">
        <v>330</v>
      </c>
      <c r="L64" s="29" t="s">
        <v>594</v>
      </c>
      <c r="M64" s="30" t="s">
        <v>418</v>
      </c>
      <c r="N64" s="30" t="s">
        <v>893</v>
      </c>
      <c r="O64" s="31">
        <v>1</v>
      </c>
      <c r="P64" s="31"/>
      <c r="Q64" s="30"/>
      <c r="S64" s="2">
        <f t="shared" si="7"/>
        <v>0</v>
      </c>
      <c r="T64" s="2">
        <f t="shared" si="8"/>
        <v>0</v>
      </c>
      <c r="U64" s="2">
        <f t="shared" si="9"/>
        <v>0</v>
      </c>
      <c r="V64" s="2">
        <f t="shared" si="10"/>
        <v>0</v>
      </c>
      <c r="W64" s="2">
        <f t="shared" si="11"/>
        <v>0</v>
      </c>
      <c r="X64" s="2">
        <f t="shared" si="12"/>
        <v>0</v>
      </c>
      <c r="Y64" s="2">
        <f t="shared" si="13"/>
        <v>0</v>
      </c>
      <c r="Z64" s="2">
        <f t="shared" si="14"/>
        <v>0</v>
      </c>
      <c r="AA64" s="2">
        <f t="shared" si="15"/>
        <v>0</v>
      </c>
      <c r="AB64" s="2">
        <f t="shared" si="16"/>
        <v>0</v>
      </c>
      <c r="AD64" s="2">
        <f t="shared" si="17"/>
        <v>0</v>
      </c>
      <c r="AE64" s="2">
        <f t="shared" si="18"/>
        <v>1</v>
      </c>
      <c r="AF64" s="2">
        <f t="shared" si="19"/>
        <v>0</v>
      </c>
      <c r="AG64" s="2">
        <f t="shared" si="20"/>
        <v>1</v>
      </c>
      <c r="AH64" s="2">
        <f t="shared" si="21"/>
        <v>0</v>
      </c>
      <c r="AI64" s="2">
        <f t="shared" si="22"/>
        <v>1</v>
      </c>
    </row>
    <row r="65" spans="1:35" ht="14.25" customHeight="1" x14ac:dyDescent="0.25">
      <c r="A65" s="29">
        <v>0</v>
      </c>
      <c r="B65" s="29">
        <v>1</v>
      </c>
      <c r="C65" s="29">
        <v>5</v>
      </c>
      <c r="D65" s="30" t="s">
        <v>78</v>
      </c>
      <c r="E65" s="30" t="s">
        <v>259</v>
      </c>
      <c r="F65" s="30" t="s">
        <v>161</v>
      </c>
      <c r="G65" s="30" t="s">
        <v>95</v>
      </c>
      <c r="H65" s="30" t="s">
        <v>165</v>
      </c>
      <c r="I65" s="29" t="s">
        <v>370</v>
      </c>
      <c r="J65" s="29">
        <v>99</v>
      </c>
      <c r="K65" s="29" t="s">
        <v>329</v>
      </c>
      <c r="L65" s="29" t="s">
        <v>341</v>
      </c>
      <c r="M65" s="30" t="s">
        <v>779</v>
      </c>
      <c r="N65" s="30" t="s">
        <v>893</v>
      </c>
      <c r="O65" s="31">
        <v>1</v>
      </c>
      <c r="P65" s="31"/>
      <c r="Q65" s="30"/>
      <c r="S65" s="2">
        <f t="shared" si="7"/>
        <v>0</v>
      </c>
      <c r="T65" s="2">
        <f t="shared" si="8"/>
        <v>0</v>
      </c>
      <c r="U65" s="2">
        <f t="shared" si="9"/>
        <v>0</v>
      </c>
      <c r="V65" s="2">
        <f t="shared" si="10"/>
        <v>0</v>
      </c>
      <c r="W65" s="2">
        <f t="shared" si="11"/>
        <v>0</v>
      </c>
      <c r="X65" s="2">
        <f t="shared" si="12"/>
        <v>0</v>
      </c>
      <c r="Y65" s="2">
        <f t="shared" si="13"/>
        <v>0</v>
      </c>
      <c r="Z65" s="2">
        <f t="shared" si="14"/>
        <v>0</v>
      </c>
      <c r="AA65" s="2">
        <f t="shared" si="15"/>
        <v>0</v>
      </c>
      <c r="AB65" s="2">
        <f t="shared" si="16"/>
        <v>0</v>
      </c>
      <c r="AD65" s="2">
        <f t="shared" si="17"/>
        <v>0</v>
      </c>
      <c r="AE65" s="2">
        <f t="shared" si="18"/>
        <v>1</v>
      </c>
      <c r="AF65" s="2">
        <f t="shared" si="19"/>
        <v>0</v>
      </c>
      <c r="AG65" s="2">
        <f t="shared" si="20"/>
        <v>1</v>
      </c>
      <c r="AH65" s="2">
        <f t="shared" si="21"/>
        <v>0</v>
      </c>
      <c r="AI65" s="2">
        <f t="shared" si="22"/>
        <v>1</v>
      </c>
    </row>
    <row r="66" spans="1:35" ht="14.25" customHeight="1" x14ac:dyDescent="0.25">
      <c r="A66" s="29">
        <v>0</v>
      </c>
      <c r="B66" s="29">
        <v>1</v>
      </c>
      <c r="C66" s="29">
        <v>5</v>
      </c>
      <c r="D66" s="30" t="s">
        <v>290</v>
      </c>
      <c r="E66" s="30" t="s">
        <v>296</v>
      </c>
      <c r="F66" s="30" t="s">
        <v>291</v>
      </c>
      <c r="G66" s="30" t="s">
        <v>96</v>
      </c>
      <c r="H66" s="30" t="s">
        <v>165</v>
      </c>
      <c r="I66" s="29" t="s">
        <v>292</v>
      </c>
      <c r="J66" s="29">
        <v>3</v>
      </c>
      <c r="K66" s="29" t="s">
        <v>376</v>
      </c>
      <c r="L66" s="29" t="s">
        <v>335</v>
      </c>
      <c r="M66" s="30" t="s">
        <v>494</v>
      </c>
      <c r="N66" s="30" t="s">
        <v>909</v>
      </c>
      <c r="O66" s="31">
        <v>1</v>
      </c>
      <c r="P66" s="31"/>
      <c r="Q66" s="30"/>
      <c r="S66" s="2">
        <f t="shared" si="7"/>
        <v>0</v>
      </c>
      <c r="T66" s="2">
        <f t="shared" si="8"/>
        <v>0</v>
      </c>
      <c r="U66" s="2">
        <f t="shared" si="9"/>
        <v>1</v>
      </c>
      <c r="V66" s="2">
        <f t="shared" si="10"/>
        <v>0</v>
      </c>
      <c r="W66" s="2">
        <f t="shared" si="11"/>
        <v>0</v>
      </c>
      <c r="X66" s="2">
        <f t="shared" si="12"/>
        <v>0</v>
      </c>
      <c r="Y66" s="2">
        <f t="shared" si="13"/>
        <v>0</v>
      </c>
      <c r="Z66" s="2">
        <f t="shared" si="14"/>
        <v>0</v>
      </c>
      <c r="AA66" s="2">
        <f t="shared" si="15"/>
        <v>0</v>
      </c>
      <c r="AB66" s="2">
        <f t="shared" si="16"/>
        <v>0</v>
      </c>
      <c r="AD66" s="2">
        <f t="shared" si="17"/>
        <v>0</v>
      </c>
      <c r="AE66" s="2">
        <f t="shared" si="18"/>
        <v>1</v>
      </c>
      <c r="AF66" s="2">
        <f t="shared" si="19"/>
        <v>0</v>
      </c>
      <c r="AG66" s="2">
        <f t="shared" si="20"/>
        <v>1</v>
      </c>
      <c r="AH66" s="2">
        <f t="shared" si="21"/>
        <v>0</v>
      </c>
      <c r="AI66" s="2">
        <f t="shared" si="22"/>
        <v>1</v>
      </c>
    </row>
    <row r="67" spans="1:35" ht="14.25" customHeight="1" x14ac:dyDescent="0.25">
      <c r="A67" s="20">
        <v>0</v>
      </c>
      <c r="B67" s="20">
        <v>1</v>
      </c>
      <c r="C67" s="20">
        <v>5</v>
      </c>
      <c r="D67" s="21" t="s">
        <v>624</v>
      </c>
      <c r="E67" s="21" t="s">
        <v>627</v>
      </c>
      <c r="F67" s="21" t="s">
        <v>623</v>
      </c>
      <c r="G67" s="21" t="s">
        <v>163</v>
      </c>
      <c r="H67" s="21" t="s">
        <v>165</v>
      </c>
      <c r="I67" s="20" t="s">
        <v>625</v>
      </c>
      <c r="J67" s="20">
        <v>5</v>
      </c>
      <c r="K67" s="20" t="s">
        <v>376</v>
      </c>
      <c r="L67" s="20">
        <v>40</v>
      </c>
      <c r="M67" s="21" t="s">
        <v>736</v>
      </c>
      <c r="N67" s="21"/>
      <c r="O67" s="7"/>
      <c r="P67" s="7"/>
      <c r="Q67" s="21"/>
      <c r="S67" s="2">
        <f t="shared" si="7"/>
        <v>0</v>
      </c>
      <c r="T67" s="2">
        <f t="shared" si="8"/>
        <v>0</v>
      </c>
      <c r="U67" s="2">
        <f t="shared" si="9"/>
        <v>0</v>
      </c>
      <c r="V67" s="2">
        <f t="shared" si="10"/>
        <v>0</v>
      </c>
      <c r="W67" s="2">
        <f t="shared" si="11"/>
        <v>1</v>
      </c>
      <c r="X67" s="2">
        <f t="shared" si="12"/>
        <v>0</v>
      </c>
      <c r="Y67" s="2">
        <f t="shared" si="13"/>
        <v>0</v>
      </c>
      <c r="Z67" s="2">
        <f t="shared" si="14"/>
        <v>0</v>
      </c>
      <c r="AA67" s="2">
        <f t="shared" si="15"/>
        <v>0</v>
      </c>
      <c r="AB67" s="2">
        <f t="shared" si="16"/>
        <v>0</v>
      </c>
      <c r="AD67" s="2">
        <f t="shared" si="17"/>
        <v>0</v>
      </c>
      <c r="AE67" s="2">
        <f t="shared" si="18"/>
        <v>0</v>
      </c>
      <c r="AF67" s="2">
        <f t="shared" si="19"/>
        <v>0</v>
      </c>
      <c r="AG67" s="2">
        <f t="shared" si="20"/>
        <v>0</v>
      </c>
      <c r="AH67" s="2">
        <f t="shared" si="21"/>
        <v>0</v>
      </c>
      <c r="AI67" s="2">
        <f t="shared" si="22"/>
        <v>1</v>
      </c>
    </row>
    <row r="68" spans="1:35" ht="14.25" customHeight="1" x14ac:dyDescent="0.25">
      <c r="A68" s="29">
        <v>0</v>
      </c>
      <c r="B68" s="29">
        <v>1</v>
      </c>
      <c r="C68" s="29">
        <v>5</v>
      </c>
      <c r="D68" s="30" t="s">
        <v>46</v>
      </c>
      <c r="E68" s="30" t="s">
        <v>467</v>
      </c>
      <c r="F68" s="30" t="s">
        <v>688</v>
      </c>
      <c r="G68" s="30" t="s">
        <v>93</v>
      </c>
      <c r="H68" s="30" t="s">
        <v>165</v>
      </c>
      <c r="I68" s="29" t="s">
        <v>166</v>
      </c>
      <c r="J68" s="29">
        <v>8</v>
      </c>
      <c r="K68" s="29" t="s">
        <v>326</v>
      </c>
      <c r="L68" s="29" t="s">
        <v>346</v>
      </c>
      <c r="M68" s="30" t="s">
        <v>418</v>
      </c>
      <c r="N68" s="30" t="s">
        <v>882</v>
      </c>
      <c r="O68" s="31">
        <v>1</v>
      </c>
      <c r="P68" s="31"/>
      <c r="Q68" s="30"/>
      <c r="S68" s="2">
        <f t="shared" si="7"/>
        <v>0</v>
      </c>
      <c r="T68" s="2">
        <f t="shared" si="8"/>
        <v>0</v>
      </c>
      <c r="U68" s="2">
        <f t="shared" si="9"/>
        <v>0</v>
      </c>
      <c r="V68" s="2">
        <f t="shared" si="10"/>
        <v>0</v>
      </c>
      <c r="W68" s="2">
        <f t="shared" si="11"/>
        <v>0</v>
      </c>
      <c r="X68" s="2">
        <f t="shared" si="12"/>
        <v>0</v>
      </c>
      <c r="Y68" s="2">
        <f t="shared" si="13"/>
        <v>0</v>
      </c>
      <c r="Z68" s="2">
        <f t="shared" si="14"/>
        <v>1</v>
      </c>
      <c r="AA68" s="2">
        <f t="shared" si="15"/>
        <v>0</v>
      </c>
      <c r="AB68" s="2">
        <f t="shared" si="16"/>
        <v>0</v>
      </c>
      <c r="AD68" s="2">
        <f t="shared" si="17"/>
        <v>0</v>
      </c>
      <c r="AE68" s="2">
        <f t="shared" si="18"/>
        <v>1</v>
      </c>
      <c r="AF68" s="2">
        <f t="shared" si="19"/>
        <v>0</v>
      </c>
      <c r="AG68" s="2">
        <f t="shared" si="20"/>
        <v>1</v>
      </c>
      <c r="AH68" s="2">
        <f t="shared" si="21"/>
        <v>0</v>
      </c>
      <c r="AI68" s="2">
        <f t="shared" si="22"/>
        <v>1</v>
      </c>
    </row>
    <row r="69" spans="1:35" ht="14.25" customHeight="1" x14ac:dyDescent="0.25">
      <c r="A69" s="29">
        <v>0</v>
      </c>
      <c r="B69" s="29">
        <v>1</v>
      </c>
      <c r="C69" s="29">
        <v>5</v>
      </c>
      <c r="D69" s="30" t="s">
        <v>806</v>
      </c>
      <c r="E69" s="30" t="s">
        <v>264</v>
      </c>
      <c r="F69" s="30" t="s">
        <v>118</v>
      </c>
      <c r="G69" s="30" t="s">
        <v>119</v>
      </c>
      <c r="H69" s="30" t="s">
        <v>165</v>
      </c>
      <c r="I69" s="29" t="s">
        <v>178</v>
      </c>
      <c r="J69" s="29">
        <v>8</v>
      </c>
      <c r="K69" s="29" t="s">
        <v>329</v>
      </c>
      <c r="L69" s="29" t="s">
        <v>343</v>
      </c>
      <c r="M69" s="30" t="s">
        <v>266</v>
      </c>
      <c r="N69" s="30" t="s">
        <v>882</v>
      </c>
      <c r="O69" s="31">
        <v>1</v>
      </c>
      <c r="P69" s="31"/>
      <c r="Q69" s="30"/>
      <c r="S69" s="2">
        <f t="shared" si="7"/>
        <v>0</v>
      </c>
      <c r="T69" s="2">
        <f t="shared" si="8"/>
        <v>0</v>
      </c>
      <c r="U69" s="2">
        <f t="shared" si="9"/>
        <v>0</v>
      </c>
      <c r="V69" s="2">
        <f t="shared" si="10"/>
        <v>0</v>
      </c>
      <c r="W69" s="2">
        <f t="shared" si="11"/>
        <v>0</v>
      </c>
      <c r="X69" s="2">
        <f t="shared" si="12"/>
        <v>0</v>
      </c>
      <c r="Y69" s="2">
        <f t="shared" si="13"/>
        <v>0</v>
      </c>
      <c r="Z69" s="2">
        <f t="shared" si="14"/>
        <v>1</v>
      </c>
      <c r="AA69" s="2">
        <f t="shared" si="15"/>
        <v>0</v>
      </c>
      <c r="AB69" s="2">
        <f t="shared" si="16"/>
        <v>0</v>
      </c>
      <c r="AD69" s="2">
        <f t="shared" si="17"/>
        <v>0</v>
      </c>
      <c r="AE69" s="2">
        <f t="shared" si="18"/>
        <v>1</v>
      </c>
      <c r="AF69" s="2">
        <f t="shared" si="19"/>
        <v>0</v>
      </c>
      <c r="AG69" s="2">
        <f t="shared" si="20"/>
        <v>1</v>
      </c>
      <c r="AH69" s="2">
        <f t="shared" si="21"/>
        <v>0</v>
      </c>
      <c r="AI69" s="2">
        <f t="shared" si="22"/>
        <v>1</v>
      </c>
    </row>
    <row r="70" spans="1:35" ht="14.25" customHeight="1" x14ac:dyDescent="0.25">
      <c r="A70" s="20">
        <v>0</v>
      </c>
      <c r="B70" s="20">
        <v>1</v>
      </c>
      <c r="C70" s="20">
        <v>5</v>
      </c>
      <c r="D70" s="21" t="s">
        <v>807</v>
      </c>
      <c r="E70" s="21" t="s">
        <v>795</v>
      </c>
      <c r="F70" s="21" t="s">
        <v>797</v>
      </c>
      <c r="G70" s="21" t="s">
        <v>117</v>
      </c>
      <c r="H70" s="21" t="s">
        <v>165</v>
      </c>
      <c r="I70" s="20" t="s">
        <v>798</v>
      </c>
      <c r="J70" s="20">
        <v>1</v>
      </c>
      <c r="K70" s="20" t="s">
        <v>329</v>
      </c>
      <c r="L70" s="20">
        <v>45</v>
      </c>
      <c r="M70" s="21" t="s">
        <v>40</v>
      </c>
      <c r="N70" s="21"/>
      <c r="O70" s="7"/>
      <c r="P70" s="7"/>
      <c r="Q70" s="21"/>
      <c r="S70" s="2">
        <f t="shared" si="7"/>
        <v>1</v>
      </c>
      <c r="T70" s="2">
        <f t="shared" si="8"/>
        <v>0</v>
      </c>
      <c r="U70" s="2">
        <f t="shared" si="9"/>
        <v>0</v>
      </c>
      <c r="V70" s="2">
        <f t="shared" si="10"/>
        <v>0</v>
      </c>
      <c r="W70" s="2">
        <f t="shared" si="11"/>
        <v>0</v>
      </c>
      <c r="X70" s="2">
        <f t="shared" si="12"/>
        <v>0</v>
      </c>
      <c r="Y70" s="2">
        <f t="shared" si="13"/>
        <v>0</v>
      </c>
      <c r="Z70" s="2">
        <f t="shared" si="14"/>
        <v>0</v>
      </c>
      <c r="AA70" s="2">
        <f t="shared" si="15"/>
        <v>0</v>
      </c>
      <c r="AB70" s="2">
        <f t="shared" si="16"/>
        <v>0</v>
      </c>
      <c r="AD70" s="2">
        <f t="shared" si="17"/>
        <v>0</v>
      </c>
      <c r="AE70" s="2">
        <f t="shared" si="18"/>
        <v>0</v>
      </c>
      <c r="AF70" s="2">
        <f t="shared" si="19"/>
        <v>0</v>
      </c>
      <c r="AG70" s="2">
        <f t="shared" si="20"/>
        <v>0</v>
      </c>
      <c r="AH70" s="2">
        <f t="shared" si="21"/>
        <v>0</v>
      </c>
      <c r="AI70" s="2">
        <f t="shared" si="22"/>
        <v>1</v>
      </c>
    </row>
    <row r="71" spans="1:35" ht="14.25" customHeight="1" x14ac:dyDescent="0.25">
      <c r="A71" s="20">
        <v>1</v>
      </c>
      <c r="B71" s="20">
        <v>1</v>
      </c>
      <c r="C71" s="20">
        <v>5</v>
      </c>
      <c r="D71" s="21" t="s">
        <v>807</v>
      </c>
      <c r="E71" s="21" t="s">
        <v>795</v>
      </c>
      <c r="F71" s="21" t="s">
        <v>830</v>
      </c>
      <c r="G71" s="21" t="s">
        <v>96</v>
      </c>
      <c r="H71" s="21" t="s">
        <v>165</v>
      </c>
      <c r="I71" s="20" t="s">
        <v>799</v>
      </c>
      <c r="J71" s="20">
        <v>3</v>
      </c>
      <c r="K71" s="20">
        <v>7</v>
      </c>
      <c r="L71" s="20">
        <v>45</v>
      </c>
      <c r="M71" s="21" t="s">
        <v>40</v>
      </c>
      <c r="N71" s="21"/>
      <c r="O71" s="7"/>
      <c r="P71" s="7"/>
      <c r="Q71" s="21"/>
      <c r="S71" s="2">
        <f t="shared" si="7"/>
        <v>0</v>
      </c>
      <c r="T71" s="2">
        <f t="shared" si="8"/>
        <v>0</v>
      </c>
      <c r="U71" s="2">
        <f t="shared" si="9"/>
        <v>1</v>
      </c>
      <c r="V71" s="2">
        <f t="shared" si="10"/>
        <v>0</v>
      </c>
      <c r="W71" s="2">
        <f t="shared" si="11"/>
        <v>0</v>
      </c>
      <c r="X71" s="2">
        <f t="shared" si="12"/>
        <v>0</v>
      </c>
      <c r="Y71" s="2">
        <f t="shared" si="13"/>
        <v>0</v>
      </c>
      <c r="Z71" s="2">
        <f t="shared" si="14"/>
        <v>0</v>
      </c>
      <c r="AA71" s="2">
        <f t="shared" si="15"/>
        <v>0</v>
      </c>
      <c r="AB71" s="2">
        <f t="shared" si="16"/>
        <v>0</v>
      </c>
      <c r="AD71" s="2">
        <f t="shared" si="17"/>
        <v>0</v>
      </c>
      <c r="AE71" s="2">
        <f t="shared" si="18"/>
        <v>0</v>
      </c>
      <c r="AF71" s="2">
        <f t="shared" si="19"/>
        <v>0</v>
      </c>
      <c r="AG71" s="2">
        <f t="shared" si="20"/>
        <v>0</v>
      </c>
      <c r="AH71" s="2">
        <f t="shared" si="21"/>
        <v>0</v>
      </c>
      <c r="AI71" s="2">
        <f t="shared" si="22"/>
        <v>0</v>
      </c>
    </row>
    <row r="72" spans="1:35" ht="14.25" customHeight="1" x14ac:dyDescent="0.25">
      <c r="A72" s="29">
        <v>0</v>
      </c>
      <c r="B72" s="29">
        <v>1</v>
      </c>
      <c r="C72" s="29">
        <v>6</v>
      </c>
      <c r="D72" s="30" t="s">
        <v>800</v>
      </c>
      <c r="E72" s="30" t="s">
        <v>261</v>
      </c>
      <c r="F72" s="30" t="s">
        <v>764</v>
      </c>
      <c r="G72" s="30" t="s">
        <v>517</v>
      </c>
      <c r="H72" s="30" t="s">
        <v>165</v>
      </c>
      <c r="I72" s="29" t="s">
        <v>765</v>
      </c>
      <c r="J72" s="29">
        <v>99</v>
      </c>
      <c r="K72" s="29" t="s">
        <v>326</v>
      </c>
      <c r="L72" s="29" t="s">
        <v>40</v>
      </c>
      <c r="M72" s="30" t="s">
        <v>40</v>
      </c>
      <c r="N72" s="30" t="s">
        <v>880</v>
      </c>
      <c r="O72" s="31">
        <v>1</v>
      </c>
      <c r="P72" s="31">
        <v>1</v>
      </c>
      <c r="Q72" s="30"/>
      <c r="S72" s="2">
        <f t="shared" si="7"/>
        <v>0</v>
      </c>
      <c r="T72" s="2">
        <f t="shared" si="8"/>
        <v>0</v>
      </c>
      <c r="U72" s="2">
        <f t="shared" si="9"/>
        <v>0</v>
      </c>
      <c r="V72" s="2">
        <f t="shared" si="10"/>
        <v>0</v>
      </c>
      <c r="W72" s="2">
        <f t="shared" si="11"/>
        <v>0</v>
      </c>
      <c r="X72" s="2">
        <f t="shared" si="12"/>
        <v>0</v>
      </c>
      <c r="Y72" s="2">
        <f t="shared" si="13"/>
        <v>0</v>
      </c>
      <c r="Z72" s="2">
        <f t="shared" si="14"/>
        <v>0</v>
      </c>
      <c r="AA72" s="2">
        <f t="shared" si="15"/>
        <v>0</v>
      </c>
      <c r="AB72" s="2">
        <f t="shared" si="16"/>
        <v>0</v>
      </c>
      <c r="AD72" s="2">
        <f t="shared" si="17"/>
        <v>1</v>
      </c>
      <c r="AE72" s="2">
        <f t="shared" si="18"/>
        <v>0</v>
      </c>
      <c r="AF72" s="2">
        <f t="shared" si="19"/>
        <v>1</v>
      </c>
      <c r="AG72" s="2">
        <f t="shared" si="20"/>
        <v>0</v>
      </c>
      <c r="AH72" s="2">
        <f t="shared" si="21"/>
        <v>1</v>
      </c>
      <c r="AI72" s="2">
        <f t="shared" si="22"/>
        <v>0</v>
      </c>
    </row>
    <row r="73" spans="1:35" ht="14.25" customHeight="1" x14ac:dyDescent="0.25">
      <c r="A73" s="29">
        <v>0</v>
      </c>
      <c r="B73" s="29">
        <v>1</v>
      </c>
      <c r="C73" s="29">
        <v>6</v>
      </c>
      <c r="D73" s="30" t="s">
        <v>299</v>
      </c>
      <c r="E73" s="30" t="s">
        <v>258</v>
      </c>
      <c r="F73" s="30" t="s">
        <v>300</v>
      </c>
      <c r="G73" s="30" t="s">
        <v>309</v>
      </c>
      <c r="H73" s="30" t="s">
        <v>165</v>
      </c>
      <c r="I73" s="29" t="s">
        <v>301</v>
      </c>
      <c r="J73" s="29">
        <v>1</v>
      </c>
      <c r="K73" s="29" t="s">
        <v>323</v>
      </c>
      <c r="L73" s="29" t="s">
        <v>40</v>
      </c>
      <c r="M73" s="30" t="s">
        <v>40</v>
      </c>
      <c r="N73" s="30" t="s">
        <v>880</v>
      </c>
      <c r="O73" s="31">
        <v>1</v>
      </c>
      <c r="P73" s="31">
        <v>1</v>
      </c>
      <c r="Q73" s="30"/>
      <c r="S73" s="2">
        <f t="shared" si="7"/>
        <v>1</v>
      </c>
      <c r="T73" s="2">
        <f t="shared" si="8"/>
        <v>0</v>
      </c>
      <c r="U73" s="2">
        <f t="shared" si="9"/>
        <v>0</v>
      </c>
      <c r="V73" s="2">
        <f t="shared" si="10"/>
        <v>0</v>
      </c>
      <c r="W73" s="2">
        <f t="shared" si="11"/>
        <v>0</v>
      </c>
      <c r="X73" s="2">
        <f t="shared" si="12"/>
        <v>0</v>
      </c>
      <c r="Y73" s="2">
        <f t="shared" si="13"/>
        <v>0</v>
      </c>
      <c r="Z73" s="2">
        <f t="shared" si="14"/>
        <v>0</v>
      </c>
      <c r="AA73" s="2">
        <f t="shared" si="15"/>
        <v>0</v>
      </c>
      <c r="AB73" s="2">
        <f t="shared" si="16"/>
        <v>0</v>
      </c>
      <c r="AD73" s="2">
        <f t="shared" si="17"/>
        <v>1</v>
      </c>
      <c r="AE73" s="2">
        <f t="shared" si="18"/>
        <v>0</v>
      </c>
      <c r="AF73" s="2">
        <f t="shared" si="19"/>
        <v>1</v>
      </c>
      <c r="AG73" s="2">
        <f t="shared" si="20"/>
        <v>0</v>
      </c>
      <c r="AH73" s="2">
        <f t="shared" si="21"/>
        <v>1</v>
      </c>
      <c r="AI73" s="2">
        <f t="shared" si="22"/>
        <v>0</v>
      </c>
    </row>
    <row r="74" spans="1:35" ht="14.25" customHeight="1" x14ac:dyDescent="0.25">
      <c r="A74" s="29">
        <v>0</v>
      </c>
      <c r="B74" s="29">
        <v>1</v>
      </c>
      <c r="C74" s="29">
        <v>6</v>
      </c>
      <c r="D74" s="30" t="s">
        <v>227</v>
      </c>
      <c r="E74" s="30" t="s">
        <v>669</v>
      </c>
      <c r="F74" s="30" t="s">
        <v>661</v>
      </c>
      <c r="G74" s="30" t="s">
        <v>662</v>
      </c>
      <c r="H74" s="30" t="s">
        <v>165</v>
      </c>
      <c r="I74" s="29" t="s">
        <v>663</v>
      </c>
      <c r="J74" s="29"/>
      <c r="K74" s="29" t="s">
        <v>332</v>
      </c>
      <c r="L74" s="29">
        <v>45</v>
      </c>
      <c r="M74" s="30" t="s">
        <v>746</v>
      </c>
      <c r="N74" s="30" t="s">
        <v>882</v>
      </c>
      <c r="O74" s="31">
        <v>1</v>
      </c>
      <c r="P74" s="31"/>
      <c r="Q74" s="30"/>
      <c r="S74" s="2">
        <f t="shared" si="7"/>
        <v>0</v>
      </c>
      <c r="T74" s="2">
        <f t="shared" si="8"/>
        <v>0</v>
      </c>
      <c r="U74" s="2">
        <f t="shared" si="9"/>
        <v>0</v>
      </c>
      <c r="V74" s="2">
        <f t="shared" si="10"/>
        <v>0</v>
      </c>
      <c r="W74" s="2">
        <f t="shared" si="11"/>
        <v>0</v>
      </c>
      <c r="X74" s="2">
        <f t="shared" si="12"/>
        <v>0</v>
      </c>
      <c r="Y74" s="2">
        <f t="shared" si="13"/>
        <v>0</v>
      </c>
      <c r="Z74" s="2">
        <f t="shared" si="14"/>
        <v>0</v>
      </c>
      <c r="AA74" s="2">
        <f t="shared" si="15"/>
        <v>0</v>
      </c>
      <c r="AB74" s="2">
        <f t="shared" si="16"/>
        <v>0</v>
      </c>
      <c r="AD74" s="2">
        <f t="shared" si="17"/>
        <v>0</v>
      </c>
      <c r="AE74" s="2">
        <f t="shared" si="18"/>
        <v>1</v>
      </c>
      <c r="AF74" s="2">
        <f t="shared" si="19"/>
        <v>0</v>
      </c>
      <c r="AG74" s="2">
        <f t="shared" si="20"/>
        <v>1</v>
      </c>
      <c r="AH74" s="2">
        <f t="shared" si="21"/>
        <v>0</v>
      </c>
      <c r="AI74" s="2">
        <f t="shared" si="22"/>
        <v>1</v>
      </c>
    </row>
    <row r="75" spans="1:35" ht="14.25" customHeight="1" x14ac:dyDescent="0.25">
      <c r="A75" s="29">
        <v>1</v>
      </c>
      <c r="B75" s="29">
        <v>1</v>
      </c>
      <c r="C75" s="29">
        <v>6</v>
      </c>
      <c r="D75" s="30" t="s">
        <v>227</v>
      </c>
      <c r="E75" s="30" t="s">
        <v>669</v>
      </c>
      <c r="F75" s="30" t="s">
        <v>228</v>
      </c>
      <c r="G75" s="30" t="s">
        <v>122</v>
      </c>
      <c r="H75" s="30" t="s">
        <v>165</v>
      </c>
      <c r="I75" s="29" t="s">
        <v>229</v>
      </c>
      <c r="J75" s="29">
        <v>6</v>
      </c>
      <c r="K75" s="29" t="s">
        <v>332</v>
      </c>
      <c r="L75" s="29">
        <v>45</v>
      </c>
      <c r="M75" s="30" t="s">
        <v>746</v>
      </c>
      <c r="N75" s="30" t="s">
        <v>882</v>
      </c>
      <c r="O75" s="31">
        <v>1</v>
      </c>
      <c r="P75" s="31"/>
      <c r="Q75" s="30"/>
      <c r="S75" s="2">
        <f t="shared" ref="S75:S141" si="23">IF(J75=$S$7,1,0)</f>
        <v>0</v>
      </c>
      <c r="T75" s="2">
        <f t="shared" ref="T75:T141" si="24">IF(J75=$T$7,1,0)</f>
        <v>0</v>
      </c>
      <c r="U75" s="2">
        <f t="shared" ref="U75:U141" si="25">IF(J75=$U$7,1,0)</f>
        <v>0</v>
      </c>
      <c r="V75" s="2">
        <f t="shared" ref="V75:V141" si="26">IF(J75=$V$7,1,0)</f>
        <v>0</v>
      </c>
      <c r="W75" s="2">
        <f t="shared" ref="W75:W141" si="27">IF(J75=$W$7,1,0)</f>
        <v>0</v>
      </c>
      <c r="X75" s="2">
        <f t="shared" ref="X75:X141" si="28">IF(J75=$X$7,1,0)</f>
        <v>1</v>
      </c>
      <c r="Y75" s="2">
        <f t="shared" ref="Y75:Y141" si="29">IF(J75=$Y$7,1,0)</f>
        <v>0</v>
      </c>
      <c r="Z75" s="2">
        <f t="shared" ref="Z75:Z141" si="30">IF(J75=$Z$7,1,0)</f>
        <v>0</v>
      </c>
      <c r="AA75" s="2">
        <f t="shared" ref="AA75:AA141" si="31">IF(J75=$AA$7,1,0)</f>
        <v>0</v>
      </c>
      <c r="AB75" s="2">
        <f t="shared" ref="AB75:AB141" si="32">IF(J75=$AB$7,1,0)</f>
        <v>0</v>
      </c>
      <c r="AD75" s="2">
        <f t="shared" ref="AD75:AD141" si="33">+O75*P75</f>
        <v>0</v>
      </c>
      <c r="AE75" s="2">
        <f t="shared" ref="AE75:AE141" si="34">O75*(1-P75)</f>
        <v>1</v>
      </c>
      <c r="AF75" s="2">
        <f t="shared" ref="AF75:AF141" si="35">+O75*P75*(1-A75)</f>
        <v>0</v>
      </c>
      <c r="AG75" s="2">
        <f t="shared" ref="AG75:AG141" si="36">O75*(1-P75)*(1-A75)</f>
        <v>0</v>
      </c>
      <c r="AH75" s="2">
        <f t="shared" ref="AH75:AH141" si="37">+P75*(1-A75)</f>
        <v>0</v>
      </c>
      <c r="AI75" s="2">
        <f t="shared" ref="AI75:AI141" si="38">+(1-A75)*(1-P75)</f>
        <v>0</v>
      </c>
    </row>
    <row r="76" spans="1:35" ht="14.25" customHeight="1" x14ac:dyDescent="0.25">
      <c r="A76" s="29">
        <v>0</v>
      </c>
      <c r="B76" s="29">
        <v>1</v>
      </c>
      <c r="C76" s="29">
        <v>6</v>
      </c>
      <c r="D76" s="30" t="s">
        <v>712</v>
      </c>
      <c r="E76" s="30" t="s">
        <v>258</v>
      </c>
      <c r="F76" s="30" t="s">
        <v>713</v>
      </c>
      <c r="G76" s="30" t="s">
        <v>130</v>
      </c>
      <c r="H76" s="30" t="s">
        <v>165</v>
      </c>
      <c r="I76" s="29" t="s">
        <v>714</v>
      </c>
      <c r="J76" s="29"/>
      <c r="K76" s="29" t="s">
        <v>329</v>
      </c>
      <c r="L76" s="29">
        <v>35</v>
      </c>
      <c r="M76" s="30" t="s">
        <v>869</v>
      </c>
      <c r="N76" s="30" t="s">
        <v>882</v>
      </c>
      <c r="O76" s="31">
        <v>1</v>
      </c>
      <c r="P76" s="31"/>
      <c r="Q76" s="30"/>
      <c r="S76" s="2">
        <f t="shared" si="23"/>
        <v>0</v>
      </c>
      <c r="T76" s="2">
        <f t="shared" si="24"/>
        <v>0</v>
      </c>
      <c r="U76" s="2">
        <f t="shared" si="25"/>
        <v>0</v>
      </c>
      <c r="V76" s="2">
        <f t="shared" si="26"/>
        <v>0</v>
      </c>
      <c r="W76" s="2">
        <f t="shared" si="27"/>
        <v>0</v>
      </c>
      <c r="X76" s="2">
        <f t="shared" si="28"/>
        <v>0</v>
      </c>
      <c r="Y76" s="2">
        <f t="shared" si="29"/>
        <v>0</v>
      </c>
      <c r="Z76" s="2">
        <f t="shared" si="30"/>
        <v>0</v>
      </c>
      <c r="AA76" s="2">
        <f t="shared" si="31"/>
        <v>0</v>
      </c>
      <c r="AB76" s="2">
        <f t="shared" si="32"/>
        <v>0</v>
      </c>
      <c r="AD76" s="2">
        <f t="shared" si="33"/>
        <v>0</v>
      </c>
      <c r="AE76" s="2">
        <f t="shared" si="34"/>
        <v>1</v>
      </c>
      <c r="AF76" s="2">
        <f t="shared" si="35"/>
        <v>0</v>
      </c>
      <c r="AG76" s="2">
        <f t="shared" si="36"/>
        <v>1</v>
      </c>
      <c r="AH76" s="2">
        <f t="shared" si="37"/>
        <v>0</v>
      </c>
      <c r="AI76" s="2">
        <f t="shared" si="38"/>
        <v>1</v>
      </c>
    </row>
    <row r="77" spans="1:35" ht="14.25" customHeight="1" x14ac:dyDescent="0.25">
      <c r="A77" s="29">
        <v>0</v>
      </c>
      <c r="B77" s="29">
        <v>1</v>
      </c>
      <c r="C77" s="29">
        <v>6</v>
      </c>
      <c r="D77" s="30" t="s">
        <v>70</v>
      </c>
      <c r="E77" s="30" t="s">
        <v>258</v>
      </c>
      <c r="F77" s="30" t="s">
        <v>149</v>
      </c>
      <c r="G77" s="30" t="s">
        <v>130</v>
      </c>
      <c r="H77" s="30" t="s">
        <v>165</v>
      </c>
      <c r="I77" s="29" t="s">
        <v>193</v>
      </c>
      <c r="J77" s="29">
        <v>10</v>
      </c>
      <c r="K77" s="29" t="s">
        <v>326</v>
      </c>
      <c r="L77" s="29">
        <v>40</v>
      </c>
      <c r="M77" s="30" t="s">
        <v>913</v>
      </c>
      <c r="N77" s="30" t="s">
        <v>882</v>
      </c>
      <c r="O77" s="31">
        <v>1</v>
      </c>
      <c r="P77" s="31"/>
      <c r="Q77" s="30"/>
      <c r="S77" s="2">
        <f t="shared" si="23"/>
        <v>0</v>
      </c>
      <c r="T77" s="2">
        <f t="shared" si="24"/>
        <v>0</v>
      </c>
      <c r="U77" s="2">
        <f t="shared" si="25"/>
        <v>0</v>
      </c>
      <c r="V77" s="2">
        <f t="shared" si="26"/>
        <v>0</v>
      </c>
      <c r="W77" s="2">
        <f t="shared" si="27"/>
        <v>0</v>
      </c>
      <c r="X77" s="2">
        <f t="shared" si="28"/>
        <v>0</v>
      </c>
      <c r="Y77" s="2">
        <f t="shared" si="29"/>
        <v>0</v>
      </c>
      <c r="Z77" s="2">
        <f t="shared" si="30"/>
        <v>0</v>
      </c>
      <c r="AA77" s="2">
        <f t="shared" si="31"/>
        <v>0</v>
      </c>
      <c r="AB77" s="2">
        <f t="shared" si="32"/>
        <v>1</v>
      </c>
      <c r="AD77" s="2">
        <f t="shared" si="33"/>
        <v>0</v>
      </c>
      <c r="AE77" s="2">
        <f t="shared" si="34"/>
        <v>1</v>
      </c>
      <c r="AF77" s="2">
        <f t="shared" si="35"/>
        <v>0</v>
      </c>
      <c r="AG77" s="2">
        <f t="shared" si="36"/>
        <v>1</v>
      </c>
      <c r="AH77" s="2">
        <f t="shared" si="37"/>
        <v>0</v>
      </c>
      <c r="AI77" s="2">
        <f t="shared" si="38"/>
        <v>1</v>
      </c>
    </row>
    <row r="78" spans="1:35" ht="14.25" customHeight="1" x14ac:dyDescent="0.25">
      <c r="A78" s="29">
        <v>0</v>
      </c>
      <c r="B78" s="29">
        <v>1</v>
      </c>
      <c r="C78" s="29">
        <v>6</v>
      </c>
      <c r="D78" s="30" t="s">
        <v>241</v>
      </c>
      <c r="E78" s="30" t="s">
        <v>261</v>
      </c>
      <c r="F78" s="30" t="s">
        <v>242</v>
      </c>
      <c r="G78" s="30" t="s">
        <v>243</v>
      </c>
      <c r="H78" s="30" t="s">
        <v>165</v>
      </c>
      <c r="I78" s="29" t="s">
        <v>244</v>
      </c>
      <c r="J78" s="29">
        <v>9</v>
      </c>
      <c r="K78" s="29" t="s">
        <v>328</v>
      </c>
      <c r="L78" s="29" t="s">
        <v>40</v>
      </c>
      <c r="M78" s="30" t="s">
        <v>40</v>
      </c>
      <c r="N78" s="30" t="s">
        <v>880</v>
      </c>
      <c r="O78" s="31">
        <v>1</v>
      </c>
      <c r="P78" s="31">
        <v>1</v>
      </c>
      <c r="Q78" s="30"/>
      <c r="S78" s="2">
        <f t="shared" si="23"/>
        <v>0</v>
      </c>
      <c r="T78" s="2">
        <f t="shared" si="24"/>
        <v>0</v>
      </c>
      <c r="U78" s="2">
        <f t="shared" si="25"/>
        <v>0</v>
      </c>
      <c r="V78" s="2">
        <f t="shared" si="26"/>
        <v>0</v>
      </c>
      <c r="W78" s="2">
        <f t="shared" si="27"/>
        <v>0</v>
      </c>
      <c r="X78" s="2">
        <f t="shared" si="28"/>
        <v>0</v>
      </c>
      <c r="Y78" s="2">
        <f t="shared" si="29"/>
        <v>0</v>
      </c>
      <c r="Z78" s="2">
        <f t="shared" si="30"/>
        <v>0</v>
      </c>
      <c r="AA78" s="2">
        <f t="shared" si="31"/>
        <v>1</v>
      </c>
      <c r="AB78" s="2">
        <f t="shared" si="32"/>
        <v>0</v>
      </c>
      <c r="AD78" s="2">
        <f t="shared" si="33"/>
        <v>1</v>
      </c>
      <c r="AE78" s="2">
        <f t="shared" si="34"/>
        <v>0</v>
      </c>
      <c r="AF78" s="2">
        <f t="shared" si="35"/>
        <v>1</v>
      </c>
      <c r="AG78" s="2">
        <f t="shared" si="36"/>
        <v>0</v>
      </c>
      <c r="AH78" s="2">
        <f t="shared" si="37"/>
        <v>1</v>
      </c>
      <c r="AI78" s="2">
        <f t="shared" si="38"/>
        <v>0</v>
      </c>
    </row>
    <row r="79" spans="1:35" ht="14.25" customHeight="1" x14ac:dyDescent="0.25">
      <c r="A79" s="29">
        <v>0</v>
      </c>
      <c r="B79" s="29">
        <v>1</v>
      </c>
      <c r="C79" s="29">
        <v>6</v>
      </c>
      <c r="D79" s="30" t="s">
        <v>358</v>
      </c>
      <c r="E79" s="30" t="s">
        <v>261</v>
      </c>
      <c r="F79" s="30" t="s">
        <v>293</v>
      </c>
      <c r="G79" s="30" t="s">
        <v>127</v>
      </c>
      <c r="H79" s="30" t="s">
        <v>165</v>
      </c>
      <c r="I79" s="29" t="s">
        <v>485</v>
      </c>
      <c r="J79" s="29">
        <v>2</v>
      </c>
      <c r="K79" s="29" t="s">
        <v>330</v>
      </c>
      <c r="L79" s="29" t="s">
        <v>334</v>
      </c>
      <c r="M79" s="30" t="s">
        <v>206</v>
      </c>
      <c r="N79" s="30" t="s">
        <v>909</v>
      </c>
      <c r="O79" s="31">
        <v>1</v>
      </c>
      <c r="P79" s="31"/>
      <c r="Q79" s="30"/>
      <c r="S79" s="2">
        <f t="shared" si="23"/>
        <v>0</v>
      </c>
      <c r="T79" s="2">
        <f t="shared" si="24"/>
        <v>1</v>
      </c>
      <c r="U79" s="2">
        <f t="shared" si="25"/>
        <v>0</v>
      </c>
      <c r="V79" s="2">
        <f t="shared" si="26"/>
        <v>0</v>
      </c>
      <c r="W79" s="2">
        <f t="shared" si="27"/>
        <v>0</v>
      </c>
      <c r="X79" s="2">
        <f t="shared" si="28"/>
        <v>0</v>
      </c>
      <c r="Y79" s="2">
        <f t="shared" si="29"/>
        <v>0</v>
      </c>
      <c r="Z79" s="2">
        <f t="shared" si="30"/>
        <v>0</v>
      </c>
      <c r="AA79" s="2">
        <f t="shared" si="31"/>
        <v>0</v>
      </c>
      <c r="AB79" s="2">
        <f t="shared" si="32"/>
        <v>0</v>
      </c>
      <c r="AD79" s="2">
        <f t="shared" si="33"/>
        <v>0</v>
      </c>
      <c r="AE79" s="2">
        <f t="shared" si="34"/>
        <v>1</v>
      </c>
      <c r="AF79" s="2">
        <f t="shared" si="35"/>
        <v>0</v>
      </c>
      <c r="AG79" s="2">
        <f t="shared" si="36"/>
        <v>1</v>
      </c>
      <c r="AH79" s="2">
        <f t="shared" si="37"/>
        <v>0</v>
      </c>
      <c r="AI79" s="2">
        <f t="shared" si="38"/>
        <v>1</v>
      </c>
    </row>
    <row r="80" spans="1:35" ht="14.25" customHeight="1" x14ac:dyDescent="0.25">
      <c r="A80" s="29">
        <v>0</v>
      </c>
      <c r="B80" s="29">
        <v>1</v>
      </c>
      <c r="C80" s="29">
        <v>6</v>
      </c>
      <c r="D80" s="30" t="s">
        <v>53</v>
      </c>
      <c r="E80" s="30" t="s">
        <v>258</v>
      </c>
      <c r="F80" s="30" t="s">
        <v>106</v>
      </c>
      <c r="G80" s="30" t="s">
        <v>107</v>
      </c>
      <c r="H80" s="30" t="s">
        <v>165</v>
      </c>
      <c r="I80" s="29" t="s">
        <v>172</v>
      </c>
      <c r="J80" s="29">
        <v>99</v>
      </c>
      <c r="K80" s="29" t="s">
        <v>324</v>
      </c>
      <c r="L80" s="29" t="s">
        <v>40</v>
      </c>
      <c r="M80" s="30" t="s">
        <v>40</v>
      </c>
      <c r="N80" s="30" t="s">
        <v>880</v>
      </c>
      <c r="O80" s="31">
        <v>1</v>
      </c>
      <c r="P80" s="31">
        <v>1</v>
      </c>
      <c r="Q80" s="30"/>
      <c r="S80" s="2">
        <f t="shared" si="23"/>
        <v>0</v>
      </c>
      <c r="T80" s="2">
        <f t="shared" si="24"/>
        <v>0</v>
      </c>
      <c r="U80" s="2">
        <f t="shared" si="25"/>
        <v>0</v>
      </c>
      <c r="V80" s="2">
        <f t="shared" si="26"/>
        <v>0</v>
      </c>
      <c r="W80" s="2">
        <f t="shared" si="27"/>
        <v>0</v>
      </c>
      <c r="X80" s="2">
        <f t="shared" si="28"/>
        <v>0</v>
      </c>
      <c r="Y80" s="2">
        <f t="shared" si="29"/>
        <v>0</v>
      </c>
      <c r="Z80" s="2">
        <f t="shared" si="30"/>
        <v>0</v>
      </c>
      <c r="AA80" s="2">
        <f t="shared" si="31"/>
        <v>0</v>
      </c>
      <c r="AB80" s="2">
        <f t="shared" si="32"/>
        <v>0</v>
      </c>
      <c r="AD80" s="2">
        <f t="shared" si="33"/>
        <v>1</v>
      </c>
      <c r="AE80" s="2">
        <f t="shared" si="34"/>
        <v>0</v>
      </c>
      <c r="AF80" s="2">
        <f t="shared" si="35"/>
        <v>1</v>
      </c>
      <c r="AG80" s="2">
        <f t="shared" si="36"/>
        <v>0</v>
      </c>
      <c r="AH80" s="2">
        <f t="shared" si="37"/>
        <v>1</v>
      </c>
      <c r="AI80" s="2">
        <f t="shared" si="38"/>
        <v>0</v>
      </c>
    </row>
    <row r="81" spans="1:16384" s="3" customFormat="1" ht="14.25" customHeight="1" x14ac:dyDescent="0.25">
      <c r="A81" s="29">
        <v>0</v>
      </c>
      <c r="B81" s="29">
        <v>1</v>
      </c>
      <c r="C81" s="29">
        <v>6</v>
      </c>
      <c r="D81" s="30" t="s">
        <v>286</v>
      </c>
      <c r="E81" s="30" t="s">
        <v>258</v>
      </c>
      <c r="F81" s="30" t="s">
        <v>287</v>
      </c>
      <c r="G81" s="30" t="s">
        <v>96</v>
      </c>
      <c r="H81" s="30" t="s">
        <v>165</v>
      </c>
      <c r="I81" s="29" t="s">
        <v>833</v>
      </c>
      <c r="J81" s="29">
        <v>3</v>
      </c>
      <c r="K81" s="29" t="s">
        <v>330</v>
      </c>
      <c r="L81" s="29" t="s">
        <v>346</v>
      </c>
      <c r="M81" s="30" t="s">
        <v>759</v>
      </c>
      <c r="N81" s="30" t="s">
        <v>883</v>
      </c>
      <c r="O81" s="31">
        <v>1</v>
      </c>
      <c r="P81" s="31"/>
      <c r="Q81" s="30"/>
      <c r="R81" s="20"/>
      <c r="S81" s="2">
        <f t="shared" si="23"/>
        <v>0</v>
      </c>
      <c r="T81" s="2">
        <f t="shared" si="24"/>
        <v>0</v>
      </c>
      <c r="U81" s="2">
        <f t="shared" si="25"/>
        <v>1</v>
      </c>
      <c r="V81" s="2">
        <f t="shared" si="26"/>
        <v>0</v>
      </c>
      <c r="W81" s="2">
        <f t="shared" si="27"/>
        <v>0</v>
      </c>
      <c r="X81" s="2">
        <f t="shared" si="28"/>
        <v>0</v>
      </c>
      <c r="Y81" s="2">
        <f t="shared" si="29"/>
        <v>0</v>
      </c>
      <c r="Z81" s="2">
        <f t="shared" si="30"/>
        <v>0</v>
      </c>
      <c r="AA81" s="2">
        <f t="shared" si="31"/>
        <v>0</v>
      </c>
      <c r="AB81" s="2">
        <f t="shared" si="32"/>
        <v>0</v>
      </c>
      <c r="AC81" s="2"/>
      <c r="AD81" s="2">
        <f t="shared" si="33"/>
        <v>0</v>
      </c>
      <c r="AE81" s="2">
        <f t="shared" si="34"/>
        <v>1</v>
      </c>
      <c r="AF81" s="2">
        <f t="shared" si="35"/>
        <v>0</v>
      </c>
      <c r="AG81" s="2">
        <f t="shared" si="36"/>
        <v>1</v>
      </c>
      <c r="AH81" s="2">
        <f t="shared" si="37"/>
        <v>0</v>
      </c>
      <c r="AI81" s="2">
        <f t="shared" si="38"/>
        <v>1</v>
      </c>
      <c r="AJ81" s="20"/>
      <c r="AK81" s="20"/>
      <c r="AL81" s="21"/>
      <c r="AM81" s="21"/>
      <c r="AN81" s="21"/>
      <c r="AO81" s="21"/>
      <c r="AP81" s="21"/>
      <c r="AQ81" s="20"/>
      <c r="AR81" s="20"/>
      <c r="AS81" s="20"/>
      <c r="AT81" s="20"/>
      <c r="AU81" s="21"/>
      <c r="AV81" s="21"/>
      <c r="AW81" s="7"/>
      <c r="AX81" s="7"/>
      <c r="AY81" s="21"/>
      <c r="AZ81" s="20"/>
      <c r="BA81" s="20"/>
      <c r="BB81" s="20"/>
      <c r="BC81" s="21"/>
      <c r="BD81" s="21"/>
      <c r="BE81" s="21"/>
      <c r="BF81" s="21"/>
      <c r="BG81" s="21"/>
      <c r="BH81" s="20"/>
      <c r="BI81" s="20"/>
      <c r="BJ81" s="20"/>
      <c r="BK81" s="20"/>
      <c r="BL81" s="21"/>
      <c r="BM81" s="21"/>
      <c r="BN81" s="7"/>
      <c r="BO81" s="7"/>
      <c r="BP81" s="21"/>
      <c r="BQ81" s="20"/>
      <c r="BR81" s="20"/>
      <c r="BS81" s="20"/>
      <c r="BT81" s="21"/>
      <c r="BU81" s="21"/>
      <c r="BV81" s="21"/>
      <c r="BW81" s="21"/>
      <c r="BX81" s="21"/>
      <c r="BY81" s="20"/>
      <c r="BZ81" s="20"/>
      <c r="CA81" s="20"/>
      <c r="CB81" s="20"/>
      <c r="CC81" s="21"/>
      <c r="CD81" s="21"/>
      <c r="CE81" s="7"/>
      <c r="CF81" s="7"/>
      <c r="CG81" s="21"/>
      <c r="CH81" s="20"/>
      <c r="CI81" s="20"/>
      <c r="CJ81" s="20"/>
      <c r="CK81" s="21"/>
      <c r="CL81" s="21"/>
      <c r="CM81" s="21"/>
      <c r="CN81" s="21"/>
      <c r="CO81" s="21"/>
      <c r="CP81" s="20"/>
      <c r="CQ81" s="20"/>
      <c r="CR81" s="20"/>
      <c r="CS81" s="20"/>
      <c r="CT81" s="21"/>
      <c r="CU81" s="21"/>
      <c r="CV81" s="7"/>
      <c r="CW81" s="7"/>
      <c r="CX81" s="21"/>
      <c r="CY81" s="20"/>
      <c r="CZ81" s="20"/>
      <c r="DA81" s="20"/>
      <c r="DB81" s="21"/>
      <c r="DC81" s="21"/>
      <c r="DD81" s="21"/>
      <c r="DE81" s="21"/>
      <c r="DF81" s="21"/>
      <c r="DG81" s="20"/>
      <c r="DH81" s="20"/>
      <c r="DI81" s="20"/>
      <c r="DJ81" s="20"/>
      <c r="DK81" s="21"/>
      <c r="DL81" s="21"/>
      <c r="DM81" s="7"/>
      <c r="DN81" s="7"/>
      <c r="DO81" s="21"/>
      <c r="DP81" s="20"/>
      <c r="DQ81" s="20"/>
      <c r="DR81" s="20"/>
      <c r="DS81" s="21"/>
      <c r="DT81" s="21"/>
      <c r="DU81" s="21"/>
      <c r="DV81" s="21"/>
      <c r="DW81" s="21"/>
      <c r="DX81" s="20"/>
      <c r="DY81" s="20"/>
      <c r="DZ81" s="20"/>
      <c r="EA81" s="20"/>
      <c r="EB81" s="21"/>
      <c r="EC81" s="21"/>
      <c r="ED81" s="7"/>
      <c r="EE81" s="7"/>
      <c r="EF81" s="21"/>
      <c r="EG81" s="20"/>
      <c r="EH81" s="20"/>
      <c r="EI81" s="20"/>
      <c r="EJ81" s="21"/>
      <c r="EK81" s="21"/>
      <c r="EL81" s="21"/>
      <c r="EM81" s="21"/>
      <c r="EN81" s="21"/>
      <c r="EO81" s="20"/>
      <c r="EP81" s="20"/>
      <c r="EQ81" s="20"/>
      <c r="ER81" s="20"/>
      <c r="ES81" s="21"/>
      <c r="ET81" s="21"/>
      <c r="EU81" s="7"/>
      <c r="EV81" s="7"/>
      <c r="EW81" s="21"/>
      <c r="EX81" s="20"/>
      <c r="EY81" s="20"/>
      <c r="EZ81" s="20"/>
      <c r="FA81" s="21"/>
      <c r="FB81" s="21"/>
      <c r="FC81" s="21"/>
      <c r="FD81" s="21"/>
      <c r="FE81" s="21"/>
      <c r="FF81" s="20"/>
      <c r="FG81" s="20"/>
      <c r="FH81" s="20"/>
      <c r="FI81" s="20"/>
      <c r="FJ81" s="21"/>
      <c r="FK81" s="21"/>
      <c r="FL81" s="7"/>
      <c r="FM81" s="7"/>
      <c r="FN81" s="21"/>
      <c r="FO81" s="20"/>
      <c r="FP81" s="20"/>
      <c r="FQ81" s="20"/>
      <c r="FR81" s="21"/>
      <c r="FS81" s="21"/>
      <c r="FT81" s="21"/>
      <c r="FU81" s="21"/>
      <c r="FV81" s="21"/>
      <c r="FW81" s="20"/>
      <c r="FX81" s="20"/>
      <c r="FY81" s="20"/>
      <c r="FZ81" s="20"/>
      <c r="GA81" s="21"/>
      <c r="GB81" s="21"/>
      <c r="GC81" s="7"/>
      <c r="GD81" s="7"/>
      <c r="GE81" s="21"/>
      <c r="GF81" s="20"/>
      <c r="GG81" s="20"/>
      <c r="GH81" s="20"/>
      <c r="GI81" s="21"/>
      <c r="GJ81" s="21"/>
      <c r="GK81" s="21"/>
      <c r="GL81" s="21"/>
      <c r="GM81" s="21"/>
      <c r="GN81" s="20"/>
      <c r="GO81" s="20"/>
      <c r="GP81" s="20"/>
      <c r="GQ81" s="20"/>
      <c r="GR81" s="21"/>
      <c r="GS81" s="21"/>
      <c r="GT81" s="7"/>
      <c r="GU81" s="7"/>
      <c r="GV81" s="21"/>
      <c r="GW81" s="20"/>
      <c r="GX81" s="20"/>
      <c r="GY81" s="20"/>
      <c r="GZ81" s="21"/>
      <c r="HA81" s="21"/>
      <c r="HB81" s="21"/>
      <c r="HC81" s="21"/>
      <c r="HD81" s="21"/>
      <c r="HE81" s="20"/>
      <c r="HF81" s="20"/>
      <c r="HG81" s="20"/>
      <c r="HH81" s="20"/>
      <c r="HI81" s="21"/>
      <c r="HJ81" s="21"/>
      <c r="HK81" s="7"/>
      <c r="HL81" s="7"/>
      <c r="HM81" s="21"/>
      <c r="HN81" s="20"/>
      <c r="HO81" s="20"/>
      <c r="HP81" s="20"/>
      <c r="HQ81" s="21"/>
      <c r="HR81" s="21"/>
      <c r="HS81" s="21"/>
      <c r="HT81" s="21"/>
      <c r="HU81" s="21"/>
      <c r="HV81" s="20"/>
      <c r="HW81" s="20"/>
      <c r="HX81" s="20"/>
      <c r="HY81" s="20"/>
      <c r="HZ81" s="21"/>
      <c r="IA81" s="21"/>
      <c r="IB81" s="7"/>
      <c r="IC81" s="7"/>
      <c r="ID81" s="21"/>
      <c r="IE81" s="20"/>
      <c r="IF81" s="20"/>
      <c r="IG81" s="20"/>
      <c r="IH81" s="21"/>
      <c r="II81" s="21"/>
      <c r="IJ81" s="21"/>
      <c r="IK81" s="21"/>
      <c r="IL81" s="21"/>
      <c r="IM81" s="20"/>
      <c r="IN81" s="20"/>
      <c r="IO81" s="20"/>
      <c r="IP81" s="20"/>
      <c r="IQ81" s="21"/>
      <c r="IR81" s="21"/>
      <c r="IS81" s="7"/>
      <c r="IT81" s="7"/>
      <c r="IU81" s="21"/>
      <c r="IV81" s="20"/>
      <c r="IW81" s="20"/>
      <c r="IX81" s="20"/>
      <c r="IY81" s="21"/>
      <c r="IZ81" s="21"/>
      <c r="JA81" s="21"/>
      <c r="JB81" s="21"/>
      <c r="JC81" s="21"/>
      <c r="JD81" s="20"/>
      <c r="JE81" s="20"/>
      <c r="JF81" s="20"/>
      <c r="JG81" s="20"/>
      <c r="JH81" s="21"/>
      <c r="JI81" s="21"/>
      <c r="JJ81" s="7"/>
      <c r="JK81" s="7"/>
      <c r="JL81" s="21"/>
      <c r="JM81" s="20"/>
      <c r="JN81" s="20"/>
      <c r="JO81" s="20"/>
      <c r="JP81" s="21"/>
      <c r="JQ81" s="21"/>
      <c r="JR81" s="21"/>
      <c r="JS81" s="21"/>
      <c r="JT81" s="21"/>
      <c r="JU81" s="20"/>
      <c r="JV81" s="20"/>
      <c r="JW81" s="20"/>
      <c r="JX81" s="20"/>
      <c r="JY81" s="21"/>
      <c r="JZ81" s="21"/>
      <c r="KA81" s="7"/>
      <c r="KB81" s="7"/>
      <c r="KC81" s="21"/>
      <c r="KD81" s="20"/>
      <c r="KE81" s="20"/>
      <c r="KF81" s="20"/>
      <c r="KG81" s="21"/>
      <c r="KH81" s="21"/>
      <c r="KI81" s="21"/>
      <c r="KJ81" s="21"/>
      <c r="KK81" s="21"/>
      <c r="KL81" s="20"/>
      <c r="KM81" s="20"/>
      <c r="KN81" s="20"/>
      <c r="KO81" s="20"/>
      <c r="KP81" s="21"/>
      <c r="KQ81" s="21"/>
      <c r="KR81" s="7"/>
      <c r="KS81" s="7"/>
      <c r="KT81" s="21"/>
      <c r="KU81" s="20"/>
      <c r="KV81" s="20"/>
      <c r="KW81" s="20"/>
      <c r="KX81" s="21"/>
      <c r="KY81" s="21"/>
      <c r="KZ81" s="21"/>
      <c r="LA81" s="21"/>
      <c r="LB81" s="21"/>
      <c r="LC81" s="20"/>
      <c r="LD81" s="20"/>
      <c r="LE81" s="20"/>
      <c r="LF81" s="20"/>
      <c r="LG81" s="21"/>
      <c r="LH81" s="21"/>
      <c r="LI81" s="7"/>
      <c r="LJ81" s="7"/>
      <c r="LK81" s="21"/>
      <c r="LL81" s="20"/>
      <c r="LM81" s="20"/>
      <c r="LN81" s="20"/>
      <c r="LO81" s="21"/>
      <c r="LP81" s="21"/>
      <c r="LQ81" s="21"/>
      <c r="LR81" s="21"/>
      <c r="LS81" s="21"/>
      <c r="LT81" s="20"/>
      <c r="LU81" s="20"/>
      <c r="LV81" s="20"/>
      <c r="LW81" s="20"/>
      <c r="LX81" s="21"/>
      <c r="LY81" s="21"/>
      <c r="LZ81" s="7"/>
      <c r="MA81" s="7"/>
      <c r="MB81" s="21"/>
      <c r="MC81" s="20"/>
      <c r="MD81" s="20"/>
      <c r="ME81" s="20"/>
      <c r="MF81" s="21"/>
      <c r="MG81" s="21"/>
      <c r="MH81" s="21"/>
      <c r="MI81" s="21"/>
      <c r="MJ81" s="21"/>
      <c r="MK81" s="20"/>
      <c r="ML81" s="20"/>
      <c r="MM81" s="20"/>
      <c r="MN81" s="20"/>
      <c r="MO81" s="21"/>
      <c r="MP81" s="21"/>
      <c r="MQ81" s="7"/>
      <c r="MR81" s="7"/>
      <c r="MS81" s="21"/>
      <c r="MT81" s="20"/>
      <c r="MU81" s="20"/>
      <c r="MV81" s="20"/>
      <c r="MW81" s="21"/>
      <c r="MX81" s="21"/>
      <c r="MY81" s="21"/>
      <c r="MZ81" s="21"/>
      <c r="NA81" s="21"/>
      <c r="NB81" s="20"/>
      <c r="NC81" s="20"/>
      <c r="ND81" s="20"/>
      <c r="NE81" s="20"/>
      <c r="NF81" s="21"/>
      <c r="NG81" s="21"/>
      <c r="NH81" s="7"/>
      <c r="NI81" s="7"/>
      <c r="NJ81" s="21"/>
      <c r="NK81" s="20"/>
      <c r="NL81" s="20"/>
      <c r="NM81" s="20"/>
      <c r="NN81" s="21"/>
      <c r="NO81" s="21"/>
      <c r="NP81" s="21"/>
      <c r="NQ81" s="21"/>
      <c r="NR81" s="21"/>
      <c r="NS81" s="20"/>
      <c r="NT81" s="20"/>
      <c r="NU81" s="20"/>
      <c r="NV81" s="20"/>
      <c r="NW81" s="21"/>
      <c r="NX81" s="21"/>
      <c r="NY81" s="7"/>
      <c r="NZ81" s="7"/>
      <c r="OA81" s="21"/>
      <c r="OB81" s="20"/>
      <c r="OC81" s="20"/>
      <c r="OD81" s="20"/>
      <c r="OE81" s="21"/>
      <c r="OF81" s="21"/>
      <c r="OG81" s="21"/>
      <c r="OH81" s="21"/>
      <c r="OI81" s="21"/>
      <c r="OJ81" s="20"/>
      <c r="OK81" s="20"/>
      <c r="OL81" s="20"/>
      <c r="OM81" s="20"/>
      <c r="ON81" s="21"/>
      <c r="OO81" s="21"/>
      <c r="OP81" s="7"/>
      <c r="OQ81" s="7"/>
      <c r="OR81" s="21"/>
      <c r="OS81" s="20"/>
      <c r="OT81" s="20"/>
      <c r="OU81" s="20"/>
      <c r="OV81" s="21"/>
      <c r="OW81" s="21"/>
      <c r="OX81" s="21"/>
      <c r="OY81" s="21"/>
      <c r="OZ81" s="21"/>
      <c r="PA81" s="20"/>
      <c r="PB81" s="20"/>
      <c r="PC81" s="20"/>
      <c r="PD81" s="20"/>
      <c r="PE81" s="21"/>
      <c r="PF81" s="21"/>
      <c r="PG81" s="7"/>
      <c r="PH81" s="7"/>
      <c r="PI81" s="21"/>
      <c r="PJ81" s="20"/>
      <c r="PK81" s="20"/>
      <c r="PL81" s="20"/>
      <c r="PM81" s="21"/>
      <c r="PN81" s="21"/>
      <c r="PO81" s="21"/>
      <c r="PP81" s="21"/>
      <c r="PQ81" s="21"/>
      <c r="PR81" s="20"/>
      <c r="PS81" s="20"/>
      <c r="PT81" s="20"/>
      <c r="PU81" s="20"/>
      <c r="PV81" s="21"/>
      <c r="PW81" s="21"/>
      <c r="PX81" s="7"/>
      <c r="PY81" s="7"/>
      <c r="PZ81" s="21"/>
      <c r="QA81" s="20"/>
      <c r="QB81" s="20"/>
      <c r="QC81" s="20"/>
      <c r="QD81" s="21"/>
      <c r="QE81" s="21"/>
      <c r="QF81" s="21"/>
      <c r="QG81" s="21"/>
      <c r="QH81" s="21"/>
      <c r="QI81" s="20"/>
      <c r="QJ81" s="20"/>
      <c r="QK81" s="20"/>
      <c r="QL81" s="20"/>
      <c r="QM81" s="21"/>
      <c r="QN81" s="21"/>
      <c r="QO81" s="7"/>
      <c r="QP81" s="7"/>
      <c r="QQ81" s="21"/>
      <c r="QR81" s="20"/>
      <c r="QS81" s="20"/>
      <c r="QT81" s="20"/>
      <c r="QU81" s="21"/>
      <c r="QV81" s="21"/>
      <c r="QW81" s="21"/>
      <c r="QX81" s="21"/>
      <c r="QY81" s="21"/>
      <c r="QZ81" s="20"/>
      <c r="RA81" s="20"/>
      <c r="RB81" s="20"/>
      <c r="RC81" s="20"/>
      <c r="RD81" s="21"/>
      <c r="RE81" s="21"/>
      <c r="RF81" s="7"/>
      <c r="RG81" s="7"/>
      <c r="RH81" s="21"/>
      <c r="RI81" s="20"/>
      <c r="RJ81" s="20"/>
      <c r="RK81" s="20"/>
      <c r="RL81" s="21"/>
      <c r="RM81" s="21"/>
      <c r="RN81" s="21"/>
      <c r="RO81" s="21"/>
      <c r="RP81" s="21"/>
      <c r="RQ81" s="20"/>
      <c r="RR81" s="20"/>
      <c r="RS81" s="20"/>
      <c r="RT81" s="20"/>
      <c r="RU81" s="21"/>
      <c r="RV81" s="21"/>
      <c r="RW81" s="7"/>
      <c r="RX81" s="7"/>
      <c r="RY81" s="21"/>
      <c r="RZ81" s="20"/>
      <c r="SA81" s="20"/>
      <c r="SB81" s="20"/>
      <c r="SC81" s="21"/>
      <c r="SD81" s="21"/>
      <c r="SE81" s="21"/>
      <c r="SF81" s="21"/>
      <c r="SG81" s="21"/>
      <c r="SH81" s="20"/>
      <c r="SI81" s="20"/>
      <c r="SJ81" s="20"/>
      <c r="SK81" s="20"/>
      <c r="SL81" s="21"/>
      <c r="SM81" s="21"/>
      <c r="SN81" s="7"/>
      <c r="SO81" s="7"/>
      <c r="SP81" s="21"/>
      <c r="SQ81" s="20"/>
      <c r="SR81" s="20"/>
      <c r="SS81" s="20"/>
      <c r="ST81" s="21"/>
      <c r="SU81" s="21"/>
      <c r="SV81" s="21"/>
      <c r="SW81" s="21"/>
      <c r="SX81" s="21"/>
      <c r="SY81" s="20"/>
      <c r="SZ81" s="20"/>
      <c r="TA81" s="20"/>
      <c r="TB81" s="20"/>
      <c r="TC81" s="21"/>
      <c r="TD81" s="21"/>
      <c r="TE81" s="7"/>
      <c r="TF81" s="7"/>
      <c r="TG81" s="21"/>
      <c r="TH81" s="20"/>
      <c r="TI81" s="20"/>
      <c r="TJ81" s="20"/>
      <c r="TK81" s="21"/>
      <c r="TL81" s="21"/>
      <c r="TM81" s="21"/>
      <c r="TN81" s="21"/>
      <c r="TO81" s="21"/>
      <c r="TP81" s="20"/>
      <c r="TQ81" s="20"/>
      <c r="TR81" s="20"/>
      <c r="TS81" s="20"/>
      <c r="TT81" s="21"/>
      <c r="TU81" s="21"/>
      <c r="TV81" s="7"/>
      <c r="TW81" s="7"/>
      <c r="TX81" s="21"/>
      <c r="TY81" s="20"/>
      <c r="TZ81" s="20"/>
      <c r="UA81" s="20"/>
      <c r="UB81" s="21"/>
      <c r="UC81" s="21"/>
      <c r="UD81" s="21"/>
      <c r="UE81" s="21"/>
      <c r="UF81" s="21"/>
      <c r="UG81" s="20"/>
      <c r="UH81" s="20"/>
      <c r="UI81" s="20"/>
      <c r="UJ81" s="20"/>
      <c r="UK81" s="21"/>
      <c r="UL81" s="21"/>
      <c r="UM81" s="7"/>
      <c r="UN81" s="7"/>
      <c r="UO81" s="21"/>
      <c r="UP81" s="20"/>
      <c r="UQ81" s="20"/>
      <c r="UR81" s="20"/>
      <c r="US81" s="21"/>
      <c r="UT81" s="21"/>
      <c r="UU81" s="21"/>
      <c r="UV81" s="21"/>
      <c r="UW81" s="21"/>
      <c r="UX81" s="20"/>
      <c r="UY81" s="20"/>
      <c r="UZ81" s="20"/>
      <c r="VA81" s="20"/>
      <c r="VB81" s="21"/>
      <c r="VC81" s="21"/>
      <c r="VD81" s="7"/>
      <c r="VE81" s="7"/>
      <c r="VF81" s="21"/>
      <c r="VG81" s="20"/>
      <c r="VH81" s="20"/>
      <c r="VI81" s="20"/>
      <c r="VJ81" s="21"/>
      <c r="VK81" s="21"/>
      <c r="VL81" s="21"/>
      <c r="VM81" s="21"/>
      <c r="VN81" s="21"/>
      <c r="VO81" s="20"/>
      <c r="VP81" s="20"/>
      <c r="VQ81" s="20"/>
      <c r="VR81" s="20"/>
      <c r="VS81" s="21"/>
      <c r="VT81" s="21"/>
      <c r="VU81" s="7"/>
      <c r="VV81" s="7"/>
      <c r="VW81" s="21"/>
      <c r="VX81" s="20"/>
      <c r="VY81" s="20"/>
      <c r="VZ81" s="20"/>
      <c r="WA81" s="21"/>
      <c r="WB81" s="21"/>
      <c r="WC81" s="21"/>
      <c r="WD81" s="21"/>
      <c r="WE81" s="21"/>
      <c r="WF81" s="20"/>
      <c r="WG81" s="20"/>
      <c r="WH81" s="20"/>
      <c r="WI81" s="20"/>
      <c r="WJ81" s="21"/>
      <c r="WK81" s="21"/>
      <c r="WL81" s="7"/>
      <c r="WM81" s="7"/>
      <c r="WN81" s="21"/>
      <c r="WO81" s="20"/>
      <c r="WP81" s="20"/>
      <c r="WQ81" s="20"/>
      <c r="WR81" s="21"/>
      <c r="WS81" s="21"/>
      <c r="WT81" s="21"/>
      <c r="WU81" s="21"/>
      <c r="WV81" s="21"/>
      <c r="WW81" s="20"/>
      <c r="WX81" s="20"/>
      <c r="WY81" s="20"/>
      <c r="WZ81" s="20"/>
      <c r="XA81" s="21"/>
      <c r="XB81" s="21"/>
      <c r="XC81" s="7"/>
      <c r="XD81" s="7"/>
      <c r="XE81" s="21"/>
      <c r="XF81" s="20"/>
      <c r="XG81" s="20"/>
      <c r="XH81" s="20"/>
      <c r="XI81" s="21"/>
      <c r="XJ81" s="21"/>
      <c r="XK81" s="21"/>
      <c r="XL81" s="21"/>
      <c r="XM81" s="21"/>
      <c r="XN81" s="20"/>
      <c r="XO81" s="20"/>
      <c r="XP81" s="20"/>
      <c r="XQ81" s="20"/>
      <c r="XR81" s="21"/>
      <c r="XS81" s="21"/>
      <c r="XT81" s="7"/>
      <c r="XU81" s="7"/>
      <c r="XV81" s="21"/>
      <c r="XW81" s="20"/>
      <c r="XX81" s="20"/>
      <c r="XY81" s="20"/>
      <c r="XZ81" s="21"/>
      <c r="YA81" s="21"/>
      <c r="YB81" s="21"/>
      <c r="YC81" s="21"/>
      <c r="YD81" s="21"/>
      <c r="YE81" s="20"/>
      <c r="YF81" s="20"/>
      <c r="YG81" s="20"/>
      <c r="YH81" s="20"/>
      <c r="YI81" s="21"/>
      <c r="YJ81" s="21"/>
      <c r="YK81" s="7"/>
      <c r="YL81" s="7"/>
      <c r="YM81" s="21"/>
      <c r="YN81" s="20"/>
      <c r="YO81" s="20"/>
      <c r="YP81" s="20"/>
      <c r="YQ81" s="21"/>
      <c r="YR81" s="21"/>
      <c r="YS81" s="21"/>
      <c r="YT81" s="21"/>
      <c r="YU81" s="21"/>
      <c r="YV81" s="20"/>
      <c r="YW81" s="20"/>
      <c r="YX81" s="20"/>
      <c r="YY81" s="20"/>
      <c r="YZ81" s="21"/>
      <c r="ZA81" s="21"/>
      <c r="ZB81" s="7"/>
      <c r="ZC81" s="7"/>
      <c r="ZD81" s="21"/>
      <c r="ZE81" s="20"/>
      <c r="ZF81" s="20"/>
      <c r="ZG81" s="20"/>
      <c r="ZH81" s="21"/>
      <c r="ZI81" s="21"/>
      <c r="ZJ81" s="21"/>
      <c r="ZK81" s="21"/>
      <c r="ZL81" s="21"/>
      <c r="ZM81" s="20"/>
      <c r="ZN81" s="20"/>
      <c r="ZO81" s="20"/>
      <c r="ZP81" s="20"/>
      <c r="ZQ81" s="21"/>
      <c r="ZR81" s="21"/>
      <c r="ZS81" s="7"/>
      <c r="ZT81" s="7"/>
      <c r="ZU81" s="21"/>
      <c r="ZV81" s="20"/>
      <c r="ZW81" s="20"/>
      <c r="ZX81" s="20"/>
      <c r="ZY81" s="21"/>
      <c r="ZZ81" s="21"/>
      <c r="AAA81" s="21"/>
      <c r="AAB81" s="21"/>
      <c r="AAC81" s="21"/>
      <c r="AAD81" s="20"/>
      <c r="AAE81" s="20"/>
      <c r="AAF81" s="20"/>
      <c r="AAG81" s="20"/>
      <c r="AAH81" s="21"/>
      <c r="AAI81" s="21"/>
      <c r="AAJ81" s="7"/>
      <c r="AAK81" s="7"/>
      <c r="AAL81" s="21"/>
      <c r="AAM81" s="20"/>
      <c r="AAN81" s="20"/>
      <c r="AAO81" s="20"/>
      <c r="AAP81" s="21"/>
      <c r="AAQ81" s="21"/>
      <c r="AAR81" s="21"/>
      <c r="AAS81" s="21"/>
      <c r="AAT81" s="21"/>
      <c r="AAU81" s="20"/>
      <c r="AAV81" s="20"/>
      <c r="AAW81" s="20"/>
      <c r="AAX81" s="20"/>
      <c r="AAY81" s="21"/>
      <c r="AAZ81" s="21"/>
      <c r="ABA81" s="7"/>
      <c r="ABB81" s="7"/>
      <c r="ABC81" s="21"/>
      <c r="ABD81" s="20"/>
      <c r="ABE81" s="20"/>
      <c r="ABF81" s="20"/>
      <c r="ABG81" s="21"/>
      <c r="ABH81" s="21"/>
      <c r="ABI81" s="21"/>
      <c r="ABJ81" s="21"/>
      <c r="ABK81" s="21"/>
      <c r="ABL81" s="20"/>
      <c r="ABM81" s="20"/>
      <c r="ABN81" s="20"/>
      <c r="ABO81" s="20"/>
      <c r="ABP81" s="21"/>
      <c r="ABQ81" s="21"/>
      <c r="ABR81" s="7"/>
      <c r="ABS81" s="7"/>
      <c r="ABT81" s="21"/>
      <c r="ABU81" s="20"/>
      <c r="ABV81" s="20"/>
      <c r="ABW81" s="20"/>
      <c r="ABX81" s="21"/>
      <c r="ABY81" s="21"/>
      <c r="ABZ81" s="21"/>
      <c r="ACA81" s="21"/>
      <c r="ACB81" s="21"/>
      <c r="ACC81" s="20"/>
      <c r="ACD81" s="20"/>
      <c r="ACE81" s="20"/>
      <c r="ACF81" s="20"/>
      <c r="ACG81" s="21"/>
      <c r="ACH81" s="21"/>
      <c r="ACI81" s="7"/>
      <c r="ACJ81" s="7"/>
      <c r="ACK81" s="21"/>
      <c r="ACL81" s="20"/>
      <c r="ACM81" s="20"/>
      <c r="ACN81" s="20"/>
      <c r="ACO81" s="21"/>
      <c r="ACP81" s="21"/>
      <c r="ACQ81" s="21"/>
      <c r="ACR81" s="21"/>
      <c r="ACS81" s="21"/>
      <c r="ACT81" s="20"/>
      <c r="ACU81" s="20"/>
      <c r="ACV81" s="20"/>
      <c r="ACW81" s="20"/>
      <c r="ACX81" s="21"/>
      <c r="ACY81" s="21"/>
      <c r="ACZ81" s="7"/>
      <c r="ADA81" s="7"/>
      <c r="ADB81" s="21"/>
      <c r="ADC81" s="20"/>
      <c r="ADD81" s="20"/>
      <c r="ADE81" s="20"/>
      <c r="ADF81" s="21"/>
      <c r="ADG81" s="21"/>
      <c r="ADH81" s="21"/>
      <c r="ADI81" s="21"/>
      <c r="ADJ81" s="21"/>
      <c r="ADK81" s="20"/>
      <c r="ADL81" s="20"/>
      <c r="ADM81" s="20"/>
      <c r="ADN81" s="20"/>
      <c r="ADO81" s="21"/>
      <c r="ADP81" s="21"/>
      <c r="ADQ81" s="7"/>
      <c r="ADR81" s="7"/>
      <c r="ADS81" s="21"/>
      <c r="ADT81" s="20"/>
      <c r="ADU81" s="20"/>
      <c r="ADV81" s="20"/>
      <c r="ADW81" s="21"/>
      <c r="ADX81" s="21"/>
      <c r="ADY81" s="21"/>
      <c r="ADZ81" s="21"/>
      <c r="AEA81" s="21"/>
      <c r="AEB81" s="20"/>
      <c r="AEC81" s="20"/>
      <c r="AED81" s="20"/>
      <c r="AEE81" s="20"/>
      <c r="AEF81" s="21"/>
      <c r="AEG81" s="21"/>
      <c r="AEH81" s="7"/>
      <c r="AEI81" s="7"/>
      <c r="AEJ81" s="21"/>
      <c r="AEK81" s="20"/>
      <c r="AEL81" s="20"/>
      <c r="AEM81" s="20"/>
      <c r="AEN81" s="21"/>
      <c r="AEO81" s="21"/>
      <c r="AEP81" s="21"/>
      <c r="AEQ81" s="21"/>
      <c r="AER81" s="21"/>
      <c r="AES81" s="20"/>
      <c r="AET81" s="20"/>
      <c r="AEU81" s="20"/>
      <c r="AEV81" s="20"/>
      <c r="AEW81" s="21"/>
      <c r="AEX81" s="21"/>
      <c r="AEY81" s="7"/>
      <c r="AEZ81" s="7"/>
      <c r="AFA81" s="21"/>
      <c r="AFB81" s="20"/>
      <c r="AFC81" s="20"/>
      <c r="AFD81" s="20"/>
      <c r="AFE81" s="21"/>
      <c r="AFF81" s="21"/>
      <c r="AFG81" s="21"/>
      <c r="AFH81" s="21"/>
      <c r="AFI81" s="21"/>
      <c r="AFJ81" s="20"/>
      <c r="AFK81" s="20"/>
      <c r="AFL81" s="20"/>
      <c r="AFM81" s="20"/>
      <c r="AFN81" s="21"/>
      <c r="AFO81" s="21"/>
      <c r="AFP81" s="7"/>
      <c r="AFQ81" s="7"/>
      <c r="AFR81" s="21"/>
      <c r="AFS81" s="20"/>
      <c r="AFT81" s="20"/>
      <c r="AFU81" s="20"/>
      <c r="AFV81" s="21"/>
      <c r="AFW81" s="21"/>
      <c r="AFX81" s="21"/>
      <c r="AFY81" s="21"/>
      <c r="AFZ81" s="21"/>
      <c r="AGA81" s="20"/>
      <c r="AGB81" s="20"/>
      <c r="AGC81" s="20"/>
      <c r="AGD81" s="20"/>
      <c r="AGE81" s="21"/>
      <c r="AGF81" s="21"/>
      <c r="AGG81" s="7"/>
      <c r="AGH81" s="7"/>
      <c r="AGI81" s="21"/>
      <c r="AGJ81" s="20"/>
      <c r="AGK81" s="20"/>
      <c r="AGL81" s="20"/>
      <c r="AGM81" s="21"/>
      <c r="AGN81" s="21"/>
      <c r="AGO81" s="21"/>
      <c r="AGP81" s="21"/>
      <c r="AGQ81" s="21"/>
      <c r="AGR81" s="20"/>
      <c r="AGS81" s="20"/>
      <c r="AGT81" s="20"/>
      <c r="AGU81" s="20"/>
      <c r="AGV81" s="21"/>
      <c r="AGW81" s="21"/>
      <c r="AGX81" s="7"/>
      <c r="AGY81" s="7"/>
      <c r="AGZ81" s="21"/>
      <c r="AHA81" s="20"/>
      <c r="AHB81" s="20"/>
      <c r="AHC81" s="20"/>
      <c r="AHD81" s="21"/>
      <c r="AHE81" s="21"/>
      <c r="AHF81" s="21"/>
      <c r="AHG81" s="21"/>
      <c r="AHH81" s="21"/>
      <c r="AHI81" s="20"/>
      <c r="AHJ81" s="20"/>
      <c r="AHK81" s="20"/>
      <c r="AHL81" s="20"/>
      <c r="AHM81" s="21"/>
      <c r="AHN81" s="21"/>
      <c r="AHO81" s="7"/>
      <c r="AHP81" s="7"/>
      <c r="AHQ81" s="21"/>
      <c r="AHR81" s="20"/>
      <c r="AHS81" s="20"/>
      <c r="AHT81" s="20"/>
      <c r="AHU81" s="21"/>
      <c r="AHV81" s="21"/>
      <c r="AHW81" s="21"/>
      <c r="AHX81" s="21"/>
      <c r="AHY81" s="21"/>
      <c r="AHZ81" s="20"/>
      <c r="AIA81" s="20"/>
      <c r="AIB81" s="20"/>
      <c r="AIC81" s="20"/>
      <c r="AID81" s="21"/>
      <c r="AIE81" s="21"/>
      <c r="AIF81" s="7"/>
      <c r="AIG81" s="7"/>
      <c r="AIH81" s="21"/>
      <c r="AII81" s="20"/>
      <c r="AIJ81" s="20"/>
      <c r="AIK81" s="20"/>
      <c r="AIL81" s="21"/>
      <c r="AIM81" s="21"/>
      <c r="AIN81" s="21"/>
      <c r="AIO81" s="21"/>
      <c r="AIP81" s="21"/>
      <c r="AIQ81" s="20"/>
      <c r="AIR81" s="20"/>
      <c r="AIS81" s="20"/>
      <c r="AIT81" s="20"/>
      <c r="AIU81" s="21"/>
      <c r="AIV81" s="21"/>
      <c r="AIW81" s="7"/>
      <c r="AIX81" s="7"/>
      <c r="AIY81" s="21"/>
      <c r="AIZ81" s="20"/>
      <c r="AJA81" s="20"/>
      <c r="AJB81" s="20"/>
      <c r="AJC81" s="21"/>
      <c r="AJD81" s="21"/>
      <c r="AJE81" s="21"/>
      <c r="AJF81" s="21"/>
      <c r="AJG81" s="21"/>
      <c r="AJH81" s="20"/>
      <c r="AJI81" s="20"/>
      <c r="AJJ81" s="20"/>
      <c r="AJK81" s="20"/>
      <c r="AJL81" s="21"/>
      <c r="AJM81" s="21"/>
      <c r="AJN81" s="7"/>
      <c r="AJO81" s="7"/>
      <c r="AJP81" s="21"/>
      <c r="AJQ81" s="20"/>
      <c r="AJR81" s="20"/>
      <c r="AJS81" s="20"/>
      <c r="AJT81" s="21"/>
      <c r="AJU81" s="21"/>
      <c r="AJV81" s="21"/>
      <c r="AJW81" s="21"/>
      <c r="AJX81" s="21"/>
      <c r="AJY81" s="20"/>
      <c r="AJZ81" s="20"/>
      <c r="AKA81" s="20"/>
      <c r="AKB81" s="20"/>
      <c r="AKC81" s="21"/>
      <c r="AKD81" s="21"/>
      <c r="AKE81" s="7"/>
      <c r="AKF81" s="7"/>
      <c r="AKG81" s="21"/>
      <c r="AKH81" s="20"/>
      <c r="AKI81" s="20"/>
      <c r="AKJ81" s="20"/>
      <c r="AKK81" s="21"/>
      <c r="AKL81" s="21"/>
      <c r="AKM81" s="21"/>
      <c r="AKN81" s="21"/>
      <c r="AKO81" s="21"/>
      <c r="AKP81" s="20"/>
      <c r="AKQ81" s="20"/>
      <c r="AKR81" s="20"/>
      <c r="AKS81" s="20"/>
      <c r="AKT81" s="21"/>
      <c r="AKU81" s="21"/>
      <c r="AKV81" s="7"/>
      <c r="AKW81" s="7"/>
      <c r="AKX81" s="21"/>
      <c r="AKY81" s="20"/>
      <c r="AKZ81" s="20"/>
      <c r="ALA81" s="20"/>
      <c r="ALB81" s="21"/>
      <c r="ALC81" s="21"/>
      <c r="ALD81" s="21"/>
      <c r="ALE81" s="21"/>
      <c r="ALF81" s="21"/>
      <c r="ALG81" s="20"/>
      <c r="ALH81" s="20"/>
      <c r="ALI81" s="20"/>
      <c r="ALJ81" s="20"/>
      <c r="ALK81" s="21"/>
      <c r="ALL81" s="21"/>
      <c r="ALM81" s="7"/>
      <c r="ALN81" s="7"/>
      <c r="ALO81" s="21"/>
      <c r="ALP81" s="20"/>
      <c r="ALQ81" s="20"/>
      <c r="ALR81" s="20"/>
      <c r="ALS81" s="21"/>
      <c r="ALT81" s="21"/>
      <c r="ALU81" s="21"/>
      <c r="ALV81" s="21"/>
      <c r="ALW81" s="21"/>
      <c r="ALX81" s="20"/>
      <c r="ALY81" s="20"/>
      <c r="ALZ81" s="20"/>
      <c r="AMA81" s="20"/>
      <c r="AMB81" s="21"/>
      <c r="AMC81" s="21"/>
      <c r="AMD81" s="7"/>
      <c r="AME81" s="7"/>
      <c r="AMF81" s="21"/>
      <c r="AMG81" s="20"/>
      <c r="AMH81" s="20"/>
      <c r="AMI81" s="20"/>
      <c r="AMJ81" s="21"/>
      <c r="AMK81" s="21"/>
      <c r="AML81" s="21"/>
      <c r="AMM81" s="21"/>
      <c r="AMN81" s="21"/>
      <c r="AMO81" s="20"/>
      <c r="AMP81" s="20"/>
      <c r="AMQ81" s="20"/>
      <c r="AMR81" s="20"/>
      <c r="AMS81" s="21"/>
      <c r="AMT81" s="21"/>
      <c r="AMU81" s="7"/>
      <c r="AMV81" s="7"/>
      <c r="AMW81" s="21"/>
      <c r="AMX81" s="20"/>
      <c r="AMY81" s="20"/>
      <c r="AMZ81" s="20"/>
      <c r="ANA81" s="21"/>
      <c r="ANB81" s="21"/>
      <c r="ANC81" s="21"/>
      <c r="AND81" s="21"/>
      <c r="ANE81" s="21"/>
      <c r="ANF81" s="20"/>
      <c r="ANG81" s="20"/>
      <c r="ANH81" s="20"/>
      <c r="ANI81" s="20"/>
      <c r="ANJ81" s="21"/>
      <c r="ANK81" s="21"/>
      <c r="ANL81" s="7"/>
      <c r="ANM81" s="7"/>
      <c r="ANN81" s="21"/>
      <c r="ANO81" s="20"/>
      <c r="ANP81" s="20"/>
      <c r="ANQ81" s="20"/>
      <c r="ANR81" s="21"/>
      <c r="ANS81" s="21"/>
      <c r="ANT81" s="21"/>
      <c r="ANU81" s="21"/>
      <c r="ANV81" s="21"/>
      <c r="ANW81" s="20"/>
      <c r="ANX81" s="20"/>
      <c r="ANY81" s="20"/>
      <c r="ANZ81" s="20"/>
      <c r="AOA81" s="21"/>
      <c r="AOB81" s="21"/>
      <c r="AOC81" s="7"/>
      <c r="AOD81" s="7"/>
      <c r="AOE81" s="21"/>
      <c r="AOF81" s="20"/>
      <c r="AOG81" s="20"/>
      <c r="AOH81" s="20"/>
      <c r="AOI81" s="21"/>
      <c r="AOJ81" s="21"/>
      <c r="AOK81" s="21"/>
      <c r="AOL81" s="21"/>
      <c r="AOM81" s="21"/>
      <c r="AON81" s="20"/>
      <c r="AOO81" s="20"/>
      <c r="AOP81" s="20"/>
      <c r="AOQ81" s="20"/>
      <c r="AOR81" s="21"/>
      <c r="AOS81" s="21"/>
      <c r="AOT81" s="7"/>
      <c r="AOU81" s="7"/>
      <c r="AOV81" s="21"/>
      <c r="AOW81" s="20"/>
      <c r="AOX81" s="20"/>
      <c r="AOY81" s="20"/>
      <c r="AOZ81" s="21"/>
      <c r="APA81" s="21"/>
      <c r="APB81" s="21"/>
      <c r="APC81" s="21"/>
      <c r="APD81" s="21"/>
      <c r="APE81" s="20"/>
      <c r="APF81" s="20"/>
      <c r="APG81" s="20"/>
      <c r="APH81" s="20"/>
      <c r="API81" s="21"/>
      <c r="APJ81" s="21"/>
      <c r="APK81" s="7"/>
      <c r="APL81" s="7"/>
      <c r="APM81" s="21"/>
      <c r="APN81" s="20"/>
      <c r="APO81" s="20"/>
      <c r="APP81" s="20"/>
      <c r="APQ81" s="21"/>
      <c r="APR81" s="21"/>
      <c r="APS81" s="21"/>
      <c r="APT81" s="21"/>
      <c r="APU81" s="21"/>
      <c r="APV81" s="20"/>
      <c r="APW81" s="20"/>
      <c r="APX81" s="20"/>
      <c r="APY81" s="20"/>
      <c r="APZ81" s="21"/>
      <c r="AQA81" s="21"/>
      <c r="AQB81" s="7"/>
      <c r="AQC81" s="7"/>
      <c r="AQD81" s="21"/>
      <c r="AQE81" s="20"/>
      <c r="AQF81" s="20"/>
      <c r="AQG81" s="20"/>
      <c r="AQH81" s="21"/>
      <c r="AQI81" s="21"/>
      <c r="AQJ81" s="21"/>
      <c r="AQK81" s="21"/>
      <c r="AQL81" s="21"/>
      <c r="AQM81" s="20"/>
      <c r="AQN81" s="20"/>
      <c r="AQO81" s="20"/>
      <c r="AQP81" s="20"/>
      <c r="AQQ81" s="21"/>
      <c r="AQR81" s="21"/>
      <c r="AQS81" s="7"/>
      <c r="AQT81" s="7"/>
      <c r="AQU81" s="21"/>
      <c r="AQV81" s="20"/>
      <c r="AQW81" s="20"/>
      <c r="AQX81" s="20"/>
      <c r="AQY81" s="21"/>
      <c r="AQZ81" s="21"/>
      <c r="ARA81" s="21"/>
      <c r="ARB81" s="21"/>
      <c r="ARC81" s="21"/>
      <c r="ARD81" s="20"/>
      <c r="ARE81" s="20"/>
      <c r="ARF81" s="20"/>
      <c r="ARG81" s="20"/>
      <c r="ARH81" s="21"/>
      <c r="ARI81" s="21"/>
      <c r="ARJ81" s="7"/>
      <c r="ARK81" s="7"/>
      <c r="ARL81" s="21"/>
      <c r="ARM81" s="20"/>
      <c r="ARN81" s="20"/>
      <c r="ARO81" s="20"/>
      <c r="ARP81" s="21"/>
      <c r="ARQ81" s="21"/>
      <c r="ARR81" s="21"/>
      <c r="ARS81" s="21"/>
      <c r="ART81" s="21"/>
      <c r="ARU81" s="20"/>
      <c r="ARV81" s="20"/>
      <c r="ARW81" s="20"/>
      <c r="ARX81" s="20"/>
      <c r="ARY81" s="21"/>
      <c r="ARZ81" s="21"/>
      <c r="ASA81" s="7"/>
      <c r="ASB81" s="7"/>
      <c r="ASC81" s="21"/>
      <c r="ASD81" s="20"/>
      <c r="ASE81" s="20"/>
      <c r="ASF81" s="20"/>
      <c r="ASG81" s="21"/>
      <c r="ASH81" s="21"/>
      <c r="ASI81" s="21"/>
      <c r="ASJ81" s="21"/>
      <c r="ASK81" s="21"/>
      <c r="ASL81" s="20"/>
      <c r="ASM81" s="20"/>
      <c r="ASN81" s="20"/>
      <c r="ASO81" s="20"/>
      <c r="ASP81" s="21"/>
      <c r="ASQ81" s="21"/>
      <c r="ASR81" s="7"/>
      <c r="ASS81" s="7"/>
      <c r="AST81" s="21"/>
      <c r="ASU81" s="20"/>
      <c r="ASV81" s="20"/>
      <c r="ASW81" s="20"/>
      <c r="ASX81" s="21"/>
      <c r="ASY81" s="21"/>
      <c r="ASZ81" s="21"/>
      <c r="ATA81" s="21"/>
      <c r="ATB81" s="21"/>
      <c r="ATC81" s="20"/>
      <c r="ATD81" s="20"/>
      <c r="ATE81" s="20"/>
      <c r="ATF81" s="20"/>
      <c r="ATG81" s="21"/>
      <c r="ATH81" s="21"/>
      <c r="ATI81" s="7"/>
      <c r="ATJ81" s="7"/>
      <c r="ATK81" s="21"/>
      <c r="ATL81" s="20"/>
      <c r="ATM81" s="20"/>
      <c r="ATN81" s="20"/>
      <c r="ATO81" s="21"/>
      <c r="ATP81" s="21"/>
      <c r="ATQ81" s="21"/>
      <c r="ATR81" s="21"/>
      <c r="ATS81" s="21"/>
      <c r="ATT81" s="20"/>
      <c r="ATU81" s="20"/>
      <c r="ATV81" s="20"/>
      <c r="ATW81" s="20"/>
      <c r="ATX81" s="21"/>
      <c r="ATY81" s="21"/>
      <c r="ATZ81" s="7"/>
      <c r="AUA81" s="7"/>
      <c r="AUB81" s="21"/>
      <c r="AUC81" s="20"/>
      <c r="AUD81" s="20"/>
      <c r="AUE81" s="20"/>
      <c r="AUF81" s="21"/>
      <c r="AUG81" s="21"/>
      <c r="AUH81" s="21"/>
      <c r="AUI81" s="21"/>
      <c r="AUJ81" s="21"/>
      <c r="AUK81" s="20"/>
      <c r="AUL81" s="20"/>
      <c r="AUM81" s="20"/>
      <c r="AUN81" s="20"/>
      <c r="AUO81" s="21"/>
      <c r="AUP81" s="21"/>
      <c r="AUQ81" s="7"/>
      <c r="AUR81" s="7"/>
      <c r="AUS81" s="21"/>
      <c r="AUT81" s="20"/>
      <c r="AUU81" s="20"/>
      <c r="AUV81" s="20"/>
      <c r="AUW81" s="21"/>
      <c r="AUX81" s="21"/>
      <c r="AUY81" s="21"/>
      <c r="AUZ81" s="21"/>
      <c r="AVA81" s="21"/>
      <c r="AVB81" s="20"/>
      <c r="AVC81" s="20"/>
      <c r="AVD81" s="20"/>
      <c r="AVE81" s="20"/>
      <c r="AVF81" s="21"/>
      <c r="AVG81" s="21"/>
      <c r="AVH81" s="7"/>
      <c r="AVI81" s="7"/>
      <c r="AVJ81" s="21"/>
      <c r="AVK81" s="20"/>
      <c r="AVL81" s="20"/>
      <c r="AVM81" s="20"/>
      <c r="AVN81" s="21"/>
      <c r="AVO81" s="21"/>
      <c r="AVP81" s="21"/>
      <c r="AVQ81" s="21"/>
      <c r="AVR81" s="21"/>
      <c r="AVS81" s="20"/>
      <c r="AVT81" s="20"/>
      <c r="AVU81" s="20"/>
      <c r="AVV81" s="20"/>
      <c r="AVW81" s="21"/>
      <c r="AVX81" s="21"/>
      <c r="AVY81" s="7"/>
      <c r="AVZ81" s="7"/>
      <c r="AWA81" s="21"/>
      <c r="AWB81" s="20"/>
      <c r="AWC81" s="20"/>
      <c r="AWD81" s="20"/>
      <c r="AWE81" s="21"/>
      <c r="AWF81" s="21"/>
      <c r="AWG81" s="21"/>
      <c r="AWH81" s="21"/>
      <c r="AWI81" s="21"/>
      <c r="AWJ81" s="20"/>
      <c r="AWK81" s="20"/>
      <c r="AWL81" s="20"/>
      <c r="AWM81" s="20"/>
      <c r="AWN81" s="21"/>
      <c r="AWO81" s="21"/>
      <c r="AWP81" s="7"/>
      <c r="AWQ81" s="7"/>
      <c r="AWR81" s="21"/>
      <c r="AWS81" s="20"/>
      <c r="AWT81" s="20"/>
      <c r="AWU81" s="20"/>
      <c r="AWV81" s="21"/>
      <c r="AWW81" s="21"/>
      <c r="AWX81" s="21"/>
      <c r="AWY81" s="21"/>
      <c r="AWZ81" s="21"/>
      <c r="AXA81" s="20"/>
      <c r="AXB81" s="20"/>
      <c r="AXC81" s="20"/>
      <c r="AXD81" s="20"/>
      <c r="AXE81" s="21"/>
      <c r="AXF81" s="21"/>
      <c r="AXG81" s="7"/>
      <c r="AXH81" s="7"/>
      <c r="AXI81" s="21"/>
      <c r="AXJ81" s="20"/>
      <c r="AXK81" s="20"/>
      <c r="AXL81" s="20"/>
      <c r="AXM81" s="21"/>
      <c r="AXN81" s="21"/>
      <c r="AXO81" s="21"/>
      <c r="AXP81" s="21"/>
      <c r="AXQ81" s="21"/>
      <c r="AXR81" s="20"/>
      <c r="AXS81" s="20"/>
      <c r="AXT81" s="20"/>
      <c r="AXU81" s="20"/>
      <c r="AXV81" s="21"/>
      <c r="AXW81" s="21"/>
      <c r="AXX81" s="7"/>
      <c r="AXY81" s="7"/>
      <c r="AXZ81" s="21"/>
      <c r="AYA81" s="20"/>
      <c r="AYB81" s="20"/>
      <c r="AYC81" s="20"/>
      <c r="AYD81" s="21"/>
      <c r="AYE81" s="21"/>
      <c r="AYF81" s="21"/>
      <c r="AYG81" s="21"/>
      <c r="AYH81" s="21"/>
      <c r="AYI81" s="20"/>
      <c r="AYJ81" s="20"/>
      <c r="AYK81" s="20"/>
      <c r="AYL81" s="20"/>
      <c r="AYM81" s="21"/>
      <c r="AYN81" s="21"/>
      <c r="AYO81" s="7"/>
      <c r="AYP81" s="7"/>
      <c r="AYQ81" s="21"/>
      <c r="AYR81" s="20"/>
      <c r="AYS81" s="20"/>
      <c r="AYT81" s="20"/>
      <c r="AYU81" s="21"/>
      <c r="AYV81" s="21"/>
      <c r="AYW81" s="21"/>
      <c r="AYX81" s="21"/>
      <c r="AYY81" s="21"/>
      <c r="AYZ81" s="20"/>
      <c r="AZA81" s="20"/>
      <c r="AZB81" s="20"/>
      <c r="AZC81" s="20"/>
      <c r="AZD81" s="21"/>
      <c r="AZE81" s="21"/>
      <c r="AZF81" s="7"/>
      <c r="AZG81" s="7"/>
      <c r="AZH81" s="21"/>
      <c r="AZI81" s="20"/>
      <c r="AZJ81" s="20"/>
      <c r="AZK81" s="20"/>
      <c r="AZL81" s="21"/>
      <c r="AZM81" s="21"/>
      <c r="AZN81" s="21"/>
      <c r="AZO81" s="21"/>
      <c r="AZP81" s="21"/>
      <c r="AZQ81" s="20"/>
      <c r="AZR81" s="20"/>
      <c r="AZS81" s="20"/>
      <c r="AZT81" s="20"/>
      <c r="AZU81" s="21"/>
      <c r="AZV81" s="21"/>
      <c r="AZW81" s="7"/>
      <c r="AZX81" s="7"/>
      <c r="AZY81" s="21"/>
      <c r="AZZ81" s="20"/>
      <c r="BAA81" s="20"/>
      <c r="BAB81" s="20"/>
      <c r="BAC81" s="21"/>
      <c r="BAD81" s="21"/>
      <c r="BAE81" s="21"/>
      <c r="BAF81" s="21"/>
      <c r="BAG81" s="21"/>
      <c r="BAH81" s="20"/>
      <c r="BAI81" s="20"/>
      <c r="BAJ81" s="20"/>
      <c r="BAK81" s="20"/>
      <c r="BAL81" s="21"/>
      <c r="BAM81" s="21"/>
      <c r="BAN81" s="7"/>
      <c r="BAO81" s="7"/>
      <c r="BAP81" s="21"/>
      <c r="BAQ81" s="20"/>
      <c r="BAR81" s="20"/>
      <c r="BAS81" s="20"/>
      <c r="BAT81" s="21"/>
      <c r="BAU81" s="21"/>
      <c r="BAV81" s="21"/>
      <c r="BAW81" s="21"/>
      <c r="BAX81" s="21"/>
      <c r="BAY81" s="20"/>
      <c r="BAZ81" s="20"/>
      <c r="BBA81" s="20"/>
      <c r="BBB81" s="20"/>
      <c r="BBC81" s="21"/>
      <c r="BBD81" s="21"/>
      <c r="BBE81" s="7"/>
      <c r="BBF81" s="7"/>
      <c r="BBG81" s="21"/>
      <c r="BBH81" s="20"/>
      <c r="BBI81" s="20"/>
      <c r="BBJ81" s="20"/>
      <c r="BBK81" s="21"/>
      <c r="BBL81" s="21"/>
      <c r="BBM81" s="21"/>
      <c r="BBN81" s="21"/>
      <c r="BBO81" s="21"/>
      <c r="BBP81" s="20"/>
      <c r="BBQ81" s="20"/>
      <c r="BBR81" s="20"/>
      <c r="BBS81" s="20"/>
      <c r="BBT81" s="21"/>
      <c r="BBU81" s="21"/>
      <c r="BBV81" s="7"/>
      <c r="BBW81" s="7"/>
      <c r="BBX81" s="21"/>
      <c r="BBY81" s="20"/>
      <c r="BBZ81" s="20"/>
      <c r="BCA81" s="20"/>
      <c r="BCB81" s="21"/>
      <c r="BCC81" s="21"/>
      <c r="BCD81" s="21"/>
      <c r="BCE81" s="21"/>
      <c r="BCF81" s="21"/>
      <c r="BCG81" s="20"/>
      <c r="BCH81" s="20"/>
      <c r="BCI81" s="20"/>
      <c r="BCJ81" s="20"/>
      <c r="BCK81" s="21"/>
      <c r="BCL81" s="21"/>
      <c r="BCM81" s="7"/>
      <c r="BCN81" s="7"/>
      <c r="BCO81" s="21"/>
      <c r="BCP81" s="20"/>
      <c r="BCQ81" s="20"/>
      <c r="BCR81" s="20"/>
      <c r="BCS81" s="21"/>
      <c r="BCT81" s="21"/>
      <c r="BCU81" s="21"/>
      <c r="BCV81" s="21"/>
      <c r="BCW81" s="21"/>
      <c r="BCX81" s="20"/>
      <c r="BCY81" s="20"/>
      <c r="BCZ81" s="20"/>
      <c r="BDA81" s="20"/>
      <c r="BDB81" s="21"/>
      <c r="BDC81" s="21"/>
      <c r="BDD81" s="7"/>
      <c r="BDE81" s="7"/>
      <c r="BDF81" s="21"/>
      <c r="BDG81" s="20"/>
      <c r="BDH81" s="20"/>
      <c r="BDI81" s="20"/>
      <c r="BDJ81" s="21"/>
      <c r="BDK81" s="21"/>
      <c r="BDL81" s="21"/>
      <c r="BDM81" s="21"/>
      <c r="BDN81" s="21"/>
      <c r="BDO81" s="20"/>
      <c r="BDP81" s="20"/>
      <c r="BDQ81" s="20"/>
      <c r="BDR81" s="20"/>
      <c r="BDS81" s="21"/>
      <c r="BDT81" s="21"/>
      <c r="BDU81" s="7"/>
      <c r="BDV81" s="7"/>
      <c r="BDW81" s="21"/>
      <c r="BDX81" s="20"/>
      <c r="BDY81" s="20"/>
      <c r="BDZ81" s="20"/>
      <c r="BEA81" s="21"/>
      <c r="BEB81" s="21"/>
      <c r="BEC81" s="21"/>
      <c r="BED81" s="21"/>
      <c r="BEE81" s="21"/>
      <c r="BEF81" s="20"/>
      <c r="BEG81" s="20"/>
      <c r="BEH81" s="20"/>
      <c r="BEI81" s="20"/>
      <c r="BEJ81" s="21"/>
      <c r="BEK81" s="21"/>
      <c r="BEL81" s="7"/>
      <c r="BEM81" s="7"/>
      <c r="BEN81" s="21"/>
      <c r="BEO81" s="20"/>
      <c r="BEP81" s="20"/>
      <c r="BEQ81" s="20"/>
      <c r="BER81" s="21"/>
      <c r="BES81" s="21"/>
      <c r="BET81" s="21"/>
      <c r="BEU81" s="21"/>
      <c r="BEV81" s="21"/>
      <c r="BEW81" s="20"/>
      <c r="BEX81" s="20"/>
      <c r="BEY81" s="20"/>
      <c r="BEZ81" s="20"/>
      <c r="BFA81" s="21"/>
      <c r="BFB81" s="21"/>
      <c r="BFC81" s="7"/>
      <c r="BFD81" s="7"/>
      <c r="BFE81" s="21"/>
      <c r="BFF81" s="20"/>
      <c r="BFG81" s="20"/>
      <c r="BFH81" s="20"/>
      <c r="BFI81" s="21"/>
      <c r="BFJ81" s="21"/>
      <c r="BFK81" s="21"/>
      <c r="BFL81" s="21"/>
      <c r="BFM81" s="21"/>
      <c r="BFN81" s="20"/>
      <c r="BFO81" s="20"/>
      <c r="BFP81" s="20"/>
      <c r="BFQ81" s="20"/>
      <c r="BFR81" s="21"/>
      <c r="BFS81" s="21"/>
      <c r="BFT81" s="7"/>
      <c r="BFU81" s="7"/>
      <c r="BFV81" s="21"/>
      <c r="BFW81" s="20"/>
      <c r="BFX81" s="20"/>
      <c r="BFY81" s="20"/>
      <c r="BFZ81" s="21"/>
      <c r="BGA81" s="21"/>
      <c r="BGB81" s="21"/>
      <c r="BGC81" s="21"/>
      <c r="BGD81" s="21"/>
      <c r="BGE81" s="20"/>
      <c r="BGF81" s="20"/>
      <c r="BGG81" s="20"/>
      <c r="BGH81" s="20"/>
      <c r="BGI81" s="21"/>
      <c r="BGJ81" s="21"/>
      <c r="BGK81" s="7"/>
      <c r="BGL81" s="7"/>
      <c r="BGM81" s="21"/>
      <c r="BGN81" s="20"/>
      <c r="BGO81" s="20"/>
      <c r="BGP81" s="20"/>
      <c r="BGQ81" s="21"/>
      <c r="BGR81" s="21"/>
      <c r="BGS81" s="21"/>
      <c r="BGT81" s="21"/>
      <c r="BGU81" s="21"/>
      <c r="BGV81" s="20"/>
      <c r="BGW81" s="20"/>
      <c r="BGX81" s="20"/>
      <c r="BGY81" s="20"/>
      <c r="BGZ81" s="21"/>
      <c r="BHA81" s="21"/>
      <c r="BHB81" s="7"/>
      <c r="BHC81" s="7"/>
      <c r="BHD81" s="21"/>
      <c r="BHE81" s="20"/>
      <c r="BHF81" s="20"/>
      <c r="BHG81" s="20"/>
      <c r="BHH81" s="21"/>
      <c r="BHI81" s="21"/>
      <c r="BHJ81" s="21"/>
      <c r="BHK81" s="21"/>
      <c r="BHL81" s="21"/>
      <c r="BHM81" s="20"/>
      <c r="BHN81" s="20"/>
      <c r="BHO81" s="20"/>
      <c r="BHP81" s="20"/>
      <c r="BHQ81" s="21"/>
      <c r="BHR81" s="21"/>
      <c r="BHS81" s="7"/>
      <c r="BHT81" s="7"/>
      <c r="BHU81" s="21"/>
      <c r="BHV81" s="20"/>
      <c r="BHW81" s="20"/>
      <c r="BHX81" s="20"/>
      <c r="BHY81" s="21"/>
      <c r="BHZ81" s="21"/>
      <c r="BIA81" s="21"/>
      <c r="BIB81" s="21"/>
      <c r="BIC81" s="21"/>
      <c r="BID81" s="20"/>
      <c r="BIE81" s="20"/>
      <c r="BIF81" s="20"/>
      <c r="BIG81" s="20"/>
      <c r="BIH81" s="21"/>
      <c r="BII81" s="21"/>
      <c r="BIJ81" s="7"/>
      <c r="BIK81" s="7"/>
      <c r="BIL81" s="21"/>
      <c r="BIM81" s="20"/>
      <c r="BIN81" s="20"/>
      <c r="BIO81" s="20"/>
      <c r="BIP81" s="21"/>
      <c r="BIQ81" s="21"/>
      <c r="BIR81" s="21"/>
      <c r="BIS81" s="21"/>
      <c r="BIT81" s="21"/>
      <c r="BIU81" s="20"/>
      <c r="BIV81" s="20"/>
      <c r="BIW81" s="20"/>
      <c r="BIX81" s="20"/>
      <c r="BIY81" s="21"/>
      <c r="BIZ81" s="21"/>
      <c r="BJA81" s="7"/>
      <c r="BJB81" s="7"/>
      <c r="BJC81" s="21"/>
      <c r="BJD81" s="20"/>
      <c r="BJE81" s="20"/>
      <c r="BJF81" s="20"/>
      <c r="BJG81" s="21"/>
      <c r="BJH81" s="21"/>
      <c r="BJI81" s="21"/>
      <c r="BJJ81" s="21"/>
      <c r="BJK81" s="21"/>
      <c r="BJL81" s="20"/>
      <c r="BJM81" s="20"/>
      <c r="BJN81" s="20"/>
      <c r="BJO81" s="20"/>
      <c r="BJP81" s="21"/>
      <c r="BJQ81" s="21"/>
      <c r="BJR81" s="7"/>
      <c r="BJS81" s="7"/>
      <c r="BJT81" s="21"/>
      <c r="BJU81" s="20"/>
      <c r="BJV81" s="20"/>
      <c r="BJW81" s="20"/>
      <c r="BJX81" s="21"/>
      <c r="BJY81" s="21"/>
      <c r="BJZ81" s="21"/>
      <c r="BKA81" s="21"/>
      <c r="BKB81" s="21"/>
      <c r="BKC81" s="20"/>
      <c r="BKD81" s="20"/>
      <c r="BKE81" s="20"/>
      <c r="BKF81" s="20"/>
      <c r="BKG81" s="21"/>
      <c r="BKH81" s="21"/>
      <c r="BKI81" s="7"/>
      <c r="BKJ81" s="7"/>
      <c r="BKK81" s="21"/>
      <c r="BKL81" s="20"/>
      <c r="BKM81" s="20"/>
      <c r="BKN81" s="20"/>
      <c r="BKO81" s="21"/>
      <c r="BKP81" s="21"/>
      <c r="BKQ81" s="21"/>
      <c r="BKR81" s="21"/>
      <c r="BKS81" s="21"/>
      <c r="BKT81" s="20"/>
      <c r="BKU81" s="20"/>
      <c r="BKV81" s="20"/>
      <c r="BKW81" s="20"/>
      <c r="BKX81" s="21"/>
      <c r="BKY81" s="21"/>
      <c r="BKZ81" s="7"/>
      <c r="BLA81" s="7"/>
      <c r="BLB81" s="21"/>
      <c r="BLC81" s="20"/>
      <c r="BLD81" s="20"/>
      <c r="BLE81" s="20"/>
      <c r="BLF81" s="21"/>
      <c r="BLG81" s="21"/>
      <c r="BLH81" s="21"/>
      <c r="BLI81" s="21"/>
      <c r="BLJ81" s="21"/>
      <c r="BLK81" s="20"/>
      <c r="BLL81" s="20"/>
      <c r="BLM81" s="20"/>
      <c r="BLN81" s="20"/>
      <c r="BLO81" s="21"/>
      <c r="BLP81" s="21"/>
      <c r="BLQ81" s="7"/>
      <c r="BLR81" s="7"/>
      <c r="BLS81" s="21"/>
      <c r="BLT81" s="20"/>
      <c r="BLU81" s="20"/>
      <c r="BLV81" s="20"/>
      <c r="BLW81" s="21"/>
      <c r="BLX81" s="21"/>
      <c r="BLY81" s="21"/>
      <c r="BLZ81" s="21"/>
      <c r="BMA81" s="21"/>
      <c r="BMB81" s="20"/>
      <c r="BMC81" s="20"/>
      <c r="BMD81" s="20"/>
      <c r="BME81" s="20"/>
      <c r="BMF81" s="21"/>
      <c r="BMG81" s="21"/>
      <c r="BMH81" s="7"/>
      <c r="BMI81" s="7"/>
      <c r="BMJ81" s="21"/>
      <c r="BMK81" s="20"/>
      <c r="BML81" s="20"/>
      <c r="BMM81" s="20"/>
      <c r="BMN81" s="21"/>
      <c r="BMO81" s="21"/>
      <c r="BMP81" s="21"/>
      <c r="BMQ81" s="21"/>
      <c r="BMR81" s="21"/>
      <c r="BMS81" s="20"/>
      <c r="BMT81" s="20"/>
      <c r="BMU81" s="20"/>
      <c r="BMV81" s="20"/>
      <c r="BMW81" s="21"/>
      <c r="BMX81" s="21"/>
      <c r="BMY81" s="7"/>
      <c r="BMZ81" s="7"/>
      <c r="BNA81" s="21"/>
      <c r="BNB81" s="20"/>
      <c r="BNC81" s="20"/>
      <c r="BND81" s="20"/>
      <c r="BNE81" s="21"/>
      <c r="BNF81" s="21"/>
      <c r="BNG81" s="21"/>
      <c r="BNH81" s="21"/>
      <c r="BNI81" s="21"/>
      <c r="BNJ81" s="20"/>
      <c r="BNK81" s="20"/>
      <c r="BNL81" s="20"/>
      <c r="BNM81" s="20"/>
      <c r="BNN81" s="21"/>
      <c r="BNO81" s="21"/>
      <c r="BNP81" s="7"/>
      <c r="BNQ81" s="7"/>
      <c r="BNR81" s="21"/>
      <c r="BNS81" s="20"/>
      <c r="BNT81" s="20"/>
      <c r="BNU81" s="20"/>
      <c r="BNV81" s="21"/>
      <c r="BNW81" s="21"/>
      <c r="BNX81" s="21"/>
      <c r="BNY81" s="21"/>
      <c r="BNZ81" s="21"/>
      <c r="BOA81" s="20"/>
      <c r="BOB81" s="20"/>
      <c r="BOC81" s="20"/>
      <c r="BOD81" s="20"/>
      <c r="BOE81" s="21"/>
      <c r="BOF81" s="21"/>
      <c r="BOG81" s="7"/>
      <c r="BOH81" s="7"/>
      <c r="BOI81" s="21"/>
      <c r="BOJ81" s="20"/>
      <c r="BOK81" s="20"/>
      <c r="BOL81" s="20"/>
      <c r="BOM81" s="21"/>
      <c r="BON81" s="21"/>
      <c r="BOO81" s="21"/>
      <c r="BOP81" s="21"/>
      <c r="BOQ81" s="21"/>
      <c r="BOR81" s="20"/>
      <c r="BOS81" s="20"/>
      <c r="BOT81" s="20"/>
      <c r="BOU81" s="20"/>
      <c r="BOV81" s="21"/>
      <c r="BOW81" s="21"/>
      <c r="BOX81" s="7"/>
      <c r="BOY81" s="7"/>
      <c r="BOZ81" s="21"/>
      <c r="BPA81" s="20"/>
      <c r="BPB81" s="20"/>
      <c r="BPC81" s="20"/>
      <c r="BPD81" s="21"/>
      <c r="BPE81" s="21"/>
      <c r="BPF81" s="21"/>
      <c r="BPG81" s="21"/>
      <c r="BPH81" s="21"/>
      <c r="BPI81" s="20"/>
      <c r="BPJ81" s="20"/>
      <c r="BPK81" s="20"/>
      <c r="BPL81" s="20"/>
      <c r="BPM81" s="21"/>
      <c r="BPN81" s="21"/>
      <c r="BPO81" s="7"/>
      <c r="BPP81" s="7"/>
      <c r="BPQ81" s="21"/>
      <c r="BPR81" s="20"/>
      <c r="BPS81" s="20"/>
      <c r="BPT81" s="20"/>
      <c r="BPU81" s="21"/>
      <c r="BPV81" s="21"/>
      <c r="BPW81" s="21"/>
      <c r="BPX81" s="21"/>
      <c r="BPY81" s="21"/>
      <c r="BPZ81" s="20"/>
      <c r="BQA81" s="20"/>
      <c r="BQB81" s="20"/>
      <c r="BQC81" s="20"/>
      <c r="BQD81" s="21"/>
      <c r="BQE81" s="21"/>
      <c r="BQF81" s="7"/>
      <c r="BQG81" s="7"/>
      <c r="BQH81" s="21"/>
      <c r="BQI81" s="20"/>
      <c r="BQJ81" s="20"/>
      <c r="BQK81" s="20"/>
      <c r="BQL81" s="21"/>
      <c r="BQM81" s="21"/>
      <c r="BQN81" s="21"/>
      <c r="BQO81" s="21"/>
      <c r="BQP81" s="21"/>
      <c r="BQQ81" s="20"/>
      <c r="BQR81" s="20"/>
      <c r="BQS81" s="20"/>
      <c r="BQT81" s="20"/>
      <c r="BQU81" s="21"/>
      <c r="BQV81" s="21"/>
      <c r="BQW81" s="7"/>
      <c r="BQX81" s="7"/>
      <c r="BQY81" s="21"/>
      <c r="BQZ81" s="20"/>
      <c r="BRA81" s="20"/>
      <c r="BRB81" s="20"/>
      <c r="BRC81" s="21"/>
      <c r="BRD81" s="21"/>
      <c r="BRE81" s="21"/>
      <c r="BRF81" s="21"/>
      <c r="BRG81" s="21"/>
      <c r="BRH81" s="20"/>
      <c r="BRI81" s="20"/>
      <c r="BRJ81" s="20"/>
      <c r="BRK81" s="20"/>
      <c r="BRL81" s="21"/>
      <c r="BRM81" s="21"/>
      <c r="BRN81" s="7"/>
      <c r="BRO81" s="7"/>
      <c r="BRP81" s="21"/>
      <c r="BRQ81" s="20"/>
      <c r="BRR81" s="20"/>
      <c r="BRS81" s="20"/>
      <c r="BRT81" s="21"/>
      <c r="BRU81" s="21"/>
      <c r="BRV81" s="21"/>
      <c r="BRW81" s="21"/>
      <c r="BRX81" s="21"/>
      <c r="BRY81" s="20"/>
      <c r="BRZ81" s="20"/>
      <c r="BSA81" s="20"/>
      <c r="BSB81" s="20"/>
      <c r="BSC81" s="21"/>
      <c r="BSD81" s="21"/>
      <c r="BSE81" s="7"/>
      <c r="BSF81" s="7"/>
      <c r="BSG81" s="21"/>
      <c r="BSH81" s="20"/>
      <c r="BSI81" s="20"/>
      <c r="BSJ81" s="20"/>
      <c r="BSK81" s="21"/>
      <c r="BSL81" s="21"/>
      <c r="BSM81" s="21"/>
      <c r="BSN81" s="21"/>
      <c r="BSO81" s="21"/>
      <c r="BSP81" s="20"/>
      <c r="BSQ81" s="20"/>
      <c r="BSR81" s="20"/>
      <c r="BSS81" s="20"/>
      <c r="BST81" s="21"/>
      <c r="BSU81" s="21"/>
      <c r="BSV81" s="7"/>
      <c r="BSW81" s="7"/>
      <c r="BSX81" s="21"/>
      <c r="BSY81" s="20"/>
      <c r="BSZ81" s="20"/>
      <c r="BTA81" s="20"/>
      <c r="BTB81" s="21"/>
      <c r="BTC81" s="21"/>
      <c r="BTD81" s="21"/>
      <c r="BTE81" s="21"/>
      <c r="BTF81" s="21"/>
      <c r="BTG81" s="20"/>
      <c r="BTH81" s="20"/>
      <c r="BTI81" s="20"/>
      <c r="BTJ81" s="20"/>
      <c r="BTK81" s="21"/>
      <c r="BTL81" s="21"/>
      <c r="BTM81" s="7"/>
      <c r="BTN81" s="7"/>
      <c r="BTO81" s="21"/>
      <c r="BTP81" s="20"/>
      <c r="BTQ81" s="20"/>
      <c r="BTR81" s="20"/>
      <c r="BTS81" s="21"/>
      <c r="BTT81" s="21"/>
      <c r="BTU81" s="21"/>
      <c r="BTV81" s="21"/>
      <c r="BTW81" s="21"/>
      <c r="BTX81" s="20"/>
      <c r="BTY81" s="20"/>
      <c r="BTZ81" s="20"/>
      <c r="BUA81" s="20"/>
      <c r="BUB81" s="21"/>
      <c r="BUC81" s="21"/>
      <c r="BUD81" s="7"/>
      <c r="BUE81" s="7"/>
      <c r="BUF81" s="21"/>
      <c r="BUG81" s="20"/>
      <c r="BUH81" s="20"/>
      <c r="BUI81" s="20"/>
      <c r="BUJ81" s="21"/>
      <c r="BUK81" s="21"/>
      <c r="BUL81" s="21"/>
      <c r="BUM81" s="21"/>
      <c r="BUN81" s="21"/>
      <c r="BUO81" s="20"/>
      <c r="BUP81" s="20"/>
      <c r="BUQ81" s="20"/>
      <c r="BUR81" s="20"/>
      <c r="BUS81" s="21"/>
      <c r="BUT81" s="21"/>
      <c r="BUU81" s="7"/>
      <c r="BUV81" s="7"/>
      <c r="BUW81" s="21"/>
      <c r="BUX81" s="20"/>
      <c r="BUY81" s="20"/>
      <c r="BUZ81" s="20"/>
      <c r="BVA81" s="21"/>
      <c r="BVB81" s="21"/>
      <c r="BVC81" s="21"/>
      <c r="BVD81" s="21"/>
      <c r="BVE81" s="21"/>
      <c r="BVF81" s="20"/>
      <c r="BVG81" s="20"/>
      <c r="BVH81" s="20"/>
      <c r="BVI81" s="20"/>
      <c r="BVJ81" s="21"/>
      <c r="BVK81" s="21"/>
      <c r="BVL81" s="7"/>
      <c r="BVM81" s="7"/>
      <c r="BVN81" s="21"/>
      <c r="BVO81" s="20"/>
      <c r="BVP81" s="20"/>
      <c r="BVQ81" s="20"/>
      <c r="BVR81" s="21"/>
      <c r="BVS81" s="21"/>
      <c r="BVT81" s="21"/>
      <c r="BVU81" s="21"/>
      <c r="BVV81" s="21"/>
      <c r="BVW81" s="20"/>
      <c r="BVX81" s="20"/>
      <c r="BVY81" s="20"/>
      <c r="BVZ81" s="20"/>
      <c r="BWA81" s="21"/>
      <c r="BWB81" s="21"/>
      <c r="BWC81" s="7"/>
      <c r="BWD81" s="7"/>
      <c r="BWE81" s="21"/>
      <c r="BWF81" s="20"/>
      <c r="BWG81" s="20"/>
      <c r="BWH81" s="20"/>
      <c r="BWI81" s="21"/>
      <c r="BWJ81" s="21"/>
      <c r="BWK81" s="21"/>
      <c r="BWL81" s="21"/>
      <c r="BWM81" s="21"/>
      <c r="BWN81" s="20"/>
      <c r="BWO81" s="20"/>
      <c r="BWP81" s="20"/>
      <c r="BWQ81" s="20"/>
      <c r="BWR81" s="21"/>
      <c r="BWS81" s="21"/>
      <c r="BWT81" s="7"/>
      <c r="BWU81" s="7"/>
      <c r="BWV81" s="21"/>
      <c r="BWW81" s="20"/>
      <c r="BWX81" s="20"/>
      <c r="BWY81" s="20"/>
      <c r="BWZ81" s="21"/>
      <c r="BXA81" s="21"/>
      <c r="BXB81" s="21"/>
      <c r="BXC81" s="21"/>
      <c r="BXD81" s="21"/>
      <c r="BXE81" s="20"/>
      <c r="BXF81" s="20"/>
      <c r="BXG81" s="20"/>
      <c r="BXH81" s="20"/>
      <c r="BXI81" s="21"/>
      <c r="BXJ81" s="21"/>
      <c r="BXK81" s="7"/>
      <c r="BXL81" s="7"/>
      <c r="BXM81" s="21"/>
      <c r="BXN81" s="20"/>
      <c r="BXO81" s="20"/>
      <c r="BXP81" s="20"/>
      <c r="BXQ81" s="21"/>
      <c r="BXR81" s="21"/>
      <c r="BXS81" s="21"/>
      <c r="BXT81" s="21"/>
      <c r="BXU81" s="21"/>
      <c r="BXV81" s="20"/>
      <c r="BXW81" s="20"/>
      <c r="BXX81" s="20"/>
      <c r="BXY81" s="20"/>
      <c r="BXZ81" s="21"/>
      <c r="BYA81" s="21"/>
      <c r="BYB81" s="7"/>
      <c r="BYC81" s="7"/>
      <c r="BYD81" s="21"/>
      <c r="BYE81" s="20"/>
      <c r="BYF81" s="20"/>
      <c r="BYG81" s="20"/>
      <c r="BYH81" s="21"/>
      <c r="BYI81" s="21"/>
      <c r="BYJ81" s="21"/>
      <c r="BYK81" s="21"/>
      <c r="BYL81" s="21"/>
      <c r="BYM81" s="20"/>
      <c r="BYN81" s="20"/>
      <c r="BYO81" s="20"/>
      <c r="BYP81" s="20"/>
      <c r="BYQ81" s="21"/>
      <c r="BYR81" s="21"/>
      <c r="BYS81" s="7"/>
      <c r="BYT81" s="7"/>
      <c r="BYU81" s="21"/>
      <c r="BYV81" s="20"/>
      <c r="BYW81" s="20"/>
      <c r="BYX81" s="20"/>
      <c r="BYY81" s="21"/>
      <c r="BYZ81" s="21"/>
      <c r="BZA81" s="21"/>
      <c r="BZB81" s="21"/>
      <c r="BZC81" s="21"/>
      <c r="BZD81" s="20"/>
      <c r="BZE81" s="20"/>
      <c r="BZF81" s="20"/>
      <c r="BZG81" s="20"/>
      <c r="BZH81" s="21"/>
      <c r="BZI81" s="21"/>
      <c r="BZJ81" s="7"/>
      <c r="BZK81" s="7"/>
      <c r="BZL81" s="21"/>
      <c r="BZM81" s="20"/>
      <c r="BZN81" s="20"/>
      <c r="BZO81" s="20"/>
      <c r="BZP81" s="21"/>
      <c r="BZQ81" s="21"/>
      <c r="BZR81" s="21"/>
      <c r="BZS81" s="21"/>
      <c r="BZT81" s="21"/>
      <c r="BZU81" s="20"/>
      <c r="BZV81" s="20"/>
      <c r="BZW81" s="20"/>
      <c r="BZX81" s="20"/>
      <c r="BZY81" s="21"/>
      <c r="BZZ81" s="21"/>
      <c r="CAA81" s="7"/>
      <c r="CAB81" s="7"/>
      <c r="CAC81" s="21"/>
      <c r="CAD81" s="20"/>
      <c r="CAE81" s="20"/>
      <c r="CAF81" s="20"/>
      <c r="CAG81" s="21"/>
      <c r="CAH81" s="21"/>
      <c r="CAI81" s="21"/>
      <c r="CAJ81" s="21"/>
      <c r="CAK81" s="21"/>
      <c r="CAL81" s="20"/>
      <c r="CAM81" s="20"/>
      <c r="CAN81" s="20"/>
      <c r="CAO81" s="20"/>
      <c r="CAP81" s="21"/>
      <c r="CAQ81" s="21"/>
      <c r="CAR81" s="7"/>
      <c r="CAS81" s="7"/>
      <c r="CAT81" s="21"/>
      <c r="CAU81" s="20"/>
      <c r="CAV81" s="20"/>
      <c r="CAW81" s="20"/>
      <c r="CAX81" s="21"/>
      <c r="CAY81" s="21"/>
      <c r="CAZ81" s="21"/>
      <c r="CBA81" s="21"/>
      <c r="CBB81" s="21"/>
      <c r="CBC81" s="20"/>
      <c r="CBD81" s="20"/>
      <c r="CBE81" s="20"/>
      <c r="CBF81" s="20"/>
      <c r="CBG81" s="21"/>
      <c r="CBH81" s="21"/>
      <c r="CBI81" s="7"/>
      <c r="CBJ81" s="7"/>
      <c r="CBK81" s="21"/>
      <c r="CBL81" s="20"/>
      <c r="CBM81" s="20"/>
      <c r="CBN81" s="20"/>
      <c r="CBO81" s="21"/>
      <c r="CBP81" s="21"/>
      <c r="CBQ81" s="21"/>
      <c r="CBR81" s="21"/>
      <c r="CBS81" s="21"/>
      <c r="CBT81" s="20"/>
      <c r="CBU81" s="20"/>
      <c r="CBV81" s="20"/>
      <c r="CBW81" s="20"/>
      <c r="CBX81" s="21"/>
      <c r="CBY81" s="21"/>
      <c r="CBZ81" s="7"/>
      <c r="CCA81" s="7"/>
      <c r="CCB81" s="21"/>
      <c r="CCC81" s="20"/>
      <c r="CCD81" s="20"/>
      <c r="CCE81" s="20"/>
      <c r="CCF81" s="21"/>
      <c r="CCG81" s="21"/>
      <c r="CCH81" s="21"/>
      <c r="CCI81" s="21"/>
      <c r="CCJ81" s="21"/>
      <c r="CCK81" s="20"/>
      <c r="CCL81" s="20"/>
      <c r="CCM81" s="20"/>
      <c r="CCN81" s="20"/>
      <c r="CCO81" s="21"/>
      <c r="CCP81" s="21"/>
      <c r="CCQ81" s="7"/>
      <c r="CCR81" s="7"/>
      <c r="CCS81" s="21"/>
      <c r="CCT81" s="20"/>
      <c r="CCU81" s="20"/>
      <c r="CCV81" s="20"/>
      <c r="CCW81" s="21"/>
      <c r="CCX81" s="21"/>
      <c r="CCY81" s="21"/>
      <c r="CCZ81" s="21"/>
      <c r="CDA81" s="21"/>
      <c r="CDB81" s="20"/>
      <c r="CDC81" s="20"/>
      <c r="CDD81" s="20"/>
      <c r="CDE81" s="20"/>
      <c r="CDF81" s="21"/>
      <c r="CDG81" s="21"/>
      <c r="CDH81" s="7"/>
      <c r="CDI81" s="7"/>
      <c r="CDJ81" s="21"/>
      <c r="CDK81" s="20"/>
      <c r="CDL81" s="20"/>
      <c r="CDM81" s="20"/>
      <c r="CDN81" s="21"/>
      <c r="CDO81" s="21"/>
      <c r="CDP81" s="21"/>
      <c r="CDQ81" s="21"/>
      <c r="CDR81" s="21"/>
      <c r="CDS81" s="20"/>
      <c r="CDT81" s="20"/>
      <c r="CDU81" s="20"/>
      <c r="CDV81" s="20"/>
      <c r="CDW81" s="21"/>
      <c r="CDX81" s="21"/>
      <c r="CDY81" s="7"/>
      <c r="CDZ81" s="7"/>
      <c r="CEA81" s="21"/>
      <c r="CEB81" s="20"/>
      <c r="CEC81" s="20"/>
      <c r="CED81" s="20"/>
      <c r="CEE81" s="21"/>
      <c r="CEF81" s="21"/>
      <c r="CEG81" s="21"/>
      <c r="CEH81" s="21"/>
      <c r="CEI81" s="21"/>
      <c r="CEJ81" s="20"/>
      <c r="CEK81" s="20"/>
      <c r="CEL81" s="20"/>
      <c r="CEM81" s="20"/>
      <c r="CEN81" s="21"/>
      <c r="CEO81" s="21"/>
      <c r="CEP81" s="7"/>
      <c r="CEQ81" s="7"/>
      <c r="CER81" s="21"/>
      <c r="CES81" s="20"/>
      <c r="CET81" s="20"/>
      <c r="CEU81" s="20"/>
      <c r="CEV81" s="21"/>
      <c r="CEW81" s="21"/>
      <c r="CEX81" s="21"/>
      <c r="CEY81" s="21"/>
      <c r="CEZ81" s="21"/>
      <c r="CFA81" s="20"/>
      <c r="CFB81" s="20"/>
      <c r="CFC81" s="20"/>
      <c r="CFD81" s="20"/>
      <c r="CFE81" s="21"/>
      <c r="CFF81" s="21"/>
      <c r="CFG81" s="7"/>
      <c r="CFH81" s="7"/>
      <c r="CFI81" s="21"/>
      <c r="CFJ81" s="20"/>
      <c r="CFK81" s="20"/>
      <c r="CFL81" s="20"/>
      <c r="CFM81" s="21"/>
      <c r="CFN81" s="21"/>
      <c r="CFO81" s="21"/>
      <c r="CFP81" s="21"/>
      <c r="CFQ81" s="21"/>
      <c r="CFR81" s="20"/>
      <c r="CFS81" s="20"/>
      <c r="CFT81" s="20"/>
      <c r="CFU81" s="20"/>
      <c r="CFV81" s="21"/>
      <c r="CFW81" s="21"/>
      <c r="CFX81" s="7"/>
      <c r="CFY81" s="7"/>
      <c r="CFZ81" s="21"/>
      <c r="CGA81" s="20"/>
      <c r="CGB81" s="20"/>
      <c r="CGC81" s="20"/>
      <c r="CGD81" s="21"/>
      <c r="CGE81" s="21"/>
      <c r="CGF81" s="21"/>
      <c r="CGG81" s="21"/>
      <c r="CGH81" s="21"/>
      <c r="CGI81" s="20"/>
      <c r="CGJ81" s="20"/>
      <c r="CGK81" s="20"/>
      <c r="CGL81" s="20"/>
      <c r="CGM81" s="21"/>
      <c r="CGN81" s="21"/>
      <c r="CGO81" s="7"/>
      <c r="CGP81" s="7"/>
      <c r="CGQ81" s="21"/>
      <c r="CGR81" s="20"/>
      <c r="CGS81" s="20"/>
      <c r="CGT81" s="20"/>
      <c r="CGU81" s="21"/>
      <c r="CGV81" s="21"/>
      <c r="CGW81" s="21"/>
      <c r="CGX81" s="21"/>
      <c r="CGY81" s="21"/>
      <c r="CGZ81" s="20"/>
      <c r="CHA81" s="20"/>
      <c r="CHB81" s="20"/>
      <c r="CHC81" s="20"/>
      <c r="CHD81" s="21"/>
      <c r="CHE81" s="21"/>
      <c r="CHF81" s="7"/>
      <c r="CHG81" s="7"/>
      <c r="CHH81" s="21"/>
      <c r="CHI81" s="20"/>
      <c r="CHJ81" s="20"/>
      <c r="CHK81" s="20"/>
      <c r="CHL81" s="21"/>
      <c r="CHM81" s="21"/>
      <c r="CHN81" s="21"/>
      <c r="CHO81" s="21"/>
      <c r="CHP81" s="21"/>
      <c r="CHQ81" s="20"/>
      <c r="CHR81" s="20"/>
      <c r="CHS81" s="20"/>
      <c r="CHT81" s="20"/>
      <c r="CHU81" s="21"/>
      <c r="CHV81" s="21"/>
      <c r="CHW81" s="7"/>
      <c r="CHX81" s="7"/>
      <c r="CHY81" s="21"/>
      <c r="CHZ81" s="20"/>
      <c r="CIA81" s="20"/>
      <c r="CIB81" s="20"/>
      <c r="CIC81" s="21"/>
      <c r="CID81" s="21"/>
      <c r="CIE81" s="21"/>
      <c r="CIF81" s="21"/>
      <c r="CIG81" s="21"/>
      <c r="CIH81" s="20"/>
      <c r="CII81" s="20"/>
      <c r="CIJ81" s="20"/>
      <c r="CIK81" s="20"/>
      <c r="CIL81" s="21"/>
      <c r="CIM81" s="21"/>
      <c r="CIN81" s="7"/>
      <c r="CIO81" s="7"/>
      <c r="CIP81" s="21"/>
      <c r="CIQ81" s="20"/>
      <c r="CIR81" s="20"/>
      <c r="CIS81" s="20"/>
      <c r="CIT81" s="21"/>
      <c r="CIU81" s="21"/>
      <c r="CIV81" s="21"/>
      <c r="CIW81" s="21"/>
      <c r="CIX81" s="21"/>
      <c r="CIY81" s="20"/>
      <c r="CIZ81" s="20"/>
      <c r="CJA81" s="20"/>
      <c r="CJB81" s="20"/>
      <c r="CJC81" s="21"/>
      <c r="CJD81" s="21"/>
      <c r="CJE81" s="7"/>
      <c r="CJF81" s="7"/>
      <c r="CJG81" s="21"/>
      <c r="CJH81" s="20"/>
      <c r="CJI81" s="20"/>
      <c r="CJJ81" s="20"/>
      <c r="CJK81" s="21"/>
      <c r="CJL81" s="21"/>
      <c r="CJM81" s="21"/>
      <c r="CJN81" s="21"/>
      <c r="CJO81" s="21"/>
      <c r="CJP81" s="20"/>
      <c r="CJQ81" s="20"/>
      <c r="CJR81" s="20"/>
      <c r="CJS81" s="20"/>
      <c r="CJT81" s="21"/>
      <c r="CJU81" s="21"/>
      <c r="CJV81" s="7"/>
      <c r="CJW81" s="7"/>
      <c r="CJX81" s="21"/>
      <c r="CJY81" s="20"/>
      <c r="CJZ81" s="20"/>
      <c r="CKA81" s="20"/>
      <c r="CKB81" s="21"/>
      <c r="CKC81" s="21"/>
      <c r="CKD81" s="21"/>
      <c r="CKE81" s="21"/>
      <c r="CKF81" s="21"/>
      <c r="CKG81" s="20"/>
      <c r="CKH81" s="20"/>
      <c r="CKI81" s="20"/>
      <c r="CKJ81" s="20"/>
      <c r="CKK81" s="21"/>
      <c r="CKL81" s="21"/>
      <c r="CKM81" s="7"/>
      <c r="CKN81" s="7"/>
      <c r="CKO81" s="21"/>
      <c r="CKP81" s="20"/>
      <c r="CKQ81" s="20"/>
      <c r="CKR81" s="20"/>
      <c r="CKS81" s="21"/>
      <c r="CKT81" s="21"/>
      <c r="CKU81" s="21"/>
      <c r="CKV81" s="21"/>
      <c r="CKW81" s="21"/>
      <c r="CKX81" s="20"/>
      <c r="CKY81" s="20"/>
      <c r="CKZ81" s="20"/>
      <c r="CLA81" s="20"/>
      <c r="CLB81" s="21"/>
      <c r="CLC81" s="21"/>
      <c r="CLD81" s="7"/>
      <c r="CLE81" s="7"/>
      <c r="CLF81" s="21"/>
      <c r="CLG81" s="20"/>
      <c r="CLH81" s="20"/>
      <c r="CLI81" s="20"/>
      <c r="CLJ81" s="21"/>
      <c r="CLK81" s="21"/>
      <c r="CLL81" s="21"/>
      <c r="CLM81" s="21"/>
      <c r="CLN81" s="21"/>
      <c r="CLO81" s="20"/>
      <c r="CLP81" s="20"/>
      <c r="CLQ81" s="20"/>
      <c r="CLR81" s="20"/>
      <c r="CLS81" s="21"/>
      <c r="CLT81" s="21"/>
      <c r="CLU81" s="7"/>
      <c r="CLV81" s="7"/>
      <c r="CLW81" s="21"/>
      <c r="CLX81" s="20"/>
      <c r="CLY81" s="20"/>
      <c r="CLZ81" s="20"/>
      <c r="CMA81" s="21"/>
      <c r="CMB81" s="21"/>
      <c r="CMC81" s="21"/>
      <c r="CMD81" s="21"/>
      <c r="CME81" s="21"/>
      <c r="CMF81" s="20"/>
      <c r="CMG81" s="20"/>
      <c r="CMH81" s="20"/>
      <c r="CMI81" s="20"/>
      <c r="CMJ81" s="21"/>
      <c r="CMK81" s="21"/>
      <c r="CML81" s="7"/>
      <c r="CMM81" s="7"/>
      <c r="CMN81" s="21"/>
      <c r="CMO81" s="20"/>
      <c r="CMP81" s="20"/>
      <c r="CMQ81" s="20"/>
      <c r="CMR81" s="21"/>
      <c r="CMS81" s="21"/>
      <c r="CMT81" s="21"/>
      <c r="CMU81" s="21"/>
      <c r="CMV81" s="21"/>
      <c r="CMW81" s="20"/>
      <c r="CMX81" s="20"/>
      <c r="CMY81" s="20"/>
      <c r="CMZ81" s="20"/>
      <c r="CNA81" s="21"/>
      <c r="CNB81" s="21"/>
      <c r="CNC81" s="7"/>
      <c r="CND81" s="7"/>
      <c r="CNE81" s="21"/>
      <c r="CNF81" s="20"/>
      <c r="CNG81" s="20"/>
      <c r="CNH81" s="20"/>
      <c r="CNI81" s="21"/>
      <c r="CNJ81" s="21"/>
      <c r="CNK81" s="21"/>
      <c r="CNL81" s="21"/>
      <c r="CNM81" s="21"/>
      <c r="CNN81" s="20"/>
      <c r="CNO81" s="20"/>
      <c r="CNP81" s="20"/>
      <c r="CNQ81" s="20"/>
      <c r="CNR81" s="21"/>
      <c r="CNS81" s="21"/>
      <c r="CNT81" s="7"/>
      <c r="CNU81" s="7"/>
      <c r="CNV81" s="21"/>
      <c r="CNW81" s="20"/>
      <c r="CNX81" s="20"/>
      <c r="CNY81" s="20"/>
      <c r="CNZ81" s="21"/>
      <c r="COA81" s="21"/>
      <c r="COB81" s="21"/>
      <c r="COC81" s="21"/>
      <c r="COD81" s="21"/>
      <c r="COE81" s="20"/>
      <c r="COF81" s="20"/>
      <c r="COG81" s="20"/>
      <c r="COH81" s="20"/>
      <c r="COI81" s="21"/>
      <c r="COJ81" s="21"/>
      <c r="COK81" s="7"/>
      <c r="COL81" s="7"/>
      <c r="COM81" s="21"/>
      <c r="CON81" s="20"/>
      <c r="COO81" s="20"/>
      <c r="COP81" s="20"/>
      <c r="COQ81" s="21"/>
      <c r="COR81" s="21"/>
      <c r="COS81" s="21"/>
      <c r="COT81" s="21"/>
      <c r="COU81" s="21"/>
      <c r="COV81" s="20"/>
      <c r="COW81" s="20"/>
      <c r="COX81" s="20"/>
      <c r="COY81" s="20"/>
      <c r="COZ81" s="21"/>
      <c r="CPA81" s="21"/>
      <c r="CPB81" s="7"/>
      <c r="CPC81" s="7"/>
      <c r="CPD81" s="21"/>
      <c r="CPE81" s="20"/>
      <c r="CPF81" s="20"/>
      <c r="CPG81" s="20"/>
      <c r="CPH81" s="21"/>
      <c r="CPI81" s="21"/>
      <c r="CPJ81" s="21"/>
      <c r="CPK81" s="21"/>
      <c r="CPL81" s="21"/>
      <c r="CPM81" s="20"/>
      <c r="CPN81" s="20"/>
      <c r="CPO81" s="20"/>
      <c r="CPP81" s="20"/>
      <c r="CPQ81" s="21"/>
      <c r="CPR81" s="21"/>
      <c r="CPS81" s="7"/>
      <c r="CPT81" s="7"/>
      <c r="CPU81" s="21"/>
      <c r="CPV81" s="20"/>
      <c r="CPW81" s="20"/>
      <c r="CPX81" s="20"/>
      <c r="CPY81" s="21"/>
      <c r="CPZ81" s="21"/>
      <c r="CQA81" s="21"/>
      <c r="CQB81" s="21"/>
      <c r="CQC81" s="21"/>
      <c r="CQD81" s="20"/>
      <c r="CQE81" s="20"/>
      <c r="CQF81" s="20"/>
      <c r="CQG81" s="20"/>
      <c r="CQH81" s="21"/>
      <c r="CQI81" s="21"/>
      <c r="CQJ81" s="7"/>
      <c r="CQK81" s="7"/>
      <c r="CQL81" s="21"/>
      <c r="CQM81" s="20"/>
      <c r="CQN81" s="20"/>
      <c r="CQO81" s="20"/>
      <c r="CQP81" s="21"/>
      <c r="CQQ81" s="21"/>
      <c r="CQR81" s="21"/>
      <c r="CQS81" s="21"/>
      <c r="CQT81" s="21"/>
      <c r="CQU81" s="20"/>
      <c r="CQV81" s="20"/>
      <c r="CQW81" s="20"/>
      <c r="CQX81" s="20"/>
      <c r="CQY81" s="21"/>
      <c r="CQZ81" s="21"/>
      <c r="CRA81" s="7"/>
      <c r="CRB81" s="7"/>
      <c r="CRC81" s="21"/>
      <c r="CRD81" s="20"/>
      <c r="CRE81" s="20"/>
      <c r="CRF81" s="20"/>
      <c r="CRG81" s="21"/>
      <c r="CRH81" s="21"/>
      <c r="CRI81" s="21"/>
      <c r="CRJ81" s="21"/>
      <c r="CRK81" s="21"/>
      <c r="CRL81" s="20"/>
      <c r="CRM81" s="20"/>
      <c r="CRN81" s="20"/>
      <c r="CRO81" s="20"/>
      <c r="CRP81" s="21"/>
      <c r="CRQ81" s="21"/>
      <c r="CRR81" s="7"/>
      <c r="CRS81" s="7"/>
      <c r="CRT81" s="21"/>
      <c r="CRU81" s="20"/>
      <c r="CRV81" s="20"/>
      <c r="CRW81" s="20"/>
      <c r="CRX81" s="21"/>
      <c r="CRY81" s="21"/>
      <c r="CRZ81" s="21"/>
      <c r="CSA81" s="21"/>
      <c r="CSB81" s="21"/>
      <c r="CSC81" s="20"/>
      <c r="CSD81" s="20"/>
      <c r="CSE81" s="20"/>
      <c r="CSF81" s="20"/>
      <c r="CSG81" s="21"/>
      <c r="CSH81" s="21"/>
      <c r="CSI81" s="7"/>
      <c r="CSJ81" s="7"/>
      <c r="CSK81" s="21"/>
      <c r="CSL81" s="20"/>
      <c r="CSM81" s="20"/>
      <c r="CSN81" s="20"/>
      <c r="CSO81" s="21"/>
      <c r="CSP81" s="21"/>
      <c r="CSQ81" s="21"/>
      <c r="CSR81" s="21"/>
      <c r="CSS81" s="21"/>
      <c r="CST81" s="20"/>
      <c r="CSU81" s="20"/>
      <c r="CSV81" s="20"/>
      <c r="CSW81" s="20"/>
      <c r="CSX81" s="21"/>
      <c r="CSY81" s="21"/>
      <c r="CSZ81" s="7"/>
      <c r="CTA81" s="7"/>
      <c r="CTB81" s="21"/>
      <c r="CTC81" s="20"/>
      <c r="CTD81" s="20"/>
      <c r="CTE81" s="20"/>
      <c r="CTF81" s="21"/>
      <c r="CTG81" s="21"/>
      <c r="CTH81" s="21"/>
      <c r="CTI81" s="21"/>
      <c r="CTJ81" s="21"/>
      <c r="CTK81" s="20"/>
      <c r="CTL81" s="20"/>
      <c r="CTM81" s="20"/>
      <c r="CTN81" s="20"/>
      <c r="CTO81" s="21"/>
      <c r="CTP81" s="21"/>
      <c r="CTQ81" s="7"/>
      <c r="CTR81" s="7"/>
      <c r="CTS81" s="21"/>
      <c r="CTT81" s="20"/>
      <c r="CTU81" s="20"/>
      <c r="CTV81" s="20"/>
      <c r="CTW81" s="21"/>
      <c r="CTX81" s="21"/>
      <c r="CTY81" s="21"/>
      <c r="CTZ81" s="21"/>
      <c r="CUA81" s="21"/>
      <c r="CUB81" s="20"/>
      <c r="CUC81" s="20"/>
      <c r="CUD81" s="20"/>
      <c r="CUE81" s="20"/>
      <c r="CUF81" s="21"/>
      <c r="CUG81" s="21"/>
      <c r="CUH81" s="7"/>
      <c r="CUI81" s="7"/>
      <c r="CUJ81" s="21"/>
      <c r="CUK81" s="20"/>
      <c r="CUL81" s="20"/>
      <c r="CUM81" s="20"/>
      <c r="CUN81" s="21"/>
      <c r="CUO81" s="21"/>
      <c r="CUP81" s="21"/>
      <c r="CUQ81" s="21"/>
      <c r="CUR81" s="21"/>
      <c r="CUS81" s="20"/>
      <c r="CUT81" s="20"/>
      <c r="CUU81" s="20"/>
      <c r="CUV81" s="20"/>
      <c r="CUW81" s="21"/>
      <c r="CUX81" s="21"/>
      <c r="CUY81" s="7"/>
      <c r="CUZ81" s="7"/>
      <c r="CVA81" s="21"/>
      <c r="CVB81" s="20"/>
      <c r="CVC81" s="20"/>
      <c r="CVD81" s="20"/>
      <c r="CVE81" s="21"/>
      <c r="CVF81" s="21"/>
      <c r="CVG81" s="21"/>
      <c r="CVH81" s="21"/>
      <c r="CVI81" s="21"/>
      <c r="CVJ81" s="20"/>
      <c r="CVK81" s="20"/>
      <c r="CVL81" s="20"/>
      <c r="CVM81" s="20"/>
      <c r="CVN81" s="21"/>
      <c r="CVO81" s="21"/>
      <c r="CVP81" s="7"/>
      <c r="CVQ81" s="7"/>
      <c r="CVR81" s="21"/>
      <c r="CVS81" s="20"/>
      <c r="CVT81" s="20"/>
      <c r="CVU81" s="20"/>
      <c r="CVV81" s="21"/>
      <c r="CVW81" s="21"/>
      <c r="CVX81" s="21"/>
      <c r="CVY81" s="21"/>
      <c r="CVZ81" s="21"/>
      <c r="CWA81" s="20"/>
      <c r="CWB81" s="20"/>
      <c r="CWC81" s="20"/>
      <c r="CWD81" s="20"/>
      <c r="CWE81" s="21"/>
      <c r="CWF81" s="21"/>
      <c r="CWG81" s="7"/>
      <c r="CWH81" s="7"/>
      <c r="CWI81" s="21"/>
      <c r="CWJ81" s="20"/>
      <c r="CWK81" s="20"/>
      <c r="CWL81" s="20"/>
      <c r="CWM81" s="21"/>
      <c r="CWN81" s="21"/>
      <c r="CWO81" s="21"/>
      <c r="CWP81" s="21"/>
      <c r="CWQ81" s="21"/>
      <c r="CWR81" s="20"/>
      <c r="CWS81" s="20"/>
      <c r="CWT81" s="20"/>
      <c r="CWU81" s="20"/>
      <c r="CWV81" s="21"/>
      <c r="CWW81" s="21"/>
      <c r="CWX81" s="7"/>
      <c r="CWY81" s="7"/>
      <c r="CWZ81" s="21"/>
      <c r="CXA81" s="20"/>
      <c r="CXB81" s="20"/>
      <c r="CXC81" s="20"/>
      <c r="CXD81" s="21"/>
      <c r="CXE81" s="21"/>
      <c r="CXF81" s="21"/>
      <c r="CXG81" s="21"/>
      <c r="CXH81" s="21"/>
      <c r="CXI81" s="20"/>
      <c r="CXJ81" s="20"/>
      <c r="CXK81" s="20"/>
      <c r="CXL81" s="20"/>
      <c r="CXM81" s="21"/>
      <c r="CXN81" s="21"/>
      <c r="CXO81" s="7"/>
      <c r="CXP81" s="7"/>
      <c r="CXQ81" s="21"/>
      <c r="CXR81" s="20"/>
      <c r="CXS81" s="20"/>
      <c r="CXT81" s="20"/>
      <c r="CXU81" s="21"/>
      <c r="CXV81" s="21"/>
      <c r="CXW81" s="21"/>
      <c r="CXX81" s="21"/>
      <c r="CXY81" s="21"/>
      <c r="CXZ81" s="20"/>
      <c r="CYA81" s="20"/>
      <c r="CYB81" s="20"/>
      <c r="CYC81" s="20"/>
      <c r="CYD81" s="21"/>
      <c r="CYE81" s="21"/>
      <c r="CYF81" s="7"/>
      <c r="CYG81" s="7"/>
      <c r="CYH81" s="21"/>
      <c r="CYI81" s="20"/>
      <c r="CYJ81" s="20"/>
      <c r="CYK81" s="20"/>
      <c r="CYL81" s="21"/>
      <c r="CYM81" s="21"/>
      <c r="CYN81" s="21"/>
      <c r="CYO81" s="21"/>
      <c r="CYP81" s="21"/>
      <c r="CYQ81" s="20"/>
      <c r="CYR81" s="20"/>
      <c r="CYS81" s="20"/>
      <c r="CYT81" s="20"/>
      <c r="CYU81" s="21"/>
      <c r="CYV81" s="21"/>
      <c r="CYW81" s="7"/>
      <c r="CYX81" s="7"/>
      <c r="CYY81" s="21"/>
      <c r="CYZ81" s="20"/>
      <c r="CZA81" s="20"/>
      <c r="CZB81" s="20"/>
      <c r="CZC81" s="21"/>
      <c r="CZD81" s="21"/>
      <c r="CZE81" s="21"/>
      <c r="CZF81" s="21"/>
      <c r="CZG81" s="21"/>
      <c r="CZH81" s="20"/>
      <c r="CZI81" s="20"/>
      <c r="CZJ81" s="20"/>
      <c r="CZK81" s="20"/>
      <c r="CZL81" s="21"/>
      <c r="CZM81" s="21"/>
      <c r="CZN81" s="7"/>
      <c r="CZO81" s="7"/>
      <c r="CZP81" s="21"/>
      <c r="CZQ81" s="20"/>
      <c r="CZR81" s="20"/>
      <c r="CZS81" s="20"/>
      <c r="CZT81" s="21"/>
      <c r="CZU81" s="21"/>
      <c r="CZV81" s="21"/>
      <c r="CZW81" s="21"/>
      <c r="CZX81" s="21"/>
      <c r="CZY81" s="20"/>
      <c r="CZZ81" s="20"/>
      <c r="DAA81" s="20"/>
      <c r="DAB81" s="20"/>
      <c r="DAC81" s="21"/>
      <c r="DAD81" s="21"/>
      <c r="DAE81" s="7"/>
      <c r="DAF81" s="7"/>
      <c r="DAG81" s="21"/>
      <c r="DAH81" s="20"/>
      <c r="DAI81" s="20"/>
      <c r="DAJ81" s="20"/>
      <c r="DAK81" s="21"/>
      <c r="DAL81" s="21"/>
      <c r="DAM81" s="21"/>
      <c r="DAN81" s="21"/>
      <c r="DAO81" s="21"/>
      <c r="DAP81" s="20"/>
      <c r="DAQ81" s="20"/>
      <c r="DAR81" s="20"/>
      <c r="DAS81" s="20"/>
      <c r="DAT81" s="21"/>
      <c r="DAU81" s="21"/>
      <c r="DAV81" s="7"/>
      <c r="DAW81" s="7"/>
      <c r="DAX81" s="21"/>
      <c r="DAY81" s="20"/>
      <c r="DAZ81" s="20"/>
      <c r="DBA81" s="20"/>
      <c r="DBB81" s="21"/>
      <c r="DBC81" s="21"/>
      <c r="DBD81" s="21"/>
      <c r="DBE81" s="21"/>
      <c r="DBF81" s="21"/>
      <c r="DBG81" s="20"/>
      <c r="DBH81" s="20"/>
      <c r="DBI81" s="20"/>
      <c r="DBJ81" s="20"/>
      <c r="DBK81" s="21"/>
      <c r="DBL81" s="21"/>
      <c r="DBM81" s="7"/>
      <c r="DBN81" s="7"/>
      <c r="DBO81" s="21"/>
      <c r="DBP81" s="20"/>
      <c r="DBQ81" s="20"/>
      <c r="DBR81" s="20"/>
      <c r="DBS81" s="21"/>
      <c r="DBT81" s="21"/>
      <c r="DBU81" s="21"/>
      <c r="DBV81" s="21"/>
      <c r="DBW81" s="21"/>
      <c r="DBX81" s="20"/>
      <c r="DBY81" s="20"/>
      <c r="DBZ81" s="20"/>
      <c r="DCA81" s="20"/>
      <c r="DCB81" s="21"/>
      <c r="DCC81" s="21"/>
      <c r="DCD81" s="7"/>
      <c r="DCE81" s="7"/>
      <c r="DCF81" s="21"/>
      <c r="DCG81" s="20"/>
      <c r="DCH81" s="20"/>
      <c r="DCI81" s="20"/>
      <c r="DCJ81" s="21"/>
      <c r="DCK81" s="21"/>
      <c r="DCL81" s="21"/>
      <c r="DCM81" s="21"/>
      <c r="DCN81" s="21"/>
      <c r="DCO81" s="20"/>
      <c r="DCP81" s="20"/>
      <c r="DCQ81" s="20"/>
      <c r="DCR81" s="20"/>
      <c r="DCS81" s="21"/>
      <c r="DCT81" s="21"/>
      <c r="DCU81" s="7"/>
      <c r="DCV81" s="7"/>
      <c r="DCW81" s="21"/>
      <c r="DCX81" s="20"/>
      <c r="DCY81" s="20"/>
      <c r="DCZ81" s="20"/>
      <c r="DDA81" s="21"/>
      <c r="DDB81" s="21"/>
      <c r="DDC81" s="21"/>
      <c r="DDD81" s="21"/>
      <c r="DDE81" s="21"/>
      <c r="DDF81" s="20"/>
      <c r="DDG81" s="20"/>
      <c r="DDH81" s="20"/>
      <c r="DDI81" s="20"/>
      <c r="DDJ81" s="21"/>
      <c r="DDK81" s="21"/>
      <c r="DDL81" s="7"/>
      <c r="DDM81" s="7"/>
      <c r="DDN81" s="21"/>
      <c r="DDO81" s="20"/>
      <c r="DDP81" s="20"/>
      <c r="DDQ81" s="20"/>
      <c r="DDR81" s="21"/>
      <c r="DDS81" s="21"/>
      <c r="DDT81" s="21"/>
      <c r="DDU81" s="21"/>
      <c r="DDV81" s="21"/>
      <c r="DDW81" s="20"/>
      <c r="DDX81" s="20"/>
      <c r="DDY81" s="20"/>
      <c r="DDZ81" s="20"/>
      <c r="DEA81" s="21"/>
      <c r="DEB81" s="21"/>
      <c r="DEC81" s="7"/>
      <c r="DED81" s="7"/>
      <c r="DEE81" s="21"/>
      <c r="DEF81" s="20"/>
      <c r="DEG81" s="20"/>
      <c r="DEH81" s="20"/>
      <c r="DEI81" s="21"/>
      <c r="DEJ81" s="21"/>
      <c r="DEK81" s="21"/>
      <c r="DEL81" s="21"/>
      <c r="DEM81" s="21"/>
      <c r="DEN81" s="20"/>
      <c r="DEO81" s="20"/>
      <c r="DEP81" s="20"/>
      <c r="DEQ81" s="20"/>
      <c r="DER81" s="21"/>
      <c r="DES81" s="21"/>
      <c r="DET81" s="7"/>
      <c r="DEU81" s="7"/>
      <c r="DEV81" s="21"/>
      <c r="DEW81" s="20"/>
      <c r="DEX81" s="20"/>
      <c r="DEY81" s="20"/>
      <c r="DEZ81" s="21"/>
      <c r="DFA81" s="21"/>
      <c r="DFB81" s="21"/>
      <c r="DFC81" s="21"/>
      <c r="DFD81" s="21"/>
      <c r="DFE81" s="20"/>
      <c r="DFF81" s="20"/>
      <c r="DFG81" s="20"/>
      <c r="DFH81" s="20"/>
      <c r="DFI81" s="21"/>
      <c r="DFJ81" s="21"/>
      <c r="DFK81" s="7"/>
      <c r="DFL81" s="7"/>
      <c r="DFM81" s="21"/>
      <c r="DFN81" s="20"/>
      <c r="DFO81" s="20"/>
      <c r="DFP81" s="20"/>
      <c r="DFQ81" s="21"/>
      <c r="DFR81" s="21"/>
      <c r="DFS81" s="21"/>
      <c r="DFT81" s="21"/>
      <c r="DFU81" s="21"/>
      <c r="DFV81" s="20"/>
      <c r="DFW81" s="20"/>
      <c r="DFX81" s="20"/>
      <c r="DFY81" s="20"/>
      <c r="DFZ81" s="21"/>
      <c r="DGA81" s="21"/>
      <c r="DGB81" s="7"/>
      <c r="DGC81" s="7"/>
      <c r="DGD81" s="21"/>
      <c r="DGE81" s="20"/>
      <c r="DGF81" s="20"/>
      <c r="DGG81" s="20"/>
      <c r="DGH81" s="21"/>
      <c r="DGI81" s="21"/>
      <c r="DGJ81" s="21"/>
      <c r="DGK81" s="21"/>
      <c r="DGL81" s="21"/>
      <c r="DGM81" s="20"/>
      <c r="DGN81" s="20"/>
      <c r="DGO81" s="20"/>
      <c r="DGP81" s="20"/>
      <c r="DGQ81" s="21"/>
      <c r="DGR81" s="21"/>
      <c r="DGS81" s="7"/>
      <c r="DGT81" s="7"/>
      <c r="DGU81" s="21"/>
      <c r="DGV81" s="20"/>
      <c r="DGW81" s="20"/>
      <c r="DGX81" s="20"/>
      <c r="DGY81" s="21"/>
      <c r="DGZ81" s="21"/>
      <c r="DHA81" s="21"/>
      <c r="DHB81" s="21"/>
      <c r="DHC81" s="21"/>
      <c r="DHD81" s="20"/>
      <c r="DHE81" s="20"/>
      <c r="DHF81" s="20"/>
      <c r="DHG81" s="20"/>
      <c r="DHH81" s="21"/>
      <c r="DHI81" s="21"/>
      <c r="DHJ81" s="7"/>
      <c r="DHK81" s="7"/>
      <c r="DHL81" s="21"/>
      <c r="DHM81" s="20"/>
      <c r="DHN81" s="20"/>
      <c r="DHO81" s="20"/>
      <c r="DHP81" s="21"/>
      <c r="DHQ81" s="21"/>
      <c r="DHR81" s="21"/>
      <c r="DHS81" s="21"/>
      <c r="DHT81" s="21"/>
      <c r="DHU81" s="20"/>
      <c r="DHV81" s="20"/>
      <c r="DHW81" s="20"/>
      <c r="DHX81" s="20"/>
      <c r="DHY81" s="21"/>
      <c r="DHZ81" s="21"/>
      <c r="DIA81" s="7"/>
      <c r="DIB81" s="7"/>
      <c r="DIC81" s="21"/>
      <c r="DID81" s="20"/>
      <c r="DIE81" s="20"/>
      <c r="DIF81" s="20"/>
      <c r="DIG81" s="21"/>
      <c r="DIH81" s="21"/>
      <c r="DII81" s="21"/>
      <c r="DIJ81" s="21"/>
      <c r="DIK81" s="21"/>
      <c r="DIL81" s="20"/>
      <c r="DIM81" s="20"/>
      <c r="DIN81" s="20"/>
      <c r="DIO81" s="20"/>
      <c r="DIP81" s="21"/>
      <c r="DIQ81" s="21"/>
      <c r="DIR81" s="7"/>
      <c r="DIS81" s="7"/>
      <c r="DIT81" s="21"/>
      <c r="DIU81" s="20"/>
      <c r="DIV81" s="20"/>
      <c r="DIW81" s="20"/>
      <c r="DIX81" s="21"/>
      <c r="DIY81" s="21"/>
      <c r="DIZ81" s="21"/>
      <c r="DJA81" s="21"/>
      <c r="DJB81" s="21"/>
      <c r="DJC81" s="20"/>
      <c r="DJD81" s="20"/>
      <c r="DJE81" s="20"/>
      <c r="DJF81" s="20"/>
      <c r="DJG81" s="21"/>
      <c r="DJH81" s="21"/>
      <c r="DJI81" s="7"/>
      <c r="DJJ81" s="7"/>
      <c r="DJK81" s="21"/>
      <c r="DJL81" s="20"/>
      <c r="DJM81" s="20"/>
      <c r="DJN81" s="20"/>
      <c r="DJO81" s="21"/>
      <c r="DJP81" s="21"/>
      <c r="DJQ81" s="21"/>
      <c r="DJR81" s="21"/>
      <c r="DJS81" s="21"/>
      <c r="DJT81" s="20"/>
      <c r="DJU81" s="20"/>
      <c r="DJV81" s="20"/>
      <c r="DJW81" s="20"/>
      <c r="DJX81" s="21"/>
      <c r="DJY81" s="21"/>
      <c r="DJZ81" s="7"/>
      <c r="DKA81" s="7"/>
      <c r="DKB81" s="21"/>
      <c r="DKC81" s="20"/>
      <c r="DKD81" s="20"/>
      <c r="DKE81" s="20"/>
      <c r="DKF81" s="21"/>
      <c r="DKG81" s="21"/>
      <c r="DKH81" s="21"/>
      <c r="DKI81" s="21"/>
      <c r="DKJ81" s="21"/>
      <c r="DKK81" s="20"/>
      <c r="DKL81" s="20"/>
      <c r="DKM81" s="20"/>
      <c r="DKN81" s="20"/>
      <c r="DKO81" s="21"/>
      <c r="DKP81" s="21"/>
      <c r="DKQ81" s="7"/>
      <c r="DKR81" s="7"/>
      <c r="DKS81" s="21"/>
      <c r="DKT81" s="20"/>
      <c r="DKU81" s="20"/>
      <c r="DKV81" s="20"/>
      <c r="DKW81" s="21"/>
      <c r="DKX81" s="21"/>
      <c r="DKY81" s="21"/>
      <c r="DKZ81" s="21"/>
      <c r="DLA81" s="21"/>
      <c r="DLB81" s="20"/>
      <c r="DLC81" s="20"/>
      <c r="DLD81" s="20"/>
      <c r="DLE81" s="20"/>
      <c r="DLF81" s="21"/>
      <c r="DLG81" s="21"/>
      <c r="DLH81" s="7"/>
      <c r="DLI81" s="7"/>
      <c r="DLJ81" s="21"/>
      <c r="DLK81" s="20"/>
      <c r="DLL81" s="20"/>
      <c r="DLM81" s="20"/>
      <c r="DLN81" s="21"/>
      <c r="DLO81" s="21"/>
      <c r="DLP81" s="21"/>
      <c r="DLQ81" s="21"/>
      <c r="DLR81" s="21"/>
      <c r="DLS81" s="20"/>
      <c r="DLT81" s="20"/>
      <c r="DLU81" s="20"/>
      <c r="DLV81" s="20"/>
      <c r="DLW81" s="21"/>
      <c r="DLX81" s="21"/>
      <c r="DLY81" s="7"/>
      <c r="DLZ81" s="7"/>
      <c r="DMA81" s="21"/>
      <c r="DMB81" s="20"/>
      <c r="DMC81" s="20"/>
      <c r="DMD81" s="20"/>
      <c r="DME81" s="21"/>
      <c r="DMF81" s="21"/>
      <c r="DMG81" s="21"/>
      <c r="DMH81" s="21"/>
      <c r="DMI81" s="21"/>
      <c r="DMJ81" s="20"/>
      <c r="DMK81" s="20"/>
      <c r="DML81" s="20"/>
      <c r="DMM81" s="20"/>
      <c r="DMN81" s="21"/>
      <c r="DMO81" s="21"/>
      <c r="DMP81" s="7"/>
      <c r="DMQ81" s="7"/>
      <c r="DMR81" s="21"/>
      <c r="DMS81" s="20"/>
      <c r="DMT81" s="20"/>
      <c r="DMU81" s="20"/>
      <c r="DMV81" s="21"/>
      <c r="DMW81" s="21"/>
      <c r="DMX81" s="21"/>
      <c r="DMY81" s="21"/>
      <c r="DMZ81" s="21"/>
      <c r="DNA81" s="20"/>
      <c r="DNB81" s="20"/>
      <c r="DNC81" s="20"/>
      <c r="DND81" s="20"/>
      <c r="DNE81" s="21"/>
      <c r="DNF81" s="21"/>
      <c r="DNG81" s="7"/>
      <c r="DNH81" s="7"/>
      <c r="DNI81" s="21"/>
      <c r="DNJ81" s="20"/>
      <c r="DNK81" s="20"/>
      <c r="DNL81" s="20"/>
      <c r="DNM81" s="21"/>
      <c r="DNN81" s="21"/>
      <c r="DNO81" s="21"/>
      <c r="DNP81" s="21"/>
      <c r="DNQ81" s="21"/>
      <c r="DNR81" s="20"/>
      <c r="DNS81" s="20"/>
      <c r="DNT81" s="20"/>
      <c r="DNU81" s="20"/>
      <c r="DNV81" s="21"/>
      <c r="DNW81" s="21"/>
      <c r="DNX81" s="7"/>
      <c r="DNY81" s="7"/>
      <c r="DNZ81" s="21"/>
      <c r="DOA81" s="20"/>
      <c r="DOB81" s="20"/>
      <c r="DOC81" s="20"/>
      <c r="DOD81" s="21"/>
      <c r="DOE81" s="21"/>
      <c r="DOF81" s="21"/>
      <c r="DOG81" s="21"/>
      <c r="DOH81" s="21"/>
      <c r="DOI81" s="20"/>
      <c r="DOJ81" s="20"/>
      <c r="DOK81" s="20"/>
      <c r="DOL81" s="20"/>
      <c r="DOM81" s="21"/>
      <c r="DON81" s="21"/>
      <c r="DOO81" s="7"/>
      <c r="DOP81" s="7"/>
      <c r="DOQ81" s="21"/>
      <c r="DOR81" s="20"/>
      <c r="DOS81" s="20"/>
      <c r="DOT81" s="20"/>
      <c r="DOU81" s="21"/>
      <c r="DOV81" s="21"/>
      <c r="DOW81" s="21"/>
      <c r="DOX81" s="21"/>
      <c r="DOY81" s="21"/>
      <c r="DOZ81" s="20"/>
      <c r="DPA81" s="20"/>
      <c r="DPB81" s="20"/>
      <c r="DPC81" s="20"/>
      <c r="DPD81" s="21"/>
      <c r="DPE81" s="21"/>
      <c r="DPF81" s="7"/>
      <c r="DPG81" s="7"/>
      <c r="DPH81" s="21"/>
      <c r="DPI81" s="20"/>
      <c r="DPJ81" s="20"/>
      <c r="DPK81" s="20"/>
      <c r="DPL81" s="21"/>
      <c r="DPM81" s="21"/>
      <c r="DPN81" s="21"/>
      <c r="DPO81" s="21"/>
      <c r="DPP81" s="21"/>
      <c r="DPQ81" s="20"/>
      <c r="DPR81" s="20"/>
      <c r="DPS81" s="20"/>
      <c r="DPT81" s="20"/>
      <c r="DPU81" s="21"/>
      <c r="DPV81" s="21"/>
      <c r="DPW81" s="7"/>
      <c r="DPX81" s="7"/>
      <c r="DPY81" s="21"/>
      <c r="DPZ81" s="20"/>
      <c r="DQA81" s="20"/>
      <c r="DQB81" s="20"/>
      <c r="DQC81" s="21"/>
      <c r="DQD81" s="21"/>
      <c r="DQE81" s="21"/>
      <c r="DQF81" s="21"/>
      <c r="DQG81" s="21"/>
      <c r="DQH81" s="20"/>
      <c r="DQI81" s="20"/>
      <c r="DQJ81" s="20"/>
      <c r="DQK81" s="20"/>
      <c r="DQL81" s="21"/>
      <c r="DQM81" s="21"/>
      <c r="DQN81" s="7"/>
      <c r="DQO81" s="7"/>
      <c r="DQP81" s="21"/>
      <c r="DQQ81" s="20"/>
      <c r="DQR81" s="20"/>
      <c r="DQS81" s="20"/>
      <c r="DQT81" s="21"/>
      <c r="DQU81" s="21"/>
      <c r="DQV81" s="21"/>
      <c r="DQW81" s="21"/>
      <c r="DQX81" s="21"/>
      <c r="DQY81" s="20"/>
      <c r="DQZ81" s="20"/>
      <c r="DRA81" s="20"/>
      <c r="DRB81" s="20"/>
      <c r="DRC81" s="21"/>
      <c r="DRD81" s="21"/>
      <c r="DRE81" s="7"/>
      <c r="DRF81" s="7"/>
      <c r="DRG81" s="21"/>
      <c r="DRH81" s="20"/>
      <c r="DRI81" s="20"/>
      <c r="DRJ81" s="20"/>
      <c r="DRK81" s="21"/>
      <c r="DRL81" s="21"/>
      <c r="DRM81" s="21"/>
      <c r="DRN81" s="21"/>
      <c r="DRO81" s="21"/>
      <c r="DRP81" s="20"/>
      <c r="DRQ81" s="20"/>
      <c r="DRR81" s="20"/>
      <c r="DRS81" s="20"/>
      <c r="DRT81" s="21"/>
      <c r="DRU81" s="21"/>
      <c r="DRV81" s="7"/>
      <c r="DRW81" s="7"/>
      <c r="DRX81" s="21"/>
      <c r="DRY81" s="20"/>
      <c r="DRZ81" s="20"/>
      <c r="DSA81" s="20"/>
      <c r="DSB81" s="21"/>
      <c r="DSC81" s="21"/>
      <c r="DSD81" s="21"/>
      <c r="DSE81" s="21"/>
      <c r="DSF81" s="21"/>
      <c r="DSG81" s="20"/>
      <c r="DSH81" s="20"/>
      <c r="DSI81" s="20"/>
      <c r="DSJ81" s="20"/>
      <c r="DSK81" s="21"/>
      <c r="DSL81" s="21"/>
      <c r="DSM81" s="7"/>
      <c r="DSN81" s="7"/>
      <c r="DSO81" s="21"/>
      <c r="DSP81" s="20"/>
      <c r="DSQ81" s="20"/>
      <c r="DSR81" s="20"/>
      <c r="DSS81" s="21"/>
      <c r="DST81" s="21"/>
      <c r="DSU81" s="21"/>
      <c r="DSV81" s="21"/>
      <c r="DSW81" s="21"/>
      <c r="DSX81" s="20"/>
      <c r="DSY81" s="20"/>
      <c r="DSZ81" s="20"/>
      <c r="DTA81" s="20"/>
      <c r="DTB81" s="21"/>
      <c r="DTC81" s="21"/>
      <c r="DTD81" s="7"/>
      <c r="DTE81" s="7"/>
      <c r="DTF81" s="21"/>
      <c r="DTG81" s="20"/>
      <c r="DTH81" s="20"/>
      <c r="DTI81" s="20"/>
      <c r="DTJ81" s="21"/>
      <c r="DTK81" s="21"/>
      <c r="DTL81" s="21"/>
      <c r="DTM81" s="21"/>
      <c r="DTN81" s="21"/>
      <c r="DTO81" s="20"/>
      <c r="DTP81" s="20"/>
      <c r="DTQ81" s="20"/>
      <c r="DTR81" s="20"/>
      <c r="DTS81" s="21"/>
      <c r="DTT81" s="21"/>
      <c r="DTU81" s="7"/>
      <c r="DTV81" s="7"/>
      <c r="DTW81" s="21"/>
      <c r="DTX81" s="20"/>
      <c r="DTY81" s="20"/>
      <c r="DTZ81" s="20"/>
      <c r="DUA81" s="21"/>
      <c r="DUB81" s="21"/>
      <c r="DUC81" s="21"/>
      <c r="DUD81" s="21"/>
      <c r="DUE81" s="21"/>
      <c r="DUF81" s="20"/>
      <c r="DUG81" s="20"/>
      <c r="DUH81" s="20"/>
      <c r="DUI81" s="20"/>
      <c r="DUJ81" s="21"/>
      <c r="DUK81" s="21"/>
      <c r="DUL81" s="7"/>
      <c r="DUM81" s="7"/>
      <c r="DUN81" s="21"/>
      <c r="DUO81" s="20"/>
      <c r="DUP81" s="20"/>
      <c r="DUQ81" s="20"/>
      <c r="DUR81" s="21"/>
      <c r="DUS81" s="21"/>
      <c r="DUT81" s="21"/>
      <c r="DUU81" s="21"/>
      <c r="DUV81" s="21"/>
      <c r="DUW81" s="20"/>
      <c r="DUX81" s="20"/>
      <c r="DUY81" s="20"/>
      <c r="DUZ81" s="20"/>
      <c r="DVA81" s="21"/>
      <c r="DVB81" s="21"/>
      <c r="DVC81" s="7"/>
      <c r="DVD81" s="7"/>
      <c r="DVE81" s="21"/>
      <c r="DVF81" s="20"/>
      <c r="DVG81" s="20"/>
      <c r="DVH81" s="20"/>
      <c r="DVI81" s="21"/>
      <c r="DVJ81" s="21"/>
      <c r="DVK81" s="21"/>
      <c r="DVL81" s="21"/>
      <c r="DVM81" s="21"/>
      <c r="DVN81" s="20"/>
      <c r="DVO81" s="20"/>
      <c r="DVP81" s="20"/>
      <c r="DVQ81" s="20"/>
      <c r="DVR81" s="21"/>
      <c r="DVS81" s="21"/>
      <c r="DVT81" s="7"/>
      <c r="DVU81" s="7"/>
      <c r="DVV81" s="21"/>
      <c r="DVW81" s="20"/>
      <c r="DVX81" s="20"/>
      <c r="DVY81" s="20"/>
      <c r="DVZ81" s="21"/>
      <c r="DWA81" s="21"/>
      <c r="DWB81" s="21"/>
      <c r="DWC81" s="21"/>
      <c r="DWD81" s="21"/>
      <c r="DWE81" s="20"/>
      <c r="DWF81" s="20"/>
      <c r="DWG81" s="20"/>
      <c r="DWH81" s="20"/>
      <c r="DWI81" s="21"/>
      <c r="DWJ81" s="21"/>
      <c r="DWK81" s="7"/>
      <c r="DWL81" s="7"/>
      <c r="DWM81" s="21"/>
      <c r="DWN81" s="20"/>
      <c r="DWO81" s="20"/>
      <c r="DWP81" s="20"/>
      <c r="DWQ81" s="21"/>
      <c r="DWR81" s="21"/>
      <c r="DWS81" s="21"/>
      <c r="DWT81" s="21"/>
      <c r="DWU81" s="21"/>
      <c r="DWV81" s="20"/>
      <c r="DWW81" s="20"/>
      <c r="DWX81" s="20"/>
      <c r="DWY81" s="20"/>
      <c r="DWZ81" s="21"/>
      <c r="DXA81" s="21"/>
      <c r="DXB81" s="7"/>
      <c r="DXC81" s="7"/>
      <c r="DXD81" s="21"/>
      <c r="DXE81" s="20"/>
      <c r="DXF81" s="20"/>
      <c r="DXG81" s="20"/>
      <c r="DXH81" s="21"/>
      <c r="DXI81" s="21"/>
      <c r="DXJ81" s="21"/>
      <c r="DXK81" s="21"/>
      <c r="DXL81" s="21"/>
      <c r="DXM81" s="20"/>
      <c r="DXN81" s="20"/>
      <c r="DXO81" s="20"/>
      <c r="DXP81" s="20"/>
      <c r="DXQ81" s="21"/>
      <c r="DXR81" s="21"/>
      <c r="DXS81" s="7"/>
      <c r="DXT81" s="7"/>
      <c r="DXU81" s="21"/>
      <c r="DXV81" s="20"/>
      <c r="DXW81" s="20"/>
      <c r="DXX81" s="20"/>
      <c r="DXY81" s="21"/>
      <c r="DXZ81" s="21"/>
      <c r="DYA81" s="21"/>
      <c r="DYB81" s="21"/>
      <c r="DYC81" s="21"/>
      <c r="DYD81" s="20"/>
      <c r="DYE81" s="20"/>
      <c r="DYF81" s="20"/>
      <c r="DYG81" s="20"/>
      <c r="DYH81" s="21"/>
      <c r="DYI81" s="21"/>
      <c r="DYJ81" s="7"/>
      <c r="DYK81" s="7"/>
      <c r="DYL81" s="21"/>
      <c r="DYM81" s="20"/>
      <c r="DYN81" s="20"/>
      <c r="DYO81" s="20"/>
      <c r="DYP81" s="21"/>
      <c r="DYQ81" s="21"/>
      <c r="DYR81" s="21"/>
      <c r="DYS81" s="21"/>
      <c r="DYT81" s="21"/>
      <c r="DYU81" s="20"/>
      <c r="DYV81" s="20"/>
      <c r="DYW81" s="20"/>
      <c r="DYX81" s="20"/>
      <c r="DYY81" s="21"/>
      <c r="DYZ81" s="21"/>
      <c r="DZA81" s="7"/>
      <c r="DZB81" s="7"/>
      <c r="DZC81" s="21"/>
      <c r="DZD81" s="20"/>
      <c r="DZE81" s="20"/>
      <c r="DZF81" s="20"/>
      <c r="DZG81" s="21"/>
      <c r="DZH81" s="21"/>
      <c r="DZI81" s="21"/>
      <c r="DZJ81" s="21"/>
      <c r="DZK81" s="21"/>
      <c r="DZL81" s="20"/>
      <c r="DZM81" s="20"/>
      <c r="DZN81" s="20"/>
      <c r="DZO81" s="20"/>
      <c r="DZP81" s="21"/>
      <c r="DZQ81" s="21"/>
      <c r="DZR81" s="7"/>
      <c r="DZS81" s="7"/>
      <c r="DZT81" s="21"/>
      <c r="DZU81" s="20"/>
      <c r="DZV81" s="20"/>
      <c r="DZW81" s="20"/>
      <c r="DZX81" s="21"/>
      <c r="DZY81" s="21"/>
      <c r="DZZ81" s="21"/>
      <c r="EAA81" s="21"/>
      <c r="EAB81" s="21"/>
      <c r="EAC81" s="20"/>
      <c r="EAD81" s="20"/>
      <c r="EAE81" s="20"/>
      <c r="EAF81" s="20"/>
      <c r="EAG81" s="21"/>
      <c r="EAH81" s="21"/>
      <c r="EAI81" s="7"/>
      <c r="EAJ81" s="7"/>
      <c r="EAK81" s="21"/>
      <c r="EAL81" s="20"/>
      <c r="EAM81" s="20"/>
      <c r="EAN81" s="20"/>
      <c r="EAO81" s="21"/>
      <c r="EAP81" s="21"/>
      <c r="EAQ81" s="21"/>
      <c r="EAR81" s="21"/>
      <c r="EAS81" s="21"/>
      <c r="EAT81" s="20"/>
      <c r="EAU81" s="20"/>
      <c r="EAV81" s="20"/>
      <c r="EAW81" s="20"/>
      <c r="EAX81" s="21"/>
      <c r="EAY81" s="21"/>
      <c r="EAZ81" s="7"/>
      <c r="EBA81" s="7"/>
      <c r="EBB81" s="21"/>
      <c r="EBC81" s="20"/>
      <c r="EBD81" s="20"/>
      <c r="EBE81" s="20"/>
      <c r="EBF81" s="21"/>
      <c r="EBG81" s="21"/>
      <c r="EBH81" s="21"/>
      <c r="EBI81" s="21"/>
      <c r="EBJ81" s="21"/>
      <c r="EBK81" s="20"/>
      <c r="EBL81" s="20"/>
      <c r="EBM81" s="20"/>
      <c r="EBN81" s="20"/>
      <c r="EBO81" s="21"/>
      <c r="EBP81" s="21"/>
      <c r="EBQ81" s="7"/>
      <c r="EBR81" s="7"/>
      <c r="EBS81" s="21"/>
      <c r="EBT81" s="20"/>
      <c r="EBU81" s="20"/>
      <c r="EBV81" s="20"/>
      <c r="EBW81" s="21"/>
      <c r="EBX81" s="21"/>
      <c r="EBY81" s="21"/>
      <c r="EBZ81" s="21"/>
      <c r="ECA81" s="21"/>
      <c r="ECB81" s="20"/>
      <c r="ECC81" s="20"/>
      <c r="ECD81" s="20"/>
      <c r="ECE81" s="20"/>
      <c r="ECF81" s="21"/>
      <c r="ECG81" s="21"/>
      <c r="ECH81" s="7"/>
      <c r="ECI81" s="7"/>
      <c r="ECJ81" s="21"/>
      <c r="ECK81" s="20"/>
      <c r="ECL81" s="20"/>
      <c r="ECM81" s="20"/>
      <c r="ECN81" s="21"/>
      <c r="ECO81" s="21"/>
      <c r="ECP81" s="21"/>
      <c r="ECQ81" s="21"/>
      <c r="ECR81" s="21"/>
      <c r="ECS81" s="20"/>
      <c r="ECT81" s="20"/>
      <c r="ECU81" s="20"/>
      <c r="ECV81" s="20"/>
      <c r="ECW81" s="21"/>
      <c r="ECX81" s="21"/>
      <c r="ECY81" s="7"/>
      <c r="ECZ81" s="7"/>
      <c r="EDA81" s="21"/>
      <c r="EDB81" s="20"/>
      <c r="EDC81" s="20"/>
      <c r="EDD81" s="20"/>
      <c r="EDE81" s="21"/>
      <c r="EDF81" s="21"/>
      <c r="EDG81" s="21"/>
      <c r="EDH81" s="21"/>
      <c r="EDI81" s="21"/>
      <c r="EDJ81" s="20"/>
      <c r="EDK81" s="20"/>
      <c r="EDL81" s="20"/>
      <c r="EDM81" s="20"/>
      <c r="EDN81" s="21"/>
      <c r="EDO81" s="21"/>
      <c r="EDP81" s="7"/>
      <c r="EDQ81" s="7"/>
      <c r="EDR81" s="21"/>
      <c r="EDS81" s="20"/>
      <c r="EDT81" s="20"/>
      <c r="EDU81" s="20"/>
      <c r="EDV81" s="21"/>
      <c r="EDW81" s="21"/>
      <c r="EDX81" s="21"/>
      <c r="EDY81" s="21"/>
      <c r="EDZ81" s="21"/>
      <c r="EEA81" s="20"/>
      <c r="EEB81" s="20"/>
      <c r="EEC81" s="20"/>
      <c r="EED81" s="20"/>
      <c r="EEE81" s="21"/>
      <c r="EEF81" s="21"/>
      <c r="EEG81" s="7"/>
      <c r="EEH81" s="7"/>
      <c r="EEI81" s="21"/>
      <c r="EEJ81" s="20"/>
      <c r="EEK81" s="20"/>
      <c r="EEL81" s="20"/>
      <c r="EEM81" s="21"/>
      <c r="EEN81" s="21"/>
      <c r="EEO81" s="21"/>
      <c r="EEP81" s="21"/>
      <c r="EEQ81" s="21"/>
      <c r="EER81" s="20"/>
      <c r="EES81" s="20"/>
      <c r="EET81" s="20"/>
      <c r="EEU81" s="20"/>
      <c r="EEV81" s="21"/>
      <c r="EEW81" s="21"/>
      <c r="EEX81" s="7"/>
      <c r="EEY81" s="7"/>
      <c r="EEZ81" s="21"/>
      <c r="EFA81" s="20"/>
      <c r="EFB81" s="20"/>
      <c r="EFC81" s="20"/>
      <c r="EFD81" s="21"/>
      <c r="EFE81" s="21"/>
      <c r="EFF81" s="21"/>
      <c r="EFG81" s="21"/>
      <c r="EFH81" s="21"/>
      <c r="EFI81" s="20"/>
      <c r="EFJ81" s="20"/>
      <c r="EFK81" s="20"/>
      <c r="EFL81" s="20"/>
      <c r="EFM81" s="21"/>
      <c r="EFN81" s="21"/>
      <c r="EFO81" s="7"/>
      <c r="EFP81" s="7"/>
      <c r="EFQ81" s="21"/>
      <c r="EFR81" s="20"/>
      <c r="EFS81" s="20"/>
      <c r="EFT81" s="20"/>
      <c r="EFU81" s="21"/>
      <c r="EFV81" s="21"/>
      <c r="EFW81" s="21"/>
      <c r="EFX81" s="21"/>
      <c r="EFY81" s="21"/>
      <c r="EFZ81" s="20"/>
      <c r="EGA81" s="20"/>
      <c r="EGB81" s="20"/>
      <c r="EGC81" s="20"/>
      <c r="EGD81" s="21"/>
      <c r="EGE81" s="21"/>
      <c r="EGF81" s="7"/>
      <c r="EGG81" s="7"/>
      <c r="EGH81" s="21"/>
      <c r="EGI81" s="20"/>
      <c r="EGJ81" s="20"/>
      <c r="EGK81" s="20"/>
      <c r="EGL81" s="21"/>
      <c r="EGM81" s="21"/>
      <c r="EGN81" s="21"/>
      <c r="EGO81" s="21"/>
      <c r="EGP81" s="21"/>
      <c r="EGQ81" s="20"/>
      <c r="EGR81" s="20"/>
      <c r="EGS81" s="20"/>
      <c r="EGT81" s="20"/>
      <c r="EGU81" s="21"/>
      <c r="EGV81" s="21"/>
      <c r="EGW81" s="7"/>
      <c r="EGX81" s="7"/>
      <c r="EGY81" s="21"/>
      <c r="EGZ81" s="20"/>
      <c r="EHA81" s="20"/>
      <c r="EHB81" s="20"/>
      <c r="EHC81" s="21"/>
      <c r="EHD81" s="21"/>
      <c r="EHE81" s="21"/>
      <c r="EHF81" s="21"/>
      <c r="EHG81" s="21"/>
      <c r="EHH81" s="20"/>
      <c r="EHI81" s="20"/>
      <c r="EHJ81" s="20"/>
      <c r="EHK81" s="20"/>
      <c r="EHL81" s="21"/>
      <c r="EHM81" s="21"/>
      <c r="EHN81" s="7"/>
      <c r="EHO81" s="7"/>
      <c r="EHP81" s="21"/>
      <c r="EHQ81" s="20"/>
      <c r="EHR81" s="20"/>
      <c r="EHS81" s="20"/>
      <c r="EHT81" s="21"/>
      <c r="EHU81" s="21"/>
      <c r="EHV81" s="21"/>
      <c r="EHW81" s="21"/>
      <c r="EHX81" s="21"/>
      <c r="EHY81" s="20"/>
      <c r="EHZ81" s="20"/>
      <c r="EIA81" s="20"/>
      <c r="EIB81" s="20"/>
      <c r="EIC81" s="21"/>
      <c r="EID81" s="21"/>
      <c r="EIE81" s="7"/>
      <c r="EIF81" s="7"/>
      <c r="EIG81" s="21"/>
      <c r="EIH81" s="20"/>
      <c r="EII81" s="20"/>
      <c r="EIJ81" s="20"/>
      <c r="EIK81" s="21"/>
      <c r="EIL81" s="21"/>
      <c r="EIM81" s="21"/>
      <c r="EIN81" s="21"/>
      <c r="EIO81" s="21"/>
      <c r="EIP81" s="20"/>
      <c r="EIQ81" s="20"/>
      <c r="EIR81" s="20"/>
      <c r="EIS81" s="20"/>
      <c r="EIT81" s="21"/>
      <c r="EIU81" s="21"/>
      <c r="EIV81" s="7"/>
      <c r="EIW81" s="7"/>
      <c r="EIX81" s="21"/>
      <c r="EIY81" s="20"/>
      <c r="EIZ81" s="20"/>
      <c r="EJA81" s="20"/>
      <c r="EJB81" s="21"/>
      <c r="EJC81" s="21"/>
      <c r="EJD81" s="21"/>
      <c r="EJE81" s="21"/>
      <c r="EJF81" s="21"/>
      <c r="EJG81" s="20"/>
      <c r="EJH81" s="20"/>
      <c r="EJI81" s="20"/>
      <c r="EJJ81" s="20"/>
      <c r="EJK81" s="21"/>
      <c r="EJL81" s="21"/>
      <c r="EJM81" s="7"/>
      <c r="EJN81" s="7"/>
      <c r="EJO81" s="21"/>
      <c r="EJP81" s="20"/>
      <c r="EJQ81" s="20"/>
      <c r="EJR81" s="20"/>
      <c r="EJS81" s="21"/>
      <c r="EJT81" s="21"/>
      <c r="EJU81" s="21"/>
      <c r="EJV81" s="21"/>
      <c r="EJW81" s="21"/>
      <c r="EJX81" s="20"/>
      <c r="EJY81" s="20"/>
      <c r="EJZ81" s="20"/>
      <c r="EKA81" s="20"/>
      <c r="EKB81" s="21"/>
      <c r="EKC81" s="21"/>
      <c r="EKD81" s="7"/>
      <c r="EKE81" s="7"/>
      <c r="EKF81" s="21"/>
      <c r="EKG81" s="20"/>
      <c r="EKH81" s="20"/>
      <c r="EKI81" s="20"/>
      <c r="EKJ81" s="21"/>
      <c r="EKK81" s="21"/>
      <c r="EKL81" s="21"/>
      <c r="EKM81" s="21"/>
      <c r="EKN81" s="21"/>
      <c r="EKO81" s="20"/>
      <c r="EKP81" s="20"/>
      <c r="EKQ81" s="20"/>
      <c r="EKR81" s="20"/>
      <c r="EKS81" s="21"/>
      <c r="EKT81" s="21"/>
      <c r="EKU81" s="7"/>
      <c r="EKV81" s="7"/>
      <c r="EKW81" s="21"/>
      <c r="EKX81" s="20"/>
      <c r="EKY81" s="20"/>
      <c r="EKZ81" s="20"/>
      <c r="ELA81" s="21"/>
      <c r="ELB81" s="21"/>
      <c r="ELC81" s="21"/>
      <c r="ELD81" s="21"/>
      <c r="ELE81" s="21"/>
      <c r="ELF81" s="20"/>
      <c r="ELG81" s="20"/>
      <c r="ELH81" s="20"/>
      <c r="ELI81" s="20"/>
      <c r="ELJ81" s="21"/>
      <c r="ELK81" s="21"/>
      <c r="ELL81" s="7"/>
      <c r="ELM81" s="7"/>
      <c r="ELN81" s="21"/>
      <c r="ELO81" s="20"/>
      <c r="ELP81" s="20"/>
      <c r="ELQ81" s="20"/>
      <c r="ELR81" s="21"/>
      <c r="ELS81" s="21"/>
      <c r="ELT81" s="21"/>
      <c r="ELU81" s="21"/>
      <c r="ELV81" s="21"/>
      <c r="ELW81" s="20"/>
      <c r="ELX81" s="20"/>
      <c r="ELY81" s="20"/>
      <c r="ELZ81" s="20"/>
      <c r="EMA81" s="21"/>
      <c r="EMB81" s="21"/>
      <c r="EMC81" s="7"/>
      <c r="EMD81" s="7"/>
      <c r="EME81" s="21"/>
      <c r="EMF81" s="20"/>
      <c r="EMG81" s="20"/>
      <c r="EMH81" s="20"/>
      <c r="EMI81" s="21"/>
      <c r="EMJ81" s="21"/>
      <c r="EMK81" s="21"/>
      <c r="EML81" s="21"/>
      <c r="EMM81" s="21"/>
      <c r="EMN81" s="20"/>
      <c r="EMO81" s="20"/>
      <c r="EMP81" s="20"/>
      <c r="EMQ81" s="20"/>
      <c r="EMR81" s="21"/>
      <c r="EMS81" s="21"/>
      <c r="EMT81" s="7"/>
      <c r="EMU81" s="7"/>
      <c r="EMV81" s="21"/>
      <c r="EMW81" s="20"/>
      <c r="EMX81" s="20"/>
      <c r="EMY81" s="20"/>
      <c r="EMZ81" s="21"/>
      <c r="ENA81" s="21"/>
      <c r="ENB81" s="21"/>
      <c r="ENC81" s="21"/>
      <c r="END81" s="21"/>
      <c r="ENE81" s="20"/>
      <c r="ENF81" s="20"/>
      <c r="ENG81" s="20"/>
      <c r="ENH81" s="20"/>
      <c r="ENI81" s="21"/>
      <c r="ENJ81" s="21"/>
      <c r="ENK81" s="7"/>
      <c r="ENL81" s="7"/>
      <c r="ENM81" s="21"/>
      <c r="ENN81" s="20"/>
      <c r="ENO81" s="20"/>
      <c r="ENP81" s="20"/>
      <c r="ENQ81" s="21"/>
      <c r="ENR81" s="21"/>
      <c r="ENS81" s="21"/>
      <c r="ENT81" s="21"/>
      <c r="ENU81" s="21"/>
      <c r="ENV81" s="20"/>
      <c r="ENW81" s="20"/>
      <c r="ENX81" s="20"/>
      <c r="ENY81" s="20"/>
      <c r="ENZ81" s="21"/>
      <c r="EOA81" s="21"/>
      <c r="EOB81" s="7"/>
      <c r="EOC81" s="7"/>
      <c r="EOD81" s="21"/>
      <c r="EOE81" s="20"/>
      <c r="EOF81" s="20"/>
      <c r="EOG81" s="20"/>
      <c r="EOH81" s="21"/>
      <c r="EOI81" s="21"/>
      <c r="EOJ81" s="21"/>
      <c r="EOK81" s="21"/>
      <c r="EOL81" s="21"/>
      <c r="EOM81" s="20"/>
      <c r="EON81" s="20"/>
      <c r="EOO81" s="20"/>
      <c r="EOP81" s="20"/>
      <c r="EOQ81" s="21"/>
      <c r="EOR81" s="21"/>
      <c r="EOS81" s="7"/>
      <c r="EOT81" s="7"/>
      <c r="EOU81" s="21"/>
      <c r="EOV81" s="20"/>
      <c r="EOW81" s="20"/>
      <c r="EOX81" s="20"/>
      <c r="EOY81" s="21"/>
      <c r="EOZ81" s="21"/>
      <c r="EPA81" s="21"/>
      <c r="EPB81" s="21"/>
      <c r="EPC81" s="21"/>
      <c r="EPD81" s="20"/>
      <c r="EPE81" s="20"/>
      <c r="EPF81" s="20"/>
      <c r="EPG81" s="20"/>
      <c r="EPH81" s="21"/>
      <c r="EPI81" s="21"/>
      <c r="EPJ81" s="7"/>
      <c r="EPK81" s="7"/>
      <c r="EPL81" s="21"/>
      <c r="EPM81" s="20"/>
      <c r="EPN81" s="20"/>
      <c r="EPO81" s="20"/>
      <c r="EPP81" s="21"/>
      <c r="EPQ81" s="21"/>
      <c r="EPR81" s="21"/>
      <c r="EPS81" s="21"/>
      <c r="EPT81" s="21"/>
      <c r="EPU81" s="20"/>
      <c r="EPV81" s="20"/>
      <c r="EPW81" s="20"/>
      <c r="EPX81" s="20"/>
      <c r="EPY81" s="21"/>
      <c r="EPZ81" s="21"/>
      <c r="EQA81" s="7"/>
      <c r="EQB81" s="7"/>
      <c r="EQC81" s="21"/>
      <c r="EQD81" s="20"/>
      <c r="EQE81" s="20"/>
      <c r="EQF81" s="20"/>
      <c r="EQG81" s="21"/>
      <c r="EQH81" s="21"/>
      <c r="EQI81" s="21"/>
      <c r="EQJ81" s="21"/>
      <c r="EQK81" s="21"/>
      <c r="EQL81" s="20"/>
      <c r="EQM81" s="20"/>
      <c r="EQN81" s="20"/>
      <c r="EQO81" s="20"/>
      <c r="EQP81" s="21"/>
      <c r="EQQ81" s="21"/>
      <c r="EQR81" s="7"/>
      <c r="EQS81" s="7"/>
      <c r="EQT81" s="21"/>
      <c r="EQU81" s="20"/>
      <c r="EQV81" s="20"/>
      <c r="EQW81" s="20"/>
      <c r="EQX81" s="21"/>
      <c r="EQY81" s="21"/>
      <c r="EQZ81" s="21"/>
      <c r="ERA81" s="21"/>
      <c r="ERB81" s="21"/>
      <c r="ERC81" s="20"/>
      <c r="ERD81" s="20"/>
      <c r="ERE81" s="20"/>
      <c r="ERF81" s="20"/>
      <c r="ERG81" s="21"/>
      <c r="ERH81" s="21"/>
      <c r="ERI81" s="7"/>
      <c r="ERJ81" s="7"/>
      <c r="ERK81" s="21"/>
      <c r="ERL81" s="20"/>
      <c r="ERM81" s="20"/>
      <c r="ERN81" s="20"/>
      <c r="ERO81" s="21"/>
      <c r="ERP81" s="21"/>
      <c r="ERQ81" s="21"/>
      <c r="ERR81" s="21"/>
      <c r="ERS81" s="21"/>
      <c r="ERT81" s="20"/>
      <c r="ERU81" s="20"/>
      <c r="ERV81" s="20"/>
      <c r="ERW81" s="20"/>
      <c r="ERX81" s="21"/>
      <c r="ERY81" s="21"/>
      <c r="ERZ81" s="7"/>
      <c r="ESA81" s="7"/>
      <c r="ESB81" s="21"/>
      <c r="ESC81" s="20"/>
      <c r="ESD81" s="20"/>
      <c r="ESE81" s="20"/>
      <c r="ESF81" s="21"/>
      <c r="ESG81" s="21"/>
      <c r="ESH81" s="21"/>
      <c r="ESI81" s="21"/>
      <c r="ESJ81" s="21"/>
      <c r="ESK81" s="20"/>
      <c r="ESL81" s="20"/>
      <c r="ESM81" s="20"/>
      <c r="ESN81" s="20"/>
      <c r="ESO81" s="21"/>
      <c r="ESP81" s="21"/>
      <c r="ESQ81" s="7"/>
      <c r="ESR81" s="7"/>
      <c r="ESS81" s="21"/>
      <c r="EST81" s="20"/>
      <c r="ESU81" s="20"/>
      <c r="ESV81" s="20"/>
      <c r="ESW81" s="21"/>
      <c r="ESX81" s="21"/>
      <c r="ESY81" s="21"/>
      <c r="ESZ81" s="21"/>
      <c r="ETA81" s="21"/>
      <c r="ETB81" s="20"/>
      <c r="ETC81" s="20"/>
      <c r="ETD81" s="20"/>
      <c r="ETE81" s="20"/>
      <c r="ETF81" s="21"/>
      <c r="ETG81" s="21"/>
      <c r="ETH81" s="7"/>
      <c r="ETI81" s="7"/>
      <c r="ETJ81" s="21"/>
      <c r="ETK81" s="20"/>
      <c r="ETL81" s="20"/>
      <c r="ETM81" s="20"/>
      <c r="ETN81" s="21"/>
      <c r="ETO81" s="21"/>
      <c r="ETP81" s="21"/>
      <c r="ETQ81" s="21"/>
      <c r="ETR81" s="21"/>
      <c r="ETS81" s="20"/>
      <c r="ETT81" s="20"/>
      <c r="ETU81" s="20"/>
      <c r="ETV81" s="20"/>
      <c r="ETW81" s="21"/>
      <c r="ETX81" s="21"/>
      <c r="ETY81" s="7"/>
      <c r="ETZ81" s="7"/>
      <c r="EUA81" s="21"/>
      <c r="EUB81" s="20"/>
      <c r="EUC81" s="20"/>
      <c r="EUD81" s="20"/>
      <c r="EUE81" s="21"/>
      <c r="EUF81" s="21"/>
      <c r="EUG81" s="21"/>
      <c r="EUH81" s="21"/>
      <c r="EUI81" s="21"/>
      <c r="EUJ81" s="20"/>
      <c r="EUK81" s="20"/>
      <c r="EUL81" s="20"/>
      <c r="EUM81" s="20"/>
      <c r="EUN81" s="21"/>
      <c r="EUO81" s="21"/>
      <c r="EUP81" s="7"/>
      <c r="EUQ81" s="7"/>
      <c r="EUR81" s="21"/>
      <c r="EUS81" s="20"/>
      <c r="EUT81" s="20"/>
      <c r="EUU81" s="20"/>
      <c r="EUV81" s="21"/>
      <c r="EUW81" s="21"/>
      <c r="EUX81" s="21"/>
      <c r="EUY81" s="21"/>
      <c r="EUZ81" s="21"/>
      <c r="EVA81" s="20"/>
      <c r="EVB81" s="20"/>
      <c r="EVC81" s="20"/>
      <c r="EVD81" s="20"/>
      <c r="EVE81" s="21"/>
      <c r="EVF81" s="21"/>
      <c r="EVG81" s="7"/>
      <c r="EVH81" s="7"/>
      <c r="EVI81" s="21"/>
      <c r="EVJ81" s="20"/>
      <c r="EVK81" s="20"/>
      <c r="EVL81" s="20"/>
      <c r="EVM81" s="21"/>
      <c r="EVN81" s="21"/>
      <c r="EVO81" s="21"/>
      <c r="EVP81" s="21"/>
      <c r="EVQ81" s="21"/>
      <c r="EVR81" s="20"/>
      <c r="EVS81" s="20"/>
      <c r="EVT81" s="20"/>
      <c r="EVU81" s="20"/>
      <c r="EVV81" s="21"/>
      <c r="EVW81" s="21"/>
      <c r="EVX81" s="7"/>
      <c r="EVY81" s="7"/>
      <c r="EVZ81" s="21"/>
      <c r="EWA81" s="20"/>
      <c r="EWB81" s="20"/>
      <c r="EWC81" s="20"/>
      <c r="EWD81" s="21"/>
      <c r="EWE81" s="21"/>
      <c r="EWF81" s="21"/>
      <c r="EWG81" s="21"/>
      <c r="EWH81" s="21"/>
      <c r="EWI81" s="20"/>
      <c r="EWJ81" s="20"/>
      <c r="EWK81" s="20"/>
      <c r="EWL81" s="20"/>
      <c r="EWM81" s="21"/>
      <c r="EWN81" s="21"/>
      <c r="EWO81" s="7"/>
      <c r="EWP81" s="7"/>
      <c r="EWQ81" s="21"/>
      <c r="EWR81" s="20"/>
      <c r="EWS81" s="20"/>
      <c r="EWT81" s="20"/>
      <c r="EWU81" s="21"/>
      <c r="EWV81" s="21"/>
      <c r="EWW81" s="21"/>
      <c r="EWX81" s="21"/>
      <c r="EWY81" s="21"/>
      <c r="EWZ81" s="20"/>
      <c r="EXA81" s="20"/>
      <c r="EXB81" s="20"/>
      <c r="EXC81" s="20"/>
      <c r="EXD81" s="21"/>
      <c r="EXE81" s="21"/>
      <c r="EXF81" s="7"/>
      <c r="EXG81" s="7"/>
      <c r="EXH81" s="21"/>
      <c r="EXI81" s="20"/>
      <c r="EXJ81" s="20"/>
      <c r="EXK81" s="20"/>
      <c r="EXL81" s="21"/>
      <c r="EXM81" s="21"/>
      <c r="EXN81" s="21"/>
      <c r="EXO81" s="21"/>
      <c r="EXP81" s="21"/>
      <c r="EXQ81" s="20"/>
      <c r="EXR81" s="20"/>
      <c r="EXS81" s="20"/>
      <c r="EXT81" s="20"/>
      <c r="EXU81" s="21"/>
      <c r="EXV81" s="21"/>
      <c r="EXW81" s="7"/>
      <c r="EXX81" s="7"/>
      <c r="EXY81" s="21"/>
      <c r="EXZ81" s="20"/>
      <c r="EYA81" s="20"/>
      <c r="EYB81" s="20"/>
      <c r="EYC81" s="21"/>
      <c r="EYD81" s="21"/>
      <c r="EYE81" s="21"/>
      <c r="EYF81" s="21"/>
      <c r="EYG81" s="21"/>
      <c r="EYH81" s="20"/>
      <c r="EYI81" s="20"/>
      <c r="EYJ81" s="20"/>
      <c r="EYK81" s="20"/>
      <c r="EYL81" s="21"/>
      <c r="EYM81" s="21"/>
      <c r="EYN81" s="7"/>
      <c r="EYO81" s="7"/>
      <c r="EYP81" s="21"/>
      <c r="EYQ81" s="20"/>
      <c r="EYR81" s="20"/>
      <c r="EYS81" s="20"/>
      <c r="EYT81" s="21"/>
      <c r="EYU81" s="21"/>
      <c r="EYV81" s="21"/>
      <c r="EYW81" s="21"/>
      <c r="EYX81" s="21"/>
      <c r="EYY81" s="20"/>
      <c r="EYZ81" s="20"/>
      <c r="EZA81" s="20"/>
      <c r="EZB81" s="20"/>
      <c r="EZC81" s="21"/>
      <c r="EZD81" s="21"/>
      <c r="EZE81" s="7"/>
      <c r="EZF81" s="7"/>
      <c r="EZG81" s="21"/>
      <c r="EZH81" s="20"/>
      <c r="EZI81" s="20"/>
      <c r="EZJ81" s="20"/>
      <c r="EZK81" s="21"/>
      <c r="EZL81" s="21"/>
      <c r="EZM81" s="21"/>
      <c r="EZN81" s="21"/>
      <c r="EZO81" s="21"/>
      <c r="EZP81" s="20"/>
      <c r="EZQ81" s="20"/>
      <c r="EZR81" s="20"/>
      <c r="EZS81" s="20"/>
      <c r="EZT81" s="21"/>
      <c r="EZU81" s="21"/>
      <c r="EZV81" s="7"/>
      <c r="EZW81" s="7"/>
      <c r="EZX81" s="21"/>
      <c r="EZY81" s="20"/>
      <c r="EZZ81" s="20"/>
      <c r="FAA81" s="20"/>
      <c r="FAB81" s="21"/>
      <c r="FAC81" s="21"/>
      <c r="FAD81" s="21"/>
      <c r="FAE81" s="21"/>
      <c r="FAF81" s="21"/>
      <c r="FAG81" s="20"/>
      <c r="FAH81" s="20"/>
      <c r="FAI81" s="20"/>
      <c r="FAJ81" s="20"/>
      <c r="FAK81" s="21"/>
      <c r="FAL81" s="21"/>
      <c r="FAM81" s="7"/>
      <c r="FAN81" s="7"/>
      <c r="FAO81" s="21"/>
      <c r="FAP81" s="20"/>
      <c r="FAQ81" s="20"/>
      <c r="FAR81" s="20"/>
      <c r="FAS81" s="21"/>
      <c r="FAT81" s="21"/>
      <c r="FAU81" s="21"/>
      <c r="FAV81" s="21"/>
      <c r="FAW81" s="21"/>
      <c r="FAX81" s="20"/>
      <c r="FAY81" s="20"/>
      <c r="FAZ81" s="20"/>
      <c r="FBA81" s="20"/>
      <c r="FBB81" s="21"/>
      <c r="FBC81" s="21"/>
      <c r="FBD81" s="7"/>
      <c r="FBE81" s="7"/>
      <c r="FBF81" s="21"/>
      <c r="FBG81" s="20"/>
      <c r="FBH81" s="20"/>
      <c r="FBI81" s="20"/>
      <c r="FBJ81" s="21"/>
      <c r="FBK81" s="21"/>
      <c r="FBL81" s="21"/>
      <c r="FBM81" s="21"/>
      <c r="FBN81" s="21"/>
      <c r="FBO81" s="20"/>
      <c r="FBP81" s="20"/>
      <c r="FBQ81" s="20"/>
      <c r="FBR81" s="20"/>
      <c r="FBS81" s="21"/>
      <c r="FBT81" s="21"/>
      <c r="FBU81" s="7"/>
      <c r="FBV81" s="7"/>
      <c r="FBW81" s="21"/>
      <c r="FBX81" s="20"/>
      <c r="FBY81" s="20"/>
      <c r="FBZ81" s="20"/>
      <c r="FCA81" s="21"/>
      <c r="FCB81" s="21"/>
      <c r="FCC81" s="21"/>
      <c r="FCD81" s="21"/>
      <c r="FCE81" s="21"/>
      <c r="FCF81" s="20"/>
      <c r="FCG81" s="20"/>
      <c r="FCH81" s="20"/>
      <c r="FCI81" s="20"/>
      <c r="FCJ81" s="21"/>
      <c r="FCK81" s="21"/>
      <c r="FCL81" s="7"/>
      <c r="FCM81" s="7"/>
      <c r="FCN81" s="21"/>
      <c r="FCO81" s="20"/>
      <c r="FCP81" s="20"/>
      <c r="FCQ81" s="20"/>
      <c r="FCR81" s="21"/>
      <c r="FCS81" s="21"/>
      <c r="FCT81" s="21"/>
      <c r="FCU81" s="21"/>
      <c r="FCV81" s="21"/>
      <c r="FCW81" s="20"/>
      <c r="FCX81" s="20"/>
      <c r="FCY81" s="20"/>
      <c r="FCZ81" s="20"/>
      <c r="FDA81" s="21"/>
      <c r="FDB81" s="21"/>
      <c r="FDC81" s="7"/>
      <c r="FDD81" s="7"/>
      <c r="FDE81" s="21"/>
      <c r="FDF81" s="20"/>
      <c r="FDG81" s="20"/>
      <c r="FDH81" s="20"/>
      <c r="FDI81" s="21"/>
      <c r="FDJ81" s="21"/>
      <c r="FDK81" s="21"/>
      <c r="FDL81" s="21"/>
      <c r="FDM81" s="21"/>
      <c r="FDN81" s="20"/>
      <c r="FDO81" s="20"/>
      <c r="FDP81" s="20"/>
      <c r="FDQ81" s="20"/>
      <c r="FDR81" s="21"/>
      <c r="FDS81" s="21"/>
      <c r="FDT81" s="7"/>
      <c r="FDU81" s="7"/>
      <c r="FDV81" s="21"/>
      <c r="FDW81" s="20"/>
      <c r="FDX81" s="20"/>
      <c r="FDY81" s="20"/>
      <c r="FDZ81" s="21"/>
      <c r="FEA81" s="21"/>
      <c r="FEB81" s="21"/>
      <c r="FEC81" s="21"/>
      <c r="FED81" s="21"/>
      <c r="FEE81" s="20"/>
      <c r="FEF81" s="20"/>
      <c r="FEG81" s="20"/>
      <c r="FEH81" s="20"/>
      <c r="FEI81" s="21"/>
      <c r="FEJ81" s="21"/>
      <c r="FEK81" s="7"/>
      <c r="FEL81" s="7"/>
      <c r="FEM81" s="21"/>
      <c r="FEN81" s="20"/>
      <c r="FEO81" s="20"/>
      <c r="FEP81" s="20"/>
      <c r="FEQ81" s="21"/>
      <c r="FER81" s="21"/>
      <c r="FES81" s="21"/>
      <c r="FET81" s="21"/>
      <c r="FEU81" s="21"/>
      <c r="FEV81" s="20"/>
      <c r="FEW81" s="20"/>
      <c r="FEX81" s="20"/>
      <c r="FEY81" s="20"/>
      <c r="FEZ81" s="21"/>
      <c r="FFA81" s="21"/>
      <c r="FFB81" s="7"/>
      <c r="FFC81" s="7"/>
      <c r="FFD81" s="21"/>
      <c r="FFE81" s="20"/>
      <c r="FFF81" s="20"/>
      <c r="FFG81" s="20"/>
      <c r="FFH81" s="21"/>
      <c r="FFI81" s="21"/>
      <c r="FFJ81" s="21"/>
      <c r="FFK81" s="21"/>
      <c r="FFL81" s="21"/>
      <c r="FFM81" s="20"/>
      <c r="FFN81" s="20"/>
      <c r="FFO81" s="20"/>
      <c r="FFP81" s="20"/>
      <c r="FFQ81" s="21"/>
      <c r="FFR81" s="21"/>
      <c r="FFS81" s="7"/>
      <c r="FFT81" s="7"/>
      <c r="FFU81" s="21"/>
      <c r="FFV81" s="20"/>
      <c r="FFW81" s="20"/>
      <c r="FFX81" s="20"/>
      <c r="FFY81" s="21"/>
      <c r="FFZ81" s="21"/>
      <c r="FGA81" s="21"/>
      <c r="FGB81" s="21"/>
      <c r="FGC81" s="21"/>
      <c r="FGD81" s="20"/>
      <c r="FGE81" s="20"/>
      <c r="FGF81" s="20"/>
      <c r="FGG81" s="20"/>
      <c r="FGH81" s="21"/>
      <c r="FGI81" s="21"/>
      <c r="FGJ81" s="7"/>
      <c r="FGK81" s="7"/>
      <c r="FGL81" s="21"/>
      <c r="FGM81" s="20"/>
      <c r="FGN81" s="20"/>
      <c r="FGO81" s="20"/>
      <c r="FGP81" s="21"/>
      <c r="FGQ81" s="21"/>
      <c r="FGR81" s="21"/>
      <c r="FGS81" s="21"/>
      <c r="FGT81" s="21"/>
      <c r="FGU81" s="20"/>
      <c r="FGV81" s="20"/>
      <c r="FGW81" s="20"/>
      <c r="FGX81" s="20"/>
      <c r="FGY81" s="21"/>
      <c r="FGZ81" s="21"/>
      <c r="FHA81" s="7"/>
      <c r="FHB81" s="7"/>
      <c r="FHC81" s="21"/>
      <c r="FHD81" s="20"/>
      <c r="FHE81" s="20"/>
      <c r="FHF81" s="20"/>
      <c r="FHG81" s="21"/>
      <c r="FHH81" s="21"/>
      <c r="FHI81" s="21"/>
      <c r="FHJ81" s="21"/>
      <c r="FHK81" s="21"/>
      <c r="FHL81" s="20"/>
      <c r="FHM81" s="20"/>
      <c r="FHN81" s="20"/>
      <c r="FHO81" s="20"/>
      <c r="FHP81" s="21"/>
      <c r="FHQ81" s="21"/>
      <c r="FHR81" s="7"/>
      <c r="FHS81" s="7"/>
      <c r="FHT81" s="21"/>
      <c r="FHU81" s="20"/>
      <c r="FHV81" s="20"/>
      <c r="FHW81" s="20"/>
      <c r="FHX81" s="21"/>
      <c r="FHY81" s="21"/>
      <c r="FHZ81" s="21"/>
      <c r="FIA81" s="21"/>
      <c r="FIB81" s="21"/>
      <c r="FIC81" s="20"/>
      <c r="FID81" s="20"/>
      <c r="FIE81" s="20"/>
      <c r="FIF81" s="20"/>
      <c r="FIG81" s="21"/>
      <c r="FIH81" s="21"/>
      <c r="FII81" s="7"/>
      <c r="FIJ81" s="7"/>
      <c r="FIK81" s="21"/>
      <c r="FIL81" s="20"/>
      <c r="FIM81" s="20"/>
      <c r="FIN81" s="20"/>
      <c r="FIO81" s="21"/>
      <c r="FIP81" s="21"/>
      <c r="FIQ81" s="21"/>
      <c r="FIR81" s="21"/>
      <c r="FIS81" s="21"/>
      <c r="FIT81" s="20"/>
      <c r="FIU81" s="20"/>
      <c r="FIV81" s="20"/>
      <c r="FIW81" s="20"/>
      <c r="FIX81" s="21"/>
      <c r="FIY81" s="21"/>
      <c r="FIZ81" s="7"/>
      <c r="FJA81" s="7"/>
      <c r="FJB81" s="21"/>
      <c r="FJC81" s="20"/>
      <c r="FJD81" s="20"/>
      <c r="FJE81" s="20"/>
      <c r="FJF81" s="21"/>
      <c r="FJG81" s="21"/>
      <c r="FJH81" s="21"/>
      <c r="FJI81" s="21"/>
      <c r="FJJ81" s="21"/>
      <c r="FJK81" s="20"/>
      <c r="FJL81" s="20"/>
      <c r="FJM81" s="20"/>
      <c r="FJN81" s="20"/>
      <c r="FJO81" s="21"/>
      <c r="FJP81" s="21"/>
      <c r="FJQ81" s="7"/>
      <c r="FJR81" s="7"/>
      <c r="FJS81" s="21"/>
      <c r="FJT81" s="20"/>
      <c r="FJU81" s="20"/>
      <c r="FJV81" s="20"/>
      <c r="FJW81" s="21"/>
      <c r="FJX81" s="21"/>
      <c r="FJY81" s="21"/>
      <c r="FJZ81" s="21"/>
      <c r="FKA81" s="21"/>
      <c r="FKB81" s="20"/>
      <c r="FKC81" s="20"/>
      <c r="FKD81" s="20"/>
      <c r="FKE81" s="20"/>
      <c r="FKF81" s="21"/>
      <c r="FKG81" s="21"/>
      <c r="FKH81" s="7"/>
      <c r="FKI81" s="7"/>
      <c r="FKJ81" s="21"/>
      <c r="FKK81" s="20"/>
      <c r="FKL81" s="20"/>
      <c r="FKM81" s="20"/>
      <c r="FKN81" s="21"/>
      <c r="FKO81" s="21"/>
      <c r="FKP81" s="21"/>
      <c r="FKQ81" s="21"/>
      <c r="FKR81" s="21"/>
      <c r="FKS81" s="20"/>
      <c r="FKT81" s="20"/>
      <c r="FKU81" s="20"/>
      <c r="FKV81" s="20"/>
      <c r="FKW81" s="21"/>
      <c r="FKX81" s="21"/>
      <c r="FKY81" s="7"/>
      <c r="FKZ81" s="7"/>
      <c r="FLA81" s="21"/>
      <c r="FLB81" s="20"/>
      <c r="FLC81" s="20"/>
      <c r="FLD81" s="20"/>
      <c r="FLE81" s="21"/>
      <c r="FLF81" s="21"/>
      <c r="FLG81" s="21"/>
      <c r="FLH81" s="21"/>
      <c r="FLI81" s="21"/>
      <c r="FLJ81" s="20"/>
      <c r="FLK81" s="20"/>
      <c r="FLL81" s="20"/>
      <c r="FLM81" s="20"/>
      <c r="FLN81" s="21"/>
      <c r="FLO81" s="21"/>
      <c r="FLP81" s="7"/>
      <c r="FLQ81" s="7"/>
      <c r="FLR81" s="21"/>
      <c r="FLS81" s="20"/>
      <c r="FLT81" s="20"/>
      <c r="FLU81" s="20"/>
      <c r="FLV81" s="21"/>
      <c r="FLW81" s="21"/>
      <c r="FLX81" s="21"/>
      <c r="FLY81" s="21"/>
      <c r="FLZ81" s="21"/>
      <c r="FMA81" s="20"/>
      <c r="FMB81" s="20"/>
      <c r="FMC81" s="20"/>
      <c r="FMD81" s="20"/>
      <c r="FME81" s="21"/>
      <c r="FMF81" s="21"/>
      <c r="FMG81" s="7"/>
      <c r="FMH81" s="7"/>
      <c r="FMI81" s="21"/>
      <c r="FMJ81" s="20"/>
      <c r="FMK81" s="20"/>
      <c r="FML81" s="20"/>
      <c r="FMM81" s="21"/>
      <c r="FMN81" s="21"/>
      <c r="FMO81" s="21"/>
      <c r="FMP81" s="21"/>
      <c r="FMQ81" s="21"/>
      <c r="FMR81" s="20"/>
      <c r="FMS81" s="20"/>
      <c r="FMT81" s="20"/>
      <c r="FMU81" s="20"/>
      <c r="FMV81" s="21"/>
      <c r="FMW81" s="21"/>
      <c r="FMX81" s="7"/>
      <c r="FMY81" s="7"/>
      <c r="FMZ81" s="21"/>
      <c r="FNA81" s="20"/>
      <c r="FNB81" s="20"/>
      <c r="FNC81" s="20"/>
      <c r="FND81" s="21"/>
      <c r="FNE81" s="21"/>
      <c r="FNF81" s="21"/>
      <c r="FNG81" s="21"/>
      <c r="FNH81" s="21"/>
      <c r="FNI81" s="20"/>
      <c r="FNJ81" s="20"/>
      <c r="FNK81" s="20"/>
      <c r="FNL81" s="20"/>
      <c r="FNM81" s="21"/>
      <c r="FNN81" s="21"/>
      <c r="FNO81" s="7"/>
      <c r="FNP81" s="7"/>
      <c r="FNQ81" s="21"/>
      <c r="FNR81" s="20"/>
      <c r="FNS81" s="20"/>
      <c r="FNT81" s="20"/>
      <c r="FNU81" s="21"/>
      <c r="FNV81" s="21"/>
      <c r="FNW81" s="21"/>
      <c r="FNX81" s="21"/>
      <c r="FNY81" s="21"/>
      <c r="FNZ81" s="20"/>
      <c r="FOA81" s="20"/>
      <c r="FOB81" s="20"/>
      <c r="FOC81" s="20"/>
      <c r="FOD81" s="21"/>
      <c r="FOE81" s="21"/>
      <c r="FOF81" s="7"/>
      <c r="FOG81" s="7"/>
      <c r="FOH81" s="21"/>
      <c r="FOI81" s="20"/>
      <c r="FOJ81" s="20"/>
      <c r="FOK81" s="20"/>
      <c r="FOL81" s="21"/>
      <c r="FOM81" s="21"/>
      <c r="FON81" s="21"/>
      <c r="FOO81" s="21"/>
      <c r="FOP81" s="21"/>
      <c r="FOQ81" s="20"/>
      <c r="FOR81" s="20"/>
      <c r="FOS81" s="20"/>
      <c r="FOT81" s="20"/>
      <c r="FOU81" s="21"/>
      <c r="FOV81" s="21"/>
      <c r="FOW81" s="7"/>
      <c r="FOX81" s="7"/>
      <c r="FOY81" s="21"/>
      <c r="FOZ81" s="20"/>
      <c r="FPA81" s="20"/>
      <c r="FPB81" s="20"/>
      <c r="FPC81" s="21"/>
      <c r="FPD81" s="21"/>
      <c r="FPE81" s="21"/>
      <c r="FPF81" s="21"/>
      <c r="FPG81" s="21"/>
      <c r="FPH81" s="20"/>
      <c r="FPI81" s="20"/>
      <c r="FPJ81" s="20"/>
      <c r="FPK81" s="20"/>
      <c r="FPL81" s="21"/>
      <c r="FPM81" s="21"/>
      <c r="FPN81" s="7"/>
      <c r="FPO81" s="7"/>
      <c r="FPP81" s="21"/>
      <c r="FPQ81" s="20"/>
      <c r="FPR81" s="20"/>
      <c r="FPS81" s="20"/>
      <c r="FPT81" s="21"/>
      <c r="FPU81" s="21"/>
      <c r="FPV81" s="21"/>
      <c r="FPW81" s="21"/>
      <c r="FPX81" s="21"/>
      <c r="FPY81" s="20"/>
      <c r="FPZ81" s="20"/>
      <c r="FQA81" s="20"/>
      <c r="FQB81" s="20"/>
      <c r="FQC81" s="21"/>
      <c r="FQD81" s="21"/>
      <c r="FQE81" s="7"/>
      <c r="FQF81" s="7"/>
      <c r="FQG81" s="21"/>
      <c r="FQH81" s="20"/>
      <c r="FQI81" s="20"/>
      <c r="FQJ81" s="20"/>
      <c r="FQK81" s="21"/>
      <c r="FQL81" s="21"/>
      <c r="FQM81" s="21"/>
      <c r="FQN81" s="21"/>
      <c r="FQO81" s="21"/>
      <c r="FQP81" s="20"/>
      <c r="FQQ81" s="20"/>
      <c r="FQR81" s="20"/>
      <c r="FQS81" s="20"/>
      <c r="FQT81" s="21"/>
      <c r="FQU81" s="21"/>
      <c r="FQV81" s="7"/>
      <c r="FQW81" s="7"/>
      <c r="FQX81" s="21"/>
      <c r="FQY81" s="20"/>
      <c r="FQZ81" s="20"/>
      <c r="FRA81" s="20"/>
      <c r="FRB81" s="21"/>
      <c r="FRC81" s="21"/>
      <c r="FRD81" s="21"/>
      <c r="FRE81" s="21"/>
      <c r="FRF81" s="21"/>
      <c r="FRG81" s="20"/>
      <c r="FRH81" s="20"/>
      <c r="FRI81" s="20"/>
      <c r="FRJ81" s="20"/>
      <c r="FRK81" s="21"/>
      <c r="FRL81" s="21"/>
      <c r="FRM81" s="7"/>
      <c r="FRN81" s="7"/>
      <c r="FRO81" s="21"/>
      <c r="FRP81" s="20"/>
      <c r="FRQ81" s="20"/>
      <c r="FRR81" s="20"/>
      <c r="FRS81" s="21"/>
      <c r="FRT81" s="21"/>
      <c r="FRU81" s="21"/>
      <c r="FRV81" s="21"/>
      <c r="FRW81" s="21"/>
      <c r="FRX81" s="20"/>
      <c r="FRY81" s="20"/>
      <c r="FRZ81" s="20"/>
      <c r="FSA81" s="20"/>
      <c r="FSB81" s="21"/>
      <c r="FSC81" s="21"/>
      <c r="FSD81" s="7"/>
      <c r="FSE81" s="7"/>
      <c r="FSF81" s="21"/>
      <c r="FSG81" s="20"/>
      <c r="FSH81" s="20"/>
      <c r="FSI81" s="20"/>
      <c r="FSJ81" s="21"/>
      <c r="FSK81" s="21"/>
      <c r="FSL81" s="21"/>
      <c r="FSM81" s="21"/>
      <c r="FSN81" s="21"/>
      <c r="FSO81" s="20"/>
      <c r="FSP81" s="20"/>
      <c r="FSQ81" s="20"/>
      <c r="FSR81" s="20"/>
      <c r="FSS81" s="21"/>
      <c r="FST81" s="21"/>
      <c r="FSU81" s="7"/>
      <c r="FSV81" s="7"/>
      <c r="FSW81" s="21"/>
      <c r="FSX81" s="20"/>
      <c r="FSY81" s="20"/>
      <c r="FSZ81" s="20"/>
      <c r="FTA81" s="21"/>
      <c r="FTB81" s="21"/>
      <c r="FTC81" s="21"/>
      <c r="FTD81" s="21"/>
      <c r="FTE81" s="21"/>
      <c r="FTF81" s="20"/>
      <c r="FTG81" s="20"/>
      <c r="FTH81" s="20"/>
      <c r="FTI81" s="20"/>
      <c r="FTJ81" s="21"/>
      <c r="FTK81" s="21"/>
      <c r="FTL81" s="7"/>
      <c r="FTM81" s="7"/>
      <c r="FTN81" s="21"/>
      <c r="FTO81" s="20"/>
      <c r="FTP81" s="20"/>
      <c r="FTQ81" s="20"/>
      <c r="FTR81" s="21"/>
      <c r="FTS81" s="21"/>
      <c r="FTT81" s="21"/>
      <c r="FTU81" s="21"/>
      <c r="FTV81" s="21"/>
      <c r="FTW81" s="20"/>
      <c r="FTX81" s="20"/>
      <c r="FTY81" s="20"/>
      <c r="FTZ81" s="20"/>
      <c r="FUA81" s="21"/>
      <c r="FUB81" s="21"/>
      <c r="FUC81" s="7"/>
      <c r="FUD81" s="7"/>
      <c r="FUE81" s="21"/>
      <c r="FUF81" s="20"/>
      <c r="FUG81" s="20"/>
      <c r="FUH81" s="20"/>
      <c r="FUI81" s="21"/>
      <c r="FUJ81" s="21"/>
      <c r="FUK81" s="21"/>
      <c r="FUL81" s="21"/>
      <c r="FUM81" s="21"/>
      <c r="FUN81" s="20"/>
      <c r="FUO81" s="20"/>
      <c r="FUP81" s="20"/>
      <c r="FUQ81" s="20"/>
      <c r="FUR81" s="21"/>
      <c r="FUS81" s="21"/>
      <c r="FUT81" s="7"/>
      <c r="FUU81" s="7"/>
      <c r="FUV81" s="21"/>
      <c r="FUW81" s="20"/>
      <c r="FUX81" s="20"/>
      <c r="FUY81" s="20"/>
      <c r="FUZ81" s="21"/>
      <c r="FVA81" s="21"/>
      <c r="FVB81" s="21"/>
      <c r="FVC81" s="21"/>
      <c r="FVD81" s="21"/>
      <c r="FVE81" s="20"/>
      <c r="FVF81" s="20"/>
      <c r="FVG81" s="20"/>
      <c r="FVH81" s="20"/>
      <c r="FVI81" s="21"/>
      <c r="FVJ81" s="21"/>
      <c r="FVK81" s="7"/>
      <c r="FVL81" s="7"/>
      <c r="FVM81" s="21"/>
      <c r="FVN81" s="20"/>
      <c r="FVO81" s="20"/>
      <c r="FVP81" s="20"/>
      <c r="FVQ81" s="21"/>
      <c r="FVR81" s="21"/>
      <c r="FVS81" s="21"/>
      <c r="FVT81" s="21"/>
      <c r="FVU81" s="21"/>
      <c r="FVV81" s="20"/>
      <c r="FVW81" s="20"/>
      <c r="FVX81" s="20"/>
      <c r="FVY81" s="20"/>
      <c r="FVZ81" s="21"/>
      <c r="FWA81" s="21"/>
      <c r="FWB81" s="7"/>
      <c r="FWC81" s="7"/>
      <c r="FWD81" s="21"/>
      <c r="FWE81" s="20"/>
      <c r="FWF81" s="20"/>
      <c r="FWG81" s="20"/>
      <c r="FWH81" s="21"/>
      <c r="FWI81" s="21"/>
      <c r="FWJ81" s="21"/>
      <c r="FWK81" s="21"/>
      <c r="FWL81" s="21"/>
      <c r="FWM81" s="20"/>
      <c r="FWN81" s="20"/>
      <c r="FWO81" s="20"/>
      <c r="FWP81" s="20"/>
      <c r="FWQ81" s="21"/>
      <c r="FWR81" s="21"/>
      <c r="FWS81" s="7"/>
      <c r="FWT81" s="7"/>
      <c r="FWU81" s="21"/>
      <c r="FWV81" s="20"/>
      <c r="FWW81" s="20"/>
      <c r="FWX81" s="20"/>
      <c r="FWY81" s="21"/>
      <c r="FWZ81" s="21"/>
      <c r="FXA81" s="21"/>
      <c r="FXB81" s="21"/>
      <c r="FXC81" s="21"/>
      <c r="FXD81" s="20"/>
      <c r="FXE81" s="20"/>
      <c r="FXF81" s="20"/>
      <c r="FXG81" s="20"/>
      <c r="FXH81" s="21"/>
      <c r="FXI81" s="21"/>
      <c r="FXJ81" s="7"/>
      <c r="FXK81" s="7"/>
      <c r="FXL81" s="21"/>
      <c r="FXM81" s="20"/>
      <c r="FXN81" s="20"/>
      <c r="FXO81" s="20"/>
      <c r="FXP81" s="21"/>
      <c r="FXQ81" s="21"/>
      <c r="FXR81" s="21"/>
      <c r="FXS81" s="21"/>
      <c r="FXT81" s="21"/>
      <c r="FXU81" s="20"/>
      <c r="FXV81" s="20"/>
      <c r="FXW81" s="20"/>
      <c r="FXX81" s="20"/>
      <c r="FXY81" s="21"/>
      <c r="FXZ81" s="21"/>
      <c r="FYA81" s="7"/>
      <c r="FYB81" s="7"/>
      <c r="FYC81" s="21"/>
      <c r="FYD81" s="20"/>
      <c r="FYE81" s="20"/>
      <c r="FYF81" s="20"/>
      <c r="FYG81" s="21"/>
      <c r="FYH81" s="21"/>
      <c r="FYI81" s="21"/>
      <c r="FYJ81" s="21"/>
      <c r="FYK81" s="21"/>
      <c r="FYL81" s="20"/>
      <c r="FYM81" s="20"/>
      <c r="FYN81" s="20"/>
      <c r="FYO81" s="20"/>
      <c r="FYP81" s="21"/>
      <c r="FYQ81" s="21"/>
      <c r="FYR81" s="7"/>
      <c r="FYS81" s="7"/>
      <c r="FYT81" s="21"/>
      <c r="FYU81" s="20"/>
      <c r="FYV81" s="20"/>
      <c r="FYW81" s="20"/>
      <c r="FYX81" s="21"/>
      <c r="FYY81" s="21"/>
      <c r="FYZ81" s="21"/>
      <c r="FZA81" s="21"/>
      <c r="FZB81" s="21"/>
      <c r="FZC81" s="20"/>
      <c r="FZD81" s="20"/>
      <c r="FZE81" s="20"/>
      <c r="FZF81" s="20"/>
      <c r="FZG81" s="21"/>
      <c r="FZH81" s="21"/>
      <c r="FZI81" s="7"/>
      <c r="FZJ81" s="7"/>
      <c r="FZK81" s="21"/>
      <c r="FZL81" s="20"/>
      <c r="FZM81" s="20"/>
      <c r="FZN81" s="20"/>
      <c r="FZO81" s="21"/>
      <c r="FZP81" s="21"/>
      <c r="FZQ81" s="21"/>
      <c r="FZR81" s="21"/>
      <c r="FZS81" s="21"/>
      <c r="FZT81" s="20"/>
      <c r="FZU81" s="20"/>
      <c r="FZV81" s="20"/>
      <c r="FZW81" s="20"/>
      <c r="FZX81" s="21"/>
      <c r="FZY81" s="21"/>
      <c r="FZZ81" s="7"/>
      <c r="GAA81" s="7"/>
      <c r="GAB81" s="21"/>
      <c r="GAC81" s="20"/>
      <c r="GAD81" s="20"/>
      <c r="GAE81" s="20"/>
      <c r="GAF81" s="21"/>
      <c r="GAG81" s="21"/>
      <c r="GAH81" s="21"/>
      <c r="GAI81" s="21"/>
      <c r="GAJ81" s="21"/>
      <c r="GAK81" s="20"/>
      <c r="GAL81" s="20"/>
      <c r="GAM81" s="20"/>
      <c r="GAN81" s="20"/>
      <c r="GAO81" s="21"/>
      <c r="GAP81" s="21"/>
      <c r="GAQ81" s="7"/>
      <c r="GAR81" s="7"/>
      <c r="GAS81" s="21"/>
      <c r="GAT81" s="20"/>
      <c r="GAU81" s="20"/>
      <c r="GAV81" s="20"/>
      <c r="GAW81" s="21"/>
      <c r="GAX81" s="21"/>
      <c r="GAY81" s="21"/>
      <c r="GAZ81" s="21"/>
      <c r="GBA81" s="21"/>
      <c r="GBB81" s="20"/>
      <c r="GBC81" s="20"/>
      <c r="GBD81" s="20"/>
      <c r="GBE81" s="20"/>
      <c r="GBF81" s="21"/>
      <c r="GBG81" s="21"/>
      <c r="GBH81" s="7"/>
      <c r="GBI81" s="7"/>
      <c r="GBJ81" s="21"/>
      <c r="GBK81" s="20"/>
      <c r="GBL81" s="20"/>
      <c r="GBM81" s="20"/>
      <c r="GBN81" s="21"/>
      <c r="GBO81" s="21"/>
      <c r="GBP81" s="21"/>
      <c r="GBQ81" s="21"/>
      <c r="GBR81" s="21"/>
      <c r="GBS81" s="20"/>
      <c r="GBT81" s="20"/>
      <c r="GBU81" s="20"/>
      <c r="GBV81" s="20"/>
      <c r="GBW81" s="21"/>
      <c r="GBX81" s="21"/>
      <c r="GBY81" s="7"/>
      <c r="GBZ81" s="7"/>
      <c r="GCA81" s="21"/>
      <c r="GCB81" s="20"/>
      <c r="GCC81" s="20"/>
      <c r="GCD81" s="20"/>
      <c r="GCE81" s="21"/>
      <c r="GCF81" s="21"/>
      <c r="GCG81" s="21"/>
      <c r="GCH81" s="21"/>
      <c r="GCI81" s="21"/>
      <c r="GCJ81" s="20"/>
      <c r="GCK81" s="20"/>
      <c r="GCL81" s="20"/>
      <c r="GCM81" s="20"/>
      <c r="GCN81" s="21"/>
      <c r="GCO81" s="21"/>
      <c r="GCP81" s="7"/>
      <c r="GCQ81" s="7"/>
      <c r="GCR81" s="21"/>
      <c r="GCS81" s="20"/>
      <c r="GCT81" s="20"/>
      <c r="GCU81" s="20"/>
      <c r="GCV81" s="21"/>
      <c r="GCW81" s="21"/>
      <c r="GCX81" s="21"/>
      <c r="GCY81" s="21"/>
      <c r="GCZ81" s="21"/>
      <c r="GDA81" s="20"/>
      <c r="GDB81" s="20"/>
      <c r="GDC81" s="20"/>
      <c r="GDD81" s="20"/>
      <c r="GDE81" s="21"/>
      <c r="GDF81" s="21"/>
      <c r="GDG81" s="7"/>
      <c r="GDH81" s="7"/>
      <c r="GDI81" s="21"/>
      <c r="GDJ81" s="20"/>
      <c r="GDK81" s="20"/>
      <c r="GDL81" s="20"/>
      <c r="GDM81" s="21"/>
      <c r="GDN81" s="21"/>
      <c r="GDO81" s="21"/>
      <c r="GDP81" s="21"/>
      <c r="GDQ81" s="21"/>
      <c r="GDR81" s="20"/>
      <c r="GDS81" s="20"/>
      <c r="GDT81" s="20"/>
      <c r="GDU81" s="20"/>
      <c r="GDV81" s="21"/>
      <c r="GDW81" s="21"/>
      <c r="GDX81" s="7"/>
      <c r="GDY81" s="7"/>
      <c r="GDZ81" s="21"/>
      <c r="GEA81" s="20"/>
      <c r="GEB81" s="20"/>
      <c r="GEC81" s="20"/>
      <c r="GED81" s="21"/>
      <c r="GEE81" s="21"/>
      <c r="GEF81" s="21"/>
      <c r="GEG81" s="21"/>
      <c r="GEH81" s="21"/>
      <c r="GEI81" s="20"/>
      <c r="GEJ81" s="20"/>
      <c r="GEK81" s="20"/>
      <c r="GEL81" s="20"/>
      <c r="GEM81" s="21"/>
      <c r="GEN81" s="21"/>
      <c r="GEO81" s="7"/>
      <c r="GEP81" s="7"/>
      <c r="GEQ81" s="21"/>
      <c r="GER81" s="20"/>
      <c r="GES81" s="20"/>
      <c r="GET81" s="20"/>
      <c r="GEU81" s="21"/>
      <c r="GEV81" s="21"/>
      <c r="GEW81" s="21"/>
      <c r="GEX81" s="21"/>
      <c r="GEY81" s="21"/>
      <c r="GEZ81" s="20"/>
      <c r="GFA81" s="20"/>
      <c r="GFB81" s="20"/>
      <c r="GFC81" s="20"/>
      <c r="GFD81" s="21"/>
      <c r="GFE81" s="21"/>
      <c r="GFF81" s="7"/>
      <c r="GFG81" s="7"/>
      <c r="GFH81" s="21"/>
      <c r="GFI81" s="20"/>
      <c r="GFJ81" s="20"/>
      <c r="GFK81" s="20"/>
      <c r="GFL81" s="21"/>
      <c r="GFM81" s="21"/>
      <c r="GFN81" s="21"/>
      <c r="GFO81" s="21"/>
      <c r="GFP81" s="21"/>
      <c r="GFQ81" s="20"/>
      <c r="GFR81" s="20"/>
      <c r="GFS81" s="20"/>
      <c r="GFT81" s="20"/>
      <c r="GFU81" s="21"/>
      <c r="GFV81" s="21"/>
      <c r="GFW81" s="7"/>
      <c r="GFX81" s="7"/>
      <c r="GFY81" s="21"/>
      <c r="GFZ81" s="20"/>
      <c r="GGA81" s="20"/>
      <c r="GGB81" s="20"/>
      <c r="GGC81" s="21"/>
      <c r="GGD81" s="21"/>
      <c r="GGE81" s="21"/>
      <c r="GGF81" s="21"/>
      <c r="GGG81" s="21"/>
      <c r="GGH81" s="20"/>
      <c r="GGI81" s="20"/>
      <c r="GGJ81" s="20"/>
      <c r="GGK81" s="20"/>
      <c r="GGL81" s="21"/>
      <c r="GGM81" s="21"/>
      <c r="GGN81" s="7"/>
      <c r="GGO81" s="7"/>
      <c r="GGP81" s="21"/>
      <c r="GGQ81" s="20"/>
      <c r="GGR81" s="20"/>
      <c r="GGS81" s="20"/>
      <c r="GGT81" s="21"/>
      <c r="GGU81" s="21"/>
      <c r="GGV81" s="21"/>
      <c r="GGW81" s="21"/>
      <c r="GGX81" s="21"/>
      <c r="GGY81" s="20"/>
      <c r="GGZ81" s="20"/>
      <c r="GHA81" s="20"/>
      <c r="GHB81" s="20"/>
      <c r="GHC81" s="21"/>
      <c r="GHD81" s="21"/>
      <c r="GHE81" s="7"/>
      <c r="GHF81" s="7"/>
      <c r="GHG81" s="21"/>
      <c r="GHH81" s="20"/>
      <c r="GHI81" s="20"/>
      <c r="GHJ81" s="20"/>
      <c r="GHK81" s="21"/>
      <c r="GHL81" s="21"/>
      <c r="GHM81" s="21"/>
      <c r="GHN81" s="21"/>
      <c r="GHO81" s="21"/>
      <c r="GHP81" s="20"/>
      <c r="GHQ81" s="20"/>
      <c r="GHR81" s="20"/>
      <c r="GHS81" s="20"/>
      <c r="GHT81" s="21"/>
      <c r="GHU81" s="21"/>
      <c r="GHV81" s="7"/>
      <c r="GHW81" s="7"/>
      <c r="GHX81" s="21"/>
      <c r="GHY81" s="20"/>
      <c r="GHZ81" s="20"/>
      <c r="GIA81" s="20"/>
      <c r="GIB81" s="21"/>
      <c r="GIC81" s="21"/>
      <c r="GID81" s="21"/>
      <c r="GIE81" s="21"/>
      <c r="GIF81" s="21"/>
      <c r="GIG81" s="20"/>
      <c r="GIH81" s="20"/>
      <c r="GII81" s="20"/>
      <c r="GIJ81" s="20"/>
      <c r="GIK81" s="21"/>
      <c r="GIL81" s="21"/>
      <c r="GIM81" s="7"/>
      <c r="GIN81" s="7"/>
      <c r="GIO81" s="21"/>
      <c r="GIP81" s="20"/>
      <c r="GIQ81" s="20"/>
      <c r="GIR81" s="20"/>
      <c r="GIS81" s="21"/>
      <c r="GIT81" s="21"/>
      <c r="GIU81" s="21"/>
      <c r="GIV81" s="21"/>
      <c r="GIW81" s="21"/>
      <c r="GIX81" s="20"/>
      <c r="GIY81" s="20"/>
      <c r="GIZ81" s="20"/>
      <c r="GJA81" s="20"/>
      <c r="GJB81" s="21"/>
      <c r="GJC81" s="21"/>
      <c r="GJD81" s="7"/>
      <c r="GJE81" s="7"/>
      <c r="GJF81" s="21"/>
      <c r="GJG81" s="20"/>
      <c r="GJH81" s="20"/>
      <c r="GJI81" s="20"/>
      <c r="GJJ81" s="21"/>
      <c r="GJK81" s="21"/>
      <c r="GJL81" s="21"/>
      <c r="GJM81" s="21"/>
      <c r="GJN81" s="21"/>
      <c r="GJO81" s="20"/>
      <c r="GJP81" s="20"/>
      <c r="GJQ81" s="20"/>
      <c r="GJR81" s="20"/>
      <c r="GJS81" s="21"/>
      <c r="GJT81" s="21"/>
      <c r="GJU81" s="7"/>
      <c r="GJV81" s="7"/>
      <c r="GJW81" s="21"/>
      <c r="GJX81" s="20"/>
      <c r="GJY81" s="20"/>
      <c r="GJZ81" s="20"/>
      <c r="GKA81" s="21"/>
      <c r="GKB81" s="21"/>
      <c r="GKC81" s="21"/>
      <c r="GKD81" s="21"/>
      <c r="GKE81" s="21"/>
      <c r="GKF81" s="20"/>
      <c r="GKG81" s="20"/>
      <c r="GKH81" s="20"/>
      <c r="GKI81" s="20"/>
      <c r="GKJ81" s="21"/>
      <c r="GKK81" s="21"/>
      <c r="GKL81" s="7"/>
      <c r="GKM81" s="7"/>
      <c r="GKN81" s="21"/>
      <c r="GKO81" s="20"/>
      <c r="GKP81" s="20"/>
      <c r="GKQ81" s="20"/>
      <c r="GKR81" s="21"/>
      <c r="GKS81" s="21"/>
      <c r="GKT81" s="21"/>
      <c r="GKU81" s="21"/>
      <c r="GKV81" s="21"/>
      <c r="GKW81" s="20"/>
      <c r="GKX81" s="20"/>
      <c r="GKY81" s="20"/>
      <c r="GKZ81" s="20"/>
      <c r="GLA81" s="21"/>
      <c r="GLB81" s="21"/>
      <c r="GLC81" s="7"/>
      <c r="GLD81" s="7"/>
      <c r="GLE81" s="21"/>
      <c r="GLF81" s="20"/>
      <c r="GLG81" s="20"/>
      <c r="GLH81" s="20"/>
      <c r="GLI81" s="21"/>
      <c r="GLJ81" s="21"/>
      <c r="GLK81" s="21"/>
      <c r="GLL81" s="21"/>
      <c r="GLM81" s="21"/>
      <c r="GLN81" s="20"/>
      <c r="GLO81" s="20"/>
      <c r="GLP81" s="20"/>
      <c r="GLQ81" s="20"/>
      <c r="GLR81" s="21"/>
      <c r="GLS81" s="21"/>
      <c r="GLT81" s="7"/>
      <c r="GLU81" s="7"/>
      <c r="GLV81" s="21"/>
      <c r="GLW81" s="20"/>
      <c r="GLX81" s="20"/>
      <c r="GLY81" s="20"/>
      <c r="GLZ81" s="21"/>
      <c r="GMA81" s="21"/>
      <c r="GMB81" s="21"/>
      <c r="GMC81" s="21"/>
      <c r="GMD81" s="21"/>
      <c r="GME81" s="20"/>
      <c r="GMF81" s="20"/>
      <c r="GMG81" s="20"/>
      <c r="GMH81" s="20"/>
      <c r="GMI81" s="21"/>
      <c r="GMJ81" s="21"/>
      <c r="GMK81" s="7"/>
      <c r="GML81" s="7"/>
      <c r="GMM81" s="21"/>
      <c r="GMN81" s="20"/>
      <c r="GMO81" s="20"/>
      <c r="GMP81" s="20"/>
      <c r="GMQ81" s="21"/>
      <c r="GMR81" s="21"/>
      <c r="GMS81" s="21"/>
      <c r="GMT81" s="21"/>
      <c r="GMU81" s="21"/>
      <c r="GMV81" s="20"/>
      <c r="GMW81" s="20"/>
      <c r="GMX81" s="20"/>
      <c r="GMY81" s="20"/>
      <c r="GMZ81" s="21"/>
      <c r="GNA81" s="21"/>
      <c r="GNB81" s="7"/>
      <c r="GNC81" s="7"/>
      <c r="GND81" s="21"/>
      <c r="GNE81" s="20"/>
      <c r="GNF81" s="20"/>
      <c r="GNG81" s="20"/>
      <c r="GNH81" s="21"/>
      <c r="GNI81" s="21"/>
      <c r="GNJ81" s="21"/>
      <c r="GNK81" s="21"/>
      <c r="GNL81" s="21"/>
      <c r="GNM81" s="20"/>
      <c r="GNN81" s="20"/>
      <c r="GNO81" s="20"/>
      <c r="GNP81" s="20"/>
      <c r="GNQ81" s="21"/>
      <c r="GNR81" s="21"/>
      <c r="GNS81" s="7"/>
      <c r="GNT81" s="7"/>
      <c r="GNU81" s="21"/>
      <c r="GNV81" s="20"/>
      <c r="GNW81" s="20"/>
      <c r="GNX81" s="20"/>
      <c r="GNY81" s="21"/>
      <c r="GNZ81" s="21"/>
      <c r="GOA81" s="21"/>
      <c r="GOB81" s="21"/>
      <c r="GOC81" s="21"/>
      <c r="GOD81" s="20"/>
      <c r="GOE81" s="20"/>
      <c r="GOF81" s="20"/>
      <c r="GOG81" s="20"/>
      <c r="GOH81" s="21"/>
      <c r="GOI81" s="21"/>
      <c r="GOJ81" s="7"/>
      <c r="GOK81" s="7"/>
      <c r="GOL81" s="21"/>
      <c r="GOM81" s="20"/>
      <c r="GON81" s="20"/>
      <c r="GOO81" s="20"/>
      <c r="GOP81" s="21"/>
      <c r="GOQ81" s="21"/>
      <c r="GOR81" s="21"/>
      <c r="GOS81" s="21"/>
      <c r="GOT81" s="21"/>
      <c r="GOU81" s="20"/>
      <c r="GOV81" s="20"/>
      <c r="GOW81" s="20"/>
      <c r="GOX81" s="20"/>
      <c r="GOY81" s="21"/>
      <c r="GOZ81" s="21"/>
      <c r="GPA81" s="7"/>
      <c r="GPB81" s="7"/>
      <c r="GPC81" s="21"/>
      <c r="GPD81" s="20"/>
      <c r="GPE81" s="20"/>
      <c r="GPF81" s="20"/>
      <c r="GPG81" s="21"/>
      <c r="GPH81" s="21"/>
      <c r="GPI81" s="21"/>
      <c r="GPJ81" s="21"/>
      <c r="GPK81" s="21"/>
      <c r="GPL81" s="20"/>
      <c r="GPM81" s="20"/>
      <c r="GPN81" s="20"/>
      <c r="GPO81" s="20"/>
      <c r="GPP81" s="21"/>
      <c r="GPQ81" s="21"/>
      <c r="GPR81" s="7"/>
      <c r="GPS81" s="7"/>
      <c r="GPT81" s="21"/>
      <c r="GPU81" s="20"/>
      <c r="GPV81" s="20"/>
      <c r="GPW81" s="20"/>
      <c r="GPX81" s="21"/>
      <c r="GPY81" s="21"/>
      <c r="GPZ81" s="21"/>
      <c r="GQA81" s="21"/>
      <c r="GQB81" s="21"/>
      <c r="GQC81" s="20"/>
      <c r="GQD81" s="20"/>
      <c r="GQE81" s="20"/>
      <c r="GQF81" s="20"/>
      <c r="GQG81" s="21"/>
      <c r="GQH81" s="21"/>
      <c r="GQI81" s="7"/>
      <c r="GQJ81" s="7"/>
      <c r="GQK81" s="21"/>
      <c r="GQL81" s="20"/>
      <c r="GQM81" s="20"/>
      <c r="GQN81" s="20"/>
      <c r="GQO81" s="21"/>
      <c r="GQP81" s="21"/>
      <c r="GQQ81" s="21"/>
      <c r="GQR81" s="21"/>
      <c r="GQS81" s="21"/>
      <c r="GQT81" s="20"/>
      <c r="GQU81" s="20"/>
      <c r="GQV81" s="20"/>
      <c r="GQW81" s="20"/>
      <c r="GQX81" s="21"/>
      <c r="GQY81" s="21"/>
      <c r="GQZ81" s="7"/>
      <c r="GRA81" s="7"/>
      <c r="GRB81" s="21"/>
      <c r="GRC81" s="20"/>
      <c r="GRD81" s="20"/>
      <c r="GRE81" s="20"/>
      <c r="GRF81" s="21"/>
      <c r="GRG81" s="21"/>
      <c r="GRH81" s="21"/>
      <c r="GRI81" s="21"/>
      <c r="GRJ81" s="21"/>
      <c r="GRK81" s="20"/>
      <c r="GRL81" s="20"/>
      <c r="GRM81" s="20"/>
      <c r="GRN81" s="20"/>
      <c r="GRO81" s="21"/>
      <c r="GRP81" s="21"/>
      <c r="GRQ81" s="7"/>
      <c r="GRR81" s="7"/>
      <c r="GRS81" s="21"/>
      <c r="GRT81" s="20"/>
      <c r="GRU81" s="20"/>
      <c r="GRV81" s="20"/>
      <c r="GRW81" s="21"/>
      <c r="GRX81" s="21"/>
      <c r="GRY81" s="21"/>
      <c r="GRZ81" s="21"/>
      <c r="GSA81" s="21"/>
      <c r="GSB81" s="20"/>
      <c r="GSC81" s="20"/>
      <c r="GSD81" s="20"/>
      <c r="GSE81" s="20"/>
      <c r="GSF81" s="21"/>
      <c r="GSG81" s="21"/>
      <c r="GSH81" s="7"/>
      <c r="GSI81" s="7"/>
      <c r="GSJ81" s="21"/>
      <c r="GSK81" s="20"/>
      <c r="GSL81" s="20"/>
      <c r="GSM81" s="20"/>
      <c r="GSN81" s="21"/>
      <c r="GSO81" s="21"/>
      <c r="GSP81" s="21"/>
      <c r="GSQ81" s="21"/>
      <c r="GSR81" s="21"/>
      <c r="GSS81" s="20"/>
      <c r="GST81" s="20"/>
      <c r="GSU81" s="20"/>
      <c r="GSV81" s="20"/>
      <c r="GSW81" s="21"/>
      <c r="GSX81" s="21"/>
      <c r="GSY81" s="7"/>
      <c r="GSZ81" s="7"/>
      <c r="GTA81" s="21"/>
      <c r="GTB81" s="20"/>
      <c r="GTC81" s="20"/>
      <c r="GTD81" s="20"/>
      <c r="GTE81" s="21"/>
      <c r="GTF81" s="21"/>
      <c r="GTG81" s="21"/>
      <c r="GTH81" s="21"/>
      <c r="GTI81" s="21"/>
      <c r="GTJ81" s="20"/>
      <c r="GTK81" s="20"/>
      <c r="GTL81" s="20"/>
      <c r="GTM81" s="20"/>
      <c r="GTN81" s="21"/>
      <c r="GTO81" s="21"/>
      <c r="GTP81" s="7"/>
      <c r="GTQ81" s="7"/>
      <c r="GTR81" s="21"/>
      <c r="GTS81" s="20"/>
      <c r="GTT81" s="20"/>
      <c r="GTU81" s="20"/>
      <c r="GTV81" s="21"/>
      <c r="GTW81" s="21"/>
      <c r="GTX81" s="21"/>
      <c r="GTY81" s="21"/>
      <c r="GTZ81" s="21"/>
      <c r="GUA81" s="20"/>
      <c r="GUB81" s="20"/>
      <c r="GUC81" s="20"/>
      <c r="GUD81" s="20"/>
      <c r="GUE81" s="21"/>
      <c r="GUF81" s="21"/>
      <c r="GUG81" s="7"/>
      <c r="GUH81" s="7"/>
      <c r="GUI81" s="21"/>
      <c r="GUJ81" s="20"/>
      <c r="GUK81" s="20"/>
      <c r="GUL81" s="20"/>
      <c r="GUM81" s="21"/>
      <c r="GUN81" s="21"/>
      <c r="GUO81" s="21"/>
      <c r="GUP81" s="21"/>
      <c r="GUQ81" s="21"/>
      <c r="GUR81" s="20"/>
      <c r="GUS81" s="20"/>
      <c r="GUT81" s="20"/>
      <c r="GUU81" s="20"/>
      <c r="GUV81" s="21"/>
      <c r="GUW81" s="21"/>
      <c r="GUX81" s="7"/>
      <c r="GUY81" s="7"/>
      <c r="GUZ81" s="21"/>
      <c r="GVA81" s="20"/>
      <c r="GVB81" s="20"/>
      <c r="GVC81" s="20"/>
      <c r="GVD81" s="21"/>
      <c r="GVE81" s="21"/>
      <c r="GVF81" s="21"/>
      <c r="GVG81" s="21"/>
      <c r="GVH81" s="21"/>
      <c r="GVI81" s="20"/>
      <c r="GVJ81" s="20"/>
      <c r="GVK81" s="20"/>
      <c r="GVL81" s="20"/>
      <c r="GVM81" s="21"/>
      <c r="GVN81" s="21"/>
      <c r="GVO81" s="7"/>
      <c r="GVP81" s="7"/>
      <c r="GVQ81" s="21"/>
      <c r="GVR81" s="20"/>
      <c r="GVS81" s="20"/>
      <c r="GVT81" s="20"/>
      <c r="GVU81" s="21"/>
      <c r="GVV81" s="21"/>
      <c r="GVW81" s="21"/>
      <c r="GVX81" s="21"/>
      <c r="GVY81" s="21"/>
      <c r="GVZ81" s="20"/>
      <c r="GWA81" s="20"/>
      <c r="GWB81" s="20"/>
      <c r="GWC81" s="20"/>
      <c r="GWD81" s="21"/>
      <c r="GWE81" s="21"/>
      <c r="GWF81" s="7"/>
      <c r="GWG81" s="7"/>
      <c r="GWH81" s="21"/>
      <c r="GWI81" s="20"/>
      <c r="GWJ81" s="20"/>
      <c r="GWK81" s="20"/>
      <c r="GWL81" s="21"/>
      <c r="GWM81" s="21"/>
      <c r="GWN81" s="21"/>
      <c r="GWO81" s="21"/>
      <c r="GWP81" s="21"/>
      <c r="GWQ81" s="20"/>
      <c r="GWR81" s="20"/>
      <c r="GWS81" s="20"/>
      <c r="GWT81" s="20"/>
      <c r="GWU81" s="21"/>
      <c r="GWV81" s="21"/>
      <c r="GWW81" s="7"/>
      <c r="GWX81" s="7"/>
      <c r="GWY81" s="21"/>
      <c r="GWZ81" s="20"/>
      <c r="GXA81" s="20"/>
      <c r="GXB81" s="20"/>
      <c r="GXC81" s="21"/>
      <c r="GXD81" s="21"/>
      <c r="GXE81" s="21"/>
      <c r="GXF81" s="21"/>
      <c r="GXG81" s="21"/>
      <c r="GXH81" s="20"/>
      <c r="GXI81" s="20"/>
      <c r="GXJ81" s="20"/>
      <c r="GXK81" s="20"/>
      <c r="GXL81" s="21"/>
      <c r="GXM81" s="21"/>
      <c r="GXN81" s="7"/>
      <c r="GXO81" s="7"/>
      <c r="GXP81" s="21"/>
      <c r="GXQ81" s="20"/>
      <c r="GXR81" s="20"/>
      <c r="GXS81" s="20"/>
      <c r="GXT81" s="21"/>
      <c r="GXU81" s="21"/>
      <c r="GXV81" s="21"/>
      <c r="GXW81" s="21"/>
      <c r="GXX81" s="21"/>
      <c r="GXY81" s="20"/>
      <c r="GXZ81" s="20"/>
      <c r="GYA81" s="20"/>
      <c r="GYB81" s="20"/>
      <c r="GYC81" s="21"/>
      <c r="GYD81" s="21"/>
      <c r="GYE81" s="7"/>
      <c r="GYF81" s="7"/>
      <c r="GYG81" s="21"/>
      <c r="GYH81" s="20"/>
      <c r="GYI81" s="20"/>
      <c r="GYJ81" s="20"/>
      <c r="GYK81" s="21"/>
      <c r="GYL81" s="21"/>
      <c r="GYM81" s="21"/>
      <c r="GYN81" s="21"/>
      <c r="GYO81" s="21"/>
      <c r="GYP81" s="20"/>
      <c r="GYQ81" s="20"/>
      <c r="GYR81" s="20"/>
      <c r="GYS81" s="20"/>
      <c r="GYT81" s="21"/>
      <c r="GYU81" s="21"/>
      <c r="GYV81" s="7"/>
      <c r="GYW81" s="7"/>
      <c r="GYX81" s="21"/>
      <c r="GYY81" s="20"/>
      <c r="GYZ81" s="20"/>
      <c r="GZA81" s="20"/>
      <c r="GZB81" s="21"/>
      <c r="GZC81" s="21"/>
      <c r="GZD81" s="21"/>
      <c r="GZE81" s="21"/>
      <c r="GZF81" s="21"/>
      <c r="GZG81" s="20"/>
      <c r="GZH81" s="20"/>
      <c r="GZI81" s="20"/>
      <c r="GZJ81" s="20"/>
      <c r="GZK81" s="21"/>
      <c r="GZL81" s="21"/>
      <c r="GZM81" s="7"/>
      <c r="GZN81" s="7"/>
      <c r="GZO81" s="21"/>
      <c r="GZP81" s="20"/>
      <c r="GZQ81" s="20"/>
      <c r="GZR81" s="20"/>
      <c r="GZS81" s="21"/>
      <c r="GZT81" s="21"/>
      <c r="GZU81" s="21"/>
      <c r="GZV81" s="21"/>
      <c r="GZW81" s="21"/>
      <c r="GZX81" s="20"/>
      <c r="GZY81" s="20"/>
      <c r="GZZ81" s="20"/>
      <c r="HAA81" s="20"/>
      <c r="HAB81" s="21"/>
      <c r="HAC81" s="21"/>
      <c r="HAD81" s="7"/>
      <c r="HAE81" s="7"/>
      <c r="HAF81" s="21"/>
      <c r="HAG81" s="20"/>
      <c r="HAH81" s="20"/>
      <c r="HAI81" s="20"/>
      <c r="HAJ81" s="21"/>
      <c r="HAK81" s="21"/>
      <c r="HAL81" s="21"/>
      <c r="HAM81" s="21"/>
      <c r="HAN81" s="21"/>
      <c r="HAO81" s="20"/>
      <c r="HAP81" s="20"/>
      <c r="HAQ81" s="20"/>
      <c r="HAR81" s="20"/>
      <c r="HAS81" s="21"/>
      <c r="HAT81" s="21"/>
      <c r="HAU81" s="7"/>
      <c r="HAV81" s="7"/>
      <c r="HAW81" s="21"/>
      <c r="HAX81" s="20"/>
      <c r="HAY81" s="20"/>
      <c r="HAZ81" s="20"/>
      <c r="HBA81" s="21"/>
      <c r="HBB81" s="21"/>
      <c r="HBC81" s="21"/>
      <c r="HBD81" s="21"/>
      <c r="HBE81" s="21"/>
      <c r="HBF81" s="20"/>
      <c r="HBG81" s="20"/>
      <c r="HBH81" s="20"/>
      <c r="HBI81" s="20"/>
      <c r="HBJ81" s="21"/>
      <c r="HBK81" s="21"/>
      <c r="HBL81" s="7"/>
      <c r="HBM81" s="7"/>
      <c r="HBN81" s="21"/>
      <c r="HBO81" s="20"/>
      <c r="HBP81" s="20"/>
      <c r="HBQ81" s="20"/>
      <c r="HBR81" s="21"/>
      <c r="HBS81" s="21"/>
      <c r="HBT81" s="21"/>
      <c r="HBU81" s="21"/>
      <c r="HBV81" s="21"/>
      <c r="HBW81" s="20"/>
      <c r="HBX81" s="20"/>
      <c r="HBY81" s="20"/>
      <c r="HBZ81" s="20"/>
      <c r="HCA81" s="21"/>
      <c r="HCB81" s="21"/>
      <c r="HCC81" s="7"/>
      <c r="HCD81" s="7"/>
      <c r="HCE81" s="21"/>
      <c r="HCF81" s="20"/>
      <c r="HCG81" s="20"/>
      <c r="HCH81" s="20"/>
      <c r="HCI81" s="21"/>
      <c r="HCJ81" s="21"/>
      <c r="HCK81" s="21"/>
      <c r="HCL81" s="21"/>
      <c r="HCM81" s="21"/>
      <c r="HCN81" s="20"/>
      <c r="HCO81" s="20"/>
      <c r="HCP81" s="20"/>
      <c r="HCQ81" s="20"/>
      <c r="HCR81" s="21"/>
      <c r="HCS81" s="21"/>
      <c r="HCT81" s="7"/>
      <c r="HCU81" s="7"/>
      <c r="HCV81" s="21"/>
      <c r="HCW81" s="20"/>
      <c r="HCX81" s="20"/>
      <c r="HCY81" s="20"/>
      <c r="HCZ81" s="21"/>
      <c r="HDA81" s="21"/>
      <c r="HDB81" s="21"/>
      <c r="HDC81" s="21"/>
      <c r="HDD81" s="21"/>
      <c r="HDE81" s="20"/>
      <c r="HDF81" s="20"/>
      <c r="HDG81" s="20"/>
      <c r="HDH81" s="20"/>
      <c r="HDI81" s="21"/>
      <c r="HDJ81" s="21"/>
      <c r="HDK81" s="7"/>
      <c r="HDL81" s="7"/>
      <c r="HDM81" s="21"/>
      <c r="HDN81" s="20"/>
      <c r="HDO81" s="20"/>
      <c r="HDP81" s="20"/>
      <c r="HDQ81" s="21"/>
      <c r="HDR81" s="21"/>
      <c r="HDS81" s="21"/>
      <c r="HDT81" s="21"/>
      <c r="HDU81" s="21"/>
      <c r="HDV81" s="20"/>
      <c r="HDW81" s="20"/>
      <c r="HDX81" s="20"/>
      <c r="HDY81" s="20"/>
      <c r="HDZ81" s="21"/>
      <c r="HEA81" s="21"/>
      <c r="HEB81" s="7"/>
      <c r="HEC81" s="7"/>
      <c r="HED81" s="21"/>
      <c r="HEE81" s="20"/>
      <c r="HEF81" s="20"/>
      <c r="HEG81" s="20"/>
      <c r="HEH81" s="21"/>
      <c r="HEI81" s="21"/>
      <c r="HEJ81" s="21"/>
      <c r="HEK81" s="21"/>
      <c r="HEL81" s="21"/>
      <c r="HEM81" s="20"/>
      <c r="HEN81" s="20"/>
      <c r="HEO81" s="20"/>
      <c r="HEP81" s="20"/>
      <c r="HEQ81" s="21"/>
      <c r="HER81" s="21"/>
      <c r="HES81" s="7"/>
      <c r="HET81" s="7"/>
      <c r="HEU81" s="21"/>
      <c r="HEV81" s="20"/>
      <c r="HEW81" s="20"/>
      <c r="HEX81" s="20"/>
      <c r="HEY81" s="21"/>
      <c r="HEZ81" s="21"/>
      <c r="HFA81" s="21"/>
      <c r="HFB81" s="21"/>
      <c r="HFC81" s="21"/>
      <c r="HFD81" s="20"/>
      <c r="HFE81" s="20"/>
      <c r="HFF81" s="20"/>
      <c r="HFG81" s="20"/>
      <c r="HFH81" s="21"/>
      <c r="HFI81" s="21"/>
      <c r="HFJ81" s="7"/>
      <c r="HFK81" s="7"/>
      <c r="HFL81" s="21"/>
      <c r="HFM81" s="20"/>
      <c r="HFN81" s="20"/>
      <c r="HFO81" s="20"/>
      <c r="HFP81" s="21"/>
      <c r="HFQ81" s="21"/>
      <c r="HFR81" s="21"/>
      <c r="HFS81" s="21"/>
      <c r="HFT81" s="21"/>
      <c r="HFU81" s="20"/>
      <c r="HFV81" s="20"/>
      <c r="HFW81" s="20"/>
      <c r="HFX81" s="20"/>
      <c r="HFY81" s="21"/>
      <c r="HFZ81" s="21"/>
      <c r="HGA81" s="7"/>
      <c r="HGB81" s="7"/>
      <c r="HGC81" s="21"/>
      <c r="HGD81" s="20"/>
      <c r="HGE81" s="20"/>
      <c r="HGF81" s="20"/>
      <c r="HGG81" s="21"/>
      <c r="HGH81" s="21"/>
      <c r="HGI81" s="21"/>
      <c r="HGJ81" s="21"/>
      <c r="HGK81" s="21"/>
      <c r="HGL81" s="20"/>
      <c r="HGM81" s="20"/>
      <c r="HGN81" s="20"/>
      <c r="HGO81" s="20"/>
      <c r="HGP81" s="21"/>
      <c r="HGQ81" s="21"/>
      <c r="HGR81" s="7"/>
      <c r="HGS81" s="7"/>
      <c r="HGT81" s="21"/>
      <c r="HGU81" s="20"/>
      <c r="HGV81" s="20"/>
      <c r="HGW81" s="20"/>
      <c r="HGX81" s="21"/>
      <c r="HGY81" s="21"/>
      <c r="HGZ81" s="21"/>
      <c r="HHA81" s="21"/>
      <c r="HHB81" s="21"/>
      <c r="HHC81" s="20"/>
      <c r="HHD81" s="20"/>
      <c r="HHE81" s="20"/>
      <c r="HHF81" s="20"/>
      <c r="HHG81" s="21"/>
      <c r="HHH81" s="21"/>
      <c r="HHI81" s="7"/>
      <c r="HHJ81" s="7"/>
      <c r="HHK81" s="21"/>
      <c r="HHL81" s="20"/>
      <c r="HHM81" s="20"/>
      <c r="HHN81" s="20"/>
      <c r="HHO81" s="21"/>
      <c r="HHP81" s="21"/>
      <c r="HHQ81" s="21"/>
      <c r="HHR81" s="21"/>
      <c r="HHS81" s="21"/>
      <c r="HHT81" s="20"/>
      <c r="HHU81" s="20"/>
      <c r="HHV81" s="20"/>
      <c r="HHW81" s="20"/>
      <c r="HHX81" s="21"/>
      <c r="HHY81" s="21"/>
      <c r="HHZ81" s="7"/>
      <c r="HIA81" s="7"/>
      <c r="HIB81" s="21"/>
      <c r="HIC81" s="20"/>
      <c r="HID81" s="20"/>
      <c r="HIE81" s="20"/>
      <c r="HIF81" s="21"/>
      <c r="HIG81" s="21"/>
      <c r="HIH81" s="21"/>
      <c r="HII81" s="21"/>
      <c r="HIJ81" s="21"/>
      <c r="HIK81" s="20"/>
      <c r="HIL81" s="20"/>
      <c r="HIM81" s="20"/>
      <c r="HIN81" s="20"/>
      <c r="HIO81" s="21"/>
      <c r="HIP81" s="21"/>
      <c r="HIQ81" s="7"/>
      <c r="HIR81" s="7"/>
      <c r="HIS81" s="21"/>
      <c r="HIT81" s="20"/>
      <c r="HIU81" s="20"/>
      <c r="HIV81" s="20"/>
      <c r="HIW81" s="21"/>
      <c r="HIX81" s="21"/>
      <c r="HIY81" s="21"/>
      <c r="HIZ81" s="21"/>
      <c r="HJA81" s="21"/>
      <c r="HJB81" s="20"/>
      <c r="HJC81" s="20"/>
      <c r="HJD81" s="20"/>
      <c r="HJE81" s="20"/>
      <c r="HJF81" s="21"/>
      <c r="HJG81" s="21"/>
      <c r="HJH81" s="7"/>
      <c r="HJI81" s="7"/>
      <c r="HJJ81" s="21"/>
      <c r="HJK81" s="20"/>
      <c r="HJL81" s="20"/>
      <c r="HJM81" s="20"/>
      <c r="HJN81" s="21"/>
      <c r="HJO81" s="21"/>
      <c r="HJP81" s="21"/>
      <c r="HJQ81" s="21"/>
      <c r="HJR81" s="21"/>
      <c r="HJS81" s="20"/>
      <c r="HJT81" s="20"/>
      <c r="HJU81" s="20"/>
      <c r="HJV81" s="20"/>
      <c r="HJW81" s="21"/>
      <c r="HJX81" s="21"/>
      <c r="HJY81" s="7"/>
      <c r="HJZ81" s="7"/>
      <c r="HKA81" s="21"/>
      <c r="HKB81" s="20"/>
      <c r="HKC81" s="20"/>
      <c r="HKD81" s="20"/>
      <c r="HKE81" s="21"/>
      <c r="HKF81" s="21"/>
      <c r="HKG81" s="21"/>
      <c r="HKH81" s="21"/>
      <c r="HKI81" s="21"/>
      <c r="HKJ81" s="20"/>
      <c r="HKK81" s="20"/>
      <c r="HKL81" s="20"/>
      <c r="HKM81" s="20"/>
      <c r="HKN81" s="21"/>
      <c r="HKO81" s="21"/>
      <c r="HKP81" s="7"/>
      <c r="HKQ81" s="7"/>
      <c r="HKR81" s="21"/>
      <c r="HKS81" s="20"/>
      <c r="HKT81" s="20"/>
      <c r="HKU81" s="20"/>
      <c r="HKV81" s="21"/>
      <c r="HKW81" s="21"/>
      <c r="HKX81" s="21"/>
      <c r="HKY81" s="21"/>
      <c r="HKZ81" s="21"/>
      <c r="HLA81" s="20"/>
      <c r="HLB81" s="20"/>
      <c r="HLC81" s="20"/>
      <c r="HLD81" s="20"/>
      <c r="HLE81" s="21"/>
      <c r="HLF81" s="21"/>
      <c r="HLG81" s="7"/>
      <c r="HLH81" s="7"/>
      <c r="HLI81" s="21"/>
      <c r="HLJ81" s="20"/>
      <c r="HLK81" s="20"/>
      <c r="HLL81" s="20"/>
      <c r="HLM81" s="21"/>
      <c r="HLN81" s="21"/>
      <c r="HLO81" s="21"/>
      <c r="HLP81" s="21"/>
      <c r="HLQ81" s="21"/>
      <c r="HLR81" s="20"/>
      <c r="HLS81" s="20"/>
      <c r="HLT81" s="20"/>
      <c r="HLU81" s="20"/>
      <c r="HLV81" s="21"/>
      <c r="HLW81" s="21"/>
      <c r="HLX81" s="7"/>
      <c r="HLY81" s="7"/>
      <c r="HLZ81" s="21"/>
      <c r="HMA81" s="20"/>
      <c r="HMB81" s="20"/>
      <c r="HMC81" s="20"/>
      <c r="HMD81" s="21"/>
      <c r="HME81" s="21"/>
      <c r="HMF81" s="21"/>
      <c r="HMG81" s="21"/>
      <c r="HMH81" s="21"/>
      <c r="HMI81" s="20"/>
      <c r="HMJ81" s="20"/>
      <c r="HMK81" s="20"/>
      <c r="HML81" s="20"/>
      <c r="HMM81" s="21"/>
      <c r="HMN81" s="21"/>
      <c r="HMO81" s="7"/>
      <c r="HMP81" s="7"/>
      <c r="HMQ81" s="21"/>
      <c r="HMR81" s="20"/>
      <c r="HMS81" s="20"/>
      <c r="HMT81" s="20"/>
      <c r="HMU81" s="21"/>
      <c r="HMV81" s="21"/>
      <c r="HMW81" s="21"/>
      <c r="HMX81" s="21"/>
      <c r="HMY81" s="21"/>
      <c r="HMZ81" s="20"/>
      <c r="HNA81" s="20"/>
      <c r="HNB81" s="20"/>
      <c r="HNC81" s="20"/>
      <c r="HND81" s="21"/>
      <c r="HNE81" s="21"/>
      <c r="HNF81" s="7"/>
      <c r="HNG81" s="7"/>
      <c r="HNH81" s="21"/>
      <c r="HNI81" s="20"/>
      <c r="HNJ81" s="20"/>
      <c r="HNK81" s="20"/>
      <c r="HNL81" s="21"/>
      <c r="HNM81" s="21"/>
      <c r="HNN81" s="21"/>
      <c r="HNO81" s="21"/>
      <c r="HNP81" s="21"/>
      <c r="HNQ81" s="20"/>
      <c r="HNR81" s="20"/>
      <c r="HNS81" s="20"/>
      <c r="HNT81" s="20"/>
      <c r="HNU81" s="21"/>
      <c r="HNV81" s="21"/>
      <c r="HNW81" s="7"/>
      <c r="HNX81" s="7"/>
      <c r="HNY81" s="21"/>
      <c r="HNZ81" s="20"/>
      <c r="HOA81" s="20"/>
      <c r="HOB81" s="20"/>
      <c r="HOC81" s="21"/>
      <c r="HOD81" s="21"/>
      <c r="HOE81" s="21"/>
      <c r="HOF81" s="21"/>
      <c r="HOG81" s="21"/>
      <c r="HOH81" s="20"/>
      <c r="HOI81" s="20"/>
      <c r="HOJ81" s="20"/>
      <c r="HOK81" s="20"/>
      <c r="HOL81" s="21"/>
      <c r="HOM81" s="21"/>
      <c r="HON81" s="7"/>
      <c r="HOO81" s="7"/>
      <c r="HOP81" s="21"/>
      <c r="HOQ81" s="20"/>
      <c r="HOR81" s="20"/>
      <c r="HOS81" s="20"/>
      <c r="HOT81" s="21"/>
      <c r="HOU81" s="21"/>
      <c r="HOV81" s="21"/>
      <c r="HOW81" s="21"/>
      <c r="HOX81" s="21"/>
      <c r="HOY81" s="20"/>
      <c r="HOZ81" s="20"/>
      <c r="HPA81" s="20"/>
      <c r="HPB81" s="20"/>
      <c r="HPC81" s="21"/>
      <c r="HPD81" s="21"/>
      <c r="HPE81" s="7"/>
      <c r="HPF81" s="7"/>
      <c r="HPG81" s="21"/>
      <c r="HPH81" s="20"/>
      <c r="HPI81" s="20"/>
      <c r="HPJ81" s="20"/>
      <c r="HPK81" s="21"/>
      <c r="HPL81" s="21"/>
      <c r="HPM81" s="21"/>
      <c r="HPN81" s="21"/>
      <c r="HPO81" s="21"/>
      <c r="HPP81" s="20"/>
      <c r="HPQ81" s="20"/>
      <c r="HPR81" s="20"/>
      <c r="HPS81" s="20"/>
      <c r="HPT81" s="21"/>
      <c r="HPU81" s="21"/>
      <c r="HPV81" s="7"/>
      <c r="HPW81" s="7"/>
      <c r="HPX81" s="21"/>
      <c r="HPY81" s="20"/>
      <c r="HPZ81" s="20"/>
      <c r="HQA81" s="20"/>
      <c r="HQB81" s="21"/>
      <c r="HQC81" s="21"/>
      <c r="HQD81" s="21"/>
      <c r="HQE81" s="21"/>
      <c r="HQF81" s="21"/>
      <c r="HQG81" s="20"/>
      <c r="HQH81" s="20"/>
      <c r="HQI81" s="20"/>
      <c r="HQJ81" s="20"/>
      <c r="HQK81" s="21"/>
      <c r="HQL81" s="21"/>
      <c r="HQM81" s="7"/>
      <c r="HQN81" s="7"/>
      <c r="HQO81" s="21"/>
      <c r="HQP81" s="20"/>
      <c r="HQQ81" s="20"/>
      <c r="HQR81" s="20"/>
      <c r="HQS81" s="21"/>
      <c r="HQT81" s="21"/>
      <c r="HQU81" s="21"/>
      <c r="HQV81" s="21"/>
      <c r="HQW81" s="21"/>
      <c r="HQX81" s="20"/>
      <c r="HQY81" s="20"/>
      <c r="HQZ81" s="20"/>
      <c r="HRA81" s="20"/>
      <c r="HRB81" s="21"/>
      <c r="HRC81" s="21"/>
      <c r="HRD81" s="7"/>
      <c r="HRE81" s="7"/>
      <c r="HRF81" s="21"/>
      <c r="HRG81" s="20"/>
      <c r="HRH81" s="20"/>
      <c r="HRI81" s="20"/>
      <c r="HRJ81" s="21"/>
      <c r="HRK81" s="21"/>
      <c r="HRL81" s="21"/>
      <c r="HRM81" s="21"/>
      <c r="HRN81" s="21"/>
      <c r="HRO81" s="20"/>
      <c r="HRP81" s="20"/>
      <c r="HRQ81" s="20"/>
      <c r="HRR81" s="20"/>
      <c r="HRS81" s="21"/>
      <c r="HRT81" s="21"/>
      <c r="HRU81" s="7"/>
      <c r="HRV81" s="7"/>
      <c r="HRW81" s="21"/>
      <c r="HRX81" s="20"/>
      <c r="HRY81" s="20"/>
      <c r="HRZ81" s="20"/>
      <c r="HSA81" s="21"/>
      <c r="HSB81" s="21"/>
      <c r="HSC81" s="21"/>
      <c r="HSD81" s="21"/>
      <c r="HSE81" s="21"/>
      <c r="HSF81" s="20"/>
      <c r="HSG81" s="20"/>
      <c r="HSH81" s="20"/>
      <c r="HSI81" s="20"/>
      <c r="HSJ81" s="21"/>
      <c r="HSK81" s="21"/>
      <c r="HSL81" s="7"/>
      <c r="HSM81" s="7"/>
      <c r="HSN81" s="21"/>
      <c r="HSO81" s="20"/>
      <c r="HSP81" s="20"/>
      <c r="HSQ81" s="20"/>
      <c r="HSR81" s="21"/>
      <c r="HSS81" s="21"/>
      <c r="HST81" s="21"/>
      <c r="HSU81" s="21"/>
      <c r="HSV81" s="21"/>
      <c r="HSW81" s="20"/>
      <c r="HSX81" s="20"/>
      <c r="HSY81" s="20"/>
      <c r="HSZ81" s="20"/>
      <c r="HTA81" s="21"/>
      <c r="HTB81" s="21"/>
      <c r="HTC81" s="7"/>
      <c r="HTD81" s="7"/>
      <c r="HTE81" s="21"/>
      <c r="HTF81" s="20"/>
      <c r="HTG81" s="20"/>
      <c r="HTH81" s="20"/>
      <c r="HTI81" s="21"/>
      <c r="HTJ81" s="21"/>
      <c r="HTK81" s="21"/>
      <c r="HTL81" s="21"/>
      <c r="HTM81" s="21"/>
      <c r="HTN81" s="20"/>
      <c r="HTO81" s="20"/>
      <c r="HTP81" s="20"/>
      <c r="HTQ81" s="20"/>
      <c r="HTR81" s="21"/>
      <c r="HTS81" s="21"/>
      <c r="HTT81" s="7"/>
      <c r="HTU81" s="7"/>
      <c r="HTV81" s="21"/>
      <c r="HTW81" s="20"/>
      <c r="HTX81" s="20"/>
      <c r="HTY81" s="20"/>
      <c r="HTZ81" s="21"/>
      <c r="HUA81" s="21"/>
      <c r="HUB81" s="21"/>
      <c r="HUC81" s="21"/>
      <c r="HUD81" s="21"/>
      <c r="HUE81" s="20"/>
      <c r="HUF81" s="20"/>
      <c r="HUG81" s="20"/>
      <c r="HUH81" s="20"/>
      <c r="HUI81" s="21"/>
      <c r="HUJ81" s="21"/>
      <c r="HUK81" s="7"/>
      <c r="HUL81" s="7"/>
      <c r="HUM81" s="21"/>
      <c r="HUN81" s="20"/>
      <c r="HUO81" s="20"/>
      <c r="HUP81" s="20"/>
      <c r="HUQ81" s="21"/>
      <c r="HUR81" s="21"/>
      <c r="HUS81" s="21"/>
      <c r="HUT81" s="21"/>
      <c r="HUU81" s="21"/>
      <c r="HUV81" s="20"/>
      <c r="HUW81" s="20"/>
      <c r="HUX81" s="20"/>
      <c r="HUY81" s="20"/>
      <c r="HUZ81" s="21"/>
      <c r="HVA81" s="21"/>
      <c r="HVB81" s="7"/>
      <c r="HVC81" s="7"/>
      <c r="HVD81" s="21"/>
      <c r="HVE81" s="20"/>
      <c r="HVF81" s="20"/>
      <c r="HVG81" s="20"/>
      <c r="HVH81" s="21"/>
      <c r="HVI81" s="21"/>
      <c r="HVJ81" s="21"/>
      <c r="HVK81" s="21"/>
      <c r="HVL81" s="21"/>
      <c r="HVM81" s="20"/>
      <c r="HVN81" s="20"/>
      <c r="HVO81" s="20"/>
      <c r="HVP81" s="20"/>
      <c r="HVQ81" s="21"/>
      <c r="HVR81" s="21"/>
      <c r="HVS81" s="7"/>
      <c r="HVT81" s="7"/>
      <c r="HVU81" s="21"/>
      <c r="HVV81" s="20"/>
      <c r="HVW81" s="20"/>
      <c r="HVX81" s="20"/>
      <c r="HVY81" s="21"/>
      <c r="HVZ81" s="21"/>
      <c r="HWA81" s="21"/>
      <c r="HWB81" s="21"/>
      <c r="HWC81" s="21"/>
      <c r="HWD81" s="20"/>
      <c r="HWE81" s="20"/>
      <c r="HWF81" s="20"/>
      <c r="HWG81" s="20"/>
      <c r="HWH81" s="21"/>
      <c r="HWI81" s="21"/>
      <c r="HWJ81" s="7"/>
      <c r="HWK81" s="7"/>
      <c r="HWL81" s="21"/>
      <c r="HWM81" s="20"/>
      <c r="HWN81" s="20"/>
      <c r="HWO81" s="20"/>
      <c r="HWP81" s="21"/>
      <c r="HWQ81" s="21"/>
      <c r="HWR81" s="21"/>
      <c r="HWS81" s="21"/>
      <c r="HWT81" s="21"/>
      <c r="HWU81" s="20"/>
      <c r="HWV81" s="20"/>
      <c r="HWW81" s="20"/>
      <c r="HWX81" s="20"/>
      <c r="HWY81" s="21"/>
      <c r="HWZ81" s="21"/>
      <c r="HXA81" s="7"/>
      <c r="HXB81" s="7"/>
      <c r="HXC81" s="21"/>
      <c r="HXD81" s="20"/>
      <c r="HXE81" s="20"/>
      <c r="HXF81" s="20"/>
      <c r="HXG81" s="21"/>
      <c r="HXH81" s="21"/>
      <c r="HXI81" s="21"/>
      <c r="HXJ81" s="21"/>
      <c r="HXK81" s="21"/>
      <c r="HXL81" s="20"/>
      <c r="HXM81" s="20"/>
      <c r="HXN81" s="20"/>
      <c r="HXO81" s="20"/>
      <c r="HXP81" s="21"/>
      <c r="HXQ81" s="21"/>
      <c r="HXR81" s="7"/>
      <c r="HXS81" s="7"/>
      <c r="HXT81" s="21"/>
      <c r="HXU81" s="20"/>
      <c r="HXV81" s="20"/>
      <c r="HXW81" s="20"/>
      <c r="HXX81" s="21"/>
      <c r="HXY81" s="21"/>
      <c r="HXZ81" s="21"/>
      <c r="HYA81" s="21"/>
      <c r="HYB81" s="21"/>
      <c r="HYC81" s="20"/>
      <c r="HYD81" s="20"/>
      <c r="HYE81" s="20"/>
      <c r="HYF81" s="20"/>
      <c r="HYG81" s="21"/>
      <c r="HYH81" s="21"/>
      <c r="HYI81" s="7"/>
      <c r="HYJ81" s="7"/>
      <c r="HYK81" s="21"/>
      <c r="HYL81" s="20"/>
      <c r="HYM81" s="20"/>
      <c r="HYN81" s="20"/>
      <c r="HYO81" s="21"/>
      <c r="HYP81" s="21"/>
      <c r="HYQ81" s="21"/>
      <c r="HYR81" s="21"/>
      <c r="HYS81" s="21"/>
      <c r="HYT81" s="20"/>
      <c r="HYU81" s="20"/>
      <c r="HYV81" s="20"/>
      <c r="HYW81" s="20"/>
      <c r="HYX81" s="21"/>
      <c r="HYY81" s="21"/>
      <c r="HYZ81" s="7"/>
      <c r="HZA81" s="7"/>
      <c r="HZB81" s="21"/>
      <c r="HZC81" s="20"/>
      <c r="HZD81" s="20"/>
      <c r="HZE81" s="20"/>
      <c r="HZF81" s="21"/>
      <c r="HZG81" s="21"/>
      <c r="HZH81" s="21"/>
      <c r="HZI81" s="21"/>
      <c r="HZJ81" s="21"/>
      <c r="HZK81" s="20"/>
      <c r="HZL81" s="20"/>
      <c r="HZM81" s="20"/>
      <c r="HZN81" s="20"/>
      <c r="HZO81" s="21"/>
      <c r="HZP81" s="21"/>
      <c r="HZQ81" s="7"/>
      <c r="HZR81" s="7"/>
      <c r="HZS81" s="21"/>
      <c r="HZT81" s="20"/>
      <c r="HZU81" s="20"/>
      <c r="HZV81" s="20"/>
      <c r="HZW81" s="21"/>
      <c r="HZX81" s="21"/>
      <c r="HZY81" s="21"/>
      <c r="HZZ81" s="21"/>
      <c r="IAA81" s="21"/>
      <c r="IAB81" s="20"/>
      <c r="IAC81" s="20"/>
      <c r="IAD81" s="20"/>
      <c r="IAE81" s="20"/>
      <c r="IAF81" s="21"/>
      <c r="IAG81" s="21"/>
      <c r="IAH81" s="7"/>
      <c r="IAI81" s="7"/>
      <c r="IAJ81" s="21"/>
      <c r="IAK81" s="20"/>
      <c r="IAL81" s="20"/>
      <c r="IAM81" s="20"/>
      <c r="IAN81" s="21"/>
      <c r="IAO81" s="21"/>
      <c r="IAP81" s="21"/>
      <c r="IAQ81" s="21"/>
      <c r="IAR81" s="21"/>
      <c r="IAS81" s="20"/>
      <c r="IAT81" s="20"/>
      <c r="IAU81" s="20"/>
      <c r="IAV81" s="20"/>
      <c r="IAW81" s="21"/>
      <c r="IAX81" s="21"/>
      <c r="IAY81" s="7"/>
      <c r="IAZ81" s="7"/>
      <c r="IBA81" s="21"/>
      <c r="IBB81" s="20"/>
      <c r="IBC81" s="20"/>
      <c r="IBD81" s="20"/>
      <c r="IBE81" s="21"/>
      <c r="IBF81" s="21"/>
      <c r="IBG81" s="21"/>
      <c r="IBH81" s="21"/>
      <c r="IBI81" s="21"/>
      <c r="IBJ81" s="20"/>
      <c r="IBK81" s="20"/>
      <c r="IBL81" s="20"/>
      <c r="IBM81" s="20"/>
      <c r="IBN81" s="21"/>
      <c r="IBO81" s="21"/>
      <c r="IBP81" s="7"/>
      <c r="IBQ81" s="7"/>
      <c r="IBR81" s="21"/>
      <c r="IBS81" s="20"/>
      <c r="IBT81" s="20"/>
      <c r="IBU81" s="20"/>
      <c r="IBV81" s="21"/>
      <c r="IBW81" s="21"/>
      <c r="IBX81" s="21"/>
      <c r="IBY81" s="21"/>
      <c r="IBZ81" s="21"/>
      <c r="ICA81" s="20"/>
      <c r="ICB81" s="20"/>
      <c r="ICC81" s="20"/>
      <c r="ICD81" s="20"/>
      <c r="ICE81" s="21"/>
      <c r="ICF81" s="21"/>
      <c r="ICG81" s="7"/>
      <c r="ICH81" s="7"/>
      <c r="ICI81" s="21"/>
      <c r="ICJ81" s="20"/>
      <c r="ICK81" s="20"/>
      <c r="ICL81" s="20"/>
      <c r="ICM81" s="21"/>
      <c r="ICN81" s="21"/>
      <c r="ICO81" s="21"/>
      <c r="ICP81" s="21"/>
      <c r="ICQ81" s="21"/>
      <c r="ICR81" s="20"/>
      <c r="ICS81" s="20"/>
      <c r="ICT81" s="20"/>
      <c r="ICU81" s="20"/>
      <c r="ICV81" s="21"/>
      <c r="ICW81" s="21"/>
      <c r="ICX81" s="7"/>
      <c r="ICY81" s="7"/>
      <c r="ICZ81" s="21"/>
      <c r="IDA81" s="20"/>
      <c r="IDB81" s="20"/>
      <c r="IDC81" s="20"/>
      <c r="IDD81" s="21"/>
      <c r="IDE81" s="21"/>
      <c r="IDF81" s="21"/>
      <c r="IDG81" s="21"/>
      <c r="IDH81" s="21"/>
      <c r="IDI81" s="20"/>
      <c r="IDJ81" s="20"/>
      <c r="IDK81" s="20"/>
      <c r="IDL81" s="20"/>
      <c r="IDM81" s="21"/>
      <c r="IDN81" s="21"/>
      <c r="IDO81" s="7"/>
      <c r="IDP81" s="7"/>
      <c r="IDQ81" s="21"/>
      <c r="IDR81" s="20"/>
      <c r="IDS81" s="20"/>
      <c r="IDT81" s="20"/>
      <c r="IDU81" s="21"/>
      <c r="IDV81" s="21"/>
      <c r="IDW81" s="21"/>
      <c r="IDX81" s="21"/>
      <c r="IDY81" s="21"/>
      <c r="IDZ81" s="20"/>
      <c r="IEA81" s="20"/>
      <c r="IEB81" s="20"/>
      <c r="IEC81" s="20"/>
      <c r="IED81" s="21"/>
      <c r="IEE81" s="21"/>
      <c r="IEF81" s="7"/>
      <c r="IEG81" s="7"/>
      <c r="IEH81" s="21"/>
      <c r="IEI81" s="20"/>
      <c r="IEJ81" s="20"/>
      <c r="IEK81" s="20"/>
      <c r="IEL81" s="21"/>
      <c r="IEM81" s="21"/>
      <c r="IEN81" s="21"/>
      <c r="IEO81" s="21"/>
      <c r="IEP81" s="21"/>
      <c r="IEQ81" s="20"/>
      <c r="IER81" s="20"/>
      <c r="IES81" s="20"/>
      <c r="IET81" s="20"/>
      <c r="IEU81" s="21"/>
      <c r="IEV81" s="21"/>
      <c r="IEW81" s="7"/>
      <c r="IEX81" s="7"/>
      <c r="IEY81" s="21"/>
      <c r="IEZ81" s="20"/>
      <c r="IFA81" s="20"/>
      <c r="IFB81" s="20"/>
      <c r="IFC81" s="21"/>
      <c r="IFD81" s="21"/>
      <c r="IFE81" s="21"/>
      <c r="IFF81" s="21"/>
      <c r="IFG81" s="21"/>
      <c r="IFH81" s="20"/>
      <c r="IFI81" s="20"/>
      <c r="IFJ81" s="20"/>
      <c r="IFK81" s="20"/>
      <c r="IFL81" s="21"/>
      <c r="IFM81" s="21"/>
      <c r="IFN81" s="7"/>
      <c r="IFO81" s="7"/>
      <c r="IFP81" s="21"/>
      <c r="IFQ81" s="20"/>
      <c r="IFR81" s="20"/>
      <c r="IFS81" s="20"/>
      <c r="IFT81" s="21"/>
      <c r="IFU81" s="21"/>
      <c r="IFV81" s="21"/>
      <c r="IFW81" s="21"/>
      <c r="IFX81" s="21"/>
      <c r="IFY81" s="20"/>
      <c r="IFZ81" s="20"/>
      <c r="IGA81" s="20"/>
      <c r="IGB81" s="20"/>
      <c r="IGC81" s="21"/>
      <c r="IGD81" s="21"/>
      <c r="IGE81" s="7"/>
      <c r="IGF81" s="7"/>
      <c r="IGG81" s="21"/>
      <c r="IGH81" s="20"/>
      <c r="IGI81" s="20"/>
      <c r="IGJ81" s="20"/>
      <c r="IGK81" s="21"/>
      <c r="IGL81" s="21"/>
      <c r="IGM81" s="21"/>
      <c r="IGN81" s="21"/>
      <c r="IGO81" s="21"/>
      <c r="IGP81" s="20"/>
      <c r="IGQ81" s="20"/>
      <c r="IGR81" s="20"/>
      <c r="IGS81" s="20"/>
      <c r="IGT81" s="21"/>
      <c r="IGU81" s="21"/>
      <c r="IGV81" s="7"/>
      <c r="IGW81" s="7"/>
      <c r="IGX81" s="21"/>
      <c r="IGY81" s="20"/>
      <c r="IGZ81" s="20"/>
      <c r="IHA81" s="20"/>
      <c r="IHB81" s="21"/>
      <c r="IHC81" s="21"/>
      <c r="IHD81" s="21"/>
      <c r="IHE81" s="21"/>
      <c r="IHF81" s="21"/>
      <c r="IHG81" s="20"/>
      <c r="IHH81" s="20"/>
      <c r="IHI81" s="20"/>
      <c r="IHJ81" s="20"/>
      <c r="IHK81" s="21"/>
      <c r="IHL81" s="21"/>
      <c r="IHM81" s="7"/>
      <c r="IHN81" s="7"/>
      <c r="IHO81" s="21"/>
      <c r="IHP81" s="20"/>
      <c r="IHQ81" s="20"/>
      <c r="IHR81" s="20"/>
      <c r="IHS81" s="21"/>
      <c r="IHT81" s="21"/>
      <c r="IHU81" s="21"/>
      <c r="IHV81" s="21"/>
      <c r="IHW81" s="21"/>
      <c r="IHX81" s="20"/>
      <c r="IHY81" s="20"/>
      <c r="IHZ81" s="20"/>
      <c r="IIA81" s="20"/>
      <c r="IIB81" s="21"/>
      <c r="IIC81" s="21"/>
      <c r="IID81" s="7"/>
      <c r="IIE81" s="7"/>
      <c r="IIF81" s="21"/>
      <c r="IIG81" s="20"/>
      <c r="IIH81" s="20"/>
      <c r="III81" s="20"/>
      <c r="IIJ81" s="21"/>
      <c r="IIK81" s="21"/>
      <c r="IIL81" s="21"/>
      <c r="IIM81" s="21"/>
      <c r="IIN81" s="21"/>
      <c r="IIO81" s="20"/>
      <c r="IIP81" s="20"/>
      <c r="IIQ81" s="20"/>
      <c r="IIR81" s="20"/>
      <c r="IIS81" s="21"/>
      <c r="IIT81" s="21"/>
      <c r="IIU81" s="7"/>
      <c r="IIV81" s="7"/>
      <c r="IIW81" s="21"/>
      <c r="IIX81" s="20"/>
      <c r="IIY81" s="20"/>
      <c r="IIZ81" s="20"/>
      <c r="IJA81" s="21"/>
      <c r="IJB81" s="21"/>
      <c r="IJC81" s="21"/>
      <c r="IJD81" s="21"/>
      <c r="IJE81" s="21"/>
      <c r="IJF81" s="20"/>
      <c r="IJG81" s="20"/>
      <c r="IJH81" s="20"/>
      <c r="IJI81" s="20"/>
      <c r="IJJ81" s="21"/>
      <c r="IJK81" s="21"/>
      <c r="IJL81" s="7"/>
      <c r="IJM81" s="7"/>
      <c r="IJN81" s="21"/>
      <c r="IJO81" s="20"/>
      <c r="IJP81" s="20"/>
      <c r="IJQ81" s="20"/>
      <c r="IJR81" s="21"/>
      <c r="IJS81" s="21"/>
      <c r="IJT81" s="21"/>
      <c r="IJU81" s="21"/>
      <c r="IJV81" s="21"/>
      <c r="IJW81" s="20"/>
      <c r="IJX81" s="20"/>
      <c r="IJY81" s="20"/>
      <c r="IJZ81" s="20"/>
      <c r="IKA81" s="21"/>
      <c r="IKB81" s="21"/>
      <c r="IKC81" s="7"/>
      <c r="IKD81" s="7"/>
      <c r="IKE81" s="21"/>
      <c r="IKF81" s="20"/>
      <c r="IKG81" s="20"/>
      <c r="IKH81" s="20"/>
      <c r="IKI81" s="21"/>
      <c r="IKJ81" s="21"/>
      <c r="IKK81" s="21"/>
      <c r="IKL81" s="21"/>
      <c r="IKM81" s="21"/>
      <c r="IKN81" s="20"/>
      <c r="IKO81" s="20"/>
      <c r="IKP81" s="20"/>
      <c r="IKQ81" s="20"/>
      <c r="IKR81" s="21"/>
      <c r="IKS81" s="21"/>
      <c r="IKT81" s="7"/>
      <c r="IKU81" s="7"/>
      <c r="IKV81" s="21"/>
      <c r="IKW81" s="20"/>
      <c r="IKX81" s="20"/>
      <c r="IKY81" s="20"/>
      <c r="IKZ81" s="21"/>
      <c r="ILA81" s="21"/>
      <c r="ILB81" s="21"/>
      <c r="ILC81" s="21"/>
      <c r="ILD81" s="21"/>
      <c r="ILE81" s="20"/>
      <c r="ILF81" s="20"/>
      <c r="ILG81" s="20"/>
      <c r="ILH81" s="20"/>
      <c r="ILI81" s="21"/>
      <c r="ILJ81" s="21"/>
      <c r="ILK81" s="7"/>
      <c r="ILL81" s="7"/>
      <c r="ILM81" s="21"/>
      <c r="ILN81" s="20"/>
      <c r="ILO81" s="20"/>
      <c r="ILP81" s="20"/>
      <c r="ILQ81" s="21"/>
      <c r="ILR81" s="21"/>
      <c r="ILS81" s="21"/>
      <c r="ILT81" s="21"/>
      <c r="ILU81" s="21"/>
      <c r="ILV81" s="20"/>
      <c r="ILW81" s="20"/>
      <c r="ILX81" s="20"/>
      <c r="ILY81" s="20"/>
      <c r="ILZ81" s="21"/>
      <c r="IMA81" s="21"/>
      <c r="IMB81" s="7"/>
      <c r="IMC81" s="7"/>
      <c r="IMD81" s="21"/>
      <c r="IME81" s="20"/>
      <c r="IMF81" s="20"/>
      <c r="IMG81" s="20"/>
      <c r="IMH81" s="21"/>
      <c r="IMI81" s="21"/>
      <c r="IMJ81" s="21"/>
      <c r="IMK81" s="21"/>
      <c r="IML81" s="21"/>
      <c r="IMM81" s="20"/>
      <c r="IMN81" s="20"/>
      <c r="IMO81" s="20"/>
      <c r="IMP81" s="20"/>
      <c r="IMQ81" s="21"/>
      <c r="IMR81" s="21"/>
      <c r="IMS81" s="7"/>
      <c r="IMT81" s="7"/>
      <c r="IMU81" s="21"/>
      <c r="IMV81" s="20"/>
      <c r="IMW81" s="20"/>
      <c r="IMX81" s="20"/>
      <c r="IMY81" s="21"/>
      <c r="IMZ81" s="21"/>
      <c r="INA81" s="21"/>
      <c r="INB81" s="21"/>
      <c r="INC81" s="21"/>
      <c r="IND81" s="20"/>
      <c r="INE81" s="20"/>
      <c r="INF81" s="20"/>
      <c r="ING81" s="20"/>
      <c r="INH81" s="21"/>
      <c r="INI81" s="21"/>
      <c r="INJ81" s="7"/>
      <c r="INK81" s="7"/>
      <c r="INL81" s="21"/>
      <c r="INM81" s="20"/>
      <c r="INN81" s="20"/>
      <c r="INO81" s="20"/>
      <c r="INP81" s="21"/>
      <c r="INQ81" s="21"/>
      <c r="INR81" s="21"/>
      <c r="INS81" s="21"/>
      <c r="INT81" s="21"/>
      <c r="INU81" s="20"/>
      <c r="INV81" s="20"/>
      <c r="INW81" s="20"/>
      <c r="INX81" s="20"/>
      <c r="INY81" s="21"/>
      <c r="INZ81" s="21"/>
      <c r="IOA81" s="7"/>
      <c r="IOB81" s="7"/>
      <c r="IOC81" s="21"/>
      <c r="IOD81" s="20"/>
      <c r="IOE81" s="20"/>
      <c r="IOF81" s="20"/>
      <c r="IOG81" s="21"/>
      <c r="IOH81" s="21"/>
      <c r="IOI81" s="21"/>
      <c r="IOJ81" s="21"/>
      <c r="IOK81" s="21"/>
      <c r="IOL81" s="20"/>
      <c r="IOM81" s="20"/>
      <c r="ION81" s="20"/>
      <c r="IOO81" s="20"/>
      <c r="IOP81" s="21"/>
      <c r="IOQ81" s="21"/>
      <c r="IOR81" s="7"/>
      <c r="IOS81" s="7"/>
      <c r="IOT81" s="21"/>
      <c r="IOU81" s="20"/>
      <c r="IOV81" s="20"/>
      <c r="IOW81" s="20"/>
      <c r="IOX81" s="21"/>
      <c r="IOY81" s="21"/>
      <c r="IOZ81" s="21"/>
      <c r="IPA81" s="21"/>
      <c r="IPB81" s="21"/>
      <c r="IPC81" s="20"/>
      <c r="IPD81" s="20"/>
      <c r="IPE81" s="20"/>
      <c r="IPF81" s="20"/>
      <c r="IPG81" s="21"/>
      <c r="IPH81" s="21"/>
      <c r="IPI81" s="7"/>
      <c r="IPJ81" s="7"/>
      <c r="IPK81" s="21"/>
      <c r="IPL81" s="20"/>
      <c r="IPM81" s="20"/>
      <c r="IPN81" s="20"/>
      <c r="IPO81" s="21"/>
      <c r="IPP81" s="21"/>
      <c r="IPQ81" s="21"/>
      <c r="IPR81" s="21"/>
      <c r="IPS81" s="21"/>
      <c r="IPT81" s="20"/>
      <c r="IPU81" s="20"/>
      <c r="IPV81" s="20"/>
      <c r="IPW81" s="20"/>
      <c r="IPX81" s="21"/>
      <c r="IPY81" s="21"/>
      <c r="IPZ81" s="7"/>
      <c r="IQA81" s="7"/>
      <c r="IQB81" s="21"/>
      <c r="IQC81" s="20"/>
      <c r="IQD81" s="20"/>
      <c r="IQE81" s="20"/>
      <c r="IQF81" s="21"/>
      <c r="IQG81" s="21"/>
      <c r="IQH81" s="21"/>
      <c r="IQI81" s="21"/>
      <c r="IQJ81" s="21"/>
      <c r="IQK81" s="20"/>
      <c r="IQL81" s="20"/>
      <c r="IQM81" s="20"/>
      <c r="IQN81" s="20"/>
      <c r="IQO81" s="21"/>
      <c r="IQP81" s="21"/>
      <c r="IQQ81" s="7"/>
      <c r="IQR81" s="7"/>
      <c r="IQS81" s="21"/>
      <c r="IQT81" s="20"/>
      <c r="IQU81" s="20"/>
      <c r="IQV81" s="20"/>
      <c r="IQW81" s="21"/>
      <c r="IQX81" s="21"/>
      <c r="IQY81" s="21"/>
      <c r="IQZ81" s="21"/>
      <c r="IRA81" s="21"/>
      <c r="IRB81" s="20"/>
      <c r="IRC81" s="20"/>
      <c r="IRD81" s="20"/>
      <c r="IRE81" s="20"/>
      <c r="IRF81" s="21"/>
      <c r="IRG81" s="21"/>
      <c r="IRH81" s="7"/>
      <c r="IRI81" s="7"/>
      <c r="IRJ81" s="21"/>
      <c r="IRK81" s="20"/>
      <c r="IRL81" s="20"/>
      <c r="IRM81" s="20"/>
      <c r="IRN81" s="21"/>
      <c r="IRO81" s="21"/>
      <c r="IRP81" s="21"/>
      <c r="IRQ81" s="21"/>
      <c r="IRR81" s="21"/>
      <c r="IRS81" s="20"/>
      <c r="IRT81" s="20"/>
      <c r="IRU81" s="20"/>
      <c r="IRV81" s="20"/>
      <c r="IRW81" s="21"/>
      <c r="IRX81" s="21"/>
      <c r="IRY81" s="7"/>
      <c r="IRZ81" s="7"/>
      <c r="ISA81" s="21"/>
      <c r="ISB81" s="20"/>
      <c r="ISC81" s="20"/>
      <c r="ISD81" s="20"/>
      <c r="ISE81" s="21"/>
      <c r="ISF81" s="21"/>
      <c r="ISG81" s="21"/>
      <c r="ISH81" s="21"/>
      <c r="ISI81" s="21"/>
      <c r="ISJ81" s="20"/>
      <c r="ISK81" s="20"/>
      <c r="ISL81" s="20"/>
      <c r="ISM81" s="20"/>
      <c r="ISN81" s="21"/>
      <c r="ISO81" s="21"/>
      <c r="ISP81" s="7"/>
      <c r="ISQ81" s="7"/>
      <c r="ISR81" s="21"/>
      <c r="ISS81" s="20"/>
      <c r="IST81" s="20"/>
      <c r="ISU81" s="20"/>
      <c r="ISV81" s="21"/>
      <c r="ISW81" s="21"/>
      <c r="ISX81" s="21"/>
      <c r="ISY81" s="21"/>
      <c r="ISZ81" s="21"/>
      <c r="ITA81" s="20"/>
      <c r="ITB81" s="20"/>
      <c r="ITC81" s="20"/>
      <c r="ITD81" s="20"/>
      <c r="ITE81" s="21"/>
      <c r="ITF81" s="21"/>
      <c r="ITG81" s="7"/>
      <c r="ITH81" s="7"/>
      <c r="ITI81" s="21"/>
      <c r="ITJ81" s="20"/>
      <c r="ITK81" s="20"/>
      <c r="ITL81" s="20"/>
      <c r="ITM81" s="21"/>
      <c r="ITN81" s="21"/>
      <c r="ITO81" s="21"/>
      <c r="ITP81" s="21"/>
      <c r="ITQ81" s="21"/>
      <c r="ITR81" s="20"/>
      <c r="ITS81" s="20"/>
      <c r="ITT81" s="20"/>
      <c r="ITU81" s="20"/>
      <c r="ITV81" s="21"/>
      <c r="ITW81" s="21"/>
      <c r="ITX81" s="7"/>
      <c r="ITY81" s="7"/>
      <c r="ITZ81" s="21"/>
      <c r="IUA81" s="20"/>
      <c r="IUB81" s="20"/>
      <c r="IUC81" s="20"/>
      <c r="IUD81" s="21"/>
      <c r="IUE81" s="21"/>
      <c r="IUF81" s="21"/>
      <c r="IUG81" s="21"/>
      <c r="IUH81" s="21"/>
      <c r="IUI81" s="20"/>
      <c r="IUJ81" s="20"/>
      <c r="IUK81" s="20"/>
      <c r="IUL81" s="20"/>
      <c r="IUM81" s="21"/>
      <c r="IUN81" s="21"/>
      <c r="IUO81" s="7"/>
      <c r="IUP81" s="7"/>
      <c r="IUQ81" s="21"/>
      <c r="IUR81" s="20"/>
      <c r="IUS81" s="20"/>
      <c r="IUT81" s="20"/>
      <c r="IUU81" s="21"/>
      <c r="IUV81" s="21"/>
      <c r="IUW81" s="21"/>
      <c r="IUX81" s="21"/>
      <c r="IUY81" s="21"/>
      <c r="IUZ81" s="20"/>
      <c r="IVA81" s="20"/>
      <c r="IVB81" s="20"/>
      <c r="IVC81" s="20"/>
      <c r="IVD81" s="21"/>
      <c r="IVE81" s="21"/>
      <c r="IVF81" s="7"/>
      <c r="IVG81" s="7"/>
      <c r="IVH81" s="21"/>
      <c r="IVI81" s="20"/>
      <c r="IVJ81" s="20"/>
      <c r="IVK81" s="20"/>
      <c r="IVL81" s="21"/>
      <c r="IVM81" s="21"/>
      <c r="IVN81" s="21"/>
      <c r="IVO81" s="21"/>
      <c r="IVP81" s="21"/>
      <c r="IVQ81" s="20"/>
      <c r="IVR81" s="20"/>
      <c r="IVS81" s="20"/>
      <c r="IVT81" s="20"/>
      <c r="IVU81" s="21"/>
      <c r="IVV81" s="21"/>
      <c r="IVW81" s="7"/>
      <c r="IVX81" s="7"/>
      <c r="IVY81" s="21"/>
      <c r="IVZ81" s="20"/>
      <c r="IWA81" s="20"/>
      <c r="IWB81" s="20"/>
      <c r="IWC81" s="21"/>
      <c r="IWD81" s="21"/>
      <c r="IWE81" s="21"/>
      <c r="IWF81" s="21"/>
      <c r="IWG81" s="21"/>
      <c r="IWH81" s="20"/>
      <c r="IWI81" s="20"/>
      <c r="IWJ81" s="20"/>
      <c r="IWK81" s="20"/>
      <c r="IWL81" s="21"/>
      <c r="IWM81" s="21"/>
      <c r="IWN81" s="7"/>
      <c r="IWO81" s="7"/>
      <c r="IWP81" s="21"/>
      <c r="IWQ81" s="20"/>
      <c r="IWR81" s="20"/>
      <c r="IWS81" s="20"/>
      <c r="IWT81" s="21"/>
      <c r="IWU81" s="21"/>
      <c r="IWV81" s="21"/>
      <c r="IWW81" s="21"/>
      <c r="IWX81" s="21"/>
      <c r="IWY81" s="20"/>
      <c r="IWZ81" s="20"/>
      <c r="IXA81" s="20"/>
      <c r="IXB81" s="20"/>
      <c r="IXC81" s="21"/>
      <c r="IXD81" s="21"/>
      <c r="IXE81" s="7"/>
      <c r="IXF81" s="7"/>
      <c r="IXG81" s="21"/>
      <c r="IXH81" s="20"/>
      <c r="IXI81" s="20"/>
      <c r="IXJ81" s="20"/>
      <c r="IXK81" s="21"/>
      <c r="IXL81" s="21"/>
      <c r="IXM81" s="21"/>
      <c r="IXN81" s="21"/>
      <c r="IXO81" s="21"/>
      <c r="IXP81" s="20"/>
      <c r="IXQ81" s="20"/>
      <c r="IXR81" s="20"/>
      <c r="IXS81" s="20"/>
      <c r="IXT81" s="21"/>
      <c r="IXU81" s="21"/>
      <c r="IXV81" s="7"/>
      <c r="IXW81" s="7"/>
      <c r="IXX81" s="21"/>
      <c r="IXY81" s="20"/>
      <c r="IXZ81" s="20"/>
      <c r="IYA81" s="20"/>
      <c r="IYB81" s="21"/>
      <c r="IYC81" s="21"/>
      <c r="IYD81" s="21"/>
      <c r="IYE81" s="21"/>
      <c r="IYF81" s="21"/>
      <c r="IYG81" s="20"/>
      <c r="IYH81" s="20"/>
      <c r="IYI81" s="20"/>
      <c r="IYJ81" s="20"/>
      <c r="IYK81" s="21"/>
      <c r="IYL81" s="21"/>
      <c r="IYM81" s="7"/>
      <c r="IYN81" s="7"/>
      <c r="IYO81" s="21"/>
      <c r="IYP81" s="20"/>
      <c r="IYQ81" s="20"/>
      <c r="IYR81" s="20"/>
      <c r="IYS81" s="21"/>
      <c r="IYT81" s="21"/>
      <c r="IYU81" s="21"/>
      <c r="IYV81" s="21"/>
      <c r="IYW81" s="21"/>
      <c r="IYX81" s="20"/>
      <c r="IYY81" s="20"/>
      <c r="IYZ81" s="20"/>
      <c r="IZA81" s="20"/>
      <c r="IZB81" s="21"/>
      <c r="IZC81" s="21"/>
      <c r="IZD81" s="7"/>
      <c r="IZE81" s="7"/>
      <c r="IZF81" s="21"/>
      <c r="IZG81" s="20"/>
      <c r="IZH81" s="20"/>
      <c r="IZI81" s="20"/>
      <c r="IZJ81" s="21"/>
      <c r="IZK81" s="21"/>
      <c r="IZL81" s="21"/>
      <c r="IZM81" s="21"/>
      <c r="IZN81" s="21"/>
      <c r="IZO81" s="20"/>
      <c r="IZP81" s="20"/>
      <c r="IZQ81" s="20"/>
      <c r="IZR81" s="20"/>
      <c r="IZS81" s="21"/>
      <c r="IZT81" s="21"/>
      <c r="IZU81" s="7"/>
      <c r="IZV81" s="7"/>
      <c r="IZW81" s="21"/>
      <c r="IZX81" s="20"/>
      <c r="IZY81" s="20"/>
      <c r="IZZ81" s="20"/>
      <c r="JAA81" s="21"/>
      <c r="JAB81" s="21"/>
      <c r="JAC81" s="21"/>
      <c r="JAD81" s="21"/>
      <c r="JAE81" s="21"/>
      <c r="JAF81" s="20"/>
      <c r="JAG81" s="20"/>
      <c r="JAH81" s="20"/>
      <c r="JAI81" s="20"/>
      <c r="JAJ81" s="21"/>
      <c r="JAK81" s="21"/>
      <c r="JAL81" s="7"/>
      <c r="JAM81" s="7"/>
      <c r="JAN81" s="21"/>
      <c r="JAO81" s="20"/>
      <c r="JAP81" s="20"/>
      <c r="JAQ81" s="20"/>
      <c r="JAR81" s="21"/>
      <c r="JAS81" s="21"/>
      <c r="JAT81" s="21"/>
      <c r="JAU81" s="21"/>
      <c r="JAV81" s="21"/>
      <c r="JAW81" s="20"/>
      <c r="JAX81" s="20"/>
      <c r="JAY81" s="20"/>
      <c r="JAZ81" s="20"/>
      <c r="JBA81" s="21"/>
      <c r="JBB81" s="21"/>
      <c r="JBC81" s="7"/>
      <c r="JBD81" s="7"/>
      <c r="JBE81" s="21"/>
      <c r="JBF81" s="20"/>
      <c r="JBG81" s="20"/>
      <c r="JBH81" s="20"/>
      <c r="JBI81" s="21"/>
      <c r="JBJ81" s="21"/>
      <c r="JBK81" s="21"/>
      <c r="JBL81" s="21"/>
      <c r="JBM81" s="21"/>
      <c r="JBN81" s="20"/>
      <c r="JBO81" s="20"/>
      <c r="JBP81" s="20"/>
      <c r="JBQ81" s="20"/>
      <c r="JBR81" s="21"/>
      <c r="JBS81" s="21"/>
      <c r="JBT81" s="7"/>
      <c r="JBU81" s="7"/>
      <c r="JBV81" s="21"/>
      <c r="JBW81" s="20"/>
      <c r="JBX81" s="20"/>
      <c r="JBY81" s="20"/>
      <c r="JBZ81" s="21"/>
      <c r="JCA81" s="21"/>
      <c r="JCB81" s="21"/>
      <c r="JCC81" s="21"/>
      <c r="JCD81" s="21"/>
      <c r="JCE81" s="20"/>
      <c r="JCF81" s="20"/>
      <c r="JCG81" s="20"/>
      <c r="JCH81" s="20"/>
      <c r="JCI81" s="21"/>
      <c r="JCJ81" s="21"/>
      <c r="JCK81" s="7"/>
      <c r="JCL81" s="7"/>
      <c r="JCM81" s="21"/>
      <c r="JCN81" s="20"/>
      <c r="JCO81" s="20"/>
      <c r="JCP81" s="20"/>
      <c r="JCQ81" s="21"/>
      <c r="JCR81" s="21"/>
      <c r="JCS81" s="21"/>
      <c r="JCT81" s="21"/>
      <c r="JCU81" s="21"/>
      <c r="JCV81" s="20"/>
      <c r="JCW81" s="20"/>
      <c r="JCX81" s="20"/>
      <c r="JCY81" s="20"/>
      <c r="JCZ81" s="21"/>
      <c r="JDA81" s="21"/>
      <c r="JDB81" s="7"/>
      <c r="JDC81" s="7"/>
      <c r="JDD81" s="21"/>
      <c r="JDE81" s="20"/>
      <c r="JDF81" s="20"/>
      <c r="JDG81" s="20"/>
      <c r="JDH81" s="21"/>
      <c r="JDI81" s="21"/>
      <c r="JDJ81" s="21"/>
      <c r="JDK81" s="21"/>
      <c r="JDL81" s="21"/>
      <c r="JDM81" s="20"/>
      <c r="JDN81" s="20"/>
      <c r="JDO81" s="20"/>
      <c r="JDP81" s="20"/>
      <c r="JDQ81" s="21"/>
      <c r="JDR81" s="21"/>
      <c r="JDS81" s="7"/>
      <c r="JDT81" s="7"/>
      <c r="JDU81" s="21"/>
      <c r="JDV81" s="20"/>
      <c r="JDW81" s="20"/>
      <c r="JDX81" s="20"/>
      <c r="JDY81" s="21"/>
      <c r="JDZ81" s="21"/>
      <c r="JEA81" s="21"/>
      <c r="JEB81" s="21"/>
      <c r="JEC81" s="21"/>
      <c r="JED81" s="20"/>
      <c r="JEE81" s="20"/>
      <c r="JEF81" s="20"/>
      <c r="JEG81" s="20"/>
      <c r="JEH81" s="21"/>
      <c r="JEI81" s="21"/>
      <c r="JEJ81" s="7"/>
      <c r="JEK81" s="7"/>
      <c r="JEL81" s="21"/>
      <c r="JEM81" s="20"/>
      <c r="JEN81" s="20"/>
      <c r="JEO81" s="20"/>
      <c r="JEP81" s="21"/>
      <c r="JEQ81" s="21"/>
      <c r="JER81" s="21"/>
      <c r="JES81" s="21"/>
      <c r="JET81" s="21"/>
      <c r="JEU81" s="20"/>
      <c r="JEV81" s="20"/>
      <c r="JEW81" s="20"/>
      <c r="JEX81" s="20"/>
      <c r="JEY81" s="21"/>
      <c r="JEZ81" s="21"/>
      <c r="JFA81" s="7"/>
      <c r="JFB81" s="7"/>
      <c r="JFC81" s="21"/>
      <c r="JFD81" s="20"/>
      <c r="JFE81" s="20"/>
      <c r="JFF81" s="20"/>
      <c r="JFG81" s="21"/>
      <c r="JFH81" s="21"/>
      <c r="JFI81" s="21"/>
      <c r="JFJ81" s="21"/>
      <c r="JFK81" s="21"/>
      <c r="JFL81" s="20"/>
      <c r="JFM81" s="20"/>
      <c r="JFN81" s="20"/>
      <c r="JFO81" s="20"/>
      <c r="JFP81" s="21"/>
      <c r="JFQ81" s="21"/>
      <c r="JFR81" s="7"/>
      <c r="JFS81" s="7"/>
      <c r="JFT81" s="21"/>
      <c r="JFU81" s="20"/>
      <c r="JFV81" s="20"/>
      <c r="JFW81" s="20"/>
      <c r="JFX81" s="21"/>
      <c r="JFY81" s="21"/>
      <c r="JFZ81" s="21"/>
      <c r="JGA81" s="21"/>
      <c r="JGB81" s="21"/>
      <c r="JGC81" s="20"/>
      <c r="JGD81" s="20"/>
      <c r="JGE81" s="20"/>
      <c r="JGF81" s="20"/>
      <c r="JGG81" s="21"/>
      <c r="JGH81" s="21"/>
      <c r="JGI81" s="7"/>
      <c r="JGJ81" s="7"/>
      <c r="JGK81" s="21"/>
      <c r="JGL81" s="20"/>
      <c r="JGM81" s="20"/>
      <c r="JGN81" s="20"/>
      <c r="JGO81" s="21"/>
      <c r="JGP81" s="21"/>
      <c r="JGQ81" s="21"/>
      <c r="JGR81" s="21"/>
      <c r="JGS81" s="21"/>
      <c r="JGT81" s="20"/>
      <c r="JGU81" s="20"/>
      <c r="JGV81" s="20"/>
      <c r="JGW81" s="20"/>
      <c r="JGX81" s="21"/>
      <c r="JGY81" s="21"/>
      <c r="JGZ81" s="7"/>
      <c r="JHA81" s="7"/>
      <c r="JHB81" s="21"/>
      <c r="JHC81" s="20"/>
      <c r="JHD81" s="20"/>
      <c r="JHE81" s="20"/>
      <c r="JHF81" s="21"/>
      <c r="JHG81" s="21"/>
      <c r="JHH81" s="21"/>
      <c r="JHI81" s="21"/>
      <c r="JHJ81" s="21"/>
      <c r="JHK81" s="20"/>
      <c r="JHL81" s="20"/>
      <c r="JHM81" s="20"/>
      <c r="JHN81" s="20"/>
      <c r="JHO81" s="21"/>
      <c r="JHP81" s="21"/>
      <c r="JHQ81" s="7"/>
      <c r="JHR81" s="7"/>
      <c r="JHS81" s="21"/>
      <c r="JHT81" s="20"/>
      <c r="JHU81" s="20"/>
      <c r="JHV81" s="20"/>
      <c r="JHW81" s="21"/>
      <c r="JHX81" s="21"/>
      <c r="JHY81" s="21"/>
      <c r="JHZ81" s="21"/>
      <c r="JIA81" s="21"/>
      <c r="JIB81" s="20"/>
      <c r="JIC81" s="20"/>
      <c r="JID81" s="20"/>
      <c r="JIE81" s="20"/>
      <c r="JIF81" s="21"/>
      <c r="JIG81" s="21"/>
      <c r="JIH81" s="7"/>
      <c r="JII81" s="7"/>
      <c r="JIJ81" s="21"/>
      <c r="JIK81" s="20"/>
      <c r="JIL81" s="20"/>
      <c r="JIM81" s="20"/>
      <c r="JIN81" s="21"/>
      <c r="JIO81" s="21"/>
      <c r="JIP81" s="21"/>
      <c r="JIQ81" s="21"/>
      <c r="JIR81" s="21"/>
      <c r="JIS81" s="20"/>
      <c r="JIT81" s="20"/>
      <c r="JIU81" s="20"/>
      <c r="JIV81" s="20"/>
      <c r="JIW81" s="21"/>
      <c r="JIX81" s="21"/>
      <c r="JIY81" s="7"/>
      <c r="JIZ81" s="7"/>
      <c r="JJA81" s="21"/>
      <c r="JJB81" s="20"/>
      <c r="JJC81" s="20"/>
      <c r="JJD81" s="20"/>
      <c r="JJE81" s="21"/>
      <c r="JJF81" s="21"/>
      <c r="JJG81" s="21"/>
      <c r="JJH81" s="21"/>
      <c r="JJI81" s="21"/>
      <c r="JJJ81" s="20"/>
      <c r="JJK81" s="20"/>
      <c r="JJL81" s="20"/>
      <c r="JJM81" s="20"/>
      <c r="JJN81" s="21"/>
      <c r="JJO81" s="21"/>
      <c r="JJP81" s="7"/>
      <c r="JJQ81" s="7"/>
      <c r="JJR81" s="21"/>
      <c r="JJS81" s="20"/>
      <c r="JJT81" s="20"/>
      <c r="JJU81" s="20"/>
      <c r="JJV81" s="21"/>
      <c r="JJW81" s="21"/>
      <c r="JJX81" s="21"/>
      <c r="JJY81" s="21"/>
      <c r="JJZ81" s="21"/>
      <c r="JKA81" s="20"/>
      <c r="JKB81" s="20"/>
      <c r="JKC81" s="20"/>
      <c r="JKD81" s="20"/>
      <c r="JKE81" s="21"/>
      <c r="JKF81" s="21"/>
      <c r="JKG81" s="7"/>
      <c r="JKH81" s="7"/>
      <c r="JKI81" s="21"/>
      <c r="JKJ81" s="20"/>
      <c r="JKK81" s="20"/>
      <c r="JKL81" s="20"/>
      <c r="JKM81" s="21"/>
      <c r="JKN81" s="21"/>
      <c r="JKO81" s="21"/>
      <c r="JKP81" s="21"/>
      <c r="JKQ81" s="21"/>
      <c r="JKR81" s="20"/>
      <c r="JKS81" s="20"/>
      <c r="JKT81" s="20"/>
      <c r="JKU81" s="20"/>
      <c r="JKV81" s="21"/>
      <c r="JKW81" s="21"/>
      <c r="JKX81" s="7"/>
      <c r="JKY81" s="7"/>
      <c r="JKZ81" s="21"/>
      <c r="JLA81" s="20"/>
      <c r="JLB81" s="20"/>
      <c r="JLC81" s="20"/>
      <c r="JLD81" s="21"/>
      <c r="JLE81" s="21"/>
      <c r="JLF81" s="21"/>
      <c r="JLG81" s="21"/>
      <c r="JLH81" s="21"/>
      <c r="JLI81" s="20"/>
      <c r="JLJ81" s="20"/>
      <c r="JLK81" s="20"/>
      <c r="JLL81" s="20"/>
      <c r="JLM81" s="21"/>
      <c r="JLN81" s="21"/>
      <c r="JLO81" s="7"/>
      <c r="JLP81" s="7"/>
      <c r="JLQ81" s="21"/>
      <c r="JLR81" s="20"/>
      <c r="JLS81" s="20"/>
      <c r="JLT81" s="20"/>
      <c r="JLU81" s="21"/>
      <c r="JLV81" s="21"/>
      <c r="JLW81" s="21"/>
      <c r="JLX81" s="21"/>
      <c r="JLY81" s="21"/>
      <c r="JLZ81" s="20"/>
      <c r="JMA81" s="20"/>
      <c r="JMB81" s="20"/>
      <c r="JMC81" s="20"/>
      <c r="JMD81" s="21"/>
      <c r="JME81" s="21"/>
      <c r="JMF81" s="7"/>
      <c r="JMG81" s="7"/>
      <c r="JMH81" s="21"/>
      <c r="JMI81" s="20"/>
      <c r="JMJ81" s="20"/>
      <c r="JMK81" s="20"/>
      <c r="JML81" s="21"/>
      <c r="JMM81" s="21"/>
      <c r="JMN81" s="21"/>
      <c r="JMO81" s="21"/>
      <c r="JMP81" s="21"/>
      <c r="JMQ81" s="20"/>
      <c r="JMR81" s="20"/>
      <c r="JMS81" s="20"/>
      <c r="JMT81" s="20"/>
      <c r="JMU81" s="21"/>
      <c r="JMV81" s="21"/>
      <c r="JMW81" s="7"/>
      <c r="JMX81" s="7"/>
      <c r="JMY81" s="21"/>
      <c r="JMZ81" s="20"/>
      <c r="JNA81" s="20"/>
      <c r="JNB81" s="20"/>
      <c r="JNC81" s="21"/>
      <c r="JND81" s="21"/>
      <c r="JNE81" s="21"/>
      <c r="JNF81" s="21"/>
      <c r="JNG81" s="21"/>
      <c r="JNH81" s="20"/>
      <c r="JNI81" s="20"/>
      <c r="JNJ81" s="20"/>
      <c r="JNK81" s="20"/>
      <c r="JNL81" s="21"/>
      <c r="JNM81" s="21"/>
      <c r="JNN81" s="7"/>
      <c r="JNO81" s="7"/>
      <c r="JNP81" s="21"/>
      <c r="JNQ81" s="20"/>
      <c r="JNR81" s="20"/>
      <c r="JNS81" s="20"/>
      <c r="JNT81" s="21"/>
      <c r="JNU81" s="21"/>
      <c r="JNV81" s="21"/>
      <c r="JNW81" s="21"/>
      <c r="JNX81" s="21"/>
      <c r="JNY81" s="20"/>
      <c r="JNZ81" s="20"/>
      <c r="JOA81" s="20"/>
      <c r="JOB81" s="20"/>
      <c r="JOC81" s="21"/>
      <c r="JOD81" s="21"/>
      <c r="JOE81" s="7"/>
      <c r="JOF81" s="7"/>
      <c r="JOG81" s="21"/>
      <c r="JOH81" s="20"/>
      <c r="JOI81" s="20"/>
      <c r="JOJ81" s="20"/>
      <c r="JOK81" s="21"/>
      <c r="JOL81" s="21"/>
      <c r="JOM81" s="21"/>
      <c r="JON81" s="21"/>
      <c r="JOO81" s="21"/>
      <c r="JOP81" s="20"/>
      <c r="JOQ81" s="20"/>
      <c r="JOR81" s="20"/>
      <c r="JOS81" s="20"/>
      <c r="JOT81" s="21"/>
      <c r="JOU81" s="21"/>
      <c r="JOV81" s="7"/>
      <c r="JOW81" s="7"/>
      <c r="JOX81" s="21"/>
      <c r="JOY81" s="20"/>
      <c r="JOZ81" s="20"/>
      <c r="JPA81" s="20"/>
      <c r="JPB81" s="21"/>
      <c r="JPC81" s="21"/>
      <c r="JPD81" s="21"/>
      <c r="JPE81" s="21"/>
      <c r="JPF81" s="21"/>
      <c r="JPG81" s="20"/>
      <c r="JPH81" s="20"/>
      <c r="JPI81" s="20"/>
      <c r="JPJ81" s="20"/>
      <c r="JPK81" s="21"/>
      <c r="JPL81" s="21"/>
      <c r="JPM81" s="7"/>
      <c r="JPN81" s="7"/>
      <c r="JPO81" s="21"/>
      <c r="JPP81" s="20"/>
      <c r="JPQ81" s="20"/>
      <c r="JPR81" s="20"/>
      <c r="JPS81" s="21"/>
      <c r="JPT81" s="21"/>
      <c r="JPU81" s="21"/>
      <c r="JPV81" s="21"/>
      <c r="JPW81" s="21"/>
      <c r="JPX81" s="20"/>
      <c r="JPY81" s="20"/>
      <c r="JPZ81" s="20"/>
      <c r="JQA81" s="20"/>
      <c r="JQB81" s="21"/>
      <c r="JQC81" s="21"/>
      <c r="JQD81" s="7"/>
      <c r="JQE81" s="7"/>
      <c r="JQF81" s="21"/>
      <c r="JQG81" s="20"/>
      <c r="JQH81" s="20"/>
      <c r="JQI81" s="20"/>
      <c r="JQJ81" s="21"/>
      <c r="JQK81" s="21"/>
      <c r="JQL81" s="21"/>
      <c r="JQM81" s="21"/>
      <c r="JQN81" s="21"/>
      <c r="JQO81" s="20"/>
      <c r="JQP81" s="20"/>
      <c r="JQQ81" s="20"/>
      <c r="JQR81" s="20"/>
      <c r="JQS81" s="21"/>
      <c r="JQT81" s="21"/>
      <c r="JQU81" s="7"/>
      <c r="JQV81" s="7"/>
      <c r="JQW81" s="21"/>
      <c r="JQX81" s="20"/>
      <c r="JQY81" s="20"/>
      <c r="JQZ81" s="20"/>
      <c r="JRA81" s="21"/>
      <c r="JRB81" s="21"/>
      <c r="JRC81" s="21"/>
      <c r="JRD81" s="21"/>
      <c r="JRE81" s="21"/>
      <c r="JRF81" s="20"/>
      <c r="JRG81" s="20"/>
      <c r="JRH81" s="20"/>
      <c r="JRI81" s="20"/>
      <c r="JRJ81" s="21"/>
      <c r="JRK81" s="21"/>
      <c r="JRL81" s="7"/>
      <c r="JRM81" s="7"/>
      <c r="JRN81" s="21"/>
      <c r="JRO81" s="20"/>
      <c r="JRP81" s="20"/>
      <c r="JRQ81" s="20"/>
      <c r="JRR81" s="21"/>
      <c r="JRS81" s="21"/>
      <c r="JRT81" s="21"/>
      <c r="JRU81" s="21"/>
      <c r="JRV81" s="21"/>
      <c r="JRW81" s="20"/>
      <c r="JRX81" s="20"/>
      <c r="JRY81" s="20"/>
      <c r="JRZ81" s="20"/>
      <c r="JSA81" s="21"/>
      <c r="JSB81" s="21"/>
      <c r="JSC81" s="7"/>
      <c r="JSD81" s="7"/>
      <c r="JSE81" s="21"/>
      <c r="JSF81" s="20"/>
      <c r="JSG81" s="20"/>
      <c r="JSH81" s="20"/>
      <c r="JSI81" s="21"/>
      <c r="JSJ81" s="21"/>
      <c r="JSK81" s="21"/>
      <c r="JSL81" s="21"/>
      <c r="JSM81" s="21"/>
      <c r="JSN81" s="20"/>
      <c r="JSO81" s="20"/>
      <c r="JSP81" s="20"/>
      <c r="JSQ81" s="20"/>
      <c r="JSR81" s="21"/>
      <c r="JSS81" s="21"/>
      <c r="JST81" s="7"/>
      <c r="JSU81" s="7"/>
      <c r="JSV81" s="21"/>
      <c r="JSW81" s="20"/>
      <c r="JSX81" s="20"/>
      <c r="JSY81" s="20"/>
      <c r="JSZ81" s="21"/>
      <c r="JTA81" s="21"/>
      <c r="JTB81" s="21"/>
      <c r="JTC81" s="21"/>
      <c r="JTD81" s="21"/>
      <c r="JTE81" s="20"/>
      <c r="JTF81" s="20"/>
      <c r="JTG81" s="20"/>
      <c r="JTH81" s="20"/>
      <c r="JTI81" s="21"/>
      <c r="JTJ81" s="21"/>
      <c r="JTK81" s="7"/>
      <c r="JTL81" s="7"/>
      <c r="JTM81" s="21"/>
      <c r="JTN81" s="20"/>
      <c r="JTO81" s="20"/>
      <c r="JTP81" s="20"/>
      <c r="JTQ81" s="21"/>
      <c r="JTR81" s="21"/>
      <c r="JTS81" s="21"/>
      <c r="JTT81" s="21"/>
      <c r="JTU81" s="21"/>
      <c r="JTV81" s="20"/>
      <c r="JTW81" s="20"/>
      <c r="JTX81" s="20"/>
      <c r="JTY81" s="20"/>
      <c r="JTZ81" s="21"/>
      <c r="JUA81" s="21"/>
      <c r="JUB81" s="7"/>
      <c r="JUC81" s="7"/>
      <c r="JUD81" s="21"/>
      <c r="JUE81" s="20"/>
      <c r="JUF81" s="20"/>
      <c r="JUG81" s="20"/>
      <c r="JUH81" s="21"/>
      <c r="JUI81" s="21"/>
      <c r="JUJ81" s="21"/>
      <c r="JUK81" s="21"/>
      <c r="JUL81" s="21"/>
      <c r="JUM81" s="20"/>
      <c r="JUN81" s="20"/>
      <c r="JUO81" s="20"/>
      <c r="JUP81" s="20"/>
      <c r="JUQ81" s="21"/>
      <c r="JUR81" s="21"/>
      <c r="JUS81" s="7"/>
      <c r="JUT81" s="7"/>
      <c r="JUU81" s="21"/>
      <c r="JUV81" s="20"/>
      <c r="JUW81" s="20"/>
      <c r="JUX81" s="20"/>
      <c r="JUY81" s="21"/>
      <c r="JUZ81" s="21"/>
      <c r="JVA81" s="21"/>
      <c r="JVB81" s="21"/>
      <c r="JVC81" s="21"/>
      <c r="JVD81" s="20"/>
      <c r="JVE81" s="20"/>
      <c r="JVF81" s="20"/>
      <c r="JVG81" s="20"/>
      <c r="JVH81" s="21"/>
      <c r="JVI81" s="21"/>
      <c r="JVJ81" s="7"/>
      <c r="JVK81" s="7"/>
      <c r="JVL81" s="21"/>
      <c r="JVM81" s="20"/>
      <c r="JVN81" s="20"/>
      <c r="JVO81" s="20"/>
      <c r="JVP81" s="21"/>
      <c r="JVQ81" s="21"/>
      <c r="JVR81" s="21"/>
      <c r="JVS81" s="21"/>
      <c r="JVT81" s="21"/>
      <c r="JVU81" s="20"/>
      <c r="JVV81" s="20"/>
      <c r="JVW81" s="20"/>
      <c r="JVX81" s="20"/>
      <c r="JVY81" s="21"/>
      <c r="JVZ81" s="21"/>
      <c r="JWA81" s="7"/>
      <c r="JWB81" s="7"/>
      <c r="JWC81" s="21"/>
      <c r="JWD81" s="20"/>
      <c r="JWE81" s="20"/>
      <c r="JWF81" s="20"/>
      <c r="JWG81" s="21"/>
      <c r="JWH81" s="21"/>
      <c r="JWI81" s="21"/>
      <c r="JWJ81" s="21"/>
      <c r="JWK81" s="21"/>
      <c r="JWL81" s="20"/>
      <c r="JWM81" s="20"/>
      <c r="JWN81" s="20"/>
      <c r="JWO81" s="20"/>
      <c r="JWP81" s="21"/>
      <c r="JWQ81" s="21"/>
      <c r="JWR81" s="7"/>
      <c r="JWS81" s="7"/>
      <c r="JWT81" s="21"/>
      <c r="JWU81" s="20"/>
      <c r="JWV81" s="20"/>
      <c r="JWW81" s="20"/>
      <c r="JWX81" s="21"/>
      <c r="JWY81" s="21"/>
      <c r="JWZ81" s="21"/>
      <c r="JXA81" s="21"/>
      <c r="JXB81" s="21"/>
      <c r="JXC81" s="20"/>
      <c r="JXD81" s="20"/>
      <c r="JXE81" s="20"/>
      <c r="JXF81" s="20"/>
      <c r="JXG81" s="21"/>
      <c r="JXH81" s="21"/>
      <c r="JXI81" s="7"/>
      <c r="JXJ81" s="7"/>
      <c r="JXK81" s="21"/>
      <c r="JXL81" s="20"/>
      <c r="JXM81" s="20"/>
      <c r="JXN81" s="20"/>
      <c r="JXO81" s="21"/>
      <c r="JXP81" s="21"/>
      <c r="JXQ81" s="21"/>
      <c r="JXR81" s="21"/>
      <c r="JXS81" s="21"/>
      <c r="JXT81" s="20"/>
      <c r="JXU81" s="20"/>
      <c r="JXV81" s="20"/>
      <c r="JXW81" s="20"/>
      <c r="JXX81" s="21"/>
      <c r="JXY81" s="21"/>
      <c r="JXZ81" s="7"/>
      <c r="JYA81" s="7"/>
      <c r="JYB81" s="21"/>
      <c r="JYC81" s="20"/>
      <c r="JYD81" s="20"/>
      <c r="JYE81" s="20"/>
      <c r="JYF81" s="21"/>
      <c r="JYG81" s="21"/>
      <c r="JYH81" s="21"/>
      <c r="JYI81" s="21"/>
      <c r="JYJ81" s="21"/>
      <c r="JYK81" s="20"/>
      <c r="JYL81" s="20"/>
      <c r="JYM81" s="20"/>
      <c r="JYN81" s="20"/>
      <c r="JYO81" s="21"/>
      <c r="JYP81" s="21"/>
      <c r="JYQ81" s="7"/>
      <c r="JYR81" s="7"/>
      <c r="JYS81" s="21"/>
      <c r="JYT81" s="20"/>
      <c r="JYU81" s="20"/>
      <c r="JYV81" s="20"/>
      <c r="JYW81" s="21"/>
      <c r="JYX81" s="21"/>
      <c r="JYY81" s="21"/>
      <c r="JYZ81" s="21"/>
      <c r="JZA81" s="21"/>
      <c r="JZB81" s="20"/>
      <c r="JZC81" s="20"/>
      <c r="JZD81" s="20"/>
      <c r="JZE81" s="20"/>
      <c r="JZF81" s="21"/>
      <c r="JZG81" s="21"/>
      <c r="JZH81" s="7"/>
      <c r="JZI81" s="7"/>
      <c r="JZJ81" s="21"/>
      <c r="JZK81" s="20"/>
      <c r="JZL81" s="20"/>
      <c r="JZM81" s="20"/>
      <c r="JZN81" s="21"/>
      <c r="JZO81" s="21"/>
      <c r="JZP81" s="21"/>
      <c r="JZQ81" s="21"/>
      <c r="JZR81" s="21"/>
      <c r="JZS81" s="20"/>
      <c r="JZT81" s="20"/>
      <c r="JZU81" s="20"/>
      <c r="JZV81" s="20"/>
      <c r="JZW81" s="21"/>
      <c r="JZX81" s="21"/>
      <c r="JZY81" s="7"/>
      <c r="JZZ81" s="7"/>
      <c r="KAA81" s="21"/>
      <c r="KAB81" s="20"/>
      <c r="KAC81" s="20"/>
      <c r="KAD81" s="20"/>
      <c r="KAE81" s="21"/>
      <c r="KAF81" s="21"/>
      <c r="KAG81" s="21"/>
      <c r="KAH81" s="21"/>
      <c r="KAI81" s="21"/>
      <c r="KAJ81" s="20"/>
      <c r="KAK81" s="20"/>
      <c r="KAL81" s="20"/>
      <c r="KAM81" s="20"/>
      <c r="KAN81" s="21"/>
      <c r="KAO81" s="21"/>
      <c r="KAP81" s="7"/>
      <c r="KAQ81" s="7"/>
      <c r="KAR81" s="21"/>
      <c r="KAS81" s="20"/>
      <c r="KAT81" s="20"/>
      <c r="KAU81" s="20"/>
      <c r="KAV81" s="21"/>
      <c r="KAW81" s="21"/>
      <c r="KAX81" s="21"/>
      <c r="KAY81" s="21"/>
      <c r="KAZ81" s="21"/>
      <c r="KBA81" s="20"/>
      <c r="KBB81" s="20"/>
      <c r="KBC81" s="20"/>
      <c r="KBD81" s="20"/>
      <c r="KBE81" s="21"/>
      <c r="KBF81" s="21"/>
      <c r="KBG81" s="7"/>
      <c r="KBH81" s="7"/>
      <c r="KBI81" s="21"/>
      <c r="KBJ81" s="20"/>
      <c r="KBK81" s="20"/>
      <c r="KBL81" s="20"/>
      <c r="KBM81" s="21"/>
      <c r="KBN81" s="21"/>
      <c r="KBO81" s="21"/>
      <c r="KBP81" s="21"/>
      <c r="KBQ81" s="21"/>
      <c r="KBR81" s="20"/>
      <c r="KBS81" s="20"/>
      <c r="KBT81" s="20"/>
      <c r="KBU81" s="20"/>
      <c r="KBV81" s="21"/>
      <c r="KBW81" s="21"/>
      <c r="KBX81" s="7"/>
      <c r="KBY81" s="7"/>
      <c r="KBZ81" s="21"/>
      <c r="KCA81" s="20"/>
      <c r="KCB81" s="20"/>
      <c r="KCC81" s="20"/>
      <c r="KCD81" s="21"/>
      <c r="KCE81" s="21"/>
      <c r="KCF81" s="21"/>
      <c r="KCG81" s="21"/>
      <c r="KCH81" s="21"/>
      <c r="KCI81" s="20"/>
      <c r="KCJ81" s="20"/>
      <c r="KCK81" s="20"/>
      <c r="KCL81" s="20"/>
      <c r="KCM81" s="21"/>
      <c r="KCN81" s="21"/>
      <c r="KCO81" s="7"/>
      <c r="KCP81" s="7"/>
      <c r="KCQ81" s="21"/>
      <c r="KCR81" s="20"/>
      <c r="KCS81" s="20"/>
      <c r="KCT81" s="20"/>
      <c r="KCU81" s="21"/>
      <c r="KCV81" s="21"/>
      <c r="KCW81" s="21"/>
      <c r="KCX81" s="21"/>
      <c r="KCY81" s="21"/>
      <c r="KCZ81" s="20"/>
      <c r="KDA81" s="20"/>
      <c r="KDB81" s="20"/>
      <c r="KDC81" s="20"/>
      <c r="KDD81" s="21"/>
      <c r="KDE81" s="21"/>
      <c r="KDF81" s="7"/>
      <c r="KDG81" s="7"/>
      <c r="KDH81" s="21"/>
      <c r="KDI81" s="20"/>
      <c r="KDJ81" s="20"/>
      <c r="KDK81" s="20"/>
      <c r="KDL81" s="21"/>
      <c r="KDM81" s="21"/>
      <c r="KDN81" s="21"/>
      <c r="KDO81" s="21"/>
      <c r="KDP81" s="21"/>
      <c r="KDQ81" s="20"/>
      <c r="KDR81" s="20"/>
      <c r="KDS81" s="20"/>
      <c r="KDT81" s="20"/>
      <c r="KDU81" s="21"/>
      <c r="KDV81" s="21"/>
      <c r="KDW81" s="7"/>
      <c r="KDX81" s="7"/>
      <c r="KDY81" s="21"/>
      <c r="KDZ81" s="20"/>
      <c r="KEA81" s="20"/>
      <c r="KEB81" s="20"/>
      <c r="KEC81" s="21"/>
      <c r="KED81" s="21"/>
      <c r="KEE81" s="21"/>
      <c r="KEF81" s="21"/>
      <c r="KEG81" s="21"/>
      <c r="KEH81" s="20"/>
      <c r="KEI81" s="20"/>
      <c r="KEJ81" s="20"/>
      <c r="KEK81" s="20"/>
      <c r="KEL81" s="21"/>
      <c r="KEM81" s="21"/>
      <c r="KEN81" s="7"/>
      <c r="KEO81" s="7"/>
      <c r="KEP81" s="21"/>
      <c r="KEQ81" s="20"/>
      <c r="KER81" s="20"/>
      <c r="KES81" s="20"/>
      <c r="KET81" s="21"/>
      <c r="KEU81" s="21"/>
      <c r="KEV81" s="21"/>
      <c r="KEW81" s="21"/>
      <c r="KEX81" s="21"/>
      <c r="KEY81" s="20"/>
      <c r="KEZ81" s="20"/>
      <c r="KFA81" s="20"/>
      <c r="KFB81" s="20"/>
      <c r="KFC81" s="21"/>
      <c r="KFD81" s="21"/>
      <c r="KFE81" s="7"/>
      <c r="KFF81" s="7"/>
      <c r="KFG81" s="21"/>
      <c r="KFH81" s="20"/>
      <c r="KFI81" s="20"/>
      <c r="KFJ81" s="20"/>
      <c r="KFK81" s="21"/>
      <c r="KFL81" s="21"/>
      <c r="KFM81" s="21"/>
      <c r="KFN81" s="21"/>
      <c r="KFO81" s="21"/>
      <c r="KFP81" s="20"/>
      <c r="KFQ81" s="20"/>
      <c r="KFR81" s="20"/>
      <c r="KFS81" s="20"/>
      <c r="KFT81" s="21"/>
      <c r="KFU81" s="21"/>
      <c r="KFV81" s="7"/>
      <c r="KFW81" s="7"/>
      <c r="KFX81" s="21"/>
      <c r="KFY81" s="20"/>
      <c r="KFZ81" s="20"/>
      <c r="KGA81" s="20"/>
      <c r="KGB81" s="21"/>
      <c r="KGC81" s="21"/>
      <c r="KGD81" s="21"/>
      <c r="KGE81" s="21"/>
      <c r="KGF81" s="21"/>
      <c r="KGG81" s="20"/>
      <c r="KGH81" s="20"/>
      <c r="KGI81" s="20"/>
      <c r="KGJ81" s="20"/>
      <c r="KGK81" s="21"/>
      <c r="KGL81" s="21"/>
      <c r="KGM81" s="7"/>
      <c r="KGN81" s="7"/>
      <c r="KGO81" s="21"/>
      <c r="KGP81" s="20"/>
      <c r="KGQ81" s="20"/>
      <c r="KGR81" s="20"/>
      <c r="KGS81" s="21"/>
      <c r="KGT81" s="21"/>
      <c r="KGU81" s="21"/>
      <c r="KGV81" s="21"/>
      <c r="KGW81" s="21"/>
      <c r="KGX81" s="20"/>
      <c r="KGY81" s="20"/>
      <c r="KGZ81" s="20"/>
      <c r="KHA81" s="20"/>
      <c r="KHB81" s="21"/>
      <c r="KHC81" s="21"/>
      <c r="KHD81" s="7"/>
      <c r="KHE81" s="7"/>
      <c r="KHF81" s="21"/>
      <c r="KHG81" s="20"/>
      <c r="KHH81" s="20"/>
      <c r="KHI81" s="20"/>
      <c r="KHJ81" s="21"/>
      <c r="KHK81" s="21"/>
      <c r="KHL81" s="21"/>
      <c r="KHM81" s="21"/>
      <c r="KHN81" s="21"/>
      <c r="KHO81" s="20"/>
      <c r="KHP81" s="20"/>
      <c r="KHQ81" s="20"/>
      <c r="KHR81" s="20"/>
      <c r="KHS81" s="21"/>
      <c r="KHT81" s="21"/>
      <c r="KHU81" s="7"/>
      <c r="KHV81" s="7"/>
      <c r="KHW81" s="21"/>
      <c r="KHX81" s="20"/>
      <c r="KHY81" s="20"/>
      <c r="KHZ81" s="20"/>
      <c r="KIA81" s="21"/>
      <c r="KIB81" s="21"/>
      <c r="KIC81" s="21"/>
      <c r="KID81" s="21"/>
      <c r="KIE81" s="21"/>
      <c r="KIF81" s="20"/>
      <c r="KIG81" s="20"/>
      <c r="KIH81" s="20"/>
      <c r="KII81" s="20"/>
      <c r="KIJ81" s="21"/>
      <c r="KIK81" s="21"/>
      <c r="KIL81" s="7"/>
      <c r="KIM81" s="7"/>
      <c r="KIN81" s="21"/>
      <c r="KIO81" s="20"/>
      <c r="KIP81" s="20"/>
      <c r="KIQ81" s="20"/>
      <c r="KIR81" s="21"/>
      <c r="KIS81" s="21"/>
      <c r="KIT81" s="21"/>
      <c r="KIU81" s="21"/>
      <c r="KIV81" s="21"/>
      <c r="KIW81" s="20"/>
      <c r="KIX81" s="20"/>
      <c r="KIY81" s="20"/>
      <c r="KIZ81" s="20"/>
      <c r="KJA81" s="21"/>
      <c r="KJB81" s="21"/>
      <c r="KJC81" s="7"/>
      <c r="KJD81" s="7"/>
      <c r="KJE81" s="21"/>
      <c r="KJF81" s="20"/>
      <c r="KJG81" s="20"/>
      <c r="KJH81" s="20"/>
      <c r="KJI81" s="21"/>
      <c r="KJJ81" s="21"/>
      <c r="KJK81" s="21"/>
      <c r="KJL81" s="21"/>
      <c r="KJM81" s="21"/>
      <c r="KJN81" s="20"/>
      <c r="KJO81" s="20"/>
      <c r="KJP81" s="20"/>
      <c r="KJQ81" s="20"/>
      <c r="KJR81" s="21"/>
      <c r="KJS81" s="21"/>
      <c r="KJT81" s="7"/>
      <c r="KJU81" s="7"/>
      <c r="KJV81" s="21"/>
      <c r="KJW81" s="20"/>
      <c r="KJX81" s="20"/>
      <c r="KJY81" s="20"/>
      <c r="KJZ81" s="21"/>
      <c r="KKA81" s="21"/>
      <c r="KKB81" s="21"/>
      <c r="KKC81" s="21"/>
      <c r="KKD81" s="21"/>
      <c r="KKE81" s="20"/>
      <c r="KKF81" s="20"/>
      <c r="KKG81" s="20"/>
      <c r="KKH81" s="20"/>
      <c r="KKI81" s="21"/>
      <c r="KKJ81" s="21"/>
      <c r="KKK81" s="7"/>
      <c r="KKL81" s="7"/>
      <c r="KKM81" s="21"/>
      <c r="KKN81" s="20"/>
      <c r="KKO81" s="20"/>
      <c r="KKP81" s="20"/>
      <c r="KKQ81" s="21"/>
      <c r="KKR81" s="21"/>
      <c r="KKS81" s="21"/>
      <c r="KKT81" s="21"/>
      <c r="KKU81" s="21"/>
      <c r="KKV81" s="20"/>
      <c r="KKW81" s="20"/>
      <c r="KKX81" s="20"/>
      <c r="KKY81" s="20"/>
      <c r="KKZ81" s="21"/>
      <c r="KLA81" s="21"/>
      <c r="KLB81" s="7"/>
      <c r="KLC81" s="7"/>
      <c r="KLD81" s="21"/>
      <c r="KLE81" s="20"/>
      <c r="KLF81" s="20"/>
      <c r="KLG81" s="20"/>
      <c r="KLH81" s="21"/>
      <c r="KLI81" s="21"/>
      <c r="KLJ81" s="21"/>
      <c r="KLK81" s="21"/>
      <c r="KLL81" s="21"/>
      <c r="KLM81" s="20"/>
      <c r="KLN81" s="20"/>
      <c r="KLO81" s="20"/>
      <c r="KLP81" s="20"/>
      <c r="KLQ81" s="21"/>
      <c r="KLR81" s="21"/>
      <c r="KLS81" s="7"/>
      <c r="KLT81" s="7"/>
      <c r="KLU81" s="21"/>
      <c r="KLV81" s="20"/>
      <c r="KLW81" s="20"/>
      <c r="KLX81" s="20"/>
      <c r="KLY81" s="21"/>
      <c r="KLZ81" s="21"/>
      <c r="KMA81" s="21"/>
      <c r="KMB81" s="21"/>
      <c r="KMC81" s="21"/>
      <c r="KMD81" s="20"/>
      <c r="KME81" s="20"/>
      <c r="KMF81" s="20"/>
      <c r="KMG81" s="20"/>
      <c r="KMH81" s="21"/>
      <c r="KMI81" s="21"/>
      <c r="KMJ81" s="7"/>
      <c r="KMK81" s="7"/>
      <c r="KML81" s="21"/>
      <c r="KMM81" s="20"/>
      <c r="KMN81" s="20"/>
      <c r="KMO81" s="20"/>
      <c r="KMP81" s="21"/>
      <c r="KMQ81" s="21"/>
      <c r="KMR81" s="21"/>
      <c r="KMS81" s="21"/>
      <c r="KMT81" s="21"/>
      <c r="KMU81" s="20"/>
      <c r="KMV81" s="20"/>
      <c r="KMW81" s="20"/>
      <c r="KMX81" s="20"/>
      <c r="KMY81" s="21"/>
      <c r="KMZ81" s="21"/>
      <c r="KNA81" s="7"/>
      <c r="KNB81" s="7"/>
      <c r="KNC81" s="21"/>
      <c r="KND81" s="20"/>
      <c r="KNE81" s="20"/>
      <c r="KNF81" s="20"/>
      <c r="KNG81" s="21"/>
      <c r="KNH81" s="21"/>
      <c r="KNI81" s="21"/>
      <c r="KNJ81" s="21"/>
      <c r="KNK81" s="21"/>
      <c r="KNL81" s="20"/>
      <c r="KNM81" s="20"/>
      <c r="KNN81" s="20"/>
      <c r="KNO81" s="20"/>
      <c r="KNP81" s="21"/>
      <c r="KNQ81" s="21"/>
      <c r="KNR81" s="7"/>
      <c r="KNS81" s="7"/>
      <c r="KNT81" s="21"/>
      <c r="KNU81" s="20"/>
      <c r="KNV81" s="20"/>
      <c r="KNW81" s="20"/>
      <c r="KNX81" s="21"/>
      <c r="KNY81" s="21"/>
      <c r="KNZ81" s="21"/>
      <c r="KOA81" s="21"/>
      <c r="KOB81" s="21"/>
      <c r="KOC81" s="20"/>
      <c r="KOD81" s="20"/>
      <c r="KOE81" s="20"/>
      <c r="KOF81" s="20"/>
      <c r="KOG81" s="21"/>
      <c r="KOH81" s="21"/>
      <c r="KOI81" s="7"/>
      <c r="KOJ81" s="7"/>
      <c r="KOK81" s="21"/>
      <c r="KOL81" s="20"/>
      <c r="KOM81" s="20"/>
      <c r="KON81" s="20"/>
      <c r="KOO81" s="21"/>
      <c r="KOP81" s="21"/>
      <c r="KOQ81" s="21"/>
      <c r="KOR81" s="21"/>
      <c r="KOS81" s="21"/>
      <c r="KOT81" s="20"/>
      <c r="KOU81" s="20"/>
      <c r="KOV81" s="20"/>
      <c r="KOW81" s="20"/>
      <c r="KOX81" s="21"/>
      <c r="KOY81" s="21"/>
      <c r="KOZ81" s="7"/>
      <c r="KPA81" s="7"/>
      <c r="KPB81" s="21"/>
      <c r="KPC81" s="20"/>
      <c r="KPD81" s="20"/>
      <c r="KPE81" s="20"/>
      <c r="KPF81" s="21"/>
      <c r="KPG81" s="21"/>
      <c r="KPH81" s="21"/>
      <c r="KPI81" s="21"/>
      <c r="KPJ81" s="21"/>
      <c r="KPK81" s="20"/>
      <c r="KPL81" s="20"/>
      <c r="KPM81" s="20"/>
      <c r="KPN81" s="20"/>
      <c r="KPO81" s="21"/>
      <c r="KPP81" s="21"/>
      <c r="KPQ81" s="7"/>
      <c r="KPR81" s="7"/>
      <c r="KPS81" s="21"/>
      <c r="KPT81" s="20"/>
      <c r="KPU81" s="20"/>
      <c r="KPV81" s="20"/>
      <c r="KPW81" s="21"/>
      <c r="KPX81" s="21"/>
      <c r="KPY81" s="21"/>
      <c r="KPZ81" s="21"/>
      <c r="KQA81" s="21"/>
      <c r="KQB81" s="20"/>
      <c r="KQC81" s="20"/>
      <c r="KQD81" s="20"/>
      <c r="KQE81" s="20"/>
      <c r="KQF81" s="21"/>
      <c r="KQG81" s="21"/>
      <c r="KQH81" s="7"/>
      <c r="KQI81" s="7"/>
      <c r="KQJ81" s="21"/>
      <c r="KQK81" s="20"/>
      <c r="KQL81" s="20"/>
      <c r="KQM81" s="20"/>
      <c r="KQN81" s="21"/>
      <c r="KQO81" s="21"/>
      <c r="KQP81" s="21"/>
      <c r="KQQ81" s="21"/>
      <c r="KQR81" s="21"/>
      <c r="KQS81" s="20"/>
      <c r="KQT81" s="20"/>
      <c r="KQU81" s="20"/>
      <c r="KQV81" s="20"/>
      <c r="KQW81" s="21"/>
      <c r="KQX81" s="21"/>
      <c r="KQY81" s="7"/>
      <c r="KQZ81" s="7"/>
      <c r="KRA81" s="21"/>
      <c r="KRB81" s="20"/>
      <c r="KRC81" s="20"/>
      <c r="KRD81" s="20"/>
      <c r="KRE81" s="21"/>
      <c r="KRF81" s="21"/>
      <c r="KRG81" s="21"/>
      <c r="KRH81" s="21"/>
      <c r="KRI81" s="21"/>
      <c r="KRJ81" s="20"/>
      <c r="KRK81" s="20"/>
      <c r="KRL81" s="20"/>
      <c r="KRM81" s="20"/>
      <c r="KRN81" s="21"/>
      <c r="KRO81" s="21"/>
      <c r="KRP81" s="7"/>
      <c r="KRQ81" s="7"/>
      <c r="KRR81" s="21"/>
      <c r="KRS81" s="20"/>
      <c r="KRT81" s="20"/>
      <c r="KRU81" s="20"/>
      <c r="KRV81" s="21"/>
      <c r="KRW81" s="21"/>
      <c r="KRX81" s="21"/>
      <c r="KRY81" s="21"/>
      <c r="KRZ81" s="21"/>
      <c r="KSA81" s="20"/>
      <c r="KSB81" s="20"/>
      <c r="KSC81" s="20"/>
      <c r="KSD81" s="20"/>
      <c r="KSE81" s="21"/>
      <c r="KSF81" s="21"/>
      <c r="KSG81" s="7"/>
      <c r="KSH81" s="7"/>
      <c r="KSI81" s="21"/>
      <c r="KSJ81" s="20"/>
      <c r="KSK81" s="20"/>
      <c r="KSL81" s="20"/>
      <c r="KSM81" s="21"/>
      <c r="KSN81" s="21"/>
      <c r="KSO81" s="21"/>
      <c r="KSP81" s="21"/>
      <c r="KSQ81" s="21"/>
      <c r="KSR81" s="20"/>
      <c r="KSS81" s="20"/>
      <c r="KST81" s="20"/>
      <c r="KSU81" s="20"/>
      <c r="KSV81" s="21"/>
      <c r="KSW81" s="21"/>
      <c r="KSX81" s="7"/>
      <c r="KSY81" s="7"/>
      <c r="KSZ81" s="21"/>
      <c r="KTA81" s="20"/>
      <c r="KTB81" s="20"/>
      <c r="KTC81" s="20"/>
      <c r="KTD81" s="21"/>
      <c r="KTE81" s="21"/>
      <c r="KTF81" s="21"/>
      <c r="KTG81" s="21"/>
      <c r="KTH81" s="21"/>
      <c r="KTI81" s="20"/>
      <c r="KTJ81" s="20"/>
      <c r="KTK81" s="20"/>
      <c r="KTL81" s="20"/>
      <c r="KTM81" s="21"/>
      <c r="KTN81" s="21"/>
      <c r="KTO81" s="7"/>
      <c r="KTP81" s="7"/>
      <c r="KTQ81" s="21"/>
      <c r="KTR81" s="20"/>
      <c r="KTS81" s="20"/>
      <c r="KTT81" s="20"/>
      <c r="KTU81" s="21"/>
      <c r="KTV81" s="21"/>
      <c r="KTW81" s="21"/>
      <c r="KTX81" s="21"/>
      <c r="KTY81" s="21"/>
      <c r="KTZ81" s="20"/>
      <c r="KUA81" s="20"/>
      <c r="KUB81" s="20"/>
      <c r="KUC81" s="20"/>
      <c r="KUD81" s="21"/>
      <c r="KUE81" s="21"/>
      <c r="KUF81" s="7"/>
      <c r="KUG81" s="7"/>
      <c r="KUH81" s="21"/>
      <c r="KUI81" s="20"/>
      <c r="KUJ81" s="20"/>
      <c r="KUK81" s="20"/>
      <c r="KUL81" s="21"/>
      <c r="KUM81" s="21"/>
      <c r="KUN81" s="21"/>
      <c r="KUO81" s="21"/>
      <c r="KUP81" s="21"/>
      <c r="KUQ81" s="20"/>
      <c r="KUR81" s="20"/>
      <c r="KUS81" s="20"/>
      <c r="KUT81" s="20"/>
      <c r="KUU81" s="21"/>
      <c r="KUV81" s="21"/>
      <c r="KUW81" s="7"/>
      <c r="KUX81" s="7"/>
      <c r="KUY81" s="21"/>
      <c r="KUZ81" s="20"/>
      <c r="KVA81" s="20"/>
      <c r="KVB81" s="20"/>
      <c r="KVC81" s="21"/>
      <c r="KVD81" s="21"/>
      <c r="KVE81" s="21"/>
      <c r="KVF81" s="21"/>
      <c r="KVG81" s="21"/>
      <c r="KVH81" s="20"/>
      <c r="KVI81" s="20"/>
      <c r="KVJ81" s="20"/>
      <c r="KVK81" s="20"/>
      <c r="KVL81" s="21"/>
      <c r="KVM81" s="21"/>
      <c r="KVN81" s="7"/>
      <c r="KVO81" s="7"/>
      <c r="KVP81" s="21"/>
      <c r="KVQ81" s="20"/>
      <c r="KVR81" s="20"/>
      <c r="KVS81" s="20"/>
      <c r="KVT81" s="21"/>
      <c r="KVU81" s="21"/>
      <c r="KVV81" s="21"/>
      <c r="KVW81" s="21"/>
      <c r="KVX81" s="21"/>
      <c r="KVY81" s="20"/>
      <c r="KVZ81" s="20"/>
      <c r="KWA81" s="20"/>
      <c r="KWB81" s="20"/>
      <c r="KWC81" s="21"/>
      <c r="KWD81" s="21"/>
      <c r="KWE81" s="7"/>
      <c r="KWF81" s="7"/>
      <c r="KWG81" s="21"/>
      <c r="KWH81" s="20"/>
      <c r="KWI81" s="20"/>
      <c r="KWJ81" s="20"/>
      <c r="KWK81" s="21"/>
      <c r="KWL81" s="21"/>
      <c r="KWM81" s="21"/>
      <c r="KWN81" s="21"/>
      <c r="KWO81" s="21"/>
      <c r="KWP81" s="20"/>
      <c r="KWQ81" s="20"/>
      <c r="KWR81" s="20"/>
      <c r="KWS81" s="20"/>
      <c r="KWT81" s="21"/>
      <c r="KWU81" s="21"/>
      <c r="KWV81" s="7"/>
      <c r="KWW81" s="7"/>
      <c r="KWX81" s="21"/>
      <c r="KWY81" s="20"/>
      <c r="KWZ81" s="20"/>
      <c r="KXA81" s="20"/>
      <c r="KXB81" s="21"/>
      <c r="KXC81" s="21"/>
      <c r="KXD81" s="21"/>
      <c r="KXE81" s="21"/>
      <c r="KXF81" s="21"/>
      <c r="KXG81" s="20"/>
      <c r="KXH81" s="20"/>
      <c r="KXI81" s="20"/>
      <c r="KXJ81" s="20"/>
      <c r="KXK81" s="21"/>
      <c r="KXL81" s="21"/>
      <c r="KXM81" s="7"/>
      <c r="KXN81" s="7"/>
      <c r="KXO81" s="21"/>
      <c r="KXP81" s="20"/>
      <c r="KXQ81" s="20"/>
      <c r="KXR81" s="20"/>
      <c r="KXS81" s="21"/>
      <c r="KXT81" s="21"/>
      <c r="KXU81" s="21"/>
      <c r="KXV81" s="21"/>
      <c r="KXW81" s="21"/>
      <c r="KXX81" s="20"/>
      <c r="KXY81" s="20"/>
      <c r="KXZ81" s="20"/>
      <c r="KYA81" s="20"/>
      <c r="KYB81" s="21"/>
      <c r="KYC81" s="21"/>
      <c r="KYD81" s="7"/>
      <c r="KYE81" s="7"/>
      <c r="KYF81" s="21"/>
      <c r="KYG81" s="20"/>
      <c r="KYH81" s="20"/>
      <c r="KYI81" s="20"/>
      <c r="KYJ81" s="21"/>
      <c r="KYK81" s="21"/>
      <c r="KYL81" s="21"/>
      <c r="KYM81" s="21"/>
      <c r="KYN81" s="21"/>
      <c r="KYO81" s="20"/>
      <c r="KYP81" s="20"/>
      <c r="KYQ81" s="20"/>
      <c r="KYR81" s="20"/>
      <c r="KYS81" s="21"/>
      <c r="KYT81" s="21"/>
      <c r="KYU81" s="7"/>
      <c r="KYV81" s="7"/>
      <c r="KYW81" s="21"/>
      <c r="KYX81" s="20"/>
      <c r="KYY81" s="20"/>
      <c r="KYZ81" s="20"/>
      <c r="KZA81" s="21"/>
      <c r="KZB81" s="21"/>
      <c r="KZC81" s="21"/>
      <c r="KZD81" s="21"/>
      <c r="KZE81" s="21"/>
      <c r="KZF81" s="20"/>
      <c r="KZG81" s="20"/>
      <c r="KZH81" s="20"/>
      <c r="KZI81" s="20"/>
      <c r="KZJ81" s="21"/>
      <c r="KZK81" s="21"/>
      <c r="KZL81" s="7"/>
      <c r="KZM81" s="7"/>
      <c r="KZN81" s="21"/>
      <c r="KZO81" s="20"/>
      <c r="KZP81" s="20"/>
      <c r="KZQ81" s="20"/>
      <c r="KZR81" s="21"/>
      <c r="KZS81" s="21"/>
      <c r="KZT81" s="21"/>
      <c r="KZU81" s="21"/>
      <c r="KZV81" s="21"/>
      <c r="KZW81" s="20"/>
      <c r="KZX81" s="20"/>
      <c r="KZY81" s="20"/>
      <c r="KZZ81" s="20"/>
      <c r="LAA81" s="21"/>
      <c r="LAB81" s="21"/>
      <c r="LAC81" s="7"/>
      <c r="LAD81" s="7"/>
      <c r="LAE81" s="21"/>
      <c r="LAF81" s="20"/>
      <c r="LAG81" s="20"/>
      <c r="LAH81" s="20"/>
      <c r="LAI81" s="21"/>
      <c r="LAJ81" s="21"/>
      <c r="LAK81" s="21"/>
      <c r="LAL81" s="21"/>
      <c r="LAM81" s="21"/>
      <c r="LAN81" s="20"/>
      <c r="LAO81" s="20"/>
      <c r="LAP81" s="20"/>
      <c r="LAQ81" s="20"/>
      <c r="LAR81" s="21"/>
      <c r="LAS81" s="21"/>
      <c r="LAT81" s="7"/>
      <c r="LAU81" s="7"/>
      <c r="LAV81" s="21"/>
      <c r="LAW81" s="20"/>
      <c r="LAX81" s="20"/>
      <c r="LAY81" s="20"/>
      <c r="LAZ81" s="21"/>
      <c r="LBA81" s="21"/>
      <c r="LBB81" s="21"/>
      <c r="LBC81" s="21"/>
      <c r="LBD81" s="21"/>
      <c r="LBE81" s="20"/>
      <c r="LBF81" s="20"/>
      <c r="LBG81" s="20"/>
      <c r="LBH81" s="20"/>
      <c r="LBI81" s="21"/>
      <c r="LBJ81" s="21"/>
      <c r="LBK81" s="7"/>
      <c r="LBL81" s="7"/>
      <c r="LBM81" s="21"/>
      <c r="LBN81" s="20"/>
      <c r="LBO81" s="20"/>
      <c r="LBP81" s="20"/>
      <c r="LBQ81" s="21"/>
      <c r="LBR81" s="21"/>
      <c r="LBS81" s="21"/>
      <c r="LBT81" s="21"/>
      <c r="LBU81" s="21"/>
      <c r="LBV81" s="20"/>
      <c r="LBW81" s="20"/>
      <c r="LBX81" s="20"/>
      <c r="LBY81" s="20"/>
      <c r="LBZ81" s="21"/>
      <c r="LCA81" s="21"/>
      <c r="LCB81" s="7"/>
      <c r="LCC81" s="7"/>
      <c r="LCD81" s="21"/>
      <c r="LCE81" s="20"/>
      <c r="LCF81" s="20"/>
      <c r="LCG81" s="20"/>
      <c r="LCH81" s="21"/>
      <c r="LCI81" s="21"/>
      <c r="LCJ81" s="21"/>
      <c r="LCK81" s="21"/>
      <c r="LCL81" s="21"/>
      <c r="LCM81" s="20"/>
      <c r="LCN81" s="20"/>
      <c r="LCO81" s="20"/>
      <c r="LCP81" s="20"/>
      <c r="LCQ81" s="21"/>
      <c r="LCR81" s="21"/>
      <c r="LCS81" s="7"/>
      <c r="LCT81" s="7"/>
      <c r="LCU81" s="21"/>
      <c r="LCV81" s="20"/>
      <c r="LCW81" s="20"/>
      <c r="LCX81" s="20"/>
      <c r="LCY81" s="21"/>
      <c r="LCZ81" s="21"/>
      <c r="LDA81" s="21"/>
      <c r="LDB81" s="21"/>
      <c r="LDC81" s="21"/>
      <c r="LDD81" s="20"/>
      <c r="LDE81" s="20"/>
      <c r="LDF81" s="20"/>
      <c r="LDG81" s="20"/>
      <c r="LDH81" s="21"/>
      <c r="LDI81" s="21"/>
      <c r="LDJ81" s="7"/>
      <c r="LDK81" s="7"/>
      <c r="LDL81" s="21"/>
      <c r="LDM81" s="20"/>
      <c r="LDN81" s="20"/>
      <c r="LDO81" s="20"/>
      <c r="LDP81" s="21"/>
      <c r="LDQ81" s="21"/>
      <c r="LDR81" s="21"/>
      <c r="LDS81" s="21"/>
      <c r="LDT81" s="21"/>
      <c r="LDU81" s="20"/>
      <c r="LDV81" s="20"/>
      <c r="LDW81" s="20"/>
      <c r="LDX81" s="20"/>
      <c r="LDY81" s="21"/>
      <c r="LDZ81" s="21"/>
      <c r="LEA81" s="7"/>
      <c r="LEB81" s="7"/>
      <c r="LEC81" s="21"/>
      <c r="LED81" s="20"/>
      <c r="LEE81" s="20"/>
      <c r="LEF81" s="20"/>
      <c r="LEG81" s="21"/>
      <c r="LEH81" s="21"/>
      <c r="LEI81" s="21"/>
      <c r="LEJ81" s="21"/>
      <c r="LEK81" s="21"/>
      <c r="LEL81" s="20"/>
      <c r="LEM81" s="20"/>
      <c r="LEN81" s="20"/>
      <c r="LEO81" s="20"/>
      <c r="LEP81" s="21"/>
      <c r="LEQ81" s="21"/>
      <c r="LER81" s="7"/>
      <c r="LES81" s="7"/>
      <c r="LET81" s="21"/>
      <c r="LEU81" s="20"/>
      <c r="LEV81" s="20"/>
      <c r="LEW81" s="20"/>
      <c r="LEX81" s="21"/>
      <c r="LEY81" s="21"/>
      <c r="LEZ81" s="21"/>
      <c r="LFA81" s="21"/>
      <c r="LFB81" s="21"/>
      <c r="LFC81" s="20"/>
      <c r="LFD81" s="20"/>
      <c r="LFE81" s="20"/>
      <c r="LFF81" s="20"/>
      <c r="LFG81" s="21"/>
      <c r="LFH81" s="21"/>
      <c r="LFI81" s="7"/>
      <c r="LFJ81" s="7"/>
      <c r="LFK81" s="21"/>
      <c r="LFL81" s="20"/>
      <c r="LFM81" s="20"/>
      <c r="LFN81" s="20"/>
      <c r="LFO81" s="21"/>
      <c r="LFP81" s="21"/>
      <c r="LFQ81" s="21"/>
      <c r="LFR81" s="21"/>
      <c r="LFS81" s="21"/>
      <c r="LFT81" s="20"/>
      <c r="LFU81" s="20"/>
      <c r="LFV81" s="20"/>
      <c r="LFW81" s="20"/>
      <c r="LFX81" s="21"/>
      <c r="LFY81" s="21"/>
      <c r="LFZ81" s="7"/>
      <c r="LGA81" s="7"/>
      <c r="LGB81" s="21"/>
      <c r="LGC81" s="20"/>
      <c r="LGD81" s="20"/>
      <c r="LGE81" s="20"/>
      <c r="LGF81" s="21"/>
      <c r="LGG81" s="21"/>
      <c r="LGH81" s="21"/>
      <c r="LGI81" s="21"/>
      <c r="LGJ81" s="21"/>
      <c r="LGK81" s="20"/>
      <c r="LGL81" s="20"/>
      <c r="LGM81" s="20"/>
      <c r="LGN81" s="20"/>
      <c r="LGO81" s="21"/>
      <c r="LGP81" s="21"/>
      <c r="LGQ81" s="7"/>
      <c r="LGR81" s="7"/>
      <c r="LGS81" s="21"/>
      <c r="LGT81" s="20"/>
      <c r="LGU81" s="20"/>
      <c r="LGV81" s="20"/>
      <c r="LGW81" s="21"/>
      <c r="LGX81" s="21"/>
      <c r="LGY81" s="21"/>
      <c r="LGZ81" s="21"/>
      <c r="LHA81" s="21"/>
      <c r="LHB81" s="20"/>
      <c r="LHC81" s="20"/>
      <c r="LHD81" s="20"/>
      <c r="LHE81" s="20"/>
      <c r="LHF81" s="21"/>
      <c r="LHG81" s="21"/>
      <c r="LHH81" s="7"/>
      <c r="LHI81" s="7"/>
      <c r="LHJ81" s="21"/>
      <c r="LHK81" s="20"/>
      <c r="LHL81" s="20"/>
      <c r="LHM81" s="20"/>
      <c r="LHN81" s="21"/>
      <c r="LHO81" s="21"/>
      <c r="LHP81" s="21"/>
      <c r="LHQ81" s="21"/>
      <c r="LHR81" s="21"/>
      <c r="LHS81" s="20"/>
      <c r="LHT81" s="20"/>
      <c r="LHU81" s="20"/>
      <c r="LHV81" s="20"/>
      <c r="LHW81" s="21"/>
      <c r="LHX81" s="21"/>
      <c r="LHY81" s="7"/>
      <c r="LHZ81" s="7"/>
      <c r="LIA81" s="21"/>
      <c r="LIB81" s="20"/>
      <c r="LIC81" s="20"/>
      <c r="LID81" s="20"/>
      <c r="LIE81" s="21"/>
      <c r="LIF81" s="21"/>
      <c r="LIG81" s="21"/>
      <c r="LIH81" s="21"/>
      <c r="LII81" s="21"/>
      <c r="LIJ81" s="20"/>
      <c r="LIK81" s="20"/>
      <c r="LIL81" s="20"/>
      <c r="LIM81" s="20"/>
      <c r="LIN81" s="21"/>
      <c r="LIO81" s="21"/>
      <c r="LIP81" s="7"/>
      <c r="LIQ81" s="7"/>
      <c r="LIR81" s="21"/>
      <c r="LIS81" s="20"/>
      <c r="LIT81" s="20"/>
      <c r="LIU81" s="20"/>
      <c r="LIV81" s="21"/>
      <c r="LIW81" s="21"/>
      <c r="LIX81" s="21"/>
      <c r="LIY81" s="21"/>
      <c r="LIZ81" s="21"/>
      <c r="LJA81" s="20"/>
      <c r="LJB81" s="20"/>
      <c r="LJC81" s="20"/>
      <c r="LJD81" s="20"/>
      <c r="LJE81" s="21"/>
      <c r="LJF81" s="21"/>
      <c r="LJG81" s="7"/>
      <c r="LJH81" s="7"/>
      <c r="LJI81" s="21"/>
      <c r="LJJ81" s="20"/>
      <c r="LJK81" s="20"/>
      <c r="LJL81" s="20"/>
      <c r="LJM81" s="21"/>
      <c r="LJN81" s="21"/>
      <c r="LJO81" s="21"/>
      <c r="LJP81" s="21"/>
      <c r="LJQ81" s="21"/>
      <c r="LJR81" s="20"/>
      <c r="LJS81" s="20"/>
      <c r="LJT81" s="20"/>
      <c r="LJU81" s="20"/>
      <c r="LJV81" s="21"/>
      <c r="LJW81" s="21"/>
      <c r="LJX81" s="7"/>
      <c r="LJY81" s="7"/>
      <c r="LJZ81" s="21"/>
      <c r="LKA81" s="20"/>
      <c r="LKB81" s="20"/>
      <c r="LKC81" s="20"/>
      <c r="LKD81" s="21"/>
      <c r="LKE81" s="21"/>
      <c r="LKF81" s="21"/>
      <c r="LKG81" s="21"/>
      <c r="LKH81" s="21"/>
      <c r="LKI81" s="20"/>
      <c r="LKJ81" s="20"/>
      <c r="LKK81" s="20"/>
      <c r="LKL81" s="20"/>
      <c r="LKM81" s="21"/>
      <c r="LKN81" s="21"/>
      <c r="LKO81" s="7"/>
      <c r="LKP81" s="7"/>
      <c r="LKQ81" s="21"/>
      <c r="LKR81" s="20"/>
      <c r="LKS81" s="20"/>
      <c r="LKT81" s="20"/>
      <c r="LKU81" s="21"/>
      <c r="LKV81" s="21"/>
      <c r="LKW81" s="21"/>
      <c r="LKX81" s="21"/>
      <c r="LKY81" s="21"/>
      <c r="LKZ81" s="20"/>
      <c r="LLA81" s="20"/>
      <c r="LLB81" s="20"/>
      <c r="LLC81" s="20"/>
      <c r="LLD81" s="21"/>
      <c r="LLE81" s="21"/>
      <c r="LLF81" s="7"/>
      <c r="LLG81" s="7"/>
      <c r="LLH81" s="21"/>
      <c r="LLI81" s="20"/>
      <c r="LLJ81" s="20"/>
      <c r="LLK81" s="20"/>
      <c r="LLL81" s="21"/>
      <c r="LLM81" s="21"/>
      <c r="LLN81" s="21"/>
      <c r="LLO81" s="21"/>
      <c r="LLP81" s="21"/>
      <c r="LLQ81" s="20"/>
      <c r="LLR81" s="20"/>
      <c r="LLS81" s="20"/>
      <c r="LLT81" s="20"/>
      <c r="LLU81" s="21"/>
      <c r="LLV81" s="21"/>
      <c r="LLW81" s="7"/>
      <c r="LLX81" s="7"/>
      <c r="LLY81" s="21"/>
      <c r="LLZ81" s="20"/>
      <c r="LMA81" s="20"/>
      <c r="LMB81" s="20"/>
      <c r="LMC81" s="21"/>
      <c r="LMD81" s="21"/>
      <c r="LME81" s="21"/>
      <c r="LMF81" s="21"/>
      <c r="LMG81" s="21"/>
      <c r="LMH81" s="20"/>
      <c r="LMI81" s="20"/>
      <c r="LMJ81" s="20"/>
      <c r="LMK81" s="20"/>
      <c r="LML81" s="21"/>
      <c r="LMM81" s="21"/>
      <c r="LMN81" s="7"/>
      <c r="LMO81" s="7"/>
      <c r="LMP81" s="21"/>
      <c r="LMQ81" s="20"/>
      <c r="LMR81" s="20"/>
      <c r="LMS81" s="20"/>
      <c r="LMT81" s="21"/>
      <c r="LMU81" s="21"/>
      <c r="LMV81" s="21"/>
      <c r="LMW81" s="21"/>
      <c r="LMX81" s="21"/>
      <c r="LMY81" s="20"/>
      <c r="LMZ81" s="20"/>
      <c r="LNA81" s="20"/>
      <c r="LNB81" s="20"/>
      <c r="LNC81" s="21"/>
      <c r="LND81" s="21"/>
      <c r="LNE81" s="7"/>
      <c r="LNF81" s="7"/>
      <c r="LNG81" s="21"/>
      <c r="LNH81" s="20"/>
      <c r="LNI81" s="20"/>
      <c r="LNJ81" s="20"/>
      <c r="LNK81" s="21"/>
      <c r="LNL81" s="21"/>
      <c r="LNM81" s="21"/>
      <c r="LNN81" s="21"/>
      <c r="LNO81" s="21"/>
      <c r="LNP81" s="20"/>
      <c r="LNQ81" s="20"/>
      <c r="LNR81" s="20"/>
      <c r="LNS81" s="20"/>
      <c r="LNT81" s="21"/>
      <c r="LNU81" s="21"/>
      <c r="LNV81" s="7"/>
      <c r="LNW81" s="7"/>
      <c r="LNX81" s="21"/>
      <c r="LNY81" s="20"/>
      <c r="LNZ81" s="20"/>
      <c r="LOA81" s="20"/>
      <c r="LOB81" s="21"/>
      <c r="LOC81" s="21"/>
      <c r="LOD81" s="21"/>
      <c r="LOE81" s="21"/>
      <c r="LOF81" s="21"/>
      <c r="LOG81" s="20"/>
      <c r="LOH81" s="20"/>
      <c r="LOI81" s="20"/>
      <c r="LOJ81" s="20"/>
      <c r="LOK81" s="21"/>
      <c r="LOL81" s="21"/>
      <c r="LOM81" s="7"/>
      <c r="LON81" s="7"/>
      <c r="LOO81" s="21"/>
      <c r="LOP81" s="20"/>
      <c r="LOQ81" s="20"/>
      <c r="LOR81" s="20"/>
      <c r="LOS81" s="21"/>
      <c r="LOT81" s="21"/>
      <c r="LOU81" s="21"/>
      <c r="LOV81" s="21"/>
      <c r="LOW81" s="21"/>
      <c r="LOX81" s="20"/>
      <c r="LOY81" s="20"/>
      <c r="LOZ81" s="20"/>
      <c r="LPA81" s="20"/>
      <c r="LPB81" s="21"/>
      <c r="LPC81" s="21"/>
      <c r="LPD81" s="7"/>
      <c r="LPE81" s="7"/>
      <c r="LPF81" s="21"/>
      <c r="LPG81" s="20"/>
      <c r="LPH81" s="20"/>
      <c r="LPI81" s="20"/>
      <c r="LPJ81" s="21"/>
      <c r="LPK81" s="21"/>
      <c r="LPL81" s="21"/>
      <c r="LPM81" s="21"/>
      <c r="LPN81" s="21"/>
      <c r="LPO81" s="20"/>
      <c r="LPP81" s="20"/>
      <c r="LPQ81" s="20"/>
      <c r="LPR81" s="20"/>
      <c r="LPS81" s="21"/>
      <c r="LPT81" s="21"/>
      <c r="LPU81" s="7"/>
      <c r="LPV81" s="7"/>
      <c r="LPW81" s="21"/>
      <c r="LPX81" s="20"/>
      <c r="LPY81" s="20"/>
      <c r="LPZ81" s="20"/>
      <c r="LQA81" s="21"/>
      <c r="LQB81" s="21"/>
      <c r="LQC81" s="21"/>
      <c r="LQD81" s="21"/>
      <c r="LQE81" s="21"/>
      <c r="LQF81" s="20"/>
      <c r="LQG81" s="20"/>
      <c r="LQH81" s="20"/>
      <c r="LQI81" s="20"/>
      <c r="LQJ81" s="21"/>
      <c r="LQK81" s="21"/>
      <c r="LQL81" s="7"/>
      <c r="LQM81" s="7"/>
      <c r="LQN81" s="21"/>
      <c r="LQO81" s="20"/>
      <c r="LQP81" s="20"/>
      <c r="LQQ81" s="20"/>
      <c r="LQR81" s="21"/>
      <c r="LQS81" s="21"/>
      <c r="LQT81" s="21"/>
      <c r="LQU81" s="21"/>
      <c r="LQV81" s="21"/>
      <c r="LQW81" s="20"/>
      <c r="LQX81" s="20"/>
      <c r="LQY81" s="20"/>
      <c r="LQZ81" s="20"/>
      <c r="LRA81" s="21"/>
      <c r="LRB81" s="21"/>
      <c r="LRC81" s="7"/>
      <c r="LRD81" s="7"/>
      <c r="LRE81" s="21"/>
      <c r="LRF81" s="20"/>
      <c r="LRG81" s="20"/>
      <c r="LRH81" s="20"/>
      <c r="LRI81" s="21"/>
      <c r="LRJ81" s="21"/>
      <c r="LRK81" s="21"/>
      <c r="LRL81" s="21"/>
      <c r="LRM81" s="21"/>
      <c r="LRN81" s="20"/>
      <c r="LRO81" s="20"/>
      <c r="LRP81" s="20"/>
      <c r="LRQ81" s="20"/>
      <c r="LRR81" s="21"/>
      <c r="LRS81" s="21"/>
      <c r="LRT81" s="7"/>
      <c r="LRU81" s="7"/>
      <c r="LRV81" s="21"/>
      <c r="LRW81" s="20"/>
      <c r="LRX81" s="20"/>
      <c r="LRY81" s="20"/>
      <c r="LRZ81" s="21"/>
      <c r="LSA81" s="21"/>
      <c r="LSB81" s="21"/>
      <c r="LSC81" s="21"/>
      <c r="LSD81" s="21"/>
      <c r="LSE81" s="20"/>
      <c r="LSF81" s="20"/>
      <c r="LSG81" s="20"/>
      <c r="LSH81" s="20"/>
      <c r="LSI81" s="21"/>
      <c r="LSJ81" s="21"/>
      <c r="LSK81" s="7"/>
      <c r="LSL81" s="7"/>
      <c r="LSM81" s="21"/>
      <c r="LSN81" s="20"/>
      <c r="LSO81" s="20"/>
      <c r="LSP81" s="20"/>
      <c r="LSQ81" s="21"/>
      <c r="LSR81" s="21"/>
      <c r="LSS81" s="21"/>
      <c r="LST81" s="21"/>
      <c r="LSU81" s="21"/>
      <c r="LSV81" s="20"/>
      <c r="LSW81" s="20"/>
      <c r="LSX81" s="20"/>
      <c r="LSY81" s="20"/>
      <c r="LSZ81" s="21"/>
      <c r="LTA81" s="21"/>
      <c r="LTB81" s="7"/>
      <c r="LTC81" s="7"/>
      <c r="LTD81" s="21"/>
      <c r="LTE81" s="20"/>
      <c r="LTF81" s="20"/>
      <c r="LTG81" s="20"/>
      <c r="LTH81" s="21"/>
      <c r="LTI81" s="21"/>
      <c r="LTJ81" s="21"/>
      <c r="LTK81" s="21"/>
      <c r="LTL81" s="21"/>
      <c r="LTM81" s="20"/>
      <c r="LTN81" s="20"/>
      <c r="LTO81" s="20"/>
      <c r="LTP81" s="20"/>
      <c r="LTQ81" s="21"/>
      <c r="LTR81" s="21"/>
      <c r="LTS81" s="7"/>
      <c r="LTT81" s="7"/>
      <c r="LTU81" s="21"/>
      <c r="LTV81" s="20"/>
      <c r="LTW81" s="20"/>
      <c r="LTX81" s="20"/>
      <c r="LTY81" s="21"/>
      <c r="LTZ81" s="21"/>
      <c r="LUA81" s="21"/>
      <c r="LUB81" s="21"/>
      <c r="LUC81" s="21"/>
      <c r="LUD81" s="20"/>
      <c r="LUE81" s="20"/>
      <c r="LUF81" s="20"/>
      <c r="LUG81" s="20"/>
      <c r="LUH81" s="21"/>
      <c r="LUI81" s="21"/>
      <c r="LUJ81" s="7"/>
      <c r="LUK81" s="7"/>
      <c r="LUL81" s="21"/>
      <c r="LUM81" s="20"/>
      <c r="LUN81" s="20"/>
      <c r="LUO81" s="20"/>
      <c r="LUP81" s="21"/>
      <c r="LUQ81" s="21"/>
      <c r="LUR81" s="21"/>
      <c r="LUS81" s="21"/>
      <c r="LUT81" s="21"/>
      <c r="LUU81" s="20"/>
      <c r="LUV81" s="20"/>
      <c r="LUW81" s="20"/>
      <c r="LUX81" s="20"/>
      <c r="LUY81" s="21"/>
      <c r="LUZ81" s="21"/>
      <c r="LVA81" s="7"/>
      <c r="LVB81" s="7"/>
      <c r="LVC81" s="21"/>
      <c r="LVD81" s="20"/>
      <c r="LVE81" s="20"/>
      <c r="LVF81" s="20"/>
      <c r="LVG81" s="21"/>
      <c r="LVH81" s="21"/>
      <c r="LVI81" s="21"/>
      <c r="LVJ81" s="21"/>
      <c r="LVK81" s="21"/>
      <c r="LVL81" s="20"/>
      <c r="LVM81" s="20"/>
      <c r="LVN81" s="20"/>
      <c r="LVO81" s="20"/>
      <c r="LVP81" s="21"/>
      <c r="LVQ81" s="21"/>
      <c r="LVR81" s="7"/>
      <c r="LVS81" s="7"/>
      <c r="LVT81" s="21"/>
      <c r="LVU81" s="20"/>
      <c r="LVV81" s="20"/>
      <c r="LVW81" s="20"/>
      <c r="LVX81" s="21"/>
      <c r="LVY81" s="21"/>
      <c r="LVZ81" s="21"/>
      <c r="LWA81" s="21"/>
      <c r="LWB81" s="21"/>
      <c r="LWC81" s="20"/>
      <c r="LWD81" s="20"/>
      <c r="LWE81" s="20"/>
      <c r="LWF81" s="20"/>
      <c r="LWG81" s="21"/>
      <c r="LWH81" s="21"/>
      <c r="LWI81" s="7"/>
      <c r="LWJ81" s="7"/>
      <c r="LWK81" s="21"/>
      <c r="LWL81" s="20"/>
      <c r="LWM81" s="20"/>
      <c r="LWN81" s="20"/>
      <c r="LWO81" s="21"/>
      <c r="LWP81" s="21"/>
      <c r="LWQ81" s="21"/>
      <c r="LWR81" s="21"/>
      <c r="LWS81" s="21"/>
      <c r="LWT81" s="20"/>
      <c r="LWU81" s="20"/>
      <c r="LWV81" s="20"/>
      <c r="LWW81" s="20"/>
      <c r="LWX81" s="21"/>
      <c r="LWY81" s="21"/>
      <c r="LWZ81" s="7"/>
      <c r="LXA81" s="7"/>
      <c r="LXB81" s="21"/>
      <c r="LXC81" s="20"/>
      <c r="LXD81" s="20"/>
      <c r="LXE81" s="20"/>
      <c r="LXF81" s="21"/>
      <c r="LXG81" s="21"/>
      <c r="LXH81" s="21"/>
      <c r="LXI81" s="21"/>
      <c r="LXJ81" s="21"/>
      <c r="LXK81" s="20"/>
      <c r="LXL81" s="20"/>
      <c r="LXM81" s="20"/>
      <c r="LXN81" s="20"/>
      <c r="LXO81" s="21"/>
      <c r="LXP81" s="21"/>
      <c r="LXQ81" s="7"/>
      <c r="LXR81" s="7"/>
      <c r="LXS81" s="21"/>
      <c r="LXT81" s="20"/>
      <c r="LXU81" s="20"/>
      <c r="LXV81" s="20"/>
      <c r="LXW81" s="21"/>
      <c r="LXX81" s="21"/>
      <c r="LXY81" s="21"/>
      <c r="LXZ81" s="21"/>
      <c r="LYA81" s="21"/>
      <c r="LYB81" s="20"/>
      <c r="LYC81" s="20"/>
      <c r="LYD81" s="20"/>
      <c r="LYE81" s="20"/>
      <c r="LYF81" s="21"/>
      <c r="LYG81" s="21"/>
      <c r="LYH81" s="7"/>
      <c r="LYI81" s="7"/>
      <c r="LYJ81" s="21"/>
      <c r="LYK81" s="20"/>
      <c r="LYL81" s="20"/>
      <c r="LYM81" s="20"/>
      <c r="LYN81" s="21"/>
      <c r="LYO81" s="21"/>
      <c r="LYP81" s="21"/>
      <c r="LYQ81" s="21"/>
      <c r="LYR81" s="21"/>
      <c r="LYS81" s="20"/>
      <c r="LYT81" s="20"/>
      <c r="LYU81" s="20"/>
      <c r="LYV81" s="20"/>
      <c r="LYW81" s="21"/>
      <c r="LYX81" s="21"/>
      <c r="LYY81" s="7"/>
      <c r="LYZ81" s="7"/>
      <c r="LZA81" s="21"/>
      <c r="LZB81" s="20"/>
      <c r="LZC81" s="20"/>
      <c r="LZD81" s="20"/>
      <c r="LZE81" s="21"/>
      <c r="LZF81" s="21"/>
      <c r="LZG81" s="21"/>
      <c r="LZH81" s="21"/>
      <c r="LZI81" s="21"/>
      <c r="LZJ81" s="20"/>
      <c r="LZK81" s="20"/>
      <c r="LZL81" s="20"/>
      <c r="LZM81" s="20"/>
      <c r="LZN81" s="21"/>
      <c r="LZO81" s="21"/>
      <c r="LZP81" s="7"/>
      <c r="LZQ81" s="7"/>
      <c r="LZR81" s="21"/>
      <c r="LZS81" s="20"/>
      <c r="LZT81" s="20"/>
      <c r="LZU81" s="20"/>
      <c r="LZV81" s="21"/>
      <c r="LZW81" s="21"/>
      <c r="LZX81" s="21"/>
      <c r="LZY81" s="21"/>
      <c r="LZZ81" s="21"/>
      <c r="MAA81" s="20"/>
      <c r="MAB81" s="20"/>
      <c r="MAC81" s="20"/>
      <c r="MAD81" s="20"/>
      <c r="MAE81" s="21"/>
      <c r="MAF81" s="21"/>
      <c r="MAG81" s="7"/>
      <c r="MAH81" s="7"/>
      <c r="MAI81" s="21"/>
      <c r="MAJ81" s="20"/>
      <c r="MAK81" s="20"/>
      <c r="MAL81" s="20"/>
      <c r="MAM81" s="21"/>
      <c r="MAN81" s="21"/>
      <c r="MAO81" s="21"/>
      <c r="MAP81" s="21"/>
      <c r="MAQ81" s="21"/>
      <c r="MAR81" s="20"/>
      <c r="MAS81" s="20"/>
      <c r="MAT81" s="20"/>
      <c r="MAU81" s="20"/>
      <c r="MAV81" s="21"/>
      <c r="MAW81" s="21"/>
      <c r="MAX81" s="7"/>
      <c r="MAY81" s="7"/>
      <c r="MAZ81" s="21"/>
      <c r="MBA81" s="20"/>
      <c r="MBB81" s="20"/>
      <c r="MBC81" s="20"/>
      <c r="MBD81" s="21"/>
      <c r="MBE81" s="21"/>
      <c r="MBF81" s="21"/>
      <c r="MBG81" s="21"/>
      <c r="MBH81" s="21"/>
      <c r="MBI81" s="20"/>
      <c r="MBJ81" s="20"/>
      <c r="MBK81" s="20"/>
      <c r="MBL81" s="20"/>
      <c r="MBM81" s="21"/>
      <c r="MBN81" s="21"/>
      <c r="MBO81" s="7"/>
      <c r="MBP81" s="7"/>
      <c r="MBQ81" s="21"/>
      <c r="MBR81" s="20"/>
      <c r="MBS81" s="20"/>
      <c r="MBT81" s="20"/>
      <c r="MBU81" s="21"/>
      <c r="MBV81" s="21"/>
      <c r="MBW81" s="21"/>
      <c r="MBX81" s="21"/>
      <c r="MBY81" s="21"/>
      <c r="MBZ81" s="20"/>
      <c r="MCA81" s="20"/>
      <c r="MCB81" s="20"/>
      <c r="MCC81" s="20"/>
      <c r="MCD81" s="21"/>
      <c r="MCE81" s="21"/>
      <c r="MCF81" s="7"/>
      <c r="MCG81" s="7"/>
      <c r="MCH81" s="21"/>
      <c r="MCI81" s="20"/>
      <c r="MCJ81" s="20"/>
      <c r="MCK81" s="20"/>
      <c r="MCL81" s="21"/>
      <c r="MCM81" s="21"/>
      <c r="MCN81" s="21"/>
      <c r="MCO81" s="21"/>
      <c r="MCP81" s="21"/>
      <c r="MCQ81" s="20"/>
      <c r="MCR81" s="20"/>
      <c r="MCS81" s="20"/>
      <c r="MCT81" s="20"/>
      <c r="MCU81" s="21"/>
      <c r="MCV81" s="21"/>
      <c r="MCW81" s="7"/>
      <c r="MCX81" s="7"/>
      <c r="MCY81" s="21"/>
      <c r="MCZ81" s="20"/>
      <c r="MDA81" s="20"/>
      <c r="MDB81" s="20"/>
      <c r="MDC81" s="21"/>
      <c r="MDD81" s="21"/>
      <c r="MDE81" s="21"/>
      <c r="MDF81" s="21"/>
      <c r="MDG81" s="21"/>
      <c r="MDH81" s="20"/>
      <c r="MDI81" s="20"/>
      <c r="MDJ81" s="20"/>
      <c r="MDK81" s="20"/>
      <c r="MDL81" s="21"/>
      <c r="MDM81" s="21"/>
      <c r="MDN81" s="7"/>
      <c r="MDO81" s="7"/>
      <c r="MDP81" s="21"/>
      <c r="MDQ81" s="20"/>
      <c r="MDR81" s="20"/>
      <c r="MDS81" s="20"/>
      <c r="MDT81" s="21"/>
      <c r="MDU81" s="21"/>
      <c r="MDV81" s="21"/>
      <c r="MDW81" s="21"/>
      <c r="MDX81" s="21"/>
      <c r="MDY81" s="20"/>
      <c r="MDZ81" s="20"/>
      <c r="MEA81" s="20"/>
      <c r="MEB81" s="20"/>
      <c r="MEC81" s="21"/>
      <c r="MED81" s="21"/>
      <c r="MEE81" s="7"/>
      <c r="MEF81" s="7"/>
      <c r="MEG81" s="21"/>
      <c r="MEH81" s="20"/>
      <c r="MEI81" s="20"/>
      <c r="MEJ81" s="20"/>
      <c r="MEK81" s="21"/>
      <c r="MEL81" s="21"/>
      <c r="MEM81" s="21"/>
      <c r="MEN81" s="21"/>
      <c r="MEO81" s="21"/>
      <c r="MEP81" s="20"/>
      <c r="MEQ81" s="20"/>
      <c r="MER81" s="20"/>
      <c r="MES81" s="20"/>
      <c r="MET81" s="21"/>
      <c r="MEU81" s="21"/>
      <c r="MEV81" s="7"/>
      <c r="MEW81" s="7"/>
      <c r="MEX81" s="21"/>
      <c r="MEY81" s="20"/>
      <c r="MEZ81" s="20"/>
      <c r="MFA81" s="20"/>
      <c r="MFB81" s="21"/>
      <c r="MFC81" s="21"/>
      <c r="MFD81" s="21"/>
      <c r="MFE81" s="21"/>
      <c r="MFF81" s="21"/>
      <c r="MFG81" s="20"/>
      <c r="MFH81" s="20"/>
      <c r="MFI81" s="20"/>
      <c r="MFJ81" s="20"/>
      <c r="MFK81" s="21"/>
      <c r="MFL81" s="21"/>
      <c r="MFM81" s="7"/>
      <c r="MFN81" s="7"/>
      <c r="MFO81" s="21"/>
      <c r="MFP81" s="20"/>
      <c r="MFQ81" s="20"/>
      <c r="MFR81" s="20"/>
      <c r="MFS81" s="21"/>
      <c r="MFT81" s="21"/>
      <c r="MFU81" s="21"/>
      <c r="MFV81" s="21"/>
      <c r="MFW81" s="21"/>
      <c r="MFX81" s="20"/>
      <c r="MFY81" s="20"/>
      <c r="MFZ81" s="20"/>
      <c r="MGA81" s="20"/>
      <c r="MGB81" s="21"/>
      <c r="MGC81" s="21"/>
      <c r="MGD81" s="7"/>
      <c r="MGE81" s="7"/>
      <c r="MGF81" s="21"/>
      <c r="MGG81" s="20"/>
      <c r="MGH81" s="20"/>
      <c r="MGI81" s="20"/>
      <c r="MGJ81" s="21"/>
      <c r="MGK81" s="21"/>
      <c r="MGL81" s="21"/>
      <c r="MGM81" s="21"/>
      <c r="MGN81" s="21"/>
      <c r="MGO81" s="20"/>
      <c r="MGP81" s="20"/>
      <c r="MGQ81" s="20"/>
      <c r="MGR81" s="20"/>
      <c r="MGS81" s="21"/>
      <c r="MGT81" s="21"/>
      <c r="MGU81" s="7"/>
      <c r="MGV81" s="7"/>
      <c r="MGW81" s="21"/>
      <c r="MGX81" s="20"/>
      <c r="MGY81" s="20"/>
      <c r="MGZ81" s="20"/>
      <c r="MHA81" s="21"/>
      <c r="MHB81" s="21"/>
      <c r="MHC81" s="21"/>
      <c r="MHD81" s="21"/>
      <c r="MHE81" s="21"/>
      <c r="MHF81" s="20"/>
      <c r="MHG81" s="20"/>
      <c r="MHH81" s="20"/>
      <c r="MHI81" s="20"/>
      <c r="MHJ81" s="21"/>
      <c r="MHK81" s="21"/>
      <c r="MHL81" s="7"/>
      <c r="MHM81" s="7"/>
      <c r="MHN81" s="21"/>
      <c r="MHO81" s="20"/>
      <c r="MHP81" s="20"/>
      <c r="MHQ81" s="20"/>
      <c r="MHR81" s="21"/>
      <c r="MHS81" s="21"/>
      <c r="MHT81" s="21"/>
      <c r="MHU81" s="21"/>
      <c r="MHV81" s="21"/>
      <c r="MHW81" s="20"/>
      <c r="MHX81" s="20"/>
      <c r="MHY81" s="20"/>
      <c r="MHZ81" s="20"/>
      <c r="MIA81" s="21"/>
      <c r="MIB81" s="21"/>
      <c r="MIC81" s="7"/>
      <c r="MID81" s="7"/>
      <c r="MIE81" s="21"/>
      <c r="MIF81" s="20"/>
      <c r="MIG81" s="20"/>
      <c r="MIH81" s="20"/>
      <c r="MII81" s="21"/>
      <c r="MIJ81" s="21"/>
      <c r="MIK81" s="21"/>
      <c r="MIL81" s="21"/>
      <c r="MIM81" s="21"/>
      <c r="MIN81" s="20"/>
      <c r="MIO81" s="20"/>
      <c r="MIP81" s="20"/>
      <c r="MIQ81" s="20"/>
      <c r="MIR81" s="21"/>
      <c r="MIS81" s="21"/>
      <c r="MIT81" s="7"/>
      <c r="MIU81" s="7"/>
      <c r="MIV81" s="21"/>
      <c r="MIW81" s="20"/>
      <c r="MIX81" s="20"/>
      <c r="MIY81" s="20"/>
      <c r="MIZ81" s="21"/>
      <c r="MJA81" s="21"/>
      <c r="MJB81" s="21"/>
      <c r="MJC81" s="21"/>
      <c r="MJD81" s="21"/>
      <c r="MJE81" s="20"/>
      <c r="MJF81" s="20"/>
      <c r="MJG81" s="20"/>
      <c r="MJH81" s="20"/>
      <c r="MJI81" s="21"/>
      <c r="MJJ81" s="21"/>
      <c r="MJK81" s="7"/>
      <c r="MJL81" s="7"/>
      <c r="MJM81" s="21"/>
      <c r="MJN81" s="20"/>
      <c r="MJO81" s="20"/>
      <c r="MJP81" s="20"/>
      <c r="MJQ81" s="21"/>
      <c r="MJR81" s="21"/>
      <c r="MJS81" s="21"/>
      <c r="MJT81" s="21"/>
      <c r="MJU81" s="21"/>
      <c r="MJV81" s="20"/>
      <c r="MJW81" s="20"/>
      <c r="MJX81" s="20"/>
      <c r="MJY81" s="20"/>
      <c r="MJZ81" s="21"/>
      <c r="MKA81" s="21"/>
      <c r="MKB81" s="7"/>
      <c r="MKC81" s="7"/>
      <c r="MKD81" s="21"/>
      <c r="MKE81" s="20"/>
      <c r="MKF81" s="20"/>
      <c r="MKG81" s="20"/>
      <c r="MKH81" s="21"/>
      <c r="MKI81" s="21"/>
      <c r="MKJ81" s="21"/>
      <c r="MKK81" s="21"/>
      <c r="MKL81" s="21"/>
      <c r="MKM81" s="20"/>
      <c r="MKN81" s="20"/>
      <c r="MKO81" s="20"/>
      <c r="MKP81" s="20"/>
      <c r="MKQ81" s="21"/>
      <c r="MKR81" s="21"/>
      <c r="MKS81" s="7"/>
      <c r="MKT81" s="7"/>
      <c r="MKU81" s="21"/>
      <c r="MKV81" s="20"/>
      <c r="MKW81" s="20"/>
      <c r="MKX81" s="20"/>
      <c r="MKY81" s="21"/>
      <c r="MKZ81" s="21"/>
      <c r="MLA81" s="21"/>
      <c r="MLB81" s="21"/>
      <c r="MLC81" s="21"/>
      <c r="MLD81" s="20"/>
      <c r="MLE81" s="20"/>
      <c r="MLF81" s="20"/>
      <c r="MLG81" s="20"/>
      <c r="MLH81" s="21"/>
      <c r="MLI81" s="21"/>
      <c r="MLJ81" s="7"/>
      <c r="MLK81" s="7"/>
      <c r="MLL81" s="21"/>
      <c r="MLM81" s="20"/>
      <c r="MLN81" s="20"/>
      <c r="MLO81" s="20"/>
      <c r="MLP81" s="21"/>
      <c r="MLQ81" s="21"/>
      <c r="MLR81" s="21"/>
      <c r="MLS81" s="21"/>
      <c r="MLT81" s="21"/>
      <c r="MLU81" s="20"/>
      <c r="MLV81" s="20"/>
      <c r="MLW81" s="20"/>
      <c r="MLX81" s="20"/>
      <c r="MLY81" s="21"/>
      <c r="MLZ81" s="21"/>
      <c r="MMA81" s="7"/>
      <c r="MMB81" s="7"/>
      <c r="MMC81" s="21"/>
      <c r="MMD81" s="20"/>
      <c r="MME81" s="20"/>
      <c r="MMF81" s="20"/>
      <c r="MMG81" s="21"/>
      <c r="MMH81" s="21"/>
      <c r="MMI81" s="21"/>
      <c r="MMJ81" s="21"/>
      <c r="MMK81" s="21"/>
      <c r="MML81" s="20"/>
      <c r="MMM81" s="20"/>
      <c r="MMN81" s="20"/>
      <c r="MMO81" s="20"/>
      <c r="MMP81" s="21"/>
      <c r="MMQ81" s="21"/>
      <c r="MMR81" s="7"/>
      <c r="MMS81" s="7"/>
      <c r="MMT81" s="21"/>
      <c r="MMU81" s="20"/>
      <c r="MMV81" s="20"/>
      <c r="MMW81" s="20"/>
      <c r="MMX81" s="21"/>
      <c r="MMY81" s="21"/>
      <c r="MMZ81" s="21"/>
      <c r="MNA81" s="21"/>
      <c r="MNB81" s="21"/>
      <c r="MNC81" s="20"/>
      <c r="MND81" s="20"/>
      <c r="MNE81" s="20"/>
      <c r="MNF81" s="20"/>
      <c r="MNG81" s="21"/>
      <c r="MNH81" s="21"/>
      <c r="MNI81" s="7"/>
      <c r="MNJ81" s="7"/>
      <c r="MNK81" s="21"/>
      <c r="MNL81" s="20"/>
      <c r="MNM81" s="20"/>
      <c r="MNN81" s="20"/>
      <c r="MNO81" s="21"/>
      <c r="MNP81" s="21"/>
      <c r="MNQ81" s="21"/>
      <c r="MNR81" s="21"/>
      <c r="MNS81" s="21"/>
      <c r="MNT81" s="20"/>
      <c r="MNU81" s="20"/>
      <c r="MNV81" s="20"/>
      <c r="MNW81" s="20"/>
      <c r="MNX81" s="21"/>
      <c r="MNY81" s="21"/>
      <c r="MNZ81" s="7"/>
      <c r="MOA81" s="7"/>
      <c r="MOB81" s="21"/>
      <c r="MOC81" s="20"/>
      <c r="MOD81" s="20"/>
      <c r="MOE81" s="20"/>
      <c r="MOF81" s="21"/>
      <c r="MOG81" s="21"/>
      <c r="MOH81" s="21"/>
      <c r="MOI81" s="21"/>
      <c r="MOJ81" s="21"/>
      <c r="MOK81" s="20"/>
      <c r="MOL81" s="20"/>
      <c r="MOM81" s="20"/>
      <c r="MON81" s="20"/>
      <c r="MOO81" s="21"/>
      <c r="MOP81" s="21"/>
      <c r="MOQ81" s="7"/>
      <c r="MOR81" s="7"/>
      <c r="MOS81" s="21"/>
      <c r="MOT81" s="20"/>
      <c r="MOU81" s="20"/>
      <c r="MOV81" s="20"/>
      <c r="MOW81" s="21"/>
      <c r="MOX81" s="21"/>
      <c r="MOY81" s="21"/>
      <c r="MOZ81" s="21"/>
      <c r="MPA81" s="21"/>
      <c r="MPB81" s="20"/>
      <c r="MPC81" s="20"/>
      <c r="MPD81" s="20"/>
      <c r="MPE81" s="20"/>
      <c r="MPF81" s="21"/>
      <c r="MPG81" s="21"/>
      <c r="MPH81" s="7"/>
      <c r="MPI81" s="7"/>
      <c r="MPJ81" s="21"/>
      <c r="MPK81" s="20"/>
      <c r="MPL81" s="20"/>
      <c r="MPM81" s="20"/>
      <c r="MPN81" s="21"/>
      <c r="MPO81" s="21"/>
      <c r="MPP81" s="21"/>
      <c r="MPQ81" s="21"/>
      <c r="MPR81" s="21"/>
      <c r="MPS81" s="20"/>
      <c r="MPT81" s="20"/>
      <c r="MPU81" s="20"/>
      <c r="MPV81" s="20"/>
      <c r="MPW81" s="21"/>
      <c r="MPX81" s="21"/>
      <c r="MPY81" s="7"/>
      <c r="MPZ81" s="7"/>
      <c r="MQA81" s="21"/>
      <c r="MQB81" s="20"/>
      <c r="MQC81" s="20"/>
      <c r="MQD81" s="20"/>
      <c r="MQE81" s="21"/>
      <c r="MQF81" s="21"/>
      <c r="MQG81" s="21"/>
      <c r="MQH81" s="21"/>
      <c r="MQI81" s="21"/>
      <c r="MQJ81" s="20"/>
      <c r="MQK81" s="20"/>
      <c r="MQL81" s="20"/>
      <c r="MQM81" s="20"/>
      <c r="MQN81" s="21"/>
      <c r="MQO81" s="21"/>
      <c r="MQP81" s="7"/>
      <c r="MQQ81" s="7"/>
      <c r="MQR81" s="21"/>
      <c r="MQS81" s="20"/>
      <c r="MQT81" s="20"/>
      <c r="MQU81" s="20"/>
      <c r="MQV81" s="21"/>
      <c r="MQW81" s="21"/>
      <c r="MQX81" s="21"/>
      <c r="MQY81" s="21"/>
      <c r="MQZ81" s="21"/>
      <c r="MRA81" s="20"/>
      <c r="MRB81" s="20"/>
      <c r="MRC81" s="20"/>
      <c r="MRD81" s="20"/>
      <c r="MRE81" s="21"/>
      <c r="MRF81" s="21"/>
      <c r="MRG81" s="7"/>
      <c r="MRH81" s="7"/>
      <c r="MRI81" s="21"/>
      <c r="MRJ81" s="20"/>
      <c r="MRK81" s="20"/>
      <c r="MRL81" s="20"/>
      <c r="MRM81" s="21"/>
      <c r="MRN81" s="21"/>
      <c r="MRO81" s="21"/>
      <c r="MRP81" s="21"/>
      <c r="MRQ81" s="21"/>
      <c r="MRR81" s="20"/>
      <c r="MRS81" s="20"/>
      <c r="MRT81" s="20"/>
      <c r="MRU81" s="20"/>
      <c r="MRV81" s="21"/>
      <c r="MRW81" s="21"/>
      <c r="MRX81" s="7"/>
      <c r="MRY81" s="7"/>
      <c r="MRZ81" s="21"/>
      <c r="MSA81" s="20"/>
      <c r="MSB81" s="20"/>
      <c r="MSC81" s="20"/>
      <c r="MSD81" s="21"/>
      <c r="MSE81" s="21"/>
      <c r="MSF81" s="21"/>
      <c r="MSG81" s="21"/>
      <c r="MSH81" s="21"/>
      <c r="MSI81" s="20"/>
      <c r="MSJ81" s="20"/>
      <c r="MSK81" s="20"/>
      <c r="MSL81" s="20"/>
      <c r="MSM81" s="21"/>
      <c r="MSN81" s="21"/>
      <c r="MSO81" s="7"/>
      <c r="MSP81" s="7"/>
      <c r="MSQ81" s="21"/>
      <c r="MSR81" s="20"/>
      <c r="MSS81" s="20"/>
      <c r="MST81" s="20"/>
      <c r="MSU81" s="21"/>
      <c r="MSV81" s="21"/>
      <c r="MSW81" s="21"/>
      <c r="MSX81" s="21"/>
      <c r="MSY81" s="21"/>
      <c r="MSZ81" s="20"/>
      <c r="MTA81" s="20"/>
      <c r="MTB81" s="20"/>
      <c r="MTC81" s="20"/>
      <c r="MTD81" s="21"/>
      <c r="MTE81" s="21"/>
      <c r="MTF81" s="7"/>
      <c r="MTG81" s="7"/>
      <c r="MTH81" s="21"/>
      <c r="MTI81" s="20"/>
      <c r="MTJ81" s="20"/>
      <c r="MTK81" s="20"/>
      <c r="MTL81" s="21"/>
      <c r="MTM81" s="21"/>
      <c r="MTN81" s="21"/>
      <c r="MTO81" s="21"/>
      <c r="MTP81" s="21"/>
      <c r="MTQ81" s="20"/>
      <c r="MTR81" s="20"/>
      <c r="MTS81" s="20"/>
      <c r="MTT81" s="20"/>
      <c r="MTU81" s="21"/>
      <c r="MTV81" s="21"/>
      <c r="MTW81" s="7"/>
      <c r="MTX81" s="7"/>
      <c r="MTY81" s="21"/>
      <c r="MTZ81" s="20"/>
      <c r="MUA81" s="20"/>
      <c r="MUB81" s="20"/>
      <c r="MUC81" s="21"/>
      <c r="MUD81" s="21"/>
      <c r="MUE81" s="21"/>
      <c r="MUF81" s="21"/>
      <c r="MUG81" s="21"/>
      <c r="MUH81" s="20"/>
      <c r="MUI81" s="20"/>
      <c r="MUJ81" s="20"/>
      <c r="MUK81" s="20"/>
      <c r="MUL81" s="21"/>
      <c r="MUM81" s="21"/>
      <c r="MUN81" s="7"/>
      <c r="MUO81" s="7"/>
      <c r="MUP81" s="21"/>
      <c r="MUQ81" s="20"/>
      <c r="MUR81" s="20"/>
      <c r="MUS81" s="20"/>
      <c r="MUT81" s="21"/>
      <c r="MUU81" s="21"/>
      <c r="MUV81" s="21"/>
      <c r="MUW81" s="21"/>
      <c r="MUX81" s="21"/>
      <c r="MUY81" s="20"/>
      <c r="MUZ81" s="20"/>
      <c r="MVA81" s="20"/>
      <c r="MVB81" s="20"/>
      <c r="MVC81" s="21"/>
      <c r="MVD81" s="21"/>
      <c r="MVE81" s="7"/>
      <c r="MVF81" s="7"/>
      <c r="MVG81" s="21"/>
      <c r="MVH81" s="20"/>
      <c r="MVI81" s="20"/>
      <c r="MVJ81" s="20"/>
      <c r="MVK81" s="21"/>
      <c r="MVL81" s="21"/>
      <c r="MVM81" s="21"/>
      <c r="MVN81" s="21"/>
      <c r="MVO81" s="21"/>
      <c r="MVP81" s="20"/>
      <c r="MVQ81" s="20"/>
      <c r="MVR81" s="20"/>
      <c r="MVS81" s="20"/>
      <c r="MVT81" s="21"/>
      <c r="MVU81" s="21"/>
      <c r="MVV81" s="7"/>
      <c r="MVW81" s="7"/>
      <c r="MVX81" s="21"/>
      <c r="MVY81" s="20"/>
      <c r="MVZ81" s="20"/>
      <c r="MWA81" s="20"/>
      <c r="MWB81" s="21"/>
      <c r="MWC81" s="21"/>
      <c r="MWD81" s="21"/>
      <c r="MWE81" s="21"/>
      <c r="MWF81" s="21"/>
      <c r="MWG81" s="20"/>
      <c r="MWH81" s="20"/>
      <c r="MWI81" s="20"/>
      <c r="MWJ81" s="20"/>
      <c r="MWK81" s="21"/>
      <c r="MWL81" s="21"/>
      <c r="MWM81" s="7"/>
      <c r="MWN81" s="7"/>
      <c r="MWO81" s="21"/>
      <c r="MWP81" s="20"/>
      <c r="MWQ81" s="20"/>
      <c r="MWR81" s="20"/>
      <c r="MWS81" s="21"/>
      <c r="MWT81" s="21"/>
      <c r="MWU81" s="21"/>
      <c r="MWV81" s="21"/>
      <c r="MWW81" s="21"/>
      <c r="MWX81" s="20"/>
      <c r="MWY81" s="20"/>
      <c r="MWZ81" s="20"/>
      <c r="MXA81" s="20"/>
      <c r="MXB81" s="21"/>
      <c r="MXC81" s="21"/>
      <c r="MXD81" s="7"/>
      <c r="MXE81" s="7"/>
      <c r="MXF81" s="21"/>
      <c r="MXG81" s="20"/>
      <c r="MXH81" s="20"/>
      <c r="MXI81" s="20"/>
      <c r="MXJ81" s="21"/>
      <c r="MXK81" s="21"/>
      <c r="MXL81" s="21"/>
      <c r="MXM81" s="21"/>
      <c r="MXN81" s="21"/>
      <c r="MXO81" s="20"/>
      <c r="MXP81" s="20"/>
      <c r="MXQ81" s="20"/>
      <c r="MXR81" s="20"/>
      <c r="MXS81" s="21"/>
      <c r="MXT81" s="21"/>
      <c r="MXU81" s="7"/>
      <c r="MXV81" s="7"/>
      <c r="MXW81" s="21"/>
      <c r="MXX81" s="20"/>
      <c r="MXY81" s="20"/>
      <c r="MXZ81" s="20"/>
      <c r="MYA81" s="21"/>
      <c r="MYB81" s="21"/>
      <c r="MYC81" s="21"/>
      <c r="MYD81" s="21"/>
      <c r="MYE81" s="21"/>
      <c r="MYF81" s="20"/>
      <c r="MYG81" s="20"/>
      <c r="MYH81" s="20"/>
      <c r="MYI81" s="20"/>
      <c r="MYJ81" s="21"/>
      <c r="MYK81" s="21"/>
      <c r="MYL81" s="7"/>
      <c r="MYM81" s="7"/>
      <c r="MYN81" s="21"/>
      <c r="MYO81" s="20"/>
      <c r="MYP81" s="20"/>
      <c r="MYQ81" s="20"/>
      <c r="MYR81" s="21"/>
      <c r="MYS81" s="21"/>
      <c r="MYT81" s="21"/>
      <c r="MYU81" s="21"/>
      <c r="MYV81" s="21"/>
      <c r="MYW81" s="20"/>
      <c r="MYX81" s="20"/>
      <c r="MYY81" s="20"/>
      <c r="MYZ81" s="20"/>
      <c r="MZA81" s="21"/>
      <c r="MZB81" s="21"/>
      <c r="MZC81" s="7"/>
      <c r="MZD81" s="7"/>
      <c r="MZE81" s="21"/>
      <c r="MZF81" s="20"/>
      <c r="MZG81" s="20"/>
      <c r="MZH81" s="20"/>
      <c r="MZI81" s="21"/>
      <c r="MZJ81" s="21"/>
      <c r="MZK81" s="21"/>
      <c r="MZL81" s="21"/>
      <c r="MZM81" s="21"/>
      <c r="MZN81" s="20"/>
      <c r="MZO81" s="20"/>
      <c r="MZP81" s="20"/>
      <c r="MZQ81" s="20"/>
      <c r="MZR81" s="21"/>
      <c r="MZS81" s="21"/>
      <c r="MZT81" s="7"/>
      <c r="MZU81" s="7"/>
      <c r="MZV81" s="21"/>
      <c r="MZW81" s="20"/>
      <c r="MZX81" s="20"/>
      <c r="MZY81" s="20"/>
      <c r="MZZ81" s="21"/>
      <c r="NAA81" s="21"/>
      <c r="NAB81" s="21"/>
      <c r="NAC81" s="21"/>
      <c r="NAD81" s="21"/>
      <c r="NAE81" s="20"/>
      <c r="NAF81" s="20"/>
      <c r="NAG81" s="20"/>
      <c r="NAH81" s="20"/>
      <c r="NAI81" s="21"/>
      <c r="NAJ81" s="21"/>
      <c r="NAK81" s="7"/>
      <c r="NAL81" s="7"/>
      <c r="NAM81" s="21"/>
      <c r="NAN81" s="20"/>
      <c r="NAO81" s="20"/>
      <c r="NAP81" s="20"/>
      <c r="NAQ81" s="21"/>
      <c r="NAR81" s="21"/>
      <c r="NAS81" s="21"/>
      <c r="NAT81" s="21"/>
      <c r="NAU81" s="21"/>
      <c r="NAV81" s="20"/>
      <c r="NAW81" s="20"/>
      <c r="NAX81" s="20"/>
      <c r="NAY81" s="20"/>
      <c r="NAZ81" s="21"/>
      <c r="NBA81" s="21"/>
      <c r="NBB81" s="7"/>
      <c r="NBC81" s="7"/>
      <c r="NBD81" s="21"/>
      <c r="NBE81" s="20"/>
      <c r="NBF81" s="20"/>
      <c r="NBG81" s="20"/>
      <c r="NBH81" s="21"/>
      <c r="NBI81" s="21"/>
      <c r="NBJ81" s="21"/>
      <c r="NBK81" s="21"/>
      <c r="NBL81" s="21"/>
      <c r="NBM81" s="20"/>
      <c r="NBN81" s="20"/>
      <c r="NBO81" s="20"/>
      <c r="NBP81" s="20"/>
      <c r="NBQ81" s="21"/>
      <c r="NBR81" s="21"/>
      <c r="NBS81" s="7"/>
      <c r="NBT81" s="7"/>
      <c r="NBU81" s="21"/>
      <c r="NBV81" s="20"/>
      <c r="NBW81" s="20"/>
      <c r="NBX81" s="20"/>
      <c r="NBY81" s="21"/>
      <c r="NBZ81" s="21"/>
      <c r="NCA81" s="21"/>
      <c r="NCB81" s="21"/>
      <c r="NCC81" s="21"/>
      <c r="NCD81" s="20"/>
      <c r="NCE81" s="20"/>
      <c r="NCF81" s="20"/>
      <c r="NCG81" s="20"/>
      <c r="NCH81" s="21"/>
      <c r="NCI81" s="21"/>
      <c r="NCJ81" s="7"/>
      <c r="NCK81" s="7"/>
      <c r="NCL81" s="21"/>
      <c r="NCM81" s="20"/>
      <c r="NCN81" s="20"/>
      <c r="NCO81" s="20"/>
      <c r="NCP81" s="21"/>
      <c r="NCQ81" s="21"/>
      <c r="NCR81" s="21"/>
      <c r="NCS81" s="21"/>
      <c r="NCT81" s="21"/>
      <c r="NCU81" s="20"/>
      <c r="NCV81" s="20"/>
      <c r="NCW81" s="20"/>
      <c r="NCX81" s="20"/>
      <c r="NCY81" s="21"/>
      <c r="NCZ81" s="21"/>
      <c r="NDA81" s="7"/>
      <c r="NDB81" s="7"/>
      <c r="NDC81" s="21"/>
      <c r="NDD81" s="20"/>
      <c r="NDE81" s="20"/>
      <c r="NDF81" s="20"/>
      <c r="NDG81" s="21"/>
      <c r="NDH81" s="21"/>
      <c r="NDI81" s="21"/>
      <c r="NDJ81" s="21"/>
      <c r="NDK81" s="21"/>
      <c r="NDL81" s="20"/>
      <c r="NDM81" s="20"/>
      <c r="NDN81" s="20"/>
      <c r="NDO81" s="20"/>
      <c r="NDP81" s="21"/>
      <c r="NDQ81" s="21"/>
      <c r="NDR81" s="7"/>
      <c r="NDS81" s="7"/>
      <c r="NDT81" s="21"/>
      <c r="NDU81" s="20"/>
      <c r="NDV81" s="20"/>
      <c r="NDW81" s="20"/>
      <c r="NDX81" s="21"/>
      <c r="NDY81" s="21"/>
      <c r="NDZ81" s="21"/>
      <c r="NEA81" s="21"/>
      <c r="NEB81" s="21"/>
      <c r="NEC81" s="20"/>
      <c r="NED81" s="20"/>
      <c r="NEE81" s="20"/>
      <c r="NEF81" s="20"/>
      <c r="NEG81" s="21"/>
      <c r="NEH81" s="21"/>
      <c r="NEI81" s="7"/>
      <c r="NEJ81" s="7"/>
      <c r="NEK81" s="21"/>
      <c r="NEL81" s="20"/>
      <c r="NEM81" s="20"/>
      <c r="NEN81" s="20"/>
      <c r="NEO81" s="21"/>
      <c r="NEP81" s="21"/>
      <c r="NEQ81" s="21"/>
      <c r="NER81" s="21"/>
      <c r="NES81" s="21"/>
      <c r="NET81" s="20"/>
      <c r="NEU81" s="20"/>
      <c r="NEV81" s="20"/>
      <c r="NEW81" s="20"/>
      <c r="NEX81" s="21"/>
      <c r="NEY81" s="21"/>
      <c r="NEZ81" s="7"/>
      <c r="NFA81" s="7"/>
      <c r="NFB81" s="21"/>
      <c r="NFC81" s="20"/>
      <c r="NFD81" s="20"/>
      <c r="NFE81" s="20"/>
      <c r="NFF81" s="21"/>
      <c r="NFG81" s="21"/>
      <c r="NFH81" s="21"/>
      <c r="NFI81" s="21"/>
      <c r="NFJ81" s="21"/>
      <c r="NFK81" s="20"/>
      <c r="NFL81" s="20"/>
      <c r="NFM81" s="20"/>
      <c r="NFN81" s="20"/>
      <c r="NFO81" s="21"/>
      <c r="NFP81" s="21"/>
      <c r="NFQ81" s="7"/>
      <c r="NFR81" s="7"/>
      <c r="NFS81" s="21"/>
      <c r="NFT81" s="20"/>
      <c r="NFU81" s="20"/>
      <c r="NFV81" s="20"/>
      <c r="NFW81" s="21"/>
      <c r="NFX81" s="21"/>
      <c r="NFY81" s="21"/>
      <c r="NFZ81" s="21"/>
      <c r="NGA81" s="21"/>
      <c r="NGB81" s="20"/>
      <c r="NGC81" s="20"/>
      <c r="NGD81" s="20"/>
      <c r="NGE81" s="20"/>
      <c r="NGF81" s="21"/>
      <c r="NGG81" s="21"/>
      <c r="NGH81" s="7"/>
      <c r="NGI81" s="7"/>
      <c r="NGJ81" s="21"/>
      <c r="NGK81" s="20"/>
      <c r="NGL81" s="20"/>
      <c r="NGM81" s="20"/>
      <c r="NGN81" s="21"/>
      <c r="NGO81" s="21"/>
      <c r="NGP81" s="21"/>
      <c r="NGQ81" s="21"/>
      <c r="NGR81" s="21"/>
      <c r="NGS81" s="20"/>
      <c r="NGT81" s="20"/>
      <c r="NGU81" s="20"/>
      <c r="NGV81" s="20"/>
      <c r="NGW81" s="21"/>
      <c r="NGX81" s="21"/>
      <c r="NGY81" s="7"/>
      <c r="NGZ81" s="7"/>
      <c r="NHA81" s="21"/>
      <c r="NHB81" s="20"/>
      <c r="NHC81" s="20"/>
      <c r="NHD81" s="20"/>
      <c r="NHE81" s="21"/>
      <c r="NHF81" s="21"/>
      <c r="NHG81" s="21"/>
      <c r="NHH81" s="21"/>
      <c r="NHI81" s="21"/>
      <c r="NHJ81" s="20"/>
      <c r="NHK81" s="20"/>
      <c r="NHL81" s="20"/>
      <c r="NHM81" s="20"/>
      <c r="NHN81" s="21"/>
      <c r="NHO81" s="21"/>
      <c r="NHP81" s="7"/>
      <c r="NHQ81" s="7"/>
      <c r="NHR81" s="21"/>
      <c r="NHS81" s="20"/>
      <c r="NHT81" s="20"/>
      <c r="NHU81" s="20"/>
      <c r="NHV81" s="21"/>
      <c r="NHW81" s="21"/>
      <c r="NHX81" s="21"/>
      <c r="NHY81" s="21"/>
      <c r="NHZ81" s="21"/>
      <c r="NIA81" s="20"/>
      <c r="NIB81" s="20"/>
      <c r="NIC81" s="20"/>
      <c r="NID81" s="20"/>
      <c r="NIE81" s="21"/>
      <c r="NIF81" s="21"/>
      <c r="NIG81" s="7"/>
      <c r="NIH81" s="7"/>
      <c r="NII81" s="21"/>
      <c r="NIJ81" s="20"/>
      <c r="NIK81" s="20"/>
      <c r="NIL81" s="20"/>
      <c r="NIM81" s="21"/>
      <c r="NIN81" s="21"/>
      <c r="NIO81" s="21"/>
      <c r="NIP81" s="21"/>
      <c r="NIQ81" s="21"/>
      <c r="NIR81" s="20"/>
      <c r="NIS81" s="20"/>
      <c r="NIT81" s="20"/>
      <c r="NIU81" s="20"/>
      <c r="NIV81" s="21"/>
      <c r="NIW81" s="21"/>
      <c r="NIX81" s="7"/>
      <c r="NIY81" s="7"/>
      <c r="NIZ81" s="21"/>
      <c r="NJA81" s="20"/>
      <c r="NJB81" s="20"/>
      <c r="NJC81" s="20"/>
      <c r="NJD81" s="21"/>
      <c r="NJE81" s="21"/>
      <c r="NJF81" s="21"/>
      <c r="NJG81" s="21"/>
      <c r="NJH81" s="21"/>
      <c r="NJI81" s="20"/>
      <c r="NJJ81" s="20"/>
      <c r="NJK81" s="20"/>
      <c r="NJL81" s="20"/>
      <c r="NJM81" s="21"/>
      <c r="NJN81" s="21"/>
      <c r="NJO81" s="7"/>
      <c r="NJP81" s="7"/>
      <c r="NJQ81" s="21"/>
      <c r="NJR81" s="20"/>
      <c r="NJS81" s="20"/>
      <c r="NJT81" s="20"/>
      <c r="NJU81" s="21"/>
      <c r="NJV81" s="21"/>
      <c r="NJW81" s="21"/>
      <c r="NJX81" s="21"/>
      <c r="NJY81" s="21"/>
      <c r="NJZ81" s="20"/>
      <c r="NKA81" s="20"/>
      <c r="NKB81" s="20"/>
      <c r="NKC81" s="20"/>
      <c r="NKD81" s="21"/>
      <c r="NKE81" s="21"/>
      <c r="NKF81" s="7"/>
      <c r="NKG81" s="7"/>
      <c r="NKH81" s="21"/>
      <c r="NKI81" s="20"/>
      <c r="NKJ81" s="20"/>
      <c r="NKK81" s="20"/>
      <c r="NKL81" s="21"/>
      <c r="NKM81" s="21"/>
      <c r="NKN81" s="21"/>
      <c r="NKO81" s="21"/>
      <c r="NKP81" s="21"/>
      <c r="NKQ81" s="20"/>
      <c r="NKR81" s="20"/>
      <c r="NKS81" s="20"/>
      <c r="NKT81" s="20"/>
      <c r="NKU81" s="21"/>
      <c r="NKV81" s="21"/>
      <c r="NKW81" s="7"/>
      <c r="NKX81" s="7"/>
      <c r="NKY81" s="21"/>
      <c r="NKZ81" s="20"/>
      <c r="NLA81" s="20"/>
      <c r="NLB81" s="20"/>
      <c r="NLC81" s="21"/>
      <c r="NLD81" s="21"/>
      <c r="NLE81" s="21"/>
      <c r="NLF81" s="21"/>
      <c r="NLG81" s="21"/>
      <c r="NLH81" s="20"/>
      <c r="NLI81" s="20"/>
      <c r="NLJ81" s="20"/>
      <c r="NLK81" s="20"/>
      <c r="NLL81" s="21"/>
      <c r="NLM81" s="21"/>
      <c r="NLN81" s="7"/>
      <c r="NLO81" s="7"/>
      <c r="NLP81" s="21"/>
      <c r="NLQ81" s="20"/>
      <c r="NLR81" s="20"/>
      <c r="NLS81" s="20"/>
      <c r="NLT81" s="21"/>
      <c r="NLU81" s="21"/>
      <c r="NLV81" s="21"/>
      <c r="NLW81" s="21"/>
      <c r="NLX81" s="21"/>
      <c r="NLY81" s="20"/>
      <c r="NLZ81" s="20"/>
      <c r="NMA81" s="20"/>
      <c r="NMB81" s="20"/>
      <c r="NMC81" s="21"/>
      <c r="NMD81" s="21"/>
      <c r="NME81" s="7"/>
      <c r="NMF81" s="7"/>
      <c r="NMG81" s="21"/>
      <c r="NMH81" s="20"/>
      <c r="NMI81" s="20"/>
      <c r="NMJ81" s="20"/>
      <c r="NMK81" s="21"/>
      <c r="NML81" s="21"/>
      <c r="NMM81" s="21"/>
      <c r="NMN81" s="21"/>
      <c r="NMO81" s="21"/>
      <c r="NMP81" s="20"/>
      <c r="NMQ81" s="20"/>
      <c r="NMR81" s="20"/>
      <c r="NMS81" s="20"/>
      <c r="NMT81" s="21"/>
      <c r="NMU81" s="21"/>
      <c r="NMV81" s="7"/>
      <c r="NMW81" s="7"/>
      <c r="NMX81" s="21"/>
      <c r="NMY81" s="20"/>
      <c r="NMZ81" s="20"/>
      <c r="NNA81" s="20"/>
      <c r="NNB81" s="21"/>
      <c r="NNC81" s="21"/>
      <c r="NND81" s="21"/>
      <c r="NNE81" s="21"/>
      <c r="NNF81" s="21"/>
      <c r="NNG81" s="20"/>
      <c r="NNH81" s="20"/>
      <c r="NNI81" s="20"/>
      <c r="NNJ81" s="20"/>
      <c r="NNK81" s="21"/>
      <c r="NNL81" s="21"/>
      <c r="NNM81" s="7"/>
      <c r="NNN81" s="7"/>
      <c r="NNO81" s="21"/>
      <c r="NNP81" s="20"/>
      <c r="NNQ81" s="20"/>
      <c r="NNR81" s="20"/>
      <c r="NNS81" s="21"/>
      <c r="NNT81" s="21"/>
      <c r="NNU81" s="21"/>
      <c r="NNV81" s="21"/>
      <c r="NNW81" s="21"/>
      <c r="NNX81" s="20"/>
      <c r="NNY81" s="20"/>
      <c r="NNZ81" s="20"/>
      <c r="NOA81" s="20"/>
      <c r="NOB81" s="21"/>
      <c r="NOC81" s="21"/>
      <c r="NOD81" s="7"/>
      <c r="NOE81" s="7"/>
      <c r="NOF81" s="21"/>
      <c r="NOG81" s="20"/>
      <c r="NOH81" s="20"/>
      <c r="NOI81" s="20"/>
      <c r="NOJ81" s="21"/>
      <c r="NOK81" s="21"/>
      <c r="NOL81" s="21"/>
      <c r="NOM81" s="21"/>
      <c r="NON81" s="21"/>
      <c r="NOO81" s="20"/>
      <c r="NOP81" s="20"/>
      <c r="NOQ81" s="20"/>
      <c r="NOR81" s="20"/>
      <c r="NOS81" s="21"/>
      <c r="NOT81" s="21"/>
      <c r="NOU81" s="7"/>
      <c r="NOV81" s="7"/>
      <c r="NOW81" s="21"/>
      <c r="NOX81" s="20"/>
      <c r="NOY81" s="20"/>
      <c r="NOZ81" s="20"/>
      <c r="NPA81" s="21"/>
      <c r="NPB81" s="21"/>
      <c r="NPC81" s="21"/>
      <c r="NPD81" s="21"/>
      <c r="NPE81" s="21"/>
      <c r="NPF81" s="20"/>
      <c r="NPG81" s="20"/>
      <c r="NPH81" s="20"/>
      <c r="NPI81" s="20"/>
      <c r="NPJ81" s="21"/>
      <c r="NPK81" s="21"/>
      <c r="NPL81" s="7"/>
      <c r="NPM81" s="7"/>
      <c r="NPN81" s="21"/>
      <c r="NPO81" s="20"/>
      <c r="NPP81" s="20"/>
      <c r="NPQ81" s="20"/>
      <c r="NPR81" s="21"/>
      <c r="NPS81" s="21"/>
      <c r="NPT81" s="21"/>
      <c r="NPU81" s="21"/>
      <c r="NPV81" s="21"/>
      <c r="NPW81" s="20"/>
      <c r="NPX81" s="20"/>
      <c r="NPY81" s="20"/>
      <c r="NPZ81" s="20"/>
      <c r="NQA81" s="21"/>
      <c r="NQB81" s="21"/>
      <c r="NQC81" s="7"/>
      <c r="NQD81" s="7"/>
      <c r="NQE81" s="21"/>
      <c r="NQF81" s="20"/>
      <c r="NQG81" s="20"/>
      <c r="NQH81" s="20"/>
      <c r="NQI81" s="21"/>
      <c r="NQJ81" s="21"/>
      <c r="NQK81" s="21"/>
      <c r="NQL81" s="21"/>
      <c r="NQM81" s="21"/>
      <c r="NQN81" s="20"/>
      <c r="NQO81" s="20"/>
      <c r="NQP81" s="20"/>
      <c r="NQQ81" s="20"/>
      <c r="NQR81" s="21"/>
      <c r="NQS81" s="21"/>
      <c r="NQT81" s="7"/>
      <c r="NQU81" s="7"/>
      <c r="NQV81" s="21"/>
      <c r="NQW81" s="20"/>
      <c r="NQX81" s="20"/>
      <c r="NQY81" s="20"/>
      <c r="NQZ81" s="21"/>
      <c r="NRA81" s="21"/>
      <c r="NRB81" s="21"/>
      <c r="NRC81" s="21"/>
      <c r="NRD81" s="21"/>
      <c r="NRE81" s="20"/>
      <c r="NRF81" s="20"/>
      <c r="NRG81" s="20"/>
      <c r="NRH81" s="20"/>
      <c r="NRI81" s="21"/>
      <c r="NRJ81" s="21"/>
      <c r="NRK81" s="7"/>
      <c r="NRL81" s="7"/>
      <c r="NRM81" s="21"/>
      <c r="NRN81" s="20"/>
      <c r="NRO81" s="20"/>
      <c r="NRP81" s="20"/>
      <c r="NRQ81" s="21"/>
      <c r="NRR81" s="21"/>
      <c r="NRS81" s="21"/>
      <c r="NRT81" s="21"/>
      <c r="NRU81" s="21"/>
      <c r="NRV81" s="20"/>
      <c r="NRW81" s="20"/>
      <c r="NRX81" s="20"/>
      <c r="NRY81" s="20"/>
      <c r="NRZ81" s="21"/>
      <c r="NSA81" s="21"/>
      <c r="NSB81" s="7"/>
      <c r="NSC81" s="7"/>
      <c r="NSD81" s="21"/>
      <c r="NSE81" s="20"/>
      <c r="NSF81" s="20"/>
      <c r="NSG81" s="20"/>
      <c r="NSH81" s="21"/>
      <c r="NSI81" s="21"/>
      <c r="NSJ81" s="21"/>
      <c r="NSK81" s="21"/>
      <c r="NSL81" s="21"/>
      <c r="NSM81" s="20"/>
      <c r="NSN81" s="20"/>
      <c r="NSO81" s="20"/>
      <c r="NSP81" s="20"/>
      <c r="NSQ81" s="21"/>
      <c r="NSR81" s="21"/>
      <c r="NSS81" s="7"/>
      <c r="NST81" s="7"/>
      <c r="NSU81" s="21"/>
      <c r="NSV81" s="20"/>
      <c r="NSW81" s="20"/>
      <c r="NSX81" s="20"/>
      <c r="NSY81" s="21"/>
      <c r="NSZ81" s="21"/>
      <c r="NTA81" s="21"/>
      <c r="NTB81" s="21"/>
      <c r="NTC81" s="21"/>
      <c r="NTD81" s="20"/>
      <c r="NTE81" s="20"/>
      <c r="NTF81" s="20"/>
      <c r="NTG81" s="20"/>
      <c r="NTH81" s="21"/>
      <c r="NTI81" s="21"/>
      <c r="NTJ81" s="7"/>
      <c r="NTK81" s="7"/>
      <c r="NTL81" s="21"/>
      <c r="NTM81" s="20"/>
      <c r="NTN81" s="20"/>
      <c r="NTO81" s="20"/>
      <c r="NTP81" s="21"/>
      <c r="NTQ81" s="21"/>
      <c r="NTR81" s="21"/>
      <c r="NTS81" s="21"/>
      <c r="NTT81" s="21"/>
      <c r="NTU81" s="20"/>
      <c r="NTV81" s="20"/>
      <c r="NTW81" s="20"/>
      <c r="NTX81" s="20"/>
      <c r="NTY81" s="21"/>
      <c r="NTZ81" s="21"/>
      <c r="NUA81" s="7"/>
      <c r="NUB81" s="7"/>
      <c r="NUC81" s="21"/>
      <c r="NUD81" s="20"/>
      <c r="NUE81" s="20"/>
      <c r="NUF81" s="20"/>
      <c r="NUG81" s="21"/>
      <c r="NUH81" s="21"/>
      <c r="NUI81" s="21"/>
      <c r="NUJ81" s="21"/>
      <c r="NUK81" s="21"/>
      <c r="NUL81" s="20"/>
      <c r="NUM81" s="20"/>
      <c r="NUN81" s="20"/>
      <c r="NUO81" s="20"/>
      <c r="NUP81" s="21"/>
      <c r="NUQ81" s="21"/>
      <c r="NUR81" s="7"/>
      <c r="NUS81" s="7"/>
      <c r="NUT81" s="21"/>
      <c r="NUU81" s="20"/>
      <c r="NUV81" s="20"/>
      <c r="NUW81" s="20"/>
      <c r="NUX81" s="21"/>
      <c r="NUY81" s="21"/>
      <c r="NUZ81" s="21"/>
      <c r="NVA81" s="21"/>
      <c r="NVB81" s="21"/>
      <c r="NVC81" s="20"/>
      <c r="NVD81" s="20"/>
      <c r="NVE81" s="20"/>
      <c r="NVF81" s="20"/>
      <c r="NVG81" s="21"/>
      <c r="NVH81" s="21"/>
      <c r="NVI81" s="7"/>
      <c r="NVJ81" s="7"/>
      <c r="NVK81" s="21"/>
      <c r="NVL81" s="20"/>
      <c r="NVM81" s="20"/>
      <c r="NVN81" s="20"/>
      <c r="NVO81" s="21"/>
      <c r="NVP81" s="21"/>
      <c r="NVQ81" s="21"/>
      <c r="NVR81" s="21"/>
      <c r="NVS81" s="21"/>
      <c r="NVT81" s="20"/>
      <c r="NVU81" s="20"/>
      <c r="NVV81" s="20"/>
      <c r="NVW81" s="20"/>
      <c r="NVX81" s="21"/>
      <c r="NVY81" s="21"/>
      <c r="NVZ81" s="7"/>
      <c r="NWA81" s="7"/>
      <c r="NWB81" s="21"/>
      <c r="NWC81" s="20"/>
      <c r="NWD81" s="20"/>
      <c r="NWE81" s="20"/>
      <c r="NWF81" s="21"/>
      <c r="NWG81" s="21"/>
      <c r="NWH81" s="21"/>
      <c r="NWI81" s="21"/>
      <c r="NWJ81" s="21"/>
      <c r="NWK81" s="20"/>
      <c r="NWL81" s="20"/>
      <c r="NWM81" s="20"/>
      <c r="NWN81" s="20"/>
      <c r="NWO81" s="21"/>
      <c r="NWP81" s="21"/>
      <c r="NWQ81" s="7"/>
      <c r="NWR81" s="7"/>
      <c r="NWS81" s="21"/>
      <c r="NWT81" s="20"/>
      <c r="NWU81" s="20"/>
      <c r="NWV81" s="20"/>
      <c r="NWW81" s="21"/>
      <c r="NWX81" s="21"/>
      <c r="NWY81" s="21"/>
      <c r="NWZ81" s="21"/>
      <c r="NXA81" s="21"/>
      <c r="NXB81" s="20"/>
      <c r="NXC81" s="20"/>
      <c r="NXD81" s="20"/>
      <c r="NXE81" s="20"/>
      <c r="NXF81" s="21"/>
      <c r="NXG81" s="21"/>
      <c r="NXH81" s="7"/>
      <c r="NXI81" s="7"/>
      <c r="NXJ81" s="21"/>
      <c r="NXK81" s="20"/>
      <c r="NXL81" s="20"/>
      <c r="NXM81" s="20"/>
      <c r="NXN81" s="21"/>
      <c r="NXO81" s="21"/>
      <c r="NXP81" s="21"/>
      <c r="NXQ81" s="21"/>
      <c r="NXR81" s="21"/>
      <c r="NXS81" s="20"/>
      <c r="NXT81" s="20"/>
      <c r="NXU81" s="20"/>
      <c r="NXV81" s="20"/>
      <c r="NXW81" s="21"/>
      <c r="NXX81" s="21"/>
      <c r="NXY81" s="7"/>
      <c r="NXZ81" s="7"/>
      <c r="NYA81" s="21"/>
      <c r="NYB81" s="20"/>
      <c r="NYC81" s="20"/>
      <c r="NYD81" s="20"/>
      <c r="NYE81" s="21"/>
      <c r="NYF81" s="21"/>
      <c r="NYG81" s="21"/>
      <c r="NYH81" s="21"/>
      <c r="NYI81" s="21"/>
      <c r="NYJ81" s="20"/>
      <c r="NYK81" s="20"/>
      <c r="NYL81" s="20"/>
      <c r="NYM81" s="20"/>
      <c r="NYN81" s="21"/>
      <c r="NYO81" s="21"/>
      <c r="NYP81" s="7"/>
      <c r="NYQ81" s="7"/>
      <c r="NYR81" s="21"/>
      <c r="NYS81" s="20"/>
      <c r="NYT81" s="20"/>
      <c r="NYU81" s="20"/>
      <c r="NYV81" s="21"/>
      <c r="NYW81" s="21"/>
      <c r="NYX81" s="21"/>
      <c r="NYY81" s="21"/>
      <c r="NYZ81" s="21"/>
      <c r="NZA81" s="20"/>
      <c r="NZB81" s="20"/>
      <c r="NZC81" s="20"/>
      <c r="NZD81" s="20"/>
      <c r="NZE81" s="21"/>
      <c r="NZF81" s="21"/>
      <c r="NZG81" s="7"/>
      <c r="NZH81" s="7"/>
      <c r="NZI81" s="21"/>
      <c r="NZJ81" s="20"/>
      <c r="NZK81" s="20"/>
      <c r="NZL81" s="20"/>
      <c r="NZM81" s="21"/>
      <c r="NZN81" s="21"/>
      <c r="NZO81" s="21"/>
      <c r="NZP81" s="21"/>
      <c r="NZQ81" s="21"/>
      <c r="NZR81" s="20"/>
      <c r="NZS81" s="20"/>
      <c r="NZT81" s="20"/>
      <c r="NZU81" s="20"/>
      <c r="NZV81" s="21"/>
      <c r="NZW81" s="21"/>
      <c r="NZX81" s="7"/>
      <c r="NZY81" s="7"/>
      <c r="NZZ81" s="21"/>
      <c r="OAA81" s="20"/>
      <c r="OAB81" s="20"/>
      <c r="OAC81" s="20"/>
      <c r="OAD81" s="21"/>
      <c r="OAE81" s="21"/>
      <c r="OAF81" s="21"/>
      <c r="OAG81" s="21"/>
      <c r="OAH81" s="21"/>
      <c r="OAI81" s="20"/>
      <c r="OAJ81" s="20"/>
      <c r="OAK81" s="20"/>
      <c r="OAL81" s="20"/>
      <c r="OAM81" s="21"/>
      <c r="OAN81" s="21"/>
      <c r="OAO81" s="7"/>
      <c r="OAP81" s="7"/>
      <c r="OAQ81" s="21"/>
      <c r="OAR81" s="20"/>
      <c r="OAS81" s="20"/>
      <c r="OAT81" s="20"/>
      <c r="OAU81" s="21"/>
      <c r="OAV81" s="21"/>
      <c r="OAW81" s="21"/>
      <c r="OAX81" s="21"/>
      <c r="OAY81" s="21"/>
      <c r="OAZ81" s="20"/>
      <c r="OBA81" s="20"/>
      <c r="OBB81" s="20"/>
      <c r="OBC81" s="20"/>
      <c r="OBD81" s="21"/>
      <c r="OBE81" s="21"/>
      <c r="OBF81" s="7"/>
      <c r="OBG81" s="7"/>
      <c r="OBH81" s="21"/>
      <c r="OBI81" s="20"/>
      <c r="OBJ81" s="20"/>
      <c r="OBK81" s="20"/>
      <c r="OBL81" s="21"/>
      <c r="OBM81" s="21"/>
      <c r="OBN81" s="21"/>
      <c r="OBO81" s="21"/>
      <c r="OBP81" s="21"/>
      <c r="OBQ81" s="20"/>
      <c r="OBR81" s="20"/>
      <c r="OBS81" s="20"/>
      <c r="OBT81" s="20"/>
      <c r="OBU81" s="21"/>
      <c r="OBV81" s="21"/>
      <c r="OBW81" s="7"/>
      <c r="OBX81" s="7"/>
      <c r="OBY81" s="21"/>
      <c r="OBZ81" s="20"/>
      <c r="OCA81" s="20"/>
      <c r="OCB81" s="20"/>
      <c r="OCC81" s="21"/>
      <c r="OCD81" s="21"/>
      <c r="OCE81" s="21"/>
      <c r="OCF81" s="21"/>
      <c r="OCG81" s="21"/>
      <c r="OCH81" s="20"/>
      <c r="OCI81" s="20"/>
      <c r="OCJ81" s="20"/>
      <c r="OCK81" s="20"/>
      <c r="OCL81" s="21"/>
      <c r="OCM81" s="21"/>
      <c r="OCN81" s="7"/>
      <c r="OCO81" s="7"/>
      <c r="OCP81" s="21"/>
      <c r="OCQ81" s="20"/>
      <c r="OCR81" s="20"/>
      <c r="OCS81" s="20"/>
      <c r="OCT81" s="21"/>
      <c r="OCU81" s="21"/>
      <c r="OCV81" s="21"/>
      <c r="OCW81" s="21"/>
      <c r="OCX81" s="21"/>
      <c r="OCY81" s="20"/>
      <c r="OCZ81" s="20"/>
      <c r="ODA81" s="20"/>
      <c r="ODB81" s="20"/>
      <c r="ODC81" s="21"/>
      <c r="ODD81" s="21"/>
      <c r="ODE81" s="7"/>
      <c r="ODF81" s="7"/>
      <c r="ODG81" s="21"/>
      <c r="ODH81" s="20"/>
      <c r="ODI81" s="20"/>
      <c r="ODJ81" s="20"/>
      <c r="ODK81" s="21"/>
      <c r="ODL81" s="21"/>
      <c r="ODM81" s="21"/>
      <c r="ODN81" s="21"/>
      <c r="ODO81" s="21"/>
      <c r="ODP81" s="20"/>
      <c r="ODQ81" s="20"/>
      <c r="ODR81" s="20"/>
      <c r="ODS81" s="20"/>
      <c r="ODT81" s="21"/>
      <c r="ODU81" s="21"/>
      <c r="ODV81" s="7"/>
      <c r="ODW81" s="7"/>
      <c r="ODX81" s="21"/>
      <c r="ODY81" s="20"/>
      <c r="ODZ81" s="20"/>
      <c r="OEA81" s="20"/>
      <c r="OEB81" s="21"/>
      <c r="OEC81" s="21"/>
      <c r="OED81" s="21"/>
      <c r="OEE81" s="21"/>
      <c r="OEF81" s="21"/>
      <c r="OEG81" s="20"/>
      <c r="OEH81" s="20"/>
      <c r="OEI81" s="20"/>
      <c r="OEJ81" s="20"/>
      <c r="OEK81" s="21"/>
      <c r="OEL81" s="21"/>
      <c r="OEM81" s="7"/>
      <c r="OEN81" s="7"/>
      <c r="OEO81" s="21"/>
      <c r="OEP81" s="20"/>
      <c r="OEQ81" s="20"/>
      <c r="OER81" s="20"/>
      <c r="OES81" s="21"/>
      <c r="OET81" s="21"/>
      <c r="OEU81" s="21"/>
      <c r="OEV81" s="21"/>
      <c r="OEW81" s="21"/>
      <c r="OEX81" s="20"/>
      <c r="OEY81" s="20"/>
      <c r="OEZ81" s="20"/>
      <c r="OFA81" s="20"/>
      <c r="OFB81" s="21"/>
      <c r="OFC81" s="21"/>
      <c r="OFD81" s="7"/>
      <c r="OFE81" s="7"/>
      <c r="OFF81" s="21"/>
      <c r="OFG81" s="20"/>
      <c r="OFH81" s="20"/>
      <c r="OFI81" s="20"/>
      <c r="OFJ81" s="21"/>
      <c r="OFK81" s="21"/>
      <c r="OFL81" s="21"/>
      <c r="OFM81" s="21"/>
      <c r="OFN81" s="21"/>
      <c r="OFO81" s="20"/>
      <c r="OFP81" s="20"/>
      <c r="OFQ81" s="20"/>
      <c r="OFR81" s="20"/>
      <c r="OFS81" s="21"/>
      <c r="OFT81" s="21"/>
      <c r="OFU81" s="7"/>
      <c r="OFV81" s="7"/>
      <c r="OFW81" s="21"/>
      <c r="OFX81" s="20"/>
      <c r="OFY81" s="20"/>
      <c r="OFZ81" s="20"/>
      <c r="OGA81" s="21"/>
      <c r="OGB81" s="21"/>
      <c r="OGC81" s="21"/>
      <c r="OGD81" s="21"/>
      <c r="OGE81" s="21"/>
      <c r="OGF81" s="20"/>
      <c r="OGG81" s="20"/>
      <c r="OGH81" s="20"/>
      <c r="OGI81" s="20"/>
      <c r="OGJ81" s="21"/>
      <c r="OGK81" s="21"/>
      <c r="OGL81" s="7"/>
      <c r="OGM81" s="7"/>
      <c r="OGN81" s="21"/>
      <c r="OGO81" s="20"/>
      <c r="OGP81" s="20"/>
      <c r="OGQ81" s="20"/>
      <c r="OGR81" s="21"/>
      <c r="OGS81" s="21"/>
      <c r="OGT81" s="21"/>
      <c r="OGU81" s="21"/>
      <c r="OGV81" s="21"/>
      <c r="OGW81" s="20"/>
      <c r="OGX81" s="20"/>
      <c r="OGY81" s="20"/>
      <c r="OGZ81" s="20"/>
      <c r="OHA81" s="21"/>
      <c r="OHB81" s="21"/>
      <c r="OHC81" s="7"/>
      <c r="OHD81" s="7"/>
      <c r="OHE81" s="21"/>
      <c r="OHF81" s="20"/>
      <c r="OHG81" s="20"/>
      <c r="OHH81" s="20"/>
      <c r="OHI81" s="21"/>
      <c r="OHJ81" s="21"/>
      <c r="OHK81" s="21"/>
      <c r="OHL81" s="21"/>
      <c r="OHM81" s="21"/>
      <c r="OHN81" s="20"/>
      <c r="OHO81" s="20"/>
      <c r="OHP81" s="20"/>
      <c r="OHQ81" s="20"/>
      <c r="OHR81" s="21"/>
      <c r="OHS81" s="21"/>
      <c r="OHT81" s="7"/>
      <c r="OHU81" s="7"/>
      <c r="OHV81" s="21"/>
      <c r="OHW81" s="20"/>
      <c r="OHX81" s="20"/>
      <c r="OHY81" s="20"/>
      <c r="OHZ81" s="21"/>
      <c r="OIA81" s="21"/>
      <c r="OIB81" s="21"/>
      <c r="OIC81" s="21"/>
      <c r="OID81" s="21"/>
      <c r="OIE81" s="20"/>
      <c r="OIF81" s="20"/>
      <c r="OIG81" s="20"/>
      <c r="OIH81" s="20"/>
      <c r="OII81" s="21"/>
      <c r="OIJ81" s="21"/>
      <c r="OIK81" s="7"/>
      <c r="OIL81" s="7"/>
      <c r="OIM81" s="21"/>
      <c r="OIN81" s="20"/>
      <c r="OIO81" s="20"/>
      <c r="OIP81" s="20"/>
      <c r="OIQ81" s="21"/>
      <c r="OIR81" s="21"/>
      <c r="OIS81" s="21"/>
      <c r="OIT81" s="21"/>
      <c r="OIU81" s="21"/>
      <c r="OIV81" s="20"/>
      <c r="OIW81" s="20"/>
      <c r="OIX81" s="20"/>
      <c r="OIY81" s="20"/>
      <c r="OIZ81" s="21"/>
      <c r="OJA81" s="21"/>
      <c r="OJB81" s="7"/>
      <c r="OJC81" s="7"/>
      <c r="OJD81" s="21"/>
      <c r="OJE81" s="20"/>
      <c r="OJF81" s="20"/>
      <c r="OJG81" s="20"/>
      <c r="OJH81" s="21"/>
      <c r="OJI81" s="21"/>
      <c r="OJJ81" s="21"/>
      <c r="OJK81" s="21"/>
      <c r="OJL81" s="21"/>
      <c r="OJM81" s="20"/>
      <c r="OJN81" s="20"/>
      <c r="OJO81" s="20"/>
      <c r="OJP81" s="20"/>
      <c r="OJQ81" s="21"/>
      <c r="OJR81" s="21"/>
      <c r="OJS81" s="7"/>
      <c r="OJT81" s="7"/>
      <c r="OJU81" s="21"/>
      <c r="OJV81" s="20"/>
      <c r="OJW81" s="20"/>
      <c r="OJX81" s="20"/>
      <c r="OJY81" s="21"/>
      <c r="OJZ81" s="21"/>
      <c r="OKA81" s="21"/>
      <c r="OKB81" s="21"/>
      <c r="OKC81" s="21"/>
      <c r="OKD81" s="20"/>
      <c r="OKE81" s="20"/>
      <c r="OKF81" s="20"/>
      <c r="OKG81" s="20"/>
      <c r="OKH81" s="21"/>
      <c r="OKI81" s="21"/>
      <c r="OKJ81" s="7"/>
      <c r="OKK81" s="7"/>
      <c r="OKL81" s="21"/>
      <c r="OKM81" s="20"/>
      <c r="OKN81" s="20"/>
      <c r="OKO81" s="20"/>
      <c r="OKP81" s="21"/>
      <c r="OKQ81" s="21"/>
      <c r="OKR81" s="21"/>
      <c r="OKS81" s="21"/>
      <c r="OKT81" s="21"/>
      <c r="OKU81" s="20"/>
      <c r="OKV81" s="20"/>
      <c r="OKW81" s="20"/>
      <c r="OKX81" s="20"/>
      <c r="OKY81" s="21"/>
      <c r="OKZ81" s="21"/>
      <c r="OLA81" s="7"/>
      <c r="OLB81" s="7"/>
      <c r="OLC81" s="21"/>
      <c r="OLD81" s="20"/>
      <c r="OLE81" s="20"/>
      <c r="OLF81" s="20"/>
      <c r="OLG81" s="21"/>
      <c r="OLH81" s="21"/>
      <c r="OLI81" s="21"/>
      <c r="OLJ81" s="21"/>
      <c r="OLK81" s="21"/>
      <c r="OLL81" s="20"/>
      <c r="OLM81" s="20"/>
      <c r="OLN81" s="20"/>
      <c r="OLO81" s="20"/>
      <c r="OLP81" s="21"/>
      <c r="OLQ81" s="21"/>
      <c r="OLR81" s="7"/>
      <c r="OLS81" s="7"/>
      <c r="OLT81" s="21"/>
      <c r="OLU81" s="20"/>
      <c r="OLV81" s="20"/>
      <c r="OLW81" s="20"/>
      <c r="OLX81" s="21"/>
      <c r="OLY81" s="21"/>
      <c r="OLZ81" s="21"/>
      <c r="OMA81" s="21"/>
      <c r="OMB81" s="21"/>
      <c r="OMC81" s="20"/>
      <c r="OMD81" s="20"/>
      <c r="OME81" s="20"/>
      <c r="OMF81" s="20"/>
      <c r="OMG81" s="21"/>
      <c r="OMH81" s="21"/>
      <c r="OMI81" s="7"/>
      <c r="OMJ81" s="7"/>
      <c r="OMK81" s="21"/>
      <c r="OML81" s="20"/>
      <c r="OMM81" s="20"/>
      <c r="OMN81" s="20"/>
      <c r="OMO81" s="21"/>
      <c r="OMP81" s="21"/>
      <c r="OMQ81" s="21"/>
      <c r="OMR81" s="21"/>
      <c r="OMS81" s="21"/>
      <c r="OMT81" s="20"/>
      <c r="OMU81" s="20"/>
      <c r="OMV81" s="20"/>
      <c r="OMW81" s="20"/>
      <c r="OMX81" s="21"/>
      <c r="OMY81" s="21"/>
      <c r="OMZ81" s="7"/>
      <c r="ONA81" s="7"/>
      <c r="ONB81" s="21"/>
      <c r="ONC81" s="20"/>
      <c r="OND81" s="20"/>
      <c r="ONE81" s="20"/>
      <c r="ONF81" s="21"/>
      <c r="ONG81" s="21"/>
      <c r="ONH81" s="21"/>
      <c r="ONI81" s="21"/>
      <c r="ONJ81" s="21"/>
      <c r="ONK81" s="20"/>
      <c r="ONL81" s="20"/>
      <c r="ONM81" s="20"/>
      <c r="ONN81" s="20"/>
      <c r="ONO81" s="21"/>
      <c r="ONP81" s="21"/>
      <c r="ONQ81" s="7"/>
      <c r="ONR81" s="7"/>
      <c r="ONS81" s="21"/>
      <c r="ONT81" s="20"/>
      <c r="ONU81" s="20"/>
      <c r="ONV81" s="20"/>
      <c r="ONW81" s="21"/>
      <c r="ONX81" s="21"/>
      <c r="ONY81" s="21"/>
      <c r="ONZ81" s="21"/>
      <c r="OOA81" s="21"/>
      <c r="OOB81" s="20"/>
      <c r="OOC81" s="20"/>
      <c r="OOD81" s="20"/>
      <c r="OOE81" s="20"/>
      <c r="OOF81" s="21"/>
      <c r="OOG81" s="21"/>
      <c r="OOH81" s="7"/>
      <c r="OOI81" s="7"/>
      <c r="OOJ81" s="21"/>
      <c r="OOK81" s="20"/>
      <c r="OOL81" s="20"/>
      <c r="OOM81" s="20"/>
      <c r="OON81" s="21"/>
      <c r="OOO81" s="21"/>
      <c r="OOP81" s="21"/>
      <c r="OOQ81" s="21"/>
      <c r="OOR81" s="21"/>
      <c r="OOS81" s="20"/>
      <c r="OOT81" s="20"/>
      <c r="OOU81" s="20"/>
      <c r="OOV81" s="20"/>
      <c r="OOW81" s="21"/>
      <c r="OOX81" s="21"/>
      <c r="OOY81" s="7"/>
      <c r="OOZ81" s="7"/>
      <c r="OPA81" s="21"/>
      <c r="OPB81" s="20"/>
      <c r="OPC81" s="20"/>
      <c r="OPD81" s="20"/>
      <c r="OPE81" s="21"/>
      <c r="OPF81" s="21"/>
      <c r="OPG81" s="21"/>
      <c r="OPH81" s="21"/>
      <c r="OPI81" s="21"/>
      <c r="OPJ81" s="20"/>
      <c r="OPK81" s="20"/>
      <c r="OPL81" s="20"/>
      <c r="OPM81" s="20"/>
      <c r="OPN81" s="21"/>
      <c r="OPO81" s="21"/>
      <c r="OPP81" s="7"/>
      <c r="OPQ81" s="7"/>
      <c r="OPR81" s="21"/>
      <c r="OPS81" s="20"/>
      <c r="OPT81" s="20"/>
      <c r="OPU81" s="20"/>
      <c r="OPV81" s="21"/>
      <c r="OPW81" s="21"/>
      <c r="OPX81" s="21"/>
      <c r="OPY81" s="21"/>
      <c r="OPZ81" s="21"/>
      <c r="OQA81" s="20"/>
      <c r="OQB81" s="20"/>
      <c r="OQC81" s="20"/>
      <c r="OQD81" s="20"/>
      <c r="OQE81" s="21"/>
      <c r="OQF81" s="21"/>
      <c r="OQG81" s="7"/>
      <c r="OQH81" s="7"/>
      <c r="OQI81" s="21"/>
      <c r="OQJ81" s="20"/>
      <c r="OQK81" s="20"/>
      <c r="OQL81" s="20"/>
      <c r="OQM81" s="21"/>
      <c r="OQN81" s="21"/>
      <c r="OQO81" s="21"/>
      <c r="OQP81" s="21"/>
      <c r="OQQ81" s="21"/>
      <c r="OQR81" s="20"/>
      <c r="OQS81" s="20"/>
      <c r="OQT81" s="20"/>
      <c r="OQU81" s="20"/>
      <c r="OQV81" s="21"/>
      <c r="OQW81" s="21"/>
      <c r="OQX81" s="7"/>
      <c r="OQY81" s="7"/>
      <c r="OQZ81" s="21"/>
      <c r="ORA81" s="20"/>
      <c r="ORB81" s="20"/>
      <c r="ORC81" s="20"/>
      <c r="ORD81" s="21"/>
      <c r="ORE81" s="21"/>
      <c r="ORF81" s="21"/>
      <c r="ORG81" s="21"/>
      <c r="ORH81" s="21"/>
      <c r="ORI81" s="20"/>
      <c r="ORJ81" s="20"/>
      <c r="ORK81" s="20"/>
      <c r="ORL81" s="20"/>
      <c r="ORM81" s="21"/>
      <c r="ORN81" s="21"/>
      <c r="ORO81" s="7"/>
      <c r="ORP81" s="7"/>
      <c r="ORQ81" s="21"/>
      <c r="ORR81" s="20"/>
      <c r="ORS81" s="20"/>
      <c r="ORT81" s="20"/>
      <c r="ORU81" s="21"/>
      <c r="ORV81" s="21"/>
      <c r="ORW81" s="21"/>
      <c r="ORX81" s="21"/>
      <c r="ORY81" s="21"/>
      <c r="ORZ81" s="20"/>
      <c r="OSA81" s="20"/>
      <c r="OSB81" s="20"/>
      <c r="OSC81" s="20"/>
      <c r="OSD81" s="21"/>
      <c r="OSE81" s="21"/>
      <c r="OSF81" s="7"/>
      <c r="OSG81" s="7"/>
      <c r="OSH81" s="21"/>
      <c r="OSI81" s="20"/>
      <c r="OSJ81" s="20"/>
      <c r="OSK81" s="20"/>
      <c r="OSL81" s="21"/>
      <c r="OSM81" s="21"/>
      <c r="OSN81" s="21"/>
      <c r="OSO81" s="21"/>
      <c r="OSP81" s="21"/>
      <c r="OSQ81" s="20"/>
      <c r="OSR81" s="20"/>
      <c r="OSS81" s="20"/>
      <c r="OST81" s="20"/>
      <c r="OSU81" s="21"/>
      <c r="OSV81" s="21"/>
      <c r="OSW81" s="7"/>
      <c r="OSX81" s="7"/>
      <c r="OSY81" s="21"/>
      <c r="OSZ81" s="20"/>
      <c r="OTA81" s="20"/>
      <c r="OTB81" s="20"/>
      <c r="OTC81" s="21"/>
      <c r="OTD81" s="21"/>
      <c r="OTE81" s="21"/>
      <c r="OTF81" s="21"/>
      <c r="OTG81" s="21"/>
      <c r="OTH81" s="20"/>
      <c r="OTI81" s="20"/>
      <c r="OTJ81" s="20"/>
      <c r="OTK81" s="20"/>
      <c r="OTL81" s="21"/>
      <c r="OTM81" s="21"/>
      <c r="OTN81" s="7"/>
      <c r="OTO81" s="7"/>
      <c r="OTP81" s="21"/>
      <c r="OTQ81" s="20"/>
      <c r="OTR81" s="20"/>
      <c r="OTS81" s="20"/>
      <c r="OTT81" s="21"/>
      <c r="OTU81" s="21"/>
      <c r="OTV81" s="21"/>
      <c r="OTW81" s="21"/>
      <c r="OTX81" s="21"/>
      <c r="OTY81" s="20"/>
      <c r="OTZ81" s="20"/>
      <c r="OUA81" s="20"/>
      <c r="OUB81" s="20"/>
      <c r="OUC81" s="21"/>
      <c r="OUD81" s="21"/>
      <c r="OUE81" s="7"/>
      <c r="OUF81" s="7"/>
      <c r="OUG81" s="21"/>
      <c r="OUH81" s="20"/>
      <c r="OUI81" s="20"/>
      <c r="OUJ81" s="20"/>
      <c r="OUK81" s="21"/>
      <c r="OUL81" s="21"/>
      <c r="OUM81" s="21"/>
      <c r="OUN81" s="21"/>
      <c r="OUO81" s="21"/>
      <c r="OUP81" s="20"/>
      <c r="OUQ81" s="20"/>
      <c r="OUR81" s="20"/>
      <c r="OUS81" s="20"/>
      <c r="OUT81" s="21"/>
      <c r="OUU81" s="21"/>
      <c r="OUV81" s="7"/>
      <c r="OUW81" s="7"/>
      <c r="OUX81" s="21"/>
      <c r="OUY81" s="20"/>
      <c r="OUZ81" s="20"/>
      <c r="OVA81" s="20"/>
      <c r="OVB81" s="21"/>
      <c r="OVC81" s="21"/>
      <c r="OVD81" s="21"/>
      <c r="OVE81" s="21"/>
      <c r="OVF81" s="21"/>
      <c r="OVG81" s="20"/>
      <c r="OVH81" s="20"/>
      <c r="OVI81" s="20"/>
      <c r="OVJ81" s="20"/>
      <c r="OVK81" s="21"/>
      <c r="OVL81" s="21"/>
      <c r="OVM81" s="7"/>
      <c r="OVN81" s="7"/>
      <c r="OVO81" s="21"/>
      <c r="OVP81" s="20"/>
      <c r="OVQ81" s="20"/>
      <c r="OVR81" s="20"/>
      <c r="OVS81" s="21"/>
      <c r="OVT81" s="21"/>
      <c r="OVU81" s="21"/>
      <c r="OVV81" s="21"/>
      <c r="OVW81" s="21"/>
      <c r="OVX81" s="20"/>
      <c r="OVY81" s="20"/>
      <c r="OVZ81" s="20"/>
      <c r="OWA81" s="20"/>
      <c r="OWB81" s="21"/>
      <c r="OWC81" s="21"/>
      <c r="OWD81" s="7"/>
      <c r="OWE81" s="7"/>
      <c r="OWF81" s="21"/>
      <c r="OWG81" s="20"/>
      <c r="OWH81" s="20"/>
      <c r="OWI81" s="20"/>
      <c r="OWJ81" s="21"/>
      <c r="OWK81" s="21"/>
      <c r="OWL81" s="21"/>
      <c r="OWM81" s="21"/>
      <c r="OWN81" s="21"/>
      <c r="OWO81" s="20"/>
      <c r="OWP81" s="20"/>
      <c r="OWQ81" s="20"/>
      <c r="OWR81" s="20"/>
      <c r="OWS81" s="21"/>
      <c r="OWT81" s="21"/>
      <c r="OWU81" s="7"/>
      <c r="OWV81" s="7"/>
      <c r="OWW81" s="21"/>
      <c r="OWX81" s="20"/>
      <c r="OWY81" s="20"/>
      <c r="OWZ81" s="20"/>
      <c r="OXA81" s="21"/>
      <c r="OXB81" s="21"/>
      <c r="OXC81" s="21"/>
      <c r="OXD81" s="21"/>
      <c r="OXE81" s="21"/>
      <c r="OXF81" s="20"/>
      <c r="OXG81" s="20"/>
      <c r="OXH81" s="20"/>
      <c r="OXI81" s="20"/>
      <c r="OXJ81" s="21"/>
      <c r="OXK81" s="21"/>
      <c r="OXL81" s="7"/>
      <c r="OXM81" s="7"/>
      <c r="OXN81" s="21"/>
      <c r="OXO81" s="20"/>
      <c r="OXP81" s="20"/>
      <c r="OXQ81" s="20"/>
      <c r="OXR81" s="21"/>
      <c r="OXS81" s="21"/>
      <c r="OXT81" s="21"/>
      <c r="OXU81" s="21"/>
      <c r="OXV81" s="21"/>
      <c r="OXW81" s="20"/>
      <c r="OXX81" s="20"/>
      <c r="OXY81" s="20"/>
      <c r="OXZ81" s="20"/>
      <c r="OYA81" s="21"/>
      <c r="OYB81" s="21"/>
      <c r="OYC81" s="7"/>
      <c r="OYD81" s="7"/>
      <c r="OYE81" s="21"/>
      <c r="OYF81" s="20"/>
      <c r="OYG81" s="20"/>
      <c r="OYH81" s="20"/>
      <c r="OYI81" s="21"/>
      <c r="OYJ81" s="21"/>
      <c r="OYK81" s="21"/>
      <c r="OYL81" s="21"/>
      <c r="OYM81" s="21"/>
      <c r="OYN81" s="20"/>
      <c r="OYO81" s="20"/>
      <c r="OYP81" s="20"/>
      <c r="OYQ81" s="20"/>
      <c r="OYR81" s="21"/>
      <c r="OYS81" s="21"/>
      <c r="OYT81" s="7"/>
      <c r="OYU81" s="7"/>
      <c r="OYV81" s="21"/>
      <c r="OYW81" s="20"/>
      <c r="OYX81" s="20"/>
      <c r="OYY81" s="20"/>
      <c r="OYZ81" s="21"/>
      <c r="OZA81" s="21"/>
      <c r="OZB81" s="21"/>
      <c r="OZC81" s="21"/>
      <c r="OZD81" s="21"/>
      <c r="OZE81" s="20"/>
      <c r="OZF81" s="20"/>
      <c r="OZG81" s="20"/>
      <c r="OZH81" s="20"/>
      <c r="OZI81" s="21"/>
      <c r="OZJ81" s="21"/>
      <c r="OZK81" s="7"/>
      <c r="OZL81" s="7"/>
      <c r="OZM81" s="21"/>
      <c r="OZN81" s="20"/>
      <c r="OZO81" s="20"/>
      <c r="OZP81" s="20"/>
      <c r="OZQ81" s="21"/>
      <c r="OZR81" s="21"/>
      <c r="OZS81" s="21"/>
      <c r="OZT81" s="21"/>
      <c r="OZU81" s="21"/>
      <c r="OZV81" s="20"/>
      <c r="OZW81" s="20"/>
      <c r="OZX81" s="20"/>
      <c r="OZY81" s="20"/>
      <c r="OZZ81" s="21"/>
      <c r="PAA81" s="21"/>
      <c r="PAB81" s="7"/>
      <c r="PAC81" s="7"/>
      <c r="PAD81" s="21"/>
      <c r="PAE81" s="20"/>
      <c r="PAF81" s="20"/>
      <c r="PAG81" s="20"/>
      <c r="PAH81" s="21"/>
      <c r="PAI81" s="21"/>
      <c r="PAJ81" s="21"/>
      <c r="PAK81" s="21"/>
      <c r="PAL81" s="21"/>
      <c r="PAM81" s="20"/>
      <c r="PAN81" s="20"/>
      <c r="PAO81" s="20"/>
      <c r="PAP81" s="20"/>
      <c r="PAQ81" s="21"/>
      <c r="PAR81" s="21"/>
      <c r="PAS81" s="7"/>
      <c r="PAT81" s="7"/>
      <c r="PAU81" s="21"/>
      <c r="PAV81" s="20"/>
      <c r="PAW81" s="20"/>
      <c r="PAX81" s="20"/>
      <c r="PAY81" s="21"/>
      <c r="PAZ81" s="21"/>
      <c r="PBA81" s="21"/>
      <c r="PBB81" s="21"/>
      <c r="PBC81" s="21"/>
      <c r="PBD81" s="20"/>
      <c r="PBE81" s="20"/>
      <c r="PBF81" s="20"/>
      <c r="PBG81" s="20"/>
      <c r="PBH81" s="21"/>
      <c r="PBI81" s="21"/>
      <c r="PBJ81" s="7"/>
      <c r="PBK81" s="7"/>
      <c r="PBL81" s="21"/>
      <c r="PBM81" s="20"/>
      <c r="PBN81" s="20"/>
      <c r="PBO81" s="20"/>
      <c r="PBP81" s="21"/>
      <c r="PBQ81" s="21"/>
      <c r="PBR81" s="21"/>
      <c r="PBS81" s="21"/>
      <c r="PBT81" s="21"/>
      <c r="PBU81" s="20"/>
      <c r="PBV81" s="20"/>
      <c r="PBW81" s="20"/>
      <c r="PBX81" s="20"/>
      <c r="PBY81" s="21"/>
      <c r="PBZ81" s="21"/>
      <c r="PCA81" s="7"/>
      <c r="PCB81" s="7"/>
      <c r="PCC81" s="21"/>
      <c r="PCD81" s="20"/>
      <c r="PCE81" s="20"/>
      <c r="PCF81" s="20"/>
      <c r="PCG81" s="21"/>
      <c r="PCH81" s="21"/>
      <c r="PCI81" s="21"/>
      <c r="PCJ81" s="21"/>
      <c r="PCK81" s="21"/>
      <c r="PCL81" s="20"/>
      <c r="PCM81" s="20"/>
      <c r="PCN81" s="20"/>
      <c r="PCO81" s="20"/>
      <c r="PCP81" s="21"/>
      <c r="PCQ81" s="21"/>
      <c r="PCR81" s="7"/>
      <c r="PCS81" s="7"/>
      <c r="PCT81" s="21"/>
      <c r="PCU81" s="20"/>
      <c r="PCV81" s="20"/>
      <c r="PCW81" s="20"/>
      <c r="PCX81" s="21"/>
      <c r="PCY81" s="21"/>
      <c r="PCZ81" s="21"/>
      <c r="PDA81" s="21"/>
      <c r="PDB81" s="21"/>
      <c r="PDC81" s="20"/>
      <c r="PDD81" s="20"/>
      <c r="PDE81" s="20"/>
      <c r="PDF81" s="20"/>
      <c r="PDG81" s="21"/>
      <c r="PDH81" s="21"/>
      <c r="PDI81" s="7"/>
      <c r="PDJ81" s="7"/>
      <c r="PDK81" s="21"/>
      <c r="PDL81" s="20"/>
      <c r="PDM81" s="20"/>
      <c r="PDN81" s="20"/>
      <c r="PDO81" s="21"/>
      <c r="PDP81" s="21"/>
      <c r="PDQ81" s="21"/>
      <c r="PDR81" s="21"/>
      <c r="PDS81" s="21"/>
      <c r="PDT81" s="20"/>
      <c r="PDU81" s="20"/>
      <c r="PDV81" s="20"/>
      <c r="PDW81" s="20"/>
      <c r="PDX81" s="21"/>
      <c r="PDY81" s="21"/>
      <c r="PDZ81" s="7"/>
      <c r="PEA81" s="7"/>
      <c r="PEB81" s="21"/>
      <c r="PEC81" s="20"/>
      <c r="PED81" s="20"/>
      <c r="PEE81" s="20"/>
      <c r="PEF81" s="21"/>
      <c r="PEG81" s="21"/>
      <c r="PEH81" s="21"/>
      <c r="PEI81" s="21"/>
      <c r="PEJ81" s="21"/>
      <c r="PEK81" s="20"/>
      <c r="PEL81" s="20"/>
      <c r="PEM81" s="20"/>
      <c r="PEN81" s="20"/>
      <c r="PEO81" s="21"/>
      <c r="PEP81" s="21"/>
      <c r="PEQ81" s="7"/>
      <c r="PER81" s="7"/>
      <c r="PES81" s="21"/>
      <c r="PET81" s="20"/>
      <c r="PEU81" s="20"/>
      <c r="PEV81" s="20"/>
      <c r="PEW81" s="21"/>
      <c r="PEX81" s="21"/>
      <c r="PEY81" s="21"/>
      <c r="PEZ81" s="21"/>
      <c r="PFA81" s="21"/>
      <c r="PFB81" s="20"/>
      <c r="PFC81" s="20"/>
      <c r="PFD81" s="20"/>
      <c r="PFE81" s="20"/>
      <c r="PFF81" s="21"/>
      <c r="PFG81" s="21"/>
      <c r="PFH81" s="7"/>
      <c r="PFI81" s="7"/>
      <c r="PFJ81" s="21"/>
      <c r="PFK81" s="20"/>
      <c r="PFL81" s="20"/>
      <c r="PFM81" s="20"/>
      <c r="PFN81" s="21"/>
      <c r="PFO81" s="21"/>
      <c r="PFP81" s="21"/>
      <c r="PFQ81" s="21"/>
      <c r="PFR81" s="21"/>
      <c r="PFS81" s="20"/>
      <c r="PFT81" s="20"/>
      <c r="PFU81" s="20"/>
      <c r="PFV81" s="20"/>
      <c r="PFW81" s="21"/>
      <c r="PFX81" s="21"/>
      <c r="PFY81" s="7"/>
      <c r="PFZ81" s="7"/>
      <c r="PGA81" s="21"/>
      <c r="PGB81" s="20"/>
      <c r="PGC81" s="20"/>
      <c r="PGD81" s="20"/>
      <c r="PGE81" s="21"/>
      <c r="PGF81" s="21"/>
      <c r="PGG81" s="21"/>
      <c r="PGH81" s="21"/>
      <c r="PGI81" s="21"/>
      <c r="PGJ81" s="20"/>
      <c r="PGK81" s="20"/>
      <c r="PGL81" s="20"/>
      <c r="PGM81" s="20"/>
      <c r="PGN81" s="21"/>
      <c r="PGO81" s="21"/>
      <c r="PGP81" s="7"/>
      <c r="PGQ81" s="7"/>
      <c r="PGR81" s="21"/>
      <c r="PGS81" s="20"/>
      <c r="PGT81" s="20"/>
      <c r="PGU81" s="20"/>
      <c r="PGV81" s="21"/>
      <c r="PGW81" s="21"/>
      <c r="PGX81" s="21"/>
      <c r="PGY81" s="21"/>
      <c r="PGZ81" s="21"/>
      <c r="PHA81" s="20"/>
      <c r="PHB81" s="20"/>
      <c r="PHC81" s="20"/>
      <c r="PHD81" s="20"/>
      <c r="PHE81" s="21"/>
      <c r="PHF81" s="21"/>
      <c r="PHG81" s="7"/>
      <c r="PHH81" s="7"/>
      <c r="PHI81" s="21"/>
      <c r="PHJ81" s="20"/>
      <c r="PHK81" s="20"/>
      <c r="PHL81" s="20"/>
      <c r="PHM81" s="21"/>
      <c r="PHN81" s="21"/>
      <c r="PHO81" s="21"/>
      <c r="PHP81" s="21"/>
      <c r="PHQ81" s="21"/>
      <c r="PHR81" s="20"/>
      <c r="PHS81" s="20"/>
      <c r="PHT81" s="20"/>
      <c r="PHU81" s="20"/>
      <c r="PHV81" s="21"/>
      <c r="PHW81" s="21"/>
      <c r="PHX81" s="7"/>
      <c r="PHY81" s="7"/>
      <c r="PHZ81" s="21"/>
      <c r="PIA81" s="20"/>
      <c r="PIB81" s="20"/>
      <c r="PIC81" s="20"/>
      <c r="PID81" s="21"/>
      <c r="PIE81" s="21"/>
      <c r="PIF81" s="21"/>
      <c r="PIG81" s="21"/>
      <c r="PIH81" s="21"/>
      <c r="PII81" s="20"/>
      <c r="PIJ81" s="20"/>
      <c r="PIK81" s="20"/>
      <c r="PIL81" s="20"/>
      <c r="PIM81" s="21"/>
      <c r="PIN81" s="21"/>
      <c r="PIO81" s="7"/>
      <c r="PIP81" s="7"/>
      <c r="PIQ81" s="21"/>
      <c r="PIR81" s="20"/>
      <c r="PIS81" s="20"/>
      <c r="PIT81" s="20"/>
      <c r="PIU81" s="21"/>
      <c r="PIV81" s="21"/>
      <c r="PIW81" s="21"/>
      <c r="PIX81" s="21"/>
      <c r="PIY81" s="21"/>
      <c r="PIZ81" s="20"/>
      <c r="PJA81" s="20"/>
      <c r="PJB81" s="20"/>
      <c r="PJC81" s="20"/>
      <c r="PJD81" s="21"/>
      <c r="PJE81" s="21"/>
      <c r="PJF81" s="7"/>
      <c r="PJG81" s="7"/>
      <c r="PJH81" s="21"/>
      <c r="PJI81" s="20"/>
      <c r="PJJ81" s="20"/>
      <c r="PJK81" s="20"/>
      <c r="PJL81" s="21"/>
      <c r="PJM81" s="21"/>
      <c r="PJN81" s="21"/>
      <c r="PJO81" s="21"/>
      <c r="PJP81" s="21"/>
      <c r="PJQ81" s="20"/>
      <c r="PJR81" s="20"/>
      <c r="PJS81" s="20"/>
      <c r="PJT81" s="20"/>
      <c r="PJU81" s="21"/>
      <c r="PJV81" s="21"/>
      <c r="PJW81" s="7"/>
      <c r="PJX81" s="7"/>
      <c r="PJY81" s="21"/>
      <c r="PJZ81" s="20"/>
      <c r="PKA81" s="20"/>
      <c r="PKB81" s="20"/>
      <c r="PKC81" s="21"/>
      <c r="PKD81" s="21"/>
      <c r="PKE81" s="21"/>
      <c r="PKF81" s="21"/>
      <c r="PKG81" s="21"/>
      <c r="PKH81" s="20"/>
      <c r="PKI81" s="20"/>
      <c r="PKJ81" s="20"/>
      <c r="PKK81" s="20"/>
      <c r="PKL81" s="21"/>
      <c r="PKM81" s="21"/>
      <c r="PKN81" s="7"/>
      <c r="PKO81" s="7"/>
      <c r="PKP81" s="21"/>
      <c r="PKQ81" s="20"/>
      <c r="PKR81" s="20"/>
      <c r="PKS81" s="20"/>
      <c r="PKT81" s="21"/>
      <c r="PKU81" s="21"/>
      <c r="PKV81" s="21"/>
      <c r="PKW81" s="21"/>
      <c r="PKX81" s="21"/>
      <c r="PKY81" s="20"/>
      <c r="PKZ81" s="20"/>
      <c r="PLA81" s="20"/>
      <c r="PLB81" s="20"/>
      <c r="PLC81" s="21"/>
      <c r="PLD81" s="21"/>
      <c r="PLE81" s="7"/>
      <c r="PLF81" s="7"/>
      <c r="PLG81" s="21"/>
      <c r="PLH81" s="20"/>
      <c r="PLI81" s="20"/>
      <c r="PLJ81" s="20"/>
      <c r="PLK81" s="21"/>
      <c r="PLL81" s="21"/>
      <c r="PLM81" s="21"/>
      <c r="PLN81" s="21"/>
      <c r="PLO81" s="21"/>
      <c r="PLP81" s="20"/>
      <c r="PLQ81" s="20"/>
      <c r="PLR81" s="20"/>
      <c r="PLS81" s="20"/>
      <c r="PLT81" s="21"/>
      <c r="PLU81" s="21"/>
      <c r="PLV81" s="7"/>
      <c r="PLW81" s="7"/>
      <c r="PLX81" s="21"/>
      <c r="PLY81" s="20"/>
      <c r="PLZ81" s="20"/>
      <c r="PMA81" s="20"/>
      <c r="PMB81" s="21"/>
      <c r="PMC81" s="21"/>
      <c r="PMD81" s="21"/>
      <c r="PME81" s="21"/>
      <c r="PMF81" s="21"/>
      <c r="PMG81" s="20"/>
      <c r="PMH81" s="20"/>
      <c r="PMI81" s="20"/>
      <c r="PMJ81" s="20"/>
      <c r="PMK81" s="21"/>
      <c r="PML81" s="21"/>
      <c r="PMM81" s="7"/>
      <c r="PMN81" s="7"/>
      <c r="PMO81" s="21"/>
      <c r="PMP81" s="20"/>
      <c r="PMQ81" s="20"/>
      <c r="PMR81" s="20"/>
      <c r="PMS81" s="21"/>
      <c r="PMT81" s="21"/>
      <c r="PMU81" s="21"/>
      <c r="PMV81" s="21"/>
      <c r="PMW81" s="21"/>
      <c r="PMX81" s="20"/>
      <c r="PMY81" s="20"/>
      <c r="PMZ81" s="20"/>
      <c r="PNA81" s="20"/>
      <c r="PNB81" s="21"/>
      <c r="PNC81" s="21"/>
      <c r="PND81" s="7"/>
      <c r="PNE81" s="7"/>
      <c r="PNF81" s="21"/>
      <c r="PNG81" s="20"/>
      <c r="PNH81" s="20"/>
      <c r="PNI81" s="20"/>
      <c r="PNJ81" s="21"/>
      <c r="PNK81" s="21"/>
      <c r="PNL81" s="21"/>
      <c r="PNM81" s="21"/>
      <c r="PNN81" s="21"/>
      <c r="PNO81" s="20"/>
      <c r="PNP81" s="20"/>
      <c r="PNQ81" s="20"/>
      <c r="PNR81" s="20"/>
      <c r="PNS81" s="21"/>
      <c r="PNT81" s="21"/>
      <c r="PNU81" s="7"/>
      <c r="PNV81" s="7"/>
      <c r="PNW81" s="21"/>
      <c r="PNX81" s="20"/>
      <c r="PNY81" s="20"/>
      <c r="PNZ81" s="20"/>
      <c r="POA81" s="21"/>
      <c r="POB81" s="21"/>
      <c r="POC81" s="21"/>
      <c r="POD81" s="21"/>
      <c r="POE81" s="21"/>
      <c r="POF81" s="20"/>
      <c r="POG81" s="20"/>
      <c r="POH81" s="20"/>
      <c r="POI81" s="20"/>
      <c r="POJ81" s="21"/>
      <c r="POK81" s="21"/>
      <c r="POL81" s="7"/>
      <c r="POM81" s="7"/>
      <c r="PON81" s="21"/>
      <c r="POO81" s="20"/>
      <c r="POP81" s="20"/>
      <c r="POQ81" s="20"/>
      <c r="POR81" s="21"/>
      <c r="POS81" s="21"/>
      <c r="POT81" s="21"/>
      <c r="POU81" s="21"/>
      <c r="POV81" s="21"/>
      <c r="POW81" s="20"/>
      <c r="POX81" s="20"/>
      <c r="POY81" s="20"/>
      <c r="POZ81" s="20"/>
      <c r="PPA81" s="21"/>
      <c r="PPB81" s="21"/>
      <c r="PPC81" s="7"/>
      <c r="PPD81" s="7"/>
      <c r="PPE81" s="21"/>
      <c r="PPF81" s="20"/>
      <c r="PPG81" s="20"/>
      <c r="PPH81" s="20"/>
      <c r="PPI81" s="21"/>
      <c r="PPJ81" s="21"/>
      <c r="PPK81" s="21"/>
      <c r="PPL81" s="21"/>
      <c r="PPM81" s="21"/>
      <c r="PPN81" s="20"/>
      <c r="PPO81" s="20"/>
      <c r="PPP81" s="20"/>
      <c r="PPQ81" s="20"/>
      <c r="PPR81" s="21"/>
      <c r="PPS81" s="21"/>
      <c r="PPT81" s="7"/>
      <c r="PPU81" s="7"/>
      <c r="PPV81" s="21"/>
      <c r="PPW81" s="20"/>
      <c r="PPX81" s="20"/>
      <c r="PPY81" s="20"/>
      <c r="PPZ81" s="21"/>
      <c r="PQA81" s="21"/>
      <c r="PQB81" s="21"/>
      <c r="PQC81" s="21"/>
      <c r="PQD81" s="21"/>
      <c r="PQE81" s="20"/>
      <c r="PQF81" s="20"/>
      <c r="PQG81" s="20"/>
      <c r="PQH81" s="20"/>
      <c r="PQI81" s="21"/>
      <c r="PQJ81" s="21"/>
      <c r="PQK81" s="7"/>
      <c r="PQL81" s="7"/>
      <c r="PQM81" s="21"/>
      <c r="PQN81" s="20"/>
      <c r="PQO81" s="20"/>
      <c r="PQP81" s="20"/>
      <c r="PQQ81" s="21"/>
      <c r="PQR81" s="21"/>
      <c r="PQS81" s="21"/>
      <c r="PQT81" s="21"/>
      <c r="PQU81" s="21"/>
      <c r="PQV81" s="20"/>
      <c r="PQW81" s="20"/>
      <c r="PQX81" s="20"/>
      <c r="PQY81" s="20"/>
      <c r="PQZ81" s="21"/>
      <c r="PRA81" s="21"/>
      <c r="PRB81" s="7"/>
      <c r="PRC81" s="7"/>
      <c r="PRD81" s="21"/>
      <c r="PRE81" s="20"/>
      <c r="PRF81" s="20"/>
      <c r="PRG81" s="20"/>
      <c r="PRH81" s="21"/>
      <c r="PRI81" s="21"/>
      <c r="PRJ81" s="21"/>
      <c r="PRK81" s="21"/>
      <c r="PRL81" s="21"/>
      <c r="PRM81" s="20"/>
      <c r="PRN81" s="20"/>
      <c r="PRO81" s="20"/>
      <c r="PRP81" s="20"/>
      <c r="PRQ81" s="21"/>
      <c r="PRR81" s="21"/>
      <c r="PRS81" s="7"/>
      <c r="PRT81" s="7"/>
      <c r="PRU81" s="21"/>
      <c r="PRV81" s="20"/>
      <c r="PRW81" s="20"/>
      <c r="PRX81" s="20"/>
      <c r="PRY81" s="21"/>
      <c r="PRZ81" s="21"/>
      <c r="PSA81" s="21"/>
      <c r="PSB81" s="21"/>
      <c r="PSC81" s="21"/>
      <c r="PSD81" s="20"/>
      <c r="PSE81" s="20"/>
      <c r="PSF81" s="20"/>
      <c r="PSG81" s="20"/>
      <c r="PSH81" s="21"/>
      <c r="PSI81" s="21"/>
      <c r="PSJ81" s="7"/>
      <c r="PSK81" s="7"/>
      <c r="PSL81" s="21"/>
      <c r="PSM81" s="20"/>
      <c r="PSN81" s="20"/>
      <c r="PSO81" s="20"/>
      <c r="PSP81" s="21"/>
      <c r="PSQ81" s="21"/>
      <c r="PSR81" s="21"/>
      <c r="PSS81" s="21"/>
      <c r="PST81" s="21"/>
      <c r="PSU81" s="20"/>
      <c r="PSV81" s="20"/>
      <c r="PSW81" s="20"/>
      <c r="PSX81" s="20"/>
      <c r="PSY81" s="21"/>
      <c r="PSZ81" s="21"/>
      <c r="PTA81" s="7"/>
      <c r="PTB81" s="7"/>
      <c r="PTC81" s="21"/>
      <c r="PTD81" s="20"/>
      <c r="PTE81" s="20"/>
      <c r="PTF81" s="20"/>
      <c r="PTG81" s="21"/>
      <c r="PTH81" s="21"/>
      <c r="PTI81" s="21"/>
      <c r="PTJ81" s="21"/>
      <c r="PTK81" s="21"/>
      <c r="PTL81" s="20"/>
      <c r="PTM81" s="20"/>
      <c r="PTN81" s="20"/>
      <c r="PTO81" s="20"/>
      <c r="PTP81" s="21"/>
      <c r="PTQ81" s="21"/>
      <c r="PTR81" s="7"/>
      <c r="PTS81" s="7"/>
      <c r="PTT81" s="21"/>
      <c r="PTU81" s="20"/>
      <c r="PTV81" s="20"/>
      <c r="PTW81" s="20"/>
      <c r="PTX81" s="21"/>
      <c r="PTY81" s="21"/>
      <c r="PTZ81" s="21"/>
      <c r="PUA81" s="21"/>
      <c r="PUB81" s="21"/>
      <c r="PUC81" s="20"/>
      <c r="PUD81" s="20"/>
      <c r="PUE81" s="20"/>
      <c r="PUF81" s="20"/>
      <c r="PUG81" s="21"/>
      <c r="PUH81" s="21"/>
      <c r="PUI81" s="7"/>
      <c r="PUJ81" s="7"/>
      <c r="PUK81" s="21"/>
      <c r="PUL81" s="20"/>
      <c r="PUM81" s="20"/>
      <c r="PUN81" s="20"/>
      <c r="PUO81" s="21"/>
      <c r="PUP81" s="21"/>
      <c r="PUQ81" s="21"/>
      <c r="PUR81" s="21"/>
      <c r="PUS81" s="21"/>
      <c r="PUT81" s="20"/>
      <c r="PUU81" s="20"/>
      <c r="PUV81" s="20"/>
      <c r="PUW81" s="20"/>
      <c r="PUX81" s="21"/>
      <c r="PUY81" s="21"/>
      <c r="PUZ81" s="7"/>
      <c r="PVA81" s="7"/>
      <c r="PVB81" s="21"/>
      <c r="PVC81" s="20"/>
      <c r="PVD81" s="20"/>
      <c r="PVE81" s="20"/>
      <c r="PVF81" s="21"/>
      <c r="PVG81" s="21"/>
      <c r="PVH81" s="21"/>
      <c r="PVI81" s="21"/>
      <c r="PVJ81" s="21"/>
      <c r="PVK81" s="20"/>
      <c r="PVL81" s="20"/>
      <c r="PVM81" s="20"/>
      <c r="PVN81" s="20"/>
      <c r="PVO81" s="21"/>
      <c r="PVP81" s="21"/>
      <c r="PVQ81" s="7"/>
      <c r="PVR81" s="7"/>
      <c r="PVS81" s="21"/>
      <c r="PVT81" s="20"/>
      <c r="PVU81" s="20"/>
      <c r="PVV81" s="20"/>
      <c r="PVW81" s="21"/>
      <c r="PVX81" s="21"/>
      <c r="PVY81" s="21"/>
      <c r="PVZ81" s="21"/>
      <c r="PWA81" s="21"/>
      <c r="PWB81" s="20"/>
      <c r="PWC81" s="20"/>
      <c r="PWD81" s="20"/>
      <c r="PWE81" s="20"/>
      <c r="PWF81" s="21"/>
      <c r="PWG81" s="21"/>
      <c r="PWH81" s="7"/>
      <c r="PWI81" s="7"/>
      <c r="PWJ81" s="21"/>
      <c r="PWK81" s="20"/>
      <c r="PWL81" s="20"/>
      <c r="PWM81" s="20"/>
      <c r="PWN81" s="21"/>
      <c r="PWO81" s="21"/>
      <c r="PWP81" s="21"/>
      <c r="PWQ81" s="21"/>
      <c r="PWR81" s="21"/>
      <c r="PWS81" s="20"/>
      <c r="PWT81" s="20"/>
      <c r="PWU81" s="20"/>
      <c r="PWV81" s="20"/>
      <c r="PWW81" s="21"/>
      <c r="PWX81" s="21"/>
      <c r="PWY81" s="7"/>
      <c r="PWZ81" s="7"/>
      <c r="PXA81" s="21"/>
      <c r="PXB81" s="20"/>
      <c r="PXC81" s="20"/>
      <c r="PXD81" s="20"/>
      <c r="PXE81" s="21"/>
      <c r="PXF81" s="21"/>
      <c r="PXG81" s="21"/>
      <c r="PXH81" s="21"/>
      <c r="PXI81" s="21"/>
      <c r="PXJ81" s="20"/>
      <c r="PXK81" s="20"/>
      <c r="PXL81" s="20"/>
      <c r="PXM81" s="20"/>
      <c r="PXN81" s="21"/>
      <c r="PXO81" s="21"/>
      <c r="PXP81" s="7"/>
      <c r="PXQ81" s="7"/>
      <c r="PXR81" s="21"/>
      <c r="PXS81" s="20"/>
      <c r="PXT81" s="20"/>
      <c r="PXU81" s="20"/>
      <c r="PXV81" s="21"/>
      <c r="PXW81" s="21"/>
      <c r="PXX81" s="21"/>
      <c r="PXY81" s="21"/>
      <c r="PXZ81" s="21"/>
      <c r="PYA81" s="20"/>
      <c r="PYB81" s="20"/>
      <c r="PYC81" s="20"/>
      <c r="PYD81" s="20"/>
      <c r="PYE81" s="21"/>
      <c r="PYF81" s="21"/>
      <c r="PYG81" s="7"/>
      <c r="PYH81" s="7"/>
      <c r="PYI81" s="21"/>
      <c r="PYJ81" s="20"/>
      <c r="PYK81" s="20"/>
      <c r="PYL81" s="20"/>
      <c r="PYM81" s="21"/>
      <c r="PYN81" s="21"/>
      <c r="PYO81" s="21"/>
      <c r="PYP81" s="21"/>
      <c r="PYQ81" s="21"/>
      <c r="PYR81" s="20"/>
      <c r="PYS81" s="20"/>
      <c r="PYT81" s="20"/>
      <c r="PYU81" s="20"/>
      <c r="PYV81" s="21"/>
      <c r="PYW81" s="21"/>
      <c r="PYX81" s="7"/>
      <c r="PYY81" s="7"/>
      <c r="PYZ81" s="21"/>
      <c r="PZA81" s="20"/>
      <c r="PZB81" s="20"/>
      <c r="PZC81" s="20"/>
      <c r="PZD81" s="21"/>
      <c r="PZE81" s="21"/>
      <c r="PZF81" s="21"/>
      <c r="PZG81" s="21"/>
      <c r="PZH81" s="21"/>
      <c r="PZI81" s="20"/>
      <c r="PZJ81" s="20"/>
      <c r="PZK81" s="20"/>
      <c r="PZL81" s="20"/>
      <c r="PZM81" s="21"/>
      <c r="PZN81" s="21"/>
      <c r="PZO81" s="7"/>
      <c r="PZP81" s="7"/>
      <c r="PZQ81" s="21"/>
      <c r="PZR81" s="20"/>
      <c r="PZS81" s="20"/>
      <c r="PZT81" s="20"/>
      <c r="PZU81" s="21"/>
      <c r="PZV81" s="21"/>
      <c r="PZW81" s="21"/>
      <c r="PZX81" s="21"/>
      <c r="PZY81" s="21"/>
      <c r="PZZ81" s="20"/>
      <c r="QAA81" s="20"/>
      <c r="QAB81" s="20"/>
      <c r="QAC81" s="20"/>
      <c r="QAD81" s="21"/>
      <c r="QAE81" s="21"/>
      <c r="QAF81" s="7"/>
      <c r="QAG81" s="7"/>
      <c r="QAH81" s="21"/>
      <c r="QAI81" s="20"/>
      <c r="QAJ81" s="20"/>
      <c r="QAK81" s="20"/>
      <c r="QAL81" s="21"/>
      <c r="QAM81" s="21"/>
      <c r="QAN81" s="21"/>
      <c r="QAO81" s="21"/>
      <c r="QAP81" s="21"/>
      <c r="QAQ81" s="20"/>
      <c r="QAR81" s="20"/>
      <c r="QAS81" s="20"/>
      <c r="QAT81" s="20"/>
      <c r="QAU81" s="21"/>
      <c r="QAV81" s="21"/>
      <c r="QAW81" s="7"/>
      <c r="QAX81" s="7"/>
      <c r="QAY81" s="21"/>
      <c r="QAZ81" s="20"/>
      <c r="QBA81" s="20"/>
      <c r="QBB81" s="20"/>
      <c r="QBC81" s="21"/>
      <c r="QBD81" s="21"/>
      <c r="QBE81" s="21"/>
      <c r="QBF81" s="21"/>
      <c r="QBG81" s="21"/>
      <c r="QBH81" s="20"/>
      <c r="QBI81" s="20"/>
      <c r="QBJ81" s="20"/>
      <c r="QBK81" s="20"/>
      <c r="QBL81" s="21"/>
      <c r="QBM81" s="21"/>
      <c r="QBN81" s="7"/>
      <c r="QBO81" s="7"/>
      <c r="QBP81" s="21"/>
      <c r="QBQ81" s="20"/>
      <c r="QBR81" s="20"/>
      <c r="QBS81" s="20"/>
      <c r="QBT81" s="21"/>
      <c r="QBU81" s="21"/>
      <c r="QBV81" s="21"/>
      <c r="QBW81" s="21"/>
      <c r="QBX81" s="21"/>
      <c r="QBY81" s="20"/>
      <c r="QBZ81" s="20"/>
      <c r="QCA81" s="20"/>
      <c r="QCB81" s="20"/>
      <c r="QCC81" s="21"/>
      <c r="QCD81" s="21"/>
      <c r="QCE81" s="7"/>
      <c r="QCF81" s="7"/>
      <c r="QCG81" s="21"/>
      <c r="QCH81" s="20"/>
      <c r="QCI81" s="20"/>
      <c r="QCJ81" s="20"/>
      <c r="QCK81" s="21"/>
      <c r="QCL81" s="21"/>
      <c r="QCM81" s="21"/>
      <c r="QCN81" s="21"/>
      <c r="QCO81" s="21"/>
      <c r="QCP81" s="20"/>
      <c r="QCQ81" s="20"/>
      <c r="QCR81" s="20"/>
      <c r="QCS81" s="20"/>
      <c r="QCT81" s="21"/>
      <c r="QCU81" s="21"/>
      <c r="QCV81" s="7"/>
      <c r="QCW81" s="7"/>
      <c r="QCX81" s="21"/>
      <c r="QCY81" s="20"/>
      <c r="QCZ81" s="20"/>
      <c r="QDA81" s="20"/>
      <c r="QDB81" s="21"/>
      <c r="QDC81" s="21"/>
      <c r="QDD81" s="21"/>
      <c r="QDE81" s="21"/>
      <c r="QDF81" s="21"/>
      <c r="QDG81" s="20"/>
      <c r="QDH81" s="20"/>
      <c r="QDI81" s="20"/>
      <c r="QDJ81" s="20"/>
      <c r="QDK81" s="21"/>
      <c r="QDL81" s="21"/>
      <c r="QDM81" s="7"/>
      <c r="QDN81" s="7"/>
      <c r="QDO81" s="21"/>
      <c r="QDP81" s="20"/>
      <c r="QDQ81" s="20"/>
      <c r="QDR81" s="20"/>
      <c r="QDS81" s="21"/>
      <c r="QDT81" s="21"/>
      <c r="QDU81" s="21"/>
      <c r="QDV81" s="21"/>
      <c r="QDW81" s="21"/>
      <c r="QDX81" s="20"/>
      <c r="QDY81" s="20"/>
      <c r="QDZ81" s="20"/>
      <c r="QEA81" s="20"/>
      <c r="QEB81" s="21"/>
      <c r="QEC81" s="21"/>
      <c r="QED81" s="7"/>
      <c r="QEE81" s="7"/>
      <c r="QEF81" s="21"/>
      <c r="QEG81" s="20"/>
      <c r="QEH81" s="20"/>
      <c r="QEI81" s="20"/>
      <c r="QEJ81" s="21"/>
      <c r="QEK81" s="21"/>
      <c r="QEL81" s="21"/>
      <c r="QEM81" s="21"/>
      <c r="QEN81" s="21"/>
      <c r="QEO81" s="20"/>
      <c r="QEP81" s="20"/>
      <c r="QEQ81" s="20"/>
      <c r="QER81" s="20"/>
      <c r="QES81" s="21"/>
      <c r="QET81" s="21"/>
      <c r="QEU81" s="7"/>
      <c r="QEV81" s="7"/>
      <c r="QEW81" s="21"/>
      <c r="QEX81" s="20"/>
      <c r="QEY81" s="20"/>
      <c r="QEZ81" s="20"/>
      <c r="QFA81" s="21"/>
      <c r="QFB81" s="21"/>
      <c r="QFC81" s="21"/>
      <c r="QFD81" s="21"/>
      <c r="QFE81" s="21"/>
      <c r="QFF81" s="20"/>
      <c r="QFG81" s="20"/>
      <c r="QFH81" s="20"/>
      <c r="QFI81" s="20"/>
      <c r="QFJ81" s="21"/>
      <c r="QFK81" s="21"/>
      <c r="QFL81" s="7"/>
      <c r="QFM81" s="7"/>
      <c r="QFN81" s="21"/>
      <c r="QFO81" s="20"/>
      <c r="QFP81" s="20"/>
      <c r="QFQ81" s="20"/>
      <c r="QFR81" s="21"/>
      <c r="QFS81" s="21"/>
      <c r="QFT81" s="21"/>
      <c r="QFU81" s="21"/>
      <c r="QFV81" s="21"/>
      <c r="QFW81" s="20"/>
      <c r="QFX81" s="20"/>
      <c r="QFY81" s="20"/>
      <c r="QFZ81" s="20"/>
      <c r="QGA81" s="21"/>
      <c r="QGB81" s="21"/>
      <c r="QGC81" s="7"/>
      <c r="QGD81" s="7"/>
      <c r="QGE81" s="21"/>
      <c r="QGF81" s="20"/>
      <c r="QGG81" s="20"/>
      <c r="QGH81" s="20"/>
      <c r="QGI81" s="21"/>
      <c r="QGJ81" s="21"/>
      <c r="QGK81" s="21"/>
      <c r="QGL81" s="21"/>
      <c r="QGM81" s="21"/>
      <c r="QGN81" s="20"/>
      <c r="QGO81" s="20"/>
      <c r="QGP81" s="20"/>
      <c r="QGQ81" s="20"/>
      <c r="QGR81" s="21"/>
      <c r="QGS81" s="21"/>
      <c r="QGT81" s="7"/>
      <c r="QGU81" s="7"/>
      <c r="QGV81" s="21"/>
      <c r="QGW81" s="20"/>
      <c r="QGX81" s="20"/>
      <c r="QGY81" s="20"/>
      <c r="QGZ81" s="21"/>
      <c r="QHA81" s="21"/>
      <c r="QHB81" s="21"/>
      <c r="QHC81" s="21"/>
      <c r="QHD81" s="21"/>
      <c r="QHE81" s="20"/>
      <c r="QHF81" s="20"/>
      <c r="QHG81" s="20"/>
      <c r="QHH81" s="20"/>
      <c r="QHI81" s="21"/>
      <c r="QHJ81" s="21"/>
      <c r="QHK81" s="7"/>
      <c r="QHL81" s="7"/>
      <c r="QHM81" s="21"/>
      <c r="QHN81" s="20"/>
      <c r="QHO81" s="20"/>
      <c r="QHP81" s="20"/>
      <c r="QHQ81" s="21"/>
      <c r="QHR81" s="21"/>
      <c r="QHS81" s="21"/>
      <c r="QHT81" s="21"/>
      <c r="QHU81" s="21"/>
      <c r="QHV81" s="20"/>
      <c r="QHW81" s="20"/>
      <c r="QHX81" s="20"/>
      <c r="QHY81" s="20"/>
      <c r="QHZ81" s="21"/>
      <c r="QIA81" s="21"/>
      <c r="QIB81" s="7"/>
      <c r="QIC81" s="7"/>
      <c r="QID81" s="21"/>
      <c r="QIE81" s="20"/>
      <c r="QIF81" s="20"/>
      <c r="QIG81" s="20"/>
      <c r="QIH81" s="21"/>
      <c r="QII81" s="21"/>
      <c r="QIJ81" s="21"/>
      <c r="QIK81" s="21"/>
      <c r="QIL81" s="21"/>
      <c r="QIM81" s="20"/>
      <c r="QIN81" s="20"/>
      <c r="QIO81" s="20"/>
      <c r="QIP81" s="20"/>
      <c r="QIQ81" s="21"/>
      <c r="QIR81" s="21"/>
      <c r="QIS81" s="7"/>
      <c r="QIT81" s="7"/>
      <c r="QIU81" s="21"/>
      <c r="QIV81" s="20"/>
      <c r="QIW81" s="20"/>
      <c r="QIX81" s="20"/>
      <c r="QIY81" s="21"/>
      <c r="QIZ81" s="21"/>
      <c r="QJA81" s="21"/>
      <c r="QJB81" s="21"/>
      <c r="QJC81" s="21"/>
      <c r="QJD81" s="20"/>
      <c r="QJE81" s="20"/>
      <c r="QJF81" s="20"/>
      <c r="QJG81" s="20"/>
      <c r="QJH81" s="21"/>
      <c r="QJI81" s="21"/>
      <c r="QJJ81" s="7"/>
      <c r="QJK81" s="7"/>
      <c r="QJL81" s="21"/>
      <c r="QJM81" s="20"/>
      <c r="QJN81" s="20"/>
      <c r="QJO81" s="20"/>
      <c r="QJP81" s="21"/>
      <c r="QJQ81" s="21"/>
      <c r="QJR81" s="21"/>
      <c r="QJS81" s="21"/>
      <c r="QJT81" s="21"/>
      <c r="QJU81" s="20"/>
      <c r="QJV81" s="20"/>
      <c r="QJW81" s="20"/>
      <c r="QJX81" s="20"/>
      <c r="QJY81" s="21"/>
      <c r="QJZ81" s="21"/>
      <c r="QKA81" s="7"/>
      <c r="QKB81" s="7"/>
      <c r="QKC81" s="21"/>
      <c r="QKD81" s="20"/>
      <c r="QKE81" s="20"/>
      <c r="QKF81" s="20"/>
      <c r="QKG81" s="21"/>
      <c r="QKH81" s="21"/>
      <c r="QKI81" s="21"/>
      <c r="QKJ81" s="21"/>
      <c r="QKK81" s="21"/>
      <c r="QKL81" s="20"/>
      <c r="QKM81" s="20"/>
      <c r="QKN81" s="20"/>
      <c r="QKO81" s="20"/>
      <c r="QKP81" s="21"/>
      <c r="QKQ81" s="21"/>
      <c r="QKR81" s="7"/>
      <c r="QKS81" s="7"/>
      <c r="QKT81" s="21"/>
      <c r="QKU81" s="20"/>
      <c r="QKV81" s="20"/>
      <c r="QKW81" s="20"/>
      <c r="QKX81" s="21"/>
      <c r="QKY81" s="21"/>
      <c r="QKZ81" s="21"/>
      <c r="QLA81" s="21"/>
      <c r="QLB81" s="21"/>
      <c r="QLC81" s="20"/>
      <c r="QLD81" s="20"/>
      <c r="QLE81" s="20"/>
      <c r="QLF81" s="20"/>
      <c r="QLG81" s="21"/>
      <c r="QLH81" s="21"/>
      <c r="QLI81" s="7"/>
      <c r="QLJ81" s="7"/>
      <c r="QLK81" s="21"/>
      <c r="QLL81" s="20"/>
      <c r="QLM81" s="20"/>
      <c r="QLN81" s="20"/>
      <c r="QLO81" s="21"/>
      <c r="QLP81" s="21"/>
      <c r="QLQ81" s="21"/>
      <c r="QLR81" s="21"/>
      <c r="QLS81" s="21"/>
      <c r="QLT81" s="20"/>
      <c r="QLU81" s="20"/>
      <c r="QLV81" s="20"/>
      <c r="QLW81" s="20"/>
      <c r="QLX81" s="21"/>
      <c r="QLY81" s="21"/>
      <c r="QLZ81" s="7"/>
      <c r="QMA81" s="7"/>
      <c r="QMB81" s="21"/>
      <c r="QMC81" s="20"/>
      <c r="QMD81" s="20"/>
      <c r="QME81" s="20"/>
      <c r="QMF81" s="21"/>
      <c r="QMG81" s="21"/>
      <c r="QMH81" s="21"/>
      <c r="QMI81" s="21"/>
      <c r="QMJ81" s="21"/>
      <c r="QMK81" s="20"/>
      <c r="QML81" s="20"/>
      <c r="QMM81" s="20"/>
      <c r="QMN81" s="20"/>
      <c r="QMO81" s="21"/>
      <c r="QMP81" s="21"/>
      <c r="QMQ81" s="7"/>
      <c r="QMR81" s="7"/>
      <c r="QMS81" s="21"/>
      <c r="QMT81" s="20"/>
      <c r="QMU81" s="20"/>
      <c r="QMV81" s="20"/>
      <c r="QMW81" s="21"/>
      <c r="QMX81" s="21"/>
      <c r="QMY81" s="21"/>
      <c r="QMZ81" s="21"/>
      <c r="QNA81" s="21"/>
      <c r="QNB81" s="20"/>
      <c r="QNC81" s="20"/>
      <c r="QND81" s="20"/>
      <c r="QNE81" s="20"/>
      <c r="QNF81" s="21"/>
      <c r="QNG81" s="21"/>
      <c r="QNH81" s="7"/>
      <c r="QNI81" s="7"/>
      <c r="QNJ81" s="21"/>
      <c r="QNK81" s="20"/>
      <c r="QNL81" s="20"/>
      <c r="QNM81" s="20"/>
      <c r="QNN81" s="21"/>
      <c r="QNO81" s="21"/>
      <c r="QNP81" s="21"/>
      <c r="QNQ81" s="21"/>
      <c r="QNR81" s="21"/>
      <c r="QNS81" s="20"/>
      <c r="QNT81" s="20"/>
      <c r="QNU81" s="20"/>
      <c r="QNV81" s="20"/>
      <c r="QNW81" s="21"/>
      <c r="QNX81" s="21"/>
      <c r="QNY81" s="7"/>
      <c r="QNZ81" s="7"/>
      <c r="QOA81" s="21"/>
      <c r="QOB81" s="20"/>
      <c r="QOC81" s="20"/>
      <c r="QOD81" s="20"/>
      <c r="QOE81" s="21"/>
      <c r="QOF81" s="21"/>
      <c r="QOG81" s="21"/>
      <c r="QOH81" s="21"/>
      <c r="QOI81" s="21"/>
      <c r="QOJ81" s="20"/>
      <c r="QOK81" s="20"/>
      <c r="QOL81" s="20"/>
      <c r="QOM81" s="20"/>
      <c r="QON81" s="21"/>
      <c r="QOO81" s="21"/>
      <c r="QOP81" s="7"/>
      <c r="QOQ81" s="7"/>
      <c r="QOR81" s="21"/>
      <c r="QOS81" s="20"/>
      <c r="QOT81" s="20"/>
      <c r="QOU81" s="20"/>
      <c r="QOV81" s="21"/>
      <c r="QOW81" s="21"/>
      <c r="QOX81" s="21"/>
      <c r="QOY81" s="21"/>
      <c r="QOZ81" s="21"/>
      <c r="QPA81" s="20"/>
      <c r="QPB81" s="20"/>
      <c r="QPC81" s="20"/>
      <c r="QPD81" s="20"/>
      <c r="QPE81" s="21"/>
      <c r="QPF81" s="21"/>
      <c r="QPG81" s="7"/>
      <c r="QPH81" s="7"/>
      <c r="QPI81" s="21"/>
      <c r="QPJ81" s="20"/>
      <c r="QPK81" s="20"/>
      <c r="QPL81" s="20"/>
      <c r="QPM81" s="21"/>
      <c r="QPN81" s="21"/>
      <c r="QPO81" s="21"/>
      <c r="QPP81" s="21"/>
      <c r="QPQ81" s="21"/>
      <c r="QPR81" s="20"/>
      <c r="QPS81" s="20"/>
      <c r="QPT81" s="20"/>
      <c r="QPU81" s="20"/>
      <c r="QPV81" s="21"/>
      <c r="QPW81" s="21"/>
      <c r="QPX81" s="7"/>
      <c r="QPY81" s="7"/>
      <c r="QPZ81" s="21"/>
      <c r="QQA81" s="20"/>
      <c r="QQB81" s="20"/>
      <c r="QQC81" s="20"/>
      <c r="QQD81" s="21"/>
      <c r="QQE81" s="21"/>
      <c r="QQF81" s="21"/>
      <c r="QQG81" s="21"/>
      <c r="QQH81" s="21"/>
      <c r="QQI81" s="20"/>
      <c r="QQJ81" s="20"/>
      <c r="QQK81" s="20"/>
      <c r="QQL81" s="20"/>
      <c r="QQM81" s="21"/>
      <c r="QQN81" s="21"/>
      <c r="QQO81" s="7"/>
      <c r="QQP81" s="7"/>
      <c r="QQQ81" s="21"/>
      <c r="QQR81" s="20"/>
      <c r="QQS81" s="20"/>
      <c r="QQT81" s="20"/>
      <c r="QQU81" s="21"/>
      <c r="QQV81" s="21"/>
      <c r="QQW81" s="21"/>
      <c r="QQX81" s="21"/>
      <c r="QQY81" s="21"/>
      <c r="QQZ81" s="20"/>
      <c r="QRA81" s="20"/>
      <c r="QRB81" s="20"/>
      <c r="QRC81" s="20"/>
      <c r="QRD81" s="21"/>
      <c r="QRE81" s="21"/>
      <c r="QRF81" s="7"/>
      <c r="QRG81" s="7"/>
      <c r="QRH81" s="21"/>
      <c r="QRI81" s="20"/>
      <c r="QRJ81" s="20"/>
      <c r="QRK81" s="20"/>
      <c r="QRL81" s="21"/>
      <c r="QRM81" s="21"/>
      <c r="QRN81" s="21"/>
      <c r="QRO81" s="21"/>
      <c r="QRP81" s="21"/>
      <c r="QRQ81" s="20"/>
      <c r="QRR81" s="20"/>
      <c r="QRS81" s="20"/>
      <c r="QRT81" s="20"/>
      <c r="QRU81" s="21"/>
      <c r="QRV81" s="21"/>
      <c r="QRW81" s="7"/>
      <c r="QRX81" s="7"/>
      <c r="QRY81" s="21"/>
      <c r="QRZ81" s="20"/>
      <c r="QSA81" s="20"/>
      <c r="QSB81" s="20"/>
      <c r="QSC81" s="21"/>
      <c r="QSD81" s="21"/>
      <c r="QSE81" s="21"/>
      <c r="QSF81" s="21"/>
      <c r="QSG81" s="21"/>
      <c r="QSH81" s="20"/>
      <c r="QSI81" s="20"/>
      <c r="QSJ81" s="20"/>
      <c r="QSK81" s="20"/>
      <c r="QSL81" s="21"/>
      <c r="QSM81" s="21"/>
      <c r="QSN81" s="7"/>
      <c r="QSO81" s="7"/>
      <c r="QSP81" s="21"/>
      <c r="QSQ81" s="20"/>
      <c r="QSR81" s="20"/>
      <c r="QSS81" s="20"/>
      <c r="QST81" s="21"/>
      <c r="QSU81" s="21"/>
      <c r="QSV81" s="21"/>
      <c r="QSW81" s="21"/>
      <c r="QSX81" s="21"/>
      <c r="QSY81" s="20"/>
      <c r="QSZ81" s="20"/>
      <c r="QTA81" s="20"/>
      <c r="QTB81" s="20"/>
      <c r="QTC81" s="21"/>
      <c r="QTD81" s="21"/>
      <c r="QTE81" s="7"/>
      <c r="QTF81" s="7"/>
      <c r="QTG81" s="21"/>
      <c r="QTH81" s="20"/>
      <c r="QTI81" s="20"/>
      <c r="QTJ81" s="20"/>
      <c r="QTK81" s="21"/>
      <c r="QTL81" s="21"/>
      <c r="QTM81" s="21"/>
      <c r="QTN81" s="21"/>
      <c r="QTO81" s="21"/>
      <c r="QTP81" s="20"/>
      <c r="QTQ81" s="20"/>
      <c r="QTR81" s="20"/>
      <c r="QTS81" s="20"/>
      <c r="QTT81" s="21"/>
      <c r="QTU81" s="21"/>
      <c r="QTV81" s="7"/>
      <c r="QTW81" s="7"/>
      <c r="QTX81" s="21"/>
      <c r="QTY81" s="20"/>
      <c r="QTZ81" s="20"/>
      <c r="QUA81" s="20"/>
      <c r="QUB81" s="21"/>
      <c r="QUC81" s="21"/>
      <c r="QUD81" s="21"/>
      <c r="QUE81" s="21"/>
      <c r="QUF81" s="21"/>
      <c r="QUG81" s="20"/>
      <c r="QUH81" s="20"/>
      <c r="QUI81" s="20"/>
      <c r="QUJ81" s="20"/>
      <c r="QUK81" s="21"/>
      <c r="QUL81" s="21"/>
      <c r="QUM81" s="7"/>
      <c r="QUN81" s="7"/>
      <c r="QUO81" s="21"/>
      <c r="QUP81" s="20"/>
      <c r="QUQ81" s="20"/>
      <c r="QUR81" s="20"/>
      <c r="QUS81" s="21"/>
      <c r="QUT81" s="21"/>
      <c r="QUU81" s="21"/>
      <c r="QUV81" s="21"/>
      <c r="QUW81" s="21"/>
      <c r="QUX81" s="20"/>
      <c r="QUY81" s="20"/>
      <c r="QUZ81" s="20"/>
      <c r="QVA81" s="20"/>
      <c r="QVB81" s="21"/>
      <c r="QVC81" s="21"/>
      <c r="QVD81" s="7"/>
      <c r="QVE81" s="7"/>
      <c r="QVF81" s="21"/>
      <c r="QVG81" s="20"/>
      <c r="QVH81" s="20"/>
      <c r="QVI81" s="20"/>
      <c r="QVJ81" s="21"/>
      <c r="QVK81" s="21"/>
      <c r="QVL81" s="21"/>
      <c r="QVM81" s="21"/>
      <c r="QVN81" s="21"/>
      <c r="QVO81" s="20"/>
      <c r="QVP81" s="20"/>
      <c r="QVQ81" s="20"/>
      <c r="QVR81" s="20"/>
      <c r="QVS81" s="21"/>
      <c r="QVT81" s="21"/>
      <c r="QVU81" s="7"/>
      <c r="QVV81" s="7"/>
      <c r="QVW81" s="21"/>
      <c r="QVX81" s="20"/>
      <c r="QVY81" s="20"/>
      <c r="QVZ81" s="20"/>
      <c r="QWA81" s="21"/>
      <c r="QWB81" s="21"/>
      <c r="QWC81" s="21"/>
      <c r="QWD81" s="21"/>
      <c r="QWE81" s="21"/>
      <c r="QWF81" s="20"/>
      <c r="QWG81" s="20"/>
      <c r="QWH81" s="20"/>
      <c r="QWI81" s="20"/>
      <c r="QWJ81" s="21"/>
      <c r="QWK81" s="21"/>
      <c r="QWL81" s="7"/>
      <c r="QWM81" s="7"/>
      <c r="QWN81" s="21"/>
      <c r="QWO81" s="20"/>
      <c r="QWP81" s="20"/>
      <c r="QWQ81" s="20"/>
      <c r="QWR81" s="21"/>
      <c r="QWS81" s="21"/>
      <c r="QWT81" s="21"/>
      <c r="QWU81" s="21"/>
      <c r="QWV81" s="21"/>
      <c r="QWW81" s="20"/>
      <c r="QWX81" s="20"/>
      <c r="QWY81" s="20"/>
      <c r="QWZ81" s="20"/>
      <c r="QXA81" s="21"/>
      <c r="QXB81" s="21"/>
      <c r="QXC81" s="7"/>
      <c r="QXD81" s="7"/>
      <c r="QXE81" s="21"/>
      <c r="QXF81" s="20"/>
      <c r="QXG81" s="20"/>
      <c r="QXH81" s="20"/>
      <c r="QXI81" s="21"/>
      <c r="QXJ81" s="21"/>
      <c r="QXK81" s="21"/>
      <c r="QXL81" s="21"/>
      <c r="QXM81" s="21"/>
      <c r="QXN81" s="20"/>
      <c r="QXO81" s="20"/>
      <c r="QXP81" s="20"/>
      <c r="QXQ81" s="20"/>
      <c r="QXR81" s="21"/>
      <c r="QXS81" s="21"/>
      <c r="QXT81" s="7"/>
      <c r="QXU81" s="7"/>
      <c r="QXV81" s="21"/>
      <c r="QXW81" s="20"/>
      <c r="QXX81" s="20"/>
      <c r="QXY81" s="20"/>
      <c r="QXZ81" s="21"/>
      <c r="QYA81" s="21"/>
      <c r="QYB81" s="21"/>
      <c r="QYC81" s="21"/>
      <c r="QYD81" s="21"/>
      <c r="QYE81" s="20"/>
      <c r="QYF81" s="20"/>
      <c r="QYG81" s="20"/>
      <c r="QYH81" s="20"/>
      <c r="QYI81" s="21"/>
      <c r="QYJ81" s="21"/>
      <c r="QYK81" s="7"/>
      <c r="QYL81" s="7"/>
      <c r="QYM81" s="21"/>
      <c r="QYN81" s="20"/>
      <c r="QYO81" s="20"/>
      <c r="QYP81" s="20"/>
      <c r="QYQ81" s="21"/>
      <c r="QYR81" s="21"/>
      <c r="QYS81" s="21"/>
      <c r="QYT81" s="21"/>
      <c r="QYU81" s="21"/>
      <c r="QYV81" s="20"/>
      <c r="QYW81" s="20"/>
      <c r="QYX81" s="20"/>
      <c r="QYY81" s="20"/>
      <c r="QYZ81" s="21"/>
      <c r="QZA81" s="21"/>
      <c r="QZB81" s="7"/>
      <c r="QZC81" s="7"/>
      <c r="QZD81" s="21"/>
      <c r="QZE81" s="20"/>
      <c r="QZF81" s="20"/>
      <c r="QZG81" s="20"/>
      <c r="QZH81" s="21"/>
      <c r="QZI81" s="21"/>
      <c r="QZJ81" s="21"/>
      <c r="QZK81" s="21"/>
      <c r="QZL81" s="21"/>
      <c r="QZM81" s="20"/>
      <c r="QZN81" s="20"/>
      <c r="QZO81" s="20"/>
      <c r="QZP81" s="20"/>
      <c r="QZQ81" s="21"/>
      <c r="QZR81" s="21"/>
      <c r="QZS81" s="7"/>
      <c r="QZT81" s="7"/>
      <c r="QZU81" s="21"/>
      <c r="QZV81" s="20"/>
      <c r="QZW81" s="20"/>
      <c r="QZX81" s="20"/>
      <c r="QZY81" s="21"/>
      <c r="QZZ81" s="21"/>
      <c r="RAA81" s="21"/>
      <c r="RAB81" s="21"/>
      <c r="RAC81" s="21"/>
      <c r="RAD81" s="20"/>
      <c r="RAE81" s="20"/>
      <c r="RAF81" s="20"/>
      <c r="RAG81" s="20"/>
      <c r="RAH81" s="21"/>
      <c r="RAI81" s="21"/>
      <c r="RAJ81" s="7"/>
      <c r="RAK81" s="7"/>
      <c r="RAL81" s="21"/>
      <c r="RAM81" s="20"/>
      <c r="RAN81" s="20"/>
      <c r="RAO81" s="20"/>
      <c r="RAP81" s="21"/>
      <c r="RAQ81" s="21"/>
      <c r="RAR81" s="21"/>
      <c r="RAS81" s="21"/>
      <c r="RAT81" s="21"/>
      <c r="RAU81" s="20"/>
      <c r="RAV81" s="20"/>
      <c r="RAW81" s="20"/>
      <c r="RAX81" s="20"/>
      <c r="RAY81" s="21"/>
      <c r="RAZ81" s="21"/>
      <c r="RBA81" s="7"/>
      <c r="RBB81" s="7"/>
      <c r="RBC81" s="21"/>
      <c r="RBD81" s="20"/>
      <c r="RBE81" s="20"/>
      <c r="RBF81" s="20"/>
      <c r="RBG81" s="21"/>
      <c r="RBH81" s="21"/>
      <c r="RBI81" s="21"/>
      <c r="RBJ81" s="21"/>
      <c r="RBK81" s="21"/>
      <c r="RBL81" s="20"/>
      <c r="RBM81" s="20"/>
      <c r="RBN81" s="20"/>
      <c r="RBO81" s="20"/>
      <c r="RBP81" s="21"/>
      <c r="RBQ81" s="21"/>
      <c r="RBR81" s="7"/>
      <c r="RBS81" s="7"/>
      <c r="RBT81" s="21"/>
      <c r="RBU81" s="20"/>
      <c r="RBV81" s="20"/>
      <c r="RBW81" s="20"/>
      <c r="RBX81" s="21"/>
      <c r="RBY81" s="21"/>
      <c r="RBZ81" s="21"/>
      <c r="RCA81" s="21"/>
      <c r="RCB81" s="21"/>
      <c r="RCC81" s="20"/>
      <c r="RCD81" s="20"/>
      <c r="RCE81" s="20"/>
      <c r="RCF81" s="20"/>
      <c r="RCG81" s="21"/>
      <c r="RCH81" s="21"/>
      <c r="RCI81" s="7"/>
      <c r="RCJ81" s="7"/>
      <c r="RCK81" s="21"/>
      <c r="RCL81" s="20"/>
      <c r="RCM81" s="20"/>
      <c r="RCN81" s="20"/>
      <c r="RCO81" s="21"/>
      <c r="RCP81" s="21"/>
      <c r="RCQ81" s="21"/>
      <c r="RCR81" s="21"/>
      <c r="RCS81" s="21"/>
      <c r="RCT81" s="20"/>
      <c r="RCU81" s="20"/>
      <c r="RCV81" s="20"/>
      <c r="RCW81" s="20"/>
      <c r="RCX81" s="21"/>
      <c r="RCY81" s="21"/>
      <c r="RCZ81" s="7"/>
      <c r="RDA81" s="7"/>
      <c r="RDB81" s="21"/>
      <c r="RDC81" s="20"/>
      <c r="RDD81" s="20"/>
      <c r="RDE81" s="20"/>
      <c r="RDF81" s="21"/>
      <c r="RDG81" s="21"/>
      <c r="RDH81" s="21"/>
      <c r="RDI81" s="21"/>
      <c r="RDJ81" s="21"/>
      <c r="RDK81" s="20"/>
      <c r="RDL81" s="20"/>
      <c r="RDM81" s="20"/>
      <c r="RDN81" s="20"/>
      <c r="RDO81" s="21"/>
      <c r="RDP81" s="21"/>
      <c r="RDQ81" s="7"/>
      <c r="RDR81" s="7"/>
      <c r="RDS81" s="21"/>
      <c r="RDT81" s="20"/>
      <c r="RDU81" s="20"/>
      <c r="RDV81" s="20"/>
      <c r="RDW81" s="21"/>
      <c r="RDX81" s="21"/>
      <c r="RDY81" s="21"/>
      <c r="RDZ81" s="21"/>
      <c r="REA81" s="21"/>
      <c r="REB81" s="20"/>
      <c r="REC81" s="20"/>
      <c r="RED81" s="20"/>
      <c r="REE81" s="20"/>
      <c r="REF81" s="21"/>
      <c r="REG81" s="21"/>
      <c r="REH81" s="7"/>
      <c r="REI81" s="7"/>
      <c r="REJ81" s="21"/>
      <c r="REK81" s="20"/>
      <c r="REL81" s="20"/>
      <c r="REM81" s="20"/>
      <c r="REN81" s="21"/>
      <c r="REO81" s="21"/>
      <c r="REP81" s="21"/>
      <c r="REQ81" s="21"/>
      <c r="RER81" s="21"/>
      <c r="RES81" s="20"/>
      <c r="RET81" s="20"/>
      <c r="REU81" s="20"/>
      <c r="REV81" s="20"/>
      <c r="REW81" s="21"/>
      <c r="REX81" s="21"/>
      <c r="REY81" s="7"/>
      <c r="REZ81" s="7"/>
      <c r="RFA81" s="21"/>
      <c r="RFB81" s="20"/>
      <c r="RFC81" s="20"/>
      <c r="RFD81" s="20"/>
      <c r="RFE81" s="21"/>
      <c r="RFF81" s="21"/>
      <c r="RFG81" s="21"/>
      <c r="RFH81" s="21"/>
      <c r="RFI81" s="21"/>
      <c r="RFJ81" s="20"/>
      <c r="RFK81" s="20"/>
      <c r="RFL81" s="20"/>
      <c r="RFM81" s="20"/>
      <c r="RFN81" s="21"/>
      <c r="RFO81" s="21"/>
      <c r="RFP81" s="7"/>
      <c r="RFQ81" s="7"/>
      <c r="RFR81" s="21"/>
      <c r="RFS81" s="20"/>
      <c r="RFT81" s="20"/>
      <c r="RFU81" s="20"/>
      <c r="RFV81" s="21"/>
      <c r="RFW81" s="21"/>
      <c r="RFX81" s="21"/>
      <c r="RFY81" s="21"/>
      <c r="RFZ81" s="21"/>
      <c r="RGA81" s="20"/>
      <c r="RGB81" s="20"/>
      <c r="RGC81" s="20"/>
      <c r="RGD81" s="20"/>
      <c r="RGE81" s="21"/>
      <c r="RGF81" s="21"/>
      <c r="RGG81" s="7"/>
      <c r="RGH81" s="7"/>
      <c r="RGI81" s="21"/>
      <c r="RGJ81" s="20"/>
      <c r="RGK81" s="20"/>
      <c r="RGL81" s="20"/>
      <c r="RGM81" s="21"/>
      <c r="RGN81" s="21"/>
      <c r="RGO81" s="21"/>
      <c r="RGP81" s="21"/>
      <c r="RGQ81" s="21"/>
      <c r="RGR81" s="20"/>
      <c r="RGS81" s="20"/>
      <c r="RGT81" s="20"/>
      <c r="RGU81" s="20"/>
      <c r="RGV81" s="21"/>
      <c r="RGW81" s="21"/>
      <c r="RGX81" s="7"/>
      <c r="RGY81" s="7"/>
      <c r="RGZ81" s="21"/>
      <c r="RHA81" s="20"/>
      <c r="RHB81" s="20"/>
      <c r="RHC81" s="20"/>
      <c r="RHD81" s="21"/>
      <c r="RHE81" s="21"/>
      <c r="RHF81" s="21"/>
      <c r="RHG81" s="21"/>
      <c r="RHH81" s="21"/>
      <c r="RHI81" s="20"/>
      <c r="RHJ81" s="20"/>
      <c r="RHK81" s="20"/>
      <c r="RHL81" s="20"/>
      <c r="RHM81" s="21"/>
      <c r="RHN81" s="21"/>
      <c r="RHO81" s="7"/>
      <c r="RHP81" s="7"/>
      <c r="RHQ81" s="21"/>
      <c r="RHR81" s="20"/>
      <c r="RHS81" s="20"/>
      <c r="RHT81" s="20"/>
      <c r="RHU81" s="21"/>
      <c r="RHV81" s="21"/>
      <c r="RHW81" s="21"/>
      <c r="RHX81" s="21"/>
      <c r="RHY81" s="21"/>
      <c r="RHZ81" s="20"/>
      <c r="RIA81" s="20"/>
      <c r="RIB81" s="20"/>
      <c r="RIC81" s="20"/>
      <c r="RID81" s="21"/>
      <c r="RIE81" s="21"/>
      <c r="RIF81" s="7"/>
      <c r="RIG81" s="7"/>
      <c r="RIH81" s="21"/>
      <c r="RII81" s="20"/>
      <c r="RIJ81" s="20"/>
      <c r="RIK81" s="20"/>
      <c r="RIL81" s="21"/>
      <c r="RIM81" s="21"/>
      <c r="RIN81" s="21"/>
      <c r="RIO81" s="21"/>
      <c r="RIP81" s="21"/>
      <c r="RIQ81" s="20"/>
      <c r="RIR81" s="20"/>
      <c r="RIS81" s="20"/>
      <c r="RIT81" s="20"/>
      <c r="RIU81" s="21"/>
      <c r="RIV81" s="21"/>
      <c r="RIW81" s="7"/>
      <c r="RIX81" s="7"/>
      <c r="RIY81" s="21"/>
      <c r="RIZ81" s="20"/>
      <c r="RJA81" s="20"/>
      <c r="RJB81" s="20"/>
      <c r="RJC81" s="21"/>
      <c r="RJD81" s="21"/>
      <c r="RJE81" s="21"/>
      <c r="RJF81" s="21"/>
      <c r="RJG81" s="21"/>
      <c r="RJH81" s="20"/>
      <c r="RJI81" s="20"/>
      <c r="RJJ81" s="20"/>
      <c r="RJK81" s="20"/>
      <c r="RJL81" s="21"/>
      <c r="RJM81" s="21"/>
      <c r="RJN81" s="7"/>
      <c r="RJO81" s="7"/>
      <c r="RJP81" s="21"/>
      <c r="RJQ81" s="20"/>
      <c r="RJR81" s="20"/>
      <c r="RJS81" s="20"/>
      <c r="RJT81" s="21"/>
      <c r="RJU81" s="21"/>
      <c r="RJV81" s="21"/>
      <c r="RJW81" s="21"/>
      <c r="RJX81" s="21"/>
      <c r="RJY81" s="20"/>
      <c r="RJZ81" s="20"/>
      <c r="RKA81" s="20"/>
      <c r="RKB81" s="20"/>
      <c r="RKC81" s="21"/>
      <c r="RKD81" s="21"/>
      <c r="RKE81" s="7"/>
      <c r="RKF81" s="7"/>
      <c r="RKG81" s="21"/>
      <c r="RKH81" s="20"/>
      <c r="RKI81" s="20"/>
      <c r="RKJ81" s="20"/>
      <c r="RKK81" s="21"/>
      <c r="RKL81" s="21"/>
      <c r="RKM81" s="21"/>
      <c r="RKN81" s="21"/>
      <c r="RKO81" s="21"/>
      <c r="RKP81" s="20"/>
      <c r="RKQ81" s="20"/>
      <c r="RKR81" s="20"/>
      <c r="RKS81" s="20"/>
      <c r="RKT81" s="21"/>
      <c r="RKU81" s="21"/>
      <c r="RKV81" s="7"/>
      <c r="RKW81" s="7"/>
      <c r="RKX81" s="21"/>
      <c r="RKY81" s="20"/>
      <c r="RKZ81" s="20"/>
      <c r="RLA81" s="20"/>
      <c r="RLB81" s="21"/>
      <c r="RLC81" s="21"/>
      <c r="RLD81" s="21"/>
      <c r="RLE81" s="21"/>
      <c r="RLF81" s="21"/>
      <c r="RLG81" s="20"/>
      <c r="RLH81" s="20"/>
      <c r="RLI81" s="20"/>
      <c r="RLJ81" s="20"/>
      <c r="RLK81" s="21"/>
      <c r="RLL81" s="21"/>
      <c r="RLM81" s="7"/>
      <c r="RLN81" s="7"/>
      <c r="RLO81" s="21"/>
      <c r="RLP81" s="20"/>
      <c r="RLQ81" s="20"/>
      <c r="RLR81" s="20"/>
      <c r="RLS81" s="21"/>
      <c r="RLT81" s="21"/>
      <c r="RLU81" s="21"/>
      <c r="RLV81" s="21"/>
      <c r="RLW81" s="21"/>
      <c r="RLX81" s="20"/>
      <c r="RLY81" s="20"/>
      <c r="RLZ81" s="20"/>
      <c r="RMA81" s="20"/>
      <c r="RMB81" s="21"/>
      <c r="RMC81" s="21"/>
      <c r="RMD81" s="7"/>
      <c r="RME81" s="7"/>
      <c r="RMF81" s="21"/>
      <c r="RMG81" s="20"/>
      <c r="RMH81" s="20"/>
      <c r="RMI81" s="20"/>
      <c r="RMJ81" s="21"/>
      <c r="RMK81" s="21"/>
      <c r="RML81" s="21"/>
      <c r="RMM81" s="21"/>
      <c r="RMN81" s="21"/>
      <c r="RMO81" s="20"/>
      <c r="RMP81" s="20"/>
      <c r="RMQ81" s="20"/>
      <c r="RMR81" s="20"/>
      <c r="RMS81" s="21"/>
      <c r="RMT81" s="21"/>
      <c r="RMU81" s="7"/>
      <c r="RMV81" s="7"/>
      <c r="RMW81" s="21"/>
      <c r="RMX81" s="20"/>
      <c r="RMY81" s="20"/>
      <c r="RMZ81" s="20"/>
      <c r="RNA81" s="21"/>
      <c r="RNB81" s="21"/>
      <c r="RNC81" s="21"/>
      <c r="RND81" s="21"/>
      <c r="RNE81" s="21"/>
      <c r="RNF81" s="20"/>
      <c r="RNG81" s="20"/>
      <c r="RNH81" s="20"/>
      <c r="RNI81" s="20"/>
      <c r="RNJ81" s="21"/>
      <c r="RNK81" s="21"/>
      <c r="RNL81" s="7"/>
      <c r="RNM81" s="7"/>
      <c r="RNN81" s="21"/>
      <c r="RNO81" s="20"/>
      <c r="RNP81" s="20"/>
      <c r="RNQ81" s="20"/>
      <c r="RNR81" s="21"/>
      <c r="RNS81" s="21"/>
      <c r="RNT81" s="21"/>
      <c r="RNU81" s="21"/>
      <c r="RNV81" s="21"/>
      <c r="RNW81" s="20"/>
      <c r="RNX81" s="20"/>
      <c r="RNY81" s="20"/>
      <c r="RNZ81" s="20"/>
      <c r="ROA81" s="21"/>
      <c r="ROB81" s="21"/>
      <c r="ROC81" s="7"/>
      <c r="ROD81" s="7"/>
      <c r="ROE81" s="21"/>
      <c r="ROF81" s="20"/>
      <c r="ROG81" s="20"/>
      <c r="ROH81" s="20"/>
      <c r="ROI81" s="21"/>
      <c r="ROJ81" s="21"/>
      <c r="ROK81" s="21"/>
      <c r="ROL81" s="21"/>
      <c r="ROM81" s="21"/>
      <c r="RON81" s="20"/>
      <c r="ROO81" s="20"/>
      <c r="ROP81" s="20"/>
      <c r="ROQ81" s="20"/>
      <c r="ROR81" s="21"/>
      <c r="ROS81" s="21"/>
      <c r="ROT81" s="7"/>
      <c r="ROU81" s="7"/>
      <c r="ROV81" s="21"/>
      <c r="ROW81" s="20"/>
      <c r="ROX81" s="20"/>
      <c r="ROY81" s="20"/>
      <c r="ROZ81" s="21"/>
      <c r="RPA81" s="21"/>
      <c r="RPB81" s="21"/>
      <c r="RPC81" s="21"/>
      <c r="RPD81" s="21"/>
      <c r="RPE81" s="20"/>
      <c r="RPF81" s="20"/>
      <c r="RPG81" s="20"/>
      <c r="RPH81" s="20"/>
      <c r="RPI81" s="21"/>
      <c r="RPJ81" s="21"/>
      <c r="RPK81" s="7"/>
      <c r="RPL81" s="7"/>
      <c r="RPM81" s="21"/>
      <c r="RPN81" s="20"/>
      <c r="RPO81" s="20"/>
      <c r="RPP81" s="20"/>
      <c r="RPQ81" s="21"/>
      <c r="RPR81" s="21"/>
      <c r="RPS81" s="21"/>
      <c r="RPT81" s="21"/>
      <c r="RPU81" s="21"/>
      <c r="RPV81" s="20"/>
      <c r="RPW81" s="20"/>
      <c r="RPX81" s="20"/>
      <c r="RPY81" s="20"/>
      <c r="RPZ81" s="21"/>
      <c r="RQA81" s="21"/>
      <c r="RQB81" s="7"/>
      <c r="RQC81" s="7"/>
      <c r="RQD81" s="21"/>
      <c r="RQE81" s="20"/>
      <c r="RQF81" s="20"/>
      <c r="RQG81" s="20"/>
      <c r="RQH81" s="21"/>
      <c r="RQI81" s="21"/>
      <c r="RQJ81" s="21"/>
      <c r="RQK81" s="21"/>
      <c r="RQL81" s="21"/>
      <c r="RQM81" s="20"/>
      <c r="RQN81" s="20"/>
      <c r="RQO81" s="20"/>
      <c r="RQP81" s="20"/>
      <c r="RQQ81" s="21"/>
      <c r="RQR81" s="21"/>
      <c r="RQS81" s="7"/>
      <c r="RQT81" s="7"/>
      <c r="RQU81" s="21"/>
      <c r="RQV81" s="20"/>
      <c r="RQW81" s="20"/>
      <c r="RQX81" s="20"/>
      <c r="RQY81" s="21"/>
      <c r="RQZ81" s="21"/>
      <c r="RRA81" s="21"/>
      <c r="RRB81" s="21"/>
      <c r="RRC81" s="21"/>
      <c r="RRD81" s="20"/>
      <c r="RRE81" s="20"/>
      <c r="RRF81" s="20"/>
      <c r="RRG81" s="20"/>
      <c r="RRH81" s="21"/>
      <c r="RRI81" s="21"/>
      <c r="RRJ81" s="7"/>
      <c r="RRK81" s="7"/>
      <c r="RRL81" s="21"/>
      <c r="RRM81" s="20"/>
      <c r="RRN81" s="20"/>
      <c r="RRO81" s="20"/>
      <c r="RRP81" s="21"/>
      <c r="RRQ81" s="21"/>
      <c r="RRR81" s="21"/>
      <c r="RRS81" s="21"/>
      <c r="RRT81" s="21"/>
      <c r="RRU81" s="20"/>
      <c r="RRV81" s="20"/>
      <c r="RRW81" s="20"/>
      <c r="RRX81" s="20"/>
      <c r="RRY81" s="21"/>
      <c r="RRZ81" s="21"/>
      <c r="RSA81" s="7"/>
      <c r="RSB81" s="7"/>
      <c r="RSC81" s="21"/>
      <c r="RSD81" s="20"/>
      <c r="RSE81" s="20"/>
      <c r="RSF81" s="20"/>
      <c r="RSG81" s="21"/>
      <c r="RSH81" s="21"/>
      <c r="RSI81" s="21"/>
      <c r="RSJ81" s="21"/>
      <c r="RSK81" s="21"/>
      <c r="RSL81" s="20"/>
      <c r="RSM81" s="20"/>
      <c r="RSN81" s="20"/>
      <c r="RSO81" s="20"/>
      <c r="RSP81" s="21"/>
      <c r="RSQ81" s="21"/>
      <c r="RSR81" s="7"/>
      <c r="RSS81" s="7"/>
      <c r="RST81" s="21"/>
      <c r="RSU81" s="20"/>
      <c r="RSV81" s="20"/>
      <c r="RSW81" s="20"/>
      <c r="RSX81" s="21"/>
      <c r="RSY81" s="21"/>
      <c r="RSZ81" s="21"/>
      <c r="RTA81" s="21"/>
      <c r="RTB81" s="21"/>
      <c r="RTC81" s="20"/>
      <c r="RTD81" s="20"/>
      <c r="RTE81" s="20"/>
      <c r="RTF81" s="20"/>
      <c r="RTG81" s="21"/>
      <c r="RTH81" s="21"/>
      <c r="RTI81" s="7"/>
      <c r="RTJ81" s="7"/>
      <c r="RTK81" s="21"/>
      <c r="RTL81" s="20"/>
      <c r="RTM81" s="20"/>
      <c r="RTN81" s="20"/>
      <c r="RTO81" s="21"/>
      <c r="RTP81" s="21"/>
      <c r="RTQ81" s="21"/>
      <c r="RTR81" s="21"/>
      <c r="RTS81" s="21"/>
      <c r="RTT81" s="20"/>
      <c r="RTU81" s="20"/>
      <c r="RTV81" s="20"/>
      <c r="RTW81" s="20"/>
      <c r="RTX81" s="21"/>
      <c r="RTY81" s="21"/>
      <c r="RTZ81" s="7"/>
      <c r="RUA81" s="7"/>
      <c r="RUB81" s="21"/>
      <c r="RUC81" s="20"/>
      <c r="RUD81" s="20"/>
      <c r="RUE81" s="20"/>
      <c r="RUF81" s="21"/>
      <c r="RUG81" s="21"/>
      <c r="RUH81" s="21"/>
      <c r="RUI81" s="21"/>
      <c r="RUJ81" s="21"/>
      <c r="RUK81" s="20"/>
      <c r="RUL81" s="20"/>
      <c r="RUM81" s="20"/>
      <c r="RUN81" s="20"/>
      <c r="RUO81" s="21"/>
      <c r="RUP81" s="21"/>
      <c r="RUQ81" s="7"/>
      <c r="RUR81" s="7"/>
      <c r="RUS81" s="21"/>
      <c r="RUT81" s="20"/>
      <c r="RUU81" s="20"/>
      <c r="RUV81" s="20"/>
      <c r="RUW81" s="21"/>
      <c r="RUX81" s="21"/>
      <c r="RUY81" s="21"/>
      <c r="RUZ81" s="21"/>
      <c r="RVA81" s="21"/>
      <c r="RVB81" s="20"/>
      <c r="RVC81" s="20"/>
      <c r="RVD81" s="20"/>
      <c r="RVE81" s="20"/>
      <c r="RVF81" s="21"/>
      <c r="RVG81" s="21"/>
      <c r="RVH81" s="7"/>
      <c r="RVI81" s="7"/>
      <c r="RVJ81" s="21"/>
      <c r="RVK81" s="20"/>
      <c r="RVL81" s="20"/>
      <c r="RVM81" s="20"/>
      <c r="RVN81" s="21"/>
      <c r="RVO81" s="21"/>
      <c r="RVP81" s="21"/>
      <c r="RVQ81" s="21"/>
      <c r="RVR81" s="21"/>
      <c r="RVS81" s="20"/>
      <c r="RVT81" s="20"/>
      <c r="RVU81" s="20"/>
      <c r="RVV81" s="20"/>
      <c r="RVW81" s="21"/>
      <c r="RVX81" s="21"/>
      <c r="RVY81" s="7"/>
      <c r="RVZ81" s="7"/>
      <c r="RWA81" s="21"/>
      <c r="RWB81" s="20"/>
      <c r="RWC81" s="20"/>
      <c r="RWD81" s="20"/>
      <c r="RWE81" s="21"/>
      <c r="RWF81" s="21"/>
      <c r="RWG81" s="21"/>
      <c r="RWH81" s="21"/>
      <c r="RWI81" s="21"/>
      <c r="RWJ81" s="20"/>
      <c r="RWK81" s="20"/>
      <c r="RWL81" s="20"/>
      <c r="RWM81" s="20"/>
      <c r="RWN81" s="21"/>
      <c r="RWO81" s="21"/>
      <c r="RWP81" s="7"/>
      <c r="RWQ81" s="7"/>
      <c r="RWR81" s="21"/>
      <c r="RWS81" s="20"/>
      <c r="RWT81" s="20"/>
      <c r="RWU81" s="20"/>
      <c r="RWV81" s="21"/>
      <c r="RWW81" s="21"/>
      <c r="RWX81" s="21"/>
      <c r="RWY81" s="21"/>
      <c r="RWZ81" s="21"/>
      <c r="RXA81" s="20"/>
      <c r="RXB81" s="20"/>
      <c r="RXC81" s="20"/>
      <c r="RXD81" s="20"/>
      <c r="RXE81" s="21"/>
      <c r="RXF81" s="21"/>
      <c r="RXG81" s="7"/>
      <c r="RXH81" s="7"/>
      <c r="RXI81" s="21"/>
      <c r="RXJ81" s="20"/>
      <c r="RXK81" s="20"/>
      <c r="RXL81" s="20"/>
      <c r="RXM81" s="21"/>
      <c r="RXN81" s="21"/>
      <c r="RXO81" s="21"/>
      <c r="RXP81" s="21"/>
      <c r="RXQ81" s="21"/>
      <c r="RXR81" s="20"/>
      <c r="RXS81" s="20"/>
      <c r="RXT81" s="20"/>
      <c r="RXU81" s="20"/>
      <c r="RXV81" s="21"/>
      <c r="RXW81" s="21"/>
      <c r="RXX81" s="7"/>
      <c r="RXY81" s="7"/>
      <c r="RXZ81" s="21"/>
      <c r="RYA81" s="20"/>
      <c r="RYB81" s="20"/>
      <c r="RYC81" s="20"/>
      <c r="RYD81" s="21"/>
      <c r="RYE81" s="21"/>
      <c r="RYF81" s="21"/>
      <c r="RYG81" s="21"/>
      <c r="RYH81" s="21"/>
      <c r="RYI81" s="20"/>
      <c r="RYJ81" s="20"/>
      <c r="RYK81" s="20"/>
      <c r="RYL81" s="20"/>
      <c r="RYM81" s="21"/>
      <c r="RYN81" s="21"/>
      <c r="RYO81" s="7"/>
      <c r="RYP81" s="7"/>
      <c r="RYQ81" s="21"/>
      <c r="RYR81" s="20"/>
      <c r="RYS81" s="20"/>
      <c r="RYT81" s="20"/>
      <c r="RYU81" s="21"/>
      <c r="RYV81" s="21"/>
      <c r="RYW81" s="21"/>
      <c r="RYX81" s="21"/>
      <c r="RYY81" s="21"/>
      <c r="RYZ81" s="20"/>
      <c r="RZA81" s="20"/>
      <c r="RZB81" s="20"/>
      <c r="RZC81" s="20"/>
      <c r="RZD81" s="21"/>
      <c r="RZE81" s="21"/>
      <c r="RZF81" s="7"/>
      <c r="RZG81" s="7"/>
      <c r="RZH81" s="21"/>
      <c r="RZI81" s="20"/>
      <c r="RZJ81" s="20"/>
      <c r="RZK81" s="20"/>
      <c r="RZL81" s="21"/>
      <c r="RZM81" s="21"/>
      <c r="RZN81" s="21"/>
      <c r="RZO81" s="21"/>
      <c r="RZP81" s="21"/>
      <c r="RZQ81" s="20"/>
      <c r="RZR81" s="20"/>
      <c r="RZS81" s="20"/>
      <c r="RZT81" s="20"/>
      <c r="RZU81" s="21"/>
      <c r="RZV81" s="21"/>
      <c r="RZW81" s="7"/>
      <c r="RZX81" s="7"/>
      <c r="RZY81" s="21"/>
      <c r="RZZ81" s="20"/>
      <c r="SAA81" s="20"/>
      <c r="SAB81" s="20"/>
      <c r="SAC81" s="21"/>
      <c r="SAD81" s="21"/>
      <c r="SAE81" s="21"/>
      <c r="SAF81" s="21"/>
      <c r="SAG81" s="21"/>
      <c r="SAH81" s="20"/>
      <c r="SAI81" s="20"/>
      <c r="SAJ81" s="20"/>
      <c r="SAK81" s="20"/>
      <c r="SAL81" s="21"/>
      <c r="SAM81" s="21"/>
      <c r="SAN81" s="7"/>
      <c r="SAO81" s="7"/>
      <c r="SAP81" s="21"/>
      <c r="SAQ81" s="20"/>
      <c r="SAR81" s="20"/>
      <c r="SAS81" s="20"/>
      <c r="SAT81" s="21"/>
      <c r="SAU81" s="21"/>
      <c r="SAV81" s="21"/>
      <c r="SAW81" s="21"/>
      <c r="SAX81" s="21"/>
      <c r="SAY81" s="20"/>
      <c r="SAZ81" s="20"/>
      <c r="SBA81" s="20"/>
      <c r="SBB81" s="20"/>
      <c r="SBC81" s="21"/>
      <c r="SBD81" s="21"/>
      <c r="SBE81" s="7"/>
      <c r="SBF81" s="7"/>
      <c r="SBG81" s="21"/>
      <c r="SBH81" s="20"/>
      <c r="SBI81" s="20"/>
      <c r="SBJ81" s="20"/>
      <c r="SBK81" s="21"/>
      <c r="SBL81" s="21"/>
      <c r="SBM81" s="21"/>
      <c r="SBN81" s="21"/>
      <c r="SBO81" s="21"/>
      <c r="SBP81" s="20"/>
      <c r="SBQ81" s="20"/>
      <c r="SBR81" s="20"/>
      <c r="SBS81" s="20"/>
      <c r="SBT81" s="21"/>
      <c r="SBU81" s="21"/>
      <c r="SBV81" s="7"/>
      <c r="SBW81" s="7"/>
      <c r="SBX81" s="21"/>
      <c r="SBY81" s="20"/>
      <c r="SBZ81" s="20"/>
      <c r="SCA81" s="20"/>
      <c r="SCB81" s="21"/>
      <c r="SCC81" s="21"/>
      <c r="SCD81" s="21"/>
      <c r="SCE81" s="21"/>
      <c r="SCF81" s="21"/>
      <c r="SCG81" s="20"/>
      <c r="SCH81" s="20"/>
      <c r="SCI81" s="20"/>
      <c r="SCJ81" s="20"/>
      <c r="SCK81" s="21"/>
      <c r="SCL81" s="21"/>
      <c r="SCM81" s="7"/>
      <c r="SCN81" s="7"/>
      <c r="SCO81" s="21"/>
      <c r="SCP81" s="20"/>
      <c r="SCQ81" s="20"/>
      <c r="SCR81" s="20"/>
      <c r="SCS81" s="21"/>
      <c r="SCT81" s="21"/>
      <c r="SCU81" s="21"/>
      <c r="SCV81" s="21"/>
      <c r="SCW81" s="21"/>
      <c r="SCX81" s="20"/>
      <c r="SCY81" s="20"/>
      <c r="SCZ81" s="20"/>
      <c r="SDA81" s="20"/>
      <c r="SDB81" s="21"/>
      <c r="SDC81" s="21"/>
      <c r="SDD81" s="7"/>
      <c r="SDE81" s="7"/>
      <c r="SDF81" s="21"/>
      <c r="SDG81" s="20"/>
      <c r="SDH81" s="20"/>
      <c r="SDI81" s="20"/>
      <c r="SDJ81" s="21"/>
      <c r="SDK81" s="21"/>
      <c r="SDL81" s="21"/>
      <c r="SDM81" s="21"/>
      <c r="SDN81" s="21"/>
      <c r="SDO81" s="20"/>
      <c r="SDP81" s="20"/>
      <c r="SDQ81" s="20"/>
      <c r="SDR81" s="20"/>
      <c r="SDS81" s="21"/>
      <c r="SDT81" s="21"/>
      <c r="SDU81" s="7"/>
      <c r="SDV81" s="7"/>
      <c r="SDW81" s="21"/>
      <c r="SDX81" s="20"/>
      <c r="SDY81" s="20"/>
      <c r="SDZ81" s="20"/>
      <c r="SEA81" s="21"/>
      <c r="SEB81" s="21"/>
      <c r="SEC81" s="21"/>
      <c r="SED81" s="21"/>
      <c r="SEE81" s="21"/>
      <c r="SEF81" s="20"/>
      <c r="SEG81" s="20"/>
      <c r="SEH81" s="20"/>
      <c r="SEI81" s="20"/>
      <c r="SEJ81" s="21"/>
      <c r="SEK81" s="21"/>
      <c r="SEL81" s="7"/>
      <c r="SEM81" s="7"/>
      <c r="SEN81" s="21"/>
      <c r="SEO81" s="20"/>
      <c r="SEP81" s="20"/>
      <c r="SEQ81" s="20"/>
      <c r="SER81" s="21"/>
      <c r="SES81" s="21"/>
      <c r="SET81" s="21"/>
      <c r="SEU81" s="21"/>
      <c r="SEV81" s="21"/>
      <c r="SEW81" s="20"/>
      <c r="SEX81" s="20"/>
      <c r="SEY81" s="20"/>
      <c r="SEZ81" s="20"/>
      <c r="SFA81" s="21"/>
      <c r="SFB81" s="21"/>
      <c r="SFC81" s="7"/>
      <c r="SFD81" s="7"/>
      <c r="SFE81" s="21"/>
      <c r="SFF81" s="20"/>
      <c r="SFG81" s="20"/>
      <c r="SFH81" s="20"/>
      <c r="SFI81" s="21"/>
      <c r="SFJ81" s="21"/>
      <c r="SFK81" s="21"/>
      <c r="SFL81" s="21"/>
      <c r="SFM81" s="21"/>
      <c r="SFN81" s="20"/>
      <c r="SFO81" s="20"/>
      <c r="SFP81" s="20"/>
      <c r="SFQ81" s="20"/>
      <c r="SFR81" s="21"/>
      <c r="SFS81" s="21"/>
      <c r="SFT81" s="7"/>
      <c r="SFU81" s="7"/>
      <c r="SFV81" s="21"/>
      <c r="SFW81" s="20"/>
      <c r="SFX81" s="20"/>
      <c r="SFY81" s="20"/>
      <c r="SFZ81" s="21"/>
      <c r="SGA81" s="21"/>
      <c r="SGB81" s="21"/>
      <c r="SGC81" s="21"/>
      <c r="SGD81" s="21"/>
      <c r="SGE81" s="20"/>
      <c r="SGF81" s="20"/>
      <c r="SGG81" s="20"/>
      <c r="SGH81" s="20"/>
      <c r="SGI81" s="21"/>
      <c r="SGJ81" s="21"/>
      <c r="SGK81" s="7"/>
      <c r="SGL81" s="7"/>
      <c r="SGM81" s="21"/>
      <c r="SGN81" s="20"/>
      <c r="SGO81" s="20"/>
      <c r="SGP81" s="20"/>
      <c r="SGQ81" s="21"/>
      <c r="SGR81" s="21"/>
      <c r="SGS81" s="21"/>
      <c r="SGT81" s="21"/>
      <c r="SGU81" s="21"/>
      <c r="SGV81" s="20"/>
      <c r="SGW81" s="20"/>
      <c r="SGX81" s="20"/>
      <c r="SGY81" s="20"/>
      <c r="SGZ81" s="21"/>
      <c r="SHA81" s="21"/>
      <c r="SHB81" s="7"/>
      <c r="SHC81" s="7"/>
      <c r="SHD81" s="21"/>
      <c r="SHE81" s="20"/>
      <c r="SHF81" s="20"/>
      <c r="SHG81" s="20"/>
      <c r="SHH81" s="21"/>
      <c r="SHI81" s="21"/>
      <c r="SHJ81" s="21"/>
      <c r="SHK81" s="21"/>
      <c r="SHL81" s="21"/>
      <c r="SHM81" s="20"/>
      <c r="SHN81" s="20"/>
      <c r="SHO81" s="20"/>
      <c r="SHP81" s="20"/>
      <c r="SHQ81" s="21"/>
      <c r="SHR81" s="21"/>
      <c r="SHS81" s="7"/>
      <c r="SHT81" s="7"/>
      <c r="SHU81" s="21"/>
      <c r="SHV81" s="20"/>
      <c r="SHW81" s="20"/>
      <c r="SHX81" s="20"/>
      <c r="SHY81" s="21"/>
      <c r="SHZ81" s="21"/>
      <c r="SIA81" s="21"/>
      <c r="SIB81" s="21"/>
      <c r="SIC81" s="21"/>
      <c r="SID81" s="20"/>
      <c r="SIE81" s="20"/>
      <c r="SIF81" s="20"/>
      <c r="SIG81" s="20"/>
      <c r="SIH81" s="21"/>
      <c r="SII81" s="21"/>
      <c r="SIJ81" s="7"/>
      <c r="SIK81" s="7"/>
      <c r="SIL81" s="21"/>
      <c r="SIM81" s="20"/>
      <c r="SIN81" s="20"/>
      <c r="SIO81" s="20"/>
      <c r="SIP81" s="21"/>
      <c r="SIQ81" s="21"/>
      <c r="SIR81" s="21"/>
      <c r="SIS81" s="21"/>
      <c r="SIT81" s="21"/>
      <c r="SIU81" s="20"/>
      <c r="SIV81" s="20"/>
      <c r="SIW81" s="20"/>
      <c r="SIX81" s="20"/>
      <c r="SIY81" s="21"/>
      <c r="SIZ81" s="21"/>
      <c r="SJA81" s="7"/>
      <c r="SJB81" s="7"/>
      <c r="SJC81" s="21"/>
      <c r="SJD81" s="20"/>
      <c r="SJE81" s="20"/>
      <c r="SJF81" s="20"/>
      <c r="SJG81" s="21"/>
      <c r="SJH81" s="21"/>
      <c r="SJI81" s="21"/>
      <c r="SJJ81" s="21"/>
      <c r="SJK81" s="21"/>
      <c r="SJL81" s="20"/>
      <c r="SJM81" s="20"/>
      <c r="SJN81" s="20"/>
      <c r="SJO81" s="20"/>
      <c r="SJP81" s="21"/>
      <c r="SJQ81" s="21"/>
      <c r="SJR81" s="7"/>
      <c r="SJS81" s="7"/>
      <c r="SJT81" s="21"/>
      <c r="SJU81" s="20"/>
      <c r="SJV81" s="20"/>
      <c r="SJW81" s="20"/>
      <c r="SJX81" s="21"/>
      <c r="SJY81" s="21"/>
      <c r="SJZ81" s="21"/>
      <c r="SKA81" s="21"/>
      <c r="SKB81" s="21"/>
      <c r="SKC81" s="20"/>
      <c r="SKD81" s="20"/>
      <c r="SKE81" s="20"/>
      <c r="SKF81" s="20"/>
      <c r="SKG81" s="21"/>
      <c r="SKH81" s="21"/>
      <c r="SKI81" s="7"/>
      <c r="SKJ81" s="7"/>
      <c r="SKK81" s="21"/>
      <c r="SKL81" s="20"/>
      <c r="SKM81" s="20"/>
      <c r="SKN81" s="20"/>
      <c r="SKO81" s="21"/>
      <c r="SKP81" s="21"/>
      <c r="SKQ81" s="21"/>
      <c r="SKR81" s="21"/>
      <c r="SKS81" s="21"/>
      <c r="SKT81" s="20"/>
      <c r="SKU81" s="20"/>
      <c r="SKV81" s="20"/>
      <c r="SKW81" s="20"/>
      <c r="SKX81" s="21"/>
      <c r="SKY81" s="21"/>
      <c r="SKZ81" s="7"/>
      <c r="SLA81" s="7"/>
      <c r="SLB81" s="21"/>
      <c r="SLC81" s="20"/>
      <c r="SLD81" s="20"/>
      <c r="SLE81" s="20"/>
      <c r="SLF81" s="21"/>
      <c r="SLG81" s="21"/>
      <c r="SLH81" s="21"/>
      <c r="SLI81" s="21"/>
      <c r="SLJ81" s="21"/>
      <c r="SLK81" s="20"/>
      <c r="SLL81" s="20"/>
      <c r="SLM81" s="20"/>
      <c r="SLN81" s="20"/>
      <c r="SLO81" s="21"/>
      <c r="SLP81" s="21"/>
      <c r="SLQ81" s="7"/>
      <c r="SLR81" s="7"/>
      <c r="SLS81" s="21"/>
      <c r="SLT81" s="20"/>
      <c r="SLU81" s="20"/>
      <c r="SLV81" s="20"/>
      <c r="SLW81" s="21"/>
      <c r="SLX81" s="21"/>
      <c r="SLY81" s="21"/>
      <c r="SLZ81" s="21"/>
      <c r="SMA81" s="21"/>
      <c r="SMB81" s="20"/>
      <c r="SMC81" s="20"/>
      <c r="SMD81" s="20"/>
      <c r="SME81" s="20"/>
      <c r="SMF81" s="21"/>
      <c r="SMG81" s="21"/>
      <c r="SMH81" s="7"/>
      <c r="SMI81" s="7"/>
      <c r="SMJ81" s="21"/>
      <c r="SMK81" s="20"/>
      <c r="SML81" s="20"/>
      <c r="SMM81" s="20"/>
      <c r="SMN81" s="21"/>
      <c r="SMO81" s="21"/>
      <c r="SMP81" s="21"/>
      <c r="SMQ81" s="21"/>
      <c r="SMR81" s="21"/>
      <c r="SMS81" s="20"/>
      <c r="SMT81" s="20"/>
      <c r="SMU81" s="20"/>
      <c r="SMV81" s="20"/>
      <c r="SMW81" s="21"/>
      <c r="SMX81" s="21"/>
      <c r="SMY81" s="7"/>
      <c r="SMZ81" s="7"/>
      <c r="SNA81" s="21"/>
      <c r="SNB81" s="20"/>
      <c r="SNC81" s="20"/>
      <c r="SND81" s="20"/>
      <c r="SNE81" s="21"/>
      <c r="SNF81" s="21"/>
      <c r="SNG81" s="21"/>
      <c r="SNH81" s="21"/>
      <c r="SNI81" s="21"/>
      <c r="SNJ81" s="20"/>
      <c r="SNK81" s="20"/>
      <c r="SNL81" s="20"/>
      <c r="SNM81" s="20"/>
      <c r="SNN81" s="21"/>
      <c r="SNO81" s="21"/>
      <c r="SNP81" s="7"/>
      <c r="SNQ81" s="7"/>
      <c r="SNR81" s="21"/>
      <c r="SNS81" s="20"/>
      <c r="SNT81" s="20"/>
      <c r="SNU81" s="20"/>
      <c r="SNV81" s="21"/>
      <c r="SNW81" s="21"/>
      <c r="SNX81" s="21"/>
      <c r="SNY81" s="21"/>
      <c r="SNZ81" s="21"/>
      <c r="SOA81" s="20"/>
      <c r="SOB81" s="20"/>
      <c r="SOC81" s="20"/>
      <c r="SOD81" s="20"/>
      <c r="SOE81" s="21"/>
      <c r="SOF81" s="21"/>
      <c r="SOG81" s="7"/>
      <c r="SOH81" s="7"/>
      <c r="SOI81" s="21"/>
      <c r="SOJ81" s="20"/>
      <c r="SOK81" s="20"/>
      <c r="SOL81" s="20"/>
      <c r="SOM81" s="21"/>
      <c r="SON81" s="21"/>
      <c r="SOO81" s="21"/>
      <c r="SOP81" s="21"/>
      <c r="SOQ81" s="21"/>
      <c r="SOR81" s="20"/>
      <c r="SOS81" s="20"/>
      <c r="SOT81" s="20"/>
      <c r="SOU81" s="20"/>
      <c r="SOV81" s="21"/>
      <c r="SOW81" s="21"/>
      <c r="SOX81" s="7"/>
      <c r="SOY81" s="7"/>
      <c r="SOZ81" s="21"/>
      <c r="SPA81" s="20"/>
      <c r="SPB81" s="20"/>
      <c r="SPC81" s="20"/>
      <c r="SPD81" s="21"/>
      <c r="SPE81" s="21"/>
      <c r="SPF81" s="21"/>
      <c r="SPG81" s="21"/>
      <c r="SPH81" s="21"/>
      <c r="SPI81" s="20"/>
      <c r="SPJ81" s="20"/>
      <c r="SPK81" s="20"/>
      <c r="SPL81" s="20"/>
      <c r="SPM81" s="21"/>
      <c r="SPN81" s="21"/>
      <c r="SPO81" s="7"/>
      <c r="SPP81" s="7"/>
      <c r="SPQ81" s="21"/>
      <c r="SPR81" s="20"/>
      <c r="SPS81" s="20"/>
      <c r="SPT81" s="20"/>
      <c r="SPU81" s="21"/>
      <c r="SPV81" s="21"/>
      <c r="SPW81" s="21"/>
      <c r="SPX81" s="21"/>
      <c r="SPY81" s="21"/>
      <c r="SPZ81" s="20"/>
      <c r="SQA81" s="20"/>
      <c r="SQB81" s="20"/>
      <c r="SQC81" s="20"/>
      <c r="SQD81" s="21"/>
      <c r="SQE81" s="21"/>
      <c r="SQF81" s="7"/>
      <c r="SQG81" s="7"/>
      <c r="SQH81" s="21"/>
      <c r="SQI81" s="20"/>
      <c r="SQJ81" s="20"/>
      <c r="SQK81" s="20"/>
      <c r="SQL81" s="21"/>
      <c r="SQM81" s="21"/>
      <c r="SQN81" s="21"/>
      <c r="SQO81" s="21"/>
      <c r="SQP81" s="21"/>
      <c r="SQQ81" s="20"/>
      <c r="SQR81" s="20"/>
      <c r="SQS81" s="20"/>
      <c r="SQT81" s="20"/>
      <c r="SQU81" s="21"/>
      <c r="SQV81" s="21"/>
      <c r="SQW81" s="7"/>
      <c r="SQX81" s="7"/>
      <c r="SQY81" s="21"/>
      <c r="SQZ81" s="20"/>
      <c r="SRA81" s="20"/>
      <c r="SRB81" s="20"/>
      <c r="SRC81" s="21"/>
      <c r="SRD81" s="21"/>
      <c r="SRE81" s="21"/>
      <c r="SRF81" s="21"/>
      <c r="SRG81" s="21"/>
      <c r="SRH81" s="20"/>
      <c r="SRI81" s="20"/>
      <c r="SRJ81" s="20"/>
      <c r="SRK81" s="20"/>
      <c r="SRL81" s="21"/>
      <c r="SRM81" s="21"/>
      <c r="SRN81" s="7"/>
      <c r="SRO81" s="7"/>
      <c r="SRP81" s="21"/>
      <c r="SRQ81" s="20"/>
      <c r="SRR81" s="20"/>
      <c r="SRS81" s="20"/>
      <c r="SRT81" s="21"/>
      <c r="SRU81" s="21"/>
      <c r="SRV81" s="21"/>
      <c r="SRW81" s="21"/>
      <c r="SRX81" s="21"/>
      <c r="SRY81" s="20"/>
      <c r="SRZ81" s="20"/>
      <c r="SSA81" s="20"/>
      <c r="SSB81" s="20"/>
      <c r="SSC81" s="21"/>
      <c r="SSD81" s="21"/>
      <c r="SSE81" s="7"/>
      <c r="SSF81" s="7"/>
      <c r="SSG81" s="21"/>
      <c r="SSH81" s="20"/>
      <c r="SSI81" s="20"/>
      <c r="SSJ81" s="20"/>
      <c r="SSK81" s="21"/>
      <c r="SSL81" s="21"/>
      <c r="SSM81" s="21"/>
      <c r="SSN81" s="21"/>
      <c r="SSO81" s="21"/>
      <c r="SSP81" s="20"/>
      <c r="SSQ81" s="20"/>
      <c r="SSR81" s="20"/>
      <c r="SSS81" s="20"/>
      <c r="SST81" s="21"/>
      <c r="SSU81" s="21"/>
      <c r="SSV81" s="7"/>
      <c r="SSW81" s="7"/>
      <c r="SSX81" s="21"/>
      <c r="SSY81" s="20"/>
      <c r="SSZ81" s="20"/>
      <c r="STA81" s="20"/>
      <c r="STB81" s="21"/>
      <c r="STC81" s="21"/>
      <c r="STD81" s="21"/>
      <c r="STE81" s="21"/>
      <c r="STF81" s="21"/>
      <c r="STG81" s="20"/>
      <c r="STH81" s="20"/>
      <c r="STI81" s="20"/>
      <c r="STJ81" s="20"/>
      <c r="STK81" s="21"/>
      <c r="STL81" s="21"/>
      <c r="STM81" s="7"/>
      <c r="STN81" s="7"/>
      <c r="STO81" s="21"/>
      <c r="STP81" s="20"/>
      <c r="STQ81" s="20"/>
      <c r="STR81" s="20"/>
      <c r="STS81" s="21"/>
      <c r="STT81" s="21"/>
      <c r="STU81" s="21"/>
      <c r="STV81" s="21"/>
      <c r="STW81" s="21"/>
      <c r="STX81" s="20"/>
      <c r="STY81" s="20"/>
      <c r="STZ81" s="20"/>
      <c r="SUA81" s="20"/>
      <c r="SUB81" s="21"/>
      <c r="SUC81" s="21"/>
      <c r="SUD81" s="7"/>
      <c r="SUE81" s="7"/>
      <c r="SUF81" s="21"/>
      <c r="SUG81" s="20"/>
      <c r="SUH81" s="20"/>
      <c r="SUI81" s="20"/>
      <c r="SUJ81" s="21"/>
      <c r="SUK81" s="21"/>
      <c r="SUL81" s="21"/>
      <c r="SUM81" s="21"/>
      <c r="SUN81" s="21"/>
      <c r="SUO81" s="20"/>
      <c r="SUP81" s="20"/>
      <c r="SUQ81" s="20"/>
      <c r="SUR81" s="20"/>
      <c r="SUS81" s="21"/>
      <c r="SUT81" s="21"/>
      <c r="SUU81" s="7"/>
      <c r="SUV81" s="7"/>
      <c r="SUW81" s="21"/>
      <c r="SUX81" s="20"/>
      <c r="SUY81" s="20"/>
      <c r="SUZ81" s="20"/>
      <c r="SVA81" s="21"/>
      <c r="SVB81" s="21"/>
      <c r="SVC81" s="21"/>
      <c r="SVD81" s="21"/>
      <c r="SVE81" s="21"/>
      <c r="SVF81" s="20"/>
      <c r="SVG81" s="20"/>
      <c r="SVH81" s="20"/>
      <c r="SVI81" s="20"/>
      <c r="SVJ81" s="21"/>
      <c r="SVK81" s="21"/>
      <c r="SVL81" s="7"/>
      <c r="SVM81" s="7"/>
      <c r="SVN81" s="21"/>
      <c r="SVO81" s="20"/>
      <c r="SVP81" s="20"/>
      <c r="SVQ81" s="20"/>
      <c r="SVR81" s="21"/>
      <c r="SVS81" s="21"/>
      <c r="SVT81" s="21"/>
      <c r="SVU81" s="21"/>
      <c r="SVV81" s="21"/>
      <c r="SVW81" s="20"/>
      <c r="SVX81" s="20"/>
      <c r="SVY81" s="20"/>
      <c r="SVZ81" s="20"/>
      <c r="SWA81" s="21"/>
      <c r="SWB81" s="21"/>
      <c r="SWC81" s="7"/>
      <c r="SWD81" s="7"/>
      <c r="SWE81" s="21"/>
      <c r="SWF81" s="20"/>
      <c r="SWG81" s="20"/>
      <c r="SWH81" s="20"/>
      <c r="SWI81" s="21"/>
      <c r="SWJ81" s="21"/>
      <c r="SWK81" s="21"/>
      <c r="SWL81" s="21"/>
      <c r="SWM81" s="21"/>
      <c r="SWN81" s="20"/>
      <c r="SWO81" s="20"/>
      <c r="SWP81" s="20"/>
      <c r="SWQ81" s="20"/>
      <c r="SWR81" s="21"/>
      <c r="SWS81" s="21"/>
      <c r="SWT81" s="7"/>
      <c r="SWU81" s="7"/>
      <c r="SWV81" s="21"/>
      <c r="SWW81" s="20"/>
      <c r="SWX81" s="20"/>
      <c r="SWY81" s="20"/>
      <c r="SWZ81" s="21"/>
      <c r="SXA81" s="21"/>
      <c r="SXB81" s="21"/>
      <c r="SXC81" s="21"/>
      <c r="SXD81" s="21"/>
      <c r="SXE81" s="20"/>
      <c r="SXF81" s="20"/>
      <c r="SXG81" s="20"/>
      <c r="SXH81" s="20"/>
      <c r="SXI81" s="21"/>
      <c r="SXJ81" s="21"/>
      <c r="SXK81" s="7"/>
      <c r="SXL81" s="7"/>
      <c r="SXM81" s="21"/>
      <c r="SXN81" s="20"/>
      <c r="SXO81" s="20"/>
      <c r="SXP81" s="20"/>
      <c r="SXQ81" s="21"/>
      <c r="SXR81" s="21"/>
      <c r="SXS81" s="21"/>
      <c r="SXT81" s="21"/>
      <c r="SXU81" s="21"/>
      <c r="SXV81" s="20"/>
      <c r="SXW81" s="20"/>
      <c r="SXX81" s="20"/>
      <c r="SXY81" s="20"/>
      <c r="SXZ81" s="21"/>
      <c r="SYA81" s="21"/>
      <c r="SYB81" s="7"/>
      <c r="SYC81" s="7"/>
      <c r="SYD81" s="21"/>
      <c r="SYE81" s="20"/>
      <c r="SYF81" s="20"/>
      <c r="SYG81" s="20"/>
      <c r="SYH81" s="21"/>
      <c r="SYI81" s="21"/>
      <c r="SYJ81" s="21"/>
      <c r="SYK81" s="21"/>
      <c r="SYL81" s="21"/>
      <c r="SYM81" s="20"/>
      <c r="SYN81" s="20"/>
      <c r="SYO81" s="20"/>
      <c r="SYP81" s="20"/>
      <c r="SYQ81" s="21"/>
      <c r="SYR81" s="21"/>
      <c r="SYS81" s="7"/>
      <c r="SYT81" s="7"/>
      <c r="SYU81" s="21"/>
      <c r="SYV81" s="20"/>
      <c r="SYW81" s="20"/>
      <c r="SYX81" s="20"/>
      <c r="SYY81" s="21"/>
      <c r="SYZ81" s="21"/>
      <c r="SZA81" s="21"/>
      <c r="SZB81" s="21"/>
      <c r="SZC81" s="21"/>
      <c r="SZD81" s="20"/>
      <c r="SZE81" s="20"/>
      <c r="SZF81" s="20"/>
      <c r="SZG81" s="20"/>
      <c r="SZH81" s="21"/>
      <c r="SZI81" s="21"/>
      <c r="SZJ81" s="7"/>
      <c r="SZK81" s="7"/>
      <c r="SZL81" s="21"/>
      <c r="SZM81" s="20"/>
      <c r="SZN81" s="20"/>
      <c r="SZO81" s="20"/>
      <c r="SZP81" s="21"/>
      <c r="SZQ81" s="21"/>
      <c r="SZR81" s="21"/>
      <c r="SZS81" s="21"/>
      <c r="SZT81" s="21"/>
      <c r="SZU81" s="20"/>
      <c r="SZV81" s="20"/>
      <c r="SZW81" s="20"/>
      <c r="SZX81" s="20"/>
      <c r="SZY81" s="21"/>
      <c r="SZZ81" s="21"/>
      <c r="TAA81" s="7"/>
      <c r="TAB81" s="7"/>
      <c r="TAC81" s="21"/>
      <c r="TAD81" s="20"/>
      <c r="TAE81" s="20"/>
      <c r="TAF81" s="20"/>
      <c r="TAG81" s="21"/>
      <c r="TAH81" s="21"/>
      <c r="TAI81" s="21"/>
      <c r="TAJ81" s="21"/>
      <c r="TAK81" s="21"/>
      <c r="TAL81" s="20"/>
      <c r="TAM81" s="20"/>
      <c r="TAN81" s="20"/>
      <c r="TAO81" s="20"/>
      <c r="TAP81" s="21"/>
      <c r="TAQ81" s="21"/>
      <c r="TAR81" s="7"/>
      <c r="TAS81" s="7"/>
      <c r="TAT81" s="21"/>
      <c r="TAU81" s="20"/>
      <c r="TAV81" s="20"/>
      <c r="TAW81" s="20"/>
      <c r="TAX81" s="21"/>
      <c r="TAY81" s="21"/>
      <c r="TAZ81" s="21"/>
      <c r="TBA81" s="21"/>
      <c r="TBB81" s="21"/>
      <c r="TBC81" s="20"/>
      <c r="TBD81" s="20"/>
      <c r="TBE81" s="20"/>
      <c r="TBF81" s="20"/>
      <c r="TBG81" s="21"/>
      <c r="TBH81" s="21"/>
      <c r="TBI81" s="7"/>
      <c r="TBJ81" s="7"/>
      <c r="TBK81" s="21"/>
      <c r="TBL81" s="20"/>
      <c r="TBM81" s="20"/>
      <c r="TBN81" s="20"/>
      <c r="TBO81" s="21"/>
      <c r="TBP81" s="21"/>
      <c r="TBQ81" s="21"/>
      <c r="TBR81" s="21"/>
      <c r="TBS81" s="21"/>
      <c r="TBT81" s="20"/>
      <c r="TBU81" s="20"/>
      <c r="TBV81" s="20"/>
      <c r="TBW81" s="20"/>
      <c r="TBX81" s="21"/>
      <c r="TBY81" s="21"/>
      <c r="TBZ81" s="7"/>
      <c r="TCA81" s="7"/>
      <c r="TCB81" s="21"/>
      <c r="TCC81" s="20"/>
      <c r="TCD81" s="20"/>
      <c r="TCE81" s="20"/>
      <c r="TCF81" s="21"/>
      <c r="TCG81" s="21"/>
      <c r="TCH81" s="21"/>
      <c r="TCI81" s="21"/>
      <c r="TCJ81" s="21"/>
      <c r="TCK81" s="20"/>
      <c r="TCL81" s="20"/>
      <c r="TCM81" s="20"/>
      <c r="TCN81" s="20"/>
      <c r="TCO81" s="21"/>
      <c r="TCP81" s="21"/>
      <c r="TCQ81" s="7"/>
      <c r="TCR81" s="7"/>
      <c r="TCS81" s="21"/>
      <c r="TCT81" s="20"/>
      <c r="TCU81" s="20"/>
      <c r="TCV81" s="20"/>
      <c r="TCW81" s="21"/>
      <c r="TCX81" s="21"/>
      <c r="TCY81" s="21"/>
      <c r="TCZ81" s="21"/>
      <c r="TDA81" s="21"/>
      <c r="TDB81" s="20"/>
      <c r="TDC81" s="20"/>
      <c r="TDD81" s="20"/>
      <c r="TDE81" s="20"/>
      <c r="TDF81" s="21"/>
      <c r="TDG81" s="21"/>
      <c r="TDH81" s="7"/>
      <c r="TDI81" s="7"/>
      <c r="TDJ81" s="21"/>
      <c r="TDK81" s="20"/>
      <c r="TDL81" s="20"/>
      <c r="TDM81" s="20"/>
      <c r="TDN81" s="21"/>
      <c r="TDO81" s="21"/>
      <c r="TDP81" s="21"/>
      <c r="TDQ81" s="21"/>
      <c r="TDR81" s="21"/>
      <c r="TDS81" s="20"/>
      <c r="TDT81" s="20"/>
      <c r="TDU81" s="20"/>
      <c r="TDV81" s="20"/>
      <c r="TDW81" s="21"/>
      <c r="TDX81" s="21"/>
      <c r="TDY81" s="7"/>
      <c r="TDZ81" s="7"/>
      <c r="TEA81" s="21"/>
      <c r="TEB81" s="20"/>
      <c r="TEC81" s="20"/>
      <c r="TED81" s="20"/>
      <c r="TEE81" s="21"/>
      <c r="TEF81" s="21"/>
      <c r="TEG81" s="21"/>
      <c r="TEH81" s="21"/>
      <c r="TEI81" s="21"/>
      <c r="TEJ81" s="20"/>
      <c r="TEK81" s="20"/>
      <c r="TEL81" s="20"/>
      <c r="TEM81" s="20"/>
      <c r="TEN81" s="21"/>
      <c r="TEO81" s="21"/>
      <c r="TEP81" s="7"/>
      <c r="TEQ81" s="7"/>
      <c r="TER81" s="21"/>
      <c r="TES81" s="20"/>
      <c r="TET81" s="20"/>
      <c r="TEU81" s="20"/>
      <c r="TEV81" s="21"/>
      <c r="TEW81" s="21"/>
      <c r="TEX81" s="21"/>
      <c r="TEY81" s="21"/>
      <c r="TEZ81" s="21"/>
      <c r="TFA81" s="20"/>
      <c r="TFB81" s="20"/>
      <c r="TFC81" s="20"/>
      <c r="TFD81" s="20"/>
      <c r="TFE81" s="21"/>
      <c r="TFF81" s="21"/>
      <c r="TFG81" s="7"/>
      <c r="TFH81" s="7"/>
      <c r="TFI81" s="21"/>
      <c r="TFJ81" s="20"/>
      <c r="TFK81" s="20"/>
      <c r="TFL81" s="20"/>
      <c r="TFM81" s="21"/>
      <c r="TFN81" s="21"/>
      <c r="TFO81" s="21"/>
      <c r="TFP81" s="21"/>
      <c r="TFQ81" s="21"/>
      <c r="TFR81" s="20"/>
      <c r="TFS81" s="20"/>
      <c r="TFT81" s="20"/>
      <c r="TFU81" s="20"/>
      <c r="TFV81" s="21"/>
      <c r="TFW81" s="21"/>
      <c r="TFX81" s="7"/>
      <c r="TFY81" s="7"/>
      <c r="TFZ81" s="21"/>
      <c r="TGA81" s="20"/>
      <c r="TGB81" s="20"/>
      <c r="TGC81" s="20"/>
      <c r="TGD81" s="21"/>
      <c r="TGE81" s="21"/>
      <c r="TGF81" s="21"/>
      <c r="TGG81" s="21"/>
      <c r="TGH81" s="21"/>
      <c r="TGI81" s="20"/>
      <c r="TGJ81" s="20"/>
      <c r="TGK81" s="20"/>
      <c r="TGL81" s="20"/>
      <c r="TGM81" s="21"/>
      <c r="TGN81" s="21"/>
      <c r="TGO81" s="7"/>
      <c r="TGP81" s="7"/>
      <c r="TGQ81" s="21"/>
      <c r="TGR81" s="20"/>
      <c r="TGS81" s="20"/>
      <c r="TGT81" s="20"/>
      <c r="TGU81" s="21"/>
      <c r="TGV81" s="21"/>
      <c r="TGW81" s="21"/>
      <c r="TGX81" s="21"/>
      <c r="TGY81" s="21"/>
      <c r="TGZ81" s="20"/>
      <c r="THA81" s="20"/>
      <c r="THB81" s="20"/>
      <c r="THC81" s="20"/>
      <c r="THD81" s="21"/>
      <c r="THE81" s="21"/>
      <c r="THF81" s="7"/>
      <c r="THG81" s="7"/>
      <c r="THH81" s="21"/>
      <c r="THI81" s="20"/>
      <c r="THJ81" s="20"/>
      <c r="THK81" s="20"/>
      <c r="THL81" s="21"/>
      <c r="THM81" s="21"/>
      <c r="THN81" s="21"/>
      <c r="THO81" s="21"/>
      <c r="THP81" s="21"/>
      <c r="THQ81" s="20"/>
      <c r="THR81" s="20"/>
      <c r="THS81" s="20"/>
      <c r="THT81" s="20"/>
      <c r="THU81" s="21"/>
      <c r="THV81" s="21"/>
      <c r="THW81" s="7"/>
      <c r="THX81" s="7"/>
      <c r="THY81" s="21"/>
      <c r="THZ81" s="20"/>
      <c r="TIA81" s="20"/>
      <c r="TIB81" s="20"/>
      <c r="TIC81" s="21"/>
      <c r="TID81" s="21"/>
      <c r="TIE81" s="21"/>
      <c r="TIF81" s="21"/>
      <c r="TIG81" s="21"/>
      <c r="TIH81" s="20"/>
      <c r="TII81" s="20"/>
      <c r="TIJ81" s="20"/>
      <c r="TIK81" s="20"/>
      <c r="TIL81" s="21"/>
      <c r="TIM81" s="21"/>
      <c r="TIN81" s="7"/>
      <c r="TIO81" s="7"/>
      <c r="TIP81" s="21"/>
      <c r="TIQ81" s="20"/>
      <c r="TIR81" s="20"/>
      <c r="TIS81" s="20"/>
      <c r="TIT81" s="21"/>
      <c r="TIU81" s="21"/>
      <c r="TIV81" s="21"/>
      <c r="TIW81" s="21"/>
      <c r="TIX81" s="21"/>
      <c r="TIY81" s="20"/>
      <c r="TIZ81" s="20"/>
      <c r="TJA81" s="20"/>
      <c r="TJB81" s="20"/>
      <c r="TJC81" s="21"/>
      <c r="TJD81" s="21"/>
      <c r="TJE81" s="7"/>
      <c r="TJF81" s="7"/>
      <c r="TJG81" s="21"/>
      <c r="TJH81" s="20"/>
      <c r="TJI81" s="20"/>
      <c r="TJJ81" s="20"/>
      <c r="TJK81" s="21"/>
      <c r="TJL81" s="21"/>
      <c r="TJM81" s="21"/>
      <c r="TJN81" s="21"/>
      <c r="TJO81" s="21"/>
      <c r="TJP81" s="20"/>
      <c r="TJQ81" s="20"/>
      <c r="TJR81" s="20"/>
      <c r="TJS81" s="20"/>
      <c r="TJT81" s="21"/>
      <c r="TJU81" s="21"/>
      <c r="TJV81" s="7"/>
      <c r="TJW81" s="7"/>
      <c r="TJX81" s="21"/>
      <c r="TJY81" s="20"/>
      <c r="TJZ81" s="20"/>
      <c r="TKA81" s="20"/>
      <c r="TKB81" s="21"/>
      <c r="TKC81" s="21"/>
      <c r="TKD81" s="21"/>
      <c r="TKE81" s="21"/>
      <c r="TKF81" s="21"/>
      <c r="TKG81" s="20"/>
      <c r="TKH81" s="20"/>
      <c r="TKI81" s="20"/>
      <c r="TKJ81" s="20"/>
      <c r="TKK81" s="21"/>
      <c r="TKL81" s="21"/>
      <c r="TKM81" s="7"/>
      <c r="TKN81" s="7"/>
      <c r="TKO81" s="21"/>
      <c r="TKP81" s="20"/>
      <c r="TKQ81" s="20"/>
      <c r="TKR81" s="20"/>
      <c r="TKS81" s="21"/>
      <c r="TKT81" s="21"/>
      <c r="TKU81" s="21"/>
      <c r="TKV81" s="21"/>
      <c r="TKW81" s="21"/>
      <c r="TKX81" s="20"/>
      <c r="TKY81" s="20"/>
      <c r="TKZ81" s="20"/>
      <c r="TLA81" s="20"/>
      <c r="TLB81" s="21"/>
      <c r="TLC81" s="21"/>
      <c r="TLD81" s="7"/>
      <c r="TLE81" s="7"/>
      <c r="TLF81" s="21"/>
      <c r="TLG81" s="20"/>
      <c r="TLH81" s="20"/>
      <c r="TLI81" s="20"/>
      <c r="TLJ81" s="21"/>
      <c r="TLK81" s="21"/>
      <c r="TLL81" s="21"/>
      <c r="TLM81" s="21"/>
      <c r="TLN81" s="21"/>
      <c r="TLO81" s="20"/>
      <c r="TLP81" s="20"/>
      <c r="TLQ81" s="20"/>
      <c r="TLR81" s="20"/>
      <c r="TLS81" s="21"/>
      <c r="TLT81" s="21"/>
      <c r="TLU81" s="7"/>
      <c r="TLV81" s="7"/>
      <c r="TLW81" s="21"/>
      <c r="TLX81" s="20"/>
      <c r="TLY81" s="20"/>
      <c r="TLZ81" s="20"/>
      <c r="TMA81" s="21"/>
      <c r="TMB81" s="21"/>
      <c r="TMC81" s="21"/>
      <c r="TMD81" s="21"/>
      <c r="TME81" s="21"/>
      <c r="TMF81" s="20"/>
      <c r="TMG81" s="20"/>
      <c r="TMH81" s="20"/>
      <c r="TMI81" s="20"/>
      <c r="TMJ81" s="21"/>
      <c r="TMK81" s="21"/>
      <c r="TML81" s="7"/>
      <c r="TMM81" s="7"/>
      <c r="TMN81" s="21"/>
      <c r="TMO81" s="20"/>
      <c r="TMP81" s="20"/>
      <c r="TMQ81" s="20"/>
      <c r="TMR81" s="21"/>
      <c r="TMS81" s="21"/>
      <c r="TMT81" s="21"/>
      <c r="TMU81" s="21"/>
      <c r="TMV81" s="21"/>
      <c r="TMW81" s="20"/>
      <c r="TMX81" s="20"/>
      <c r="TMY81" s="20"/>
      <c r="TMZ81" s="20"/>
      <c r="TNA81" s="21"/>
      <c r="TNB81" s="21"/>
      <c r="TNC81" s="7"/>
      <c r="TND81" s="7"/>
      <c r="TNE81" s="21"/>
      <c r="TNF81" s="20"/>
      <c r="TNG81" s="20"/>
      <c r="TNH81" s="20"/>
      <c r="TNI81" s="21"/>
      <c r="TNJ81" s="21"/>
      <c r="TNK81" s="21"/>
      <c r="TNL81" s="21"/>
      <c r="TNM81" s="21"/>
      <c r="TNN81" s="20"/>
      <c r="TNO81" s="20"/>
      <c r="TNP81" s="20"/>
      <c r="TNQ81" s="20"/>
      <c r="TNR81" s="21"/>
      <c r="TNS81" s="21"/>
      <c r="TNT81" s="7"/>
      <c r="TNU81" s="7"/>
      <c r="TNV81" s="21"/>
      <c r="TNW81" s="20"/>
      <c r="TNX81" s="20"/>
      <c r="TNY81" s="20"/>
      <c r="TNZ81" s="21"/>
      <c r="TOA81" s="21"/>
      <c r="TOB81" s="21"/>
      <c r="TOC81" s="21"/>
      <c r="TOD81" s="21"/>
      <c r="TOE81" s="20"/>
      <c r="TOF81" s="20"/>
      <c r="TOG81" s="20"/>
      <c r="TOH81" s="20"/>
      <c r="TOI81" s="21"/>
      <c r="TOJ81" s="21"/>
      <c r="TOK81" s="7"/>
      <c r="TOL81" s="7"/>
      <c r="TOM81" s="21"/>
      <c r="TON81" s="20"/>
      <c r="TOO81" s="20"/>
      <c r="TOP81" s="20"/>
      <c r="TOQ81" s="21"/>
      <c r="TOR81" s="21"/>
      <c r="TOS81" s="21"/>
      <c r="TOT81" s="21"/>
      <c r="TOU81" s="21"/>
      <c r="TOV81" s="20"/>
      <c r="TOW81" s="20"/>
      <c r="TOX81" s="20"/>
      <c r="TOY81" s="20"/>
      <c r="TOZ81" s="21"/>
      <c r="TPA81" s="21"/>
      <c r="TPB81" s="7"/>
      <c r="TPC81" s="7"/>
      <c r="TPD81" s="21"/>
      <c r="TPE81" s="20"/>
      <c r="TPF81" s="20"/>
      <c r="TPG81" s="20"/>
      <c r="TPH81" s="21"/>
      <c r="TPI81" s="21"/>
      <c r="TPJ81" s="21"/>
      <c r="TPK81" s="21"/>
      <c r="TPL81" s="21"/>
      <c r="TPM81" s="20"/>
      <c r="TPN81" s="20"/>
      <c r="TPO81" s="20"/>
      <c r="TPP81" s="20"/>
      <c r="TPQ81" s="21"/>
      <c r="TPR81" s="21"/>
      <c r="TPS81" s="7"/>
      <c r="TPT81" s="7"/>
      <c r="TPU81" s="21"/>
      <c r="TPV81" s="20"/>
      <c r="TPW81" s="20"/>
      <c r="TPX81" s="20"/>
      <c r="TPY81" s="21"/>
      <c r="TPZ81" s="21"/>
      <c r="TQA81" s="21"/>
      <c r="TQB81" s="21"/>
      <c r="TQC81" s="21"/>
      <c r="TQD81" s="20"/>
      <c r="TQE81" s="20"/>
      <c r="TQF81" s="20"/>
      <c r="TQG81" s="20"/>
      <c r="TQH81" s="21"/>
      <c r="TQI81" s="21"/>
      <c r="TQJ81" s="7"/>
      <c r="TQK81" s="7"/>
      <c r="TQL81" s="21"/>
      <c r="TQM81" s="20"/>
      <c r="TQN81" s="20"/>
      <c r="TQO81" s="20"/>
      <c r="TQP81" s="21"/>
      <c r="TQQ81" s="21"/>
      <c r="TQR81" s="21"/>
      <c r="TQS81" s="21"/>
      <c r="TQT81" s="21"/>
      <c r="TQU81" s="20"/>
      <c r="TQV81" s="20"/>
      <c r="TQW81" s="20"/>
      <c r="TQX81" s="20"/>
      <c r="TQY81" s="21"/>
      <c r="TQZ81" s="21"/>
      <c r="TRA81" s="7"/>
      <c r="TRB81" s="7"/>
      <c r="TRC81" s="21"/>
      <c r="TRD81" s="20"/>
      <c r="TRE81" s="20"/>
      <c r="TRF81" s="20"/>
      <c r="TRG81" s="21"/>
      <c r="TRH81" s="21"/>
      <c r="TRI81" s="21"/>
      <c r="TRJ81" s="21"/>
      <c r="TRK81" s="21"/>
      <c r="TRL81" s="20"/>
      <c r="TRM81" s="20"/>
      <c r="TRN81" s="20"/>
      <c r="TRO81" s="20"/>
      <c r="TRP81" s="21"/>
      <c r="TRQ81" s="21"/>
      <c r="TRR81" s="7"/>
      <c r="TRS81" s="7"/>
      <c r="TRT81" s="21"/>
      <c r="TRU81" s="20"/>
      <c r="TRV81" s="20"/>
      <c r="TRW81" s="20"/>
      <c r="TRX81" s="21"/>
      <c r="TRY81" s="21"/>
      <c r="TRZ81" s="21"/>
      <c r="TSA81" s="21"/>
      <c r="TSB81" s="21"/>
      <c r="TSC81" s="20"/>
      <c r="TSD81" s="20"/>
      <c r="TSE81" s="20"/>
      <c r="TSF81" s="20"/>
      <c r="TSG81" s="21"/>
      <c r="TSH81" s="21"/>
      <c r="TSI81" s="7"/>
      <c r="TSJ81" s="7"/>
      <c r="TSK81" s="21"/>
      <c r="TSL81" s="20"/>
      <c r="TSM81" s="20"/>
      <c r="TSN81" s="20"/>
      <c r="TSO81" s="21"/>
      <c r="TSP81" s="21"/>
      <c r="TSQ81" s="21"/>
      <c r="TSR81" s="21"/>
      <c r="TSS81" s="21"/>
      <c r="TST81" s="20"/>
      <c r="TSU81" s="20"/>
      <c r="TSV81" s="20"/>
      <c r="TSW81" s="20"/>
      <c r="TSX81" s="21"/>
      <c r="TSY81" s="21"/>
      <c r="TSZ81" s="7"/>
      <c r="TTA81" s="7"/>
      <c r="TTB81" s="21"/>
      <c r="TTC81" s="20"/>
      <c r="TTD81" s="20"/>
      <c r="TTE81" s="20"/>
      <c r="TTF81" s="21"/>
      <c r="TTG81" s="21"/>
      <c r="TTH81" s="21"/>
      <c r="TTI81" s="21"/>
      <c r="TTJ81" s="21"/>
      <c r="TTK81" s="20"/>
      <c r="TTL81" s="20"/>
      <c r="TTM81" s="20"/>
      <c r="TTN81" s="20"/>
      <c r="TTO81" s="21"/>
      <c r="TTP81" s="21"/>
      <c r="TTQ81" s="7"/>
      <c r="TTR81" s="7"/>
      <c r="TTS81" s="21"/>
      <c r="TTT81" s="20"/>
      <c r="TTU81" s="20"/>
      <c r="TTV81" s="20"/>
      <c r="TTW81" s="21"/>
      <c r="TTX81" s="21"/>
      <c r="TTY81" s="21"/>
      <c r="TTZ81" s="21"/>
      <c r="TUA81" s="21"/>
      <c r="TUB81" s="20"/>
      <c r="TUC81" s="20"/>
      <c r="TUD81" s="20"/>
      <c r="TUE81" s="20"/>
      <c r="TUF81" s="21"/>
      <c r="TUG81" s="21"/>
      <c r="TUH81" s="7"/>
      <c r="TUI81" s="7"/>
      <c r="TUJ81" s="21"/>
      <c r="TUK81" s="20"/>
      <c r="TUL81" s="20"/>
      <c r="TUM81" s="20"/>
      <c r="TUN81" s="21"/>
      <c r="TUO81" s="21"/>
      <c r="TUP81" s="21"/>
      <c r="TUQ81" s="21"/>
      <c r="TUR81" s="21"/>
      <c r="TUS81" s="20"/>
      <c r="TUT81" s="20"/>
      <c r="TUU81" s="20"/>
      <c r="TUV81" s="20"/>
      <c r="TUW81" s="21"/>
      <c r="TUX81" s="21"/>
      <c r="TUY81" s="7"/>
      <c r="TUZ81" s="7"/>
      <c r="TVA81" s="21"/>
      <c r="TVB81" s="20"/>
      <c r="TVC81" s="20"/>
      <c r="TVD81" s="20"/>
      <c r="TVE81" s="21"/>
      <c r="TVF81" s="21"/>
      <c r="TVG81" s="21"/>
      <c r="TVH81" s="21"/>
      <c r="TVI81" s="21"/>
      <c r="TVJ81" s="20"/>
      <c r="TVK81" s="20"/>
      <c r="TVL81" s="20"/>
      <c r="TVM81" s="20"/>
      <c r="TVN81" s="21"/>
      <c r="TVO81" s="21"/>
      <c r="TVP81" s="7"/>
      <c r="TVQ81" s="7"/>
      <c r="TVR81" s="21"/>
      <c r="TVS81" s="20"/>
      <c r="TVT81" s="20"/>
      <c r="TVU81" s="20"/>
      <c r="TVV81" s="21"/>
      <c r="TVW81" s="21"/>
      <c r="TVX81" s="21"/>
      <c r="TVY81" s="21"/>
      <c r="TVZ81" s="21"/>
      <c r="TWA81" s="20"/>
      <c r="TWB81" s="20"/>
      <c r="TWC81" s="20"/>
      <c r="TWD81" s="20"/>
      <c r="TWE81" s="21"/>
      <c r="TWF81" s="21"/>
      <c r="TWG81" s="7"/>
      <c r="TWH81" s="7"/>
      <c r="TWI81" s="21"/>
      <c r="TWJ81" s="20"/>
      <c r="TWK81" s="20"/>
      <c r="TWL81" s="20"/>
      <c r="TWM81" s="21"/>
      <c r="TWN81" s="21"/>
      <c r="TWO81" s="21"/>
      <c r="TWP81" s="21"/>
      <c r="TWQ81" s="21"/>
      <c r="TWR81" s="20"/>
      <c r="TWS81" s="20"/>
      <c r="TWT81" s="20"/>
      <c r="TWU81" s="20"/>
      <c r="TWV81" s="21"/>
      <c r="TWW81" s="21"/>
      <c r="TWX81" s="7"/>
      <c r="TWY81" s="7"/>
      <c r="TWZ81" s="21"/>
      <c r="TXA81" s="20"/>
      <c r="TXB81" s="20"/>
      <c r="TXC81" s="20"/>
      <c r="TXD81" s="21"/>
      <c r="TXE81" s="21"/>
      <c r="TXF81" s="21"/>
      <c r="TXG81" s="21"/>
      <c r="TXH81" s="21"/>
      <c r="TXI81" s="20"/>
      <c r="TXJ81" s="20"/>
      <c r="TXK81" s="20"/>
      <c r="TXL81" s="20"/>
      <c r="TXM81" s="21"/>
      <c r="TXN81" s="21"/>
      <c r="TXO81" s="7"/>
      <c r="TXP81" s="7"/>
      <c r="TXQ81" s="21"/>
      <c r="TXR81" s="20"/>
      <c r="TXS81" s="20"/>
      <c r="TXT81" s="20"/>
      <c r="TXU81" s="21"/>
      <c r="TXV81" s="21"/>
      <c r="TXW81" s="21"/>
      <c r="TXX81" s="21"/>
      <c r="TXY81" s="21"/>
      <c r="TXZ81" s="20"/>
      <c r="TYA81" s="20"/>
      <c r="TYB81" s="20"/>
      <c r="TYC81" s="20"/>
      <c r="TYD81" s="21"/>
      <c r="TYE81" s="21"/>
      <c r="TYF81" s="7"/>
      <c r="TYG81" s="7"/>
      <c r="TYH81" s="21"/>
      <c r="TYI81" s="20"/>
      <c r="TYJ81" s="20"/>
      <c r="TYK81" s="20"/>
      <c r="TYL81" s="21"/>
      <c r="TYM81" s="21"/>
      <c r="TYN81" s="21"/>
      <c r="TYO81" s="21"/>
      <c r="TYP81" s="21"/>
      <c r="TYQ81" s="20"/>
      <c r="TYR81" s="20"/>
      <c r="TYS81" s="20"/>
      <c r="TYT81" s="20"/>
      <c r="TYU81" s="21"/>
      <c r="TYV81" s="21"/>
      <c r="TYW81" s="7"/>
      <c r="TYX81" s="7"/>
      <c r="TYY81" s="21"/>
      <c r="TYZ81" s="20"/>
      <c r="TZA81" s="20"/>
      <c r="TZB81" s="20"/>
      <c r="TZC81" s="21"/>
      <c r="TZD81" s="21"/>
      <c r="TZE81" s="21"/>
      <c r="TZF81" s="21"/>
      <c r="TZG81" s="21"/>
      <c r="TZH81" s="20"/>
      <c r="TZI81" s="20"/>
      <c r="TZJ81" s="20"/>
      <c r="TZK81" s="20"/>
      <c r="TZL81" s="21"/>
      <c r="TZM81" s="21"/>
      <c r="TZN81" s="7"/>
      <c r="TZO81" s="7"/>
      <c r="TZP81" s="21"/>
      <c r="TZQ81" s="20"/>
      <c r="TZR81" s="20"/>
      <c r="TZS81" s="20"/>
      <c r="TZT81" s="21"/>
      <c r="TZU81" s="21"/>
      <c r="TZV81" s="21"/>
      <c r="TZW81" s="21"/>
      <c r="TZX81" s="21"/>
      <c r="TZY81" s="20"/>
      <c r="TZZ81" s="20"/>
      <c r="UAA81" s="20"/>
      <c r="UAB81" s="20"/>
      <c r="UAC81" s="21"/>
      <c r="UAD81" s="21"/>
      <c r="UAE81" s="7"/>
      <c r="UAF81" s="7"/>
      <c r="UAG81" s="21"/>
      <c r="UAH81" s="20"/>
      <c r="UAI81" s="20"/>
      <c r="UAJ81" s="20"/>
      <c r="UAK81" s="21"/>
      <c r="UAL81" s="21"/>
      <c r="UAM81" s="21"/>
      <c r="UAN81" s="21"/>
      <c r="UAO81" s="21"/>
      <c r="UAP81" s="20"/>
      <c r="UAQ81" s="20"/>
      <c r="UAR81" s="20"/>
      <c r="UAS81" s="20"/>
      <c r="UAT81" s="21"/>
      <c r="UAU81" s="21"/>
      <c r="UAV81" s="7"/>
      <c r="UAW81" s="7"/>
      <c r="UAX81" s="21"/>
      <c r="UAY81" s="20"/>
      <c r="UAZ81" s="20"/>
      <c r="UBA81" s="20"/>
      <c r="UBB81" s="21"/>
      <c r="UBC81" s="21"/>
      <c r="UBD81" s="21"/>
      <c r="UBE81" s="21"/>
      <c r="UBF81" s="21"/>
      <c r="UBG81" s="20"/>
      <c r="UBH81" s="20"/>
      <c r="UBI81" s="20"/>
      <c r="UBJ81" s="20"/>
      <c r="UBK81" s="21"/>
      <c r="UBL81" s="21"/>
      <c r="UBM81" s="7"/>
      <c r="UBN81" s="7"/>
      <c r="UBO81" s="21"/>
      <c r="UBP81" s="20"/>
      <c r="UBQ81" s="20"/>
      <c r="UBR81" s="20"/>
      <c r="UBS81" s="21"/>
      <c r="UBT81" s="21"/>
      <c r="UBU81" s="21"/>
      <c r="UBV81" s="21"/>
      <c r="UBW81" s="21"/>
      <c r="UBX81" s="20"/>
      <c r="UBY81" s="20"/>
      <c r="UBZ81" s="20"/>
      <c r="UCA81" s="20"/>
      <c r="UCB81" s="21"/>
      <c r="UCC81" s="21"/>
      <c r="UCD81" s="7"/>
      <c r="UCE81" s="7"/>
      <c r="UCF81" s="21"/>
      <c r="UCG81" s="20"/>
      <c r="UCH81" s="20"/>
      <c r="UCI81" s="20"/>
      <c r="UCJ81" s="21"/>
      <c r="UCK81" s="21"/>
      <c r="UCL81" s="21"/>
      <c r="UCM81" s="21"/>
      <c r="UCN81" s="21"/>
      <c r="UCO81" s="20"/>
      <c r="UCP81" s="20"/>
      <c r="UCQ81" s="20"/>
      <c r="UCR81" s="20"/>
      <c r="UCS81" s="21"/>
      <c r="UCT81" s="21"/>
      <c r="UCU81" s="7"/>
      <c r="UCV81" s="7"/>
      <c r="UCW81" s="21"/>
      <c r="UCX81" s="20"/>
      <c r="UCY81" s="20"/>
      <c r="UCZ81" s="20"/>
      <c r="UDA81" s="21"/>
      <c r="UDB81" s="21"/>
      <c r="UDC81" s="21"/>
      <c r="UDD81" s="21"/>
      <c r="UDE81" s="21"/>
      <c r="UDF81" s="20"/>
      <c r="UDG81" s="20"/>
      <c r="UDH81" s="20"/>
      <c r="UDI81" s="20"/>
      <c r="UDJ81" s="21"/>
      <c r="UDK81" s="21"/>
      <c r="UDL81" s="7"/>
      <c r="UDM81" s="7"/>
      <c r="UDN81" s="21"/>
      <c r="UDO81" s="20"/>
      <c r="UDP81" s="20"/>
      <c r="UDQ81" s="20"/>
      <c r="UDR81" s="21"/>
      <c r="UDS81" s="21"/>
      <c r="UDT81" s="21"/>
      <c r="UDU81" s="21"/>
      <c r="UDV81" s="21"/>
      <c r="UDW81" s="20"/>
      <c r="UDX81" s="20"/>
      <c r="UDY81" s="20"/>
      <c r="UDZ81" s="20"/>
      <c r="UEA81" s="21"/>
      <c r="UEB81" s="21"/>
      <c r="UEC81" s="7"/>
      <c r="UED81" s="7"/>
      <c r="UEE81" s="21"/>
      <c r="UEF81" s="20"/>
      <c r="UEG81" s="20"/>
      <c r="UEH81" s="20"/>
      <c r="UEI81" s="21"/>
      <c r="UEJ81" s="21"/>
      <c r="UEK81" s="21"/>
      <c r="UEL81" s="21"/>
      <c r="UEM81" s="21"/>
      <c r="UEN81" s="20"/>
      <c r="UEO81" s="20"/>
      <c r="UEP81" s="20"/>
      <c r="UEQ81" s="20"/>
      <c r="UER81" s="21"/>
      <c r="UES81" s="21"/>
      <c r="UET81" s="7"/>
      <c r="UEU81" s="7"/>
      <c r="UEV81" s="21"/>
      <c r="UEW81" s="20"/>
      <c r="UEX81" s="20"/>
      <c r="UEY81" s="20"/>
      <c r="UEZ81" s="21"/>
      <c r="UFA81" s="21"/>
      <c r="UFB81" s="21"/>
      <c r="UFC81" s="21"/>
      <c r="UFD81" s="21"/>
      <c r="UFE81" s="20"/>
      <c r="UFF81" s="20"/>
      <c r="UFG81" s="20"/>
      <c r="UFH81" s="20"/>
      <c r="UFI81" s="21"/>
      <c r="UFJ81" s="21"/>
      <c r="UFK81" s="7"/>
      <c r="UFL81" s="7"/>
      <c r="UFM81" s="21"/>
      <c r="UFN81" s="20"/>
      <c r="UFO81" s="20"/>
      <c r="UFP81" s="20"/>
      <c r="UFQ81" s="21"/>
      <c r="UFR81" s="21"/>
      <c r="UFS81" s="21"/>
      <c r="UFT81" s="21"/>
      <c r="UFU81" s="21"/>
      <c r="UFV81" s="20"/>
      <c r="UFW81" s="20"/>
      <c r="UFX81" s="20"/>
      <c r="UFY81" s="20"/>
      <c r="UFZ81" s="21"/>
      <c r="UGA81" s="21"/>
      <c r="UGB81" s="7"/>
      <c r="UGC81" s="7"/>
      <c r="UGD81" s="21"/>
      <c r="UGE81" s="20"/>
      <c r="UGF81" s="20"/>
      <c r="UGG81" s="20"/>
      <c r="UGH81" s="21"/>
      <c r="UGI81" s="21"/>
      <c r="UGJ81" s="21"/>
      <c r="UGK81" s="21"/>
      <c r="UGL81" s="21"/>
      <c r="UGM81" s="20"/>
      <c r="UGN81" s="20"/>
      <c r="UGO81" s="20"/>
      <c r="UGP81" s="20"/>
      <c r="UGQ81" s="21"/>
      <c r="UGR81" s="21"/>
      <c r="UGS81" s="7"/>
      <c r="UGT81" s="7"/>
      <c r="UGU81" s="21"/>
      <c r="UGV81" s="20"/>
      <c r="UGW81" s="20"/>
      <c r="UGX81" s="20"/>
      <c r="UGY81" s="21"/>
      <c r="UGZ81" s="21"/>
      <c r="UHA81" s="21"/>
      <c r="UHB81" s="21"/>
      <c r="UHC81" s="21"/>
      <c r="UHD81" s="20"/>
      <c r="UHE81" s="20"/>
      <c r="UHF81" s="20"/>
      <c r="UHG81" s="20"/>
      <c r="UHH81" s="21"/>
      <c r="UHI81" s="21"/>
      <c r="UHJ81" s="7"/>
      <c r="UHK81" s="7"/>
      <c r="UHL81" s="21"/>
      <c r="UHM81" s="20"/>
      <c r="UHN81" s="20"/>
      <c r="UHO81" s="20"/>
      <c r="UHP81" s="21"/>
      <c r="UHQ81" s="21"/>
      <c r="UHR81" s="21"/>
      <c r="UHS81" s="21"/>
      <c r="UHT81" s="21"/>
      <c r="UHU81" s="20"/>
      <c r="UHV81" s="20"/>
      <c r="UHW81" s="20"/>
      <c r="UHX81" s="20"/>
      <c r="UHY81" s="21"/>
      <c r="UHZ81" s="21"/>
      <c r="UIA81" s="7"/>
      <c r="UIB81" s="7"/>
      <c r="UIC81" s="21"/>
      <c r="UID81" s="20"/>
      <c r="UIE81" s="20"/>
      <c r="UIF81" s="20"/>
      <c r="UIG81" s="21"/>
      <c r="UIH81" s="21"/>
      <c r="UII81" s="21"/>
      <c r="UIJ81" s="21"/>
      <c r="UIK81" s="21"/>
      <c r="UIL81" s="20"/>
      <c r="UIM81" s="20"/>
      <c r="UIN81" s="20"/>
      <c r="UIO81" s="20"/>
      <c r="UIP81" s="21"/>
      <c r="UIQ81" s="21"/>
      <c r="UIR81" s="7"/>
      <c r="UIS81" s="7"/>
      <c r="UIT81" s="21"/>
      <c r="UIU81" s="20"/>
      <c r="UIV81" s="20"/>
      <c r="UIW81" s="20"/>
      <c r="UIX81" s="21"/>
      <c r="UIY81" s="21"/>
      <c r="UIZ81" s="21"/>
      <c r="UJA81" s="21"/>
      <c r="UJB81" s="21"/>
      <c r="UJC81" s="20"/>
      <c r="UJD81" s="20"/>
      <c r="UJE81" s="20"/>
      <c r="UJF81" s="20"/>
      <c r="UJG81" s="21"/>
      <c r="UJH81" s="21"/>
      <c r="UJI81" s="7"/>
      <c r="UJJ81" s="7"/>
      <c r="UJK81" s="21"/>
      <c r="UJL81" s="20"/>
      <c r="UJM81" s="20"/>
      <c r="UJN81" s="20"/>
      <c r="UJO81" s="21"/>
      <c r="UJP81" s="21"/>
      <c r="UJQ81" s="21"/>
      <c r="UJR81" s="21"/>
      <c r="UJS81" s="21"/>
      <c r="UJT81" s="20"/>
      <c r="UJU81" s="20"/>
      <c r="UJV81" s="20"/>
      <c r="UJW81" s="20"/>
      <c r="UJX81" s="21"/>
      <c r="UJY81" s="21"/>
      <c r="UJZ81" s="7"/>
      <c r="UKA81" s="7"/>
      <c r="UKB81" s="21"/>
      <c r="UKC81" s="20"/>
      <c r="UKD81" s="20"/>
      <c r="UKE81" s="20"/>
      <c r="UKF81" s="21"/>
      <c r="UKG81" s="21"/>
      <c r="UKH81" s="21"/>
      <c r="UKI81" s="21"/>
      <c r="UKJ81" s="21"/>
      <c r="UKK81" s="20"/>
      <c r="UKL81" s="20"/>
      <c r="UKM81" s="20"/>
      <c r="UKN81" s="20"/>
      <c r="UKO81" s="21"/>
      <c r="UKP81" s="21"/>
      <c r="UKQ81" s="7"/>
      <c r="UKR81" s="7"/>
      <c r="UKS81" s="21"/>
      <c r="UKT81" s="20"/>
      <c r="UKU81" s="20"/>
      <c r="UKV81" s="20"/>
      <c r="UKW81" s="21"/>
      <c r="UKX81" s="21"/>
      <c r="UKY81" s="21"/>
      <c r="UKZ81" s="21"/>
      <c r="ULA81" s="21"/>
      <c r="ULB81" s="20"/>
      <c r="ULC81" s="20"/>
      <c r="ULD81" s="20"/>
      <c r="ULE81" s="20"/>
      <c r="ULF81" s="21"/>
      <c r="ULG81" s="21"/>
      <c r="ULH81" s="7"/>
      <c r="ULI81" s="7"/>
      <c r="ULJ81" s="21"/>
      <c r="ULK81" s="20"/>
      <c r="ULL81" s="20"/>
      <c r="ULM81" s="20"/>
      <c r="ULN81" s="21"/>
      <c r="ULO81" s="21"/>
      <c r="ULP81" s="21"/>
      <c r="ULQ81" s="21"/>
      <c r="ULR81" s="21"/>
      <c r="ULS81" s="20"/>
      <c r="ULT81" s="20"/>
      <c r="ULU81" s="20"/>
      <c r="ULV81" s="20"/>
      <c r="ULW81" s="21"/>
      <c r="ULX81" s="21"/>
      <c r="ULY81" s="7"/>
      <c r="ULZ81" s="7"/>
      <c r="UMA81" s="21"/>
      <c r="UMB81" s="20"/>
      <c r="UMC81" s="20"/>
      <c r="UMD81" s="20"/>
      <c r="UME81" s="21"/>
      <c r="UMF81" s="21"/>
      <c r="UMG81" s="21"/>
      <c r="UMH81" s="21"/>
      <c r="UMI81" s="21"/>
      <c r="UMJ81" s="20"/>
      <c r="UMK81" s="20"/>
      <c r="UML81" s="20"/>
      <c r="UMM81" s="20"/>
      <c r="UMN81" s="21"/>
      <c r="UMO81" s="21"/>
      <c r="UMP81" s="7"/>
      <c r="UMQ81" s="7"/>
      <c r="UMR81" s="21"/>
      <c r="UMS81" s="20"/>
      <c r="UMT81" s="20"/>
      <c r="UMU81" s="20"/>
      <c r="UMV81" s="21"/>
      <c r="UMW81" s="21"/>
      <c r="UMX81" s="21"/>
      <c r="UMY81" s="21"/>
      <c r="UMZ81" s="21"/>
      <c r="UNA81" s="20"/>
      <c r="UNB81" s="20"/>
      <c r="UNC81" s="20"/>
      <c r="UND81" s="20"/>
      <c r="UNE81" s="21"/>
      <c r="UNF81" s="21"/>
      <c r="UNG81" s="7"/>
      <c r="UNH81" s="7"/>
      <c r="UNI81" s="21"/>
      <c r="UNJ81" s="20"/>
      <c r="UNK81" s="20"/>
      <c r="UNL81" s="20"/>
      <c r="UNM81" s="21"/>
      <c r="UNN81" s="21"/>
      <c r="UNO81" s="21"/>
      <c r="UNP81" s="21"/>
      <c r="UNQ81" s="21"/>
      <c r="UNR81" s="20"/>
      <c r="UNS81" s="20"/>
      <c r="UNT81" s="20"/>
      <c r="UNU81" s="20"/>
      <c r="UNV81" s="21"/>
      <c r="UNW81" s="21"/>
      <c r="UNX81" s="7"/>
      <c r="UNY81" s="7"/>
      <c r="UNZ81" s="21"/>
      <c r="UOA81" s="20"/>
      <c r="UOB81" s="20"/>
      <c r="UOC81" s="20"/>
      <c r="UOD81" s="21"/>
      <c r="UOE81" s="21"/>
      <c r="UOF81" s="21"/>
      <c r="UOG81" s="21"/>
      <c r="UOH81" s="21"/>
      <c r="UOI81" s="20"/>
      <c r="UOJ81" s="20"/>
      <c r="UOK81" s="20"/>
      <c r="UOL81" s="20"/>
      <c r="UOM81" s="21"/>
      <c r="UON81" s="21"/>
      <c r="UOO81" s="7"/>
      <c r="UOP81" s="7"/>
      <c r="UOQ81" s="21"/>
      <c r="UOR81" s="20"/>
      <c r="UOS81" s="20"/>
      <c r="UOT81" s="20"/>
      <c r="UOU81" s="21"/>
      <c r="UOV81" s="21"/>
      <c r="UOW81" s="21"/>
      <c r="UOX81" s="21"/>
      <c r="UOY81" s="21"/>
      <c r="UOZ81" s="20"/>
      <c r="UPA81" s="20"/>
      <c r="UPB81" s="20"/>
      <c r="UPC81" s="20"/>
      <c r="UPD81" s="21"/>
      <c r="UPE81" s="21"/>
      <c r="UPF81" s="7"/>
      <c r="UPG81" s="7"/>
      <c r="UPH81" s="21"/>
      <c r="UPI81" s="20"/>
      <c r="UPJ81" s="20"/>
      <c r="UPK81" s="20"/>
      <c r="UPL81" s="21"/>
      <c r="UPM81" s="21"/>
      <c r="UPN81" s="21"/>
      <c r="UPO81" s="21"/>
      <c r="UPP81" s="21"/>
      <c r="UPQ81" s="20"/>
      <c r="UPR81" s="20"/>
      <c r="UPS81" s="20"/>
      <c r="UPT81" s="20"/>
      <c r="UPU81" s="21"/>
      <c r="UPV81" s="21"/>
      <c r="UPW81" s="7"/>
      <c r="UPX81" s="7"/>
      <c r="UPY81" s="21"/>
      <c r="UPZ81" s="20"/>
      <c r="UQA81" s="20"/>
      <c r="UQB81" s="20"/>
      <c r="UQC81" s="21"/>
      <c r="UQD81" s="21"/>
      <c r="UQE81" s="21"/>
      <c r="UQF81" s="21"/>
      <c r="UQG81" s="21"/>
      <c r="UQH81" s="20"/>
      <c r="UQI81" s="20"/>
      <c r="UQJ81" s="20"/>
      <c r="UQK81" s="20"/>
      <c r="UQL81" s="21"/>
      <c r="UQM81" s="21"/>
      <c r="UQN81" s="7"/>
      <c r="UQO81" s="7"/>
      <c r="UQP81" s="21"/>
      <c r="UQQ81" s="20"/>
      <c r="UQR81" s="20"/>
      <c r="UQS81" s="20"/>
      <c r="UQT81" s="21"/>
      <c r="UQU81" s="21"/>
      <c r="UQV81" s="21"/>
      <c r="UQW81" s="21"/>
      <c r="UQX81" s="21"/>
      <c r="UQY81" s="20"/>
      <c r="UQZ81" s="20"/>
      <c r="URA81" s="20"/>
      <c r="URB81" s="20"/>
      <c r="URC81" s="21"/>
      <c r="URD81" s="21"/>
      <c r="URE81" s="7"/>
      <c r="URF81" s="7"/>
      <c r="URG81" s="21"/>
      <c r="URH81" s="20"/>
      <c r="URI81" s="20"/>
      <c r="URJ81" s="20"/>
      <c r="URK81" s="21"/>
      <c r="URL81" s="21"/>
      <c r="URM81" s="21"/>
      <c r="URN81" s="21"/>
      <c r="URO81" s="21"/>
      <c r="URP81" s="20"/>
      <c r="URQ81" s="20"/>
      <c r="URR81" s="20"/>
      <c r="URS81" s="20"/>
      <c r="URT81" s="21"/>
      <c r="URU81" s="21"/>
      <c r="URV81" s="7"/>
      <c r="URW81" s="7"/>
      <c r="URX81" s="21"/>
      <c r="URY81" s="20"/>
      <c r="URZ81" s="20"/>
      <c r="USA81" s="20"/>
      <c r="USB81" s="21"/>
      <c r="USC81" s="21"/>
      <c r="USD81" s="21"/>
      <c r="USE81" s="21"/>
      <c r="USF81" s="21"/>
      <c r="USG81" s="20"/>
      <c r="USH81" s="20"/>
      <c r="USI81" s="20"/>
      <c r="USJ81" s="20"/>
      <c r="USK81" s="21"/>
      <c r="USL81" s="21"/>
      <c r="USM81" s="7"/>
      <c r="USN81" s="7"/>
      <c r="USO81" s="21"/>
      <c r="USP81" s="20"/>
      <c r="USQ81" s="20"/>
      <c r="USR81" s="20"/>
      <c r="USS81" s="21"/>
      <c r="UST81" s="21"/>
      <c r="USU81" s="21"/>
      <c r="USV81" s="21"/>
      <c r="USW81" s="21"/>
      <c r="USX81" s="20"/>
      <c r="USY81" s="20"/>
      <c r="USZ81" s="20"/>
      <c r="UTA81" s="20"/>
      <c r="UTB81" s="21"/>
      <c r="UTC81" s="21"/>
      <c r="UTD81" s="7"/>
      <c r="UTE81" s="7"/>
      <c r="UTF81" s="21"/>
      <c r="UTG81" s="20"/>
      <c r="UTH81" s="20"/>
      <c r="UTI81" s="20"/>
      <c r="UTJ81" s="21"/>
      <c r="UTK81" s="21"/>
      <c r="UTL81" s="21"/>
      <c r="UTM81" s="21"/>
      <c r="UTN81" s="21"/>
      <c r="UTO81" s="20"/>
      <c r="UTP81" s="20"/>
      <c r="UTQ81" s="20"/>
      <c r="UTR81" s="20"/>
      <c r="UTS81" s="21"/>
      <c r="UTT81" s="21"/>
      <c r="UTU81" s="7"/>
      <c r="UTV81" s="7"/>
      <c r="UTW81" s="21"/>
      <c r="UTX81" s="20"/>
      <c r="UTY81" s="20"/>
      <c r="UTZ81" s="20"/>
      <c r="UUA81" s="21"/>
      <c r="UUB81" s="21"/>
      <c r="UUC81" s="21"/>
      <c r="UUD81" s="21"/>
      <c r="UUE81" s="21"/>
      <c r="UUF81" s="20"/>
      <c r="UUG81" s="20"/>
      <c r="UUH81" s="20"/>
      <c r="UUI81" s="20"/>
      <c r="UUJ81" s="21"/>
      <c r="UUK81" s="21"/>
      <c r="UUL81" s="7"/>
      <c r="UUM81" s="7"/>
      <c r="UUN81" s="21"/>
      <c r="UUO81" s="20"/>
      <c r="UUP81" s="20"/>
      <c r="UUQ81" s="20"/>
      <c r="UUR81" s="21"/>
      <c r="UUS81" s="21"/>
      <c r="UUT81" s="21"/>
      <c r="UUU81" s="21"/>
      <c r="UUV81" s="21"/>
      <c r="UUW81" s="20"/>
      <c r="UUX81" s="20"/>
      <c r="UUY81" s="20"/>
      <c r="UUZ81" s="20"/>
      <c r="UVA81" s="21"/>
      <c r="UVB81" s="21"/>
      <c r="UVC81" s="7"/>
      <c r="UVD81" s="7"/>
      <c r="UVE81" s="21"/>
      <c r="UVF81" s="20"/>
      <c r="UVG81" s="20"/>
      <c r="UVH81" s="20"/>
      <c r="UVI81" s="21"/>
      <c r="UVJ81" s="21"/>
      <c r="UVK81" s="21"/>
      <c r="UVL81" s="21"/>
      <c r="UVM81" s="21"/>
      <c r="UVN81" s="20"/>
      <c r="UVO81" s="20"/>
      <c r="UVP81" s="20"/>
      <c r="UVQ81" s="20"/>
      <c r="UVR81" s="21"/>
      <c r="UVS81" s="21"/>
      <c r="UVT81" s="7"/>
      <c r="UVU81" s="7"/>
      <c r="UVV81" s="21"/>
      <c r="UVW81" s="20"/>
      <c r="UVX81" s="20"/>
      <c r="UVY81" s="20"/>
      <c r="UVZ81" s="21"/>
      <c r="UWA81" s="21"/>
      <c r="UWB81" s="21"/>
      <c r="UWC81" s="21"/>
      <c r="UWD81" s="21"/>
      <c r="UWE81" s="20"/>
      <c r="UWF81" s="20"/>
      <c r="UWG81" s="20"/>
      <c r="UWH81" s="20"/>
      <c r="UWI81" s="21"/>
      <c r="UWJ81" s="21"/>
      <c r="UWK81" s="7"/>
      <c r="UWL81" s="7"/>
      <c r="UWM81" s="21"/>
      <c r="UWN81" s="20"/>
      <c r="UWO81" s="20"/>
      <c r="UWP81" s="20"/>
      <c r="UWQ81" s="21"/>
      <c r="UWR81" s="21"/>
      <c r="UWS81" s="21"/>
      <c r="UWT81" s="21"/>
      <c r="UWU81" s="21"/>
      <c r="UWV81" s="20"/>
      <c r="UWW81" s="20"/>
      <c r="UWX81" s="20"/>
      <c r="UWY81" s="20"/>
      <c r="UWZ81" s="21"/>
      <c r="UXA81" s="21"/>
      <c r="UXB81" s="7"/>
      <c r="UXC81" s="7"/>
      <c r="UXD81" s="21"/>
      <c r="UXE81" s="20"/>
      <c r="UXF81" s="20"/>
      <c r="UXG81" s="20"/>
      <c r="UXH81" s="21"/>
      <c r="UXI81" s="21"/>
      <c r="UXJ81" s="21"/>
      <c r="UXK81" s="21"/>
      <c r="UXL81" s="21"/>
      <c r="UXM81" s="20"/>
      <c r="UXN81" s="20"/>
      <c r="UXO81" s="20"/>
      <c r="UXP81" s="20"/>
      <c r="UXQ81" s="21"/>
      <c r="UXR81" s="21"/>
      <c r="UXS81" s="7"/>
      <c r="UXT81" s="7"/>
      <c r="UXU81" s="21"/>
      <c r="UXV81" s="20"/>
      <c r="UXW81" s="20"/>
      <c r="UXX81" s="20"/>
      <c r="UXY81" s="21"/>
      <c r="UXZ81" s="21"/>
      <c r="UYA81" s="21"/>
      <c r="UYB81" s="21"/>
      <c r="UYC81" s="21"/>
      <c r="UYD81" s="20"/>
      <c r="UYE81" s="20"/>
      <c r="UYF81" s="20"/>
      <c r="UYG81" s="20"/>
      <c r="UYH81" s="21"/>
      <c r="UYI81" s="21"/>
      <c r="UYJ81" s="7"/>
      <c r="UYK81" s="7"/>
      <c r="UYL81" s="21"/>
      <c r="UYM81" s="20"/>
      <c r="UYN81" s="20"/>
      <c r="UYO81" s="20"/>
      <c r="UYP81" s="21"/>
      <c r="UYQ81" s="21"/>
      <c r="UYR81" s="21"/>
      <c r="UYS81" s="21"/>
      <c r="UYT81" s="21"/>
      <c r="UYU81" s="20"/>
      <c r="UYV81" s="20"/>
      <c r="UYW81" s="20"/>
      <c r="UYX81" s="20"/>
      <c r="UYY81" s="21"/>
      <c r="UYZ81" s="21"/>
      <c r="UZA81" s="7"/>
      <c r="UZB81" s="7"/>
      <c r="UZC81" s="21"/>
      <c r="UZD81" s="20"/>
      <c r="UZE81" s="20"/>
      <c r="UZF81" s="20"/>
      <c r="UZG81" s="21"/>
      <c r="UZH81" s="21"/>
      <c r="UZI81" s="21"/>
      <c r="UZJ81" s="21"/>
      <c r="UZK81" s="21"/>
      <c r="UZL81" s="20"/>
      <c r="UZM81" s="20"/>
      <c r="UZN81" s="20"/>
      <c r="UZO81" s="20"/>
      <c r="UZP81" s="21"/>
      <c r="UZQ81" s="21"/>
      <c r="UZR81" s="7"/>
      <c r="UZS81" s="7"/>
      <c r="UZT81" s="21"/>
      <c r="UZU81" s="20"/>
      <c r="UZV81" s="20"/>
      <c r="UZW81" s="20"/>
      <c r="UZX81" s="21"/>
      <c r="UZY81" s="21"/>
      <c r="UZZ81" s="21"/>
      <c r="VAA81" s="21"/>
      <c r="VAB81" s="21"/>
      <c r="VAC81" s="20"/>
      <c r="VAD81" s="20"/>
      <c r="VAE81" s="20"/>
      <c r="VAF81" s="20"/>
      <c r="VAG81" s="21"/>
      <c r="VAH81" s="21"/>
      <c r="VAI81" s="7"/>
      <c r="VAJ81" s="7"/>
      <c r="VAK81" s="21"/>
      <c r="VAL81" s="20"/>
      <c r="VAM81" s="20"/>
      <c r="VAN81" s="20"/>
      <c r="VAO81" s="21"/>
      <c r="VAP81" s="21"/>
      <c r="VAQ81" s="21"/>
      <c r="VAR81" s="21"/>
      <c r="VAS81" s="21"/>
      <c r="VAT81" s="20"/>
      <c r="VAU81" s="20"/>
      <c r="VAV81" s="20"/>
      <c r="VAW81" s="20"/>
      <c r="VAX81" s="21"/>
      <c r="VAY81" s="21"/>
      <c r="VAZ81" s="7"/>
      <c r="VBA81" s="7"/>
      <c r="VBB81" s="21"/>
      <c r="VBC81" s="20"/>
      <c r="VBD81" s="20"/>
      <c r="VBE81" s="20"/>
      <c r="VBF81" s="21"/>
      <c r="VBG81" s="21"/>
      <c r="VBH81" s="21"/>
      <c r="VBI81" s="21"/>
      <c r="VBJ81" s="21"/>
      <c r="VBK81" s="20"/>
      <c r="VBL81" s="20"/>
      <c r="VBM81" s="20"/>
      <c r="VBN81" s="20"/>
      <c r="VBO81" s="21"/>
      <c r="VBP81" s="21"/>
      <c r="VBQ81" s="7"/>
      <c r="VBR81" s="7"/>
      <c r="VBS81" s="21"/>
      <c r="VBT81" s="20"/>
      <c r="VBU81" s="20"/>
      <c r="VBV81" s="20"/>
      <c r="VBW81" s="21"/>
      <c r="VBX81" s="21"/>
      <c r="VBY81" s="21"/>
      <c r="VBZ81" s="21"/>
      <c r="VCA81" s="21"/>
      <c r="VCB81" s="20"/>
      <c r="VCC81" s="20"/>
      <c r="VCD81" s="20"/>
      <c r="VCE81" s="20"/>
      <c r="VCF81" s="21"/>
      <c r="VCG81" s="21"/>
      <c r="VCH81" s="7"/>
      <c r="VCI81" s="7"/>
      <c r="VCJ81" s="21"/>
      <c r="VCK81" s="20"/>
      <c r="VCL81" s="20"/>
      <c r="VCM81" s="20"/>
      <c r="VCN81" s="21"/>
      <c r="VCO81" s="21"/>
      <c r="VCP81" s="21"/>
      <c r="VCQ81" s="21"/>
      <c r="VCR81" s="21"/>
      <c r="VCS81" s="20"/>
      <c r="VCT81" s="20"/>
      <c r="VCU81" s="20"/>
      <c r="VCV81" s="20"/>
      <c r="VCW81" s="21"/>
      <c r="VCX81" s="21"/>
      <c r="VCY81" s="7"/>
      <c r="VCZ81" s="7"/>
      <c r="VDA81" s="21"/>
      <c r="VDB81" s="20"/>
      <c r="VDC81" s="20"/>
      <c r="VDD81" s="20"/>
      <c r="VDE81" s="21"/>
      <c r="VDF81" s="21"/>
      <c r="VDG81" s="21"/>
      <c r="VDH81" s="21"/>
      <c r="VDI81" s="21"/>
      <c r="VDJ81" s="20"/>
      <c r="VDK81" s="20"/>
      <c r="VDL81" s="20"/>
      <c r="VDM81" s="20"/>
      <c r="VDN81" s="21"/>
      <c r="VDO81" s="21"/>
      <c r="VDP81" s="7"/>
      <c r="VDQ81" s="7"/>
      <c r="VDR81" s="21"/>
      <c r="VDS81" s="20"/>
      <c r="VDT81" s="20"/>
      <c r="VDU81" s="20"/>
      <c r="VDV81" s="21"/>
      <c r="VDW81" s="21"/>
      <c r="VDX81" s="21"/>
      <c r="VDY81" s="21"/>
      <c r="VDZ81" s="21"/>
      <c r="VEA81" s="20"/>
      <c r="VEB81" s="20"/>
      <c r="VEC81" s="20"/>
      <c r="VED81" s="20"/>
      <c r="VEE81" s="21"/>
      <c r="VEF81" s="21"/>
      <c r="VEG81" s="7"/>
      <c r="VEH81" s="7"/>
      <c r="VEI81" s="21"/>
      <c r="VEJ81" s="20"/>
      <c r="VEK81" s="20"/>
      <c r="VEL81" s="20"/>
      <c r="VEM81" s="21"/>
      <c r="VEN81" s="21"/>
      <c r="VEO81" s="21"/>
      <c r="VEP81" s="21"/>
      <c r="VEQ81" s="21"/>
      <c r="VER81" s="20"/>
      <c r="VES81" s="20"/>
      <c r="VET81" s="20"/>
      <c r="VEU81" s="20"/>
      <c r="VEV81" s="21"/>
      <c r="VEW81" s="21"/>
      <c r="VEX81" s="7"/>
      <c r="VEY81" s="7"/>
      <c r="VEZ81" s="21"/>
      <c r="VFA81" s="20"/>
      <c r="VFB81" s="20"/>
      <c r="VFC81" s="20"/>
      <c r="VFD81" s="21"/>
      <c r="VFE81" s="21"/>
      <c r="VFF81" s="21"/>
      <c r="VFG81" s="21"/>
      <c r="VFH81" s="21"/>
      <c r="VFI81" s="20"/>
      <c r="VFJ81" s="20"/>
      <c r="VFK81" s="20"/>
      <c r="VFL81" s="20"/>
      <c r="VFM81" s="21"/>
      <c r="VFN81" s="21"/>
      <c r="VFO81" s="7"/>
      <c r="VFP81" s="7"/>
      <c r="VFQ81" s="21"/>
      <c r="VFR81" s="20"/>
      <c r="VFS81" s="20"/>
      <c r="VFT81" s="20"/>
      <c r="VFU81" s="21"/>
      <c r="VFV81" s="21"/>
      <c r="VFW81" s="21"/>
      <c r="VFX81" s="21"/>
      <c r="VFY81" s="21"/>
      <c r="VFZ81" s="20"/>
      <c r="VGA81" s="20"/>
      <c r="VGB81" s="20"/>
      <c r="VGC81" s="20"/>
      <c r="VGD81" s="21"/>
      <c r="VGE81" s="21"/>
      <c r="VGF81" s="7"/>
      <c r="VGG81" s="7"/>
      <c r="VGH81" s="21"/>
      <c r="VGI81" s="20"/>
      <c r="VGJ81" s="20"/>
      <c r="VGK81" s="20"/>
      <c r="VGL81" s="21"/>
      <c r="VGM81" s="21"/>
      <c r="VGN81" s="21"/>
      <c r="VGO81" s="21"/>
      <c r="VGP81" s="21"/>
      <c r="VGQ81" s="20"/>
      <c r="VGR81" s="20"/>
      <c r="VGS81" s="20"/>
      <c r="VGT81" s="20"/>
      <c r="VGU81" s="21"/>
      <c r="VGV81" s="21"/>
      <c r="VGW81" s="7"/>
      <c r="VGX81" s="7"/>
      <c r="VGY81" s="21"/>
      <c r="VGZ81" s="20"/>
      <c r="VHA81" s="20"/>
      <c r="VHB81" s="20"/>
      <c r="VHC81" s="21"/>
      <c r="VHD81" s="21"/>
      <c r="VHE81" s="21"/>
      <c r="VHF81" s="21"/>
      <c r="VHG81" s="21"/>
      <c r="VHH81" s="20"/>
      <c r="VHI81" s="20"/>
      <c r="VHJ81" s="20"/>
      <c r="VHK81" s="20"/>
      <c r="VHL81" s="21"/>
      <c r="VHM81" s="21"/>
      <c r="VHN81" s="7"/>
      <c r="VHO81" s="7"/>
      <c r="VHP81" s="21"/>
      <c r="VHQ81" s="20"/>
      <c r="VHR81" s="20"/>
      <c r="VHS81" s="20"/>
      <c r="VHT81" s="21"/>
      <c r="VHU81" s="21"/>
      <c r="VHV81" s="21"/>
      <c r="VHW81" s="21"/>
      <c r="VHX81" s="21"/>
      <c r="VHY81" s="20"/>
      <c r="VHZ81" s="20"/>
      <c r="VIA81" s="20"/>
      <c r="VIB81" s="20"/>
      <c r="VIC81" s="21"/>
      <c r="VID81" s="21"/>
      <c r="VIE81" s="7"/>
      <c r="VIF81" s="7"/>
      <c r="VIG81" s="21"/>
      <c r="VIH81" s="20"/>
      <c r="VII81" s="20"/>
      <c r="VIJ81" s="20"/>
      <c r="VIK81" s="21"/>
      <c r="VIL81" s="21"/>
      <c r="VIM81" s="21"/>
      <c r="VIN81" s="21"/>
      <c r="VIO81" s="21"/>
      <c r="VIP81" s="20"/>
      <c r="VIQ81" s="20"/>
      <c r="VIR81" s="20"/>
      <c r="VIS81" s="20"/>
      <c r="VIT81" s="21"/>
      <c r="VIU81" s="21"/>
      <c r="VIV81" s="7"/>
      <c r="VIW81" s="7"/>
      <c r="VIX81" s="21"/>
      <c r="VIY81" s="20"/>
      <c r="VIZ81" s="20"/>
      <c r="VJA81" s="20"/>
      <c r="VJB81" s="21"/>
      <c r="VJC81" s="21"/>
      <c r="VJD81" s="21"/>
      <c r="VJE81" s="21"/>
      <c r="VJF81" s="21"/>
      <c r="VJG81" s="20"/>
      <c r="VJH81" s="20"/>
      <c r="VJI81" s="20"/>
      <c r="VJJ81" s="20"/>
      <c r="VJK81" s="21"/>
      <c r="VJL81" s="21"/>
      <c r="VJM81" s="7"/>
      <c r="VJN81" s="7"/>
      <c r="VJO81" s="21"/>
      <c r="VJP81" s="20"/>
      <c r="VJQ81" s="20"/>
      <c r="VJR81" s="20"/>
      <c r="VJS81" s="21"/>
      <c r="VJT81" s="21"/>
      <c r="VJU81" s="21"/>
      <c r="VJV81" s="21"/>
      <c r="VJW81" s="21"/>
      <c r="VJX81" s="20"/>
      <c r="VJY81" s="20"/>
      <c r="VJZ81" s="20"/>
      <c r="VKA81" s="20"/>
      <c r="VKB81" s="21"/>
      <c r="VKC81" s="21"/>
      <c r="VKD81" s="7"/>
      <c r="VKE81" s="7"/>
      <c r="VKF81" s="21"/>
      <c r="VKG81" s="20"/>
      <c r="VKH81" s="20"/>
      <c r="VKI81" s="20"/>
      <c r="VKJ81" s="21"/>
      <c r="VKK81" s="21"/>
      <c r="VKL81" s="21"/>
      <c r="VKM81" s="21"/>
      <c r="VKN81" s="21"/>
      <c r="VKO81" s="20"/>
      <c r="VKP81" s="20"/>
      <c r="VKQ81" s="20"/>
      <c r="VKR81" s="20"/>
      <c r="VKS81" s="21"/>
      <c r="VKT81" s="21"/>
      <c r="VKU81" s="7"/>
      <c r="VKV81" s="7"/>
      <c r="VKW81" s="21"/>
      <c r="VKX81" s="20"/>
      <c r="VKY81" s="20"/>
      <c r="VKZ81" s="20"/>
      <c r="VLA81" s="21"/>
      <c r="VLB81" s="21"/>
      <c r="VLC81" s="21"/>
      <c r="VLD81" s="21"/>
      <c r="VLE81" s="21"/>
      <c r="VLF81" s="20"/>
      <c r="VLG81" s="20"/>
      <c r="VLH81" s="20"/>
      <c r="VLI81" s="20"/>
      <c r="VLJ81" s="21"/>
      <c r="VLK81" s="21"/>
      <c r="VLL81" s="7"/>
      <c r="VLM81" s="7"/>
      <c r="VLN81" s="21"/>
      <c r="VLO81" s="20"/>
      <c r="VLP81" s="20"/>
      <c r="VLQ81" s="20"/>
      <c r="VLR81" s="21"/>
      <c r="VLS81" s="21"/>
      <c r="VLT81" s="21"/>
      <c r="VLU81" s="21"/>
      <c r="VLV81" s="21"/>
      <c r="VLW81" s="20"/>
      <c r="VLX81" s="20"/>
      <c r="VLY81" s="20"/>
      <c r="VLZ81" s="20"/>
      <c r="VMA81" s="21"/>
      <c r="VMB81" s="21"/>
      <c r="VMC81" s="7"/>
      <c r="VMD81" s="7"/>
      <c r="VME81" s="21"/>
      <c r="VMF81" s="20"/>
      <c r="VMG81" s="20"/>
      <c r="VMH81" s="20"/>
      <c r="VMI81" s="21"/>
      <c r="VMJ81" s="21"/>
      <c r="VMK81" s="21"/>
      <c r="VML81" s="21"/>
      <c r="VMM81" s="21"/>
      <c r="VMN81" s="20"/>
      <c r="VMO81" s="20"/>
      <c r="VMP81" s="20"/>
      <c r="VMQ81" s="20"/>
      <c r="VMR81" s="21"/>
      <c r="VMS81" s="21"/>
      <c r="VMT81" s="7"/>
      <c r="VMU81" s="7"/>
      <c r="VMV81" s="21"/>
      <c r="VMW81" s="20"/>
      <c r="VMX81" s="20"/>
      <c r="VMY81" s="20"/>
      <c r="VMZ81" s="21"/>
      <c r="VNA81" s="21"/>
      <c r="VNB81" s="21"/>
      <c r="VNC81" s="21"/>
      <c r="VND81" s="21"/>
      <c r="VNE81" s="20"/>
      <c r="VNF81" s="20"/>
      <c r="VNG81" s="20"/>
      <c r="VNH81" s="20"/>
      <c r="VNI81" s="21"/>
      <c r="VNJ81" s="21"/>
      <c r="VNK81" s="7"/>
      <c r="VNL81" s="7"/>
      <c r="VNM81" s="21"/>
      <c r="VNN81" s="20"/>
      <c r="VNO81" s="20"/>
      <c r="VNP81" s="20"/>
      <c r="VNQ81" s="21"/>
      <c r="VNR81" s="21"/>
      <c r="VNS81" s="21"/>
      <c r="VNT81" s="21"/>
      <c r="VNU81" s="21"/>
      <c r="VNV81" s="20"/>
      <c r="VNW81" s="20"/>
      <c r="VNX81" s="20"/>
      <c r="VNY81" s="20"/>
      <c r="VNZ81" s="21"/>
      <c r="VOA81" s="21"/>
      <c r="VOB81" s="7"/>
      <c r="VOC81" s="7"/>
      <c r="VOD81" s="21"/>
      <c r="VOE81" s="20"/>
      <c r="VOF81" s="20"/>
      <c r="VOG81" s="20"/>
      <c r="VOH81" s="21"/>
      <c r="VOI81" s="21"/>
      <c r="VOJ81" s="21"/>
      <c r="VOK81" s="21"/>
      <c r="VOL81" s="21"/>
      <c r="VOM81" s="20"/>
      <c r="VON81" s="20"/>
      <c r="VOO81" s="20"/>
      <c r="VOP81" s="20"/>
      <c r="VOQ81" s="21"/>
      <c r="VOR81" s="21"/>
      <c r="VOS81" s="7"/>
      <c r="VOT81" s="7"/>
      <c r="VOU81" s="21"/>
      <c r="VOV81" s="20"/>
      <c r="VOW81" s="20"/>
      <c r="VOX81" s="20"/>
      <c r="VOY81" s="21"/>
      <c r="VOZ81" s="21"/>
      <c r="VPA81" s="21"/>
      <c r="VPB81" s="21"/>
      <c r="VPC81" s="21"/>
      <c r="VPD81" s="20"/>
      <c r="VPE81" s="20"/>
      <c r="VPF81" s="20"/>
      <c r="VPG81" s="20"/>
      <c r="VPH81" s="21"/>
      <c r="VPI81" s="21"/>
      <c r="VPJ81" s="7"/>
      <c r="VPK81" s="7"/>
      <c r="VPL81" s="21"/>
      <c r="VPM81" s="20"/>
      <c r="VPN81" s="20"/>
      <c r="VPO81" s="20"/>
      <c r="VPP81" s="21"/>
      <c r="VPQ81" s="21"/>
      <c r="VPR81" s="21"/>
      <c r="VPS81" s="21"/>
      <c r="VPT81" s="21"/>
      <c r="VPU81" s="20"/>
      <c r="VPV81" s="20"/>
      <c r="VPW81" s="20"/>
      <c r="VPX81" s="20"/>
      <c r="VPY81" s="21"/>
      <c r="VPZ81" s="21"/>
      <c r="VQA81" s="7"/>
      <c r="VQB81" s="7"/>
      <c r="VQC81" s="21"/>
      <c r="VQD81" s="20"/>
      <c r="VQE81" s="20"/>
      <c r="VQF81" s="20"/>
      <c r="VQG81" s="21"/>
      <c r="VQH81" s="21"/>
      <c r="VQI81" s="21"/>
      <c r="VQJ81" s="21"/>
      <c r="VQK81" s="21"/>
      <c r="VQL81" s="20"/>
      <c r="VQM81" s="20"/>
      <c r="VQN81" s="20"/>
      <c r="VQO81" s="20"/>
      <c r="VQP81" s="21"/>
      <c r="VQQ81" s="21"/>
      <c r="VQR81" s="7"/>
      <c r="VQS81" s="7"/>
      <c r="VQT81" s="21"/>
      <c r="VQU81" s="20"/>
      <c r="VQV81" s="20"/>
      <c r="VQW81" s="20"/>
      <c r="VQX81" s="21"/>
      <c r="VQY81" s="21"/>
      <c r="VQZ81" s="21"/>
      <c r="VRA81" s="21"/>
      <c r="VRB81" s="21"/>
      <c r="VRC81" s="20"/>
      <c r="VRD81" s="20"/>
      <c r="VRE81" s="20"/>
      <c r="VRF81" s="20"/>
      <c r="VRG81" s="21"/>
      <c r="VRH81" s="21"/>
      <c r="VRI81" s="7"/>
      <c r="VRJ81" s="7"/>
      <c r="VRK81" s="21"/>
      <c r="VRL81" s="20"/>
      <c r="VRM81" s="20"/>
      <c r="VRN81" s="20"/>
      <c r="VRO81" s="21"/>
      <c r="VRP81" s="21"/>
      <c r="VRQ81" s="21"/>
      <c r="VRR81" s="21"/>
      <c r="VRS81" s="21"/>
      <c r="VRT81" s="20"/>
      <c r="VRU81" s="20"/>
      <c r="VRV81" s="20"/>
      <c r="VRW81" s="20"/>
      <c r="VRX81" s="21"/>
      <c r="VRY81" s="21"/>
      <c r="VRZ81" s="7"/>
      <c r="VSA81" s="7"/>
      <c r="VSB81" s="21"/>
      <c r="VSC81" s="20"/>
      <c r="VSD81" s="20"/>
      <c r="VSE81" s="20"/>
      <c r="VSF81" s="21"/>
      <c r="VSG81" s="21"/>
      <c r="VSH81" s="21"/>
      <c r="VSI81" s="21"/>
      <c r="VSJ81" s="21"/>
      <c r="VSK81" s="20"/>
      <c r="VSL81" s="20"/>
      <c r="VSM81" s="20"/>
      <c r="VSN81" s="20"/>
      <c r="VSO81" s="21"/>
      <c r="VSP81" s="21"/>
      <c r="VSQ81" s="7"/>
      <c r="VSR81" s="7"/>
      <c r="VSS81" s="21"/>
      <c r="VST81" s="20"/>
      <c r="VSU81" s="20"/>
      <c r="VSV81" s="20"/>
      <c r="VSW81" s="21"/>
      <c r="VSX81" s="21"/>
      <c r="VSY81" s="21"/>
      <c r="VSZ81" s="21"/>
      <c r="VTA81" s="21"/>
      <c r="VTB81" s="20"/>
      <c r="VTC81" s="20"/>
      <c r="VTD81" s="20"/>
      <c r="VTE81" s="20"/>
      <c r="VTF81" s="21"/>
      <c r="VTG81" s="21"/>
      <c r="VTH81" s="7"/>
      <c r="VTI81" s="7"/>
      <c r="VTJ81" s="21"/>
      <c r="VTK81" s="20"/>
      <c r="VTL81" s="20"/>
      <c r="VTM81" s="20"/>
      <c r="VTN81" s="21"/>
      <c r="VTO81" s="21"/>
      <c r="VTP81" s="21"/>
      <c r="VTQ81" s="21"/>
      <c r="VTR81" s="21"/>
      <c r="VTS81" s="20"/>
      <c r="VTT81" s="20"/>
      <c r="VTU81" s="20"/>
      <c r="VTV81" s="20"/>
      <c r="VTW81" s="21"/>
      <c r="VTX81" s="21"/>
      <c r="VTY81" s="7"/>
      <c r="VTZ81" s="7"/>
      <c r="VUA81" s="21"/>
      <c r="VUB81" s="20"/>
      <c r="VUC81" s="20"/>
      <c r="VUD81" s="20"/>
      <c r="VUE81" s="21"/>
      <c r="VUF81" s="21"/>
      <c r="VUG81" s="21"/>
      <c r="VUH81" s="21"/>
      <c r="VUI81" s="21"/>
      <c r="VUJ81" s="20"/>
      <c r="VUK81" s="20"/>
      <c r="VUL81" s="20"/>
      <c r="VUM81" s="20"/>
      <c r="VUN81" s="21"/>
      <c r="VUO81" s="21"/>
      <c r="VUP81" s="7"/>
      <c r="VUQ81" s="7"/>
      <c r="VUR81" s="21"/>
      <c r="VUS81" s="20"/>
      <c r="VUT81" s="20"/>
      <c r="VUU81" s="20"/>
      <c r="VUV81" s="21"/>
      <c r="VUW81" s="21"/>
      <c r="VUX81" s="21"/>
      <c r="VUY81" s="21"/>
      <c r="VUZ81" s="21"/>
      <c r="VVA81" s="20"/>
      <c r="VVB81" s="20"/>
      <c r="VVC81" s="20"/>
      <c r="VVD81" s="20"/>
      <c r="VVE81" s="21"/>
      <c r="VVF81" s="21"/>
      <c r="VVG81" s="7"/>
      <c r="VVH81" s="7"/>
      <c r="VVI81" s="21"/>
      <c r="VVJ81" s="20"/>
      <c r="VVK81" s="20"/>
      <c r="VVL81" s="20"/>
      <c r="VVM81" s="21"/>
      <c r="VVN81" s="21"/>
      <c r="VVO81" s="21"/>
      <c r="VVP81" s="21"/>
      <c r="VVQ81" s="21"/>
      <c r="VVR81" s="20"/>
      <c r="VVS81" s="20"/>
      <c r="VVT81" s="20"/>
      <c r="VVU81" s="20"/>
      <c r="VVV81" s="21"/>
      <c r="VVW81" s="21"/>
      <c r="VVX81" s="7"/>
      <c r="VVY81" s="7"/>
      <c r="VVZ81" s="21"/>
      <c r="VWA81" s="20"/>
      <c r="VWB81" s="20"/>
      <c r="VWC81" s="20"/>
      <c r="VWD81" s="21"/>
      <c r="VWE81" s="21"/>
      <c r="VWF81" s="21"/>
      <c r="VWG81" s="21"/>
      <c r="VWH81" s="21"/>
      <c r="VWI81" s="20"/>
      <c r="VWJ81" s="20"/>
      <c r="VWK81" s="20"/>
      <c r="VWL81" s="20"/>
      <c r="VWM81" s="21"/>
      <c r="VWN81" s="21"/>
      <c r="VWO81" s="7"/>
      <c r="VWP81" s="7"/>
      <c r="VWQ81" s="21"/>
      <c r="VWR81" s="20"/>
      <c r="VWS81" s="20"/>
      <c r="VWT81" s="20"/>
      <c r="VWU81" s="21"/>
      <c r="VWV81" s="21"/>
      <c r="VWW81" s="21"/>
      <c r="VWX81" s="21"/>
      <c r="VWY81" s="21"/>
      <c r="VWZ81" s="20"/>
      <c r="VXA81" s="20"/>
      <c r="VXB81" s="20"/>
      <c r="VXC81" s="20"/>
      <c r="VXD81" s="21"/>
      <c r="VXE81" s="21"/>
      <c r="VXF81" s="7"/>
      <c r="VXG81" s="7"/>
      <c r="VXH81" s="21"/>
      <c r="VXI81" s="20"/>
      <c r="VXJ81" s="20"/>
      <c r="VXK81" s="20"/>
      <c r="VXL81" s="21"/>
      <c r="VXM81" s="21"/>
      <c r="VXN81" s="21"/>
      <c r="VXO81" s="21"/>
      <c r="VXP81" s="21"/>
      <c r="VXQ81" s="20"/>
      <c r="VXR81" s="20"/>
      <c r="VXS81" s="20"/>
      <c r="VXT81" s="20"/>
      <c r="VXU81" s="21"/>
      <c r="VXV81" s="21"/>
      <c r="VXW81" s="7"/>
      <c r="VXX81" s="7"/>
      <c r="VXY81" s="21"/>
      <c r="VXZ81" s="20"/>
      <c r="VYA81" s="20"/>
      <c r="VYB81" s="20"/>
      <c r="VYC81" s="21"/>
      <c r="VYD81" s="21"/>
      <c r="VYE81" s="21"/>
      <c r="VYF81" s="21"/>
      <c r="VYG81" s="21"/>
      <c r="VYH81" s="20"/>
      <c r="VYI81" s="20"/>
      <c r="VYJ81" s="20"/>
      <c r="VYK81" s="20"/>
      <c r="VYL81" s="21"/>
      <c r="VYM81" s="21"/>
      <c r="VYN81" s="7"/>
      <c r="VYO81" s="7"/>
      <c r="VYP81" s="21"/>
      <c r="VYQ81" s="20"/>
      <c r="VYR81" s="20"/>
      <c r="VYS81" s="20"/>
      <c r="VYT81" s="21"/>
      <c r="VYU81" s="21"/>
      <c r="VYV81" s="21"/>
      <c r="VYW81" s="21"/>
      <c r="VYX81" s="21"/>
      <c r="VYY81" s="20"/>
      <c r="VYZ81" s="20"/>
      <c r="VZA81" s="20"/>
      <c r="VZB81" s="20"/>
      <c r="VZC81" s="21"/>
      <c r="VZD81" s="21"/>
      <c r="VZE81" s="7"/>
      <c r="VZF81" s="7"/>
      <c r="VZG81" s="21"/>
      <c r="VZH81" s="20"/>
      <c r="VZI81" s="20"/>
      <c r="VZJ81" s="20"/>
      <c r="VZK81" s="21"/>
      <c r="VZL81" s="21"/>
      <c r="VZM81" s="21"/>
      <c r="VZN81" s="21"/>
      <c r="VZO81" s="21"/>
      <c r="VZP81" s="20"/>
      <c r="VZQ81" s="20"/>
      <c r="VZR81" s="20"/>
      <c r="VZS81" s="20"/>
      <c r="VZT81" s="21"/>
      <c r="VZU81" s="21"/>
      <c r="VZV81" s="7"/>
      <c r="VZW81" s="7"/>
      <c r="VZX81" s="21"/>
      <c r="VZY81" s="20"/>
      <c r="VZZ81" s="20"/>
      <c r="WAA81" s="20"/>
      <c r="WAB81" s="21"/>
      <c r="WAC81" s="21"/>
      <c r="WAD81" s="21"/>
      <c r="WAE81" s="21"/>
      <c r="WAF81" s="21"/>
      <c r="WAG81" s="20"/>
      <c r="WAH81" s="20"/>
      <c r="WAI81" s="20"/>
      <c r="WAJ81" s="20"/>
      <c r="WAK81" s="21"/>
      <c r="WAL81" s="21"/>
      <c r="WAM81" s="7"/>
      <c r="WAN81" s="7"/>
      <c r="WAO81" s="21"/>
      <c r="WAP81" s="20"/>
      <c r="WAQ81" s="20"/>
      <c r="WAR81" s="20"/>
      <c r="WAS81" s="21"/>
      <c r="WAT81" s="21"/>
      <c r="WAU81" s="21"/>
      <c r="WAV81" s="21"/>
      <c r="WAW81" s="21"/>
      <c r="WAX81" s="20"/>
      <c r="WAY81" s="20"/>
      <c r="WAZ81" s="20"/>
      <c r="WBA81" s="20"/>
      <c r="WBB81" s="21"/>
      <c r="WBC81" s="21"/>
      <c r="WBD81" s="7"/>
      <c r="WBE81" s="7"/>
      <c r="WBF81" s="21"/>
      <c r="WBG81" s="20"/>
      <c r="WBH81" s="20"/>
      <c r="WBI81" s="20"/>
      <c r="WBJ81" s="21"/>
      <c r="WBK81" s="21"/>
      <c r="WBL81" s="21"/>
      <c r="WBM81" s="21"/>
      <c r="WBN81" s="21"/>
      <c r="WBO81" s="20"/>
      <c r="WBP81" s="20"/>
      <c r="WBQ81" s="20"/>
      <c r="WBR81" s="20"/>
      <c r="WBS81" s="21"/>
      <c r="WBT81" s="21"/>
      <c r="WBU81" s="7"/>
      <c r="WBV81" s="7"/>
      <c r="WBW81" s="21"/>
      <c r="WBX81" s="20"/>
      <c r="WBY81" s="20"/>
      <c r="WBZ81" s="20"/>
      <c r="WCA81" s="21"/>
      <c r="WCB81" s="21"/>
      <c r="WCC81" s="21"/>
      <c r="WCD81" s="21"/>
      <c r="WCE81" s="21"/>
      <c r="WCF81" s="20"/>
      <c r="WCG81" s="20"/>
      <c r="WCH81" s="20"/>
      <c r="WCI81" s="20"/>
      <c r="WCJ81" s="21"/>
      <c r="WCK81" s="21"/>
      <c r="WCL81" s="7"/>
      <c r="WCM81" s="7"/>
      <c r="WCN81" s="21"/>
      <c r="WCO81" s="20"/>
      <c r="WCP81" s="20"/>
      <c r="WCQ81" s="20"/>
      <c r="WCR81" s="21"/>
      <c r="WCS81" s="21"/>
      <c r="WCT81" s="21"/>
      <c r="WCU81" s="21"/>
      <c r="WCV81" s="21"/>
      <c r="WCW81" s="20"/>
      <c r="WCX81" s="20"/>
      <c r="WCY81" s="20"/>
      <c r="WCZ81" s="20"/>
      <c r="WDA81" s="21"/>
      <c r="WDB81" s="21"/>
      <c r="WDC81" s="7"/>
      <c r="WDD81" s="7"/>
      <c r="WDE81" s="21"/>
      <c r="WDF81" s="20"/>
      <c r="WDG81" s="20"/>
      <c r="WDH81" s="20"/>
      <c r="WDI81" s="21"/>
      <c r="WDJ81" s="21"/>
      <c r="WDK81" s="21"/>
      <c r="WDL81" s="21"/>
      <c r="WDM81" s="21"/>
      <c r="WDN81" s="20"/>
      <c r="WDO81" s="20"/>
      <c r="WDP81" s="20"/>
      <c r="WDQ81" s="20"/>
      <c r="WDR81" s="21"/>
      <c r="WDS81" s="21"/>
      <c r="WDT81" s="7"/>
      <c r="WDU81" s="7"/>
      <c r="WDV81" s="21"/>
      <c r="WDW81" s="20"/>
      <c r="WDX81" s="20"/>
      <c r="WDY81" s="20"/>
      <c r="WDZ81" s="21"/>
      <c r="WEA81" s="21"/>
      <c r="WEB81" s="21"/>
      <c r="WEC81" s="21"/>
      <c r="WED81" s="21"/>
      <c r="WEE81" s="20"/>
      <c r="WEF81" s="20"/>
      <c r="WEG81" s="20"/>
      <c r="WEH81" s="20"/>
      <c r="WEI81" s="21"/>
      <c r="WEJ81" s="21"/>
      <c r="WEK81" s="7"/>
      <c r="WEL81" s="7"/>
      <c r="WEM81" s="21"/>
      <c r="WEN81" s="20"/>
      <c r="WEO81" s="20"/>
      <c r="WEP81" s="20"/>
      <c r="WEQ81" s="21"/>
      <c r="WER81" s="21"/>
      <c r="WES81" s="21"/>
      <c r="WET81" s="21"/>
      <c r="WEU81" s="21"/>
      <c r="WEV81" s="20"/>
      <c r="WEW81" s="20"/>
      <c r="WEX81" s="20"/>
      <c r="WEY81" s="20"/>
      <c r="WEZ81" s="21"/>
      <c r="WFA81" s="21"/>
      <c r="WFB81" s="7"/>
      <c r="WFC81" s="7"/>
      <c r="WFD81" s="21"/>
      <c r="WFE81" s="20"/>
      <c r="WFF81" s="20"/>
      <c r="WFG81" s="20"/>
      <c r="WFH81" s="21"/>
      <c r="WFI81" s="21"/>
      <c r="WFJ81" s="21"/>
      <c r="WFK81" s="21"/>
      <c r="WFL81" s="21"/>
      <c r="WFM81" s="20"/>
      <c r="WFN81" s="20"/>
      <c r="WFO81" s="20"/>
      <c r="WFP81" s="20"/>
      <c r="WFQ81" s="21"/>
      <c r="WFR81" s="21"/>
      <c r="WFS81" s="7"/>
      <c r="WFT81" s="7"/>
      <c r="WFU81" s="21"/>
      <c r="WFV81" s="20"/>
      <c r="WFW81" s="20"/>
      <c r="WFX81" s="20"/>
      <c r="WFY81" s="21"/>
      <c r="WFZ81" s="21"/>
      <c r="WGA81" s="21"/>
      <c r="WGB81" s="21"/>
      <c r="WGC81" s="21"/>
      <c r="WGD81" s="20"/>
      <c r="WGE81" s="20"/>
      <c r="WGF81" s="20"/>
      <c r="WGG81" s="20"/>
      <c r="WGH81" s="21"/>
      <c r="WGI81" s="21"/>
      <c r="WGJ81" s="7"/>
      <c r="WGK81" s="7"/>
      <c r="WGL81" s="21"/>
      <c r="WGM81" s="20"/>
      <c r="WGN81" s="20"/>
      <c r="WGO81" s="20"/>
      <c r="WGP81" s="21"/>
      <c r="WGQ81" s="21"/>
      <c r="WGR81" s="21"/>
      <c r="WGS81" s="21"/>
      <c r="WGT81" s="21"/>
      <c r="WGU81" s="20"/>
      <c r="WGV81" s="20"/>
      <c r="WGW81" s="20"/>
      <c r="WGX81" s="20"/>
      <c r="WGY81" s="21"/>
      <c r="WGZ81" s="21"/>
      <c r="WHA81" s="7"/>
      <c r="WHB81" s="7"/>
      <c r="WHC81" s="21"/>
      <c r="WHD81" s="20"/>
      <c r="WHE81" s="20"/>
      <c r="WHF81" s="20"/>
      <c r="WHG81" s="21"/>
      <c r="WHH81" s="21"/>
      <c r="WHI81" s="21"/>
      <c r="WHJ81" s="21"/>
      <c r="WHK81" s="21"/>
      <c r="WHL81" s="20"/>
      <c r="WHM81" s="20"/>
      <c r="WHN81" s="20"/>
      <c r="WHO81" s="20"/>
      <c r="WHP81" s="21"/>
      <c r="WHQ81" s="21"/>
      <c r="WHR81" s="7"/>
      <c r="WHS81" s="7"/>
      <c r="WHT81" s="21"/>
      <c r="WHU81" s="20"/>
      <c r="WHV81" s="20"/>
      <c r="WHW81" s="20"/>
      <c r="WHX81" s="21"/>
      <c r="WHY81" s="21"/>
      <c r="WHZ81" s="21"/>
      <c r="WIA81" s="21"/>
      <c r="WIB81" s="21"/>
      <c r="WIC81" s="20"/>
      <c r="WID81" s="20"/>
      <c r="WIE81" s="20"/>
      <c r="WIF81" s="20"/>
      <c r="WIG81" s="21"/>
      <c r="WIH81" s="21"/>
      <c r="WII81" s="7"/>
      <c r="WIJ81" s="7"/>
      <c r="WIK81" s="21"/>
      <c r="WIL81" s="20"/>
      <c r="WIM81" s="20"/>
      <c r="WIN81" s="20"/>
      <c r="WIO81" s="21"/>
      <c r="WIP81" s="21"/>
      <c r="WIQ81" s="21"/>
      <c r="WIR81" s="21"/>
      <c r="WIS81" s="21"/>
      <c r="WIT81" s="20"/>
      <c r="WIU81" s="20"/>
      <c r="WIV81" s="20"/>
      <c r="WIW81" s="20"/>
      <c r="WIX81" s="21"/>
      <c r="WIY81" s="21"/>
      <c r="WIZ81" s="7"/>
      <c r="WJA81" s="7"/>
      <c r="WJB81" s="21"/>
      <c r="WJC81" s="20"/>
      <c r="WJD81" s="20"/>
      <c r="WJE81" s="20"/>
      <c r="WJF81" s="21"/>
      <c r="WJG81" s="21"/>
      <c r="WJH81" s="21"/>
      <c r="WJI81" s="21"/>
      <c r="WJJ81" s="21"/>
      <c r="WJK81" s="20"/>
      <c r="WJL81" s="20"/>
      <c r="WJM81" s="20"/>
      <c r="WJN81" s="20"/>
      <c r="WJO81" s="21"/>
      <c r="WJP81" s="21"/>
      <c r="WJQ81" s="7"/>
      <c r="WJR81" s="7"/>
      <c r="WJS81" s="21"/>
      <c r="WJT81" s="20"/>
      <c r="WJU81" s="20"/>
      <c r="WJV81" s="20"/>
      <c r="WJW81" s="21"/>
      <c r="WJX81" s="21"/>
      <c r="WJY81" s="21"/>
      <c r="WJZ81" s="21"/>
      <c r="WKA81" s="21"/>
      <c r="WKB81" s="20"/>
      <c r="WKC81" s="20"/>
      <c r="WKD81" s="20"/>
      <c r="WKE81" s="20"/>
      <c r="WKF81" s="21"/>
      <c r="WKG81" s="21"/>
      <c r="WKH81" s="7"/>
      <c r="WKI81" s="7"/>
      <c r="WKJ81" s="21"/>
      <c r="WKK81" s="20"/>
      <c r="WKL81" s="20"/>
      <c r="WKM81" s="20"/>
      <c r="WKN81" s="21"/>
      <c r="WKO81" s="21"/>
      <c r="WKP81" s="21"/>
      <c r="WKQ81" s="21"/>
      <c r="WKR81" s="21"/>
      <c r="WKS81" s="20"/>
      <c r="WKT81" s="20"/>
      <c r="WKU81" s="20"/>
      <c r="WKV81" s="20"/>
      <c r="WKW81" s="21"/>
      <c r="WKX81" s="21"/>
      <c r="WKY81" s="7"/>
      <c r="WKZ81" s="7"/>
      <c r="WLA81" s="21"/>
      <c r="WLB81" s="20"/>
      <c r="WLC81" s="20"/>
      <c r="WLD81" s="20"/>
      <c r="WLE81" s="21"/>
      <c r="WLF81" s="21"/>
      <c r="WLG81" s="21"/>
      <c r="WLH81" s="21"/>
      <c r="WLI81" s="21"/>
      <c r="WLJ81" s="20"/>
      <c r="WLK81" s="20"/>
      <c r="WLL81" s="20"/>
      <c r="WLM81" s="20"/>
      <c r="WLN81" s="21"/>
      <c r="WLO81" s="21"/>
      <c r="WLP81" s="7"/>
      <c r="WLQ81" s="7"/>
      <c r="WLR81" s="21"/>
      <c r="WLS81" s="20"/>
      <c r="WLT81" s="20"/>
      <c r="WLU81" s="20"/>
      <c r="WLV81" s="21"/>
      <c r="WLW81" s="21"/>
      <c r="WLX81" s="21"/>
      <c r="WLY81" s="21"/>
      <c r="WLZ81" s="21"/>
      <c r="WMA81" s="20"/>
      <c r="WMB81" s="20"/>
      <c r="WMC81" s="20"/>
      <c r="WMD81" s="20"/>
      <c r="WME81" s="21"/>
      <c r="WMF81" s="21"/>
      <c r="WMG81" s="7"/>
      <c r="WMH81" s="7"/>
      <c r="WMI81" s="21"/>
      <c r="WMJ81" s="20"/>
      <c r="WMK81" s="20"/>
      <c r="WML81" s="20"/>
      <c r="WMM81" s="21"/>
      <c r="WMN81" s="21"/>
      <c r="WMO81" s="21"/>
      <c r="WMP81" s="21"/>
      <c r="WMQ81" s="21"/>
      <c r="WMR81" s="20"/>
      <c r="WMS81" s="20"/>
      <c r="WMT81" s="20"/>
      <c r="WMU81" s="20"/>
      <c r="WMV81" s="21"/>
      <c r="WMW81" s="21"/>
      <c r="WMX81" s="7"/>
      <c r="WMY81" s="7"/>
      <c r="WMZ81" s="21"/>
      <c r="WNA81" s="20"/>
      <c r="WNB81" s="20"/>
      <c r="WNC81" s="20"/>
      <c r="WND81" s="21"/>
      <c r="WNE81" s="21"/>
      <c r="WNF81" s="21"/>
      <c r="WNG81" s="21"/>
      <c r="WNH81" s="21"/>
      <c r="WNI81" s="20"/>
      <c r="WNJ81" s="20"/>
      <c r="WNK81" s="20"/>
      <c r="WNL81" s="20"/>
      <c r="WNM81" s="21"/>
      <c r="WNN81" s="21"/>
      <c r="WNO81" s="7"/>
      <c r="WNP81" s="7"/>
      <c r="WNQ81" s="21"/>
      <c r="WNR81" s="20"/>
      <c r="WNS81" s="20"/>
      <c r="WNT81" s="20"/>
      <c r="WNU81" s="21"/>
      <c r="WNV81" s="21"/>
      <c r="WNW81" s="21"/>
      <c r="WNX81" s="21"/>
      <c r="WNY81" s="21"/>
      <c r="WNZ81" s="20"/>
      <c r="WOA81" s="20"/>
      <c r="WOB81" s="20"/>
      <c r="WOC81" s="20"/>
      <c r="WOD81" s="21"/>
      <c r="WOE81" s="21"/>
      <c r="WOF81" s="7"/>
      <c r="WOG81" s="7"/>
      <c r="WOH81" s="21"/>
      <c r="WOI81" s="20"/>
      <c r="WOJ81" s="20"/>
      <c r="WOK81" s="20"/>
      <c r="WOL81" s="21"/>
      <c r="WOM81" s="21"/>
      <c r="WON81" s="21"/>
      <c r="WOO81" s="21"/>
      <c r="WOP81" s="21"/>
      <c r="WOQ81" s="20"/>
      <c r="WOR81" s="20"/>
      <c r="WOS81" s="20"/>
      <c r="WOT81" s="20"/>
      <c r="WOU81" s="21"/>
      <c r="WOV81" s="21"/>
      <c r="WOW81" s="7"/>
      <c r="WOX81" s="7"/>
      <c r="WOY81" s="21"/>
      <c r="WOZ81" s="20"/>
      <c r="WPA81" s="20"/>
      <c r="WPB81" s="20"/>
      <c r="WPC81" s="21"/>
      <c r="WPD81" s="21"/>
      <c r="WPE81" s="21"/>
      <c r="WPF81" s="21"/>
      <c r="WPG81" s="21"/>
      <c r="WPH81" s="20"/>
      <c r="WPI81" s="20"/>
      <c r="WPJ81" s="20"/>
      <c r="WPK81" s="20"/>
      <c r="WPL81" s="21"/>
      <c r="WPM81" s="21"/>
      <c r="WPN81" s="7"/>
      <c r="WPO81" s="7"/>
      <c r="WPP81" s="21"/>
      <c r="WPQ81" s="20"/>
      <c r="WPR81" s="20"/>
      <c r="WPS81" s="20"/>
      <c r="WPT81" s="21"/>
      <c r="WPU81" s="21"/>
      <c r="WPV81" s="21"/>
      <c r="WPW81" s="21"/>
      <c r="WPX81" s="21"/>
      <c r="WPY81" s="20"/>
      <c r="WPZ81" s="20"/>
      <c r="WQA81" s="20"/>
      <c r="WQB81" s="20"/>
      <c r="WQC81" s="21"/>
      <c r="WQD81" s="21"/>
      <c r="WQE81" s="7"/>
      <c r="WQF81" s="7"/>
      <c r="WQG81" s="21"/>
      <c r="WQH81" s="20"/>
      <c r="WQI81" s="20"/>
      <c r="WQJ81" s="20"/>
      <c r="WQK81" s="21"/>
      <c r="WQL81" s="21"/>
      <c r="WQM81" s="21"/>
      <c r="WQN81" s="21"/>
      <c r="WQO81" s="21"/>
      <c r="WQP81" s="20"/>
      <c r="WQQ81" s="20"/>
      <c r="WQR81" s="20"/>
      <c r="WQS81" s="20"/>
      <c r="WQT81" s="21"/>
      <c r="WQU81" s="21"/>
      <c r="WQV81" s="7"/>
      <c r="WQW81" s="7"/>
      <c r="WQX81" s="21"/>
      <c r="WQY81" s="20"/>
      <c r="WQZ81" s="20"/>
      <c r="WRA81" s="20"/>
      <c r="WRB81" s="21"/>
      <c r="WRC81" s="21"/>
      <c r="WRD81" s="21"/>
      <c r="WRE81" s="21"/>
      <c r="WRF81" s="21"/>
      <c r="WRG81" s="20"/>
      <c r="WRH81" s="20"/>
      <c r="WRI81" s="20"/>
      <c r="WRJ81" s="20"/>
      <c r="WRK81" s="21"/>
      <c r="WRL81" s="21"/>
      <c r="WRM81" s="7"/>
      <c r="WRN81" s="7"/>
      <c r="WRO81" s="21"/>
      <c r="WRP81" s="20"/>
      <c r="WRQ81" s="20"/>
      <c r="WRR81" s="20"/>
      <c r="WRS81" s="21"/>
      <c r="WRT81" s="21"/>
      <c r="WRU81" s="21"/>
      <c r="WRV81" s="21"/>
      <c r="WRW81" s="21"/>
      <c r="WRX81" s="20"/>
      <c r="WRY81" s="20"/>
      <c r="WRZ81" s="20"/>
      <c r="WSA81" s="20"/>
      <c r="WSB81" s="21"/>
      <c r="WSC81" s="21"/>
      <c r="WSD81" s="7"/>
      <c r="WSE81" s="7"/>
      <c r="WSF81" s="21"/>
      <c r="WSG81" s="20"/>
      <c r="WSH81" s="20"/>
      <c r="WSI81" s="20"/>
      <c r="WSJ81" s="21"/>
      <c r="WSK81" s="21"/>
      <c r="WSL81" s="21"/>
      <c r="WSM81" s="21"/>
      <c r="WSN81" s="21"/>
      <c r="WSO81" s="20"/>
      <c r="WSP81" s="20"/>
      <c r="WSQ81" s="20"/>
      <c r="WSR81" s="20"/>
      <c r="WSS81" s="21"/>
      <c r="WST81" s="21"/>
      <c r="WSU81" s="7"/>
      <c r="WSV81" s="7"/>
      <c r="WSW81" s="21"/>
      <c r="WSX81" s="20"/>
      <c r="WSY81" s="20"/>
      <c r="WSZ81" s="20"/>
      <c r="WTA81" s="21"/>
      <c r="WTB81" s="21"/>
      <c r="WTC81" s="21"/>
      <c r="WTD81" s="21"/>
      <c r="WTE81" s="21"/>
      <c r="WTF81" s="20"/>
      <c r="WTG81" s="20"/>
      <c r="WTH81" s="20"/>
      <c r="WTI81" s="20"/>
      <c r="WTJ81" s="21"/>
      <c r="WTK81" s="21"/>
      <c r="WTL81" s="7"/>
      <c r="WTM81" s="7"/>
      <c r="WTN81" s="21"/>
      <c r="WTO81" s="20"/>
      <c r="WTP81" s="20"/>
      <c r="WTQ81" s="20"/>
      <c r="WTR81" s="21"/>
      <c r="WTS81" s="21"/>
      <c r="WTT81" s="21"/>
      <c r="WTU81" s="21"/>
      <c r="WTV81" s="21"/>
      <c r="WTW81" s="20"/>
      <c r="WTX81" s="20"/>
      <c r="WTY81" s="20"/>
      <c r="WTZ81" s="20"/>
      <c r="WUA81" s="21"/>
      <c r="WUB81" s="21"/>
      <c r="WUC81" s="7"/>
      <c r="WUD81" s="7"/>
      <c r="WUE81" s="21"/>
      <c r="WUF81" s="20"/>
      <c r="WUG81" s="20"/>
      <c r="WUH81" s="20"/>
      <c r="WUI81" s="21"/>
      <c r="WUJ81" s="21"/>
      <c r="WUK81" s="21"/>
      <c r="WUL81" s="21"/>
      <c r="WUM81" s="21"/>
      <c r="WUN81" s="20"/>
      <c r="WUO81" s="20"/>
      <c r="WUP81" s="20"/>
      <c r="WUQ81" s="20"/>
      <c r="WUR81" s="21"/>
      <c r="WUS81" s="21"/>
      <c r="WUT81" s="7"/>
      <c r="WUU81" s="7"/>
      <c r="WUV81" s="21"/>
      <c r="WUW81" s="20"/>
      <c r="WUX81" s="20"/>
      <c r="WUY81" s="20"/>
      <c r="WUZ81" s="21"/>
      <c r="WVA81" s="21"/>
      <c r="WVB81" s="21"/>
      <c r="WVC81" s="21"/>
      <c r="WVD81" s="21"/>
      <c r="WVE81" s="20"/>
      <c r="WVF81" s="20"/>
      <c r="WVG81" s="20"/>
      <c r="WVH81" s="20"/>
      <c r="WVI81" s="21"/>
      <c r="WVJ81" s="21"/>
      <c r="WVK81" s="7"/>
      <c r="WVL81" s="7"/>
      <c r="WVM81" s="21"/>
      <c r="WVN81" s="20"/>
      <c r="WVO81" s="20"/>
      <c r="WVP81" s="20"/>
      <c r="WVQ81" s="21"/>
      <c r="WVR81" s="21"/>
      <c r="WVS81" s="21"/>
      <c r="WVT81" s="21"/>
      <c r="WVU81" s="21"/>
      <c r="WVV81" s="20"/>
      <c r="WVW81" s="20"/>
      <c r="WVX81" s="20"/>
      <c r="WVY81" s="20"/>
      <c r="WVZ81" s="21"/>
      <c r="WWA81" s="21"/>
      <c r="WWB81" s="7"/>
      <c r="WWC81" s="7"/>
      <c r="WWD81" s="21"/>
      <c r="WWE81" s="20"/>
      <c r="WWF81" s="20"/>
      <c r="WWG81" s="20"/>
      <c r="WWH81" s="21"/>
      <c r="WWI81" s="21"/>
      <c r="WWJ81" s="21"/>
      <c r="WWK81" s="21"/>
      <c r="WWL81" s="21"/>
      <c r="WWM81" s="20"/>
      <c r="WWN81" s="20"/>
      <c r="WWO81" s="20"/>
      <c r="WWP81" s="20"/>
      <c r="WWQ81" s="21"/>
      <c r="WWR81" s="21"/>
      <c r="WWS81" s="7"/>
      <c r="WWT81" s="7"/>
      <c r="WWU81" s="21"/>
      <c r="WWV81" s="20"/>
      <c r="WWW81" s="20"/>
      <c r="WWX81" s="20"/>
      <c r="WWY81" s="21"/>
      <c r="WWZ81" s="21"/>
      <c r="WXA81" s="21"/>
      <c r="WXB81" s="21"/>
      <c r="WXC81" s="21"/>
      <c r="WXD81" s="20"/>
      <c r="WXE81" s="20"/>
      <c r="WXF81" s="20"/>
      <c r="WXG81" s="20"/>
      <c r="WXH81" s="21"/>
      <c r="WXI81" s="21"/>
      <c r="WXJ81" s="7"/>
      <c r="WXK81" s="7"/>
      <c r="WXL81" s="21"/>
      <c r="WXM81" s="20"/>
      <c r="WXN81" s="20"/>
      <c r="WXO81" s="20"/>
      <c r="WXP81" s="21"/>
      <c r="WXQ81" s="21"/>
      <c r="WXR81" s="21"/>
      <c r="WXS81" s="21"/>
      <c r="WXT81" s="21"/>
      <c r="WXU81" s="20"/>
      <c r="WXV81" s="20"/>
      <c r="WXW81" s="20"/>
      <c r="WXX81" s="20"/>
      <c r="WXY81" s="21"/>
      <c r="WXZ81" s="21"/>
      <c r="WYA81" s="7"/>
      <c r="WYB81" s="7"/>
      <c r="WYC81" s="21"/>
      <c r="WYD81" s="20"/>
      <c r="WYE81" s="20"/>
      <c r="WYF81" s="20"/>
      <c r="WYG81" s="21"/>
      <c r="WYH81" s="21"/>
      <c r="WYI81" s="21"/>
      <c r="WYJ81" s="21"/>
      <c r="WYK81" s="21"/>
      <c r="WYL81" s="20"/>
      <c r="WYM81" s="20"/>
      <c r="WYN81" s="20"/>
      <c r="WYO81" s="20"/>
      <c r="WYP81" s="21"/>
      <c r="WYQ81" s="21"/>
      <c r="WYR81" s="7"/>
      <c r="WYS81" s="7"/>
      <c r="WYT81" s="21"/>
      <c r="WYU81" s="20"/>
      <c r="WYV81" s="20"/>
      <c r="WYW81" s="20"/>
      <c r="WYX81" s="21"/>
      <c r="WYY81" s="21"/>
      <c r="WYZ81" s="21"/>
      <c r="WZA81" s="21"/>
      <c r="WZB81" s="21"/>
      <c r="WZC81" s="20"/>
      <c r="WZD81" s="20"/>
      <c r="WZE81" s="20"/>
      <c r="WZF81" s="20"/>
      <c r="WZG81" s="21"/>
      <c r="WZH81" s="21"/>
      <c r="WZI81" s="7"/>
      <c r="WZJ81" s="7"/>
      <c r="WZK81" s="21"/>
      <c r="WZL81" s="20"/>
      <c r="WZM81" s="20"/>
      <c r="WZN81" s="20"/>
      <c r="WZO81" s="21"/>
      <c r="WZP81" s="21"/>
      <c r="WZQ81" s="21"/>
      <c r="WZR81" s="21"/>
      <c r="WZS81" s="21"/>
      <c r="WZT81" s="20"/>
      <c r="WZU81" s="20"/>
      <c r="WZV81" s="20"/>
      <c r="WZW81" s="20"/>
      <c r="WZX81" s="21"/>
      <c r="WZY81" s="21"/>
      <c r="WZZ81" s="7"/>
      <c r="XAA81" s="7"/>
      <c r="XAB81" s="21"/>
      <c r="XAC81" s="20"/>
      <c r="XAD81" s="20"/>
      <c r="XAE81" s="20"/>
      <c r="XAF81" s="21"/>
      <c r="XAG81" s="21"/>
      <c r="XAH81" s="21"/>
      <c r="XAI81" s="21"/>
      <c r="XAJ81" s="21"/>
      <c r="XAK81" s="20"/>
      <c r="XAL81" s="20"/>
      <c r="XAM81" s="20"/>
      <c r="XAN81" s="20"/>
      <c r="XAO81" s="21"/>
      <c r="XAP81" s="21"/>
      <c r="XAQ81" s="7"/>
      <c r="XAR81" s="7"/>
      <c r="XAS81" s="21"/>
      <c r="XAT81" s="20"/>
      <c r="XAU81" s="20"/>
      <c r="XAV81" s="20"/>
      <c r="XAW81" s="21"/>
      <c r="XAX81" s="21"/>
      <c r="XAY81" s="21"/>
      <c r="XAZ81" s="21"/>
      <c r="XBA81" s="21"/>
      <c r="XBB81" s="20"/>
      <c r="XBC81" s="20"/>
      <c r="XBD81" s="20"/>
      <c r="XBE81" s="20"/>
      <c r="XBF81" s="21"/>
      <c r="XBG81" s="21"/>
      <c r="XBH81" s="7"/>
      <c r="XBI81" s="7"/>
      <c r="XBJ81" s="21"/>
      <c r="XBK81" s="20"/>
      <c r="XBL81" s="20"/>
      <c r="XBM81" s="20"/>
      <c r="XBN81" s="21"/>
      <c r="XBO81" s="21"/>
      <c r="XBP81" s="21"/>
      <c r="XBQ81" s="21"/>
      <c r="XBR81" s="21"/>
      <c r="XBS81" s="20"/>
      <c r="XBT81" s="20"/>
      <c r="XBU81" s="20"/>
      <c r="XBV81" s="20"/>
      <c r="XBW81" s="21"/>
      <c r="XBX81" s="21"/>
      <c r="XBY81" s="7"/>
      <c r="XBZ81" s="7"/>
      <c r="XCA81" s="21"/>
      <c r="XCB81" s="20"/>
      <c r="XCC81" s="20"/>
      <c r="XCD81" s="20"/>
      <c r="XCE81" s="21"/>
      <c r="XCF81" s="21"/>
      <c r="XCG81" s="21"/>
      <c r="XCH81" s="21"/>
      <c r="XCI81" s="21"/>
      <c r="XCJ81" s="20"/>
      <c r="XCK81" s="20"/>
      <c r="XCL81" s="20"/>
      <c r="XCM81" s="20"/>
      <c r="XCN81" s="21"/>
      <c r="XCO81" s="21"/>
      <c r="XCP81" s="7"/>
      <c r="XCQ81" s="7"/>
      <c r="XCR81" s="21"/>
      <c r="XCS81" s="20"/>
      <c r="XCT81" s="20"/>
      <c r="XCU81" s="20"/>
      <c r="XCV81" s="21"/>
      <c r="XCW81" s="21"/>
      <c r="XCX81" s="21"/>
      <c r="XCY81" s="21"/>
      <c r="XCZ81" s="21"/>
      <c r="XDA81" s="20"/>
      <c r="XDB81" s="20"/>
      <c r="XDC81" s="20"/>
      <c r="XDD81" s="20"/>
      <c r="XDE81" s="21"/>
      <c r="XDF81" s="21"/>
      <c r="XDG81" s="7"/>
      <c r="XDH81" s="7"/>
      <c r="XDI81" s="21"/>
      <c r="XDJ81" s="20"/>
      <c r="XDK81" s="20"/>
      <c r="XDL81" s="20"/>
      <c r="XDM81" s="21"/>
      <c r="XDN81" s="21"/>
      <c r="XDO81" s="21"/>
      <c r="XDP81" s="21"/>
      <c r="XDQ81" s="21"/>
      <c r="XDR81" s="20"/>
      <c r="XDS81" s="20"/>
      <c r="XDT81" s="20"/>
      <c r="XDU81" s="20"/>
      <c r="XDV81" s="21"/>
      <c r="XDW81" s="21"/>
      <c r="XDX81" s="7"/>
      <c r="XDY81" s="7"/>
      <c r="XDZ81" s="21"/>
      <c r="XEA81" s="20"/>
      <c r="XEB81" s="20"/>
      <c r="XEC81" s="20"/>
      <c r="XED81" s="21"/>
      <c r="XEE81" s="21"/>
      <c r="XEF81" s="21"/>
      <c r="XEG81" s="21"/>
      <c r="XEH81" s="21"/>
      <c r="XEI81" s="20"/>
      <c r="XEJ81" s="20"/>
      <c r="XEK81" s="20"/>
      <c r="XEL81" s="20"/>
      <c r="XEM81" s="21"/>
      <c r="XEN81" s="21"/>
      <c r="XEO81" s="7"/>
      <c r="XEP81" s="7"/>
      <c r="XEQ81" s="21"/>
      <c r="XER81" s="20"/>
      <c r="XES81" s="20"/>
      <c r="XET81" s="20"/>
      <c r="XEU81" s="21"/>
      <c r="XEV81" s="21"/>
      <c r="XEW81" s="21"/>
      <c r="XEX81" s="21"/>
      <c r="XEY81" s="21"/>
      <c r="XEZ81" s="20"/>
      <c r="XFA81" s="20"/>
      <c r="XFB81" s="20"/>
      <c r="XFC81" s="20"/>
      <c r="XFD81" s="21"/>
    </row>
    <row r="82" spans="1:16384" s="3" customFormat="1" ht="14.25" customHeight="1" x14ac:dyDescent="0.25">
      <c r="A82" s="29">
        <v>0</v>
      </c>
      <c r="B82" s="29">
        <v>1</v>
      </c>
      <c r="C82" s="29">
        <v>6</v>
      </c>
      <c r="D82" s="30" t="s">
        <v>61</v>
      </c>
      <c r="E82" s="30" t="s">
        <v>261</v>
      </c>
      <c r="F82" s="30" t="s">
        <v>131</v>
      </c>
      <c r="G82" s="30" t="s">
        <v>132</v>
      </c>
      <c r="H82" s="30" t="s">
        <v>165</v>
      </c>
      <c r="I82" s="29" t="s">
        <v>182</v>
      </c>
      <c r="J82" s="29">
        <v>99</v>
      </c>
      <c r="K82" s="29" t="s">
        <v>329</v>
      </c>
      <c r="L82" s="29" t="s">
        <v>846</v>
      </c>
      <c r="M82" s="30" t="s">
        <v>695</v>
      </c>
      <c r="N82" s="30" t="s">
        <v>883</v>
      </c>
      <c r="O82" s="31">
        <v>1</v>
      </c>
      <c r="P82" s="31"/>
      <c r="Q82" s="30"/>
      <c r="R82" s="2"/>
      <c r="S82" s="2">
        <f t="shared" si="23"/>
        <v>0</v>
      </c>
      <c r="T82" s="2">
        <f t="shared" si="24"/>
        <v>0</v>
      </c>
      <c r="U82" s="2">
        <f t="shared" si="25"/>
        <v>0</v>
      </c>
      <c r="V82" s="2">
        <f t="shared" si="26"/>
        <v>0</v>
      </c>
      <c r="W82" s="2">
        <f t="shared" si="27"/>
        <v>0</v>
      </c>
      <c r="X82" s="2">
        <f t="shared" si="28"/>
        <v>0</v>
      </c>
      <c r="Y82" s="2">
        <f t="shared" si="29"/>
        <v>0</v>
      </c>
      <c r="Z82" s="2">
        <f t="shared" si="30"/>
        <v>0</v>
      </c>
      <c r="AA82" s="2">
        <f t="shared" si="31"/>
        <v>0</v>
      </c>
      <c r="AB82" s="2">
        <f t="shared" si="32"/>
        <v>0</v>
      </c>
      <c r="AC82" s="2"/>
      <c r="AD82" s="2">
        <f t="shared" si="33"/>
        <v>0</v>
      </c>
      <c r="AE82" s="2">
        <f t="shared" si="34"/>
        <v>1</v>
      </c>
      <c r="AF82" s="2">
        <f t="shared" si="35"/>
        <v>0</v>
      </c>
      <c r="AG82" s="2">
        <f t="shared" si="36"/>
        <v>1</v>
      </c>
      <c r="AH82" s="2">
        <f t="shared" si="37"/>
        <v>0</v>
      </c>
      <c r="AI82" s="2">
        <f t="shared" si="38"/>
        <v>1</v>
      </c>
    </row>
    <row r="83" spans="1:16384" s="3" customFormat="1" ht="14.25" customHeight="1" x14ac:dyDescent="0.25">
      <c r="A83" s="29">
        <v>0</v>
      </c>
      <c r="B83" s="29">
        <v>1</v>
      </c>
      <c r="C83" s="29">
        <v>6</v>
      </c>
      <c r="D83" s="30" t="s">
        <v>251</v>
      </c>
      <c r="E83" s="30" t="s">
        <v>261</v>
      </c>
      <c r="F83" s="30" t="s">
        <v>587</v>
      </c>
      <c r="G83" s="30" t="s">
        <v>132</v>
      </c>
      <c r="H83" s="30" t="s">
        <v>165</v>
      </c>
      <c r="I83" s="29" t="s">
        <v>224</v>
      </c>
      <c r="J83" s="29">
        <v>99</v>
      </c>
      <c r="K83" s="29" t="s">
        <v>331</v>
      </c>
      <c r="L83" s="29" t="s">
        <v>335</v>
      </c>
      <c r="M83" s="30" t="s">
        <v>743</v>
      </c>
      <c r="N83" s="30" t="s">
        <v>882</v>
      </c>
      <c r="O83" s="31">
        <v>1</v>
      </c>
      <c r="P83" s="31"/>
      <c r="Q83" s="30"/>
      <c r="R83" s="2"/>
      <c r="S83" s="2">
        <f t="shared" si="23"/>
        <v>0</v>
      </c>
      <c r="T83" s="2">
        <f t="shared" si="24"/>
        <v>0</v>
      </c>
      <c r="U83" s="2">
        <f t="shared" si="25"/>
        <v>0</v>
      </c>
      <c r="V83" s="2">
        <f t="shared" si="26"/>
        <v>0</v>
      </c>
      <c r="W83" s="2">
        <f t="shared" si="27"/>
        <v>0</v>
      </c>
      <c r="X83" s="2">
        <f t="shared" si="28"/>
        <v>0</v>
      </c>
      <c r="Y83" s="2">
        <f t="shared" si="29"/>
        <v>0</v>
      </c>
      <c r="Z83" s="2">
        <f t="shared" si="30"/>
        <v>0</v>
      </c>
      <c r="AA83" s="2">
        <f t="shared" si="31"/>
        <v>0</v>
      </c>
      <c r="AB83" s="2">
        <f t="shared" si="32"/>
        <v>0</v>
      </c>
      <c r="AC83" s="2"/>
      <c r="AD83" s="2">
        <f t="shared" si="33"/>
        <v>0</v>
      </c>
      <c r="AE83" s="2">
        <f t="shared" si="34"/>
        <v>1</v>
      </c>
      <c r="AF83" s="2">
        <f t="shared" si="35"/>
        <v>0</v>
      </c>
      <c r="AG83" s="2">
        <f t="shared" si="36"/>
        <v>1</v>
      </c>
      <c r="AH83" s="2">
        <f t="shared" si="37"/>
        <v>0</v>
      </c>
      <c r="AI83" s="2">
        <f t="shared" si="38"/>
        <v>1</v>
      </c>
    </row>
    <row r="84" spans="1:16384" s="3" customFormat="1" ht="14.25" customHeight="1" x14ac:dyDescent="0.25">
      <c r="A84" s="20">
        <v>0</v>
      </c>
      <c r="B84" s="20">
        <v>1</v>
      </c>
      <c r="C84" s="20">
        <v>6</v>
      </c>
      <c r="D84" s="21" t="s">
        <v>388</v>
      </c>
      <c r="E84" s="21" t="s">
        <v>389</v>
      </c>
      <c r="F84" s="21" t="s">
        <v>477</v>
      </c>
      <c r="G84" s="21" t="s">
        <v>133</v>
      </c>
      <c r="H84" s="21" t="s">
        <v>165</v>
      </c>
      <c r="I84" s="20" t="s">
        <v>487</v>
      </c>
      <c r="J84" s="20"/>
      <c r="K84" s="20" t="s">
        <v>332</v>
      </c>
      <c r="L84" s="20" t="s">
        <v>335</v>
      </c>
      <c r="M84" s="21" t="s">
        <v>206</v>
      </c>
      <c r="N84" s="21"/>
      <c r="O84" s="7"/>
      <c r="P84" s="7"/>
      <c r="Q84" s="21"/>
      <c r="R84" s="2"/>
      <c r="S84" s="2">
        <f t="shared" si="23"/>
        <v>0</v>
      </c>
      <c r="T84" s="2">
        <f t="shared" si="24"/>
        <v>0</v>
      </c>
      <c r="U84" s="2">
        <f t="shared" si="25"/>
        <v>0</v>
      </c>
      <c r="V84" s="2">
        <f t="shared" si="26"/>
        <v>0</v>
      </c>
      <c r="W84" s="2">
        <f t="shared" si="27"/>
        <v>0</v>
      </c>
      <c r="X84" s="2">
        <f t="shared" si="28"/>
        <v>0</v>
      </c>
      <c r="Y84" s="2">
        <f t="shared" si="29"/>
        <v>0</v>
      </c>
      <c r="Z84" s="2">
        <f t="shared" si="30"/>
        <v>0</v>
      </c>
      <c r="AA84" s="2">
        <f t="shared" si="31"/>
        <v>0</v>
      </c>
      <c r="AB84" s="2">
        <f t="shared" si="32"/>
        <v>0</v>
      </c>
      <c r="AC84" s="2"/>
      <c r="AD84" s="2">
        <f t="shared" si="33"/>
        <v>0</v>
      </c>
      <c r="AE84" s="2">
        <f t="shared" si="34"/>
        <v>0</v>
      </c>
      <c r="AF84" s="2">
        <f t="shared" si="35"/>
        <v>0</v>
      </c>
      <c r="AG84" s="2">
        <f t="shared" si="36"/>
        <v>0</v>
      </c>
      <c r="AH84" s="2">
        <f t="shared" si="37"/>
        <v>0</v>
      </c>
      <c r="AI84" s="2">
        <f t="shared" si="38"/>
        <v>1</v>
      </c>
    </row>
    <row r="85" spans="1:16384" s="3" customFormat="1" ht="14.25" customHeight="1" x14ac:dyDescent="0.25">
      <c r="A85" s="29">
        <v>0</v>
      </c>
      <c r="B85" s="29">
        <v>1</v>
      </c>
      <c r="C85" s="29">
        <v>6</v>
      </c>
      <c r="D85" s="30" t="s">
        <v>249</v>
      </c>
      <c r="E85" s="30" t="s">
        <v>261</v>
      </c>
      <c r="F85" s="30" t="s">
        <v>255</v>
      </c>
      <c r="G85" s="30" t="s">
        <v>125</v>
      </c>
      <c r="H85" s="30" t="s">
        <v>165</v>
      </c>
      <c r="I85" s="29" t="s">
        <v>222</v>
      </c>
      <c r="J85" s="29">
        <v>99</v>
      </c>
      <c r="K85" s="29" t="s">
        <v>330</v>
      </c>
      <c r="L85" s="29" t="s">
        <v>40</v>
      </c>
      <c r="M85" s="30" t="s">
        <v>40</v>
      </c>
      <c r="N85" s="30" t="s">
        <v>880</v>
      </c>
      <c r="O85" s="31">
        <v>1</v>
      </c>
      <c r="P85" s="31">
        <v>1</v>
      </c>
      <c r="Q85" s="30"/>
      <c r="R85" s="2"/>
      <c r="S85" s="2">
        <f t="shared" si="23"/>
        <v>0</v>
      </c>
      <c r="T85" s="2">
        <f t="shared" si="24"/>
        <v>0</v>
      </c>
      <c r="U85" s="2">
        <f t="shared" si="25"/>
        <v>0</v>
      </c>
      <c r="V85" s="2">
        <f t="shared" si="26"/>
        <v>0</v>
      </c>
      <c r="W85" s="2">
        <f t="shared" si="27"/>
        <v>0</v>
      </c>
      <c r="X85" s="2">
        <f t="shared" si="28"/>
        <v>0</v>
      </c>
      <c r="Y85" s="2">
        <f t="shared" si="29"/>
        <v>0</v>
      </c>
      <c r="Z85" s="2">
        <f t="shared" si="30"/>
        <v>0</v>
      </c>
      <c r="AA85" s="2">
        <f t="shared" si="31"/>
        <v>0</v>
      </c>
      <c r="AB85" s="2">
        <f t="shared" si="32"/>
        <v>0</v>
      </c>
      <c r="AC85" s="2"/>
      <c r="AD85" s="2">
        <f t="shared" si="33"/>
        <v>1</v>
      </c>
      <c r="AE85" s="2">
        <f t="shared" si="34"/>
        <v>0</v>
      </c>
      <c r="AF85" s="2">
        <f t="shared" si="35"/>
        <v>1</v>
      </c>
      <c r="AG85" s="2">
        <f t="shared" si="36"/>
        <v>0</v>
      </c>
      <c r="AH85" s="2">
        <f t="shared" si="37"/>
        <v>1</v>
      </c>
      <c r="AI85" s="2">
        <f t="shared" si="38"/>
        <v>0</v>
      </c>
    </row>
    <row r="86" spans="1:16384" s="3" customFormat="1" ht="14.25" customHeight="1" x14ac:dyDescent="0.25">
      <c r="A86" s="20">
        <v>0</v>
      </c>
      <c r="B86" s="20">
        <v>1</v>
      </c>
      <c r="C86" s="20">
        <v>6</v>
      </c>
      <c r="D86" s="21" t="s">
        <v>728</v>
      </c>
      <c r="E86" s="21" t="s">
        <v>258</v>
      </c>
      <c r="F86" s="21" t="s">
        <v>729</v>
      </c>
      <c r="G86" s="21" t="s">
        <v>730</v>
      </c>
      <c r="H86" s="21" t="s">
        <v>165</v>
      </c>
      <c r="I86" s="20"/>
      <c r="J86" s="20">
        <v>99</v>
      </c>
      <c r="K86" s="20" t="s">
        <v>376</v>
      </c>
      <c r="L86" s="20">
        <v>75</v>
      </c>
      <c r="M86" s="21" t="s">
        <v>727</v>
      </c>
      <c r="N86" s="21"/>
      <c r="O86" s="7"/>
      <c r="P86" s="7"/>
      <c r="Q86" s="21"/>
      <c r="R86" s="2"/>
      <c r="S86" s="2">
        <f t="shared" si="23"/>
        <v>0</v>
      </c>
      <c r="T86" s="2">
        <f t="shared" si="24"/>
        <v>0</v>
      </c>
      <c r="U86" s="2">
        <f t="shared" si="25"/>
        <v>0</v>
      </c>
      <c r="V86" s="2">
        <f t="shared" si="26"/>
        <v>0</v>
      </c>
      <c r="W86" s="2">
        <f t="shared" si="27"/>
        <v>0</v>
      </c>
      <c r="X86" s="2">
        <f t="shared" si="28"/>
        <v>0</v>
      </c>
      <c r="Y86" s="2">
        <f t="shared" si="29"/>
        <v>0</v>
      </c>
      <c r="Z86" s="2">
        <f t="shared" si="30"/>
        <v>0</v>
      </c>
      <c r="AA86" s="2">
        <f t="shared" si="31"/>
        <v>0</v>
      </c>
      <c r="AB86" s="2">
        <f t="shared" si="32"/>
        <v>0</v>
      </c>
      <c r="AC86" s="2"/>
      <c r="AD86" s="2">
        <f t="shared" si="33"/>
        <v>0</v>
      </c>
      <c r="AE86" s="2">
        <f t="shared" si="34"/>
        <v>0</v>
      </c>
      <c r="AF86" s="2">
        <f t="shared" si="35"/>
        <v>0</v>
      </c>
      <c r="AG86" s="2">
        <f t="shared" si="36"/>
        <v>0</v>
      </c>
      <c r="AH86" s="2">
        <f t="shared" si="37"/>
        <v>0</v>
      </c>
      <c r="AI86" s="2">
        <f t="shared" si="38"/>
        <v>1</v>
      </c>
    </row>
    <row r="87" spans="1:16384" s="3" customFormat="1" ht="14.25" customHeight="1" x14ac:dyDescent="0.25">
      <c r="A87" s="29">
        <v>0</v>
      </c>
      <c r="B87" s="29">
        <v>1</v>
      </c>
      <c r="C87" s="29">
        <v>6</v>
      </c>
      <c r="D87" s="30" t="s">
        <v>539</v>
      </c>
      <c r="E87" s="30" t="s">
        <v>572</v>
      </c>
      <c r="F87" s="30" t="s">
        <v>821</v>
      </c>
      <c r="G87" s="30" t="s">
        <v>540</v>
      </c>
      <c r="H87" s="30" t="s">
        <v>165</v>
      </c>
      <c r="I87" s="29" t="s">
        <v>541</v>
      </c>
      <c r="J87" s="29">
        <v>99</v>
      </c>
      <c r="K87" s="29" t="s">
        <v>330</v>
      </c>
      <c r="L87" s="29" t="s">
        <v>334</v>
      </c>
      <c r="M87" s="30" t="s">
        <v>737</v>
      </c>
      <c r="N87" s="30" t="s">
        <v>883</v>
      </c>
      <c r="O87" s="31">
        <v>1</v>
      </c>
      <c r="P87" s="31"/>
      <c r="Q87" s="30"/>
      <c r="R87" s="2"/>
      <c r="S87" s="2">
        <f t="shared" si="23"/>
        <v>0</v>
      </c>
      <c r="T87" s="2">
        <f t="shared" si="24"/>
        <v>0</v>
      </c>
      <c r="U87" s="2">
        <f t="shared" si="25"/>
        <v>0</v>
      </c>
      <c r="V87" s="2">
        <f t="shared" si="26"/>
        <v>0</v>
      </c>
      <c r="W87" s="2">
        <f t="shared" si="27"/>
        <v>0</v>
      </c>
      <c r="X87" s="2">
        <f t="shared" si="28"/>
        <v>0</v>
      </c>
      <c r="Y87" s="2">
        <f t="shared" si="29"/>
        <v>0</v>
      </c>
      <c r="Z87" s="2">
        <f t="shared" si="30"/>
        <v>0</v>
      </c>
      <c r="AA87" s="2">
        <f t="shared" si="31"/>
        <v>0</v>
      </c>
      <c r="AB87" s="2">
        <f t="shared" si="32"/>
        <v>0</v>
      </c>
      <c r="AC87" s="2"/>
      <c r="AD87" s="2">
        <f t="shared" si="33"/>
        <v>0</v>
      </c>
      <c r="AE87" s="2">
        <f t="shared" si="34"/>
        <v>1</v>
      </c>
      <c r="AF87" s="2">
        <f t="shared" si="35"/>
        <v>0</v>
      </c>
      <c r="AG87" s="2">
        <f t="shared" si="36"/>
        <v>1</v>
      </c>
      <c r="AH87" s="2">
        <f t="shared" si="37"/>
        <v>0</v>
      </c>
      <c r="AI87" s="2">
        <f t="shared" si="38"/>
        <v>1</v>
      </c>
    </row>
    <row r="88" spans="1:16384" s="3" customFormat="1" ht="14.25" customHeight="1" x14ac:dyDescent="0.25">
      <c r="A88" s="29">
        <v>0</v>
      </c>
      <c r="B88" s="29">
        <v>1</v>
      </c>
      <c r="C88" s="29">
        <v>6</v>
      </c>
      <c r="D88" s="30" t="s">
        <v>359</v>
      </c>
      <c r="E88" s="30" t="s">
        <v>573</v>
      </c>
      <c r="F88" s="30" t="s">
        <v>136</v>
      </c>
      <c r="G88" s="30" t="s">
        <v>137</v>
      </c>
      <c r="H88" s="30" t="s">
        <v>165</v>
      </c>
      <c r="I88" s="29" t="s">
        <v>184</v>
      </c>
      <c r="J88" s="29">
        <v>1</v>
      </c>
      <c r="K88" s="29" t="s">
        <v>376</v>
      </c>
      <c r="L88" s="29">
        <v>92</v>
      </c>
      <c r="M88" s="30" t="s">
        <v>776</v>
      </c>
      <c r="N88" s="30" t="s">
        <v>889</v>
      </c>
      <c r="O88" s="31">
        <v>1</v>
      </c>
      <c r="P88" s="31"/>
      <c r="Q88" s="30"/>
      <c r="R88" s="2"/>
      <c r="S88" s="2">
        <f t="shared" si="23"/>
        <v>1</v>
      </c>
      <c r="T88" s="2">
        <f t="shared" si="24"/>
        <v>0</v>
      </c>
      <c r="U88" s="2">
        <f t="shared" si="25"/>
        <v>0</v>
      </c>
      <c r="V88" s="2">
        <f t="shared" si="26"/>
        <v>0</v>
      </c>
      <c r="W88" s="2">
        <f t="shared" si="27"/>
        <v>0</v>
      </c>
      <c r="X88" s="2">
        <f t="shared" si="28"/>
        <v>0</v>
      </c>
      <c r="Y88" s="2">
        <f t="shared" si="29"/>
        <v>0</v>
      </c>
      <c r="Z88" s="2">
        <f t="shared" si="30"/>
        <v>0</v>
      </c>
      <c r="AA88" s="2">
        <f t="shared" si="31"/>
        <v>0</v>
      </c>
      <c r="AB88" s="2">
        <f t="shared" si="32"/>
        <v>0</v>
      </c>
      <c r="AC88" s="2"/>
      <c r="AD88" s="2">
        <f t="shared" si="33"/>
        <v>0</v>
      </c>
      <c r="AE88" s="2">
        <f t="shared" si="34"/>
        <v>1</v>
      </c>
      <c r="AF88" s="2">
        <f t="shared" si="35"/>
        <v>0</v>
      </c>
      <c r="AG88" s="2">
        <f t="shared" si="36"/>
        <v>1</v>
      </c>
      <c r="AH88" s="2">
        <f t="shared" si="37"/>
        <v>0</v>
      </c>
      <c r="AI88" s="2">
        <f t="shared" si="38"/>
        <v>1</v>
      </c>
    </row>
    <row r="89" spans="1:16384" s="3" customFormat="1" ht="14.25" customHeight="1" x14ac:dyDescent="0.25">
      <c r="A89" s="26">
        <v>0</v>
      </c>
      <c r="B89" s="26">
        <v>1</v>
      </c>
      <c r="C89" s="26">
        <v>6</v>
      </c>
      <c r="D89" s="27" t="s">
        <v>960</v>
      </c>
      <c r="E89" s="27" t="s">
        <v>258</v>
      </c>
      <c r="F89" s="27" t="s">
        <v>961</v>
      </c>
      <c r="G89" s="27" t="s">
        <v>962</v>
      </c>
      <c r="H89" s="27" t="s">
        <v>165</v>
      </c>
      <c r="I89" s="26" t="s">
        <v>963</v>
      </c>
      <c r="J89" s="26"/>
      <c r="K89" s="26" t="s">
        <v>376</v>
      </c>
      <c r="L89" s="26"/>
      <c r="M89" s="27"/>
      <c r="N89" s="27"/>
      <c r="O89" s="28"/>
      <c r="P89" s="28">
        <v>1</v>
      </c>
      <c r="Q89" s="27"/>
      <c r="R89" s="2"/>
      <c r="S89" s="2">
        <f t="shared" si="23"/>
        <v>0</v>
      </c>
      <c r="T89" s="2">
        <f t="shared" si="24"/>
        <v>0</v>
      </c>
      <c r="U89" s="2">
        <f t="shared" si="25"/>
        <v>0</v>
      </c>
      <c r="V89" s="2">
        <f t="shared" si="26"/>
        <v>0</v>
      </c>
      <c r="W89" s="2">
        <f t="shared" si="27"/>
        <v>0</v>
      </c>
      <c r="X89" s="2">
        <f t="shared" si="28"/>
        <v>0</v>
      </c>
      <c r="Y89" s="2">
        <f t="shared" si="29"/>
        <v>0</v>
      </c>
      <c r="Z89" s="2">
        <f t="shared" si="30"/>
        <v>0</v>
      </c>
      <c r="AA89" s="2">
        <f t="shared" si="31"/>
        <v>0</v>
      </c>
      <c r="AB89" s="2">
        <f t="shared" si="32"/>
        <v>0</v>
      </c>
      <c r="AC89" s="2"/>
      <c r="AD89" s="2">
        <f t="shared" si="33"/>
        <v>0</v>
      </c>
      <c r="AE89" s="2">
        <f t="shared" si="34"/>
        <v>0</v>
      </c>
      <c r="AF89" s="2">
        <f t="shared" si="35"/>
        <v>0</v>
      </c>
      <c r="AG89" s="2">
        <f t="shared" si="36"/>
        <v>0</v>
      </c>
      <c r="AH89" s="2">
        <f t="shared" si="37"/>
        <v>1</v>
      </c>
      <c r="AI89" s="2">
        <f t="shared" si="38"/>
        <v>0</v>
      </c>
    </row>
    <row r="90" spans="1:16384" s="3" customFormat="1" ht="14.25" customHeight="1" x14ac:dyDescent="0.25">
      <c r="A90" s="20">
        <v>0</v>
      </c>
      <c r="B90" s="20">
        <v>1</v>
      </c>
      <c r="C90" s="20">
        <v>6</v>
      </c>
      <c r="D90" s="21" t="s">
        <v>80</v>
      </c>
      <c r="E90" s="21" t="s">
        <v>258</v>
      </c>
      <c r="F90" s="21" t="s">
        <v>135</v>
      </c>
      <c r="G90" s="21" t="s">
        <v>92</v>
      </c>
      <c r="H90" s="21" t="s">
        <v>165</v>
      </c>
      <c r="I90" s="20" t="s">
        <v>203</v>
      </c>
      <c r="J90" s="20">
        <v>2</v>
      </c>
      <c r="K90" s="20" t="s">
        <v>329</v>
      </c>
      <c r="L90" s="20">
        <v>35</v>
      </c>
      <c r="M90" s="21" t="s">
        <v>267</v>
      </c>
      <c r="N90" s="21"/>
      <c r="O90" s="7"/>
      <c r="P90" s="7"/>
      <c r="Q90" s="21"/>
      <c r="R90" s="2"/>
      <c r="S90" s="2">
        <f t="shared" si="23"/>
        <v>0</v>
      </c>
      <c r="T90" s="2">
        <f t="shared" si="24"/>
        <v>1</v>
      </c>
      <c r="U90" s="2">
        <f t="shared" si="25"/>
        <v>0</v>
      </c>
      <c r="V90" s="2">
        <f t="shared" si="26"/>
        <v>0</v>
      </c>
      <c r="W90" s="2">
        <f t="shared" si="27"/>
        <v>0</v>
      </c>
      <c r="X90" s="2">
        <f t="shared" si="28"/>
        <v>0</v>
      </c>
      <c r="Y90" s="2">
        <f t="shared" si="29"/>
        <v>0</v>
      </c>
      <c r="Z90" s="2">
        <f t="shared" si="30"/>
        <v>0</v>
      </c>
      <c r="AA90" s="2">
        <f t="shared" si="31"/>
        <v>0</v>
      </c>
      <c r="AB90" s="2">
        <f t="shared" si="32"/>
        <v>0</v>
      </c>
      <c r="AC90" s="2"/>
      <c r="AD90" s="2">
        <f t="shared" si="33"/>
        <v>0</v>
      </c>
      <c r="AE90" s="2">
        <f t="shared" si="34"/>
        <v>0</v>
      </c>
      <c r="AF90" s="2">
        <f t="shared" si="35"/>
        <v>0</v>
      </c>
      <c r="AG90" s="2">
        <f t="shared" si="36"/>
        <v>0</v>
      </c>
      <c r="AH90" s="2">
        <f t="shared" si="37"/>
        <v>0</v>
      </c>
      <c r="AI90" s="2">
        <f t="shared" si="38"/>
        <v>1</v>
      </c>
    </row>
    <row r="91" spans="1:16384" s="3" customFormat="1" ht="14.25" customHeight="1" x14ac:dyDescent="0.25">
      <c r="A91" s="29">
        <v>0</v>
      </c>
      <c r="B91" s="29">
        <v>1</v>
      </c>
      <c r="C91" s="29">
        <v>7</v>
      </c>
      <c r="D91" s="30" t="s">
        <v>41</v>
      </c>
      <c r="E91" s="30" t="s">
        <v>32</v>
      </c>
      <c r="F91" s="30" t="s">
        <v>365</v>
      </c>
      <c r="G91" s="30" t="s">
        <v>91</v>
      </c>
      <c r="H91" s="30" t="s">
        <v>165</v>
      </c>
      <c r="I91" s="29" t="s">
        <v>372</v>
      </c>
      <c r="J91" s="29">
        <v>6</v>
      </c>
      <c r="K91" s="29" t="s">
        <v>318</v>
      </c>
      <c r="L91" s="29" t="s">
        <v>335</v>
      </c>
      <c r="M91" s="30" t="s">
        <v>298</v>
      </c>
      <c r="N91" s="30" t="s">
        <v>893</v>
      </c>
      <c r="O91" s="31">
        <v>1</v>
      </c>
      <c r="P91" s="31"/>
      <c r="Q91" s="30"/>
      <c r="R91" s="2"/>
      <c r="S91" s="2">
        <f t="shared" si="23"/>
        <v>0</v>
      </c>
      <c r="T91" s="2">
        <f t="shared" si="24"/>
        <v>0</v>
      </c>
      <c r="U91" s="2">
        <f t="shared" si="25"/>
        <v>0</v>
      </c>
      <c r="V91" s="2">
        <f t="shared" si="26"/>
        <v>0</v>
      </c>
      <c r="W91" s="2">
        <f t="shared" si="27"/>
        <v>0</v>
      </c>
      <c r="X91" s="2">
        <f t="shared" si="28"/>
        <v>1</v>
      </c>
      <c r="Y91" s="2">
        <f t="shared" si="29"/>
        <v>0</v>
      </c>
      <c r="Z91" s="2">
        <f t="shared" si="30"/>
        <v>0</v>
      </c>
      <c r="AA91" s="2">
        <f t="shared" si="31"/>
        <v>0</v>
      </c>
      <c r="AB91" s="2">
        <f t="shared" si="32"/>
        <v>0</v>
      </c>
      <c r="AC91" s="2"/>
      <c r="AD91" s="2">
        <f t="shared" si="33"/>
        <v>0</v>
      </c>
      <c r="AE91" s="2">
        <f t="shared" si="34"/>
        <v>1</v>
      </c>
      <c r="AF91" s="2">
        <f t="shared" si="35"/>
        <v>0</v>
      </c>
      <c r="AG91" s="2">
        <f t="shared" si="36"/>
        <v>1</v>
      </c>
      <c r="AH91" s="2">
        <f t="shared" si="37"/>
        <v>0</v>
      </c>
      <c r="AI91" s="2">
        <f t="shared" si="38"/>
        <v>1</v>
      </c>
    </row>
    <row r="92" spans="1:16384" s="3" customFormat="1" ht="14.25" customHeight="1" x14ac:dyDescent="0.25">
      <c r="A92" s="29">
        <v>1</v>
      </c>
      <c r="B92" s="29">
        <v>1</v>
      </c>
      <c r="C92" s="29">
        <v>7</v>
      </c>
      <c r="D92" s="30" t="s">
        <v>41</v>
      </c>
      <c r="E92" s="30" t="s">
        <v>32</v>
      </c>
      <c r="F92" s="30" t="s">
        <v>142</v>
      </c>
      <c r="G92" s="30" t="s">
        <v>130</v>
      </c>
      <c r="H92" s="30" t="s">
        <v>165</v>
      </c>
      <c r="I92" s="29" t="s">
        <v>188</v>
      </c>
      <c r="J92" s="29">
        <v>10</v>
      </c>
      <c r="K92" s="29" t="s">
        <v>318</v>
      </c>
      <c r="L92" s="29" t="s">
        <v>335</v>
      </c>
      <c r="M92" s="30" t="s">
        <v>298</v>
      </c>
      <c r="N92" s="30" t="s">
        <v>893</v>
      </c>
      <c r="O92" s="31">
        <v>1</v>
      </c>
      <c r="P92" s="31"/>
      <c r="Q92" s="30"/>
      <c r="R92" s="2"/>
      <c r="S92" s="2">
        <f t="shared" si="23"/>
        <v>0</v>
      </c>
      <c r="T92" s="2">
        <f t="shared" si="24"/>
        <v>0</v>
      </c>
      <c r="U92" s="2">
        <f t="shared" si="25"/>
        <v>0</v>
      </c>
      <c r="V92" s="2">
        <f t="shared" si="26"/>
        <v>0</v>
      </c>
      <c r="W92" s="2">
        <f t="shared" si="27"/>
        <v>0</v>
      </c>
      <c r="X92" s="2">
        <f t="shared" si="28"/>
        <v>0</v>
      </c>
      <c r="Y92" s="2">
        <f t="shared" si="29"/>
        <v>0</v>
      </c>
      <c r="Z92" s="2">
        <f t="shared" si="30"/>
        <v>0</v>
      </c>
      <c r="AA92" s="2">
        <f t="shared" si="31"/>
        <v>0</v>
      </c>
      <c r="AB92" s="2">
        <f t="shared" si="32"/>
        <v>1</v>
      </c>
      <c r="AC92" s="2"/>
      <c r="AD92" s="2">
        <f t="shared" si="33"/>
        <v>0</v>
      </c>
      <c r="AE92" s="2">
        <f t="shared" si="34"/>
        <v>1</v>
      </c>
      <c r="AF92" s="2">
        <f t="shared" si="35"/>
        <v>0</v>
      </c>
      <c r="AG92" s="2">
        <f t="shared" si="36"/>
        <v>0</v>
      </c>
      <c r="AH92" s="2">
        <f t="shared" si="37"/>
        <v>0</v>
      </c>
      <c r="AI92" s="2">
        <f t="shared" si="38"/>
        <v>0</v>
      </c>
    </row>
    <row r="93" spans="1:16384" s="3" customFormat="1" ht="14.25" customHeight="1" x14ac:dyDescent="0.25">
      <c r="A93" s="29">
        <v>1</v>
      </c>
      <c r="B93" s="29">
        <v>1</v>
      </c>
      <c r="C93" s="29">
        <v>7</v>
      </c>
      <c r="D93" s="30" t="s">
        <v>41</v>
      </c>
      <c r="E93" s="30" t="s">
        <v>32</v>
      </c>
      <c r="F93" s="30" t="s">
        <v>143</v>
      </c>
      <c r="G93" s="30" t="s">
        <v>122</v>
      </c>
      <c r="H93" s="30" t="s">
        <v>165</v>
      </c>
      <c r="I93" s="29" t="s">
        <v>189</v>
      </c>
      <c r="J93" s="29">
        <v>6</v>
      </c>
      <c r="K93" s="29" t="s">
        <v>318</v>
      </c>
      <c r="L93" s="29" t="s">
        <v>335</v>
      </c>
      <c r="M93" s="30" t="s">
        <v>298</v>
      </c>
      <c r="N93" s="30" t="s">
        <v>893</v>
      </c>
      <c r="O93" s="31">
        <v>1</v>
      </c>
      <c r="P93" s="31"/>
      <c r="Q93" s="30"/>
      <c r="R93" s="2"/>
      <c r="S93" s="2">
        <f t="shared" si="23"/>
        <v>0</v>
      </c>
      <c r="T93" s="2">
        <f t="shared" si="24"/>
        <v>0</v>
      </c>
      <c r="U93" s="2">
        <f t="shared" si="25"/>
        <v>0</v>
      </c>
      <c r="V93" s="2">
        <f t="shared" si="26"/>
        <v>0</v>
      </c>
      <c r="W93" s="2">
        <f t="shared" si="27"/>
        <v>0</v>
      </c>
      <c r="X93" s="2">
        <f t="shared" si="28"/>
        <v>1</v>
      </c>
      <c r="Y93" s="2">
        <f t="shared" si="29"/>
        <v>0</v>
      </c>
      <c r="Z93" s="2">
        <f t="shared" si="30"/>
        <v>0</v>
      </c>
      <c r="AA93" s="2">
        <f t="shared" si="31"/>
        <v>0</v>
      </c>
      <c r="AB93" s="2">
        <f t="shared" si="32"/>
        <v>0</v>
      </c>
      <c r="AC93" s="2"/>
      <c r="AD93" s="2">
        <f t="shared" si="33"/>
        <v>0</v>
      </c>
      <c r="AE93" s="2">
        <f t="shared" si="34"/>
        <v>1</v>
      </c>
      <c r="AF93" s="2">
        <f t="shared" si="35"/>
        <v>0</v>
      </c>
      <c r="AG93" s="2">
        <f t="shared" si="36"/>
        <v>0</v>
      </c>
      <c r="AH93" s="2">
        <f t="shared" si="37"/>
        <v>0</v>
      </c>
      <c r="AI93" s="2">
        <f t="shared" si="38"/>
        <v>0</v>
      </c>
    </row>
    <row r="94" spans="1:16384" s="3" customFormat="1" ht="14.25" customHeight="1" x14ac:dyDescent="0.25">
      <c r="A94" s="29">
        <v>1</v>
      </c>
      <c r="B94" s="29">
        <v>1</v>
      </c>
      <c r="C94" s="29">
        <v>7</v>
      </c>
      <c r="D94" s="30" t="s">
        <v>41</v>
      </c>
      <c r="E94" s="30" t="s">
        <v>32</v>
      </c>
      <c r="F94" s="30" t="s">
        <v>666</v>
      </c>
      <c r="G94" s="30" t="s">
        <v>668</v>
      </c>
      <c r="H94" s="30" t="s">
        <v>165</v>
      </c>
      <c r="I94" s="29" t="s">
        <v>667</v>
      </c>
      <c r="J94" s="29">
        <v>99</v>
      </c>
      <c r="K94" s="29" t="s">
        <v>318</v>
      </c>
      <c r="L94" s="29" t="s">
        <v>335</v>
      </c>
      <c r="M94" s="30" t="s">
        <v>298</v>
      </c>
      <c r="N94" s="30" t="s">
        <v>893</v>
      </c>
      <c r="O94" s="31">
        <v>1</v>
      </c>
      <c r="P94" s="31"/>
      <c r="Q94" s="30"/>
      <c r="R94" s="2"/>
      <c r="S94" s="2">
        <f t="shared" si="23"/>
        <v>0</v>
      </c>
      <c r="T94" s="2">
        <f t="shared" si="24"/>
        <v>0</v>
      </c>
      <c r="U94" s="2">
        <f t="shared" si="25"/>
        <v>0</v>
      </c>
      <c r="V94" s="2">
        <f t="shared" si="26"/>
        <v>0</v>
      </c>
      <c r="W94" s="2">
        <f t="shared" si="27"/>
        <v>0</v>
      </c>
      <c r="X94" s="2">
        <f t="shared" si="28"/>
        <v>0</v>
      </c>
      <c r="Y94" s="2">
        <f t="shared" si="29"/>
        <v>0</v>
      </c>
      <c r="Z94" s="2">
        <f t="shared" si="30"/>
        <v>0</v>
      </c>
      <c r="AA94" s="2">
        <f t="shared" si="31"/>
        <v>0</v>
      </c>
      <c r="AB94" s="2">
        <f t="shared" si="32"/>
        <v>0</v>
      </c>
      <c r="AC94" s="2"/>
      <c r="AD94" s="2">
        <f t="shared" si="33"/>
        <v>0</v>
      </c>
      <c r="AE94" s="2">
        <f t="shared" si="34"/>
        <v>1</v>
      </c>
      <c r="AF94" s="2">
        <f t="shared" si="35"/>
        <v>0</v>
      </c>
      <c r="AG94" s="2">
        <f t="shared" si="36"/>
        <v>0</v>
      </c>
      <c r="AH94" s="2">
        <f t="shared" si="37"/>
        <v>0</v>
      </c>
      <c r="AI94" s="2">
        <f t="shared" si="38"/>
        <v>0</v>
      </c>
    </row>
    <row r="95" spans="1:16384" s="3" customFormat="1" ht="14.25" customHeight="1" x14ac:dyDescent="0.25">
      <c r="A95" s="29">
        <v>1</v>
      </c>
      <c r="B95" s="29">
        <v>1</v>
      </c>
      <c r="C95" s="29">
        <v>7</v>
      </c>
      <c r="D95" s="30" t="s">
        <v>41</v>
      </c>
      <c r="E95" s="30" t="s">
        <v>32</v>
      </c>
      <c r="F95" s="30" t="s">
        <v>364</v>
      </c>
      <c r="G95" s="30" t="s">
        <v>93</v>
      </c>
      <c r="H95" s="30" t="s">
        <v>165</v>
      </c>
      <c r="I95" s="29" t="s">
        <v>371</v>
      </c>
      <c r="J95" s="29">
        <v>8</v>
      </c>
      <c r="K95" s="29" t="s">
        <v>318</v>
      </c>
      <c r="L95" s="29" t="s">
        <v>335</v>
      </c>
      <c r="M95" s="30" t="s">
        <v>298</v>
      </c>
      <c r="N95" s="30" t="s">
        <v>893</v>
      </c>
      <c r="O95" s="31">
        <v>1</v>
      </c>
      <c r="P95" s="31"/>
      <c r="Q95" s="30"/>
      <c r="R95" s="2"/>
      <c r="S95" s="2">
        <f t="shared" si="23"/>
        <v>0</v>
      </c>
      <c r="T95" s="2">
        <f t="shared" si="24"/>
        <v>0</v>
      </c>
      <c r="U95" s="2">
        <f t="shared" si="25"/>
        <v>0</v>
      </c>
      <c r="V95" s="2">
        <f t="shared" si="26"/>
        <v>0</v>
      </c>
      <c r="W95" s="2">
        <f t="shared" si="27"/>
        <v>0</v>
      </c>
      <c r="X95" s="2">
        <f t="shared" si="28"/>
        <v>0</v>
      </c>
      <c r="Y95" s="2">
        <f t="shared" si="29"/>
        <v>0</v>
      </c>
      <c r="Z95" s="2">
        <f t="shared" si="30"/>
        <v>1</v>
      </c>
      <c r="AA95" s="2">
        <f t="shared" si="31"/>
        <v>0</v>
      </c>
      <c r="AB95" s="2">
        <f t="shared" si="32"/>
        <v>0</v>
      </c>
      <c r="AC95" s="2"/>
      <c r="AD95" s="2">
        <f t="shared" si="33"/>
        <v>0</v>
      </c>
      <c r="AE95" s="2">
        <f t="shared" si="34"/>
        <v>1</v>
      </c>
      <c r="AF95" s="2">
        <f t="shared" si="35"/>
        <v>0</v>
      </c>
      <c r="AG95" s="2">
        <f t="shared" si="36"/>
        <v>0</v>
      </c>
      <c r="AH95" s="2">
        <f t="shared" si="37"/>
        <v>0</v>
      </c>
      <c r="AI95" s="2">
        <f t="shared" si="38"/>
        <v>0</v>
      </c>
    </row>
    <row r="96" spans="1:16384" s="3" customFormat="1" ht="14.25" customHeight="1" x14ac:dyDescent="0.25">
      <c r="A96" s="29">
        <v>1</v>
      </c>
      <c r="B96" s="29">
        <v>1</v>
      </c>
      <c r="C96" s="29">
        <v>7</v>
      </c>
      <c r="D96" s="30" t="s">
        <v>41</v>
      </c>
      <c r="E96" s="30" t="s">
        <v>32</v>
      </c>
      <c r="F96" s="30" t="s">
        <v>245</v>
      </c>
      <c r="G96" s="30" t="s">
        <v>125</v>
      </c>
      <c r="H96" s="30" t="s">
        <v>165</v>
      </c>
      <c r="I96" s="29" t="s">
        <v>246</v>
      </c>
      <c r="J96" s="29">
        <v>99</v>
      </c>
      <c r="K96" s="29" t="s">
        <v>318</v>
      </c>
      <c r="L96" s="29" t="s">
        <v>335</v>
      </c>
      <c r="M96" s="30" t="s">
        <v>298</v>
      </c>
      <c r="N96" s="30" t="s">
        <v>893</v>
      </c>
      <c r="O96" s="31">
        <v>1</v>
      </c>
      <c r="P96" s="31"/>
      <c r="Q96" s="30"/>
      <c r="R96" s="2"/>
      <c r="S96" s="2">
        <f t="shared" si="23"/>
        <v>0</v>
      </c>
      <c r="T96" s="2">
        <f t="shared" si="24"/>
        <v>0</v>
      </c>
      <c r="U96" s="2">
        <f t="shared" si="25"/>
        <v>0</v>
      </c>
      <c r="V96" s="2">
        <f t="shared" si="26"/>
        <v>0</v>
      </c>
      <c r="W96" s="2">
        <f t="shared" si="27"/>
        <v>0</v>
      </c>
      <c r="X96" s="2">
        <f t="shared" si="28"/>
        <v>0</v>
      </c>
      <c r="Y96" s="2">
        <f t="shared" si="29"/>
        <v>0</v>
      </c>
      <c r="Z96" s="2">
        <f t="shared" si="30"/>
        <v>0</v>
      </c>
      <c r="AA96" s="2">
        <f t="shared" si="31"/>
        <v>0</v>
      </c>
      <c r="AB96" s="2">
        <f t="shared" si="32"/>
        <v>0</v>
      </c>
      <c r="AC96" s="2"/>
      <c r="AD96" s="2">
        <f t="shared" si="33"/>
        <v>0</v>
      </c>
      <c r="AE96" s="2">
        <f t="shared" si="34"/>
        <v>1</v>
      </c>
      <c r="AF96" s="2">
        <f t="shared" si="35"/>
        <v>0</v>
      </c>
      <c r="AG96" s="2">
        <f t="shared" si="36"/>
        <v>0</v>
      </c>
      <c r="AH96" s="2">
        <f t="shared" si="37"/>
        <v>0</v>
      </c>
      <c r="AI96" s="2">
        <f t="shared" si="38"/>
        <v>0</v>
      </c>
    </row>
    <row r="97" spans="1:35" ht="14.25" customHeight="1" x14ac:dyDescent="0.25">
      <c r="A97" s="29">
        <v>0</v>
      </c>
      <c r="B97" s="29">
        <v>1</v>
      </c>
      <c r="C97" s="29">
        <v>7</v>
      </c>
      <c r="D97" s="30" t="s">
        <v>569</v>
      </c>
      <c r="E97" s="30" t="s">
        <v>32</v>
      </c>
      <c r="F97" s="30" t="s">
        <v>583</v>
      </c>
      <c r="G97" s="30" t="s">
        <v>309</v>
      </c>
      <c r="H97" s="30" t="s">
        <v>165</v>
      </c>
      <c r="I97" s="29" t="s">
        <v>526</v>
      </c>
      <c r="J97" s="29">
        <v>1</v>
      </c>
      <c r="K97" s="29" t="s">
        <v>321</v>
      </c>
      <c r="L97" s="29" t="s">
        <v>40</v>
      </c>
      <c r="M97" s="30" t="s">
        <v>40</v>
      </c>
      <c r="N97" s="30" t="s">
        <v>880</v>
      </c>
      <c r="O97" s="31">
        <v>1</v>
      </c>
      <c r="P97" s="31">
        <v>1</v>
      </c>
      <c r="Q97" s="30"/>
      <c r="S97" s="2">
        <f t="shared" si="23"/>
        <v>1</v>
      </c>
      <c r="T97" s="2">
        <f t="shared" si="24"/>
        <v>0</v>
      </c>
      <c r="U97" s="2">
        <f t="shared" si="25"/>
        <v>0</v>
      </c>
      <c r="V97" s="2">
        <f t="shared" si="26"/>
        <v>0</v>
      </c>
      <c r="W97" s="2">
        <f t="shared" si="27"/>
        <v>0</v>
      </c>
      <c r="X97" s="2">
        <f t="shared" si="28"/>
        <v>0</v>
      </c>
      <c r="Y97" s="2">
        <f t="shared" si="29"/>
        <v>0</v>
      </c>
      <c r="Z97" s="2">
        <f t="shared" si="30"/>
        <v>0</v>
      </c>
      <c r="AA97" s="2">
        <f t="shared" si="31"/>
        <v>0</v>
      </c>
      <c r="AB97" s="2">
        <f t="shared" si="32"/>
        <v>0</v>
      </c>
      <c r="AD97" s="2">
        <f t="shared" si="33"/>
        <v>1</v>
      </c>
      <c r="AE97" s="2">
        <f t="shared" si="34"/>
        <v>0</v>
      </c>
      <c r="AF97" s="2">
        <f t="shared" si="35"/>
        <v>1</v>
      </c>
      <c r="AG97" s="2">
        <f t="shared" si="36"/>
        <v>0</v>
      </c>
      <c r="AH97" s="2">
        <f t="shared" si="37"/>
        <v>1</v>
      </c>
      <c r="AI97" s="2">
        <f t="shared" si="38"/>
        <v>0</v>
      </c>
    </row>
    <row r="98" spans="1:35" ht="14.25" customHeight="1" x14ac:dyDescent="0.25">
      <c r="A98" s="29">
        <v>0</v>
      </c>
      <c r="B98" s="29">
        <v>1</v>
      </c>
      <c r="C98" s="29">
        <v>7</v>
      </c>
      <c r="D98" s="30" t="s">
        <v>237</v>
      </c>
      <c r="E98" s="30" t="s">
        <v>238</v>
      </c>
      <c r="F98" s="30" t="s">
        <v>239</v>
      </c>
      <c r="G98" s="30" t="s">
        <v>96</v>
      </c>
      <c r="H98" s="30" t="s">
        <v>165</v>
      </c>
      <c r="I98" s="29" t="s">
        <v>240</v>
      </c>
      <c r="J98" s="29">
        <v>3</v>
      </c>
      <c r="K98" s="29" t="s">
        <v>321</v>
      </c>
      <c r="L98" s="29" t="s">
        <v>335</v>
      </c>
      <c r="M98" s="30" t="s">
        <v>340</v>
      </c>
      <c r="N98" s="30" t="s">
        <v>890</v>
      </c>
      <c r="O98" s="31">
        <v>1</v>
      </c>
      <c r="P98" s="31"/>
      <c r="Q98" s="30"/>
      <c r="S98" s="2">
        <f t="shared" si="23"/>
        <v>0</v>
      </c>
      <c r="T98" s="2">
        <f t="shared" si="24"/>
        <v>0</v>
      </c>
      <c r="U98" s="2">
        <f t="shared" si="25"/>
        <v>1</v>
      </c>
      <c r="V98" s="2">
        <f t="shared" si="26"/>
        <v>0</v>
      </c>
      <c r="W98" s="2">
        <f t="shared" si="27"/>
        <v>0</v>
      </c>
      <c r="X98" s="2">
        <f t="shared" si="28"/>
        <v>0</v>
      </c>
      <c r="Y98" s="2">
        <f t="shared" si="29"/>
        <v>0</v>
      </c>
      <c r="Z98" s="2">
        <f t="shared" si="30"/>
        <v>0</v>
      </c>
      <c r="AA98" s="2">
        <f t="shared" si="31"/>
        <v>0</v>
      </c>
      <c r="AB98" s="2">
        <f t="shared" si="32"/>
        <v>0</v>
      </c>
      <c r="AD98" s="2">
        <f t="shared" si="33"/>
        <v>0</v>
      </c>
      <c r="AE98" s="2">
        <f t="shared" si="34"/>
        <v>1</v>
      </c>
      <c r="AF98" s="2">
        <f t="shared" si="35"/>
        <v>0</v>
      </c>
      <c r="AG98" s="2">
        <f t="shared" si="36"/>
        <v>1</v>
      </c>
      <c r="AH98" s="2">
        <f t="shared" si="37"/>
        <v>0</v>
      </c>
      <c r="AI98" s="2">
        <f t="shared" si="38"/>
        <v>1</v>
      </c>
    </row>
    <row r="99" spans="1:35" ht="14.25" customHeight="1" x14ac:dyDescent="0.25">
      <c r="A99" s="29">
        <v>0</v>
      </c>
      <c r="B99" s="29">
        <v>1</v>
      </c>
      <c r="C99" s="29">
        <v>7</v>
      </c>
      <c r="D99" s="30" t="s">
        <v>230</v>
      </c>
      <c r="E99" s="30" t="s">
        <v>32</v>
      </c>
      <c r="F99" s="30" t="s">
        <v>664</v>
      </c>
      <c r="G99" s="30" t="s">
        <v>96</v>
      </c>
      <c r="H99" s="30" t="s">
        <v>165</v>
      </c>
      <c r="I99" s="29" t="s">
        <v>831</v>
      </c>
      <c r="J99" s="29">
        <v>1</v>
      </c>
      <c r="K99" s="29" t="s">
        <v>320</v>
      </c>
      <c r="L99" s="29" t="s">
        <v>343</v>
      </c>
      <c r="M99" s="30" t="s">
        <v>744</v>
      </c>
      <c r="N99" s="30" t="s">
        <v>883</v>
      </c>
      <c r="O99" s="31">
        <v>1</v>
      </c>
      <c r="P99" s="31"/>
      <c r="Q99" s="30"/>
      <c r="S99" s="2">
        <f t="shared" si="23"/>
        <v>1</v>
      </c>
      <c r="T99" s="2">
        <f t="shared" si="24"/>
        <v>0</v>
      </c>
      <c r="U99" s="2">
        <f t="shared" si="25"/>
        <v>0</v>
      </c>
      <c r="V99" s="2">
        <f t="shared" si="26"/>
        <v>0</v>
      </c>
      <c r="W99" s="2">
        <f t="shared" si="27"/>
        <v>0</v>
      </c>
      <c r="X99" s="2">
        <f t="shared" si="28"/>
        <v>0</v>
      </c>
      <c r="Y99" s="2">
        <f t="shared" si="29"/>
        <v>0</v>
      </c>
      <c r="Z99" s="2">
        <f t="shared" si="30"/>
        <v>0</v>
      </c>
      <c r="AA99" s="2">
        <f t="shared" si="31"/>
        <v>0</v>
      </c>
      <c r="AB99" s="2">
        <f t="shared" si="32"/>
        <v>0</v>
      </c>
      <c r="AD99" s="2">
        <f t="shared" si="33"/>
        <v>0</v>
      </c>
      <c r="AE99" s="2">
        <f t="shared" si="34"/>
        <v>1</v>
      </c>
      <c r="AF99" s="2">
        <f t="shared" si="35"/>
        <v>0</v>
      </c>
      <c r="AG99" s="2">
        <f t="shared" si="36"/>
        <v>1</v>
      </c>
      <c r="AH99" s="2">
        <f t="shared" si="37"/>
        <v>0</v>
      </c>
      <c r="AI99" s="2">
        <f t="shared" si="38"/>
        <v>1</v>
      </c>
    </row>
    <row r="100" spans="1:35" ht="14.25" customHeight="1" x14ac:dyDescent="0.25">
      <c r="A100" s="29">
        <v>1</v>
      </c>
      <c r="B100" s="29">
        <v>1</v>
      </c>
      <c r="C100" s="29">
        <v>7</v>
      </c>
      <c r="D100" s="30" t="s">
        <v>230</v>
      </c>
      <c r="E100" s="30" t="s">
        <v>32</v>
      </c>
      <c r="F100" s="30" t="s">
        <v>257</v>
      </c>
      <c r="G100" s="30" t="s">
        <v>38</v>
      </c>
      <c r="H100" s="30" t="s">
        <v>165</v>
      </c>
      <c r="I100" s="29" t="s">
        <v>231</v>
      </c>
      <c r="J100" s="29">
        <v>1</v>
      </c>
      <c r="K100" s="29" t="s">
        <v>320</v>
      </c>
      <c r="L100" s="29" t="s">
        <v>343</v>
      </c>
      <c r="M100" s="30" t="s">
        <v>744</v>
      </c>
      <c r="N100" s="30" t="s">
        <v>883</v>
      </c>
      <c r="O100" s="31">
        <v>1</v>
      </c>
      <c r="P100" s="31"/>
      <c r="Q100" s="30"/>
      <c r="S100" s="2">
        <f t="shared" si="23"/>
        <v>1</v>
      </c>
      <c r="T100" s="2">
        <f t="shared" si="24"/>
        <v>0</v>
      </c>
      <c r="U100" s="2">
        <f t="shared" si="25"/>
        <v>0</v>
      </c>
      <c r="V100" s="2">
        <f t="shared" si="26"/>
        <v>0</v>
      </c>
      <c r="W100" s="2">
        <f t="shared" si="27"/>
        <v>0</v>
      </c>
      <c r="X100" s="2">
        <f t="shared" si="28"/>
        <v>0</v>
      </c>
      <c r="Y100" s="2">
        <f t="shared" si="29"/>
        <v>0</v>
      </c>
      <c r="Z100" s="2">
        <f t="shared" si="30"/>
        <v>0</v>
      </c>
      <c r="AA100" s="2">
        <f t="shared" si="31"/>
        <v>0</v>
      </c>
      <c r="AB100" s="2">
        <f t="shared" si="32"/>
        <v>0</v>
      </c>
      <c r="AD100" s="2">
        <f t="shared" si="33"/>
        <v>0</v>
      </c>
      <c r="AE100" s="2">
        <f t="shared" si="34"/>
        <v>1</v>
      </c>
      <c r="AF100" s="2">
        <f t="shared" si="35"/>
        <v>0</v>
      </c>
      <c r="AG100" s="2">
        <f t="shared" si="36"/>
        <v>0</v>
      </c>
      <c r="AH100" s="2">
        <f t="shared" si="37"/>
        <v>0</v>
      </c>
      <c r="AI100" s="2">
        <f t="shared" si="38"/>
        <v>0</v>
      </c>
    </row>
    <row r="101" spans="1:35" ht="14.25" customHeight="1" x14ac:dyDescent="0.25">
      <c r="A101" s="29">
        <v>1</v>
      </c>
      <c r="B101" s="29">
        <v>1</v>
      </c>
      <c r="C101" s="29">
        <v>7</v>
      </c>
      <c r="D101" s="30" t="s">
        <v>230</v>
      </c>
      <c r="E101" s="30" t="s">
        <v>32</v>
      </c>
      <c r="F101" s="30" t="s">
        <v>471</v>
      </c>
      <c r="G101" s="30" t="s">
        <v>92</v>
      </c>
      <c r="H101" s="30" t="s">
        <v>165</v>
      </c>
      <c r="I101" s="29" t="s">
        <v>483</v>
      </c>
      <c r="J101" s="29">
        <v>2</v>
      </c>
      <c r="K101" s="29" t="s">
        <v>320</v>
      </c>
      <c r="L101" s="29" t="s">
        <v>343</v>
      </c>
      <c r="M101" s="30" t="s">
        <v>744</v>
      </c>
      <c r="N101" s="30" t="s">
        <v>883</v>
      </c>
      <c r="O101" s="31">
        <v>1</v>
      </c>
      <c r="P101" s="31"/>
      <c r="Q101" s="30"/>
      <c r="S101" s="2">
        <f t="shared" si="23"/>
        <v>0</v>
      </c>
      <c r="T101" s="2">
        <f t="shared" si="24"/>
        <v>1</v>
      </c>
      <c r="U101" s="2">
        <f t="shared" si="25"/>
        <v>0</v>
      </c>
      <c r="V101" s="2">
        <f t="shared" si="26"/>
        <v>0</v>
      </c>
      <c r="W101" s="2">
        <f t="shared" si="27"/>
        <v>0</v>
      </c>
      <c r="X101" s="2">
        <f t="shared" si="28"/>
        <v>0</v>
      </c>
      <c r="Y101" s="2">
        <f t="shared" si="29"/>
        <v>0</v>
      </c>
      <c r="Z101" s="2">
        <f t="shared" si="30"/>
        <v>0</v>
      </c>
      <c r="AA101" s="2">
        <f t="shared" si="31"/>
        <v>0</v>
      </c>
      <c r="AB101" s="2">
        <f t="shared" si="32"/>
        <v>0</v>
      </c>
      <c r="AD101" s="2">
        <f t="shared" si="33"/>
        <v>0</v>
      </c>
      <c r="AE101" s="2">
        <f t="shared" si="34"/>
        <v>1</v>
      </c>
      <c r="AF101" s="2">
        <f t="shared" si="35"/>
        <v>0</v>
      </c>
      <c r="AG101" s="2">
        <f t="shared" si="36"/>
        <v>0</v>
      </c>
      <c r="AH101" s="2">
        <f t="shared" si="37"/>
        <v>0</v>
      </c>
      <c r="AI101" s="2">
        <f t="shared" si="38"/>
        <v>0</v>
      </c>
    </row>
    <row r="102" spans="1:35" ht="14.25" customHeight="1" x14ac:dyDescent="0.25">
      <c r="A102" s="29">
        <v>0</v>
      </c>
      <c r="B102" s="29">
        <v>1</v>
      </c>
      <c r="C102" s="29">
        <v>7</v>
      </c>
      <c r="D102" s="30" t="s">
        <v>444</v>
      </c>
      <c r="E102" s="30" t="s">
        <v>32</v>
      </c>
      <c r="F102" s="30" t="s">
        <v>652</v>
      </c>
      <c r="G102" s="30" t="s">
        <v>96</v>
      </c>
      <c r="H102" s="30" t="s">
        <v>165</v>
      </c>
      <c r="I102" s="29" t="s">
        <v>653</v>
      </c>
      <c r="J102" s="29">
        <v>3</v>
      </c>
      <c r="K102" s="29" t="s">
        <v>320</v>
      </c>
      <c r="L102" s="29" t="s">
        <v>40</v>
      </c>
      <c r="M102" s="30" t="s">
        <v>40</v>
      </c>
      <c r="N102" s="30" t="s">
        <v>880</v>
      </c>
      <c r="O102" s="31">
        <v>1</v>
      </c>
      <c r="P102" s="31">
        <v>1</v>
      </c>
      <c r="Q102" s="30"/>
      <c r="S102" s="2">
        <f t="shared" si="23"/>
        <v>0</v>
      </c>
      <c r="T102" s="2">
        <f t="shared" si="24"/>
        <v>0</v>
      </c>
      <c r="U102" s="2">
        <f t="shared" si="25"/>
        <v>1</v>
      </c>
      <c r="V102" s="2">
        <f t="shared" si="26"/>
        <v>0</v>
      </c>
      <c r="W102" s="2">
        <f t="shared" si="27"/>
        <v>0</v>
      </c>
      <c r="X102" s="2">
        <f t="shared" si="28"/>
        <v>0</v>
      </c>
      <c r="Y102" s="2">
        <f t="shared" si="29"/>
        <v>0</v>
      </c>
      <c r="Z102" s="2">
        <f t="shared" si="30"/>
        <v>0</v>
      </c>
      <c r="AA102" s="2">
        <f t="shared" si="31"/>
        <v>0</v>
      </c>
      <c r="AB102" s="2">
        <f t="shared" si="32"/>
        <v>0</v>
      </c>
      <c r="AD102" s="2">
        <f t="shared" si="33"/>
        <v>1</v>
      </c>
      <c r="AE102" s="2">
        <f t="shared" si="34"/>
        <v>0</v>
      </c>
      <c r="AF102" s="2">
        <f t="shared" si="35"/>
        <v>1</v>
      </c>
      <c r="AG102" s="2">
        <f t="shared" si="36"/>
        <v>0</v>
      </c>
      <c r="AH102" s="2">
        <f t="shared" si="37"/>
        <v>1</v>
      </c>
      <c r="AI102" s="2">
        <f t="shared" si="38"/>
        <v>0</v>
      </c>
    </row>
    <row r="103" spans="1:35" ht="14.25" customHeight="1" x14ac:dyDescent="0.25">
      <c r="A103" s="29">
        <v>1</v>
      </c>
      <c r="B103" s="29">
        <v>1</v>
      </c>
      <c r="C103" s="29">
        <v>7</v>
      </c>
      <c r="D103" s="30" t="s">
        <v>444</v>
      </c>
      <c r="E103" s="30" t="s">
        <v>32</v>
      </c>
      <c r="F103" s="30" t="s">
        <v>445</v>
      </c>
      <c r="G103" s="30" t="s">
        <v>145</v>
      </c>
      <c r="H103" s="30" t="s">
        <v>165</v>
      </c>
      <c r="I103" s="29" t="s">
        <v>446</v>
      </c>
      <c r="J103" s="29">
        <v>2</v>
      </c>
      <c r="K103" s="29" t="s">
        <v>320</v>
      </c>
      <c r="L103" s="29" t="s">
        <v>40</v>
      </c>
      <c r="M103" s="30" t="s">
        <v>40</v>
      </c>
      <c r="N103" s="30" t="s">
        <v>880</v>
      </c>
      <c r="O103" s="31">
        <v>1</v>
      </c>
      <c r="P103" s="31">
        <v>1</v>
      </c>
      <c r="Q103" s="30"/>
      <c r="S103" s="2">
        <f t="shared" si="23"/>
        <v>0</v>
      </c>
      <c r="T103" s="2">
        <f t="shared" si="24"/>
        <v>1</v>
      </c>
      <c r="U103" s="2">
        <f t="shared" si="25"/>
        <v>0</v>
      </c>
      <c r="V103" s="2">
        <f t="shared" si="26"/>
        <v>0</v>
      </c>
      <c r="W103" s="2">
        <f t="shared" si="27"/>
        <v>0</v>
      </c>
      <c r="X103" s="2">
        <f t="shared" si="28"/>
        <v>0</v>
      </c>
      <c r="Y103" s="2">
        <f t="shared" si="29"/>
        <v>0</v>
      </c>
      <c r="Z103" s="2">
        <f t="shared" si="30"/>
        <v>0</v>
      </c>
      <c r="AA103" s="2">
        <f t="shared" si="31"/>
        <v>0</v>
      </c>
      <c r="AB103" s="2">
        <f t="shared" si="32"/>
        <v>0</v>
      </c>
      <c r="AD103" s="2">
        <f t="shared" si="33"/>
        <v>1</v>
      </c>
      <c r="AE103" s="2">
        <f t="shared" si="34"/>
        <v>0</v>
      </c>
      <c r="AF103" s="2">
        <f t="shared" si="35"/>
        <v>0</v>
      </c>
      <c r="AG103" s="2">
        <f t="shared" si="36"/>
        <v>0</v>
      </c>
      <c r="AH103" s="2">
        <f t="shared" si="37"/>
        <v>0</v>
      </c>
      <c r="AI103" s="2">
        <f t="shared" si="38"/>
        <v>0</v>
      </c>
    </row>
    <row r="104" spans="1:35" ht="14.25" customHeight="1" x14ac:dyDescent="0.25">
      <c r="A104" s="29">
        <v>1</v>
      </c>
      <c r="B104" s="29">
        <v>1</v>
      </c>
      <c r="C104" s="29">
        <v>7</v>
      </c>
      <c r="D104" s="30" t="s">
        <v>444</v>
      </c>
      <c r="E104" s="30" t="s">
        <v>32</v>
      </c>
      <c r="F104" s="30" t="s">
        <v>827</v>
      </c>
      <c r="G104" s="30" t="s">
        <v>124</v>
      </c>
      <c r="H104" s="30" t="s">
        <v>165</v>
      </c>
      <c r="I104" s="29" t="s">
        <v>841</v>
      </c>
      <c r="J104" s="29">
        <v>99</v>
      </c>
      <c r="K104" s="29" t="s">
        <v>320</v>
      </c>
      <c r="L104" s="29" t="s">
        <v>40</v>
      </c>
      <c r="M104" s="30" t="s">
        <v>40</v>
      </c>
      <c r="N104" s="30" t="s">
        <v>880</v>
      </c>
      <c r="O104" s="31">
        <v>1</v>
      </c>
      <c r="P104" s="31">
        <v>1</v>
      </c>
      <c r="Q104" s="30"/>
      <c r="S104" s="2">
        <f t="shared" si="23"/>
        <v>0</v>
      </c>
      <c r="T104" s="2">
        <f t="shared" si="24"/>
        <v>0</v>
      </c>
      <c r="U104" s="2">
        <f t="shared" si="25"/>
        <v>0</v>
      </c>
      <c r="V104" s="2">
        <f t="shared" si="26"/>
        <v>0</v>
      </c>
      <c r="W104" s="2">
        <f t="shared" si="27"/>
        <v>0</v>
      </c>
      <c r="X104" s="2">
        <f t="shared" si="28"/>
        <v>0</v>
      </c>
      <c r="Y104" s="2">
        <f t="shared" si="29"/>
        <v>0</v>
      </c>
      <c r="Z104" s="2">
        <f t="shared" si="30"/>
        <v>0</v>
      </c>
      <c r="AA104" s="2">
        <f t="shared" si="31"/>
        <v>0</v>
      </c>
      <c r="AB104" s="2">
        <f t="shared" si="32"/>
        <v>0</v>
      </c>
      <c r="AD104" s="2">
        <f t="shared" si="33"/>
        <v>1</v>
      </c>
      <c r="AE104" s="2">
        <f t="shared" si="34"/>
        <v>0</v>
      </c>
      <c r="AF104" s="2">
        <f t="shared" si="35"/>
        <v>0</v>
      </c>
      <c r="AG104" s="2">
        <f t="shared" si="36"/>
        <v>0</v>
      </c>
      <c r="AH104" s="2">
        <f t="shared" si="37"/>
        <v>0</v>
      </c>
      <c r="AI104" s="2">
        <f t="shared" si="38"/>
        <v>0</v>
      </c>
    </row>
    <row r="105" spans="1:35" ht="14.25" customHeight="1" x14ac:dyDescent="0.25">
      <c r="A105" s="29">
        <v>1</v>
      </c>
      <c r="B105" s="29">
        <v>1</v>
      </c>
      <c r="C105" s="29">
        <v>7</v>
      </c>
      <c r="D105" s="30" t="s">
        <v>444</v>
      </c>
      <c r="E105" s="30" t="s">
        <v>32</v>
      </c>
      <c r="F105" s="30" t="s">
        <v>828</v>
      </c>
      <c r="G105" s="30" t="s">
        <v>103</v>
      </c>
      <c r="H105" s="30" t="s">
        <v>165</v>
      </c>
      <c r="I105" s="29" t="s">
        <v>842</v>
      </c>
      <c r="J105" s="29">
        <v>2</v>
      </c>
      <c r="K105" s="29" t="s">
        <v>320</v>
      </c>
      <c r="L105" s="29" t="s">
        <v>40</v>
      </c>
      <c r="M105" s="30" t="s">
        <v>40</v>
      </c>
      <c r="N105" s="30" t="s">
        <v>880</v>
      </c>
      <c r="O105" s="31">
        <v>1</v>
      </c>
      <c r="P105" s="31">
        <v>1</v>
      </c>
      <c r="Q105" s="30"/>
      <c r="S105" s="2">
        <f t="shared" si="23"/>
        <v>0</v>
      </c>
      <c r="T105" s="2">
        <f t="shared" si="24"/>
        <v>1</v>
      </c>
      <c r="U105" s="2">
        <f t="shared" si="25"/>
        <v>0</v>
      </c>
      <c r="V105" s="2">
        <f t="shared" si="26"/>
        <v>0</v>
      </c>
      <c r="W105" s="2">
        <f t="shared" si="27"/>
        <v>0</v>
      </c>
      <c r="X105" s="2">
        <f t="shared" si="28"/>
        <v>0</v>
      </c>
      <c r="Y105" s="2">
        <f t="shared" si="29"/>
        <v>0</v>
      </c>
      <c r="Z105" s="2">
        <f t="shared" si="30"/>
        <v>0</v>
      </c>
      <c r="AA105" s="2">
        <f t="shared" si="31"/>
        <v>0</v>
      </c>
      <c r="AB105" s="2">
        <f t="shared" si="32"/>
        <v>0</v>
      </c>
      <c r="AD105" s="2">
        <f t="shared" si="33"/>
        <v>1</v>
      </c>
      <c r="AE105" s="2">
        <f t="shared" si="34"/>
        <v>0</v>
      </c>
      <c r="AF105" s="2">
        <f t="shared" si="35"/>
        <v>0</v>
      </c>
      <c r="AG105" s="2">
        <f t="shared" si="36"/>
        <v>0</v>
      </c>
      <c r="AH105" s="2">
        <f t="shared" si="37"/>
        <v>0</v>
      </c>
      <c r="AI105" s="2">
        <f t="shared" si="38"/>
        <v>0</v>
      </c>
    </row>
    <row r="106" spans="1:35" ht="14.25" customHeight="1" x14ac:dyDescent="0.25">
      <c r="A106" s="29">
        <v>0</v>
      </c>
      <c r="B106" s="29">
        <v>1</v>
      </c>
      <c r="C106" s="29">
        <v>7</v>
      </c>
      <c r="D106" s="30" t="s">
        <v>71</v>
      </c>
      <c r="E106" s="30" t="s">
        <v>32</v>
      </c>
      <c r="F106" s="30" t="s">
        <v>150</v>
      </c>
      <c r="G106" s="30" t="s">
        <v>92</v>
      </c>
      <c r="H106" s="30" t="s">
        <v>165</v>
      </c>
      <c r="I106" s="29" t="s">
        <v>194</v>
      </c>
      <c r="J106" s="29">
        <v>2</v>
      </c>
      <c r="K106" s="29" t="s">
        <v>320</v>
      </c>
      <c r="L106" s="29" t="s">
        <v>335</v>
      </c>
      <c r="M106" s="30" t="s">
        <v>268</v>
      </c>
      <c r="N106" s="30" t="s">
        <v>909</v>
      </c>
      <c r="O106" s="31">
        <v>1</v>
      </c>
      <c r="P106" s="31"/>
      <c r="Q106" s="30"/>
      <c r="S106" s="2">
        <f t="shared" si="23"/>
        <v>0</v>
      </c>
      <c r="T106" s="2">
        <f t="shared" si="24"/>
        <v>1</v>
      </c>
      <c r="U106" s="2">
        <f t="shared" si="25"/>
        <v>0</v>
      </c>
      <c r="V106" s="2">
        <f t="shared" si="26"/>
        <v>0</v>
      </c>
      <c r="W106" s="2">
        <f t="shared" si="27"/>
        <v>0</v>
      </c>
      <c r="X106" s="2">
        <f t="shared" si="28"/>
        <v>0</v>
      </c>
      <c r="Y106" s="2">
        <f t="shared" si="29"/>
        <v>0</v>
      </c>
      <c r="Z106" s="2">
        <f t="shared" si="30"/>
        <v>0</v>
      </c>
      <c r="AA106" s="2">
        <f t="shared" si="31"/>
        <v>0</v>
      </c>
      <c r="AB106" s="2">
        <f t="shared" si="32"/>
        <v>0</v>
      </c>
      <c r="AD106" s="2">
        <f t="shared" si="33"/>
        <v>0</v>
      </c>
      <c r="AE106" s="2">
        <f t="shared" si="34"/>
        <v>1</v>
      </c>
      <c r="AF106" s="2">
        <f t="shared" si="35"/>
        <v>0</v>
      </c>
      <c r="AG106" s="2">
        <f t="shared" si="36"/>
        <v>1</v>
      </c>
      <c r="AH106" s="2">
        <f t="shared" si="37"/>
        <v>0</v>
      </c>
      <c r="AI106" s="2">
        <f t="shared" si="38"/>
        <v>1</v>
      </c>
    </row>
    <row r="107" spans="1:35" ht="14.25" customHeight="1" x14ac:dyDescent="0.25">
      <c r="A107" s="29">
        <v>1</v>
      </c>
      <c r="B107" s="29">
        <v>1</v>
      </c>
      <c r="C107" s="29">
        <v>7</v>
      </c>
      <c r="D107" s="30" t="s">
        <v>71</v>
      </c>
      <c r="E107" s="30" t="s">
        <v>32</v>
      </c>
      <c r="F107" s="30" t="s">
        <v>315</v>
      </c>
      <c r="G107" s="30" t="s">
        <v>154</v>
      </c>
      <c r="H107" s="30" t="s">
        <v>165</v>
      </c>
      <c r="I107" s="29" t="s">
        <v>317</v>
      </c>
      <c r="J107" s="29">
        <v>99</v>
      </c>
      <c r="K107" s="29" t="s">
        <v>320</v>
      </c>
      <c r="L107" s="29" t="s">
        <v>335</v>
      </c>
      <c r="M107" s="30" t="s">
        <v>268</v>
      </c>
      <c r="N107" s="30" t="s">
        <v>909</v>
      </c>
      <c r="O107" s="31">
        <v>1</v>
      </c>
      <c r="P107" s="31"/>
      <c r="Q107" s="30"/>
      <c r="S107" s="2">
        <f t="shared" si="23"/>
        <v>0</v>
      </c>
      <c r="T107" s="2">
        <f t="shared" si="24"/>
        <v>0</v>
      </c>
      <c r="U107" s="2">
        <f t="shared" si="25"/>
        <v>0</v>
      </c>
      <c r="V107" s="2">
        <f t="shared" si="26"/>
        <v>0</v>
      </c>
      <c r="W107" s="2">
        <f t="shared" si="27"/>
        <v>0</v>
      </c>
      <c r="X107" s="2">
        <f t="shared" si="28"/>
        <v>0</v>
      </c>
      <c r="Y107" s="2">
        <f t="shared" si="29"/>
        <v>0</v>
      </c>
      <c r="Z107" s="2">
        <f t="shared" si="30"/>
        <v>0</v>
      </c>
      <c r="AA107" s="2">
        <f t="shared" si="31"/>
        <v>0</v>
      </c>
      <c r="AB107" s="2">
        <f t="shared" si="32"/>
        <v>0</v>
      </c>
      <c r="AD107" s="2">
        <f t="shared" si="33"/>
        <v>0</v>
      </c>
      <c r="AE107" s="2">
        <f t="shared" si="34"/>
        <v>1</v>
      </c>
      <c r="AF107" s="2">
        <f t="shared" si="35"/>
        <v>0</v>
      </c>
      <c r="AG107" s="2">
        <f t="shared" si="36"/>
        <v>0</v>
      </c>
      <c r="AH107" s="2">
        <f t="shared" si="37"/>
        <v>0</v>
      </c>
      <c r="AI107" s="2">
        <f t="shared" si="38"/>
        <v>0</v>
      </c>
    </row>
    <row r="108" spans="1:35" ht="14.25" customHeight="1" x14ac:dyDescent="0.25">
      <c r="A108" s="29">
        <v>0</v>
      </c>
      <c r="B108" s="29">
        <v>1</v>
      </c>
      <c r="C108" s="29">
        <v>7</v>
      </c>
      <c r="D108" s="30" t="s">
        <v>925</v>
      </c>
      <c r="E108" s="30" t="s">
        <v>32</v>
      </c>
      <c r="F108" s="30" t="s">
        <v>926</v>
      </c>
      <c r="G108" s="30"/>
      <c r="H108" s="30" t="s">
        <v>165</v>
      </c>
      <c r="I108" s="29" t="s">
        <v>927</v>
      </c>
      <c r="J108" s="29"/>
      <c r="K108" s="29" t="s">
        <v>376</v>
      </c>
      <c r="L108" s="29">
        <v>30</v>
      </c>
      <c r="M108" s="30" t="s">
        <v>928</v>
      </c>
      <c r="N108" s="30" t="s">
        <v>880</v>
      </c>
      <c r="O108" s="31">
        <v>1</v>
      </c>
      <c r="P108" s="31">
        <v>1</v>
      </c>
      <c r="Q108" s="30"/>
      <c r="S108" s="2">
        <f t="shared" si="23"/>
        <v>0</v>
      </c>
      <c r="T108" s="2">
        <f t="shared" si="24"/>
        <v>0</v>
      </c>
      <c r="U108" s="2">
        <f t="shared" si="25"/>
        <v>0</v>
      </c>
      <c r="V108" s="2">
        <f t="shared" si="26"/>
        <v>0</v>
      </c>
      <c r="W108" s="2">
        <f t="shared" si="27"/>
        <v>0</v>
      </c>
      <c r="X108" s="2">
        <f t="shared" si="28"/>
        <v>0</v>
      </c>
      <c r="Y108" s="2">
        <f t="shared" si="29"/>
        <v>0</v>
      </c>
      <c r="Z108" s="2">
        <f t="shared" si="30"/>
        <v>0</v>
      </c>
      <c r="AA108" s="2">
        <f t="shared" si="31"/>
        <v>0</v>
      </c>
      <c r="AB108" s="2">
        <f t="shared" si="32"/>
        <v>0</v>
      </c>
      <c r="AD108" s="2">
        <f t="shared" si="33"/>
        <v>1</v>
      </c>
      <c r="AE108" s="2">
        <f t="shared" si="34"/>
        <v>0</v>
      </c>
      <c r="AF108" s="2">
        <f t="shared" si="35"/>
        <v>1</v>
      </c>
      <c r="AG108" s="2">
        <f t="shared" si="36"/>
        <v>0</v>
      </c>
      <c r="AH108" s="2">
        <f t="shared" si="37"/>
        <v>1</v>
      </c>
      <c r="AI108" s="2">
        <f t="shared" si="38"/>
        <v>0</v>
      </c>
    </row>
    <row r="109" spans="1:35" ht="14.25" customHeight="1" x14ac:dyDescent="0.25">
      <c r="A109" s="29">
        <v>0</v>
      </c>
      <c r="B109" s="29">
        <v>1</v>
      </c>
      <c r="C109" s="29">
        <v>7</v>
      </c>
      <c r="D109" s="30" t="s">
        <v>940</v>
      </c>
      <c r="E109" s="30" t="s">
        <v>32</v>
      </c>
      <c r="F109" s="30" t="s">
        <v>941</v>
      </c>
      <c r="G109" s="30" t="s">
        <v>130</v>
      </c>
      <c r="H109" s="30" t="s">
        <v>165</v>
      </c>
      <c r="I109" s="29" t="s">
        <v>942</v>
      </c>
      <c r="J109" s="29">
        <v>10</v>
      </c>
      <c r="K109" s="29" t="s">
        <v>376</v>
      </c>
      <c r="L109" s="29">
        <v>40</v>
      </c>
      <c r="M109" s="30" t="s">
        <v>981</v>
      </c>
      <c r="N109" s="30" t="s">
        <v>893</v>
      </c>
      <c r="O109" s="31">
        <v>1</v>
      </c>
      <c r="P109" s="31"/>
      <c r="Q109" s="30"/>
      <c r="S109" s="2">
        <f t="shared" si="23"/>
        <v>0</v>
      </c>
      <c r="T109" s="2">
        <f t="shared" si="24"/>
        <v>0</v>
      </c>
      <c r="U109" s="2">
        <f t="shared" si="25"/>
        <v>0</v>
      </c>
      <c r="V109" s="2">
        <f t="shared" si="26"/>
        <v>0</v>
      </c>
      <c r="W109" s="2">
        <f t="shared" si="27"/>
        <v>0</v>
      </c>
      <c r="X109" s="2">
        <f t="shared" si="28"/>
        <v>0</v>
      </c>
      <c r="Y109" s="2">
        <f t="shared" si="29"/>
        <v>0</v>
      </c>
      <c r="Z109" s="2">
        <f t="shared" si="30"/>
        <v>0</v>
      </c>
      <c r="AA109" s="2">
        <f t="shared" si="31"/>
        <v>0</v>
      </c>
      <c r="AB109" s="2">
        <f t="shared" si="32"/>
        <v>1</v>
      </c>
      <c r="AD109" s="2">
        <f t="shared" si="33"/>
        <v>0</v>
      </c>
      <c r="AE109" s="2">
        <f t="shared" si="34"/>
        <v>1</v>
      </c>
      <c r="AF109" s="2">
        <f t="shared" si="35"/>
        <v>0</v>
      </c>
      <c r="AG109" s="2">
        <f t="shared" si="36"/>
        <v>1</v>
      </c>
      <c r="AH109" s="2">
        <f t="shared" si="37"/>
        <v>0</v>
      </c>
      <c r="AI109" s="2">
        <f t="shared" si="38"/>
        <v>1</v>
      </c>
    </row>
    <row r="110" spans="1:35" ht="14.25" customHeight="1" x14ac:dyDescent="0.25">
      <c r="A110" s="29">
        <v>0</v>
      </c>
      <c r="B110" s="29">
        <v>1</v>
      </c>
      <c r="C110" s="29">
        <v>7</v>
      </c>
      <c r="D110" s="30" t="s">
        <v>643</v>
      </c>
      <c r="E110" s="30" t="s">
        <v>32</v>
      </c>
      <c r="F110" s="30" t="s">
        <v>644</v>
      </c>
      <c r="G110" s="30" t="s">
        <v>117</v>
      </c>
      <c r="H110" s="30" t="s">
        <v>165</v>
      </c>
      <c r="I110" s="29" t="s">
        <v>689</v>
      </c>
      <c r="J110" s="29">
        <v>1</v>
      </c>
      <c r="K110" s="29" t="s">
        <v>320</v>
      </c>
      <c r="L110" s="29">
        <v>35</v>
      </c>
      <c r="M110" s="30" t="s">
        <v>982</v>
      </c>
      <c r="N110" s="30" t="s">
        <v>888</v>
      </c>
      <c r="O110" s="31">
        <v>1</v>
      </c>
      <c r="P110" s="31"/>
      <c r="Q110" s="30"/>
      <c r="S110" s="2">
        <f t="shared" si="23"/>
        <v>1</v>
      </c>
      <c r="T110" s="2">
        <f t="shared" si="24"/>
        <v>0</v>
      </c>
      <c r="U110" s="2">
        <f t="shared" si="25"/>
        <v>0</v>
      </c>
      <c r="V110" s="2">
        <f t="shared" si="26"/>
        <v>0</v>
      </c>
      <c r="W110" s="2">
        <f t="shared" si="27"/>
        <v>0</v>
      </c>
      <c r="X110" s="2">
        <f t="shared" si="28"/>
        <v>0</v>
      </c>
      <c r="Y110" s="2">
        <f t="shared" si="29"/>
        <v>0</v>
      </c>
      <c r="Z110" s="2">
        <f t="shared" si="30"/>
        <v>0</v>
      </c>
      <c r="AA110" s="2">
        <f t="shared" si="31"/>
        <v>0</v>
      </c>
      <c r="AB110" s="2">
        <f t="shared" si="32"/>
        <v>0</v>
      </c>
      <c r="AD110" s="2">
        <f t="shared" si="33"/>
        <v>0</v>
      </c>
      <c r="AE110" s="2">
        <f t="shared" si="34"/>
        <v>1</v>
      </c>
      <c r="AF110" s="2">
        <f t="shared" si="35"/>
        <v>0</v>
      </c>
      <c r="AG110" s="2">
        <f t="shared" si="36"/>
        <v>1</v>
      </c>
      <c r="AH110" s="2">
        <f t="shared" si="37"/>
        <v>0</v>
      </c>
      <c r="AI110" s="2">
        <f t="shared" si="38"/>
        <v>1</v>
      </c>
    </row>
    <row r="111" spans="1:35" ht="14.25" customHeight="1" x14ac:dyDescent="0.25">
      <c r="A111" s="29">
        <v>0</v>
      </c>
      <c r="B111" s="29">
        <v>1</v>
      </c>
      <c r="C111" s="29">
        <v>7</v>
      </c>
      <c r="D111" s="30" t="s">
        <v>546</v>
      </c>
      <c r="E111" s="30" t="s">
        <v>32</v>
      </c>
      <c r="F111" s="30" t="s">
        <v>547</v>
      </c>
      <c r="G111" s="30" t="s">
        <v>548</v>
      </c>
      <c r="H111" s="30" t="s">
        <v>165</v>
      </c>
      <c r="I111" s="29" t="s">
        <v>549</v>
      </c>
      <c r="J111" s="29">
        <v>99</v>
      </c>
      <c r="K111" s="29" t="s">
        <v>320</v>
      </c>
      <c r="L111" s="29">
        <v>30</v>
      </c>
      <c r="M111" s="30" t="s">
        <v>298</v>
      </c>
      <c r="N111" s="30" t="s">
        <v>894</v>
      </c>
      <c r="O111" s="31">
        <v>1</v>
      </c>
      <c r="P111" s="31"/>
      <c r="Q111" s="30"/>
      <c r="S111" s="2">
        <f t="shared" si="23"/>
        <v>0</v>
      </c>
      <c r="T111" s="2">
        <f t="shared" si="24"/>
        <v>0</v>
      </c>
      <c r="U111" s="2">
        <f t="shared" si="25"/>
        <v>0</v>
      </c>
      <c r="V111" s="2">
        <f t="shared" si="26"/>
        <v>0</v>
      </c>
      <c r="W111" s="2">
        <f t="shared" si="27"/>
        <v>0</v>
      </c>
      <c r="X111" s="2">
        <f t="shared" si="28"/>
        <v>0</v>
      </c>
      <c r="Y111" s="2">
        <f t="shared" si="29"/>
        <v>0</v>
      </c>
      <c r="Z111" s="2">
        <f t="shared" si="30"/>
        <v>0</v>
      </c>
      <c r="AA111" s="2">
        <f t="shared" si="31"/>
        <v>0</v>
      </c>
      <c r="AB111" s="2">
        <f t="shared" si="32"/>
        <v>0</v>
      </c>
      <c r="AD111" s="2">
        <f t="shared" si="33"/>
        <v>0</v>
      </c>
      <c r="AE111" s="2">
        <f t="shared" si="34"/>
        <v>1</v>
      </c>
      <c r="AF111" s="2">
        <f t="shared" si="35"/>
        <v>0</v>
      </c>
      <c r="AG111" s="2">
        <f t="shared" si="36"/>
        <v>1</v>
      </c>
      <c r="AH111" s="2">
        <f t="shared" si="37"/>
        <v>0</v>
      </c>
      <c r="AI111" s="2">
        <f t="shared" si="38"/>
        <v>1</v>
      </c>
    </row>
    <row r="112" spans="1:35" ht="14.25" customHeight="1" x14ac:dyDescent="0.25">
      <c r="A112" s="29">
        <v>1</v>
      </c>
      <c r="B112" s="29">
        <v>1</v>
      </c>
      <c r="C112" s="29">
        <v>7</v>
      </c>
      <c r="D112" s="30" t="s">
        <v>546</v>
      </c>
      <c r="E112" s="30" t="s">
        <v>32</v>
      </c>
      <c r="F112" s="30" t="s">
        <v>657</v>
      </c>
      <c r="G112" s="30" t="s">
        <v>40</v>
      </c>
      <c r="H112" s="30" t="s">
        <v>165</v>
      </c>
      <c r="I112" s="29" t="s">
        <v>690</v>
      </c>
      <c r="J112" s="29"/>
      <c r="K112" s="29" t="s">
        <v>320</v>
      </c>
      <c r="L112" s="29">
        <v>30</v>
      </c>
      <c r="M112" s="30" t="s">
        <v>298</v>
      </c>
      <c r="N112" s="30" t="s">
        <v>894</v>
      </c>
      <c r="O112" s="31">
        <v>1</v>
      </c>
      <c r="P112" s="31"/>
      <c r="Q112" s="30"/>
      <c r="S112" s="2">
        <f t="shared" si="23"/>
        <v>0</v>
      </c>
      <c r="T112" s="2">
        <f t="shared" si="24"/>
        <v>0</v>
      </c>
      <c r="U112" s="2">
        <f t="shared" si="25"/>
        <v>0</v>
      </c>
      <c r="V112" s="2">
        <f t="shared" si="26"/>
        <v>0</v>
      </c>
      <c r="W112" s="2">
        <f t="shared" si="27"/>
        <v>0</v>
      </c>
      <c r="X112" s="2">
        <f t="shared" si="28"/>
        <v>0</v>
      </c>
      <c r="Y112" s="2">
        <f t="shared" si="29"/>
        <v>0</v>
      </c>
      <c r="Z112" s="2">
        <f t="shared" si="30"/>
        <v>0</v>
      </c>
      <c r="AA112" s="2">
        <f t="shared" si="31"/>
        <v>0</v>
      </c>
      <c r="AB112" s="2">
        <f t="shared" si="32"/>
        <v>0</v>
      </c>
      <c r="AD112" s="2">
        <f t="shared" si="33"/>
        <v>0</v>
      </c>
      <c r="AE112" s="2">
        <f t="shared" si="34"/>
        <v>1</v>
      </c>
      <c r="AF112" s="2">
        <f t="shared" si="35"/>
        <v>0</v>
      </c>
      <c r="AG112" s="2">
        <f t="shared" si="36"/>
        <v>0</v>
      </c>
      <c r="AH112" s="2">
        <f t="shared" si="37"/>
        <v>0</v>
      </c>
      <c r="AI112" s="2">
        <f t="shared" si="38"/>
        <v>0</v>
      </c>
    </row>
    <row r="113" spans="1:35" ht="14.25" customHeight="1" x14ac:dyDescent="0.25">
      <c r="A113" s="20">
        <v>0</v>
      </c>
      <c r="B113" s="20">
        <v>1</v>
      </c>
      <c r="C113" s="20">
        <v>7</v>
      </c>
      <c r="D113" s="21" t="s">
        <v>943</v>
      </c>
      <c r="E113" s="21" t="s">
        <v>32</v>
      </c>
      <c r="F113" s="21" t="s">
        <v>944</v>
      </c>
      <c r="G113" s="21" t="s">
        <v>401</v>
      </c>
      <c r="H113" s="21" t="s">
        <v>165</v>
      </c>
      <c r="I113" s="20" t="s">
        <v>945</v>
      </c>
      <c r="J113" s="20"/>
      <c r="K113" s="20" t="s">
        <v>376</v>
      </c>
      <c r="L113" s="20">
        <v>50</v>
      </c>
      <c r="M113" s="21" t="s">
        <v>946</v>
      </c>
      <c r="N113" s="21"/>
      <c r="O113" s="7"/>
      <c r="P113" s="7"/>
      <c r="Q113" s="21"/>
      <c r="S113" s="2">
        <f t="shared" si="23"/>
        <v>0</v>
      </c>
      <c r="T113" s="2">
        <f t="shared" si="24"/>
        <v>0</v>
      </c>
      <c r="U113" s="2">
        <f t="shared" si="25"/>
        <v>0</v>
      </c>
      <c r="V113" s="2">
        <f t="shared" si="26"/>
        <v>0</v>
      </c>
      <c r="W113" s="2">
        <f t="shared" si="27"/>
        <v>0</v>
      </c>
      <c r="X113" s="2">
        <f t="shared" si="28"/>
        <v>0</v>
      </c>
      <c r="Y113" s="2">
        <f t="shared" si="29"/>
        <v>0</v>
      </c>
      <c r="Z113" s="2">
        <f t="shared" si="30"/>
        <v>0</v>
      </c>
      <c r="AA113" s="2">
        <f t="shared" si="31"/>
        <v>0</v>
      </c>
      <c r="AB113" s="2">
        <f t="shared" si="32"/>
        <v>0</v>
      </c>
      <c r="AD113" s="2">
        <f t="shared" si="33"/>
        <v>0</v>
      </c>
      <c r="AE113" s="2">
        <f t="shared" si="34"/>
        <v>0</v>
      </c>
      <c r="AF113" s="2">
        <f t="shared" si="35"/>
        <v>0</v>
      </c>
      <c r="AG113" s="2">
        <f t="shared" si="36"/>
        <v>0</v>
      </c>
      <c r="AH113" s="2">
        <f t="shared" si="37"/>
        <v>0</v>
      </c>
      <c r="AI113" s="2">
        <f t="shared" si="38"/>
        <v>1</v>
      </c>
    </row>
    <row r="114" spans="1:35" ht="14.25" customHeight="1" x14ac:dyDescent="0.25">
      <c r="A114" s="29">
        <v>0</v>
      </c>
      <c r="B114" s="29">
        <v>2</v>
      </c>
      <c r="C114" s="29">
        <v>1</v>
      </c>
      <c r="D114" s="30" t="s">
        <v>665</v>
      </c>
      <c r="E114" s="30" t="s">
        <v>44</v>
      </c>
      <c r="F114" s="30" t="s">
        <v>616</v>
      </c>
      <c r="G114" s="30" t="s">
        <v>469</v>
      </c>
      <c r="H114" s="30" t="s">
        <v>165</v>
      </c>
      <c r="I114" s="29" t="s">
        <v>617</v>
      </c>
      <c r="J114" s="29">
        <v>99</v>
      </c>
      <c r="K114" s="29" t="s">
        <v>318</v>
      </c>
      <c r="L114" s="29" t="s">
        <v>318</v>
      </c>
      <c r="M114" s="30" t="s">
        <v>269</v>
      </c>
      <c r="N114" s="30" t="s">
        <v>880</v>
      </c>
      <c r="O114" s="31">
        <v>1</v>
      </c>
      <c r="P114" s="31">
        <v>1</v>
      </c>
      <c r="Q114" s="30"/>
      <c r="S114" s="2">
        <f t="shared" si="23"/>
        <v>0</v>
      </c>
      <c r="T114" s="2">
        <f t="shared" si="24"/>
        <v>0</v>
      </c>
      <c r="U114" s="2">
        <f t="shared" si="25"/>
        <v>0</v>
      </c>
      <c r="V114" s="2">
        <f t="shared" si="26"/>
        <v>0</v>
      </c>
      <c r="W114" s="2">
        <f t="shared" si="27"/>
        <v>0</v>
      </c>
      <c r="X114" s="2">
        <f t="shared" si="28"/>
        <v>0</v>
      </c>
      <c r="Y114" s="2">
        <f t="shared" si="29"/>
        <v>0</v>
      </c>
      <c r="Z114" s="2">
        <f t="shared" si="30"/>
        <v>0</v>
      </c>
      <c r="AA114" s="2">
        <f t="shared" si="31"/>
        <v>0</v>
      </c>
      <c r="AB114" s="2">
        <f t="shared" si="32"/>
        <v>0</v>
      </c>
      <c r="AD114" s="2">
        <f t="shared" si="33"/>
        <v>1</v>
      </c>
      <c r="AE114" s="2">
        <f t="shared" si="34"/>
        <v>0</v>
      </c>
      <c r="AF114" s="2">
        <f t="shared" si="35"/>
        <v>1</v>
      </c>
      <c r="AG114" s="2">
        <f t="shared" si="36"/>
        <v>0</v>
      </c>
      <c r="AH114" s="2">
        <f t="shared" si="37"/>
        <v>1</v>
      </c>
      <c r="AI114" s="2">
        <f t="shared" si="38"/>
        <v>0</v>
      </c>
    </row>
    <row r="115" spans="1:35" ht="14.25" customHeight="1" x14ac:dyDescent="0.25">
      <c r="A115" s="29">
        <v>1</v>
      </c>
      <c r="B115" s="29">
        <v>2</v>
      </c>
      <c r="C115" s="29">
        <v>1</v>
      </c>
      <c r="D115" s="30" t="s">
        <v>665</v>
      </c>
      <c r="E115" s="30" t="s">
        <v>44</v>
      </c>
      <c r="F115" s="30" t="s">
        <v>618</v>
      </c>
      <c r="G115" s="30" t="s">
        <v>91</v>
      </c>
      <c r="H115" s="30" t="s">
        <v>165</v>
      </c>
      <c r="I115" s="29" t="s">
        <v>617</v>
      </c>
      <c r="J115" s="29">
        <v>1</v>
      </c>
      <c r="K115" s="29" t="s">
        <v>318</v>
      </c>
      <c r="L115" s="29" t="s">
        <v>318</v>
      </c>
      <c r="M115" s="30" t="s">
        <v>269</v>
      </c>
      <c r="N115" s="30" t="s">
        <v>880</v>
      </c>
      <c r="O115" s="31">
        <v>1</v>
      </c>
      <c r="P115" s="31">
        <v>1</v>
      </c>
      <c r="Q115" s="30"/>
      <c r="S115" s="2">
        <f t="shared" si="23"/>
        <v>1</v>
      </c>
      <c r="T115" s="2">
        <f t="shared" si="24"/>
        <v>0</v>
      </c>
      <c r="U115" s="2">
        <f t="shared" si="25"/>
        <v>0</v>
      </c>
      <c r="V115" s="2">
        <f t="shared" si="26"/>
        <v>0</v>
      </c>
      <c r="W115" s="2">
        <f t="shared" si="27"/>
        <v>0</v>
      </c>
      <c r="X115" s="2">
        <f t="shared" si="28"/>
        <v>0</v>
      </c>
      <c r="Y115" s="2">
        <f t="shared" si="29"/>
        <v>0</v>
      </c>
      <c r="Z115" s="2">
        <f t="shared" si="30"/>
        <v>0</v>
      </c>
      <c r="AA115" s="2">
        <f t="shared" si="31"/>
        <v>0</v>
      </c>
      <c r="AB115" s="2">
        <f t="shared" si="32"/>
        <v>0</v>
      </c>
      <c r="AD115" s="2">
        <f t="shared" si="33"/>
        <v>1</v>
      </c>
      <c r="AE115" s="2">
        <f t="shared" si="34"/>
        <v>0</v>
      </c>
      <c r="AF115" s="2">
        <f t="shared" si="35"/>
        <v>0</v>
      </c>
      <c r="AG115" s="2">
        <f t="shared" si="36"/>
        <v>0</v>
      </c>
      <c r="AH115" s="2">
        <f t="shared" si="37"/>
        <v>0</v>
      </c>
      <c r="AI115" s="2">
        <f t="shared" si="38"/>
        <v>0</v>
      </c>
    </row>
    <row r="116" spans="1:35" ht="14.25" customHeight="1" x14ac:dyDescent="0.25">
      <c r="A116" s="29">
        <v>0</v>
      </c>
      <c r="B116" s="29">
        <v>2</v>
      </c>
      <c r="C116" s="29">
        <v>1</v>
      </c>
      <c r="D116" s="30" t="s">
        <v>985</v>
      </c>
      <c r="E116" s="30" t="s">
        <v>44</v>
      </c>
      <c r="F116" s="30" t="s">
        <v>969</v>
      </c>
      <c r="G116" s="30" t="s">
        <v>137</v>
      </c>
      <c r="H116" s="30" t="s">
        <v>165</v>
      </c>
      <c r="I116" s="29" t="s">
        <v>33</v>
      </c>
      <c r="J116" s="29">
        <v>1</v>
      </c>
      <c r="K116" s="29" t="s">
        <v>376</v>
      </c>
      <c r="L116" s="29"/>
      <c r="M116" s="30"/>
      <c r="N116" s="30" t="s">
        <v>880</v>
      </c>
      <c r="O116" s="31">
        <v>1</v>
      </c>
      <c r="P116" s="31">
        <v>1</v>
      </c>
      <c r="Q116" s="30" t="s">
        <v>970</v>
      </c>
      <c r="S116" s="2">
        <f t="shared" si="23"/>
        <v>1</v>
      </c>
      <c r="T116" s="2">
        <f t="shared" si="24"/>
        <v>0</v>
      </c>
      <c r="U116" s="2">
        <f t="shared" si="25"/>
        <v>0</v>
      </c>
      <c r="V116" s="2">
        <f t="shared" si="26"/>
        <v>0</v>
      </c>
      <c r="W116" s="2">
        <f t="shared" si="27"/>
        <v>0</v>
      </c>
      <c r="X116" s="2">
        <f t="shared" si="28"/>
        <v>0</v>
      </c>
      <c r="Y116" s="2">
        <f t="shared" si="29"/>
        <v>0</v>
      </c>
      <c r="Z116" s="2">
        <f t="shared" si="30"/>
        <v>0</v>
      </c>
      <c r="AA116" s="2">
        <f t="shared" si="31"/>
        <v>0</v>
      </c>
      <c r="AB116" s="2">
        <f t="shared" si="32"/>
        <v>0</v>
      </c>
      <c r="AD116" s="2">
        <f t="shared" si="33"/>
        <v>1</v>
      </c>
      <c r="AE116" s="2">
        <f t="shared" si="34"/>
        <v>0</v>
      </c>
      <c r="AF116" s="2">
        <f t="shared" si="35"/>
        <v>1</v>
      </c>
      <c r="AG116" s="2">
        <f t="shared" si="36"/>
        <v>0</v>
      </c>
      <c r="AH116" s="2">
        <f t="shared" si="37"/>
        <v>1</v>
      </c>
      <c r="AI116" s="2">
        <f t="shared" si="38"/>
        <v>0</v>
      </c>
    </row>
    <row r="117" spans="1:35" ht="14.25" customHeight="1" x14ac:dyDescent="0.25">
      <c r="A117" s="20">
        <v>0</v>
      </c>
      <c r="B117" s="20">
        <v>2</v>
      </c>
      <c r="C117" s="20">
        <v>1</v>
      </c>
      <c r="D117" s="21" t="s">
        <v>787</v>
      </c>
      <c r="E117" s="21" t="s">
        <v>468</v>
      </c>
      <c r="F117" s="21" t="s">
        <v>788</v>
      </c>
      <c r="G117" s="21" t="s">
        <v>114</v>
      </c>
      <c r="H117" s="21" t="s">
        <v>165</v>
      </c>
      <c r="I117" s="20" t="s">
        <v>789</v>
      </c>
      <c r="J117" s="20">
        <v>99</v>
      </c>
      <c r="K117" s="20" t="s">
        <v>376</v>
      </c>
      <c r="L117" s="20">
        <v>6</v>
      </c>
      <c r="M117" s="21" t="s">
        <v>921</v>
      </c>
      <c r="N117" s="21"/>
      <c r="O117" s="7"/>
      <c r="P117" s="7"/>
      <c r="Q117" s="21"/>
      <c r="S117" s="2">
        <f t="shared" si="23"/>
        <v>0</v>
      </c>
      <c r="T117" s="2">
        <f t="shared" si="24"/>
        <v>0</v>
      </c>
      <c r="U117" s="2">
        <f t="shared" si="25"/>
        <v>0</v>
      </c>
      <c r="V117" s="2">
        <f t="shared" si="26"/>
        <v>0</v>
      </c>
      <c r="W117" s="2">
        <f t="shared" si="27"/>
        <v>0</v>
      </c>
      <c r="X117" s="2">
        <f t="shared" si="28"/>
        <v>0</v>
      </c>
      <c r="Y117" s="2">
        <f t="shared" si="29"/>
        <v>0</v>
      </c>
      <c r="Z117" s="2">
        <f t="shared" si="30"/>
        <v>0</v>
      </c>
      <c r="AA117" s="2">
        <f t="shared" si="31"/>
        <v>0</v>
      </c>
      <c r="AB117" s="2">
        <f t="shared" si="32"/>
        <v>0</v>
      </c>
      <c r="AD117" s="2">
        <f t="shared" si="33"/>
        <v>0</v>
      </c>
      <c r="AE117" s="2">
        <f t="shared" si="34"/>
        <v>0</v>
      </c>
      <c r="AF117" s="2">
        <f t="shared" si="35"/>
        <v>0</v>
      </c>
      <c r="AG117" s="2">
        <f t="shared" si="36"/>
        <v>0</v>
      </c>
      <c r="AH117" s="2">
        <f t="shared" si="37"/>
        <v>0</v>
      </c>
      <c r="AI117" s="2">
        <f t="shared" si="38"/>
        <v>1</v>
      </c>
    </row>
    <row r="118" spans="1:35" ht="14.25" customHeight="1" x14ac:dyDescent="0.25">
      <c r="A118" s="29">
        <v>0</v>
      </c>
      <c r="B118" s="29">
        <v>2</v>
      </c>
      <c r="C118" s="29">
        <v>1</v>
      </c>
      <c r="D118" s="30" t="s">
        <v>782</v>
      </c>
      <c r="E118" s="30" t="s">
        <v>468</v>
      </c>
      <c r="F118" s="30" t="s">
        <v>783</v>
      </c>
      <c r="G118" s="30" t="s">
        <v>103</v>
      </c>
      <c r="H118" s="30" t="s">
        <v>165</v>
      </c>
      <c r="I118" s="29" t="s">
        <v>784</v>
      </c>
      <c r="J118" s="29">
        <v>2</v>
      </c>
      <c r="K118" s="29" t="s">
        <v>321</v>
      </c>
      <c r="L118" s="29">
        <v>15</v>
      </c>
      <c r="M118" s="30" t="s">
        <v>853</v>
      </c>
      <c r="N118" s="30" t="s">
        <v>880</v>
      </c>
      <c r="O118" s="31">
        <v>1</v>
      </c>
      <c r="P118" s="31">
        <v>1</v>
      </c>
      <c r="Q118" s="30"/>
      <c r="S118" s="2">
        <f t="shared" si="23"/>
        <v>0</v>
      </c>
      <c r="T118" s="2">
        <f t="shared" si="24"/>
        <v>1</v>
      </c>
      <c r="U118" s="2">
        <f t="shared" si="25"/>
        <v>0</v>
      </c>
      <c r="V118" s="2">
        <f t="shared" si="26"/>
        <v>0</v>
      </c>
      <c r="W118" s="2">
        <f t="shared" si="27"/>
        <v>0</v>
      </c>
      <c r="X118" s="2">
        <f t="shared" si="28"/>
        <v>0</v>
      </c>
      <c r="Y118" s="2">
        <f t="shared" si="29"/>
        <v>0</v>
      </c>
      <c r="Z118" s="2">
        <f t="shared" si="30"/>
        <v>0</v>
      </c>
      <c r="AA118" s="2">
        <f t="shared" si="31"/>
        <v>0</v>
      </c>
      <c r="AB118" s="2">
        <f t="shared" si="32"/>
        <v>0</v>
      </c>
      <c r="AD118" s="2">
        <f t="shared" si="33"/>
        <v>1</v>
      </c>
      <c r="AE118" s="2">
        <f t="shared" si="34"/>
        <v>0</v>
      </c>
      <c r="AF118" s="2">
        <f t="shared" si="35"/>
        <v>1</v>
      </c>
      <c r="AG118" s="2">
        <f t="shared" si="36"/>
        <v>0</v>
      </c>
      <c r="AH118" s="2">
        <f t="shared" si="37"/>
        <v>1</v>
      </c>
      <c r="AI118" s="2">
        <f t="shared" si="38"/>
        <v>0</v>
      </c>
    </row>
    <row r="119" spans="1:35" ht="14.25" customHeight="1" x14ac:dyDescent="0.25">
      <c r="A119" s="29">
        <v>0</v>
      </c>
      <c r="B119" s="29">
        <v>2</v>
      </c>
      <c r="C119" s="29">
        <v>1</v>
      </c>
      <c r="D119" s="30" t="s">
        <v>529</v>
      </c>
      <c r="E119" s="30" t="s">
        <v>468</v>
      </c>
      <c r="F119" s="30" t="s">
        <v>534</v>
      </c>
      <c r="G119" s="30" t="s">
        <v>469</v>
      </c>
      <c r="H119" s="30" t="s">
        <v>165</v>
      </c>
      <c r="I119" s="29" t="s">
        <v>536</v>
      </c>
      <c r="J119" s="29">
        <v>99</v>
      </c>
      <c r="K119" s="29" t="s">
        <v>318</v>
      </c>
      <c r="L119" s="29">
        <v>13</v>
      </c>
      <c r="M119" s="30" t="s">
        <v>853</v>
      </c>
      <c r="N119" s="30" t="s">
        <v>880</v>
      </c>
      <c r="O119" s="31">
        <v>1</v>
      </c>
      <c r="P119" s="31">
        <v>1</v>
      </c>
      <c r="Q119" s="30"/>
      <c r="S119" s="2">
        <f t="shared" si="23"/>
        <v>0</v>
      </c>
      <c r="T119" s="2">
        <f t="shared" si="24"/>
        <v>0</v>
      </c>
      <c r="U119" s="2">
        <f t="shared" si="25"/>
        <v>0</v>
      </c>
      <c r="V119" s="2">
        <f t="shared" si="26"/>
        <v>0</v>
      </c>
      <c r="W119" s="2">
        <f t="shared" si="27"/>
        <v>0</v>
      </c>
      <c r="X119" s="2">
        <f t="shared" si="28"/>
        <v>0</v>
      </c>
      <c r="Y119" s="2">
        <f t="shared" si="29"/>
        <v>0</v>
      </c>
      <c r="Z119" s="2">
        <f t="shared" si="30"/>
        <v>0</v>
      </c>
      <c r="AA119" s="2">
        <f t="shared" si="31"/>
        <v>0</v>
      </c>
      <c r="AB119" s="2">
        <f t="shared" si="32"/>
        <v>0</v>
      </c>
      <c r="AD119" s="2">
        <f t="shared" si="33"/>
        <v>1</v>
      </c>
      <c r="AE119" s="2">
        <f t="shared" si="34"/>
        <v>0</v>
      </c>
      <c r="AF119" s="2">
        <f t="shared" si="35"/>
        <v>1</v>
      </c>
      <c r="AG119" s="2">
        <f t="shared" si="36"/>
        <v>0</v>
      </c>
      <c r="AH119" s="2">
        <f t="shared" si="37"/>
        <v>1</v>
      </c>
      <c r="AI119" s="2">
        <f t="shared" si="38"/>
        <v>0</v>
      </c>
    </row>
    <row r="120" spans="1:35" ht="14.25" customHeight="1" x14ac:dyDescent="0.25">
      <c r="A120" s="29">
        <v>1</v>
      </c>
      <c r="B120" s="29">
        <v>2</v>
      </c>
      <c r="C120" s="29">
        <v>1</v>
      </c>
      <c r="D120" s="30" t="s">
        <v>529</v>
      </c>
      <c r="E120" s="30" t="s">
        <v>468</v>
      </c>
      <c r="F120" s="30" t="s">
        <v>530</v>
      </c>
      <c r="G120" s="30" t="s">
        <v>92</v>
      </c>
      <c r="H120" s="30" t="s">
        <v>165</v>
      </c>
      <c r="I120" s="29" t="s">
        <v>531</v>
      </c>
      <c r="J120" s="29">
        <v>2</v>
      </c>
      <c r="K120" s="29" t="s">
        <v>318</v>
      </c>
      <c r="L120" s="29">
        <v>13</v>
      </c>
      <c r="M120" s="30" t="s">
        <v>853</v>
      </c>
      <c r="N120" s="30" t="s">
        <v>880</v>
      </c>
      <c r="O120" s="31">
        <v>1</v>
      </c>
      <c r="P120" s="31">
        <v>1</v>
      </c>
      <c r="Q120" s="30"/>
      <c r="S120" s="2">
        <f t="shared" si="23"/>
        <v>0</v>
      </c>
      <c r="T120" s="2">
        <f t="shared" si="24"/>
        <v>1</v>
      </c>
      <c r="U120" s="2">
        <f t="shared" si="25"/>
        <v>0</v>
      </c>
      <c r="V120" s="2">
        <f t="shared" si="26"/>
        <v>0</v>
      </c>
      <c r="W120" s="2">
        <f t="shared" si="27"/>
        <v>0</v>
      </c>
      <c r="X120" s="2">
        <f t="shared" si="28"/>
        <v>0</v>
      </c>
      <c r="Y120" s="2">
        <f t="shared" si="29"/>
        <v>0</v>
      </c>
      <c r="Z120" s="2">
        <f t="shared" si="30"/>
        <v>0</v>
      </c>
      <c r="AA120" s="2">
        <f t="shared" si="31"/>
        <v>0</v>
      </c>
      <c r="AB120" s="2">
        <f t="shared" si="32"/>
        <v>0</v>
      </c>
      <c r="AD120" s="2">
        <f t="shared" si="33"/>
        <v>1</v>
      </c>
      <c r="AE120" s="2">
        <f t="shared" si="34"/>
        <v>0</v>
      </c>
      <c r="AF120" s="2">
        <f t="shared" si="35"/>
        <v>0</v>
      </c>
      <c r="AG120" s="2">
        <f t="shared" si="36"/>
        <v>0</v>
      </c>
      <c r="AH120" s="2">
        <f t="shared" si="37"/>
        <v>0</v>
      </c>
      <c r="AI120" s="2">
        <f t="shared" si="38"/>
        <v>0</v>
      </c>
    </row>
    <row r="121" spans="1:35" ht="14.25" customHeight="1" x14ac:dyDescent="0.25">
      <c r="A121" s="29">
        <v>1</v>
      </c>
      <c r="B121" s="29">
        <v>2</v>
      </c>
      <c r="C121" s="29">
        <v>1</v>
      </c>
      <c r="D121" s="30" t="s">
        <v>529</v>
      </c>
      <c r="E121" s="30" t="s">
        <v>468</v>
      </c>
      <c r="F121" s="30" t="s">
        <v>535</v>
      </c>
      <c r="G121" s="30" t="s">
        <v>403</v>
      </c>
      <c r="H121" s="30" t="s">
        <v>165</v>
      </c>
      <c r="I121" s="29" t="s">
        <v>537</v>
      </c>
      <c r="J121" s="29">
        <v>99</v>
      </c>
      <c r="K121" s="29" t="s">
        <v>318</v>
      </c>
      <c r="L121" s="29">
        <v>13</v>
      </c>
      <c r="M121" s="30" t="s">
        <v>853</v>
      </c>
      <c r="N121" s="30" t="s">
        <v>880</v>
      </c>
      <c r="O121" s="31">
        <v>1</v>
      </c>
      <c r="P121" s="31">
        <v>1</v>
      </c>
      <c r="Q121" s="30"/>
      <c r="S121" s="2">
        <f t="shared" si="23"/>
        <v>0</v>
      </c>
      <c r="T121" s="2">
        <f t="shared" si="24"/>
        <v>0</v>
      </c>
      <c r="U121" s="2">
        <f t="shared" si="25"/>
        <v>0</v>
      </c>
      <c r="V121" s="2">
        <f t="shared" si="26"/>
        <v>0</v>
      </c>
      <c r="W121" s="2">
        <f t="shared" si="27"/>
        <v>0</v>
      </c>
      <c r="X121" s="2">
        <f t="shared" si="28"/>
        <v>0</v>
      </c>
      <c r="Y121" s="2">
        <f t="shared" si="29"/>
        <v>0</v>
      </c>
      <c r="Z121" s="2">
        <f t="shared" si="30"/>
        <v>0</v>
      </c>
      <c r="AA121" s="2">
        <f t="shared" si="31"/>
        <v>0</v>
      </c>
      <c r="AB121" s="2">
        <f t="shared" si="32"/>
        <v>0</v>
      </c>
      <c r="AD121" s="2">
        <f t="shared" si="33"/>
        <v>1</v>
      </c>
      <c r="AE121" s="2">
        <f t="shared" si="34"/>
        <v>0</v>
      </c>
      <c r="AF121" s="2">
        <f t="shared" si="35"/>
        <v>0</v>
      </c>
      <c r="AG121" s="2">
        <f t="shared" si="36"/>
        <v>0</v>
      </c>
      <c r="AH121" s="2">
        <f t="shared" si="37"/>
        <v>0</v>
      </c>
      <c r="AI121" s="2">
        <f t="shared" si="38"/>
        <v>0</v>
      </c>
    </row>
    <row r="122" spans="1:35" ht="14.25" customHeight="1" x14ac:dyDescent="0.25">
      <c r="A122" s="29">
        <v>1</v>
      </c>
      <c r="B122" s="29">
        <v>2</v>
      </c>
      <c r="C122" s="29">
        <v>1</v>
      </c>
      <c r="D122" s="30" t="s">
        <v>529</v>
      </c>
      <c r="E122" s="30" t="s">
        <v>468</v>
      </c>
      <c r="F122" s="30" t="s">
        <v>770</v>
      </c>
      <c r="G122" s="30" t="s">
        <v>771</v>
      </c>
      <c r="H122" s="30" t="s">
        <v>165</v>
      </c>
      <c r="I122" s="29" t="s">
        <v>33</v>
      </c>
      <c r="J122" s="29">
        <v>99</v>
      </c>
      <c r="K122" s="29" t="s">
        <v>318</v>
      </c>
      <c r="L122" s="29">
        <v>13</v>
      </c>
      <c r="M122" s="30" t="s">
        <v>853</v>
      </c>
      <c r="N122" s="30" t="s">
        <v>880</v>
      </c>
      <c r="O122" s="31">
        <v>1</v>
      </c>
      <c r="P122" s="31">
        <v>1</v>
      </c>
      <c r="Q122" s="30"/>
      <c r="S122" s="2">
        <f t="shared" si="23"/>
        <v>0</v>
      </c>
      <c r="T122" s="2">
        <f t="shared" si="24"/>
        <v>0</v>
      </c>
      <c r="U122" s="2">
        <f t="shared" si="25"/>
        <v>0</v>
      </c>
      <c r="V122" s="2">
        <f t="shared" si="26"/>
        <v>0</v>
      </c>
      <c r="W122" s="2">
        <f t="shared" si="27"/>
        <v>0</v>
      </c>
      <c r="X122" s="2">
        <f t="shared" si="28"/>
        <v>0</v>
      </c>
      <c r="Y122" s="2">
        <f t="shared" si="29"/>
        <v>0</v>
      </c>
      <c r="Z122" s="2">
        <f t="shared" si="30"/>
        <v>0</v>
      </c>
      <c r="AA122" s="2">
        <f t="shared" si="31"/>
        <v>0</v>
      </c>
      <c r="AB122" s="2">
        <f t="shared" si="32"/>
        <v>0</v>
      </c>
      <c r="AD122" s="2">
        <f t="shared" si="33"/>
        <v>1</v>
      </c>
      <c r="AE122" s="2">
        <f t="shared" si="34"/>
        <v>0</v>
      </c>
      <c r="AF122" s="2">
        <f t="shared" si="35"/>
        <v>0</v>
      </c>
      <c r="AG122" s="2">
        <f t="shared" si="36"/>
        <v>0</v>
      </c>
      <c r="AH122" s="2">
        <f t="shared" si="37"/>
        <v>0</v>
      </c>
      <c r="AI122" s="2">
        <f t="shared" si="38"/>
        <v>0</v>
      </c>
    </row>
    <row r="123" spans="1:35" ht="14.25" customHeight="1" x14ac:dyDescent="0.25">
      <c r="A123" s="29">
        <v>1</v>
      </c>
      <c r="B123" s="29">
        <v>2</v>
      </c>
      <c r="C123" s="29">
        <v>1</v>
      </c>
      <c r="D123" s="30" t="s">
        <v>529</v>
      </c>
      <c r="E123" s="30" t="s">
        <v>468</v>
      </c>
      <c r="F123" s="30" t="s">
        <v>772</v>
      </c>
      <c r="G123" s="30" t="s">
        <v>810</v>
      </c>
      <c r="H123" s="30" t="s">
        <v>165</v>
      </c>
      <c r="I123" s="29" t="s">
        <v>536</v>
      </c>
      <c r="J123" s="29">
        <v>3</v>
      </c>
      <c r="K123" s="29" t="s">
        <v>318</v>
      </c>
      <c r="L123" s="29">
        <v>13</v>
      </c>
      <c r="M123" s="30" t="s">
        <v>853</v>
      </c>
      <c r="N123" s="30" t="s">
        <v>880</v>
      </c>
      <c r="O123" s="31">
        <v>1</v>
      </c>
      <c r="P123" s="31">
        <v>1</v>
      </c>
      <c r="Q123" s="30"/>
      <c r="S123" s="2">
        <f t="shared" si="23"/>
        <v>0</v>
      </c>
      <c r="T123" s="2">
        <f t="shared" si="24"/>
        <v>0</v>
      </c>
      <c r="U123" s="2">
        <f t="shared" si="25"/>
        <v>1</v>
      </c>
      <c r="V123" s="2">
        <f t="shared" si="26"/>
        <v>0</v>
      </c>
      <c r="W123" s="2">
        <f t="shared" si="27"/>
        <v>0</v>
      </c>
      <c r="X123" s="2">
        <f t="shared" si="28"/>
        <v>0</v>
      </c>
      <c r="Y123" s="2">
        <f t="shared" si="29"/>
        <v>0</v>
      </c>
      <c r="Z123" s="2">
        <f t="shared" si="30"/>
        <v>0</v>
      </c>
      <c r="AA123" s="2">
        <f t="shared" si="31"/>
        <v>0</v>
      </c>
      <c r="AB123" s="2">
        <f t="shared" si="32"/>
        <v>0</v>
      </c>
      <c r="AD123" s="2">
        <f t="shared" si="33"/>
        <v>1</v>
      </c>
      <c r="AE123" s="2">
        <f t="shared" si="34"/>
        <v>0</v>
      </c>
      <c r="AF123" s="2">
        <f t="shared" si="35"/>
        <v>0</v>
      </c>
      <c r="AG123" s="2">
        <f t="shared" si="36"/>
        <v>0</v>
      </c>
      <c r="AH123" s="2">
        <f t="shared" si="37"/>
        <v>0</v>
      </c>
      <c r="AI123" s="2">
        <f t="shared" si="38"/>
        <v>0</v>
      </c>
    </row>
    <row r="124" spans="1:35" ht="14.25" customHeight="1" x14ac:dyDescent="0.25">
      <c r="A124" s="29">
        <v>1</v>
      </c>
      <c r="B124" s="29">
        <v>2</v>
      </c>
      <c r="C124" s="29">
        <v>1</v>
      </c>
      <c r="D124" s="30" t="s">
        <v>529</v>
      </c>
      <c r="E124" s="30" t="s">
        <v>468</v>
      </c>
      <c r="F124" s="30" t="s">
        <v>997</v>
      </c>
      <c r="G124" s="30" t="s">
        <v>998</v>
      </c>
      <c r="H124" s="30" t="s">
        <v>165</v>
      </c>
      <c r="I124" s="29" t="s">
        <v>33</v>
      </c>
      <c r="J124" s="29">
        <v>3</v>
      </c>
      <c r="K124" s="29" t="s">
        <v>318</v>
      </c>
      <c r="L124" s="29">
        <v>13</v>
      </c>
      <c r="M124" s="30" t="s">
        <v>853</v>
      </c>
      <c r="N124" s="30" t="s">
        <v>880</v>
      </c>
      <c r="O124" s="31">
        <v>1</v>
      </c>
      <c r="P124" s="31">
        <v>1</v>
      </c>
      <c r="Q124" s="30"/>
      <c r="S124" s="2">
        <f t="shared" ref="S124:S125" si="39">IF(J124=$S$7,1,0)</f>
        <v>0</v>
      </c>
      <c r="T124" s="2">
        <f t="shared" ref="T124:T125" si="40">IF(J124=$T$7,1,0)</f>
        <v>0</v>
      </c>
      <c r="U124" s="2">
        <f t="shared" ref="U124:U125" si="41">IF(J124=$U$7,1,0)</f>
        <v>1</v>
      </c>
      <c r="V124" s="2">
        <f t="shared" ref="V124:V125" si="42">IF(J124=$V$7,1,0)</f>
        <v>0</v>
      </c>
      <c r="W124" s="2">
        <f t="shared" ref="W124:W125" si="43">IF(J124=$W$7,1,0)</f>
        <v>0</v>
      </c>
      <c r="X124" s="2">
        <f t="shared" ref="X124:X125" si="44">IF(J124=$X$7,1,0)</f>
        <v>0</v>
      </c>
      <c r="Y124" s="2">
        <f t="shared" ref="Y124:Y125" si="45">IF(J124=$Y$7,1,0)</f>
        <v>0</v>
      </c>
      <c r="Z124" s="2">
        <f t="shared" ref="Z124:Z125" si="46">IF(J124=$Z$7,1,0)</f>
        <v>0</v>
      </c>
      <c r="AA124" s="2">
        <f t="shared" ref="AA124:AA125" si="47">IF(J124=$AA$7,1,0)</f>
        <v>0</v>
      </c>
      <c r="AB124" s="2">
        <f t="shared" ref="AB124:AB125" si="48">IF(J124=$AB$7,1,0)</f>
        <v>0</v>
      </c>
      <c r="AD124" s="2">
        <f t="shared" ref="AD124:AD125" si="49">+O124*P124</f>
        <v>1</v>
      </c>
      <c r="AE124" s="2">
        <f t="shared" ref="AE124:AE125" si="50">O124*(1-P124)</f>
        <v>0</v>
      </c>
      <c r="AF124" s="2">
        <f t="shared" ref="AF124:AF125" si="51">+O124*P124*(1-A124)</f>
        <v>0</v>
      </c>
      <c r="AG124" s="2">
        <f t="shared" ref="AG124:AG125" si="52">O124*(1-P124)*(1-A124)</f>
        <v>0</v>
      </c>
      <c r="AH124" s="2">
        <f t="shared" ref="AH124:AH125" si="53">+P124*(1-A124)</f>
        <v>0</v>
      </c>
      <c r="AI124" s="2">
        <f t="shared" ref="AI124:AI125" si="54">+(1-A124)*(1-P124)</f>
        <v>0</v>
      </c>
    </row>
    <row r="125" spans="1:35" ht="14.25" customHeight="1" x14ac:dyDescent="0.25">
      <c r="A125" s="29">
        <v>1</v>
      </c>
      <c r="B125" s="29">
        <v>2</v>
      </c>
      <c r="C125" s="29">
        <v>1</v>
      </c>
      <c r="D125" s="30" t="s">
        <v>529</v>
      </c>
      <c r="E125" s="30" t="s">
        <v>468</v>
      </c>
      <c r="F125" s="30" t="s">
        <v>999</v>
      </c>
      <c r="G125" s="30" t="s">
        <v>103</v>
      </c>
      <c r="H125" s="30" t="s">
        <v>165</v>
      </c>
      <c r="I125" s="29" t="s">
        <v>33</v>
      </c>
      <c r="J125" s="29">
        <v>3</v>
      </c>
      <c r="K125" s="29" t="s">
        <v>318</v>
      </c>
      <c r="L125" s="29">
        <v>13</v>
      </c>
      <c r="M125" s="30" t="s">
        <v>853</v>
      </c>
      <c r="N125" s="30" t="s">
        <v>880</v>
      </c>
      <c r="O125" s="31">
        <v>1</v>
      </c>
      <c r="P125" s="31">
        <v>1</v>
      </c>
      <c r="Q125" s="30"/>
      <c r="S125" s="2">
        <f t="shared" si="39"/>
        <v>0</v>
      </c>
      <c r="T125" s="2">
        <f t="shared" si="40"/>
        <v>0</v>
      </c>
      <c r="U125" s="2">
        <f t="shared" si="41"/>
        <v>1</v>
      </c>
      <c r="V125" s="2">
        <f t="shared" si="42"/>
        <v>0</v>
      </c>
      <c r="W125" s="2">
        <f t="shared" si="43"/>
        <v>0</v>
      </c>
      <c r="X125" s="2">
        <f t="shared" si="44"/>
        <v>0</v>
      </c>
      <c r="Y125" s="2">
        <f t="shared" si="45"/>
        <v>0</v>
      </c>
      <c r="Z125" s="2">
        <f t="shared" si="46"/>
        <v>0</v>
      </c>
      <c r="AA125" s="2">
        <f t="shared" si="47"/>
        <v>0</v>
      </c>
      <c r="AB125" s="2">
        <f t="shared" si="48"/>
        <v>0</v>
      </c>
      <c r="AD125" s="2">
        <f t="shared" si="49"/>
        <v>1</v>
      </c>
      <c r="AE125" s="2">
        <f t="shared" si="50"/>
        <v>0</v>
      </c>
      <c r="AF125" s="2">
        <f t="shared" si="51"/>
        <v>0</v>
      </c>
      <c r="AG125" s="2">
        <f t="shared" si="52"/>
        <v>0</v>
      </c>
      <c r="AH125" s="2">
        <f t="shared" si="53"/>
        <v>0</v>
      </c>
      <c r="AI125" s="2">
        <f t="shared" si="54"/>
        <v>0</v>
      </c>
    </row>
    <row r="126" spans="1:35" ht="14.25" customHeight="1" x14ac:dyDescent="0.25">
      <c r="A126" s="29">
        <v>0</v>
      </c>
      <c r="B126" s="29">
        <v>2</v>
      </c>
      <c r="C126" s="29">
        <v>1</v>
      </c>
      <c r="D126" s="30" t="s">
        <v>658</v>
      </c>
      <c r="E126" s="30" t="s">
        <v>35</v>
      </c>
      <c r="F126" s="30" t="s">
        <v>632</v>
      </c>
      <c r="G126" s="30" t="s">
        <v>683</v>
      </c>
      <c r="H126" s="30" t="s">
        <v>165</v>
      </c>
      <c r="I126" s="29" t="s">
        <v>633</v>
      </c>
      <c r="J126" s="29">
        <v>99</v>
      </c>
      <c r="K126" s="29" t="s">
        <v>318</v>
      </c>
      <c r="L126" s="29" t="s">
        <v>318</v>
      </c>
      <c r="M126" s="30" t="s">
        <v>269</v>
      </c>
      <c r="N126" s="30" t="s">
        <v>882</v>
      </c>
      <c r="O126" s="31">
        <v>1</v>
      </c>
      <c r="P126" s="31"/>
      <c r="Q126" s="30"/>
      <c r="S126" s="2">
        <f t="shared" si="23"/>
        <v>0</v>
      </c>
      <c r="T126" s="2">
        <f t="shared" si="24"/>
        <v>0</v>
      </c>
      <c r="U126" s="2">
        <f t="shared" si="25"/>
        <v>0</v>
      </c>
      <c r="V126" s="2">
        <f t="shared" si="26"/>
        <v>0</v>
      </c>
      <c r="W126" s="2">
        <f t="shared" si="27"/>
        <v>0</v>
      </c>
      <c r="X126" s="2">
        <f t="shared" si="28"/>
        <v>0</v>
      </c>
      <c r="Y126" s="2">
        <f t="shared" si="29"/>
        <v>0</v>
      </c>
      <c r="Z126" s="2">
        <f t="shared" si="30"/>
        <v>0</v>
      </c>
      <c r="AA126" s="2">
        <f t="shared" si="31"/>
        <v>0</v>
      </c>
      <c r="AB126" s="2">
        <f t="shared" si="32"/>
        <v>0</v>
      </c>
      <c r="AD126" s="2">
        <f t="shared" si="33"/>
        <v>0</v>
      </c>
      <c r="AE126" s="2">
        <f t="shared" si="34"/>
        <v>1</v>
      </c>
      <c r="AF126" s="2">
        <f t="shared" si="35"/>
        <v>0</v>
      </c>
      <c r="AG126" s="2">
        <f t="shared" si="36"/>
        <v>1</v>
      </c>
      <c r="AH126" s="2">
        <f t="shared" si="37"/>
        <v>0</v>
      </c>
      <c r="AI126" s="2">
        <f t="shared" si="38"/>
        <v>1</v>
      </c>
    </row>
    <row r="127" spans="1:35" ht="14.25" customHeight="1" x14ac:dyDescent="0.25">
      <c r="A127" s="29">
        <v>0</v>
      </c>
      <c r="B127" s="29">
        <v>2</v>
      </c>
      <c r="C127" s="29">
        <v>1</v>
      </c>
      <c r="D127" s="30" t="s">
        <v>915</v>
      </c>
      <c r="E127" s="30" t="s">
        <v>468</v>
      </c>
      <c r="F127" s="30" t="s">
        <v>916</v>
      </c>
      <c r="G127" s="30" t="s">
        <v>38</v>
      </c>
      <c r="H127" s="30" t="s">
        <v>165</v>
      </c>
      <c r="I127" s="29" t="s">
        <v>917</v>
      </c>
      <c r="J127" s="29">
        <v>1</v>
      </c>
      <c r="K127" s="29" t="s">
        <v>376</v>
      </c>
      <c r="L127" s="29"/>
      <c r="M127" s="30"/>
      <c r="N127" s="30" t="s">
        <v>880</v>
      </c>
      <c r="O127" s="31">
        <v>1</v>
      </c>
      <c r="P127" s="31">
        <v>1</v>
      </c>
      <c r="Q127" s="30"/>
      <c r="S127" s="2">
        <f t="shared" si="23"/>
        <v>1</v>
      </c>
      <c r="T127" s="2">
        <f t="shared" si="24"/>
        <v>0</v>
      </c>
      <c r="U127" s="2">
        <f t="shared" si="25"/>
        <v>0</v>
      </c>
      <c r="V127" s="2">
        <f t="shared" si="26"/>
        <v>0</v>
      </c>
      <c r="W127" s="2">
        <f t="shared" si="27"/>
        <v>0</v>
      </c>
      <c r="X127" s="2">
        <f t="shared" si="28"/>
        <v>0</v>
      </c>
      <c r="Y127" s="2">
        <f t="shared" si="29"/>
        <v>0</v>
      </c>
      <c r="Z127" s="2">
        <f t="shared" si="30"/>
        <v>0</v>
      </c>
      <c r="AA127" s="2">
        <f t="shared" si="31"/>
        <v>0</v>
      </c>
      <c r="AB127" s="2">
        <f t="shared" si="32"/>
        <v>0</v>
      </c>
      <c r="AD127" s="2">
        <f t="shared" si="33"/>
        <v>1</v>
      </c>
      <c r="AE127" s="2">
        <f t="shared" si="34"/>
        <v>0</v>
      </c>
      <c r="AF127" s="2">
        <f t="shared" si="35"/>
        <v>1</v>
      </c>
      <c r="AG127" s="2">
        <f t="shared" si="36"/>
        <v>0</v>
      </c>
      <c r="AH127" s="2">
        <f t="shared" si="37"/>
        <v>1</v>
      </c>
      <c r="AI127" s="2">
        <f t="shared" si="38"/>
        <v>0</v>
      </c>
    </row>
    <row r="128" spans="1:35" ht="14.25" customHeight="1" x14ac:dyDescent="0.25">
      <c r="A128" s="29">
        <v>0</v>
      </c>
      <c r="B128" s="29">
        <v>2</v>
      </c>
      <c r="C128" s="29">
        <v>1</v>
      </c>
      <c r="D128" s="30" t="s">
        <v>753</v>
      </c>
      <c r="E128" s="30" t="s">
        <v>468</v>
      </c>
      <c r="F128" s="30" t="s">
        <v>754</v>
      </c>
      <c r="G128" s="30" t="s">
        <v>811</v>
      </c>
      <c r="H128" s="30" t="s">
        <v>165</v>
      </c>
      <c r="I128" s="29" t="s">
        <v>755</v>
      </c>
      <c r="J128" s="29">
        <v>99</v>
      </c>
      <c r="K128" s="29" t="s">
        <v>320</v>
      </c>
      <c r="L128" s="29"/>
      <c r="M128" s="30" t="s">
        <v>702</v>
      </c>
      <c r="N128" s="30" t="s">
        <v>880</v>
      </c>
      <c r="O128" s="31">
        <v>1</v>
      </c>
      <c r="P128" s="31">
        <v>1</v>
      </c>
      <c r="Q128" s="30"/>
      <c r="S128" s="2">
        <f t="shared" si="23"/>
        <v>0</v>
      </c>
      <c r="T128" s="2">
        <f t="shared" si="24"/>
        <v>0</v>
      </c>
      <c r="U128" s="2">
        <f t="shared" si="25"/>
        <v>0</v>
      </c>
      <c r="V128" s="2">
        <f t="shared" si="26"/>
        <v>0</v>
      </c>
      <c r="W128" s="2">
        <f t="shared" si="27"/>
        <v>0</v>
      </c>
      <c r="X128" s="2">
        <f t="shared" si="28"/>
        <v>0</v>
      </c>
      <c r="Y128" s="2">
        <f t="shared" si="29"/>
        <v>0</v>
      </c>
      <c r="Z128" s="2">
        <f t="shared" si="30"/>
        <v>0</v>
      </c>
      <c r="AA128" s="2">
        <f t="shared" si="31"/>
        <v>0</v>
      </c>
      <c r="AB128" s="2">
        <f t="shared" si="32"/>
        <v>0</v>
      </c>
      <c r="AD128" s="2">
        <f t="shared" si="33"/>
        <v>1</v>
      </c>
      <c r="AE128" s="2">
        <f t="shared" si="34"/>
        <v>0</v>
      </c>
      <c r="AF128" s="2">
        <f t="shared" si="35"/>
        <v>1</v>
      </c>
      <c r="AG128" s="2">
        <f t="shared" si="36"/>
        <v>0</v>
      </c>
      <c r="AH128" s="2">
        <f t="shared" si="37"/>
        <v>1</v>
      </c>
      <c r="AI128" s="2">
        <f t="shared" si="38"/>
        <v>0</v>
      </c>
    </row>
    <row r="129" spans="1:16384" s="3" customFormat="1" ht="14.25" customHeight="1" x14ac:dyDescent="0.25">
      <c r="A129" s="29">
        <v>1</v>
      </c>
      <c r="B129" s="29">
        <v>2</v>
      </c>
      <c r="C129" s="29">
        <v>1</v>
      </c>
      <c r="D129" s="30" t="s">
        <v>753</v>
      </c>
      <c r="E129" s="30" t="s">
        <v>468</v>
      </c>
      <c r="F129" s="30" t="s">
        <v>986</v>
      </c>
      <c r="G129" s="30" t="s">
        <v>987</v>
      </c>
      <c r="H129" s="30" t="s">
        <v>165</v>
      </c>
      <c r="I129" s="29" t="s">
        <v>988</v>
      </c>
      <c r="J129" s="29"/>
      <c r="K129" s="29" t="s">
        <v>320</v>
      </c>
      <c r="L129" s="29"/>
      <c r="M129" s="30" t="s">
        <v>702</v>
      </c>
      <c r="N129" s="30" t="s">
        <v>880</v>
      </c>
      <c r="O129" s="31">
        <v>1</v>
      </c>
      <c r="P129" s="31">
        <v>1</v>
      </c>
      <c r="Q129" s="30"/>
      <c r="R129" s="2"/>
      <c r="S129" s="2">
        <f t="shared" ref="S129" si="55">IF(J129=$S$7,1,0)</f>
        <v>0</v>
      </c>
      <c r="T129" s="2">
        <f t="shared" ref="T129" si="56">IF(J129=$T$7,1,0)</f>
        <v>0</v>
      </c>
      <c r="U129" s="2">
        <f t="shared" ref="U129" si="57">IF(J129=$U$7,1,0)</f>
        <v>0</v>
      </c>
      <c r="V129" s="2">
        <f t="shared" ref="V129" si="58">IF(J129=$V$7,1,0)</f>
        <v>0</v>
      </c>
      <c r="W129" s="2">
        <f t="shared" ref="W129" si="59">IF(J129=$W$7,1,0)</f>
        <v>0</v>
      </c>
      <c r="X129" s="2">
        <f t="shared" ref="X129" si="60">IF(J129=$X$7,1,0)</f>
        <v>0</v>
      </c>
      <c r="Y129" s="2">
        <f t="shared" ref="Y129" si="61">IF(J129=$Y$7,1,0)</f>
        <v>0</v>
      </c>
      <c r="Z129" s="2">
        <f t="shared" ref="Z129" si="62">IF(J129=$Z$7,1,0)</f>
        <v>0</v>
      </c>
      <c r="AA129" s="2">
        <f t="shared" ref="AA129" si="63">IF(J129=$AA$7,1,0)</f>
        <v>0</v>
      </c>
      <c r="AB129" s="2">
        <f t="shared" ref="AB129" si="64">IF(J129=$AB$7,1,0)</f>
        <v>0</v>
      </c>
      <c r="AC129" s="2"/>
      <c r="AD129" s="2">
        <f t="shared" ref="AD129" si="65">+O129*P129</f>
        <v>1</v>
      </c>
      <c r="AE129" s="2">
        <f t="shared" ref="AE129" si="66">O129*(1-P129)</f>
        <v>0</v>
      </c>
      <c r="AF129" s="2">
        <f t="shared" ref="AF129" si="67">+O129*P129*(1-A129)</f>
        <v>0</v>
      </c>
      <c r="AG129" s="2">
        <f t="shared" ref="AG129" si="68">O129*(1-P129)*(1-A129)</f>
        <v>0</v>
      </c>
      <c r="AH129" s="2">
        <f t="shared" ref="AH129" si="69">+P129*(1-A129)</f>
        <v>0</v>
      </c>
      <c r="AI129" s="2">
        <f t="shared" ref="AI129" si="70">+(1-A129)*(1-P129)</f>
        <v>0</v>
      </c>
    </row>
    <row r="130" spans="1:16384" s="3" customFormat="1" ht="14.25" customHeight="1" x14ac:dyDescent="0.25">
      <c r="A130" s="29">
        <v>0</v>
      </c>
      <c r="B130" s="29">
        <v>2</v>
      </c>
      <c r="C130" s="29">
        <v>1</v>
      </c>
      <c r="D130" s="30" t="s">
        <v>675</v>
      </c>
      <c r="E130" s="30" t="s">
        <v>211</v>
      </c>
      <c r="F130" s="30" t="s">
        <v>223</v>
      </c>
      <c r="G130" s="30" t="s">
        <v>96</v>
      </c>
      <c r="H130" s="30" t="s">
        <v>165</v>
      </c>
      <c r="I130" s="29" t="s">
        <v>484</v>
      </c>
      <c r="J130" s="29">
        <v>3</v>
      </c>
      <c r="K130" s="29" t="s">
        <v>319</v>
      </c>
      <c r="L130" s="29" t="s">
        <v>318</v>
      </c>
      <c r="M130" s="30" t="s">
        <v>269</v>
      </c>
      <c r="N130" s="30" t="s">
        <v>880</v>
      </c>
      <c r="O130" s="31">
        <v>1</v>
      </c>
      <c r="P130" s="31">
        <v>1</v>
      </c>
      <c r="Q130" s="30"/>
      <c r="R130" s="2"/>
      <c r="S130" s="2">
        <f t="shared" si="23"/>
        <v>0</v>
      </c>
      <c r="T130" s="2">
        <f t="shared" si="24"/>
        <v>0</v>
      </c>
      <c r="U130" s="2">
        <f t="shared" si="25"/>
        <v>1</v>
      </c>
      <c r="V130" s="2">
        <f t="shared" si="26"/>
        <v>0</v>
      </c>
      <c r="W130" s="2">
        <f t="shared" si="27"/>
        <v>0</v>
      </c>
      <c r="X130" s="2">
        <f t="shared" si="28"/>
        <v>0</v>
      </c>
      <c r="Y130" s="2">
        <f t="shared" si="29"/>
        <v>0</v>
      </c>
      <c r="Z130" s="2">
        <f t="shared" si="30"/>
        <v>0</v>
      </c>
      <c r="AA130" s="2">
        <f t="shared" si="31"/>
        <v>0</v>
      </c>
      <c r="AB130" s="2">
        <f t="shared" si="32"/>
        <v>0</v>
      </c>
      <c r="AC130" s="2"/>
      <c r="AD130" s="2">
        <f t="shared" si="33"/>
        <v>1</v>
      </c>
      <c r="AE130" s="2">
        <f t="shared" si="34"/>
        <v>0</v>
      </c>
      <c r="AF130" s="2">
        <f t="shared" si="35"/>
        <v>1</v>
      </c>
      <c r="AG130" s="2">
        <f t="shared" si="36"/>
        <v>0</v>
      </c>
      <c r="AH130" s="2">
        <f t="shared" si="37"/>
        <v>1</v>
      </c>
      <c r="AI130" s="2">
        <f t="shared" si="38"/>
        <v>0</v>
      </c>
    </row>
    <row r="131" spans="1:16384" s="3" customFormat="1" ht="14.25" customHeight="1" x14ac:dyDescent="0.25">
      <c r="A131" s="29">
        <v>1</v>
      </c>
      <c r="B131" s="29">
        <v>2</v>
      </c>
      <c r="C131" s="29">
        <v>1</v>
      </c>
      <c r="D131" s="30" t="s">
        <v>675</v>
      </c>
      <c r="E131" s="30" t="s">
        <v>211</v>
      </c>
      <c r="F131" s="30" t="s">
        <v>646</v>
      </c>
      <c r="G131" s="30" t="s">
        <v>92</v>
      </c>
      <c r="H131" s="30" t="s">
        <v>165</v>
      </c>
      <c r="I131" s="29" t="s">
        <v>647</v>
      </c>
      <c r="J131" s="29">
        <v>2</v>
      </c>
      <c r="K131" s="29" t="s">
        <v>319</v>
      </c>
      <c r="L131" s="29" t="s">
        <v>318</v>
      </c>
      <c r="M131" s="30" t="s">
        <v>269</v>
      </c>
      <c r="N131" s="30" t="s">
        <v>880</v>
      </c>
      <c r="O131" s="31">
        <v>1</v>
      </c>
      <c r="P131" s="31">
        <v>1</v>
      </c>
      <c r="Q131" s="30"/>
      <c r="R131" s="2"/>
      <c r="S131" s="2">
        <f t="shared" si="23"/>
        <v>0</v>
      </c>
      <c r="T131" s="2">
        <f t="shared" si="24"/>
        <v>1</v>
      </c>
      <c r="U131" s="2">
        <f t="shared" si="25"/>
        <v>0</v>
      </c>
      <c r="V131" s="2">
        <f t="shared" si="26"/>
        <v>0</v>
      </c>
      <c r="W131" s="2">
        <f t="shared" si="27"/>
        <v>0</v>
      </c>
      <c r="X131" s="2">
        <f t="shared" si="28"/>
        <v>0</v>
      </c>
      <c r="Y131" s="2">
        <f t="shared" si="29"/>
        <v>0</v>
      </c>
      <c r="Z131" s="2">
        <f t="shared" si="30"/>
        <v>0</v>
      </c>
      <c r="AA131" s="2">
        <f t="shared" si="31"/>
        <v>0</v>
      </c>
      <c r="AB131" s="2">
        <f t="shared" si="32"/>
        <v>0</v>
      </c>
      <c r="AC131" s="2"/>
      <c r="AD131" s="2">
        <f t="shared" si="33"/>
        <v>1</v>
      </c>
      <c r="AE131" s="2">
        <f t="shared" si="34"/>
        <v>0</v>
      </c>
      <c r="AF131" s="2">
        <f t="shared" si="35"/>
        <v>0</v>
      </c>
      <c r="AG131" s="2">
        <f t="shared" si="36"/>
        <v>0</v>
      </c>
      <c r="AH131" s="2">
        <f t="shared" si="37"/>
        <v>0</v>
      </c>
      <c r="AI131" s="2">
        <f t="shared" si="38"/>
        <v>0</v>
      </c>
    </row>
    <row r="132" spans="1:16384" s="3" customFormat="1" ht="14.25" customHeight="1" x14ac:dyDescent="0.25">
      <c r="A132" s="29">
        <v>1</v>
      </c>
      <c r="B132" s="29">
        <v>2</v>
      </c>
      <c r="C132" s="29">
        <v>1</v>
      </c>
      <c r="D132" s="30" t="s">
        <v>675</v>
      </c>
      <c r="E132" s="30" t="s">
        <v>211</v>
      </c>
      <c r="F132" s="30" t="s">
        <v>645</v>
      </c>
      <c r="G132" s="30" t="s">
        <v>40</v>
      </c>
      <c r="H132" s="30" t="s">
        <v>165</v>
      </c>
      <c r="I132" s="29" t="s">
        <v>648</v>
      </c>
      <c r="J132" s="29">
        <v>4</v>
      </c>
      <c r="K132" s="29" t="s">
        <v>319</v>
      </c>
      <c r="L132" s="29" t="s">
        <v>318</v>
      </c>
      <c r="M132" s="30" t="s">
        <v>269</v>
      </c>
      <c r="N132" s="30" t="s">
        <v>880</v>
      </c>
      <c r="O132" s="31">
        <v>1</v>
      </c>
      <c r="P132" s="31">
        <v>1</v>
      </c>
      <c r="Q132" s="30"/>
      <c r="R132" s="2"/>
      <c r="S132" s="2">
        <f t="shared" si="23"/>
        <v>0</v>
      </c>
      <c r="T132" s="2">
        <f t="shared" si="24"/>
        <v>0</v>
      </c>
      <c r="U132" s="2">
        <f t="shared" si="25"/>
        <v>0</v>
      </c>
      <c r="V132" s="2">
        <f t="shared" si="26"/>
        <v>1</v>
      </c>
      <c r="W132" s="2">
        <f t="shared" si="27"/>
        <v>0</v>
      </c>
      <c r="X132" s="2">
        <f t="shared" si="28"/>
        <v>0</v>
      </c>
      <c r="Y132" s="2">
        <f t="shared" si="29"/>
        <v>0</v>
      </c>
      <c r="Z132" s="2">
        <f t="shared" si="30"/>
        <v>0</v>
      </c>
      <c r="AA132" s="2">
        <f t="shared" si="31"/>
        <v>0</v>
      </c>
      <c r="AB132" s="2">
        <f t="shared" si="32"/>
        <v>0</v>
      </c>
      <c r="AC132" s="2"/>
      <c r="AD132" s="2">
        <f t="shared" si="33"/>
        <v>1</v>
      </c>
      <c r="AE132" s="2">
        <f t="shared" si="34"/>
        <v>0</v>
      </c>
      <c r="AF132" s="2">
        <f t="shared" si="35"/>
        <v>0</v>
      </c>
      <c r="AG132" s="2">
        <f t="shared" si="36"/>
        <v>0</v>
      </c>
      <c r="AH132" s="2">
        <f t="shared" si="37"/>
        <v>0</v>
      </c>
      <c r="AI132" s="2">
        <f t="shared" si="38"/>
        <v>0</v>
      </c>
    </row>
    <row r="133" spans="1:16384" s="3" customFormat="1" ht="14.25" customHeight="1" x14ac:dyDescent="0.25">
      <c r="A133" s="29">
        <v>0</v>
      </c>
      <c r="B133" s="29">
        <v>2</v>
      </c>
      <c r="C133" s="29">
        <v>1</v>
      </c>
      <c r="D133" s="30" t="s">
        <v>952</v>
      </c>
      <c r="E133" s="30" t="s">
        <v>468</v>
      </c>
      <c r="F133" s="30" t="s">
        <v>953</v>
      </c>
      <c r="G133" s="30"/>
      <c r="H133" s="30" t="s">
        <v>165</v>
      </c>
      <c r="I133" s="29" t="s">
        <v>954</v>
      </c>
      <c r="J133" s="29"/>
      <c r="K133" s="29" t="s">
        <v>376</v>
      </c>
      <c r="L133" s="29"/>
      <c r="M133" s="30"/>
      <c r="N133" s="30" t="s">
        <v>880</v>
      </c>
      <c r="O133" s="31">
        <v>1</v>
      </c>
      <c r="P133" s="31">
        <v>1</v>
      </c>
      <c r="Q133" s="30"/>
      <c r="R133" s="2"/>
      <c r="S133" s="2">
        <f t="shared" si="23"/>
        <v>0</v>
      </c>
      <c r="T133" s="2">
        <f t="shared" si="24"/>
        <v>0</v>
      </c>
      <c r="U133" s="2">
        <f t="shared" si="25"/>
        <v>0</v>
      </c>
      <c r="V133" s="2">
        <f t="shared" si="26"/>
        <v>0</v>
      </c>
      <c r="W133" s="2">
        <f t="shared" si="27"/>
        <v>0</v>
      </c>
      <c r="X133" s="2">
        <f t="shared" si="28"/>
        <v>0</v>
      </c>
      <c r="Y133" s="2">
        <f t="shared" si="29"/>
        <v>0</v>
      </c>
      <c r="Z133" s="2">
        <f t="shared" si="30"/>
        <v>0</v>
      </c>
      <c r="AA133" s="2">
        <f t="shared" si="31"/>
        <v>0</v>
      </c>
      <c r="AB133" s="2">
        <f t="shared" si="32"/>
        <v>0</v>
      </c>
      <c r="AC133" s="2"/>
      <c r="AD133" s="2">
        <f t="shared" si="33"/>
        <v>1</v>
      </c>
      <c r="AE133" s="2">
        <f t="shared" si="34"/>
        <v>0</v>
      </c>
      <c r="AF133" s="2">
        <f t="shared" si="35"/>
        <v>1</v>
      </c>
      <c r="AG133" s="2">
        <f t="shared" si="36"/>
        <v>0</v>
      </c>
      <c r="AH133" s="2">
        <f t="shared" si="37"/>
        <v>1</v>
      </c>
      <c r="AI133" s="2">
        <f t="shared" si="38"/>
        <v>0</v>
      </c>
    </row>
    <row r="134" spans="1:16384" s="3" customFormat="1" ht="14.25" customHeight="1" x14ac:dyDescent="0.25">
      <c r="A134" s="29">
        <v>0</v>
      </c>
      <c r="B134" s="29">
        <v>2</v>
      </c>
      <c r="C134" s="29">
        <v>1</v>
      </c>
      <c r="D134" s="30" t="s">
        <v>459</v>
      </c>
      <c r="E134" s="30" t="s">
        <v>466</v>
      </c>
      <c r="F134" s="30" t="s">
        <v>472</v>
      </c>
      <c r="G134" s="30" t="s">
        <v>473</v>
      </c>
      <c r="H134" s="30" t="s">
        <v>165</v>
      </c>
      <c r="I134" s="29" t="s">
        <v>407</v>
      </c>
      <c r="J134" s="29">
        <v>99</v>
      </c>
      <c r="K134" s="29" t="s">
        <v>320</v>
      </c>
      <c r="L134" s="29" t="s">
        <v>318</v>
      </c>
      <c r="M134" s="30" t="s">
        <v>269</v>
      </c>
      <c r="N134" s="30" t="s">
        <v>909</v>
      </c>
      <c r="O134" s="31">
        <v>1</v>
      </c>
      <c r="P134" s="31"/>
      <c r="Q134" s="30"/>
      <c r="R134" s="20"/>
      <c r="S134" s="2">
        <f t="shared" si="23"/>
        <v>0</v>
      </c>
      <c r="T134" s="2">
        <f t="shared" si="24"/>
        <v>0</v>
      </c>
      <c r="U134" s="2">
        <f t="shared" si="25"/>
        <v>0</v>
      </c>
      <c r="V134" s="2">
        <f t="shared" si="26"/>
        <v>0</v>
      </c>
      <c r="W134" s="2">
        <f t="shared" si="27"/>
        <v>0</v>
      </c>
      <c r="X134" s="2">
        <f t="shared" si="28"/>
        <v>0</v>
      </c>
      <c r="Y134" s="2">
        <f t="shared" si="29"/>
        <v>0</v>
      </c>
      <c r="Z134" s="2">
        <f t="shared" si="30"/>
        <v>0</v>
      </c>
      <c r="AA134" s="2">
        <f t="shared" si="31"/>
        <v>0</v>
      </c>
      <c r="AB134" s="2">
        <f t="shared" si="32"/>
        <v>0</v>
      </c>
      <c r="AC134" s="2"/>
      <c r="AD134" s="2">
        <f t="shared" si="33"/>
        <v>0</v>
      </c>
      <c r="AE134" s="2">
        <f t="shared" si="34"/>
        <v>1</v>
      </c>
      <c r="AF134" s="2">
        <f t="shared" si="35"/>
        <v>0</v>
      </c>
      <c r="AG134" s="2">
        <f t="shared" si="36"/>
        <v>1</v>
      </c>
      <c r="AH134" s="2">
        <f t="shared" si="37"/>
        <v>0</v>
      </c>
      <c r="AI134" s="2">
        <f t="shared" si="38"/>
        <v>1</v>
      </c>
      <c r="AJ134" s="20"/>
      <c r="AK134" s="20"/>
      <c r="AL134" s="21"/>
      <c r="AM134" s="21"/>
      <c r="AN134" s="21"/>
      <c r="AO134" s="21"/>
      <c r="AP134" s="21"/>
      <c r="AQ134" s="20"/>
      <c r="AR134" s="20"/>
      <c r="AS134" s="20"/>
      <c r="AT134" s="20"/>
      <c r="AU134" s="21"/>
      <c r="AV134" s="21"/>
      <c r="AW134" s="7"/>
      <c r="AX134" s="7"/>
      <c r="AY134" s="21"/>
      <c r="AZ134" s="20"/>
      <c r="BA134" s="20"/>
      <c r="BB134" s="20"/>
      <c r="BC134" s="21"/>
      <c r="BD134" s="21"/>
      <c r="BE134" s="21"/>
      <c r="BF134" s="21"/>
      <c r="BG134" s="21"/>
      <c r="BH134" s="20"/>
      <c r="BI134" s="20"/>
      <c r="BJ134" s="20"/>
      <c r="BK134" s="20"/>
      <c r="BL134" s="21"/>
      <c r="BM134" s="21"/>
      <c r="BN134" s="7"/>
      <c r="BO134" s="7"/>
      <c r="BP134" s="21"/>
      <c r="BQ134" s="20"/>
      <c r="BR134" s="20"/>
      <c r="BS134" s="20"/>
      <c r="BT134" s="21"/>
      <c r="BU134" s="21"/>
      <c r="BV134" s="21"/>
      <c r="BW134" s="21"/>
      <c r="BX134" s="21"/>
      <c r="BY134" s="20"/>
      <c r="BZ134" s="20"/>
      <c r="CA134" s="20"/>
      <c r="CB134" s="20"/>
      <c r="CC134" s="21"/>
      <c r="CD134" s="21"/>
      <c r="CE134" s="7"/>
      <c r="CF134" s="7"/>
      <c r="CG134" s="21"/>
      <c r="CH134" s="20"/>
      <c r="CI134" s="20"/>
      <c r="CJ134" s="20"/>
      <c r="CK134" s="21"/>
      <c r="CL134" s="21"/>
      <c r="CM134" s="21"/>
      <c r="CN134" s="21"/>
      <c r="CO134" s="21"/>
      <c r="CP134" s="20"/>
      <c r="CQ134" s="20"/>
      <c r="CR134" s="20"/>
      <c r="CS134" s="20"/>
      <c r="CT134" s="21"/>
      <c r="CU134" s="21"/>
      <c r="CV134" s="7"/>
      <c r="CW134" s="7"/>
      <c r="CX134" s="21"/>
      <c r="CY134" s="20"/>
      <c r="CZ134" s="20"/>
      <c r="DA134" s="20"/>
      <c r="DB134" s="21"/>
      <c r="DC134" s="21"/>
      <c r="DD134" s="21"/>
      <c r="DE134" s="21"/>
      <c r="DF134" s="21"/>
      <c r="DG134" s="20"/>
      <c r="DH134" s="20"/>
      <c r="DI134" s="20"/>
      <c r="DJ134" s="20"/>
      <c r="DK134" s="21"/>
      <c r="DL134" s="21"/>
      <c r="DM134" s="7"/>
      <c r="DN134" s="7"/>
      <c r="DO134" s="21"/>
      <c r="DP134" s="20"/>
      <c r="DQ134" s="20"/>
      <c r="DR134" s="20"/>
      <c r="DS134" s="21"/>
      <c r="DT134" s="21"/>
      <c r="DU134" s="21"/>
      <c r="DV134" s="21"/>
      <c r="DW134" s="21"/>
      <c r="DX134" s="20"/>
      <c r="DY134" s="20"/>
      <c r="DZ134" s="20"/>
      <c r="EA134" s="20"/>
      <c r="EB134" s="21"/>
      <c r="EC134" s="21"/>
      <c r="ED134" s="7"/>
      <c r="EE134" s="7"/>
      <c r="EF134" s="21"/>
      <c r="EG134" s="20"/>
      <c r="EH134" s="20"/>
      <c r="EI134" s="20"/>
      <c r="EJ134" s="21"/>
      <c r="EK134" s="21"/>
      <c r="EL134" s="21"/>
      <c r="EM134" s="21"/>
      <c r="EN134" s="21"/>
      <c r="EO134" s="20"/>
      <c r="EP134" s="20"/>
      <c r="EQ134" s="20"/>
      <c r="ER134" s="20"/>
      <c r="ES134" s="21"/>
      <c r="ET134" s="21"/>
      <c r="EU134" s="7"/>
      <c r="EV134" s="7"/>
      <c r="EW134" s="21"/>
      <c r="EX134" s="20"/>
      <c r="EY134" s="20"/>
      <c r="EZ134" s="20"/>
      <c r="FA134" s="21"/>
      <c r="FB134" s="21"/>
      <c r="FC134" s="21"/>
      <c r="FD134" s="21"/>
      <c r="FE134" s="21"/>
      <c r="FF134" s="20"/>
      <c r="FG134" s="20"/>
      <c r="FH134" s="20"/>
      <c r="FI134" s="20"/>
      <c r="FJ134" s="21"/>
      <c r="FK134" s="21"/>
      <c r="FL134" s="7"/>
      <c r="FM134" s="7"/>
      <c r="FN134" s="21"/>
      <c r="FO134" s="20"/>
      <c r="FP134" s="20"/>
      <c r="FQ134" s="20"/>
      <c r="FR134" s="21"/>
      <c r="FS134" s="21"/>
      <c r="FT134" s="21"/>
      <c r="FU134" s="21"/>
      <c r="FV134" s="21"/>
      <c r="FW134" s="20"/>
      <c r="FX134" s="20"/>
      <c r="FY134" s="20"/>
      <c r="FZ134" s="20"/>
      <c r="GA134" s="21"/>
      <c r="GB134" s="21"/>
      <c r="GC134" s="7"/>
      <c r="GD134" s="7"/>
      <c r="GE134" s="21"/>
      <c r="GF134" s="20"/>
      <c r="GG134" s="20"/>
      <c r="GH134" s="20"/>
      <c r="GI134" s="21"/>
      <c r="GJ134" s="21"/>
      <c r="GK134" s="21"/>
      <c r="GL134" s="21"/>
      <c r="GM134" s="21"/>
      <c r="GN134" s="20"/>
      <c r="GO134" s="20"/>
      <c r="GP134" s="20"/>
      <c r="GQ134" s="20"/>
      <c r="GR134" s="21"/>
      <c r="GS134" s="21"/>
      <c r="GT134" s="7"/>
      <c r="GU134" s="7"/>
      <c r="GV134" s="21"/>
      <c r="GW134" s="20"/>
      <c r="GX134" s="20"/>
      <c r="GY134" s="20"/>
      <c r="GZ134" s="21"/>
      <c r="HA134" s="21"/>
      <c r="HB134" s="21"/>
      <c r="HC134" s="21"/>
      <c r="HD134" s="21"/>
      <c r="HE134" s="20"/>
      <c r="HF134" s="20"/>
      <c r="HG134" s="20"/>
      <c r="HH134" s="20"/>
      <c r="HI134" s="21"/>
      <c r="HJ134" s="21"/>
      <c r="HK134" s="7"/>
      <c r="HL134" s="7"/>
      <c r="HM134" s="21"/>
      <c r="HN134" s="20"/>
      <c r="HO134" s="20"/>
      <c r="HP134" s="20"/>
      <c r="HQ134" s="21"/>
      <c r="HR134" s="21"/>
      <c r="HS134" s="21"/>
      <c r="HT134" s="21"/>
      <c r="HU134" s="21"/>
      <c r="HV134" s="20"/>
      <c r="HW134" s="20"/>
      <c r="HX134" s="20"/>
      <c r="HY134" s="20"/>
      <c r="HZ134" s="21"/>
      <c r="IA134" s="21"/>
      <c r="IB134" s="7"/>
      <c r="IC134" s="7"/>
      <c r="ID134" s="21"/>
      <c r="IE134" s="20"/>
      <c r="IF134" s="20"/>
      <c r="IG134" s="20"/>
      <c r="IH134" s="21"/>
      <c r="II134" s="21"/>
      <c r="IJ134" s="21"/>
      <c r="IK134" s="21"/>
      <c r="IL134" s="21"/>
      <c r="IM134" s="20"/>
      <c r="IN134" s="20"/>
      <c r="IO134" s="20"/>
      <c r="IP134" s="20"/>
      <c r="IQ134" s="21"/>
      <c r="IR134" s="21"/>
      <c r="IS134" s="7"/>
      <c r="IT134" s="7"/>
      <c r="IU134" s="21"/>
      <c r="IV134" s="20"/>
      <c r="IW134" s="20"/>
      <c r="IX134" s="20"/>
      <c r="IY134" s="21"/>
      <c r="IZ134" s="21"/>
      <c r="JA134" s="21"/>
      <c r="JB134" s="21"/>
      <c r="JC134" s="21"/>
      <c r="JD134" s="20"/>
      <c r="JE134" s="20"/>
      <c r="JF134" s="20"/>
      <c r="JG134" s="20"/>
      <c r="JH134" s="21"/>
      <c r="JI134" s="21"/>
      <c r="JJ134" s="7"/>
      <c r="JK134" s="7"/>
      <c r="JL134" s="21"/>
      <c r="JM134" s="20"/>
      <c r="JN134" s="20"/>
      <c r="JO134" s="20"/>
      <c r="JP134" s="21"/>
      <c r="JQ134" s="21"/>
      <c r="JR134" s="21"/>
      <c r="JS134" s="21"/>
      <c r="JT134" s="21"/>
      <c r="JU134" s="20"/>
      <c r="JV134" s="20"/>
      <c r="JW134" s="20"/>
      <c r="JX134" s="20"/>
      <c r="JY134" s="21"/>
      <c r="JZ134" s="21"/>
      <c r="KA134" s="7"/>
      <c r="KB134" s="7"/>
      <c r="KC134" s="21"/>
      <c r="KD134" s="20"/>
      <c r="KE134" s="20"/>
      <c r="KF134" s="20"/>
      <c r="KG134" s="21"/>
      <c r="KH134" s="21"/>
      <c r="KI134" s="21"/>
      <c r="KJ134" s="21"/>
      <c r="KK134" s="21"/>
      <c r="KL134" s="20"/>
      <c r="KM134" s="20"/>
      <c r="KN134" s="20"/>
      <c r="KO134" s="20"/>
      <c r="KP134" s="21"/>
      <c r="KQ134" s="21"/>
      <c r="KR134" s="7"/>
      <c r="KS134" s="7"/>
      <c r="KT134" s="21"/>
      <c r="KU134" s="20"/>
      <c r="KV134" s="20"/>
      <c r="KW134" s="20"/>
      <c r="KX134" s="21"/>
      <c r="KY134" s="21"/>
      <c r="KZ134" s="21"/>
      <c r="LA134" s="21"/>
      <c r="LB134" s="21"/>
      <c r="LC134" s="20"/>
      <c r="LD134" s="20"/>
      <c r="LE134" s="20"/>
      <c r="LF134" s="20"/>
      <c r="LG134" s="21"/>
      <c r="LH134" s="21"/>
      <c r="LI134" s="7"/>
      <c r="LJ134" s="7"/>
      <c r="LK134" s="21"/>
      <c r="LL134" s="20"/>
      <c r="LM134" s="20"/>
      <c r="LN134" s="20"/>
      <c r="LO134" s="21"/>
      <c r="LP134" s="21"/>
      <c r="LQ134" s="21"/>
      <c r="LR134" s="21"/>
      <c r="LS134" s="21"/>
      <c r="LT134" s="20"/>
      <c r="LU134" s="20"/>
      <c r="LV134" s="20"/>
      <c r="LW134" s="20"/>
      <c r="LX134" s="21"/>
      <c r="LY134" s="21"/>
      <c r="LZ134" s="7"/>
      <c r="MA134" s="7"/>
      <c r="MB134" s="21"/>
      <c r="MC134" s="20"/>
      <c r="MD134" s="20"/>
      <c r="ME134" s="20"/>
      <c r="MF134" s="21"/>
      <c r="MG134" s="21"/>
      <c r="MH134" s="21"/>
      <c r="MI134" s="21"/>
      <c r="MJ134" s="21"/>
      <c r="MK134" s="20"/>
      <c r="ML134" s="20"/>
      <c r="MM134" s="20"/>
      <c r="MN134" s="20"/>
      <c r="MO134" s="21"/>
      <c r="MP134" s="21"/>
      <c r="MQ134" s="7"/>
      <c r="MR134" s="7"/>
      <c r="MS134" s="21"/>
      <c r="MT134" s="20"/>
      <c r="MU134" s="20"/>
      <c r="MV134" s="20"/>
      <c r="MW134" s="21"/>
      <c r="MX134" s="21"/>
      <c r="MY134" s="21"/>
      <c r="MZ134" s="21"/>
      <c r="NA134" s="21"/>
      <c r="NB134" s="20"/>
      <c r="NC134" s="20"/>
      <c r="ND134" s="20"/>
      <c r="NE134" s="20"/>
      <c r="NF134" s="21"/>
      <c r="NG134" s="21"/>
      <c r="NH134" s="7"/>
      <c r="NI134" s="7"/>
      <c r="NJ134" s="21"/>
      <c r="NK134" s="20"/>
      <c r="NL134" s="20"/>
      <c r="NM134" s="20"/>
      <c r="NN134" s="21"/>
      <c r="NO134" s="21"/>
      <c r="NP134" s="21"/>
      <c r="NQ134" s="21"/>
      <c r="NR134" s="21"/>
      <c r="NS134" s="20"/>
      <c r="NT134" s="20"/>
      <c r="NU134" s="20"/>
      <c r="NV134" s="20"/>
      <c r="NW134" s="21"/>
      <c r="NX134" s="21"/>
      <c r="NY134" s="7"/>
      <c r="NZ134" s="7"/>
      <c r="OA134" s="21"/>
      <c r="OB134" s="20"/>
      <c r="OC134" s="20"/>
      <c r="OD134" s="20"/>
      <c r="OE134" s="21"/>
      <c r="OF134" s="21"/>
      <c r="OG134" s="21"/>
      <c r="OH134" s="21"/>
      <c r="OI134" s="21"/>
      <c r="OJ134" s="20"/>
      <c r="OK134" s="20"/>
      <c r="OL134" s="20"/>
      <c r="OM134" s="20"/>
      <c r="ON134" s="21"/>
      <c r="OO134" s="21"/>
      <c r="OP134" s="7"/>
      <c r="OQ134" s="7"/>
      <c r="OR134" s="21"/>
      <c r="OS134" s="20"/>
      <c r="OT134" s="20"/>
      <c r="OU134" s="20"/>
      <c r="OV134" s="21"/>
      <c r="OW134" s="21"/>
      <c r="OX134" s="21"/>
      <c r="OY134" s="21"/>
      <c r="OZ134" s="21"/>
      <c r="PA134" s="20"/>
      <c r="PB134" s="20"/>
      <c r="PC134" s="20"/>
      <c r="PD134" s="20"/>
      <c r="PE134" s="21"/>
      <c r="PF134" s="21"/>
      <c r="PG134" s="7"/>
      <c r="PH134" s="7"/>
      <c r="PI134" s="21"/>
      <c r="PJ134" s="20"/>
      <c r="PK134" s="20"/>
      <c r="PL134" s="20"/>
      <c r="PM134" s="21"/>
      <c r="PN134" s="21"/>
      <c r="PO134" s="21"/>
      <c r="PP134" s="21"/>
      <c r="PQ134" s="21"/>
      <c r="PR134" s="20"/>
      <c r="PS134" s="20"/>
      <c r="PT134" s="20"/>
      <c r="PU134" s="20"/>
      <c r="PV134" s="21"/>
      <c r="PW134" s="21"/>
      <c r="PX134" s="7"/>
      <c r="PY134" s="7"/>
      <c r="PZ134" s="21"/>
      <c r="QA134" s="20"/>
      <c r="QB134" s="20"/>
      <c r="QC134" s="20"/>
      <c r="QD134" s="21"/>
      <c r="QE134" s="21"/>
      <c r="QF134" s="21"/>
      <c r="QG134" s="21"/>
      <c r="QH134" s="21"/>
      <c r="QI134" s="20"/>
      <c r="QJ134" s="20"/>
      <c r="QK134" s="20"/>
      <c r="QL134" s="20"/>
      <c r="QM134" s="21"/>
      <c r="QN134" s="21"/>
      <c r="QO134" s="7"/>
      <c r="QP134" s="7"/>
      <c r="QQ134" s="21"/>
      <c r="QR134" s="20"/>
      <c r="QS134" s="20"/>
      <c r="QT134" s="20"/>
      <c r="QU134" s="21"/>
      <c r="QV134" s="21"/>
      <c r="QW134" s="21"/>
      <c r="QX134" s="21"/>
      <c r="QY134" s="21"/>
      <c r="QZ134" s="20"/>
      <c r="RA134" s="20"/>
      <c r="RB134" s="20"/>
      <c r="RC134" s="20"/>
      <c r="RD134" s="21"/>
      <c r="RE134" s="21"/>
      <c r="RF134" s="7"/>
      <c r="RG134" s="7"/>
      <c r="RH134" s="21"/>
      <c r="RI134" s="20"/>
      <c r="RJ134" s="20"/>
      <c r="RK134" s="20"/>
      <c r="RL134" s="21"/>
      <c r="RM134" s="21"/>
      <c r="RN134" s="21"/>
      <c r="RO134" s="21"/>
      <c r="RP134" s="21"/>
      <c r="RQ134" s="20"/>
      <c r="RR134" s="20"/>
      <c r="RS134" s="20"/>
      <c r="RT134" s="20"/>
      <c r="RU134" s="21"/>
      <c r="RV134" s="21"/>
      <c r="RW134" s="7"/>
      <c r="RX134" s="7"/>
      <c r="RY134" s="21"/>
      <c r="RZ134" s="20"/>
      <c r="SA134" s="20"/>
      <c r="SB134" s="20"/>
      <c r="SC134" s="21"/>
      <c r="SD134" s="21"/>
      <c r="SE134" s="21"/>
      <c r="SF134" s="21"/>
      <c r="SG134" s="21"/>
      <c r="SH134" s="20"/>
      <c r="SI134" s="20"/>
      <c r="SJ134" s="20"/>
      <c r="SK134" s="20"/>
      <c r="SL134" s="21"/>
      <c r="SM134" s="21"/>
      <c r="SN134" s="7"/>
      <c r="SO134" s="7"/>
      <c r="SP134" s="21"/>
      <c r="SQ134" s="20"/>
      <c r="SR134" s="20"/>
      <c r="SS134" s="20"/>
      <c r="ST134" s="21"/>
      <c r="SU134" s="21"/>
      <c r="SV134" s="21"/>
      <c r="SW134" s="21"/>
      <c r="SX134" s="21"/>
      <c r="SY134" s="20"/>
      <c r="SZ134" s="20"/>
      <c r="TA134" s="20"/>
      <c r="TB134" s="20"/>
      <c r="TC134" s="21"/>
      <c r="TD134" s="21"/>
      <c r="TE134" s="7"/>
      <c r="TF134" s="7"/>
      <c r="TG134" s="21"/>
      <c r="TH134" s="20"/>
      <c r="TI134" s="20"/>
      <c r="TJ134" s="20"/>
      <c r="TK134" s="21"/>
      <c r="TL134" s="21"/>
      <c r="TM134" s="21"/>
      <c r="TN134" s="21"/>
      <c r="TO134" s="21"/>
      <c r="TP134" s="20"/>
      <c r="TQ134" s="20"/>
      <c r="TR134" s="20"/>
      <c r="TS134" s="20"/>
      <c r="TT134" s="21"/>
      <c r="TU134" s="21"/>
      <c r="TV134" s="7"/>
      <c r="TW134" s="7"/>
      <c r="TX134" s="21"/>
      <c r="TY134" s="20"/>
      <c r="TZ134" s="20"/>
      <c r="UA134" s="20"/>
      <c r="UB134" s="21"/>
      <c r="UC134" s="21"/>
      <c r="UD134" s="21"/>
      <c r="UE134" s="21"/>
      <c r="UF134" s="21"/>
      <c r="UG134" s="20"/>
      <c r="UH134" s="20"/>
      <c r="UI134" s="20"/>
      <c r="UJ134" s="20"/>
      <c r="UK134" s="21"/>
      <c r="UL134" s="21"/>
      <c r="UM134" s="7"/>
      <c r="UN134" s="7"/>
      <c r="UO134" s="21"/>
      <c r="UP134" s="20"/>
      <c r="UQ134" s="20"/>
      <c r="UR134" s="20"/>
      <c r="US134" s="21"/>
      <c r="UT134" s="21"/>
      <c r="UU134" s="21"/>
      <c r="UV134" s="21"/>
      <c r="UW134" s="21"/>
      <c r="UX134" s="20"/>
      <c r="UY134" s="20"/>
      <c r="UZ134" s="20"/>
      <c r="VA134" s="20"/>
      <c r="VB134" s="21"/>
      <c r="VC134" s="21"/>
      <c r="VD134" s="7"/>
      <c r="VE134" s="7"/>
      <c r="VF134" s="21"/>
      <c r="VG134" s="20"/>
      <c r="VH134" s="20"/>
      <c r="VI134" s="20"/>
      <c r="VJ134" s="21"/>
      <c r="VK134" s="21"/>
      <c r="VL134" s="21"/>
      <c r="VM134" s="21"/>
      <c r="VN134" s="21"/>
      <c r="VO134" s="20"/>
      <c r="VP134" s="20"/>
      <c r="VQ134" s="20"/>
      <c r="VR134" s="20"/>
      <c r="VS134" s="21"/>
      <c r="VT134" s="21"/>
      <c r="VU134" s="7"/>
      <c r="VV134" s="7"/>
      <c r="VW134" s="21"/>
      <c r="VX134" s="20"/>
      <c r="VY134" s="20"/>
      <c r="VZ134" s="20"/>
      <c r="WA134" s="21"/>
      <c r="WB134" s="21"/>
      <c r="WC134" s="21"/>
      <c r="WD134" s="21"/>
      <c r="WE134" s="21"/>
      <c r="WF134" s="20"/>
      <c r="WG134" s="20"/>
      <c r="WH134" s="20"/>
      <c r="WI134" s="20"/>
      <c r="WJ134" s="21"/>
      <c r="WK134" s="21"/>
      <c r="WL134" s="7"/>
      <c r="WM134" s="7"/>
      <c r="WN134" s="21"/>
      <c r="WO134" s="20"/>
      <c r="WP134" s="20"/>
      <c r="WQ134" s="20"/>
      <c r="WR134" s="21"/>
      <c r="WS134" s="21"/>
      <c r="WT134" s="21"/>
      <c r="WU134" s="21"/>
      <c r="WV134" s="21"/>
      <c r="WW134" s="20"/>
      <c r="WX134" s="20"/>
      <c r="WY134" s="20"/>
      <c r="WZ134" s="20"/>
      <c r="XA134" s="21"/>
      <c r="XB134" s="21"/>
      <c r="XC134" s="7"/>
      <c r="XD134" s="7"/>
      <c r="XE134" s="21"/>
      <c r="XF134" s="20"/>
      <c r="XG134" s="20"/>
      <c r="XH134" s="20"/>
      <c r="XI134" s="21"/>
      <c r="XJ134" s="21"/>
      <c r="XK134" s="21"/>
      <c r="XL134" s="21"/>
      <c r="XM134" s="21"/>
      <c r="XN134" s="20"/>
      <c r="XO134" s="20"/>
      <c r="XP134" s="20"/>
      <c r="XQ134" s="20"/>
      <c r="XR134" s="21"/>
      <c r="XS134" s="21"/>
      <c r="XT134" s="7"/>
      <c r="XU134" s="7"/>
      <c r="XV134" s="21"/>
      <c r="XW134" s="20"/>
      <c r="XX134" s="20"/>
      <c r="XY134" s="20"/>
      <c r="XZ134" s="21"/>
      <c r="YA134" s="21"/>
      <c r="YB134" s="21"/>
      <c r="YC134" s="21"/>
      <c r="YD134" s="21"/>
      <c r="YE134" s="20"/>
      <c r="YF134" s="20"/>
      <c r="YG134" s="20"/>
      <c r="YH134" s="20"/>
      <c r="YI134" s="21"/>
      <c r="YJ134" s="21"/>
      <c r="YK134" s="7"/>
      <c r="YL134" s="7"/>
      <c r="YM134" s="21"/>
      <c r="YN134" s="20"/>
      <c r="YO134" s="20"/>
      <c r="YP134" s="20"/>
      <c r="YQ134" s="21"/>
      <c r="YR134" s="21"/>
      <c r="YS134" s="21"/>
      <c r="YT134" s="21"/>
      <c r="YU134" s="21"/>
      <c r="YV134" s="20"/>
      <c r="YW134" s="20"/>
      <c r="YX134" s="20"/>
      <c r="YY134" s="20"/>
      <c r="YZ134" s="21"/>
      <c r="ZA134" s="21"/>
      <c r="ZB134" s="7"/>
      <c r="ZC134" s="7"/>
      <c r="ZD134" s="21"/>
      <c r="ZE134" s="20"/>
      <c r="ZF134" s="20"/>
      <c r="ZG134" s="20"/>
      <c r="ZH134" s="21"/>
      <c r="ZI134" s="21"/>
      <c r="ZJ134" s="21"/>
      <c r="ZK134" s="21"/>
      <c r="ZL134" s="21"/>
      <c r="ZM134" s="20"/>
      <c r="ZN134" s="20"/>
      <c r="ZO134" s="20"/>
      <c r="ZP134" s="20"/>
      <c r="ZQ134" s="21"/>
      <c r="ZR134" s="21"/>
      <c r="ZS134" s="7"/>
      <c r="ZT134" s="7"/>
      <c r="ZU134" s="21"/>
      <c r="ZV134" s="20"/>
      <c r="ZW134" s="20"/>
      <c r="ZX134" s="20"/>
      <c r="ZY134" s="21"/>
      <c r="ZZ134" s="21"/>
      <c r="AAA134" s="21"/>
      <c r="AAB134" s="21"/>
      <c r="AAC134" s="21"/>
      <c r="AAD134" s="20"/>
      <c r="AAE134" s="20"/>
      <c r="AAF134" s="20"/>
      <c r="AAG134" s="20"/>
      <c r="AAH134" s="21"/>
      <c r="AAI134" s="21"/>
      <c r="AAJ134" s="7"/>
      <c r="AAK134" s="7"/>
      <c r="AAL134" s="21"/>
      <c r="AAM134" s="20"/>
      <c r="AAN134" s="20"/>
      <c r="AAO134" s="20"/>
      <c r="AAP134" s="21"/>
      <c r="AAQ134" s="21"/>
      <c r="AAR134" s="21"/>
      <c r="AAS134" s="21"/>
      <c r="AAT134" s="21"/>
      <c r="AAU134" s="20"/>
      <c r="AAV134" s="20"/>
      <c r="AAW134" s="20"/>
      <c r="AAX134" s="20"/>
      <c r="AAY134" s="21"/>
      <c r="AAZ134" s="21"/>
      <c r="ABA134" s="7"/>
      <c r="ABB134" s="7"/>
      <c r="ABC134" s="21"/>
      <c r="ABD134" s="20"/>
      <c r="ABE134" s="20"/>
      <c r="ABF134" s="20"/>
      <c r="ABG134" s="21"/>
      <c r="ABH134" s="21"/>
      <c r="ABI134" s="21"/>
      <c r="ABJ134" s="21"/>
      <c r="ABK134" s="21"/>
      <c r="ABL134" s="20"/>
      <c r="ABM134" s="20"/>
      <c r="ABN134" s="20"/>
      <c r="ABO134" s="20"/>
      <c r="ABP134" s="21"/>
      <c r="ABQ134" s="21"/>
      <c r="ABR134" s="7"/>
      <c r="ABS134" s="7"/>
      <c r="ABT134" s="21"/>
      <c r="ABU134" s="20"/>
      <c r="ABV134" s="20"/>
      <c r="ABW134" s="20"/>
      <c r="ABX134" s="21"/>
      <c r="ABY134" s="21"/>
      <c r="ABZ134" s="21"/>
      <c r="ACA134" s="21"/>
      <c r="ACB134" s="21"/>
      <c r="ACC134" s="20"/>
      <c r="ACD134" s="20"/>
      <c r="ACE134" s="20"/>
      <c r="ACF134" s="20"/>
      <c r="ACG134" s="21"/>
      <c r="ACH134" s="21"/>
      <c r="ACI134" s="7"/>
      <c r="ACJ134" s="7"/>
      <c r="ACK134" s="21"/>
      <c r="ACL134" s="20"/>
      <c r="ACM134" s="20"/>
      <c r="ACN134" s="20"/>
      <c r="ACO134" s="21"/>
      <c r="ACP134" s="21"/>
      <c r="ACQ134" s="21"/>
      <c r="ACR134" s="21"/>
      <c r="ACS134" s="21"/>
      <c r="ACT134" s="20"/>
      <c r="ACU134" s="20"/>
      <c r="ACV134" s="20"/>
      <c r="ACW134" s="20"/>
      <c r="ACX134" s="21"/>
      <c r="ACY134" s="21"/>
      <c r="ACZ134" s="7"/>
      <c r="ADA134" s="7"/>
      <c r="ADB134" s="21"/>
      <c r="ADC134" s="20"/>
      <c r="ADD134" s="20"/>
      <c r="ADE134" s="20"/>
      <c r="ADF134" s="21"/>
      <c r="ADG134" s="21"/>
      <c r="ADH134" s="21"/>
      <c r="ADI134" s="21"/>
      <c r="ADJ134" s="21"/>
      <c r="ADK134" s="20"/>
      <c r="ADL134" s="20"/>
      <c r="ADM134" s="20"/>
      <c r="ADN134" s="20"/>
      <c r="ADO134" s="21"/>
      <c r="ADP134" s="21"/>
      <c r="ADQ134" s="7"/>
      <c r="ADR134" s="7"/>
      <c r="ADS134" s="21"/>
      <c r="ADT134" s="20"/>
      <c r="ADU134" s="20"/>
      <c r="ADV134" s="20"/>
      <c r="ADW134" s="21"/>
      <c r="ADX134" s="21"/>
      <c r="ADY134" s="21"/>
      <c r="ADZ134" s="21"/>
      <c r="AEA134" s="21"/>
      <c r="AEB134" s="20"/>
      <c r="AEC134" s="20"/>
      <c r="AED134" s="20"/>
      <c r="AEE134" s="20"/>
      <c r="AEF134" s="21"/>
      <c r="AEG134" s="21"/>
      <c r="AEH134" s="7"/>
      <c r="AEI134" s="7"/>
      <c r="AEJ134" s="21"/>
      <c r="AEK134" s="20"/>
      <c r="AEL134" s="20"/>
      <c r="AEM134" s="20"/>
      <c r="AEN134" s="21"/>
      <c r="AEO134" s="21"/>
      <c r="AEP134" s="21"/>
      <c r="AEQ134" s="21"/>
      <c r="AER134" s="21"/>
      <c r="AES134" s="20"/>
      <c r="AET134" s="20"/>
      <c r="AEU134" s="20"/>
      <c r="AEV134" s="20"/>
      <c r="AEW134" s="21"/>
      <c r="AEX134" s="21"/>
      <c r="AEY134" s="7"/>
      <c r="AEZ134" s="7"/>
      <c r="AFA134" s="21"/>
      <c r="AFB134" s="20"/>
      <c r="AFC134" s="20"/>
      <c r="AFD134" s="20"/>
      <c r="AFE134" s="21"/>
      <c r="AFF134" s="21"/>
      <c r="AFG134" s="21"/>
      <c r="AFH134" s="21"/>
      <c r="AFI134" s="21"/>
      <c r="AFJ134" s="20"/>
      <c r="AFK134" s="20"/>
      <c r="AFL134" s="20"/>
      <c r="AFM134" s="20"/>
      <c r="AFN134" s="21"/>
      <c r="AFO134" s="21"/>
      <c r="AFP134" s="7"/>
      <c r="AFQ134" s="7"/>
      <c r="AFR134" s="21"/>
      <c r="AFS134" s="20"/>
      <c r="AFT134" s="20"/>
      <c r="AFU134" s="20"/>
      <c r="AFV134" s="21"/>
      <c r="AFW134" s="21"/>
      <c r="AFX134" s="21"/>
      <c r="AFY134" s="21"/>
      <c r="AFZ134" s="21"/>
      <c r="AGA134" s="20"/>
      <c r="AGB134" s="20"/>
      <c r="AGC134" s="20"/>
      <c r="AGD134" s="20"/>
      <c r="AGE134" s="21"/>
      <c r="AGF134" s="21"/>
      <c r="AGG134" s="7"/>
      <c r="AGH134" s="7"/>
      <c r="AGI134" s="21"/>
      <c r="AGJ134" s="20"/>
      <c r="AGK134" s="20"/>
      <c r="AGL134" s="20"/>
      <c r="AGM134" s="21"/>
      <c r="AGN134" s="21"/>
      <c r="AGO134" s="21"/>
      <c r="AGP134" s="21"/>
      <c r="AGQ134" s="21"/>
      <c r="AGR134" s="20"/>
      <c r="AGS134" s="20"/>
      <c r="AGT134" s="20"/>
      <c r="AGU134" s="20"/>
      <c r="AGV134" s="21"/>
      <c r="AGW134" s="21"/>
      <c r="AGX134" s="7"/>
      <c r="AGY134" s="7"/>
      <c r="AGZ134" s="21"/>
      <c r="AHA134" s="20"/>
      <c r="AHB134" s="20"/>
      <c r="AHC134" s="20"/>
      <c r="AHD134" s="21"/>
      <c r="AHE134" s="21"/>
      <c r="AHF134" s="21"/>
      <c r="AHG134" s="21"/>
      <c r="AHH134" s="21"/>
      <c r="AHI134" s="20"/>
      <c r="AHJ134" s="20"/>
      <c r="AHK134" s="20"/>
      <c r="AHL134" s="20"/>
      <c r="AHM134" s="21"/>
      <c r="AHN134" s="21"/>
      <c r="AHO134" s="7"/>
      <c r="AHP134" s="7"/>
      <c r="AHQ134" s="21"/>
      <c r="AHR134" s="20"/>
      <c r="AHS134" s="20"/>
      <c r="AHT134" s="20"/>
      <c r="AHU134" s="21"/>
      <c r="AHV134" s="21"/>
      <c r="AHW134" s="21"/>
      <c r="AHX134" s="21"/>
      <c r="AHY134" s="21"/>
      <c r="AHZ134" s="20"/>
      <c r="AIA134" s="20"/>
      <c r="AIB134" s="20"/>
      <c r="AIC134" s="20"/>
      <c r="AID134" s="21"/>
      <c r="AIE134" s="21"/>
      <c r="AIF134" s="7"/>
      <c r="AIG134" s="7"/>
      <c r="AIH134" s="21"/>
      <c r="AII134" s="20"/>
      <c r="AIJ134" s="20"/>
      <c r="AIK134" s="20"/>
      <c r="AIL134" s="21"/>
      <c r="AIM134" s="21"/>
      <c r="AIN134" s="21"/>
      <c r="AIO134" s="21"/>
      <c r="AIP134" s="21"/>
      <c r="AIQ134" s="20"/>
      <c r="AIR134" s="20"/>
      <c r="AIS134" s="20"/>
      <c r="AIT134" s="20"/>
      <c r="AIU134" s="21"/>
      <c r="AIV134" s="21"/>
      <c r="AIW134" s="7"/>
      <c r="AIX134" s="7"/>
      <c r="AIY134" s="21"/>
      <c r="AIZ134" s="20"/>
      <c r="AJA134" s="20"/>
      <c r="AJB134" s="20"/>
      <c r="AJC134" s="21"/>
      <c r="AJD134" s="21"/>
      <c r="AJE134" s="21"/>
      <c r="AJF134" s="21"/>
      <c r="AJG134" s="21"/>
      <c r="AJH134" s="20"/>
      <c r="AJI134" s="20"/>
      <c r="AJJ134" s="20"/>
      <c r="AJK134" s="20"/>
      <c r="AJL134" s="21"/>
      <c r="AJM134" s="21"/>
      <c r="AJN134" s="7"/>
      <c r="AJO134" s="7"/>
      <c r="AJP134" s="21"/>
      <c r="AJQ134" s="20"/>
      <c r="AJR134" s="20"/>
      <c r="AJS134" s="20"/>
      <c r="AJT134" s="21"/>
      <c r="AJU134" s="21"/>
      <c r="AJV134" s="21"/>
      <c r="AJW134" s="21"/>
      <c r="AJX134" s="21"/>
      <c r="AJY134" s="20"/>
      <c r="AJZ134" s="20"/>
      <c r="AKA134" s="20"/>
      <c r="AKB134" s="20"/>
      <c r="AKC134" s="21"/>
      <c r="AKD134" s="21"/>
      <c r="AKE134" s="7"/>
      <c r="AKF134" s="7"/>
      <c r="AKG134" s="21"/>
      <c r="AKH134" s="20"/>
      <c r="AKI134" s="20"/>
      <c r="AKJ134" s="20"/>
      <c r="AKK134" s="21"/>
      <c r="AKL134" s="21"/>
      <c r="AKM134" s="21"/>
      <c r="AKN134" s="21"/>
      <c r="AKO134" s="21"/>
      <c r="AKP134" s="20"/>
      <c r="AKQ134" s="20"/>
      <c r="AKR134" s="20"/>
      <c r="AKS134" s="20"/>
      <c r="AKT134" s="21"/>
      <c r="AKU134" s="21"/>
      <c r="AKV134" s="7"/>
      <c r="AKW134" s="7"/>
      <c r="AKX134" s="21"/>
      <c r="AKY134" s="20"/>
      <c r="AKZ134" s="20"/>
      <c r="ALA134" s="20"/>
      <c r="ALB134" s="21"/>
      <c r="ALC134" s="21"/>
      <c r="ALD134" s="21"/>
      <c r="ALE134" s="21"/>
      <c r="ALF134" s="21"/>
      <c r="ALG134" s="20"/>
      <c r="ALH134" s="20"/>
      <c r="ALI134" s="20"/>
      <c r="ALJ134" s="20"/>
      <c r="ALK134" s="21"/>
      <c r="ALL134" s="21"/>
      <c r="ALM134" s="7"/>
      <c r="ALN134" s="7"/>
      <c r="ALO134" s="21"/>
      <c r="ALP134" s="20"/>
      <c r="ALQ134" s="20"/>
      <c r="ALR134" s="20"/>
      <c r="ALS134" s="21"/>
      <c r="ALT134" s="21"/>
      <c r="ALU134" s="21"/>
      <c r="ALV134" s="21"/>
      <c r="ALW134" s="21"/>
      <c r="ALX134" s="20"/>
      <c r="ALY134" s="20"/>
      <c r="ALZ134" s="20"/>
      <c r="AMA134" s="20"/>
      <c r="AMB134" s="21"/>
      <c r="AMC134" s="21"/>
      <c r="AMD134" s="7"/>
      <c r="AME134" s="7"/>
      <c r="AMF134" s="21"/>
      <c r="AMG134" s="20"/>
      <c r="AMH134" s="20"/>
      <c r="AMI134" s="20"/>
      <c r="AMJ134" s="21"/>
      <c r="AMK134" s="21"/>
      <c r="AML134" s="21"/>
      <c r="AMM134" s="21"/>
      <c r="AMN134" s="21"/>
      <c r="AMO134" s="20"/>
      <c r="AMP134" s="20"/>
      <c r="AMQ134" s="20"/>
      <c r="AMR134" s="20"/>
      <c r="AMS134" s="21"/>
      <c r="AMT134" s="21"/>
      <c r="AMU134" s="7"/>
      <c r="AMV134" s="7"/>
      <c r="AMW134" s="21"/>
      <c r="AMX134" s="20"/>
      <c r="AMY134" s="20"/>
      <c r="AMZ134" s="20"/>
      <c r="ANA134" s="21"/>
      <c r="ANB134" s="21"/>
      <c r="ANC134" s="21"/>
      <c r="AND134" s="21"/>
      <c r="ANE134" s="21"/>
      <c r="ANF134" s="20"/>
      <c r="ANG134" s="20"/>
      <c r="ANH134" s="20"/>
      <c r="ANI134" s="20"/>
      <c r="ANJ134" s="21"/>
      <c r="ANK134" s="21"/>
      <c r="ANL134" s="7"/>
      <c r="ANM134" s="7"/>
      <c r="ANN134" s="21"/>
      <c r="ANO134" s="20"/>
      <c r="ANP134" s="20"/>
      <c r="ANQ134" s="20"/>
      <c r="ANR134" s="21"/>
      <c r="ANS134" s="21"/>
      <c r="ANT134" s="21"/>
      <c r="ANU134" s="21"/>
      <c r="ANV134" s="21"/>
      <c r="ANW134" s="20"/>
      <c r="ANX134" s="20"/>
      <c r="ANY134" s="20"/>
      <c r="ANZ134" s="20"/>
      <c r="AOA134" s="21"/>
      <c r="AOB134" s="21"/>
      <c r="AOC134" s="7"/>
      <c r="AOD134" s="7"/>
      <c r="AOE134" s="21"/>
      <c r="AOF134" s="20"/>
      <c r="AOG134" s="20"/>
      <c r="AOH134" s="20"/>
      <c r="AOI134" s="21"/>
      <c r="AOJ134" s="21"/>
      <c r="AOK134" s="21"/>
      <c r="AOL134" s="21"/>
      <c r="AOM134" s="21"/>
      <c r="AON134" s="20"/>
      <c r="AOO134" s="20"/>
      <c r="AOP134" s="20"/>
      <c r="AOQ134" s="20"/>
      <c r="AOR134" s="21"/>
      <c r="AOS134" s="21"/>
      <c r="AOT134" s="7"/>
      <c r="AOU134" s="7"/>
      <c r="AOV134" s="21"/>
      <c r="AOW134" s="20"/>
      <c r="AOX134" s="20"/>
      <c r="AOY134" s="20"/>
      <c r="AOZ134" s="21"/>
      <c r="APA134" s="21"/>
      <c r="APB134" s="21"/>
      <c r="APC134" s="21"/>
      <c r="APD134" s="21"/>
      <c r="APE134" s="20"/>
      <c r="APF134" s="20"/>
      <c r="APG134" s="20"/>
      <c r="APH134" s="20"/>
      <c r="API134" s="21"/>
      <c r="APJ134" s="21"/>
      <c r="APK134" s="7"/>
      <c r="APL134" s="7"/>
      <c r="APM134" s="21"/>
      <c r="APN134" s="20"/>
      <c r="APO134" s="20"/>
      <c r="APP134" s="20"/>
      <c r="APQ134" s="21"/>
      <c r="APR134" s="21"/>
      <c r="APS134" s="21"/>
      <c r="APT134" s="21"/>
      <c r="APU134" s="21"/>
      <c r="APV134" s="20"/>
      <c r="APW134" s="20"/>
      <c r="APX134" s="20"/>
      <c r="APY134" s="20"/>
      <c r="APZ134" s="21"/>
      <c r="AQA134" s="21"/>
      <c r="AQB134" s="7"/>
      <c r="AQC134" s="7"/>
      <c r="AQD134" s="21"/>
      <c r="AQE134" s="20"/>
      <c r="AQF134" s="20"/>
      <c r="AQG134" s="20"/>
      <c r="AQH134" s="21"/>
      <c r="AQI134" s="21"/>
      <c r="AQJ134" s="21"/>
      <c r="AQK134" s="21"/>
      <c r="AQL134" s="21"/>
      <c r="AQM134" s="20"/>
      <c r="AQN134" s="20"/>
      <c r="AQO134" s="20"/>
      <c r="AQP134" s="20"/>
      <c r="AQQ134" s="21"/>
      <c r="AQR134" s="21"/>
      <c r="AQS134" s="7"/>
      <c r="AQT134" s="7"/>
      <c r="AQU134" s="21"/>
      <c r="AQV134" s="20"/>
      <c r="AQW134" s="20"/>
      <c r="AQX134" s="20"/>
      <c r="AQY134" s="21"/>
      <c r="AQZ134" s="21"/>
      <c r="ARA134" s="21"/>
      <c r="ARB134" s="21"/>
      <c r="ARC134" s="21"/>
      <c r="ARD134" s="20"/>
      <c r="ARE134" s="20"/>
      <c r="ARF134" s="20"/>
      <c r="ARG134" s="20"/>
      <c r="ARH134" s="21"/>
      <c r="ARI134" s="21"/>
      <c r="ARJ134" s="7"/>
      <c r="ARK134" s="7"/>
      <c r="ARL134" s="21"/>
      <c r="ARM134" s="20"/>
      <c r="ARN134" s="20"/>
      <c r="ARO134" s="20"/>
      <c r="ARP134" s="21"/>
      <c r="ARQ134" s="21"/>
      <c r="ARR134" s="21"/>
      <c r="ARS134" s="21"/>
      <c r="ART134" s="21"/>
      <c r="ARU134" s="20"/>
      <c r="ARV134" s="20"/>
      <c r="ARW134" s="20"/>
      <c r="ARX134" s="20"/>
      <c r="ARY134" s="21"/>
      <c r="ARZ134" s="21"/>
      <c r="ASA134" s="7"/>
      <c r="ASB134" s="7"/>
      <c r="ASC134" s="21"/>
      <c r="ASD134" s="20"/>
      <c r="ASE134" s="20"/>
      <c r="ASF134" s="20"/>
      <c r="ASG134" s="21"/>
      <c r="ASH134" s="21"/>
      <c r="ASI134" s="21"/>
      <c r="ASJ134" s="21"/>
      <c r="ASK134" s="21"/>
      <c r="ASL134" s="20"/>
      <c r="ASM134" s="20"/>
      <c r="ASN134" s="20"/>
      <c r="ASO134" s="20"/>
      <c r="ASP134" s="21"/>
      <c r="ASQ134" s="21"/>
      <c r="ASR134" s="7"/>
      <c r="ASS134" s="7"/>
      <c r="AST134" s="21"/>
      <c r="ASU134" s="20"/>
      <c r="ASV134" s="20"/>
      <c r="ASW134" s="20"/>
      <c r="ASX134" s="21"/>
      <c r="ASY134" s="21"/>
      <c r="ASZ134" s="21"/>
      <c r="ATA134" s="21"/>
      <c r="ATB134" s="21"/>
      <c r="ATC134" s="20"/>
      <c r="ATD134" s="20"/>
      <c r="ATE134" s="20"/>
      <c r="ATF134" s="20"/>
      <c r="ATG134" s="21"/>
      <c r="ATH134" s="21"/>
      <c r="ATI134" s="7"/>
      <c r="ATJ134" s="7"/>
      <c r="ATK134" s="21"/>
      <c r="ATL134" s="20"/>
      <c r="ATM134" s="20"/>
      <c r="ATN134" s="20"/>
      <c r="ATO134" s="21"/>
      <c r="ATP134" s="21"/>
      <c r="ATQ134" s="21"/>
      <c r="ATR134" s="21"/>
      <c r="ATS134" s="21"/>
      <c r="ATT134" s="20"/>
      <c r="ATU134" s="20"/>
      <c r="ATV134" s="20"/>
      <c r="ATW134" s="20"/>
      <c r="ATX134" s="21"/>
      <c r="ATY134" s="21"/>
      <c r="ATZ134" s="7"/>
      <c r="AUA134" s="7"/>
      <c r="AUB134" s="21"/>
      <c r="AUC134" s="20"/>
      <c r="AUD134" s="20"/>
      <c r="AUE134" s="20"/>
      <c r="AUF134" s="21"/>
      <c r="AUG134" s="21"/>
      <c r="AUH134" s="21"/>
      <c r="AUI134" s="21"/>
      <c r="AUJ134" s="21"/>
      <c r="AUK134" s="20"/>
      <c r="AUL134" s="20"/>
      <c r="AUM134" s="20"/>
      <c r="AUN134" s="20"/>
      <c r="AUO134" s="21"/>
      <c r="AUP134" s="21"/>
      <c r="AUQ134" s="7"/>
      <c r="AUR134" s="7"/>
      <c r="AUS134" s="21"/>
      <c r="AUT134" s="20"/>
      <c r="AUU134" s="20"/>
      <c r="AUV134" s="20"/>
      <c r="AUW134" s="21"/>
      <c r="AUX134" s="21"/>
      <c r="AUY134" s="21"/>
      <c r="AUZ134" s="21"/>
      <c r="AVA134" s="21"/>
      <c r="AVB134" s="20"/>
      <c r="AVC134" s="20"/>
      <c r="AVD134" s="20"/>
      <c r="AVE134" s="20"/>
      <c r="AVF134" s="21"/>
      <c r="AVG134" s="21"/>
      <c r="AVH134" s="7"/>
      <c r="AVI134" s="7"/>
      <c r="AVJ134" s="21"/>
      <c r="AVK134" s="20"/>
      <c r="AVL134" s="20"/>
      <c r="AVM134" s="20"/>
      <c r="AVN134" s="21"/>
      <c r="AVO134" s="21"/>
      <c r="AVP134" s="21"/>
      <c r="AVQ134" s="21"/>
      <c r="AVR134" s="21"/>
      <c r="AVS134" s="20"/>
      <c r="AVT134" s="20"/>
      <c r="AVU134" s="20"/>
      <c r="AVV134" s="20"/>
      <c r="AVW134" s="21"/>
      <c r="AVX134" s="21"/>
      <c r="AVY134" s="7"/>
      <c r="AVZ134" s="7"/>
      <c r="AWA134" s="21"/>
      <c r="AWB134" s="20"/>
      <c r="AWC134" s="20"/>
      <c r="AWD134" s="20"/>
      <c r="AWE134" s="21"/>
      <c r="AWF134" s="21"/>
      <c r="AWG134" s="21"/>
      <c r="AWH134" s="21"/>
      <c r="AWI134" s="21"/>
      <c r="AWJ134" s="20"/>
      <c r="AWK134" s="20"/>
      <c r="AWL134" s="20"/>
      <c r="AWM134" s="20"/>
      <c r="AWN134" s="21"/>
      <c r="AWO134" s="21"/>
      <c r="AWP134" s="7"/>
      <c r="AWQ134" s="7"/>
      <c r="AWR134" s="21"/>
      <c r="AWS134" s="20"/>
      <c r="AWT134" s="20"/>
      <c r="AWU134" s="20"/>
      <c r="AWV134" s="21"/>
      <c r="AWW134" s="21"/>
      <c r="AWX134" s="21"/>
      <c r="AWY134" s="21"/>
      <c r="AWZ134" s="21"/>
      <c r="AXA134" s="20"/>
      <c r="AXB134" s="20"/>
      <c r="AXC134" s="20"/>
      <c r="AXD134" s="20"/>
      <c r="AXE134" s="21"/>
      <c r="AXF134" s="21"/>
      <c r="AXG134" s="7"/>
      <c r="AXH134" s="7"/>
      <c r="AXI134" s="21"/>
      <c r="AXJ134" s="20"/>
      <c r="AXK134" s="20"/>
      <c r="AXL134" s="20"/>
      <c r="AXM134" s="21"/>
      <c r="AXN134" s="21"/>
      <c r="AXO134" s="21"/>
      <c r="AXP134" s="21"/>
      <c r="AXQ134" s="21"/>
      <c r="AXR134" s="20"/>
      <c r="AXS134" s="20"/>
      <c r="AXT134" s="20"/>
      <c r="AXU134" s="20"/>
      <c r="AXV134" s="21"/>
      <c r="AXW134" s="21"/>
      <c r="AXX134" s="7"/>
      <c r="AXY134" s="7"/>
      <c r="AXZ134" s="21"/>
      <c r="AYA134" s="20"/>
      <c r="AYB134" s="20"/>
      <c r="AYC134" s="20"/>
      <c r="AYD134" s="21"/>
      <c r="AYE134" s="21"/>
      <c r="AYF134" s="21"/>
      <c r="AYG134" s="21"/>
      <c r="AYH134" s="21"/>
      <c r="AYI134" s="20"/>
      <c r="AYJ134" s="20"/>
      <c r="AYK134" s="20"/>
      <c r="AYL134" s="20"/>
      <c r="AYM134" s="21"/>
      <c r="AYN134" s="21"/>
      <c r="AYO134" s="7"/>
      <c r="AYP134" s="7"/>
      <c r="AYQ134" s="21"/>
      <c r="AYR134" s="20"/>
      <c r="AYS134" s="20"/>
      <c r="AYT134" s="20"/>
      <c r="AYU134" s="21"/>
      <c r="AYV134" s="21"/>
      <c r="AYW134" s="21"/>
      <c r="AYX134" s="21"/>
      <c r="AYY134" s="21"/>
      <c r="AYZ134" s="20"/>
      <c r="AZA134" s="20"/>
      <c r="AZB134" s="20"/>
      <c r="AZC134" s="20"/>
      <c r="AZD134" s="21"/>
      <c r="AZE134" s="21"/>
      <c r="AZF134" s="7"/>
      <c r="AZG134" s="7"/>
      <c r="AZH134" s="21"/>
      <c r="AZI134" s="20"/>
      <c r="AZJ134" s="20"/>
      <c r="AZK134" s="20"/>
      <c r="AZL134" s="21"/>
      <c r="AZM134" s="21"/>
      <c r="AZN134" s="21"/>
      <c r="AZO134" s="21"/>
      <c r="AZP134" s="21"/>
      <c r="AZQ134" s="20"/>
      <c r="AZR134" s="20"/>
      <c r="AZS134" s="20"/>
      <c r="AZT134" s="20"/>
      <c r="AZU134" s="21"/>
      <c r="AZV134" s="21"/>
      <c r="AZW134" s="7"/>
      <c r="AZX134" s="7"/>
      <c r="AZY134" s="21"/>
      <c r="AZZ134" s="20"/>
      <c r="BAA134" s="20"/>
      <c r="BAB134" s="20"/>
      <c r="BAC134" s="21"/>
      <c r="BAD134" s="21"/>
      <c r="BAE134" s="21"/>
      <c r="BAF134" s="21"/>
      <c r="BAG134" s="21"/>
      <c r="BAH134" s="20"/>
      <c r="BAI134" s="20"/>
      <c r="BAJ134" s="20"/>
      <c r="BAK134" s="20"/>
      <c r="BAL134" s="21"/>
      <c r="BAM134" s="21"/>
      <c r="BAN134" s="7"/>
      <c r="BAO134" s="7"/>
      <c r="BAP134" s="21"/>
      <c r="BAQ134" s="20"/>
      <c r="BAR134" s="20"/>
      <c r="BAS134" s="20"/>
      <c r="BAT134" s="21"/>
      <c r="BAU134" s="21"/>
      <c r="BAV134" s="21"/>
      <c r="BAW134" s="21"/>
      <c r="BAX134" s="21"/>
      <c r="BAY134" s="20"/>
      <c r="BAZ134" s="20"/>
      <c r="BBA134" s="20"/>
      <c r="BBB134" s="20"/>
      <c r="BBC134" s="21"/>
      <c r="BBD134" s="21"/>
      <c r="BBE134" s="7"/>
      <c r="BBF134" s="7"/>
      <c r="BBG134" s="21"/>
      <c r="BBH134" s="20"/>
      <c r="BBI134" s="20"/>
      <c r="BBJ134" s="20"/>
      <c r="BBK134" s="21"/>
      <c r="BBL134" s="21"/>
      <c r="BBM134" s="21"/>
      <c r="BBN134" s="21"/>
      <c r="BBO134" s="21"/>
      <c r="BBP134" s="20"/>
      <c r="BBQ134" s="20"/>
      <c r="BBR134" s="20"/>
      <c r="BBS134" s="20"/>
      <c r="BBT134" s="21"/>
      <c r="BBU134" s="21"/>
      <c r="BBV134" s="7"/>
      <c r="BBW134" s="7"/>
      <c r="BBX134" s="21"/>
      <c r="BBY134" s="20"/>
      <c r="BBZ134" s="20"/>
      <c r="BCA134" s="20"/>
      <c r="BCB134" s="21"/>
      <c r="BCC134" s="21"/>
      <c r="BCD134" s="21"/>
      <c r="BCE134" s="21"/>
      <c r="BCF134" s="21"/>
      <c r="BCG134" s="20"/>
      <c r="BCH134" s="20"/>
      <c r="BCI134" s="20"/>
      <c r="BCJ134" s="20"/>
      <c r="BCK134" s="21"/>
      <c r="BCL134" s="21"/>
      <c r="BCM134" s="7"/>
      <c r="BCN134" s="7"/>
      <c r="BCO134" s="21"/>
      <c r="BCP134" s="20"/>
      <c r="BCQ134" s="20"/>
      <c r="BCR134" s="20"/>
      <c r="BCS134" s="21"/>
      <c r="BCT134" s="21"/>
      <c r="BCU134" s="21"/>
      <c r="BCV134" s="21"/>
      <c r="BCW134" s="21"/>
      <c r="BCX134" s="20"/>
      <c r="BCY134" s="20"/>
      <c r="BCZ134" s="20"/>
      <c r="BDA134" s="20"/>
      <c r="BDB134" s="21"/>
      <c r="BDC134" s="21"/>
      <c r="BDD134" s="7"/>
      <c r="BDE134" s="7"/>
      <c r="BDF134" s="21"/>
      <c r="BDG134" s="20"/>
      <c r="BDH134" s="20"/>
      <c r="BDI134" s="20"/>
      <c r="BDJ134" s="21"/>
      <c r="BDK134" s="21"/>
      <c r="BDL134" s="21"/>
      <c r="BDM134" s="21"/>
      <c r="BDN134" s="21"/>
      <c r="BDO134" s="20"/>
      <c r="BDP134" s="20"/>
      <c r="BDQ134" s="20"/>
      <c r="BDR134" s="20"/>
      <c r="BDS134" s="21"/>
      <c r="BDT134" s="21"/>
      <c r="BDU134" s="7"/>
      <c r="BDV134" s="7"/>
      <c r="BDW134" s="21"/>
      <c r="BDX134" s="20"/>
      <c r="BDY134" s="20"/>
      <c r="BDZ134" s="20"/>
      <c r="BEA134" s="21"/>
      <c r="BEB134" s="21"/>
      <c r="BEC134" s="21"/>
      <c r="BED134" s="21"/>
      <c r="BEE134" s="21"/>
      <c r="BEF134" s="20"/>
      <c r="BEG134" s="20"/>
      <c r="BEH134" s="20"/>
      <c r="BEI134" s="20"/>
      <c r="BEJ134" s="21"/>
      <c r="BEK134" s="21"/>
      <c r="BEL134" s="7"/>
      <c r="BEM134" s="7"/>
      <c r="BEN134" s="21"/>
      <c r="BEO134" s="20"/>
      <c r="BEP134" s="20"/>
      <c r="BEQ134" s="20"/>
      <c r="BER134" s="21"/>
      <c r="BES134" s="21"/>
      <c r="BET134" s="21"/>
      <c r="BEU134" s="21"/>
      <c r="BEV134" s="21"/>
      <c r="BEW134" s="20"/>
      <c r="BEX134" s="20"/>
      <c r="BEY134" s="20"/>
      <c r="BEZ134" s="20"/>
      <c r="BFA134" s="21"/>
      <c r="BFB134" s="21"/>
      <c r="BFC134" s="7"/>
      <c r="BFD134" s="7"/>
      <c r="BFE134" s="21"/>
      <c r="BFF134" s="20"/>
      <c r="BFG134" s="20"/>
      <c r="BFH134" s="20"/>
      <c r="BFI134" s="21"/>
      <c r="BFJ134" s="21"/>
      <c r="BFK134" s="21"/>
      <c r="BFL134" s="21"/>
      <c r="BFM134" s="21"/>
      <c r="BFN134" s="20"/>
      <c r="BFO134" s="20"/>
      <c r="BFP134" s="20"/>
      <c r="BFQ134" s="20"/>
      <c r="BFR134" s="21"/>
      <c r="BFS134" s="21"/>
      <c r="BFT134" s="7"/>
      <c r="BFU134" s="7"/>
      <c r="BFV134" s="21"/>
      <c r="BFW134" s="20"/>
      <c r="BFX134" s="20"/>
      <c r="BFY134" s="20"/>
      <c r="BFZ134" s="21"/>
      <c r="BGA134" s="21"/>
      <c r="BGB134" s="21"/>
      <c r="BGC134" s="21"/>
      <c r="BGD134" s="21"/>
      <c r="BGE134" s="20"/>
      <c r="BGF134" s="20"/>
      <c r="BGG134" s="20"/>
      <c r="BGH134" s="20"/>
      <c r="BGI134" s="21"/>
      <c r="BGJ134" s="21"/>
      <c r="BGK134" s="7"/>
      <c r="BGL134" s="7"/>
      <c r="BGM134" s="21"/>
      <c r="BGN134" s="20"/>
      <c r="BGO134" s="20"/>
      <c r="BGP134" s="20"/>
      <c r="BGQ134" s="21"/>
      <c r="BGR134" s="21"/>
      <c r="BGS134" s="21"/>
      <c r="BGT134" s="21"/>
      <c r="BGU134" s="21"/>
      <c r="BGV134" s="20"/>
      <c r="BGW134" s="20"/>
      <c r="BGX134" s="20"/>
      <c r="BGY134" s="20"/>
      <c r="BGZ134" s="21"/>
      <c r="BHA134" s="21"/>
      <c r="BHB134" s="7"/>
      <c r="BHC134" s="7"/>
      <c r="BHD134" s="21"/>
      <c r="BHE134" s="20"/>
      <c r="BHF134" s="20"/>
      <c r="BHG134" s="20"/>
      <c r="BHH134" s="21"/>
      <c r="BHI134" s="21"/>
      <c r="BHJ134" s="21"/>
      <c r="BHK134" s="21"/>
      <c r="BHL134" s="21"/>
      <c r="BHM134" s="20"/>
      <c r="BHN134" s="20"/>
      <c r="BHO134" s="20"/>
      <c r="BHP134" s="20"/>
      <c r="BHQ134" s="21"/>
      <c r="BHR134" s="21"/>
      <c r="BHS134" s="7"/>
      <c r="BHT134" s="7"/>
      <c r="BHU134" s="21"/>
      <c r="BHV134" s="20"/>
      <c r="BHW134" s="20"/>
      <c r="BHX134" s="20"/>
      <c r="BHY134" s="21"/>
      <c r="BHZ134" s="21"/>
      <c r="BIA134" s="21"/>
      <c r="BIB134" s="21"/>
      <c r="BIC134" s="21"/>
      <c r="BID134" s="20"/>
      <c r="BIE134" s="20"/>
      <c r="BIF134" s="20"/>
      <c r="BIG134" s="20"/>
      <c r="BIH134" s="21"/>
      <c r="BII134" s="21"/>
      <c r="BIJ134" s="7"/>
      <c r="BIK134" s="7"/>
      <c r="BIL134" s="21"/>
      <c r="BIM134" s="20"/>
      <c r="BIN134" s="20"/>
      <c r="BIO134" s="20"/>
      <c r="BIP134" s="21"/>
      <c r="BIQ134" s="21"/>
      <c r="BIR134" s="21"/>
      <c r="BIS134" s="21"/>
      <c r="BIT134" s="21"/>
      <c r="BIU134" s="20"/>
      <c r="BIV134" s="20"/>
      <c r="BIW134" s="20"/>
      <c r="BIX134" s="20"/>
      <c r="BIY134" s="21"/>
      <c r="BIZ134" s="21"/>
      <c r="BJA134" s="7"/>
      <c r="BJB134" s="7"/>
      <c r="BJC134" s="21"/>
      <c r="BJD134" s="20"/>
      <c r="BJE134" s="20"/>
      <c r="BJF134" s="20"/>
      <c r="BJG134" s="21"/>
      <c r="BJH134" s="21"/>
      <c r="BJI134" s="21"/>
      <c r="BJJ134" s="21"/>
      <c r="BJK134" s="21"/>
      <c r="BJL134" s="20"/>
      <c r="BJM134" s="20"/>
      <c r="BJN134" s="20"/>
      <c r="BJO134" s="20"/>
      <c r="BJP134" s="21"/>
      <c r="BJQ134" s="21"/>
      <c r="BJR134" s="7"/>
      <c r="BJS134" s="7"/>
      <c r="BJT134" s="21"/>
      <c r="BJU134" s="20"/>
      <c r="BJV134" s="20"/>
      <c r="BJW134" s="20"/>
      <c r="BJX134" s="21"/>
      <c r="BJY134" s="21"/>
      <c r="BJZ134" s="21"/>
      <c r="BKA134" s="21"/>
      <c r="BKB134" s="21"/>
      <c r="BKC134" s="20"/>
      <c r="BKD134" s="20"/>
      <c r="BKE134" s="20"/>
      <c r="BKF134" s="20"/>
      <c r="BKG134" s="21"/>
      <c r="BKH134" s="21"/>
      <c r="BKI134" s="7"/>
      <c r="BKJ134" s="7"/>
      <c r="BKK134" s="21"/>
      <c r="BKL134" s="20"/>
      <c r="BKM134" s="20"/>
      <c r="BKN134" s="20"/>
      <c r="BKO134" s="21"/>
      <c r="BKP134" s="21"/>
      <c r="BKQ134" s="21"/>
      <c r="BKR134" s="21"/>
      <c r="BKS134" s="21"/>
      <c r="BKT134" s="20"/>
      <c r="BKU134" s="20"/>
      <c r="BKV134" s="20"/>
      <c r="BKW134" s="20"/>
      <c r="BKX134" s="21"/>
      <c r="BKY134" s="21"/>
      <c r="BKZ134" s="7"/>
      <c r="BLA134" s="7"/>
      <c r="BLB134" s="21"/>
      <c r="BLC134" s="20"/>
      <c r="BLD134" s="20"/>
      <c r="BLE134" s="20"/>
      <c r="BLF134" s="21"/>
      <c r="BLG134" s="21"/>
      <c r="BLH134" s="21"/>
      <c r="BLI134" s="21"/>
      <c r="BLJ134" s="21"/>
      <c r="BLK134" s="20"/>
      <c r="BLL134" s="20"/>
      <c r="BLM134" s="20"/>
      <c r="BLN134" s="20"/>
      <c r="BLO134" s="21"/>
      <c r="BLP134" s="21"/>
      <c r="BLQ134" s="7"/>
      <c r="BLR134" s="7"/>
      <c r="BLS134" s="21"/>
      <c r="BLT134" s="20"/>
      <c r="BLU134" s="20"/>
      <c r="BLV134" s="20"/>
      <c r="BLW134" s="21"/>
      <c r="BLX134" s="21"/>
      <c r="BLY134" s="21"/>
      <c r="BLZ134" s="21"/>
      <c r="BMA134" s="21"/>
      <c r="BMB134" s="20"/>
      <c r="BMC134" s="20"/>
      <c r="BMD134" s="20"/>
      <c r="BME134" s="20"/>
      <c r="BMF134" s="21"/>
      <c r="BMG134" s="21"/>
      <c r="BMH134" s="7"/>
      <c r="BMI134" s="7"/>
      <c r="BMJ134" s="21"/>
      <c r="BMK134" s="20"/>
      <c r="BML134" s="20"/>
      <c r="BMM134" s="20"/>
      <c r="BMN134" s="21"/>
      <c r="BMO134" s="21"/>
      <c r="BMP134" s="21"/>
      <c r="BMQ134" s="21"/>
      <c r="BMR134" s="21"/>
      <c r="BMS134" s="20"/>
      <c r="BMT134" s="20"/>
      <c r="BMU134" s="20"/>
      <c r="BMV134" s="20"/>
      <c r="BMW134" s="21"/>
      <c r="BMX134" s="21"/>
      <c r="BMY134" s="7"/>
      <c r="BMZ134" s="7"/>
      <c r="BNA134" s="21"/>
      <c r="BNB134" s="20"/>
      <c r="BNC134" s="20"/>
      <c r="BND134" s="20"/>
      <c r="BNE134" s="21"/>
      <c r="BNF134" s="21"/>
      <c r="BNG134" s="21"/>
      <c r="BNH134" s="21"/>
      <c r="BNI134" s="21"/>
      <c r="BNJ134" s="20"/>
      <c r="BNK134" s="20"/>
      <c r="BNL134" s="20"/>
      <c r="BNM134" s="20"/>
      <c r="BNN134" s="21"/>
      <c r="BNO134" s="21"/>
      <c r="BNP134" s="7"/>
      <c r="BNQ134" s="7"/>
      <c r="BNR134" s="21"/>
      <c r="BNS134" s="20"/>
      <c r="BNT134" s="20"/>
      <c r="BNU134" s="20"/>
      <c r="BNV134" s="21"/>
      <c r="BNW134" s="21"/>
      <c r="BNX134" s="21"/>
      <c r="BNY134" s="21"/>
      <c r="BNZ134" s="21"/>
      <c r="BOA134" s="20"/>
      <c r="BOB134" s="20"/>
      <c r="BOC134" s="20"/>
      <c r="BOD134" s="20"/>
      <c r="BOE134" s="21"/>
      <c r="BOF134" s="21"/>
      <c r="BOG134" s="7"/>
      <c r="BOH134" s="7"/>
      <c r="BOI134" s="21"/>
      <c r="BOJ134" s="20"/>
      <c r="BOK134" s="20"/>
      <c r="BOL134" s="20"/>
      <c r="BOM134" s="21"/>
      <c r="BON134" s="21"/>
      <c r="BOO134" s="21"/>
      <c r="BOP134" s="21"/>
      <c r="BOQ134" s="21"/>
      <c r="BOR134" s="20"/>
      <c r="BOS134" s="20"/>
      <c r="BOT134" s="20"/>
      <c r="BOU134" s="20"/>
      <c r="BOV134" s="21"/>
      <c r="BOW134" s="21"/>
      <c r="BOX134" s="7"/>
      <c r="BOY134" s="7"/>
      <c r="BOZ134" s="21"/>
      <c r="BPA134" s="20"/>
      <c r="BPB134" s="20"/>
      <c r="BPC134" s="20"/>
      <c r="BPD134" s="21"/>
      <c r="BPE134" s="21"/>
      <c r="BPF134" s="21"/>
      <c r="BPG134" s="21"/>
      <c r="BPH134" s="21"/>
      <c r="BPI134" s="20"/>
      <c r="BPJ134" s="20"/>
      <c r="BPK134" s="20"/>
      <c r="BPL134" s="20"/>
      <c r="BPM134" s="21"/>
      <c r="BPN134" s="21"/>
      <c r="BPO134" s="7"/>
      <c r="BPP134" s="7"/>
      <c r="BPQ134" s="21"/>
      <c r="BPR134" s="20"/>
      <c r="BPS134" s="20"/>
      <c r="BPT134" s="20"/>
      <c r="BPU134" s="21"/>
      <c r="BPV134" s="21"/>
      <c r="BPW134" s="21"/>
      <c r="BPX134" s="21"/>
      <c r="BPY134" s="21"/>
      <c r="BPZ134" s="20"/>
      <c r="BQA134" s="20"/>
      <c r="BQB134" s="20"/>
      <c r="BQC134" s="20"/>
      <c r="BQD134" s="21"/>
      <c r="BQE134" s="21"/>
      <c r="BQF134" s="7"/>
      <c r="BQG134" s="7"/>
      <c r="BQH134" s="21"/>
      <c r="BQI134" s="20"/>
      <c r="BQJ134" s="20"/>
      <c r="BQK134" s="20"/>
      <c r="BQL134" s="21"/>
      <c r="BQM134" s="21"/>
      <c r="BQN134" s="21"/>
      <c r="BQO134" s="21"/>
      <c r="BQP134" s="21"/>
      <c r="BQQ134" s="20"/>
      <c r="BQR134" s="20"/>
      <c r="BQS134" s="20"/>
      <c r="BQT134" s="20"/>
      <c r="BQU134" s="21"/>
      <c r="BQV134" s="21"/>
      <c r="BQW134" s="7"/>
      <c r="BQX134" s="7"/>
      <c r="BQY134" s="21"/>
      <c r="BQZ134" s="20"/>
      <c r="BRA134" s="20"/>
      <c r="BRB134" s="20"/>
      <c r="BRC134" s="21"/>
      <c r="BRD134" s="21"/>
      <c r="BRE134" s="21"/>
      <c r="BRF134" s="21"/>
      <c r="BRG134" s="21"/>
      <c r="BRH134" s="20"/>
      <c r="BRI134" s="20"/>
      <c r="BRJ134" s="20"/>
      <c r="BRK134" s="20"/>
      <c r="BRL134" s="21"/>
      <c r="BRM134" s="21"/>
      <c r="BRN134" s="7"/>
      <c r="BRO134" s="7"/>
      <c r="BRP134" s="21"/>
      <c r="BRQ134" s="20"/>
      <c r="BRR134" s="20"/>
      <c r="BRS134" s="20"/>
      <c r="BRT134" s="21"/>
      <c r="BRU134" s="21"/>
      <c r="BRV134" s="21"/>
      <c r="BRW134" s="21"/>
      <c r="BRX134" s="21"/>
      <c r="BRY134" s="20"/>
      <c r="BRZ134" s="20"/>
      <c r="BSA134" s="20"/>
      <c r="BSB134" s="20"/>
      <c r="BSC134" s="21"/>
      <c r="BSD134" s="21"/>
      <c r="BSE134" s="7"/>
      <c r="BSF134" s="7"/>
      <c r="BSG134" s="21"/>
      <c r="BSH134" s="20"/>
      <c r="BSI134" s="20"/>
      <c r="BSJ134" s="20"/>
      <c r="BSK134" s="21"/>
      <c r="BSL134" s="21"/>
      <c r="BSM134" s="21"/>
      <c r="BSN134" s="21"/>
      <c r="BSO134" s="21"/>
      <c r="BSP134" s="20"/>
      <c r="BSQ134" s="20"/>
      <c r="BSR134" s="20"/>
      <c r="BSS134" s="20"/>
      <c r="BST134" s="21"/>
      <c r="BSU134" s="21"/>
      <c r="BSV134" s="7"/>
      <c r="BSW134" s="7"/>
      <c r="BSX134" s="21"/>
      <c r="BSY134" s="20"/>
      <c r="BSZ134" s="20"/>
      <c r="BTA134" s="20"/>
      <c r="BTB134" s="21"/>
      <c r="BTC134" s="21"/>
      <c r="BTD134" s="21"/>
      <c r="BTE134" s="21"/>
      <c r="BTF134" s="21"/>
      <c r="BTG134" s="20"/>
      <c r="BTH134" s="20"/>
      <c r="BTI134" s="20"/>
      <c r="BTJ134" s="20"/>
      <c r="BTK134" s="21"/>
      <c r="BTL134" s="21"/>
      <c r="BTM134" s="7"/>
      <c r="BTN134" s="7"/>
      <c r="BTO134" s="21"/>
      <c r="BTP134" s="20"/>
      <c r="BTQ134" s="20"/>
      <c r="BTR134" s="20"/>
      <c r="BTS134" s="21"/>
      <c r="BTT134" s="21"/>
      <c r="BTU134" s="21"/>
      <c r="BTV134" s="21"/>
      <c r="BTW134" s="21"/>
      <c r="BTX134" s="20"/>
      <c r="BTY134" s="20"/>
      <c r="BTZ134" s="20"/>
      <c r="BUA134" s="20"/>
      <c r="BUB134" s="21"/>
      <c r="BUC134" s="21"/>
      <c r="BUD134" s="7"/>
      <c r="BUE134" s="7"/>
      <c r="BUF134" s="21"/>
      <c r="BUG134" s="20"/>
      <c r="BUH134" s="20"/>
      <c r="BUI134" s="20"/>
      <c r="BUJ134" s="21"/>
      <c r="BUK134" s="21"/>
      <c r="BUL134" s="21"/>
      <c r="BUM134" s="21"/>
      <c r="BUN134" s="21"/>
      <c r="BUO134" s="20"/>
      <c r="BUP134" s="20"/>
      <c r="BUQ134" s="20"/>
      <c r="BUR134" s="20"/>
      <c r="BUS134" s="21"/>
      <c r="BUT134" s="21"/>
      <c r="BUU134" s="7"/>
      <c r="BUV134" s="7"/>
      <c r="BUW134" s="21"/>
      <c r="BUX134" s="20"/>
      <c r="BUY134" s="20"/>
      <c r="BUZ134" s="20"/>
      <c r="BVA134" s="21"/>
      <c r="BVB134" s="21"/>
      <c r="BVC134" s="21"/>
      <c r="BVD134" s="21"/>
      <c r="BVE134" s="21"/>
      <c r="BVF134" s="20"/>
      <c r="BVG134" s="20"/>
      <c r="BVH134" s="20"/>
      <c r="BVI134" s="20"/>
      <c r="BVJ134" s="21"/>
      <c r="BVK134" s="21"/>
      <c r="BVL134" s="7"/>
      <c r="BVM134" s="7"/>
      <c r="BVN134" s="21"/>
      <c r="BVO134" s="20"/>
      <c r="BVP134" s="20"/>
      <c r="BVQ134" s="20"/>
      <c r="BVR134" s="21"/>
      <c r="BVS134" s="21"/>
      <c r="BVT134" s="21"/>
      <c r="BVU134" s="21"/>
      <c r="BVV134" s="21"/>
      <c r="BVW134" s="20"/>
      <c r="BVX134" s="20"/>
      <c r="BVY134" s="20"/>
      <c r="BVZ134" s="20"/>
      <c r="BWA134" s="21"/>
      <c r="BWB134" s="21"/>
      <c r="BWC134" s="7"/>
      <c r="BWD134" s="7"/>
      <c r="BWE134" s="21"/>
      <c r="BWF134" s="20"/>
      <c r="BWG134" s="20"/>
      <c r="BWH134" s="20"/>
      <c r="BWI134" s="21"/>
      <c r="BWJ134" s="21"/>
      <c r="BWK134" s="21"/>
      <c r="BWL134" s="21"/>
      <c r="BWM134" s="21"/>
      <c r="BWN134" s="20"/>
      <c r="BWO134" s="20"/>
      <c r="BWP134" s="20"/>
      <c r="BWQ134" s="20"/>
      <c r="BWR134" s="21"/>
      <c r="BWS134" s="21"/>
      <c r="BWT134" s="7"/>
      <c r="BWU134" s="7"/>
      <c r="BWV134" s="21"/>
      <c r="BWW134" s="20"/>
      <c r="BWX134" s="20"/>
      <c r="BWY134" s="20"/>
      <c r="BWZ134" s="21"/>
      <c r="BXA134" s="21"/>
      <c r="BXB134" s="21"/>
      <c r="BXC134" s="21"/>
      <c r="BXD134" s="21"/>
      <c r="BXE134" s="20"/>
      <c r="BXF134" s="20"/>
      <c r="BXG134" s="20"/>
      <c r="BXH134" s="20"/>
      <c r="BXI134" s="21"/>
      <c r="BXJ134" s="21"/>
      <c r="BXK134" s="7"/>
      <c r="BXL134" s="7"/>
      <c r="BXM134" s="21"/>
      <c r="BXN134" s="20"/>
      <c r="BXO134" s="20"/>
      <c r="BXP134" s="20"/>
      <c r="BXQ134" s="21"/>
      <c r="BXR134" s="21"/>
      <c r="BXS134" s="21"/>
      <c r="BXT134" s="21"/>
      <c r="BXU134" s="21"/>
      <c r="BXV134" s="20"/>
      <c r="BXW134" s="20"/>
      <c r="BXX134" s="20"/>
      <c r="BXY134" s="20"/>
      <c r="BXZ134" s="21"/>
      <c r="BYA134" s="21"/>
      <c r="BYB134" s="7"/>
      <c r="BYC134" s="7"/>
      <c r="BYD134" s="21"/>
      <c r="BYE134" s="20"/>
      <c r="BYF134" s="20"/>
      <c r="BYG134" s="20"/>
      <c r="BYH134" s="21"/>
      <c r="BYI134" s="21"/>
      <c r="BYJ134" s="21"/>
      <c r="BYK134" s="21"/>
      <c r="BYL134" s="21"/>
      <c r="BYM134" s="20"/>
      <c r="BYN134" s="20"/>
      <c r="BYO134" s="20"/>
      <c r="BYP134" s="20"/>
      <c r="BYQ134" s="21"/>
      <c r="BYR134" s="21"/>
      <c r="BYS134" s="7"/>
      <c r="BYT134" s="7"/>
      <c r="BYU134" s="21"/>
      <c r="BYV134" s="20"/>
      <c r="BYW134" s="20"/>
      <c r="BYX134" s="20"/>
      <c r="BYY134" s="21"/>
      <c r="BYZ134" s="21"/>
      <c r="BZA134" s="21"/>
      <c r="BZB134" s="21"/>
      <c r="BZC134" s="21"/>
      <c r="BZD134" s="20"/>
      <c r="BZE134" s="20"/>
      <c r="BZF134" s="20"/>
      <c r="BZG134" s="20"/>
      <c r="BZH134" s="21"/>
      <c r="BZI134" s="21"/>
      <c r="BZJ134" s="7"/>
      <c r="BZK134" s="7"/>
      <c r="BZL134" s="21"/>
      <c r="BZM134" s="20"/>
      <c r="BZN134" s="20"/>
      <c r="BZO134" s="20"/>
      <c r="BZP134" s="21"/>
      <c r="BZQ134" s="21"/>
      <c r="BZR134" s="21"/>
      <c r="BZS134" s="21"/>
      <c r="BZT134" s="21"/>
      <c r="BZU134" s="20"/>
      <c r="BZV134" s="20"/>
      <c r="BZW134" s="20"/>
      <c r="BZX134" s="20"/>
      <c r="BZY134" s="21"/>
      <c r="BZZ134" s="21"/>
      <c r="CAA134" s="7"/>
      <c r="CAB134" s="7"/>
      <c r="CAC134" s="21"/>
      <c r="CAD134" s="20"/>
      <c r="CAE134" s="20"/>
      <c r="CAF134" s="20"/>
      <c r="CAG134" s="21"/>
      <c r="CAH134" s="21"/>
      <c r="CAI134" s="21"/>
      <c r="CAJ134" s="21"/>
      <c r="CAK134" s="21"/>
      <c r="CAL134" s="20"/>
      <c r="CAM134" s="20"/>
      <c r="CAN134" s="20"/>
      <c r="CAO134" s="20"/>
      <c r="CAP134" s="21"/>
      <c r="CAQ134" s="21"/>
      <c r="CAR134" s="7"/>
      <c r="CAS134" s="7"/>
      <c r="CAT134" s="21"/>
      <c r="CAU134" s="20"/>
      <c r="CAV134" s="20"/>
      <c r="CAW134" s="20"/>
      <c r="CAX134" s="21"/>
      <c r="CAY134" s="21"/>
      <c r="CAZ134" s="21"/>
      <c r="CBA134" s="21"/>
      <c r="CBB134" s="21"/>
      <c r="CBC134" s="20"/>
      <c r="CBD134" s="20"/>
      <c r="CBE134" s="20"/>
      <c r="CBF134" s="20"/>
      <c r="CBG134" s="21"/>
      <c r="CBH134" s="21"/>
      <c r="CBI134" s="7"/>
      <c r="CBJ134" s="7"/>
      <c r="CBK134" s="21"/>
      <c r="CBL134" s="20"/>
      <c r="CBM134" s="20"/>
      <c r="CBN134" s="20"/>
      <c r="CBO134" s="21"/>
      <c r="CBP134" s="21"/>
      <c r="CBQ134" s="21"/>
      <c r="CBR134" s="21"/>
      <c r="CBS134" s="21"/>
      <c r="CBT134" s="20"/>
      <c r="CBU134" s="20"/>
      <c r="CBV134" s="20"/>
      <c r="CBW134" s="20"/>
      <c r="CBX134" s="21"/>
      <c r="CBY134" s="21"/>
      <c r="CBZ134" s="7"/>
      <c r="CCA134" s="7"/>
      <c r="CCB134" s="21"/>
      <c r="CCC134" s="20"/>
      <c r="CCD134" s="20"/>
      <c r="CCE134" s="20"/>
      <c r="CCF134" s="21"/>
      <c r="CCG134" s="21"/>
      <c r="CCH134" s="21"/>
      <c r="CCI134" s="21"/>
      <c r="CCJ134" s="21"/>
      <c r="CCK134" s="20"/>
      <c r="CCL134" s="20"/>
      <c r="CCM134" s="20"/>
      <c r="CCN134" s="20"/>
      <c r="CCO134" s="21"/>
      <c r="CCP134" s="21"/>
      <c r="CCQ134" s="7"/>
      <c r="CCR134" s="7"/>
      <c r="CCS134" s="21"/>
      <c r="CCT134" s="20"/>
      <c r="CCU134" s="20"/>
      <c r="CCV134" s="20"/>
      <c r="CCW134" s="21"/>
      <c r="CCX134" s="21"/>
      <c r="CCY134" s="21"/>
      <c r="CCZ134" s="21"/>
      <c r="CDA134" s="21"/>
      <c r="CDB134" s="20"/>
      <c r="CDC134" s="20"/>
      <c r="CDD134" s="20"/>
      <c r="CDE134" s="20"/>
      <c r="CDF134" s="21"/>
      <c r="CDG134" s="21"/>
      <c r="CDH134" s="7"/>
      <c r="CDI134" s="7"/>
      <c r="CDJ134" s="21"/>
      <c r="CDK134" s="20"/>
      <c r="CDL134" s="20"/>
      <c r="CDM134" s="20"/>
      <c r="CDN134" s="21"/>
      <c r="CDO134" s="21"/>
      <c r="CDP134" s="21"/>
      <c r="CDQ134" s="21"/>
      <c r="CDR134" s="21"/>
      <c r="CDS134" s="20"/>
      <c r="CDT134" s="20"/>
      <c r="CDU134" s="20"/>
      <c r="CDV134" s="20"/>
      <c r="CDW134" s="21"/>
      <c r="CDX134" s="21"/>
      <c r="CDY134" s="7"/>
      <c r="CDZ134" s="7"/>
      <c r="CEA134" s="21"/>
      <c r="CEB134" s="20"/>
      <c r="CEC134" s="20"/>
      <c r="CED134" s="20"/>
      <c r="CEE134" s="21"/>
      <c r="CEF134" s="21"/>
      <c r="CEG134" s="21"/>
      <c r="CEH134" s="21"/>
      <c r="CEI134" s="21"/>
      <c r="CEJ134" s="20"/>
      <c r="CEK134" s="20"/>
      <c r="CEL134" s="20"/>
      <c r="CEM134" s="20"/>
      <c r="CEN134" s="21"/>
      <c r="CEO134" s="21"/>
      <c r="CEP134" s="7"/>
      <c r="CEQ134" s="7"/>
      <c r="CER134" s="21"/>
      <c r="CES134" s="20"/>
      <c r="CET134" s="20"/>
      <c r="CEU134" s="20"/>
      <c r="CEV134" s="21"/>
      <c r="CEW134" s="21"/>
      <c r="CEX134" s="21"/>
      <c r="CEY134" s="21"/>
      <c r="CEZ134" s="21"/>
      <c r="CFA134" s="20"/>
      <c r="CFB134" s="20"/>
      <c r="CFC134" s="20"/>
      <c r="CFD134" s="20"/>
      <c r="CFE134" s="21"/>
      <c r="CFF134" s="21"/>
      <c r="CFG134" s="7"/>
      <c r="CFH134" s="7"/>
      <c r="CFI134" s="21"/>
      <c r="CFJ134" s="20"/>
      <c r="CFK134" s="20"/>
      <c r="CFL134" s="20"/>
      <c r="CFM134" s="21"/>
      <c r="CFN134" s="21"/>
      <c r="CFO134" s="21"/>
      <c r="CFP134" s="21"/>
      <c r="CFQ134" s="21"/>
      <c r="CFR134" s="20"/>
      <c r="CFS134" s="20"/>
      <c r="CFT134" s="20"/>
      <c r="CFU134" s="20"/>
      <c r="CFV134" s="21"/>
      <c r="CFW134" s="21"/>
      <c r="CFX134" s="7"/>
      <c r="CFY134" s="7"/>
      <c r="CFZ134" s="21"/>
      <c r="CGA134" s="20"/>
      <c r="CGB134" s="20"/>
      <c r="CGC134" s="20"/>
      <c r="CGD134" s="21"/>
      <c r="CGE134" s="21"/>
      <c r="CGF134" s="21"/>
      <c r="CGG134" s="21"/>
      <c r="CGH134" s="21"/>
      <c r="CGI134" s="20"/>
      <c r="CGJ134" s="20"/>
      <c r="CGK134" s="20"/>
      <c r="CGL134" s="20"/>
      <c r="CGM134" s="21"/>
      <c r="CGN134" s="21"/>
      <c r="CGO134" s="7"/>
      <c r="CGP134" s="7"/>
      <c r="CGQ134" s="21"/>
      <c r="CGR134" s="20"/>
      <c r="CGS134" s="20"/>
      <c r="CGT134" s="20"/>
      <c r="CGU134" s="21"/>
      <c r="CGV134" s="21"/>
      <c r="CGW134" s="21"/>
      <c r="CGX134" s="21"/>
      <c r="CGY134" s="21"/>
      <c r="CGZ134" s="20"/>
      <c r="CHA134" s="20"/>
      <c r="CHB134" s="20"/>
      <c r="CHC134" s="20"/>
      <c r="CHD134" s="21"/>
      <c r="CHE134" s="21"/>
      <c r="CHF134" s="7"/>
      <c r="CHG134" s="7"/>
      <c r="CHH134" s="21"/>
      <c r="CHI134" s="20"/>
      <c r="CHJ134" s="20"/>
      <c r="CHK134" s="20"/>
      <c r="CHL134" s="21"/>
      <c r="CHM134" s="21"/>
      <c r="CHN134" s="21"/>
      <c r="CHO134" s="21"/>
      <c r="CHP134" s="21"/>
      <c r="CHQ134" s="20"/>
      <c r="CHR134" s="20"/>
      <c r="CHS134" s="20"/>
      <c r="CHT134" s="20"/>
      <c r="CHU134" s="21"/>
      <c r="CHV134" s="21"/>
      <c r="CHW134" s="7"/>
      <c r="CHX134" s="7"/>
      <c r="CHY134" s="21"/>
      <c r="CHZ134" s="20"/>
      <c r="CIA134" s="20"/>
      <c r="CIB134" s="20"/>
      <c r="CIC134" s="21"/>
      <c r="CID134" s="21"/>
      <c r="CIE134" s="21"/>
      <c r="CIF134" s="21"/>
      <c r="CIG134" s="21"/>
      <c r="CIH134" s="20"/>
      <c r="CII134" s="20"/>
      <c r="CIJ134" s="20"/>
      <c r="CIK134" s="20"/>
      <c r="CIL134" s="21"/>
      <c r="CIM134" s="21"/>
      <c r="CIN134" s="7"/>
      <c r="CIO134" s="7"/>
      <c r="CIP134" s="21"/>
      <c r="CIQ134" s="20"/>
      <c r="CIR134" s="20"/>
      <c r="CIS134" s="20"/>
      <c r="CIT134" s="21"/>
      <c r="CIU134" s="21"/>
      <c r="CIV134" s="21"/>
      <c r="CIW134" s="21"/>
      <c r="CIX134" s="21"/>
      <c r="CIY134" s="20"/>
      <c r="CIZ134" s="20"/>
      <c r="CJA134" s="20"/>
      <c r="CJB134" s="20"/>
      <c r="CJC134" s="21"/>
      <c r="CJD134" s="21"/>
      <c r="CJE134" s="7"/>
      <c r="CJF134" s="7"/>
      <c r="CJG134" s="21"/>
      <c r="CJH134" s="20"/>
      <c r="CJI134" s="20"/>
      <c r="CJJ134" s="20"/>
      <c r="CJK134" s="21"/>
      <c r="CJL134" s="21"/>
      <c r="CJM134" s="21"/>
      <c r="CJN134" s="21"/>
      <c r="CJO134" s="21"/>
      <c r="CJP134" s="20"/>
      <c r="CJQ134" s="20"/>
      <c r="CJR134" s="20"/>
      <c r="CJS134" s="20"/>
      <c r="CJT134" s="21"/>
      <c r="CJU134" s="21"/>
      <c r="CJV134" s="7"/>
      <c r="CJW134" s="7"/>
      <c r="CJX134" s="21"/>
      <c r="CJY134" s="20"/>
      <c r="CJZ134" s="20"/>
      <c r="CKA134" s="20"/>
      <c r="CKB134" s="21"/>
      <c r="CKC134" s="21"/>
      <c r="CKD134" s="21"/>
      <c r="CKE134" s="21"/>
      <c r="CKF134" s="21"/>
      <c r="CKG134" s="20"/>
      <c r="CKH134" s="20"/>
      <c r="CKI134" s="20"/>
      <c r="CKJ134" s="20"/>
      <c r="CKK134" s="21"/>
      <c r="CKL134" s="21"/>
      <c r="CKM134" s="7"/>
      <c r="CKN134" s="7"/>
      <c r="CKO134" s="21"/>
      <c r="CKP134" s="20"/>
      <c r="CKQ134" s="20"/>
      <c r="CKR134" s="20"/>
      <c r="CKS134" s="21"/>
      <c r="CKT134" s="21"/>
      <c r="CKU134" s="21"/>
      <c r="CKV134" s="21"/>
      <c r="CKW134" s="21"/>
      <c r="CKX134" s="20"/>
      <c r="CKY134" s="20"/>
      <c r="CKZ134" s="20"/>
      <c r="CLA134" s="20"/>
      <c r="CLB134" s="21"/>
      <c r="CLC134" s="21"/>
      <c r="CLD134" s="7"/>
      <c r="CLE134" s="7"/>
      <c r="CLF134" s="21"/>
      <c r="CLG134" s="20"/>
      <c r="CLH134" s="20"/>
      <c r="CLI134" s="20"/>
      <c r="CLJ134" s="21"/>
      <c r="CLK134" s="21"/>
      <c r="CLL134" s="21"/>
      <c r="CLM134" s="21"/>
      <c r="CLN134" s="21"/>
      <c r="CLO134" s="20"/>
      <c r="CLP134" s="20"/>
      <c r="CLQ134" s="20"/>
      <c r="CLR134" s="20"/>
      <c r="CLS134" s="21"/>
      <c r="CLT134" s="21"/>
      <c r="CLU134" s="7"/>
      <c r="CLV134" s="7"/>
      <c r="CLW134" s="21"/>
      <c r="CLX134" s="20"/>
      <c r="CLY134" s="20"/>
      <c r="CLZ134" s="20"/>
      <c r="CMA134" s="21"/>
      <c r="CMB134" s="21"/>
      <c r="CMC134" s="21"/>
      <c r="CMD134" s="21"/>
      <c r="CME134" s="21"/>
      <c r="CMF134" s="20"/>
      <c r="CMG134" s="20"/>
      <c r="CMH134" s="20"/>
      <c r="CMI134" s="20"/>
      <c r="CMJ134" s="21"/>
      <c r="CMK134" s="21"/>
      <c r="CML134" s="7"/>
      <c r="CMM134" s="7"/>
      <c r="CMN134" s="21"/>
      <c r="CMO134" s="20"/>
      <c r="CMP134" s="20"/>
      <c r="CMQ134" s="20"/>
      <c r="CMR134" s="21"/>
      <c r="CMS134" s="21"/>
      <c r="CMT134" s="21"/>
      <c r="CMU134" s="21"/>
      <c r="CMV134" s="21"/>
      <c r="CMW134" s="20"/>
      <c r="CMX134" s="20"/>
      <c r="CMY134" s="20"/>
      <c r="CMZ134" s="20"/>
      <c r="CNA134" s="21"/>
      <c r="CNB134" s="21"/>
      <c r="CNC134" s="7"/>
      <c r="CND134" s="7"/>
      <c r="CNE134" s="21"/>
      <c r="CNF134" s="20"/>
      <c r="CNG134" s="20"/>
      <c r="CNH134" s="20"/>
      <c r="CNI134" s="21"/>
      <c r="CNJ134" s="21"/>
      <c r="CNK134" s="21"/>
      <c r="CNL134" s="21"/>
      <c r="CNM134" s="21"/>
      <c r="CNN134" s="20"/>
      <c r="CNO134" s="20"/>
      <c r="CNP134" s="20"/>
      <c r="CNQ134" s="20"/>
      <c r="CNR134" s="21"/>
      <c r="CNS134" s="21"/>
      <c r="CNT134" s="7"/>
      <c r="CNU134" s="7"/>
      <c r="CNV134" s="21"/>
      <c r="CNW134" s="20"/>
      <c r="CNX134" s="20"/>
      <c r="CNY134" s="20"/>
      <c r="CNZ134" s="21"/>
      <c r="COA134" s="21"/>
      <c r="COB134" s="21"/>
      <c r="COC134" s="21"/>
      <c r="COD134" s="21"/>
      <c r="COE134" s="20"/>
      <c r="COF134" s="20"/>
      <c r="COG134" s="20"/>
      <c r="COH134" s="20"/>
      <c r="COI134" s="21"/>
      <c r="COJ134" s="21"/>
      <c r="COK134" s="7"/>
      <c r="COL134" s="7"/>
      <c r="COM134" s="21"/>
      <c r="CON134" s="20"/>
      <c r="COO134" s="20"/>
      <c r="COP134" s="20"/>
      <c r="COQ134" s="21"/>
      <c r="COR134" s="21"/>
      <c r="COS134" s="21"/>
      <c r="COT134" s="21"/>
      <c r="COU134" s="21"/>
      <c r="COV134" s="20"/>
      <c r="COW134" s="20"/>
      <c r="COX134" s="20"/>
      <c r="COY134" s="20"/>
      <c r="COZ134" s="21"/>
      <c r="CPA134" s="21"/>
      <c r="CPB134" s="7"/>
      <c r="CPC134" s="7"/>
      <c r="CPD134" s="21"/>
      <c r="CPE134" s="20"/>
      <c r="CPF134" s="20"/>
      <c r="CPG134" s="20"/>
      <c r="CPH134" s="21"/>
      <c r="CPI134" s="21"/>
      <c r="CPJ134" s="21"/>
      <c r="CPK134" s="21"/>
      <c r="CPL134" s="21"/>
      <c r="CPM134" s="20"/>
      <c r="CPN134" s="20"/>
      <c r="CPO134" s="20"/>
      <c r="CPP134" s="20"/>
      <c r="CPQ134" s="21"/>
      <c r="CPR134" s="21"/>
      <c r="CPS134" s="7"/>
      <c r="CPT134" s="7"/>
      <c r="CPU134" s="21"/>
      <c r="CPV134" s="20"/>
      <c r="CPW134" s="20"/>
      <c r="CPX134" s="20"/>
      <c r="CPY134" s="21"/>
      <c r="CPZ134" s="21"/>
      <c r="CQA134" s="21"/>
      <c r="CQB134" s="21"/>
      <c r="CQC134" s="21"/>
      <c r="CQD134" s="20"/>
      <c r="CQE134" s="20"/>
      <c r="CQF134" s="20"/>
      <c r="CQG134" s="20"/>
      <c r="CQH134" s="21"/>
      <c r="CQI134" s="21"/>
      <c r="CQJ134" s="7"/>
      <c r="CQK134" s="7"/>
      <c r="CQL134" s="21"/>
      <c r="CQM134" s="20"/>
      <c r="CQN134" s="20"/>
      <c r="CQO134" s="20"/>
      <c r="CQP134" s="21"/>
      <c r="CQQ134" s="21"/>
      <c r="CQR134" s="21"/>
      <c r="CQS134" s="21"/>
      <c r="CQT134" s="21"/>
      <c r="CQU134" s="20"/>
      <c r="CQV134" s="20"/>
      <c r="CQW134" s="20"/>
      <c r="CQX134" s="20"/>
      <c r="CQY134" s="21"/>
      <c r="CQZ134" s="21"/>
      <c r="CRA134" s="7"/>
      <c r="CRB134" s="7"/>
      <c r="CRC134" s="21"/>
      <c r="CRD134" s="20"/>
      <c r="CRE134" s="20"/>
      <c r="CRF134" s="20"/>
      <c r="CRG134" s="21"/>
      <c r="CRH134" s="21"/>
      <c r="CRI134" s="21"/>
      <c r="CRJ134" s="21"/>
      <c r="CRK134" s="21"/>
      <c r="CRL134" s="20"/>
      <c r="CRM134" s="20"/>
      <c r="CRN134" s="20"/>
      <c r="CRO134" s="20"/>
      <c r="CRP134" s="21"/>
      <c r="CRQ134" s="21"/>
      <c r="CRR134" s="7"/>
      <c r="CRS134" s="7"/>
      <c r="CRT134" s="21"/>
      <c r="CRU134" s="20"/>
      <c r="CRV134" s="20"/>
      <c r="CRW134" s="20"/>
      <c r="CRX134" s="21"/>
      <c r="CRY134" s="21"/>
      <c r="CRZ134" s="21"/>
      <c r="CSA134" s="21"/>
      <c r="CSB134" s="21"/>
      <c r="CSC134" s="20"/>
      <c r="CSD134" s="20"/>
      <c r="CSE134" s="20"/>
      <c r="CSF134" s="20"/>
      <c r="CSG134" s="21"/>
      <c r="CSH134" s="21"/>
      <c r="CSI134" s="7"/>
      <c r="CSJ134" s="7"/>
      <c r="CSK134" s="21"/>
      <c r="CSL134" s="20"/>
      <c r="CSM134" s="20"/>
      <c r="CSN134" s="20"/>
      <c r="CSO134" s="21"/>
      <c r="CSP134" s="21"/>
      <c r="CSQ134" s="21"/>
      <c r="CSR134" s="21"/>
      <c r="CSS134" s="21"/>
      <c r="CST134" s="20"/>
      <c r="CSU134" s="20"/>
      <c r="CSV134" s="20"/>
      <c r="CSW134" s="20"/>
      <c r="CSX134" s="21"/>
      <c r="CSY134" s="21"/>
      <c r="CSZ134" s="7"/>
      <c r="CTA134" s="7"/>
      <c r="CTB134" s="21"/>
      <c r="CTC134" s="20"/>
      <c r="CTD134" s="20"/>
      <c r="CTE134" s="20"/>
      <c r="CTF134" s="21"/>
      <c r="CTG134" s="21"/>
      <c r="CTH134" s="21"/>
      <c r="CTI134" s="21"/>
      <c r="CTJ134" s="21"/>
      <c r="CTK134" s="20"/>
      <c r="CTL134" s="20"/>
      <c r="CTM134" s="20"/>
      <c r="CTN134" s="20"/>
      <c r="CTO134" s="21"/>
      <c r="CTP134" s="21"/>
      <c r="CTQ134" s="7"/>
      <c r="CTR134" s="7"/>
      <c r="CTS134" s="21"/>
      <c r="CTT134" s="20"/>
      <c r="CTU134" s="20"/>
      <c r="CTV134" s="20"/>
      <c r="CTW134" s="21"/>
      <c r="CTX134" s="21"/>
      <c r="CTY134" s="21"/>
      <c r="CTZ134" s="21"/>
      <c r="CUA134" s="21"/>
      <c r="CUB134" s="20"/>
      <c r="CUC134" s="20"/>
      <c r="CUD134" s="20"/>
      <c r="CUE134" s="20"/>
      <c r="CUF134" s="21"/>
      <c r="CUG134" s="21"/>
      <c r="CUH134" s="7"/>
      <c r="CUI134" s="7"/>
      <c r="CUJ134" s="21"/>
      <c r="CUK134" s="20"/>
      <c r="CUL134" s="20"/>
      <c r="CUM134" s="20"/>
      <c r="CUN134" s="21"/>
      <c r="CUO134" s="21"/>
      <c r="CUP134" s="21"/>
      <c r="CUQ134" s="21"/>
      <c r="CUR134" s="21"/>
      <c r="CUS134" s="20"/>
      <c r="CUT134" s="20"/>
      <c r="CUU134" s="20"/>
      <c r="CUV134" s="20"/>
      <c r="CUW134" s="21"/>
      <c r="CUX134" s="21"/>
      <c r="CUY134" s="7"/>
      <c r="CUZ134" s="7"/>
      <c r="CVA134" s="21"/>
      <c r="CVB134" s="20"/>
      <c r="CVC134" s="20"/>
      <c r="CVD134" s="20"/>
      <c r="CVE134" s="21"/>
      <c r="CVF134" s="21"/>
      <c r="CVG134" s="21"/>
      <c r="CVH134" s="21"/>
      <c r="CVI134" s="21"/>
      <c r="CVJ134" s="20"/>
      <c r="CVK134" s="20"/>
      <c r="CVL134" s="20"/>
      <c r="CVM134" s="20"/>
      <c r="CVN134" s="21"/>
      <c r="CVO134" s="21"/>
      <c r="CVP134" s="7"/>
      <c r="CVQ134" s="7"/>
      <c r="CVR134" s="21"/>
      <c r="CVS134" s="20"/>
      <c r="CVT134" s="20"/>
      <c r="CVU134" s="20"/>
      <c r="CVV134" s="21"/>
      <c r="CVW134" s="21"/>
      <c r="CVX134" s="21"/>
      <c r="CVY134" s="21"/>
      <c r="CVZ134" s="21"/>
      <c r="CWA134" s="20"/>
      <c r="CWB134" s="20"/>
      <c r="CWC134" s="20"/>
      <c r="CWD134" s="20"/>
      <c r="CWE134" s="21"/>
      <c r="CWF134" s="21"/>
      <c r="CWG134" s="7"/>
      <c r="CWH134" s="7"/>
      <c r="CWI134" s="21"/>
      <c r="CWJ134" s="20"/>
      <c r="CWK134" s="20"/>
      <c r="CWL134" s="20"/>
      <c r="CWM134" s="21"/>
      <c r="CWN134" s="21"/>
      <c r="CWO134" s="21"/>
      <c r="CWP134" s="21"/>
      <c r="CWQ134" s="21"/>
      <c r="CWR134" s="20"/>
      <c r="CWS134" s="20"/>
      <c r="CWT134" s="20"/>
      <c r="CWU134" s="20"/>
      <c r="CWV134" s="21"/>
      <c r="CWW134" s="21"/>
      <c r="CWX134" s="7"/>
      <c r="CWY134" s="7"/>
      <c r="CWZ134" s="21"/>
      <c r="CXA134" s="20"/>
      <c r="CXB134" s="20"/>
      <c r="CXC134" s="20"/>
      <c r="CXD134" s="21"/>
      <c r="CXE134" s="21"/>
      <c r="CXF134" s="21"/>
      <c r="CXG134" s="21"/>
      <c r="CXH134" s="21"/>
      <c r="CXI134" s="20"/>
      <c r="CXJ134" s="20"/>
      <c r="CXK134" s="20"/>
      <c r="CXL134" s="20"/>
      <c r="CXM134" s="21"/>
      <c r="CXN134" s="21"/>
      <c r="CXO134" s="7"/>
      <c r="CXP134" s="7"/>
      <c r="CXQ134" s="21"/>
      <c r="CXR134" s="20"/>
      <c r="CXS134" s="20"/>
      <c r="CXT134" s="20"/>
      <c r="CXU134" s="21"/>
      <c r="CXV134" s="21"/>
      <c r="CXW134" s="21"/>
      <c r="CXX134" s="21"/>
      <c r="CXY134" s="21"/>
      <c r="CXZ134" s="20"/>
      <c r="CYA134" s="20"/>
      <c r="CYB134" s="20"/>
      <c r="CYC134" s="20"/>
      <c r="CYD134" s="21"/>
      <c r="CYE134" s="21"/>
      <c r="CYF134" s="7"/>
      <c r="CYG134" s="7"/>
      <c r="CYH134" s="21"/>
      <c r="CYI134" s="20"/>
      <c r="CYJ134" s="20"/>
      <c r="CYK134" s="20"/>
      <c r="CYL134" s="21"/>
      <c r="CYM134" s="21"/>
      <c r="CYN134" s="21"/>
      <c r="CYO134" s="21"/>
      <c r="CYP134" s="21"/>
      <c r="CYQ134" s="20"/>
      <c r="CYR134" s="20"/>
      <c r="CYS134" s="20"/>
      <c r="CYT134" s="20"/>
      <c r="CYU134" s="21"/>
      <c r="CYV134" s="21"/>
      <c r="CYW134" s="7"/>
      <c r="CYX134" s="7"/>
      <c r="CYY134" s="21"/>
      <c r="CYZ134" s="20"/>
      <c r="CZA134" s="20"/>
      <c r="CZB134" s="20"/>
      <c r="CZC134" s="21"/>
      <c r="CZD134" s="21"/>
      <c r="CZE134" s="21"/>
      <c r="CZF134" s="21"/>
      <c r="CZG134" s="21"/>
      <c r="CZH134" s="20"/>
      <c r="CZI134" s="20"/>
      <c r="CZJ134" s="20"/>
      <c r="CZK134" s="20"/>
      <c r="CZL134" s="21"/>
      <c r="CZM134" s="21"/>
      <c r="CZN134" s="7"/>
      <c r="CZO134" s="7"/>
      <c r="CZP134" s="21"/>
      <c r="CZQ134" s="20"/>
      <c r="CZR134" s="20"/>
      <c r="CZS134" s="20"/>
      <c r="CZT134" s="21"/>
      <c r="CZU134" s="21"/>
      <c r="CZV134" s="21"/>
      <c r="CZW134" s="21"/>
      <c r="CZX134" s="21"/>
      <c r="CZY134" s="20"/>
      <c r="CZZ134" s="20"/>
      <c r="DAA134" s="20"/>
      <c r="DAB134" s="20"/>
      <c r="DAC134" s="21"/>
      <c r="DAD134" s="21"/>
      <c r="DAE134" s="7"/>
      <c r="DAF134" s="7"/>
      <c r="DAG134" s="21"/>
      <c r="DAH134" s="20"/>
      <c r="DAI134" s="20"/>
      <c r="DAJ134" s="20"/>
      <c r="DAK134" s="21"/>
      <c r="DAL134" s="21"/>
      <c r="DAM134" s="21"/>
      <c r="DAN134" s="21"/>
      <c r="DAO134" s="21"/>
      <c r="DAP134" s="20"/>
      <c r="DAQ134" s="20"/>
      <c r="DAR134" s="20"/>
      <c r="DAS134" s="20"/>
      <c r="DAT134" s="21"/>
      <c r="DAU134" s="21"/>
      <c r="DAV134" s="7"/>
      <c r="DAW134" s="7"/>
      <c r="DAX134" s="21"/>
      <c r="DAY134" s="20"/>
      <c r="DAZ134" s="20"/>
      <c r="DBA134" s="20"/>
      <c r="DBB134" s="21"/>
      <c r="DBC134" s="21"/>
      <c r="DBD134" s="21"/>
      <c r="DBE134" s="21"/>
      <c r="DBF134" s="21"/>
      <c r="DBG134" s="20"/>
      <c r="DBH134" s="20"/>
      <c r="DBI134" s="20"/>
      <c r="DBJ134" s="20"/>
      <c r="DBK134" s="21"/>
      <c r="DBL134" s="21"/>
      <c r="DBM134" s="7"/>
      <c r="DBN134" s="7"/>
      <c r="DBO134" s="21"/>
      <c r="DBP134" s="20"/>
      <c r="DBQ134" s="20"/>
      <c r="DBR134" s="20"/>
      <c r="DBS134" s="21"/>
      <c r="DBT134" s="21"/>
      <c r="DBU134" s="21"/>
      <c r="DBV134" s="21"/>
      <c r="DBW134" s="21"/>
      <c r="DBX134" s="20"/>
      <c r="DBY134" s="20"/>
      <c r="DBZ134" s="20"/>
      <c r="DCA134" s="20"/>
      <c r="DCB134" s="21"/>
      <c r="DCC134" s="21"/>
      <c r="DCD134" s="7"/>
      <c r="DCE134" s="7"/>
      <c r="DCF134" s="21"/>
      <c r="DCG134" s="20"/>
      <c r="DCH134" s="20"/>
      <c r="DCI134" s="20"/>
      <c r="DCJ134" s="21"/>
      <c r="DCK134" s="21"/>
      <c r="DCL134" s="21"/>
      <c r="DCM134" s="21"/>
      <c r="DCN134" s="21"/>
      <c r="DCO134" s="20"/>
      <c r="DCP134" s="20"/>
      <c r="DCQ134" s="20"/>
      <c r="DCR134" s="20"/>
      <c r="DCS134" s="21"/>
      <c r="DCT134" s="21"/>
      <c r="DCU134" s="7"/>
      <c r="DCV134" s="7"/>
      <c r="DCW134" s="21"/>
      <c r="DCX134" s="20"/>
      <c r="DCY134" s="20"/>
      <c r="DCZ134" s="20"/>
      <c r="DDA134" s="21"/>
      <c r="DDB134" s="21"/>
      <c r="DDC134" s="21"/>
      <c r="DDD134" s="21"/>
      <c r="DDE134" s="21"/>
      <c r="DDF134" s="20"/>
      <c r="DDG134" s="20"/>
      <c r="DDH134" s="20"/>
      <c r="DDI134" s="20"/>
      <c r="DDJ134" s="21"/>
      <c r="DDK134" s="21"/>
      <c r="DDL134" s="7"/>
      <c r="DDM134" s="7"/>
      <c r="DDN134" s="21"/>
      <c r="DDO134" s="20"/>
      <c r="DDP134" s="20"/>
      <c r="DDQ134" s="20"/>
      <c r="DDR134" s="21"/>
      <c r="DDS134" s="21"/>
      <c r="DDT134" s="21"/>
      <c r="DDU134" s="21"/>
      <c r="DDV134" s="21"/>
      <c r="DDW134" s="20"/>
      <c r="DDX134" s="20"/>
      <c r="DDY134" s="20"/>
      <c r="DDZ134" s="20"/>
      <c r="DEA134" s="21"/>
      <c r="DEB134" s="21"/>
      <c r="DEC134" s="7"/>
      <c r="DED134" s="7"/>
      <c r="DEE134" s="21"/>
      <c r="DEF134" s="20"/>
      <c r="DEG134" s="20"/>
      <c r="DEH134" s="20"/>
      <c r="DEI134" s="21"/>
      <c r="DEJ134" s="21"/>
      <c r="DEK134" s="21"/>
      <c r="DEL134" s="21"/>
      <c r="DEM134" s="21"/>
      <c r="DEN134" s="20"/>
      <c r="DEO134" s="20"/>
      <c r="DEP134" s="20"/>
      <c r="DEQ134" s="20"/>
      <c r="DER134" s="21"/>
      <c r="DES134" s="21"/>
      <c r="DET134" s="7"/>
      <c r="DEU134" s="7"/>
      <c r="DEV134" s="21"/>
      <c r="DEW134" s="20"/>
      <c r="DEX134" s="20"/>
      <c r="DEY134" s="20"/>
      <c r="DEZ134" s="21"/>
      <c r="DFA134" s="21"/>
      <c r="DFB134" s="21"/>
      <c r="DFC134" s="21"/>
      <c r="DFD134" s="21"/>
      <c r="DFE134" s="20"/>
      <c r="DFF134" s="20"/>
      <c r="DFG134" s="20"/>
      <c r="DFH134" s="20"/>
      <c r="DFI134" s="21"/>
      <c r="DFJ134" s="21"/>
      <c r="DFK134" s="7"/>
      <c r="DFL134" s="7"/>
      <c r="DFM134" s="21"/>
      <c r="DFN134" s="20"/>
      <c r="DFO134" s="20"/>
      <c r="DFP134" s="20"/>
      <c r="DFQ134" s="21"/>
      <c r="DFR134" s="21"/>
      <c r="DFS134" s="21"/>
      <c r="DFT134" s="21"/>
      <c r="DFU134" s="21"/>
      <c r="DFV134" s="20"/>
      <c r="DFW134" s="20"/>
      <c r="DFX134" s="20"/>
      <c r="DFY134" s="20"/>
      <c r="DFZ134" s="21"/>
      <c r="DGA134" s="21"/>
      <c r="DGB134" s="7"/>
      <c r="DGC134" s="7"/>
      <c r="DGD134" s="21"/>
      <c r="DGE134" s="20"/>
      <c r="DGF134" s="20"/>
      <c r="DGG134" s="20"/>
      <c r="DGH134" s="21"/>
      <c r="DGI134" s="21"/>
      <c r="DGJ134" s="21"/>
      <c r="DGK134" s="21"/>
      <c r="DGL134" s="21"/>
      <c r="DGM134" s="20"/>
      <c r="DGN134" s="20"/>
      <c r="DGO134" s="20"/>
      <c r="DGP134" s="20"/>
      <c r="DGQ134" s="21"/>
      <c r="DGR134" s="21"/>
      <c r="DGS134" s="7"/>
      <c r="DGT134" s="7"/>
      <c r="DGU134" s="21"/>
      <c r="DGV134" s="20"/>
      <c r="DGW134" s="20"/>
      <c r="DGX134" s="20"/>
      <c r="DGY134" s="21"/>
      <c r="DGZ134" s="21"/>
      <c r="DHA134" s="21"/>
      <c r="DHB134" s="21"/>
      <c r="DHC134" s="21"/>
      <c r="DHD134" s="20"/>
      <c r="DHE134" s="20"/>
      <c r="DHF134" s="20"/>
      <c r="DHG134" s="20"/>
      <c r="DHH134" s="21"/>
      <c r="DHI134" s="21"/>
      <c r="DHJ134" s="7"/>
      <c r="DHK134" s="7"/>
      <c r="DHL134" s="21"/>
      <c r="DHM134" s="20"/>
      <c r="DHN134" s="20"/>
      <c r="DHO134" s="20"/>
      <c r="DHP134" s="21"/>
      <c r="DHQ134" s="21"/>
      <c r="DHR134" s="21"/>
      <c r="DHS134" s="21"/>
      <c r="DHT134" s="21"/>
      <c r="DHU134" s="20"/>
      <c r="DHV134" s="20"/>
      <c r="DHW134" s="20"/>
      <c r="DHX134" s="20"/>
      <c r="DHY134" s="21"/>
      <c r="DHZ134" s="21"/>
      <c r="DIA134" s="7"/>
      <c r="DIB134" s="7"/>
      <c r="DIC134" s="21"/>
      <c r="DID134" s="20"/>
      <c r="DIE134" s="20"/>
      <c r="DIF134" s="20"/>
      <c r="DIG134" s="21"/>
      <c r="DIH134" s="21"/>
      <c r="DII134" s="21"/>
      <c r="DIJ134" s="21"/>
      <c r="DIK134" s="21"/>
      <c r="DIL134" s="20"/>
      <c r="DIM134" s="20"/>
      <c r="DIN134" s="20"/>
      <c r="DIO134" s="20"/>
      <c r="DIP134" s="21"/>
      <c r="DIQ134" s="21"/>
      <c r="DIR134" s="7"/>
      <c r="DIS134" s="7"/>
      <c r="DIT134" s="21"/>
      <c r="DIU134" s="20"/>
      <c r="DIV134" s="20"/>
      <c r="DIW134" s="20"/>
      <c r="DIX134" s="21"/>
      <c r="DIY134" s="21"/>
      <c r="DIZ134" s="21"/>
      <c r="DJA134" s="21"/>
      <c r="DJB134" s="21"/>
      <c r="DJC134" s="20"/>
      <c r="DJD134" s="20"/>
      <c r="DJE134" s="20"/>
      <c r="DJF134" s="20"/>
      <c r="DJG134" s="21"/>
      <c r="DJH134" s="21"/>
      <c r="DJI134" s="7"/>
      <c r="DJJ134" s="7"/>
      <c r="DJK134" s="21"/>
      <c r="DJL134" s="20"/>
      <c r="DJM134" s="20"/>
      <c r="DJN134" s="20"/>
      <c r="DJO134" s="21"/>
      <c r="DJP134" s="21"/>
      <c r="DJQ134" s="21"/>
      <c r="DJR134" s="21"/>
      <c r="DJS134" s="21"/>
      <c r="DJT134" s="20"/>
      <c r="DJU134" s="20"/>
      <c r="DJV134" s="20"/>
      <c r="DJW134" s="20"/>
      <c r="DJX134" s="21"/>
      <c r="DJY134" s="21"/>
      <c r="DJZ134" s="7"/>
      <c r="DKA134" s="7"/>
      <c r="DKB134" s="21"/>
      <c r="DKC134" s="20"/>
      <c r="DKD134" s="20"/>
      <c r="DKE134" s="20"/>
      <c r="DKF134" s="21"/>
      <c r="DKG134" s="21"/>
      <c r="DKH134" s="21"/>
      <c r="DKI134" s="21"/>
      <c r="DKJ134" s="21"/>
      <c r="DKK134" s="20"/>
      <c r="DKL134" s="20"/>
      <c r="DKM134" s="20"/>
      <c r="DKN134" s="20"/>
      <c r="DKO134" s="21"/>
      <c r="DKP134" s="21"/>
      <c r="DKQ134" s="7"/>
      <c r="DKR134" s="7"/>
      <c r="DKS134" s="21"/>
      <c r="DKT134" s="20"/>
      <c r="DKU134" s="20"/>
      <c r="DKV134" s="20"/>
      <c r="DKW134" s="21"/>
      <c r="DKX134" s="21"/>
      <c r="DKY134" s="21"/>
      <c r="DKZ134" s="21"/>
      <c r="DLA134" s="21"/>
      <c r="DLB134" s="20"/>
      <c r="DLC134" s="20"/>
      <c r="DLD134" s="20"/>
      <c r="DLE134" s="20"/>
      <c r="DLF134" s="21"/>
      <c r="DLG134" s="21"/>
      <c r="DLH134" s="7"/>
      <c r="DLI134" s="7"/>
      <c r="DLJ134" s="21"/>
      <c r="DLK134" s="20"/>
      <c r="DLL134" s="20"/>
      <c r="DLM134" s="20"/>
      <c r="DLN134" s="21"/>
      <c r="DLO134" s="21"/>
      <c r="DLP134" s="21"/>
      <c r="DLQ134" s="21"/>
      <c r="DLR134" s="21"/>
      <c r="DLS134" s="20"/>
      <c r="DLT134" s="20"/>
      <c r="DLU134" s="20"/>
      <c r="DLV134" s="20"/>
      <c r="DLW134" s="21"/>
      <c r="DLX134" s="21"/>
      <c r="DLY134" s="7"/>
      <c r="DLZ134" s="7"/>
      <c r="DMA134" s="21"/>
      <c r="DMB134" s="20"/>
      <c r="DMC134" s="20"/>
      <c r="DMD134" s="20"/>
      <c r="DME134" s="21"/>
      <c r="DMF134" s="21"/>
      <c r="DMG134" s="21"/>
      <c r="DMH134" s="21"/>
      <c r="DMI134" s="21"/>
      <c r="DMJ134" s="20"/>
      <c r="DMK134" s="20"/>
      <c r="DML134" s="20"/>
      <c r="DMM134" s="20"/>
      <c r="DMN134" s="21"/>
      <c r="DMO134" s="21"/>
      <c r="DMP134" s="7"/>
      <c r="DMQ134" s="7"/>
      <c r="DMR134" s="21"/>
      <c r="DMS134" s="20"/>
      <c r="DMT134" s="20"/>
      <c r="DMU134" s="20"/>
      <c r="DMV134" s="21"/>
      <c r="DMW134" s="21"/>
      <c r="DMX134" s="21"/>
      <c r="DMY134" s="21"/>
      <c r="DMZ134" s="21"/>
      <c r="DNA134" s="20"/>
      <c r="DNB134" s="20"/>
      <c r="DNC134" s="20"/>
      <c r="DND134" s="20"/>
      <c r="DNE134" s="21"/>
      <c r="DNF134" s="21"/>
      <c r="DNG134" s="7"/>
      <c r="DNH134" s="7"/>
      <c r="DNI134" s="21"/>
      <c r="DNJ134" s="20"/>
      <c r="DNK134" s="20"/>
      <c r="DNL134" s="20"/>
      <c r="DNM134" s="21"/>
      <c r="DNN134" s="21"/>
      <c r="DNO134" s="21"/>
      <c r="DNP134" s="21"/>
      <c r="DNQ134" s="21"/>
      <c r="DNR134" s="20"/>
      <c r="DNS134" s="20"/>
      <c r="DNT134" s="20"/>
      <c r="DNU134" s="20"/>
      <c r="DNV134" s="21"/>
      <c r="DNW134" s="21"/>
      <c r="DNX134" s="7"/>
      <c r="DNY134" s="7"/>
      <c r="DNZ134" s="21"/>
      <c r="DOA134" s="20"/>
      <c r="DOB134" s="20"/>
      <c r="DOC134" s="20"/>
      <c r="DOD134" s="21"/>
      <c r="DOE134" s="21"/>
      <c r="DOF134" s="21"/>
      <c r="DOG134" s="21"/>
      <c r="DOH134" s="21"/>
      <c r="DOI134" s="20"/>
      <c r="DOJ134" s="20"/>
      <c r="DOK134" s="20"/>
      <c r="DOL134" s="20"/>
      <c r="DOM134" s="21"/>
      <c r="DON134" s="21"/>
      <c r="DOO134" s="7"/>
      <c r="DOP134" s="7"/>
      <c r="DOQ134" s="21"/>
      <c r="DOR134" s="20"/>
      <c r="DOS134" s="20"/>
      <c r="DOT134" s="20"/>
      <c r="DOU134" s="21"/>
      <c r="DOV134" s="21"/>
      <c r="DOW134" s="21"/>
      <c r="DOX134" s="21"/>
      <c r="DOY134" s="21"/>
      <c r="DOZ134" s="20"/>
      <c r="DPA134" s="20"/>
      <c r="DPB134" s="20"/>
      <c r="DPC134" s="20"/>
      <c r="DPD134" s="21"/>
      <c r="DPE134" s="21"/>
      <c r="DPF134" s="7"/>
      <c r="DPG134" s="7"/>
      <c r="DPH134" s="21"/>
      <c r="DPI134" s="20"/>
      <c r="DPJ134" s="20"/>
      <c r="DPK134" s="20"/>
      <c r="DPL134" s="21"/>
      <c r="DPM134" s="21"/>
      <c r="DPN134" s="21"/>
      <c r="DPO134" s="21"/>
      <c r="DPP134" s="21"/>
      <c r="DPQ134" s="20"/>
      <c r="DPR134" s="20"/>
      <c r="DPS134" s="20"/>
      <c r="DPT134" s="20"/>
      <c r="DPU134" s="21"/>
      <c r="DPV134" s="21"/>
      <c r="DPW134" s="7"/>
      <c r="DPX134" s="7"/>
      <c r="DPY134" s="21"/>
      <c r="DPZ134" s="20"/>
      <c r="DQA134" s="20"/>
      <c r="DQB134" s="20"/>
      <c r="DQC134" s="21"/>
      <c r="DQD134" s="21"/>
      <c r="DQE134" s="21"/>
      <c r="DQF134" s="21"/>
      <c r="DQG134" s="21"/>
      <c r="DQH134" s="20"/>
      <c r="DQI134" s="20"/>
      <c r="DQJ134" s="20"/>
      <c r="DQK134" s="20"/>
      <c r="DQL134" s="21"/>
      <c r="DQM134" s="21"/>
      <c r="DQN134" s="7"/>
      <c r="DQO134" s="7"/>
      <c r="DQP134" s="21"/>
      <c r="DQQ134" s="20"/>
      <c r="DQR134" s="20"/>
      <c r="DQS134" s="20"/>
      <c r="DQT134" s="21"/>
      <c r="DQU134" s="21"/>
      <c r="DQV134" s="21"/>
      <c r="DQW134" s="21"/>
      <c r="DQX134" s="21"/>
      <c r="DQY134" s="20"/>
      <c r="DQZ134" s="20"/>
      <c r="DRA134" s="20"/>
      <c r="DRB134" s="20"/>
      <c r="DRC134" s="21"/>
      <c r="DRD134" s="21"/>
      <c r="DRE134" s="7"/>
      <c r="DRF134" s="7"/>
      <c r="DRG134" s="21"/>
      <c r="DRH134" s="20"/>
      <c r="DRI134" s="20"/>
      <c r="DRJ134" s="20"/>
      <c r="DRK134" s="21"/>
      <c r="DRL134" s="21"/>
      <c r="DRM134" s="21"/>
      <c r="DRN134" s="21"/>
      <c r="DRO134" s="21"/>
      <c r="DRP134" s="20"/>
      <c r="DRQ134" s="20"/>
      <c r="DRR134" s="20"/>
      <c r="DRS134" s="20"/>
      <c r="DRT134" s="21"/>
      <c r="DRU134" s="21"/>
      <c r="DRV134" s="7"/>
      <c r="DRW134" s="7"/>
      <c r="DRX134" s="21"/>
      <c r="DRY134" s="20"/>
      <c r="DRZ134" s="20"/>
      <c r="DSA134" s="20"/>
      <c r="DSB134" s="21"/>
      <c r="DSC134" s="21"/>
      <c r="DSD134" s="21"/>
      <c r="DSE134" s="21"/>
      <c r="DSF134" s="21"/>
      <c r="DSG134" s="20"/>
      <c r="DSH134" s="20"/>
      <c r="DSI134" s="20"/>
      <c r="DSJ134" s="20"/>
      <c r="DSK134" s="21"/>
      <c r="DSL134" s="21"/>
      <c r="DSM134" s="7"/>
      <c r="DSN134" s="7"/>
      <c r="DSO134" s="21"/>
      <c r="DSP134" s="20"/>
      <c r="DSQ134" s="20"/>
      <c r="DSR134" s="20"/>
      <c r="DSS134" s="21"/>
      <c r="DST134" s="21"/>
      <c r="DSU134" s="21"/>
      <c r="DSV134" s="21"/>
      <c r="DSW134" s="21"/>
      <c r="DSX134" s="20"/>
      <c r="DSY134" s="20"/>
      <c r="DSZ134" s="20"/>
      <c r="DTA134" s="20"/>
      <c r="DTB134" s="21"/>
      <c r="DTC134" s="21"/>
      <c r="DTD134" s="7"/>
      <c r="DTE134" s="7"/>
      <c r="DTF134" s="21"/>
      <c r="DTG134" s="20"/>
      <c r="DTH134" s="20"/>
      <c r="DTI134" s="20"/>
      <c r="DTJ134" s="21"/>
      <c r="DTK134" s="21"/>
      <c r="DTL134" s="21"/>
      <c r="DTM134" s="21"/>
      <c r="DTN134" s="21"/>
      <c r="DTO134" s="20"/>
      <c r="DTP134" s="20"/>
      <c r="DTQ134" s="20"/>
      <c r="DTR134" s="20"/>
      <c r="DTS134" s="21"/>
      <c r="DTT134" s="21"/>
      <c r="DTU134" s="7"/>
      <c r="DTV134" s="7"/>
      <c r="DTW134" s="21"/>
      <c r="DTX134" s="20"/>
      <c r="DTY134" s="20"/>
      <c r="DTZ134" s="20"/>
      <c r="DUA134" s="21"/>
      <c r="DUB134" s="21"/>
      <c r="DUC134" s="21"/>
      <c r="DUD134" s="21"/>
      <c r="DUE134" s="21"/>
      <c r="DUF134" s="20"/>
      <c r="DUG134" s="20"/>
      <c r="DUH134" s="20"/>
      <c r="DUI134" s="20"/>
      <c r="DUJ134" s="21"/>
      <c r="DUK134" s="21"/>
      <c r="DUL134" s="7"/>
      <c r="DUM134" s="7"/>
      <c r="DUN134" s="21"/>
      <c r="DUO134" s="20"/>
      <c r="DUP134" s="20"/>
      <c r="DUQ134" s="20"/>
      <c r="DUR134" s="21"/>
      <c r="DUS134" s="21"/>
      <c r="DUT134" s="21"/>
      <c r="DUU134" s="21"/>
      <c r="DUV134" s="21"/>
      <c r="DUW134" s="20"/>
      <c r="DUX134" s="20"/>
      <c r="DUY134" s="20"/>
      <c r="DUZ134" s="20"/>
      <c r="DVA134" s="21"/>
      <c r="DVB134" s="21"/>
      <c r="DVC134" s="7"/>
      <c r="DVD134" s="7"/>
      <c r="DVE134" s="21"/>
      <c r="DVF134" s="20"/>
      <c r="DVG134" s="20"/>
      <c r="DVH134" s="20"/>
      <c r="DVI134" s="21"/>
      <c r="DVJ134" s="21"/>
      <c r="DVK134" s="21"/>
      <c r="DVL134" s="21"/>
      <c r="DVM134" s="21"/>
      <c r="DVN134" s="20"/>
      <c r="DVO134" s="20"/>
      <c r="DVP134" s="20"/>
      <c r="DVQ134" s="20"/>
      <c r="DVR134" s="21"/>
      <c r="DVS134" s="21"/>
      <c r="DVT134" s="7"/>
      <c r="DVU134" s="7"/>
      <c r="DVV134" s="21"/>
      <c r="DVW134" s="20"/>
      <c r="DVX134" s="20"/>
      <c r="DVY134" s="20"/>
      <c r="DVZ134" s="21"/>
      <c r="DWA134" s="21"/>
      <c r="DWB134" s="21"/>
      <c r="DWC134" s="21"/>
      <c r="DWD134" s="21"/>
      <c r="DWE134" s="20"/>
      <c r="DWF134" s="20"/>
      <c r="DWG134" s="20"/>
      <c r="DWH134" s="20"/>
      <c r="DWI134" s="21"/>
      <c r="DWJ134" s="21"/>
      <c r="DWK134" s="7"/>
      <c r="DWL134" s="7"/>
      <c r="DWM134" s="21"/>
      <c r="DWN134" s="20"/>
      <c r="DWO134" s="20"/>
      <c r="DWP134" s="20"/>
      <c r="DWQ134" s="21"/>
      <c r="DWR134" s="21"/>
      <c r="DWS134" s="21"/>
      <c r="DWT134" s="21"/>
      <c r="DWU134" s="21"/>
      <c r="DWV134" s="20"/>
      <c r="DWW134" s="20"/>
      <c r="DWX134" s="20"/>
      <c r="DWY134" s="20"/>
      <c r="DWZ134" s="21"/>
      <c r="DXA134" s="21"/>
      <c r="DXB134" s="7"/>
      <c r="DXC134" s="7"/>
      <c r="DXD134" s="21"/>
      <c r="DXE134" s="20"/>
      <c r="DXF134" s="20"/>
      <c r="DXG134" s="20"/>
      <c r="DXH134" s="21"/>
      <c r="DXI134" s="21"/>
      <c r="DXJ134" s="21"/>
      <c r="DXK134" s="21"/>
      <c r="DXL134" s="21"/>
      <c r="DXM134" s="20"/>
      <c r="DXN134" s="20"/>
      <c r="DXO134" s="20"/>
      <c r="DXP134" s="20"/>
      <c r="DXQ134" s="21"/>
      <c r="DXR134" s="21"/>
      <c r="DXS134" s="7"/>
      <c r="DXT134" s="7"/>
      <c r="DXU134" s="21"/>
      <c r="DXV134" s="20"/>
      <c r="DXW134" s="20"/>
      <c r="DXX134" s="20"/>
      <c r="DXY134" s="21"/>
      <c r="DXZ134" s="21"/>
      <c r="DYA134" s="21"/>
      <c r="DYB134" s="21"/>
      <c r="DYC134" s="21"/>
      <c r="DYD134" s="20"/>
      <c r="DYE134" s="20"/>
      <c r="DYF134" s="20"/>
      <c r="DYG134" s="20"/>
      <c r="DYH134" s="21"/>
      <c r="DYI134" s="21"/>
      <c r="DYJ134" s="7"/>
      <c r="DYK134" s="7"/>
      <c r="DYL134" s="21"/>
      <c r="DYM134" s="20"/>
      <c r="DYN134" s="20"/>
      <c r="DYO134" s="20"/>
      <c r="DYP134" s="21"/>
      <c r="DYQ134" s="21"/>
      <c r="DYR134" s="21"/>
      <c r="DYS134" s="21"/>
      <c r="DYT134" s="21"/>
      <c r="DYU134" s="20"/>
      <c r="DYV134" s="20"/>
      <c r="DYW134" s="20"/>
      <c r="DYX134" s="20"/>
      <c r="DYY134" s="21"/>
      <c r="DYZ134" s="21"/>
      <c r="DZA134" s="7"/>
      <c r="DZB134" s="7"/>
      <c r="DZC134" s="21"/>
      <c r="DZD134" s="20"/>
      <c r="DZE134" s="20"/>
      <c r="DZF134" s="20"/>
      <c r="DZG134" s="21"/>
      <c r="DZH134" s="21"/>
      <c r="DZI134" s="21"/>
      <c r="DZJ134" s="21"/>
      <c r="DZK134" s="21"/>
      <c r="DZL134" s="20"/>
      <c r="DZM134" s="20"/>
      <c r="DZN134" s="20"/>
      <c r="DZO134" s="20"/>
      <c r="DZP134" s="21"/>
      <c r="DZQ134" s="21"/>
      <c r="DZR134" s="7"/>
      <c r="DZS134" s="7"/>
      <c r="DZT134" s="21"/>
      <c r="DZU134" s="20"/>
      <c r="DZV134" s="20"/>
      <c r="DZW134" s="20"/>
      <c r="DZX134" s="21"/>
      <c r="DZY134" s="21"/>
      <c r="DZZ134" s="21"/>
      <c r="EAA134" s="21"/>
      <c r="EAB134" s="21"/>
      <c r="EAC134" s="20"/>
      <c r="EAD134" s="20"/>
      <c r="EAE134" s="20"/>
      <c r="EAF134" s="20"/>
      <c r="EAG134" s="21"/>
      <c r="EAH134" s="21"/>
      <c r="EAI134" s="7"/>
      <c r="EAJ134" s="7"/>
      <c r="EAK134" s="21"/>
      <c r="EAL134" s="20"/>
      <c r="EAM134" s="20"/>
      <c r="EAN134" s="20"/>
      <c r="EAO134" s="21"/>
      <c r="EAP134" s="21"/>
      <c r="EAQ134" s="21"/>
      <c r="EAR134" s="21"/>
      <c r="EAS134" s="21"/>
      <c r="EAT134" s="20"/>
      <c r="EAU134" s="20"/>
      <c r="EAV134" s="20"/>
      <c r="EAW134" s="20"/>
      <c r="EAX134" s="21"/>
      <c r="EAY134" s="21"/>
      <c r="EAZ134" s="7"/>
      <c r="EBA134" s="7"/>
      <c r="EBB134" s="21"/>
      <c r="EBC134" s="20"/>
      <c r="EBD134" s="20"/>
      <c r="EBE134" s="20"/>
      <c r="EBF134" s="21"/>
      <c r="EBG134" s="21"/>
      <c r="EBH134" s="21"/>
      <c r="EBI134" s="21"/>
      <c r="EBJ134" s="21"/>
      <c r="EBK134" s="20"/>
      <c r="EBL134" s="20"/>
      <c r="EBM134" s="20"/>
      <c r="EBN134" s="20"/>
      <c r="EBO134" s="21"/>
      <c r="EBP134" s="21"/>
      <c r="EBQ134" s="7"/>
      <c r="EBR134" s="7"/>
      <c r="EBS134" s="21"/>
      <c r="EBT134" s="20"/>
      <c r="EBU134" s="20"/>
      <c r="EBV134" s="20"/>
      <c r="EBW134" s="21"/>
      <c r="EBX134" s="21"/>
      <c r="EBY134" s="21"/>
      <c r="EBZ134" s="21"/>
      <c r="ECA134" s="21"/>
      <c r="ECB134" s="20"/>
      <c r="ECC134" s="20"/>
      <c r="ECD134" s="20"/>
      <c r="ECE134" s="20"/>
      <c r="ECF134" s="21"/>
      <c r="ECG134" s="21"/>
      <c r="ECH134" s="7"/>
      <c r="ECI134" s="7"/>
      <c r="ECJ134" s="21"/>
      <c r="ECK134" s="20"/>
      <c r="ECL134" s="20"/>
      <c r="ECM134" s="20"/>
      <c r="ECN134" s="21"/>
      <c r="ECO134" s="21"/>
      <c r="ECP134" s="21"/>
      <c r="ECQ134" s="21"/>
      <c r="ECR134" s="21"/>
      <c r="ECS134" s="20"/>
      <c r="ECT134" s="20"/>
      <c r="ECU134" s="20"/>
      <c r="ECV134" s="20"/>
      <c r="ECW134" s="21"/>
      <c r="ECX134" s="21"/>
      <c r="ECY134" s="7"/>
      <c r="ECZ134" s="7"/>
      <c r="EDA134" s="21"/>
      <c r="EDB134" s="20"/>
      <c r="EDC134" s="20"/>
      <c r="EDD134" s="20"/>
      <c r="EDE134" s="21"/>
      <c r="EDF134" s="21"/>
      <c r="EDG134" s="21"/>
      <c r="EDH134" s="21"/>
      <c r="EDI134" s="21"/>
      <c r="EDJ134" s="20"/>
      <c r="EDK134" s="20"/>
      <c r="EDL134" s="20"/>
      <c r="EDM134" s="20"/>
      <c r="EDN134" s="21"/>
      <c r="EDO134" s="21"/>
      <c r="EDP134" s="7"/>
      <c r="EDQ134" s="7"/>
      <c r="EDR134" s="21"/>
      <c r="EDS134" s="20"/>
      <c r="EDT134" s="20"/>
      <c r="EDU134" s="20"/>
      <c r="EDV134" s="21"/>
      <c r="EDW134" s="21"/>
      <c r="EDX134" s="21"/>
      <c r="EDY134" s="21"/>
      <c r="EDZ134" s="21"/>
      <c r="EEA134" s="20"/>
      <c r="EEB134" s="20"/>
      <c r="EEC134" s="20"/>
      <c r="EED134" s="20"/>
      <c r="EEE134" s="21"/>
      <c r="EEF134" s="21"/>
      <c r="EEG134" s="7"/>
      <c r="EEH134" s="7"/>
      <c r="EEI134" s="21"/>
      <c r="EEJ134" s="20"/>
      <c r="EEK134" s="20"/>
      <c r="EEL134" s="20"/>
      <c r="EEM134" s="21"/>
      <c r="EEN134" s="21"/>
      <c r="EEO134" s="21"/>
      <c r="EEP134" s="21"/>
      <c r="EEQ134" s="21"/>
      <c r="EER134" s="20"/>
      <c r="EES134" s="20"/>
      <c r="EET134" s="20"/>
      <c r="EEU134" s="20"/>
      <c r="EEV134" s="21"/>
      <c r="EEW134" s="21"/>
      <c r="EEX134" s="7"/>
      <c r="EEY134" s="7"/>
      <c r="EEZ134" s="21"/>
      <c r="EFA134" s="20"/>
      <c r="EFB134" s="20"/>
      <c r="EFC134" s="20"/>
      <c r="EFD134" s="21"/>
      <c r="EFE134" s="21"/>
      <c r="EFF134" s="21"/>
      <c r="EFG134" s="21"/>
      <c r="EFH134" s="21"/>
      <c r="EFI134" s="20"/>
      <c r="EFJ134" s="20"/>
      <c r="EFK134" s="20"/>
      <c r="EFL134" s="20"/>
      <c r="EFM134" s="21"/>
      <c r="EFN134" s="21"/>
      <c r="EFO134" s="7"/>
      <c r="EFP134" s="7"/>
      <c r="EFQ134" s="21"/>
      <c r="EFR134" s="20"/>
      <c r="EFS134" s="20"/>
      <c r="EFT134" s="20"/>
      <c r="EFU134" s="21"/>
      <c r="EFV134" s="21"/>
      <c r="EFW134" s="21"/>
      <c r="EFX134" s="21"/>
      <c r="EFY134" s="21"/>
      <c r="EFZ134" s="20"/>
      <c r="EGA134" s="20"/>
      <c r="EGB134" s="20"/>
      <c r="EGC134" s="20"/>
      <c r="EGD134" s="21"/>
      <c r="EGE134" s="21"/>
      <c r="EGF134" s="7"/>
      <c r="EGG134" s="7"/>
      <c r="EGH134" s="21"/>
      <c r="EGI134" s="20"/>
      <c r="EGJ134" s="20"/>
      <c r="EGK134" s="20"/>
      <c r="EGL134" s="21"/>
      <c r="EGM134" s="21"/>
      <c r="EGN134" s="21"/>
      <c r="EGO134" s="21"/>
      <c r="EGP134" s="21"/>
      <c r="EGQ134" s="20"/>
      <c r="EGR134" s="20"/>
      <c r="EGS134" s="20"/>
      <c r="EGT134" s="20"/>
      <c r="EGU134" s="21"/>
      <c r="EGV134" s="21"/>
      <c r="EGW134" s="7"/>
      <c r="EGX134" s="7"/>
      <c r="EGY134" s="21"/>
      <c r="EGZ134" s="20"/>
      <c r="EHA134" s="20"/>
      <c r="EHB134" s="20"/>
      <c r="EHC134" s="21"/>
      <c r="EHD134" s="21"/>
      <c r="EHE134" s="21"/>
      <c r="EHF134" s="21"/>
      <c r="EHG134" s="21"/>
      <c r="EHH134" s="20"/>
      <c r="EHI134" s="20"/>
      <c r="EHJ134" s="20"/>
      <c r="EHK134" s="20"/>
      <c r="EHL134" s="21"/>
      <c r="EHM134" s="21"/>
      <c r="EHN134" s="7"/>
      <c r="EHO134" s="7"/>
      <c r="EHP134" s="21"/>
      <c r="EHQ134" s="20"/>
      <c r="EHR134" s="20"/>
      <c r="EHS134" s="20"/>
      <c r="EHT134" s="21"/>
      <c r="EHU134" s="21"/>
      <c r="EHV134" s="21"/>
      <c r="EHW134" s="21"/>
      <c r="EHX134" s="21"/>
      <c r="EHY134" s="20"/>
      <c r="EHZ134" s="20"/>
      <c r="EIA134" s="20"/>
      <c r="EIB134" s="20"/>
      <c r="EIC134" s="21"/>
      <c r="EID134" s="21"/>
      <c r="EIE134" s="7"/>
      <c r="EIF134" s="7"/>
      <c r="EIG134" s="21"/>
      <c r="EIH134" s="20"/>
      <c r="EII134" s="20"/>
      <c r="EIJ134" s="20"/>
      <c r="EIK134" s="21"/>
      <c r="EIL134" s="21"/>
      <c r="EIM134" s="21"/>
      <c r="EIN134" s="21"/>
      <c r="EIO134" s="21"/>
      <c r="EIP134" s="20"/>
      <c r="EIQ134" s="20"/>
      <c r="EIR134" s="20"/>
      <c r="EIS134" s="20"/>
      <c r="EIT134" s="21"/>
      <c r="EIU134" s="21"/>
      <c r="EIV134" s="7"/>
      <c r="EIW134" s="7"/>
      <c r="EIX134" s="21"/>
      <c r="EIY134" s="20"/>
      <c r="EIZ134" s="20"/>
      <c r="EJA134" s="20"/>
      <c r="EJB134" s="21"/>
      <c r="EJC134" s="21"/>
      <c r="EJD134" s="21"/>
      <c r="EJE134" s="21"/>
      <c r="EJF134" s="21"/>
      <c r="EJG134" s="20"/>
      <c r="EJH134" s="20"/>
      <c r="EJI134" s="20"/>
      <c r="EJJ134" s="20"/>
      <c r="EJK134" s="21"/>
      <c r="EJL134" s="21"/>
      <c r="EJM134" s="7"/>
      <c r="EJN134" s="7"/>
      <c r="EJO134" s="21"/>
      <c r="EJP134" s="20"/>
      <c r="EJQ134" s="20"/>
      <c r="EJR134" s="20"/>
      <c r="EJS134" s="21"/>
      <c r="EJT134" s="21"/>
      <c r="EJU134" s="21"/>
      <c r="EJV134" s="21"/>
      <c r="EJW134" s="21"/>
      <c r="EJX134" s="20"/>
      <c r="EJY134" s="20"/>
      <c r="EJZ134" s="20"/>
      <c r="EKA134" s="20"/>
      <c r="EKB134" s="21"/>
      <c r="EKC134" s="21"/>
      <c r="EKD134" s="7"/>
      <c r="EKE134" s="7"/>
      <c r="EKF134" s="21"/>
      <c r="EKG134" s="20"/>
      <c r="EKH134" s="20"/>
      <c r="EKI134" s="20"/>
      <c r="EKJ134" s="21"/>
      <c r="EKK134" s="21"/>
      <c r="EKL134" s="21"/>
      <c r="EKM134" s="21"/>
      <c r="EKN134" s="21"/>
      <c r="EKO134" s="20"/>
      <c r="EKP134" s="20"/>
      <c r="EKQ134" s="20"/>
      <c r="EKR134" s="20"/>
      <c r="EKS134" s="21"/>
      <c r="EKT134" s="21"/>
      <c r="EKU134" s="7"/>
      <c r="EKV134" s="7"/>
      <c r="EKW134" s="21"/>
      <c r="EKX134" s="20"/>
      <c r="EKY134" s="20"/>
      <c r="EKZ134" s="20"/>
      <c r="ELA134" s="21"/>
      <c r="ELB134" s="21"/>
      <c r="ELC134" s="21"/>
      <c r="ELD134" s="21"/>
      <c r="ELE134" s="21"/>
      <c r="ELF134" s="20"/>
      <c r="ELG134" s="20"/>
      <c r="ELH134" s="20"/>
      <c r="ELI134" s="20"/>
      <c r="ELJ134" s="21"/>
      <c r="ELK134" s="21"/>
      <c r="ELL134" s="7"/>
      <c r="ELM134" s="7"/>
      <c r="ELN134" s="21"/>
      <c r="ELO134" s="20"/>
      <c r="ELP134" s="20"/>
      <c r="ELQ134" s="20"/>
      <c r="ELR134" s="21"/>
      <c r="ELS134" s="21"/>
      <c r="ELT134" s="21"/>
      <c r="ELU134" s="21"/>
      <c r="ELV134" s="21"/>
      <c r="ELW134" s="20"/>
      <c r="ELX134" s="20"/>
      <c r="ELY134" s="20"/>
      <c r="ELZ134" s="20"/>
      <c r="EMA134" s="21"/>
      <c r="EMB134" s="21"/>
      <c r="EMC134" s="7"/>
      <c r="EMD134" s="7"/>
      <c r="EME134" s="21"/>
      <c r="EMF134" s="20"/>
      <c r="EMG134" s="20"/>
      <c r="EMH134" s="20"/>
      <c r="EMI134" s="21"/>
      <c r="EMJ134" s="21"/>
      <c r="EMK134" s="21"/>
      <c r="EML134" s="21"/>
      <c r="EMM134" s="21"/>
      <c r="EMN134" s="20"/>
      <c r="EMO134" s="20"/>
      <c r="EMP134" s="20"/>
      <c r="EMQ134" s="20"/>
      <c r="EMR134" s="21"/>
      <c r="EMS134" s="21"/>
      <c r="EMT134" s="7"/>
      <c r="EMU134" s="7"/>
      <c r="EMV134" s="21"/>
      <c r="EMW134" s="20"/>
      <c r="EMX134" s="20"/>
      <c r="EMY134" s="20"/>
      <c r="EMZ134" s="21"/>
      <c r="ENA134" s="21"/>
      <c r="ENB134" s="21"/>
      <c r="ENC134" s="21"/>
      <c r="END134" s="21"/>
      <c r="ENE134" s="20"/>
      <c r="ENF134" s="20"/>
      <c r="ENG134" s="20"/>
      <c r="ENH134" s="20"/>
      <c r="ENI134" s="21"/>
      <c r="ENJ134" s="21"/>
      <c r="ENK134" s="7"/>
      <c r="ENL134" s="7"/>
      <c r="ENM134" s="21"/>
      <c r="ENN134" s="20"/>
      <c r="ENO134" s="20"/>
      <c r="ENP134" s="20"/>
      <c r="ENQ134" s="21"/>
      <c r="ENR134" s="21"/>
      <c r="ENS134" s="21"/>
      <c r="ENT134" s="21"/>
      <c r="ENU134" s="21"/>
      <c r="ENV134" s="20"/>
      <c r="ENW134" s="20"/>
      <c r="ENX134" s="20"/>
      <c r="ENY134" s="20"/>
      <c r="ENZ134" s="21"/>
      <c r="EOA134" s="21"/>
      <c r="EOB134" s="7"/>
      <c r="EOC134" s="7"/>
      <c r="EOD134" s="21"/>
      <c r="EOE134" s="20"/>
      <c r="EOF134" s="20"/>
      <c r="EOG134" s="20"/>
      <c r="EOH134" s="21"/>
      <c r="EOI134" s="21"/>
      <c r="EOJ134" s="21"/>
      <c r="EOK134" s="21"/>
      <c r="EOL134" s="21"/>
      <c r="EOM134" s="20"/>
      <c r="EON134" s="20"/>
      <c r="EOO134" s="20"/>
      <c r="EOP134" s="20"/>
      <c r="EOQ134" s="21"/>
      <c r="EOR134" s="21"/>
      <c r="EOS134" s="7"/>
      <c r="EOT134" s="7"/>
      <c r="EOU134" s="21"/>
      <c r="EOV134" s="20"/>
      <c r="EOW134" s="20"/>
      <c r="EOX134" s="20"/>
      <c r="EOY134" s="21"/>
      <c r="EOZ134" s="21"/>
      <c r="EPA134" s="21"/>
      <c r="EPB134" s="21"/>
      <c r="EPC134" s="21"/>
      <c r="EPD134" s="20"/>
      <c r="EPE134" s="20"/>
      <c r="EPF134" s="20"/>
      <c r="EPG134" s="20"/>
      <c r="EPH134" s="21"/>
      <c r="EPI134" s="21"/>
      <c r="EPJ134" s="7"/>
      <c r="EPK134" s="7"/>
      <c r="EPL134" s="21"/>
      <c r="EPM134" s="20"/>
      <c r="EPN134" s="20"/>
      <c r="EPO134" s="20"/>
      <c r="EPP134" s="21"/>
      <c r="EPQ134" s="21"/>
      <c r="EPR134" s="21"/>
      <c r="EPS134" s="21"/>
      <c r="EPT134" s="21"/>
      <c r="EPU134" s="20"/>
      <c r="EPV134" s="20"/>
      <c r="EPW134" s="20"/>
      <c r="EPX134" s="20"/>
      <c r="EPY134" s="21"/>
      <c r="EPZ134" s="21"/>
      <c r="EQA134" s="7"/>
      <c r="EQB134" s="7"/>
      <c r="EQC134" s="21"/>
      <c r="EQD134" s="20"/>
      <c r="EQE134" s="20"/>
      <c r="EQF134" s="20"/>
      <c r="EQG134" s="21"/>
      <c r="EQH134" s="21"/>
      <c r="EQI134" s="21"/>
      <c r="EQJ134" s="21"/>
      <c r="EQK134" s="21"/>
      <c r="EQL134" s="20"/>
      <c r="EQM134" s="20"/>
      <c r="EQN134" s="20"/>
      <c r="EQO134" s="20"/>
      <c r="EQP134" s="21"/>
      <c r="EQQ134" s="21"/>
      <c r="EQR134" s="7"/>
      <c r="EQS134" s="7"/>
      <c r="EQT134" s="21"/>
      <c r="EQU134" s="20"/>
      <c r="EQV134" s="20"/>
      <c r="EQW134" s="20"/>
      <c r="EQX134" s="21"/>
      <c r="EQY134" s="21"/>
      <c r="EQZ134" s="21"/>
      <c r="ERA134" s="21"/>
      <c r="ERB134" s="21"/>
      <c r="ERC134" s="20"/>
      <c r="ERD134" s="20"/>
      <c r="ERE134" s="20"/>
      <c r="ERF134" s="20"/>
      <c r="ERG134" s="21"/>
      <c r="ERH134" s="21"/>
      <c r="ERI134" s="7"/>
      <c r="ERJ134" s="7"/>
      <c r="ERK134" s="21"/>
      <c r="ERL134" s="20"/>
      <c r="ERM134" s="20"/>
      <c r="ERN134" s="20"/>
      <c r="ERO134" s="21"/>
      <c r="ERP134" s="21"/>
      <c r="ERQ134" s="21"/>
      <c r="ERR134" s="21"/>
      <c r="ERS134" s="21"/>
      <c r="ERT134" s="20"/>
      <c r="ERU134" s="20"/>
      <c r="ERV134" s="20"/>
      <c r="ERW134" s="20"/>
      <c r="ERX134" s="21"/>
      <c r="ERY134" s="21"/>
      <c r="ERZ134" s="7"/>
      <c r="ESA134" s="7"/>
      <c r="ESB134" s="21"/>
      <c r="ESC134" s="20"/>
      <c r="ESD134" s="20"/>
      <c r="ESE134" s="20"/>
      <c r="ESF134" s="21"/>
      <c r="ESG134" s="21"/>
      <c r="ESH134" s="21"/>
      <c r="ESI134" s="21"/>
      <c r="ESJ134" s="21"/>
      <c r="ESK134" s="20"/>
      <c r="ESL134" s="20"/>
      <c r="ESM134" s="20"/>
      <c r="ESN134" s="20"/>
      <c r="ESO134" s="21"/>
      <c r="ESP134" s="21"/>
      <c r="ESQ134" s="7"/>
      <c r="ESR134" s="7"/>
      <c r="ESS134" s="21"/>
      <c r="EST134" s="20"/>
      <c r="ESU134" s="20"/>
      <c r="ESV134" s="20"/>
      <c r="ESW134" s="21"/>
      <c r="ESX134" s="21"/>
      <c r="ESY134" s="21"/>
      <c r="ESZ134" s="21"/>
      <c r="ETA134" s="21"/>
      <c r="ETB134" s="20"/>
      <c r="ETC134" s="20"/>
      <c r="ETD134" s="20"/>
      <c r="ETE134" s="20"/>
      <c r="ETF134" s="21"/>
      <c r="ETG134" s="21"/>
      <c r="ETH134" s="7"/>
      <c r="ETI134" s="7"/>
      <c r="ETJ134" s="21"/>
      <c r="ETK134" s="20"/>
      <c r="ETL134" s="20"/>
      <c r="ETM134" s="20"/>
      <c r="ETN134" s="21"/>
      <c r="ETO134" s="21"/>
      <c r="ETP134" s="21"/>
      <c r="ETQ134" s="21"/>
      <c r="ETR134" s="21"/>
      <c r="ETS134" s="20"/>
      <c r="ETT134" s="20"/>
      <c r="ETU134" s="20"/>
      <c r="ETV134" s="20"/>
      <c r="ETW134" s="21"/>
      <c r="ETX134" s="21"/>
      <c r="ETY134" s="7"/>
      <c r="ETZ134" s="7"/>
      <c r="EUA134" s="21"/>
      <c r="EUB134" s="20"/>
      <c r="EUC134" s="20"/>
      <c r="EUD134" s="20"/>
      <c r="EUE134" s="21"/>
      <c r="EUF134" s="21"/>
      <c r="EUG134" s="21"/>
      <c r="EUH134" s="21"/>
      <c r="EUI134" s="21"/>
      <c r="EUJ134" s="20"/>
      <c r="EUK134" s="20"/>
      <c r="EUL134" s="20"/>
      <c r="EUM134" s="20"/>
      <c r="EUN134" s="21"/>
      <c r="EUO134" s="21"/>
      <c r="EUP134" s="7"/>
      <c r="EUQ134" s="7"/>
      <c r="EUR134" s="21"/>
      <c r="EUS134" s="20"/>
      <c r="EUT134" s="20"/>
      <c r="EUU134" s="20"/>
      <c r="EUV134" s="21"/>
      <c r="EUW134" s="21"/>
      <c r="EUX134" s="21"/>
      <c r="EUY134" s="21"/>
      <c r="EUZ134" s="21"/>
      <c r="EVA134" s="20"/>
      <c r="EVB134" s="20"/>
      <c r="EVC134" s="20"/>
      <c r="EVD134" s="20"/>
      <c r="EVE134" s="21"/>
      <c r="EVF134" s="21"/>
      <c r="EVG134" s="7"/>
      <c r="EVH134" s="7"/>
      <c r="EVI134" s="21"/>
      <c r="EVJ134" s="20"/>
      <c r="EVK134" s="20"/>
      <c r="EVL134" s="20"/>
      <c r="EVM134" s="21"/>
      <c r="EVN134" s="21"/>
      <c r="EVO134" s="21"/>
      <c r="EVP134" s="21"/>
      <c r="EVQ134" s="21"/>
      <c r="EVR134" s="20"/>
      <c r="EVS134" s="20"/>
      <c r="EVT134" s="20"/>
      <c r="EVU134" s="20"/>
      <c r="EVV134" s="21"/>
      <c r="EVW134" s="21"/>
      <c r="EVX134" s="7"/>
      <c r="EVY134" s="7"/>
      <c r="EVZ134" s="21"/>
      <c r="EWA134" s="20"/>
      <c r="EWB134" s="20"/>
      <c r="EWC134" s="20"/>
      <c r="EWD134" s="21"/>
      <c r="EWE134" s="21"/>
      <c r="EWF134" s="21"/>
      <c r="EWG134" s="21"/>
      <c r="EWH134" s="21"/>
      <c r="EWI134" s="20"/>
      <c r="EWJ134" s="20"/>
      <c r="EWK134" s="20"/>
      <c r="EWL134" s="20"/>
      <c r="EWM134" s="21"/>
      <c r="EWN134" s="21"/>
      <c r="EWO134" s="7"/>
      <c r="EWP134" s="7"/>
      <c r="EWQ134" s="21"/>
      <c r="EWR134" s="20"/>
      <c r="EWS134" s="20"/>
      <c r="EWT134" s="20"/>
      <c r="EWU134" s="21"/>
      <c r="EWV134" s="21"/>
      <c r="EWW134" s="21"/>
      <c r="EWX134" s="21"/>
      <c r="EWY134" s="21"/>
      <c r="EWZ134" s="20"/>
      <c r="EXA134" s="20"/>
      <c r="EXB134" s="20"/>
      <c r="EXC134" s="20"/>
      <c r="EXD134" s="21"/>
      <c r="EXE134" s="21"/>
      <c r="EXF134" s="7"/>
      <c r="EXG134" s="7"/>
      <c r="EXH134" s="21"/>
      <c r="EXI134" s="20"/>
      <c r="EXJ134" s="20"/>
      <c r="EXK134" s="20"/>
      <c r="EXL134" s="21"/>
      <c r="EXM134" s="21"/>
      <c r="EXN134" s="21"/>
      <c r="EXO134" s="21"/>
      <c r="EXP134" s="21"/>
      <c r="EXQ134" s="20"/>
      <c r="EXR134" s="20"/>
      <c r="EXS134" s="20"/>
      <c r="EXT134" s="20"/>
      <c r="EXU134" s="21"/>
      <c r="EXV134" s="21"/>
      <c r="EXW134" s="7"/>
      <c r="EXX134" s="7"/>
      <c r="EXY134" s="21"/>
      <c r="EXZ134" s="20"/>
      <c r="EYA134" s="20"/>
      <c r="EYB134" s="20"/>
      <c r="EYC134" s="21"/>
      <c r="EYD134" s="21"/>
      <c r="EYE134" s="21"/>
      <c r="EYF134" s="21"/>
      <c r="EYG134" s="21"/>
      <c r="EYH134" s="20"/>
      <c r="EYI134" s="20"/>
      <c r="EYJ134" s="20"/>
      <c r="EYK134" s="20"/>
      <c r="EYL134" s="21"/>
      <c r="EYM134" s="21"/>
      <c r="EYN134" s="7"/>
      <c r="EYO134" s="7"/>
      <c r="EYP134" s="21"/>
      <c r="EYQ134" s="20"/>
      <c r="EYR134" s="20"/>
      <c r="EYS134" s="20"/>
      <c r="EYT134" s="21"/>
      <c r="EYU134" s="21"/>
      <c r="EYV134" s="21"/>
      <c r="EYW134" s="21"/>
      <c r="EYX134" s="21"/>
      <c r="EYY134" s="20"/>
      <c r="EYZ134" s="20"/>
      <c r="EZA134" s="20"/>
      <c r="EZB134" s="20"/>
      <c r="EZC134" s="21"/>
      <c r="EZD134" s="21"/>
      <c r="EZE134" s="7"/>
      <c r="EZF134" s="7"/>
      <c r="EZG134" s="21"/>
      <c r="EZH134" s="20"/>
      <c r="EZI134" s="20"/>
      <c r="EZJ134" s="20"/>
      <c r="EZK134" s="21"/>
      <c r="EZL134" s="21"/>
      <c r="EZM134" s="21"/>
      <c r="EZN134" s="21"/>
      <c r="EZO134" s="21"/>
      <c r="EZP134" s="20"/>
      <c r="EZQ134" s="20"/>
      <c r="EZR134" s="20"/>
      <c r="EZS134" s="20"/>
      <c r="EZT134" s="21"/>
      <c r="EZU134" s="21"/>
      <c r="EZV134" s="7"/>
      <c r="EZW134" s="7"/>
      <c r="EZX134" s="21"/>
      <c r="EZY134" s="20"/>
      <c r="EZZ134" s="20"/>
      <c r="FAA134" s="20"/>
      <c r="FAB134" s="21"/>
      <c r="FAC134" s="21"/>
      <c r="FAD134" s="21"/>
      <c r="FAE134" s="21"/>
      <c r="FAF134" s="21"/>
      <c r="FAG134" s="20"/>
      <c r="FAH134" s="20"/>
      <c r="FAI134" s="20"/>
      <c r="FAJ134" s="20"/>
      <c r="FAK134" s="21"/>
      <c r="FAL134" s="21"/>
      <c r="FAM134" s="7"/>
      <c r="FAN134" s="7"/>
      <c r="FAO134" s="21"/>
      <c r="FAP134" s="20"/>
      <c r="FAQ134" s="20"/>
      <c r="FAR134" s="20"/>
      <c r="FAS134" s="21"/>
      <c r="FAT134" s="21"/>
      <c r="FAU134" s="21"/>
      <c r="FAV134" s="21"/>
      <c r="FAW134" s="21"/>
      <c r="FAX134" s="20"/>
      <c r="FAY134" s="20"/>
      <c r="FAZ134" s="20"/>
      <c r="FBA134" s="20"/>
      <c r="FBB134" s="21"/>
      <c r="FBC134" s="21"/>
      <c r="FBD134" s="7"/>
      <c r="FBE134" s="7"/>
      <c r="FBF134" s="21"/>
      <c r="FBG134" s="20"/>
      <c r="FBH134" s="20"/>
      <c r="FBI134" s="20"/>
      <c r="FBJ134" s="21"/>
      <c r="FBK134" s="21"/>
      <c r="FBL134" s="21"/>
      <c r="FBM134" s="21"/>
      <c r="FBN134" s="21"/>
      <c r="FBO134" s="20"/>
      <c r="FBP134" s="20"/>
      <c r="FBQ134" s="20"/>
      <c r="FBR134" s="20"/>
      <c r="FBS134" s="21"/>
      <c r="FBT134" s="21"/>
      <c r="FBU134" s="7"/>
      <c r="FBV134" s="7"/>
      <c r="FBW134" s="21"/>
      <c r="FBX134" s="20"/>
      <c r="FBY134" s="20"/>
      <c r="FBZ134" s="20"/>
      <c r="FCA134" s="21"/>
      <c r="FCB134" s="21"/>
      <c r="FCC134" s="21"/>
      <c r="FCD134" s="21"/>
      <c r="FCE134" s="21"/>
      <c r="FCF134" s="20"/>
      <c r="FCG134" s="20"/>
      <c r="FCH134" s="20"/>
      <c r="FCI134" s="20"/>
      <c r="FCJ134" s="21"/>
      <c r="FCK134" s="21"/>
      <c r="FCL134" s="7"/>
      <c r="FCM134" s="7"/>
      <c r="FCN134" s="21"/>
      <c r="FCO134" s="20"/>
      <c r="FCP134" s="20"/>
      <c r="FCQ134" s="20"/>
      <c r="FCR134" s="21"/>
      <c r="FCS134" s="21"/>
      <c r="FCT134" s="21"/>
      <c r="FCU134" s="21"/>
      <c r="FCV134" s="21"/>
      <c r="FCW134" s="20"/>
      <c r="FCX134" s="20"/>
      <c r="FCY134" s="20"/>
      <c r="FCZ134" s="20"/>
      <c r="FDA134" s="21"/>
      <c r="FDB134" s="21"/>
      <c r="FDC134" s="7"/>
      <c r="FDD134" s="7"/>
      <c r="FDE134" s="21"/>
      <c r="FDF134" s="20"/>
      <c r="FDG134" s="20"/>
      <c r="FDH134" s="20"/>
      <c r="FDI134" s="21"/>
      <c r="FDJ134" s="21"/>
      <c r="FDK134" s="21"/>
      <c r="FDL134" s="21"/>
      <c r="FDM134" s="21"/>
      <c r="FDN134" s="20"/>
      <c r="FDO134" s="20"/>
      <c r="FDP134" s="20"/>
      <c r="FDQ134" s="20"/>
      <c r="FDR134" s="21"/>
      <c r="FDS134" s="21"/>
      <c r="FDT134" s="7"/>
      <c r="FDU134" s="7"/>
      <c r="FDV134" s="21"/>
      <c r="FDW134" s="20"/>
      <c r="FDX134" s="20"/>
      <c r="FDY134" s="20"/>
      <c r="FDZ134" s="21"/>
      <c r="FEA134" s="21"/>
      <c r="FEB134" s="21"/>
      <c r="FEC134" s="21"/>
      <c r="FED134" s="21"/>
      <c r="FEE134" s="20"/>
      <c r="FEF134" s="20"/>
      <c r="FEG134" s="20"/>
      <c r="FEH134" s="20"/>
      <c r="FEI134" s="21"/>
      <c r="FEJ134" s="21"/>
      <c r="FEK134" s="7"/>
      <c r="FEL134" s="7"/>
      <c r="FEM134" s="21"/>
      <c r="FEN134" s="20"/>
      <c r="FEO134" s="20"/>
      <c r="FEP134" s="20"/>
      <c r="FEQ134" s="21"/>
      <c r="FER134" s="21"/>
      <c r="FES134" s="21"/>
      <c r="FET134" s="21"/>
      <c r="FEU134" s="21"/>
      <c r="FEV134" s="20"/>
      <c r="FEW134" s="20"/>
      <c r="FEX134" s="20"/>
      <c r="FEY134" s="20"/>
      <c r="FEZ134" s="21"/>
      <c r="FFA134" s="21"/>
      <c r="FFB134" s="7"/>
      <c r="FFC134" s="7"/>
      <c r="FFD134" s="21"/>
      <c r="FFE134" s="20"/>
      <c r="FFF134" s="20"/>
      <c r="FFG134" s="20"/>
      <c r="FFH134" s="21"/>
      <c r="FFI134" s="21"/>
      <c r="FFJ134" s="21"/>
      <c r="FFK134" s="21"/>
      <c r="FFL134" s="21"/>
      <c r="FFM134" s="20"/>
      <c r="FFN134" s="20"/>
      <c r="FFO134" s="20"/>
      <c r="FFP134" s="20"/>
      <c r="FFQ134" s="21"/>
      <c r="FFR134" s="21"/>
      <c r="FFS134" s="7"/>
      <c r="FFT134" s="7"/>
      <c r="FFU134" s="21"/>
      <c r="FFV134" s="20"/>
      <c r="FFW134" s="20"/>
      <c r="FFX134" s="20"/>
      <c r="FFY134" s="21"/>
      <c r="FFZ134" s="21"/>
      <c r="FGA134" s="21"/>
      <c r="FGB134" s="21"/>
      <c r="FGC134" s="21"/>
      <c r="FGD134" s="20"/>
      <c r="FGE134" s="20"/>
      <c r="FGF134" s="20"/>
      <c r="FGG134" s="20"/>
      <c r="FGH134" s="21"/>
      <c r="FGI134" s="21"/>
      <c r="FGJ134" s="7"/>
      <c r="FGK134" s="7"/>
      <c r="FGL134" s="21"/>
      <c r="FGM134" s="20"/>
      <c r="FGN134" s="20"/>
      <c r="FGO134" s="20"/>
      <c r="FGP134" s="21"/>
      <c r="FGQ134" s="21"/>
      <c r="FGR134" s="21"/>
      <c r="FGS134" s="21"/>
      <c r="FGT134" s="21"/>
      <c r="FGU134" s="20"/>
      <c r="FGV134" s="20"/>
      <c r="FGW134" s="20"/>
      <c r="FGX134" s="20"/>
      <c r="FGY134" s="21"/>
      <c r="FGZ134" s="21"/>
      <c r="FHA134" s="7"/>
      <c r="FHB134" s="7"/>
      <c r="FHC134" s="21"/>
      <c r="FHD134" s="20"/>
      <c r="FHE134" s="20"/>
      <c r="FHF134" s="20"/>
      <c r="FHG134" s="21"/>
      <c r="FHH134" s="21"/>
      <c r="FHI134" s="21"/>
      <c r="FHJ134" s="21"/>
      <c r="FHK134" s="21"/>
      <c r="FHL134" s="20"/>
      <c r="FHM134" s="20"/>
      <c r="FHN134" s="20"/>
      <c r="FHO134" s="20"/>
      <c r="FHP134" s="21"/>
      <c r="FHQ134" s="21"/>
      <c r="FHR134" s="7"/>
      <c r="FHS134" s="7"/>
      <c r="FHT134" s="21"/>
      <c r="FHU134" s="20"/>
      <c r="FHV134" s="20"/>
      <c r="FHW134" s="20"/>
      <c r="FHX134" s="21"/>
      <c r="FHY134" s="21"/>
      <c r="FHZ134" s="21"/>
      <c r="FIA134" s="21"/>
      <c r="FIB134" s="21"/>
      <c r="FIC134" s="20"/>
      <c r="FID134" s="20"/>
      <c r="FIE134" s="20"/>
      <c r="FIF134" s="20"/>
      <c r="FIG134" s="21"/>
      <c r="FIH134" s="21"/>
      <c r="FII134" s="7"/>
      <c r="FIJ134" s="7"/>
      <c r="FIK134" s="21"/>
      <c r="FIL134" s="20"/>
      <c r="FIM134" s="20"/>
      <c r="FIN134" s="20"/>
      <c r="FIO134" s="21"/>
      <c r="FIP134" s="21"/>
      <c r="FIQ134" s="21"/>
      <c r="FIR134" s="21"/>
      <c r="FIS134" s="21"/>
      <c r="FIT134" s="20"/>
      <c r="FIU134" s="20"/>
      <c r="FIV134" s="20"/>
      <c r="FIW134" s="20"/>
      <c r="FIX134" s="21"/>
      <c r="FIY134" s="21"/>
      <c r="FIZ134" s="7"/>
      <c r="FJA134" s="7"/>
      <c r="FJB134" s="21"/>
      <c r="FJC134" s="20"/>
      <c r="FJD134" s="20"/>
      <c r="FJE134" s="20"/>
      <c r="FJF134" s="21"/>
      <c r="FJG134" s="21"/>
      <c r="FJH134" s="21"/>
      <c r="FJI134" s="21"/>
      <c r="FJJ134" s="21"/>
      <c r="FJK134" s="20"/>
      <c r="FJL134" s="20"/>
      <c r="FJM134" s="20"/>
      <c r="FJN134" s="20"/>
      <c r="FJO134" s="21"/>
      <c r="FJP134" s="21"/>
      <c r="FJQ134" s="7"/>
      <c r="FJR134" s="7"/>
      <c r="FJS134" s="21"/>
      <c r="FJT134" s="20"/>
      <c r="FJU134" s="20"/>
      <c r="FJV134" s="20"/>
      <c r="FJW134" s="21"/>
      <c r="FJX134" s="21"/>
      <c r="FJY134" s="21"/>
      <c r="FJZ134" s="21"/>
      <c r="FKA134" s="21"/>
      <c r="FKB134" s="20"/>
      <c r="FKC134" s="20"/>
      <c r="FKD134" s="20"/>
      <c r="FKE134" s="20"/>
      <c r="FKF134" s="21"/>
      <c r="FKG134" s="21"/>
      <c r="FKH134" s="7"/>
      <c r="FKI134" s="7"/>
      <c r="FKJ134" s="21"/>
      <c r="FKK134" s="20"/>
      <c r="FKL134" s="20"/>
      <c r="FKM134" s="20"/>
      <c r="FKN134" s="21"/>
      <c r="FKO134" s="21"/>
      <c r="FKP134" s="21"/>
      <c r="FKQ134" s="21"/>
      <c r="FKR134" s="21"/>
      <c r="FKS134" s="20"/>
      <c r="FKT134" s="20"/>
      <c r="FKU134" s="20"/>
      <c r="FKV134" s="20"/>
      <c r="FKW134" s="21"/>
      <c r="FKX134" s="21"/>
      <c r="FKY134" s="7"/>
      <c r="FKZ134" s="7"/>
      <c r="FLA134" s="21"/>
      <c r="FLB134" s="20"/>
      <c r="FLC134" s="20"/>
      <c r="FLD134" s="20"/>
      <c r="FLE134" s="21"/>
      <c r="FLF134" s="21"/>
      <c r="FLG134" s="21"/>
      <c r="FLH134" s="21"/>
      <c r="FLI134" s="21"/>
      <c r="FLJ134" s="20"/>
      <c r="FLK134" s="20"/>
      <c r="FLL134" s="20"/>
      <c r="FLM134" s="20"/>
      <c r="FLN134" s="21"/>
      <c r="FLO134" s="21"/>
      <c r="FLP134" s="7"/>
      <c r="FLQ134" s="7"/>
      <c r="FLR134" s="21"/>
      <c r="FLS134" s="20"/>
      <c r="FLT134" s="20"/>
      <c r="FLU134" s="20"/>
      <c r="FLV134" s="21"/>
      <c r="FLW134" s="21"/>
      <c r="FLX134" s="21"/>
      <c r="FLY134" s="21"/>
      <c r="FLZ134" s="21"/>
      <c r="FMA134" s="20"/>
      <c r="FMB134" s="20"/>
      <c r="FMC134" s="20"/>
      <c r="FMD134" s="20"/>
      <c r="FME134" s="21"/>
      <c r="FMF134" s="21"/>
      <c r="FMG134" s="7"/>
      <c r="FMH134" s="7"/>
      <c r="FMI134" s="21"/>
      <c r="FMJ134" s="20"/>
      <c r="FMK134" s="20"/>
      <c r="FML134" s="20"/>
      <c r="FMM134" s="21"/>
      <c r="FMN134" s="21"/>
      <c r="FMO134" s="21"/>
      <c r="FMP134" s="21"/>
      <c r="FMQ134" s="21"/>
      <c r="FMR134" s="20"/>
      <c r="FMS134" s="20"/>
      <c r="FMT134" s="20"/>
      <c r="FMU134" s="20"/>
      <c r="FMV134" s="21"/>
      <c r="FMW134" s="21"/>
      <c r="FMX134" s="7"/>
      <c r="FMY134" s="7"/>
      <c r="FMZ134" s="21"/>
      <c r="FNA134" s="20"/>
      <c r="FNB134" s="20"/>
      <c r="FNC134" s="20"/>
      <c r="FND134" s="21"/>
      <c r="FNE134" s="21"/>
      <c r="FNF134" s="21"/>
      <c r="FNG134" s="21"/>
      <c r="FNH134" s="21"/>
      <c r="FNI134" s="20"/>
      <c r="FNJ134" s="20"/>
      <c r="FNK134" s="20"/>
      <c r="FNL134" s="20"/>
      <c r="FNM134" s="21"/>
      <c r="FNN134" s="21"/>
      <c r="FNO134" s="7"/>
      <c r="FNP134" s="7"/>
      <c r="FNQ134" s="21"/>
      <c r="FNR134" s="20"/>
      <c r="FNS134" s="20"/>
      <c r="FNT134" s="20"/>
      <c r="FNU134" s="21"/>
      <c r="FNV134" s="21"/>
      <c r="FNW134" s="21"/>
      <c r="FNX134" s="21"/>
      <c r="FNY134" s="21"/>
      <c r="FNZ134" s="20"/>
      <c r="FOA134" s="20"/>
      <c r="FOB134" s="20"/>
      <c r="FOC134" s="20"/>
      <c r="FOD134" s="21"/>
      <c r="FOE134" s="21"/>
      <c r="FOF134" s="7"/>
      <c r="FOG134" s="7"/>
      <c r="FOH134" s="21"/>
      <c r="FOI134" s="20"/>
      <c r="FOJ134" s="20"/>
      <c r="FOK134" s="20"/>
      <c r="FOL134" s="21"/>
      <c r="FOM134" s="21"/>
      <c r="FON134" s="21"/>
      <c r="FOO134" s="21"/>
      <c r="FOP134" s="21"/>
      <c r="FOQ134" s="20"/>
      <c r="FOR134" s="20"/>
      <c r="FOS134" s="20"/>
      <c r="FOT134" s="20"/>
      <c r="FOU134" s="21"/>
      <c r="FOV134" s="21"/>
      <c r="FOW134" s="7"/>
      <c r="FOX134" s="7"/>
      <c r="FOY134" s="21"/>
      <c r="FOZ134" s="20"/>
      <c r="FPA134" s="20"/>
      <c r="FPB134" s="20"/>
      <c r="FPC134" s="21"/>
      <c r="FPD134" s="21"/>
      <c r="FPE134" s="21"/>
      <c r="FPF134" s="21"/>
      <c r="FPG134" s="21"/>
      <c r="FPH134" s="20"/>
      <c r="FPI134" s="20"/>
      <c r="FPJ134" s="20"/>
      <c r="FPK134" s="20"/>
      <c r="FPL134" s="21"/>
      <c r="FPM134" s="21"/>
      <c r="FPN134" s="7"/>
      <c r="FPO134" s="7"/>
      <c r="FPP134" s="21"/>
      <c r="FPQ134" s="20"/>
      <c r="FPR134" s="20"/>
      <c r="FPS134" s="20"/>
      <c r="FPT134" s="21"/>
      <c r="FPU134" s="21"/>
      <c r="FPV134" s="21"/>
      <c r="FPW134" s="21"/>
      <c r="FPX134" s="21"/>
      <c r="FPY134" s="20"/>
      <c r="FPZ134" s="20"/>
      <c r="FQA134" s="20"/>
      <c r="FQB134" s="20"/>
      <c r="FQC134" s="21"/>
      <c r="FQD134" s="21"/>
      <c r="FQE134" s="7"/>
      <c r="FQF134" s="7"/>
      <c r="FQG134" s="21"/>
      <c r="FQH134" s="20"/>
      <c r="FQI134" s="20"/>
      <c r="FQJ134" s="20"/>
      <c r="FQK134" s="21"/>
      <c r="FQL134" s="21"/>
      <c r="FQM134" s="21"/>
      <c r="FQN134" s="21"/>
      <c r="FQO134" s="21"/>
      <c r="FQP134" s="20"/>
      <c r="FQQ134" s="20"/>
      <c r="FQR134" s="20"/>
      <c r="FQS134" s="20"/>
      <c r="FQT134" s="21"/>
      <c r="FQU134" s="21"/>
      <c r="FQV134" s="7"/>
      <c r="FQW134" s="7"/>
      <c r="FQX134" s="21"/>
      <c r="FQY134" s="20"/>
      <c r="FQZ134" s="20"/>
      <c r="FRA134" s="20"/>
      <c r="FRB134" s="21"/>
      <c r="FRC134" s="21"/>
      <c r="FRD134" s="21"/>
      <c r="FRE134" s="21"/>
      <c r="FRF134" s="21"/>
      <c r="FRG134" s="20"/>
      <c r="FRH134" s="20"/>
      <c r="FRI134" s="20"/>
      <c r="FRJ134" s="20"/>
      <c r="FRK134" s="21"/>
      <c r="FRL134" s="21"/>
      <c r="FRM134" s="7"/>
      <c r="FRN134" s="7"/>
      <c r="FRO134" s="21"/>
      <c r="FRP134" s="20"/>
      <c r="FRQ134" s="20"/>
      <c r="FRR134" s="20"/>
      <c r="FRS134" s="21"/>
      <c r="FRT134" s="21"/>
      <c r="FRU134" s="21"/>
      <c r="FRV134" s="21"/>
      <c r="FRW134" s="21"/>
      <c r="FRX134" s="20"/>
      <c r="FRY134" s="20"/>
      <c r="FRZ134" s="20"/>
      <c r="FSA134" s="20"/>
      <c r="FSB134" s="21"/>
      <c r="FSC134" s="21"/>
      <c r="FSD134" s="7"/>
      <c r="FSE134" s="7"/>
      <c r="FSF134" s="21"/>
      <c r="FSG134" s="20"/>
      <c r="FSH134" s="20"/>
      <c r="FSI134" s="20"/>
      <c r="FSJ134" s="21"/>
      <c r="FSK134" s="21"/>
      <c r="FSL134" s="21"/>
      <c r="FSM134" s="21"/>
      <c r="FSN134" s="21"/>
      <c r="FSO134" s="20"/>
      <c r="FSP134" s="20"/>
      <c r="FSQ134" s="20"/>
      <c r="FSR134" s="20"/>
      <c r="FSS134" s="21"/>
      <c r="FST134" s="21"/>
      <c r="FSU134" s="7"/>
      <c r="FSV134" s="7"/>
      <c r="FSW134" s="21"/>
      <c r="FSX134" s="20"/>
      <c r="FSY134" s="20"/>
      <c r="FSZ134" s="20"/>
      <c r="FTA134" s="21"/>
      <c r="FTB134" s="21"/>
      <c r="FTC134" s="21"/>
      <c r="FTD134" s="21"/>
      <c r="FTE134" s="21"/>
      <c r="FTF134" s="20"/>
      <c r="FTG134" s="20"/>
      <c r="FTH134" s="20"/>
      <c r="FTI134" s="20"/>
      <c r="FTJ134" s="21"/>
      <c r="FTK134" s="21"/>
      <c r="FTL134" s="7"/>
      <c r="FTM134" s="7"/>
      <c r="FTN134" s="21"/>
      <c r="FTO134" s="20"/>
      <c r="FTP134" s="20"/>
      <c r="FTQ134" s="20"/>
      <c r="FTR134" s="21"/>
      <c r="FTS134" s="21"/>
      <c r="FTT134" s="21"/>
      <c r="FTU134" s="21"/>
      <c r="FTV134" s="21"/>
      <c r="FTW134" s="20"/>
      <c r="FTX134" s="20"/>
      <c r="FTY134" s="20"/>
      <c r="FTZ134" s="20"/>
      <c r="FUA134" s="21"/>
      <c r="FUB134" s="21"/>
      <c r="FUC134" s="7"/>
      <c r="FUD134" s="7"/>
      <c r="FUE134" s="21"/>
      <c r="FUF134" s="20"/>
      <c r="FUG134" s="20"/>
      <c r="FUH134" s="20"/>
      <c r="FUI134" s="21"/>
      <c r="FUJ134" s="21"/>
      <c r="FUK134" s="21"/>
      <c r="FUL134" s="21"/>
      <c r="FUM134" s="21"/>
      <c r="FUN134" s="20"/>
      <c r="FUO134" s="20"/>
      <c r="FUP134" s="20"/>
      <c r="FUQ134" s="20"/>
      <c r="FUR134" s="21"/>
      <c r="FUS134" s="21"/>
      <c r="FUT134" s="7"/>
      <c r="FUU134" s="7"/>
      <c r="FUV134" s="21"/>
      <c r="FUW134" s="20"/>
      <c r="FUX134" s="20"/>
      <c r="FUY134" s="20"/>
      <c r="FUZ134" s="21"/>
      <c r="FVA134" s="21"/>
      <c r="FVB134" s="21"/>
      <c r="FVC134" s="21"/>
      <c r="FVD134" s="21"/>
      <c r="FVE134" s="20"/>
      <c r="FVF134" s="20"/>
      <c r="FVG134" s="20"/>
      <c r="FVH134" s="20"/>
      <c r="FVI134" s="21"/>
      <c r="FVJ134" s="21"/>
      <c r="FVK134" s="7"/>
      <c r="FVL134" s="7"/>
      <c r="FVM134" s="21"/>
      <c r="FVN134" s="20"/>
      <c r="FVO134" s="20"/>
      <c r="FVP134" s="20"/>
      <c r="FVQ134" s="21"/>
      <c r="FVR134" s="21"/>
      <c r="FVS134" s="21"/>
      <c r="FVT134" s="21"/>
      <c r="FVU134" s="21"/>
      <c r="FVV134" s="20"/>
      <c r="FVW134" s="20"/>
      <c r="FVX134" s="20"/>
      <c r="FVY134" s="20"/>
      <c r="FVZ134" s="21"/>
      <c r="FWA134" s="21"/>
      <c r="FWB134" s="7"/>
      <c r="FWC134" s="7"/>
      <c r="FWD134" s="21"/>
      <c r="FWE134" s="20"/>
      <c r="FWF134" s="20"/>
      <c r="FWG134" s="20"/>
      <c r="FWH134" s="21"/>
      <c r="FWI134" s="21"/>
      <c r="FWJ134" s="21"/>
      <c r="FWK134" s="21"/>
      <c r="FWL134" s="21"/>
      <c r="FWM134" s="20"/>
      <c r="FWN134" s="20"/>
      <c r="FWO134" s="20"/>
      <c r="FWP134" s="20"/>
      <c r="FWQ134" s="21"/>
      <c r="FWR134" s="21"/>
      <c r="FWS134" s="7"/>
      <c r="FWT134" s="7"/>
      <c r="FWU134" s="21"/>
      <c r="FWV134" s="20"/>
      <c r="FWW134" s="20"/>
      <c r="FWX134" s="20"/>
      <c r="FWY134" s="21"/>
      <c r="FWZ134" s="21"/>
      <c r="FXA134" s="21"/>
      <c r="FXB134" s="21"/>
      <c r="FXC134" s="21"/>
      <c r="FXD134" s="20"/>
      <c r="FXE134" s="20"/>
      <c r="FXF134" s="20"/>
      <c r="FXG134" s="20"/>
      <c r="FXH134" s="21"/>
      <c r="FXI134" s="21"/>
      <c r="FXJ134" s="7"/>
      <c r="FXK134" s="7"/>
      <c r="FXL134" s="21"/>
      <c r="FXM134" s="20"/>
      <c r="FXN134" s="20"/>
      <c r="FXO134" s="20"/>
      <c r="FXP134" s="21"/>
      <c r="FXQ134" s="21"/>
      <c r="FXR134" s="21"/>
      <c r="FXS134" s="21"/>
      <c r="FXT134" s="21"/>
      <c r="FXU134" s="20"/>
      <c r="FXV134" s="20"/>
      <c r="FXW134" s="20"/>
      <c r="FXX134" s="20"/>
      <c r="FXY134" s="21"/>
      <c r="FXZ134" s="21"/>
      <c r="FYA134" s="7"/>
      <c r="FYB134" s="7"/>
      <c r="FYC134" s="21"/>
      <c r="FYD134" s="20"/>
      <c r="FYE134" s="20"/>
      <c r="FYF134" s="20"/>
      <c r="FYG134" s="21"/>
      <c r="FYH134" s="21"/>
      <c r="FYI134" s="21"/>
      <c r="FYJ134" s="21"/>
      <c r="FYK134" s="21"/>
      <c r="FYL134" s="20"/>
      <c r="FYM134" s="20"/>
      <c r="FYN134" s="20"/>
      <c r="FYO134" s="20"/>
      <c r="FYP134" s="21"/>
      <c r="FYQ134" s="21"/>
      <c r="FYR134" s="7"/>
      <c r="FYS134" s="7"/>
      <c r="FYT134" s="21"/>
      <c r="FYU134" s="20"/>
      <c r="FYV134" s="20"/>
      <c r="FYW134" s="20"/>
      <c r="FYX134" s="21"/>
      <c r="FYY134" s="21"/>
      <c r="FYZ134" s="21"/>
      <c r="FZA134" s="21"/>
      <c r="FZB134" s="21"/>
      <c r="FZC134" s="20"/>
      <c r="FZD134" s="20"/>
      <c r="FZE134" s="20"/>
      <c r="FZF134" s="20"/>
      <c r="FZG134" s="21"/>
      <c r="FZH134" s="21"/>
      <c r="FZI134" s="7"/>
      <c r="FZJ134" s="7"/>
      <c r="FZK134" s="21"/>
      <c r="FZL134" s="20"/>
      <c r="FZM134" s="20"/>
      <c r="FZN134" s="20"/>
      <c r="FZO134" s="21"/>
      <c r="FZP134" s="21"/>
      <c r="FZQ134" s="21"/>
      <c r="FZR134" s="21"/>
      <c r="FZS134" s="21"/>
      <c r="FZT134" s="20"/>
      <c r="FZU134" s="20"/>
      <c r="FZV134" s="20"/>
      <c r="FZW134" s="20"/>
      <c r="FZX134" s="21"/>
      <c r="FZY134" s="21"/>
      <c r="FZZ134" s="7"/>
      <c r="GAA134" s="7"/>
      <c r="GAB134" s="21"/>
      <c r="GAC134" s="20"/>
      <c r="GAD134" s="20"/>
      <c r="GAE134" s="20"/>
      <c r="GAF134" s="21"/>
      <c r="GAG134" s="21"/>
      <c r="GAH134" s="21"/>
      <c r="GAI134" s="21"/>
      <c r="GAJ134" s="21"/>
      <c r="GAK134" s="20"/>
      <c r="GAL134" s="20"/>
      <c r="GAM134" s="20"/>
      <c r="GAN134" s="20"/>
      <c r="GAO134" s="21"/>
      <c r="GAP134" s="21"/>
      <c r="GAQ134" s="7"/>
      <c r="GAR134" s="7"/>
      <c r="GAS134" s="21"/>
      <c r="GAT134" s="20"/>
      <c r="GAU134" s="20"/>
      <c r="GAV134" s="20"/>
      <c r="GAW134" s="21"/>
      <c r="GAX134" s="21"/>
      <c r="GAY134" s="21"/>
      <c r="GAZ134" s="21"/>
      <c r="GBA134" s="21"/>
      <c r="GBB134" s="20"/>
      <c r="GBC134" s="20"/>
      <c r="GBD134" s="20"/>
      <c r="GBE134" s="20"/>
      <c r="GBF134" s="21"/>
      <c r="GBG134" s="21"/>
      <c r="GBH134" s="7"/>
      <c r="GBI134" s="7"/>
      <c r="GBJ134" s="21"/>
      <c r="GBK134" s="20"/>
      <c r="GBL134" s="20"/>
      <c r="GBM134" s="20"/>
      <c r="GBN134" s="21"/>
      <c r="GBO134" s="21"/>
      <c r="GBP134" s="21"/>
      <c r="GBQ134" s="21"/>
      <c r="GBR134" s="21"/>
      <c r="GBS134" s="20"/>
      <c r="GBT134" s="20"/>
      <c r="GBU134" s="20"/>
      <c r="GBV134" s="20"/>
      <c r="GBW134" s="21"/>
      <c r="GBX134" s="21"/>
      <c r="GBY134" s="7"/>
      <c r="GBZ134" s="7"/>
      <c r="GCA134" s="21"/>
      <c r="GCB134" s="20"/>
      <c r="GCC134" s="20"/>
      <c r="GCD134" s="20"/>
      <c r="GCE134" s="21"/>
      <c r="GCF134" s="21"/>
      <c r="GCG134" s="21"/>
      <c r="GCH134" s="21"/>
      <c r="GCI134" s="21"/>
      <c r="GCJ134" s="20"/>
      <c r="GCK134" s="20"/>
      <c r="GCL134" s="20"/>
      <c r="GCM134" s="20"/>
      <c r="GCN134" s="21"/>
      <c r="GCO134" s="21"/>
      <c r="GCP134" s="7"/>
      <c r="GCQ134" s="7"/>
      <c r="GCR134" s="21"/>
      <c r="GCS134" s="20"/>
      <c r="GCT134" s="20"/>
      <c r="GCU134" s="20"/>
      <c r="GCV134" s="21"/>
      <c r="GCW134" s="21"/>
      <c r="GCX134" s="21"/>
      <c r="GCY134" s="21"/>
      <c r="GCZ134" s="21"/>
      <c r="GDA134" s="20"/>
      <c r="GDB134" s="20"/>
      <c r="GDC134" s="20"/>
      <c r="GDD134" s="20"/>
      <c r="GDE134" s="21"/>
      <c r="GDF134" s="21"/>
      <c r="GDG134" s="7"/>
      <c r="GDH134" s="7"/>
      <c r="GDI134" s="21"/>
      <c r="GDJ134" s="20"/>
      <c r="GDK134" s="20"/>
      <c r="GDL134" s="20"/>
      <c r="GDM134" s="21"/>
      <c r="GDN134" s="21"/>
      <c r="GDO134" s="21"/>
      <c r="GDP134" s="21"/>
      <c r="GDQ134" s="21"/>
      <c r="GDR134" s="20"/>
      <c r="GDS134" s="20"/>
      <c r="GDT134" s="20"/>
      <c r="GDU134" s="20"/>
      <c r="GDV134" s="21"/>
      <c r="GDW134" s="21"/>
      <c r="GDX134" s="7"/>
      <c r="GDY134" s="7"/>
      <c r="GDZ134" s="21"/>
      <c r="GEA134" s="20"/>
      <c r="GEB134" s="20"/>
      <c r="GEC134" s="20"/>
      <c r="GED134" s="21"/>
      <c r="GEE134" s="21"/>
      <c r="GEF134" s="21"/>
      <c r="GEG134" s="21"/>
      <c r="GEH134" s="21"/>
      <c r="GEI134" s="20"/>
      <c r="GEJ134" s="20"/>
      <c r="GEK134" s="20"/>
      <c r="GEL134" s="20"/>
      <c r="GEM134" s="21"/>
      <c r="GEN134" s="21"/>
      <c r="GEO134" s="7"/>
      <c r="GEP134" s="7"/>
      <c r="GEQ134" s="21"/>
      <c r="GER134" s="20"/>
      <c r="GES134" s="20"/>
      <c r="GET134" s="20"/>
      <c r="GEU134" s="21"/>
      <c r="GEV134" s="21"/>
      <c r="GEW134" s="21"/>
      <c r="GEX134" s="21"/>
      <c r="GEY134" s="21"/>
      <c r="GEZ134" s="20"/>
      <c r="GFA134" s="20"/>
      <c r="GFB134" s="20"/>
      <c r="GFC134" s="20"/>
      <c r="GFD134" s="21"/>
      <c r="GFE134" s="21"/>
      <c r="GFF134" s="7"/>
      <c r="GFG134" s="7"/>
      <c r="GFH134" s="21"/>
      <c r="GFI134" s="20"/>
      <c r="GFJ134" s="20"/>
      <c r="GFK134" s="20"/>
      <c r="GFL134" s="21"/>
      <c r="GFM134" s="21"/>
      <c r="GFN134" s="21"/>
      <c r="GFO134" s="21"/>
      <c r="GFP134" s="21"/>
      <c r="GFQ134" s="20"/>
      <c r="GFR134" s="20"/>
      <c r="GFS134" s="20"/>
      <c r="GFT134" s="20"/>
      <c r="GFU134" s="21"/>
      <c r="GFV134" s="21"/>
      <c r="GFW134" s="7"/>
      <c r="GFX134" s="7"/>
      <c r="GFY134" s="21"/>
      <c r="GFZ134" s="20"/>
      <c r="GGA134" s="20"/>
      <c r="GGB134" s="20"/>
      <c r="GGC134" s="21"/>
      <c r="GGD134" s="21"/>
      <c r="GGE134" s="21"/>
      <c r="GGF134" s="21"/>
      <c r="GGG134" s="21"/>
      <c r="GGH134" s="20"/>
      <c r="GGI134" s="20"/>
      <c r="GGJ134" s="20"/>
      <c r="GGK134" s="20"/>
      <c r="GGL134" s="21"/>
      <c r="GGM134" s="21"/>
      <c r="GGN134" s="7"/>
      <c r="GGO134" s="7"/>
      <c r="GGP134" s="21"/>
      <c r="GGQ134" s="20"/>
      <c r="GGR134" s="20"/>
      <c r="GGS134" s="20"/>
      <c r="GGT134" s="21"/>
      <c r="GGU134" s="21"/>
      <c r="GGV134" s="21"/>
      <c r="GGW134" s="21"/>
      <c r="GGX134" s="21"/>
      <c r="GGY134" s="20"/>
      <c r="GGZ134" s="20"/>
      <c r="GHA134" s="20"/>
      <c r="GHB134" s="20"/>
      <c r="GHC134" s="21"/>
      <c r="GHD134" s="21"/>
      <c r="GHE134" s="7"/>
      <c r="GHF134" s="7"/>
      <c r="GHG134" s="21"/>
      <c r="GHH134" s="20"/>
      <c r="GHI134" s="20"/>
      <c r="GHJ134" s="20"/>
      <c r="GHK134" s="21"/>
      <c r="GHL134" s="21"/>
      <c r="GHM134" s="21"/>
      <c r="GHN134" s="21"/>
      <c r="GHO134" s="21"/>
      <c r="GHP134" s="20"/>
      <c r="GHQ134" s="20"/>
      <c r="GHR134" s="20"/>
      <c r="GHS134" s="20"/>
      <c r="GHT134" s="21"/>
      <c r="GHU134" s="21"/>
      <c r="GHV134" s="7"/>
      <c r="GHW134" s="7"/>
      <c r="GHX134" s="21"/>
      <c r="GHY134" s="20"/>
      <c r="GHZ134" s="20"/>
      <c r="GIA134" s="20"/>
      <c r="GIB134" s="21"/>
      <c r="GIC134" s="21"/>
      <c r="GID134" s="21"/>
      <c r="GIE134" s="21"/>
      <c r="GIF134" s="21"/>
      <c r="GIG134" s="20"/>
      <c r="GIH134" s="20"/>
      <c r="GII134" s="20"/>
      <c r="GIJ134" s="20"/>
      <c r="GIK134" s="21"/>
      <c r="GIL134" s="21"/>
      <c r="GIM134" s="7"/>
      <c r="GIN134" s="7"/>
      <c r="GIO134" s="21"/>
      <c r="GIP134" s="20"/>
      <c r="GIQ134" s="20"/>
      <c r="GIR134" s="20"/>
      <c r="GIS134" s="21"/>
      <c r="GIT134" s="21"/>
      <c r="GIU134" s="21"/>
      <c r="GIV134" s="21"/>
      <c r="GIW134" s="21"/>
      <c r="GIX134" s="20"/>
      <c r="GIY134" s="20"/>
      <c r="GIZ134" s="20"/>
      <c r="GJA134" s="20"/>
      <c r="GJB134" s="21"/>
      <c r="GJC134" s="21"/>
      <c r="GJD134" s="7"/>
      <c r="GJE134" s="7"/>
      <c r="GJF134" s="21"/>
      <c r="GJG134" s="20"/>
      <c r="GJH134" s="20"/>
      <c r="GJI134" s="20"/>
      <c r="GJJ134" s="21"/>
      <c r="GJK134" s="21"/>
      <c r="GJL134" s="21"/>
      <c r="GJM134" s="21"/>
      <c r="GJN134" s="21"/>
      <c r="GJO134" s="20"/>
      <c r="GJP134" s="20"/>
      <c r="GJQ134" s="20"/>
      <c r="GJR134" s="20"/>
      <c r="GJS134" s="21"/>
      <c r="GJT134" s="21"/>
      <c r="GJU134" s="7"/>
      <c r="GJV134" s="7"/>
      <c r="GJW134" s="21"/>
      <c r="GJX134" s="20"/>
      <c r="GJY134" s="20"/>
      <c r="GJZ134" s="20"/>
      <c r="GKA134" s="21"/>
      <c r="GKB134" s="21"/>
      <c r="GKC134" s="21"/>
      <c r="GKD134" s="21"/>
      <c r="GKE134" s="21"/>
      <c r="GKF134" s="20"/>
      <c r="GKG134" s="20"/>
      <c r="GKH134" s="20"/>
      <c r="GKI134" s="20"/>
      <c r="GKJ134" s="21"/>
      <c r="GKK134" s="21"/>
      <c r="GKL134" s="7"/>
      <c r="GKM134" s="7"/>
      <c r="GKN134" s="21"/>
      <c r="GKO134" s="20"/>
      <c r="GKP134" s="20"/>
      <c r="GKQ134" s="20"/>
      <c r="GKR134" s="21"/>
      <c r="GKS134" s="21"/>
      <c r="GKT134" s="21"/>
      <c r="GKU134" s="21"/>
      <c r="GKV134" s="21"/>
      <c r="GKW134" s="20"/>
      <c r="GKX134" s="20"/>
      <c r="GKY134" s="20"/>
      <c r="GKZ134" s="20"/>
      <c r="GLA134" s="21"/>
      <c r="GLB134" s="21"/>
      <c r="GLC134" s="7"/>
      <c r="GLD134" s="7"/>
      <c r="GLE134" s="21"/>
      <c r="GLF134" s="20"/>
      <c r="GLG134" s="20"/>
      <c r="GLH134" s="20"/>
      <c r="GLI134" s="21"/>
      <c r="GLJ134" s="21"/>
      <c r="GLK134" s="21"/>
      <c r="GLL134" s="21"/>
      <c r="GLM134" s="21"/>
      <c r="GLN134" s="20"/>
      <c r="GLO134" s="20"/>
      <c r="GLP134" s="20"/>
      <c r="GLQ134" s="20"/>
      <c r="GLR134" s="21"/>
      <c r="GLS134" s="21"/>
      <c r="GLT134" s="7"/>
      <c r="GLU134" s="7"/>
      <c r="GLV134" s="21"/>
      <c r="GLW134" s="20"/>
      <c r="GLX134" s="20"/>
      <c r="GLY134" s="20"/>
      <c r="GLZ134" s="21"/>
      <c r="GMA134" s="21"/>
      <c r="GMB134" s="21"/>
      <c r="GMC134" s="21"/>
      <c r="GMD134" s="21"/>
      <c r="GME134" s="20"/>
      <c r="GMF134" s="20"/>
      <c r="GMG134" s="20"/>
      <c r="GMH134" s="20"/>
      <c r="GMI134" s="21"/>
      <c r="GMJ134" s="21"/>
      <c r="GMK134" s="7"/>
      <c r="GML134" s="7"/>
      <c r="GMM134" s="21"/>
      <c r="GMN134" s="20"/>
      <c r="GMO134" s="20"/>
      <c r="GMP134" s="20"/>
      <c r="GMQ134" s="21"/>
      <c r="GMR134" s="21"/>
      <c r="GMS134" s="21"/>
      <c r="GMT134" s="21"/>
      <c r="GMU134" s="21"/>
      <c r="GMV134" s="20"/>
      <c r="GMW134" s="20"/>
      <c r="GMX134" s="20"/>
      <c r="GMY134" s="20"/>
      <c r="GMZ134" s="21"/>
      <c r="GNA134" s="21"/>
      <c r="GNB134" s="7"/>
      <c r="GNC134" s="7"/>
      <c r="GND134" s="21"/>
      <c r="GNE134" s="20"/>
      <c r="GNF134" s="20"/>
      <c r="GNG134" s="20"/>
      <c r="GNH134" s="21"/>
      <c r="GNI134" s="21"/>
      <c r="GNJ134" s="21"/>
      <c r="GNK134" s="21"/>
      <c r="GNL134" s="21"/>
      <c r="GNM134" s="20"/>
      <c r="GNN134" s="20"/>
      <c r="GNO134" s="20"/>
      <c r="GNP134" s="20"/>
      <c r="GNQ134" s="21"/>
      <c r="GNR134" s="21"/>
      <c r="GNS134" s="7"/>
      <c r="GNT134" s="7"/>
      <c r="GNU134" s="21"/>
      <c r="GNV134" s="20"/>
      <c r="GNW134" s="20"/>
      <c r="GNX134" s="20"/>
      <c r="GNY134" s="21"/>
      <c r="GNZ134" s="21"/>
      <c r="GOA134" s="21"/>
      <c r="GOB134" s="21"/>
      <c r="GOC134" s="21"/>
      <c r="GOD134" s="20"/>
      <c r="GOE134" s="20"/>
      <c r="GOF134" s="20"/>
      <c r="GOG134" s="20"/>
      <c r="GOH134" s="21"/>
      <c r="GOI134" s="21"/>
      <c r="GOJ134" s="7"/>
      <c r="GOK134" s="7"/>
      <c r="GOL134" s="21"/>
      <c r="GOM134" s="20"/>
      <c r="GON134" s="20"/>
      <c r="GOO134" s="20"/>
      <c r="GOP134" s="21"/>
      <c r="GOQ134" s="21"/>
      <c r="GOR134" s="21"/>
      <c r="GOS134" s="21"/>
      <c r="GOT134" s="21"/>
      <c r="GOU134" s="20"/>
      <c r="GOV134" s="20"/>
      <c r="GOW134" s="20"/>
      <c r="GOX134" s="20"/>
      <c r="GOY134" s="21"/>
      <c r="GOZ134" s="21"/>
      <c r="GPA134" s="7"/>
      <c r="GPB134" s="7"/>
      <c r="GPC134" s="21"/>
      <c r="GPD134" s="20"/>
      <c r="GPE134" s="20"/>
      <c r="GPF134" s="20"/>
      <c r="GPG134" s="21"/>
      <c r="GPH134" s="21"/>
      <c r="GPI134" s="21"/>
      <c r="GPJ134" s="21"/>
      <c r="GPK134" s="21"/>
      <c r="GPL134" s="20"/>
      <c r="GPM134" s="20"/>
      <c r="GPN134" s="20"/>
      <c r="GPO134" s="20"/>
      <c r="GPP134" s="21"/>
      <c r="GPQ134" s="21"/>
      <c r="GPR134" s="7"/>
      <c r="GPS134" s="7"/>
      <c r="GPT134" s="21"/>
      <c r="GPU134" s="20"/>
      <c r="GPV134" s="20"/>
      <c r="GPW134" s="20"/>
      <c r="GPX134" s="21"/>
      <c r="GPY134" s="21"/>
      <c r="GPZ134" s="21"/>
      <c r="GQA134" s="21"/>
      <c r="GQB134" s="21"/>
      <c r="GQC134" s="20"/>
      <c r="GQD134" s="20"/>
      <c r="GQE134" s="20"/>
      <c r="GQF134" s="20"/>
      <c r="GQG134" s="21"/>
      <c r="GQH134" s="21"/>
      <c r="GQI134" s="7"/>
      <c r="GQJ134" s="7"/>
      <c r="GQK134" s="21"/>
      <c r="GQL134" s="20"/>
      <c r="GQM134" s="20"/>
      <c r="GQN134" s="20"/>
      <c r="GQO134" s="21"/>
      <c r="GQP134" s="21"/>
      <c r="GQQ134" s="21"/>
      <c r="GQR134" s="21"/>
      <c r="GQS134" s="21"/>
      <c r="GQT134" s="20"/>
      <c r="GQU134" s="20"/>
      <c r="GQV134" s="20"/>
      <c r="GQW134" s="20"/>
      <c r="GQX134" s="21"/>
      <c r="GQY134" s="21"/>
      <c r="GQZ134" s="7"/>
      <c r="GRA134" s="7"/>
      <c r="GRB134" s="21"/>
      <c r="GRC134" s="20"/>
      <c r="GRD134" s="20"/>
      <c r="GRE134" s="20"/>
      <c r="GRF134" s="21"/>
      <c r="GRG134" s="21"/>
      <c r="GRH134" s="21"/>
      <c r="GRI134" s="21"/>
      <c r="GRJ134" s="21"/>
      <c r="GRK134" s="20"/>
      <c r="GRL134" s="20"/>
      <c r="GRM134" s="20"/>
      <c r="GRN134" s="20"/>
      <c r="GRO134" s="21"/>
      <c r="GRP134" s="21"/>
      <c r="GRQ134" s="7"/>
      <c r="GRR134" s="7"/>
      <c r="GRS134" s="21"/>
      <c r="GRT134" s="20"/>
      <c r="GRU134" s="20"/>
      <c r="GRV134" s="20"/>
      <c r="GRW134" s="21"/>
      <c r="GRX134" s="21"/>
      <c r="GRY134" s="21"/>
      <c r="GRZ134" s="21"/>
      <c r="GSA134" s="21"/>
      <c r="GSB134" s="20"/>
      <c r="GSC134" s="20"/>
      <c r="GSD134" s="20"/>
      <c r="GSE134" s="20"/>
      <c r="GSF134" s="21"/>
      <c r="GSG134" s="21"/>
      <c r="GSH134" s="7"/>
      <c r="GSI134" s="7"/>
      <c r="GSJ134" s="21"/>
      <c r="GSK134" s="20"/>
      <c r="GSL134" s="20"/>
      <c r="GSM134" s="20"/>
      <c r="GSN134" s="21"/>
      <c r="GSO134" s="21"/>
      <c r="GSP134" s="21"/>
      <c r="GSQ134" s="21"/>
      <c r="GSR134" s="21"/>
      <c r="GSS134" s="20"/>
      <c r="GST134" s="20"/>
      <c r="GSU134" s="20"/>
      <c r="GSV134" s="20"/>
      <c r="GSW134" s="21"/>
      <c r="GSX134" s="21"/>
      <c r="GSY134" s="7"/>
      <c r="GSZ134" s="7"/>
      <c r="GTA134" s="21"/>
      <c r="GTB134" s="20"/>
      <c r="GTC134" s="20"/>
      <c r="GTD134" s="20"/>
      <c r="GTE134" s="21"/>
      <c r="GTF134" s="21"/>
      <c r="GTG134" s="21"/>
      <c r="GTH134" s="21"/>
      <c r="GTI134" s="21"/>
      <c r="GTJ134" s="20"/>
      <c r="GTK134" s="20"/>
      <c r="GTL134" s="20"/>
      <c r="GTM134" s="20"/>
      <c r="GTN134" s="21"/>
      <c r="GTO134" s="21"/>
      <c r="GTP134" s="7"/>
      <c r="GTQ134" s="7"/>
      <c r="GTR134" s="21"/>
      <c r="GTS134" s="20"/>
      <c r="GTT134" s="20"/>
      <c r="GTU134" s="20"/>
      <c r="GTV134" s="21"/>
      <c r="GTW134" s="21"/>
      <c r="GTX134" s="21"/>
      <c r="GTY134" s="21"/>
      <c r="GTZ134" s="21"/>
      <c r="GUA134" s="20"/>
      <c r="GUB134" s="20"/>
      <c r="GUC134" s="20"/>
      <c r="GUD134" s="20"/>
      <c r="GUE134" s="21"/>
      <c r="GUF134" s="21"/>
      <c r="GUG134" s="7"/>
      <c r="GUH134" s="7"/>
      <c r="GUI134" s="21"/>
      <c r="GUJ134" s="20"/>
      <c r="GUK134" s="20"/>
      <c r="GUL134" s="20"/>
      <c r="GUM134" s="21"/>
      <c r="GUN134" s="21"/>
      <c r="GUO134" s="21"/>
      <c r="GUP134" s="21"/>
      <c r="GUQ134" s="21"/>
      <c r="GUR134" s="20"/>
      <c r="GUS134" s="20"/>
      <c r="GUT134" s="20"/>
      <c r="GUU134" s="20"/>
      <c r="GUV134" s="21"/>
      <c r="GUW134" s="21"/>
      <c r="GUX134" s="7"/>
      <c r="GUY134" s="7"/>
      <c r="GUZ134" s="21"/>
      <c r="GVA134" s="20"/>
      <c r="GVB134" s="20"/>
      <c r="GVC134" s="20"/>
      <c r="GVD134" s="21"/>
      <c r="GVE134" s="21"/>
      <c r="GVF134" s="21"/>
      <c r="GVG134" s="21"/>
      <c r="GVH134" s="21"/>
      <c r="GVI134" s="20"/>
      <c r="GVJ134" s="20"/>
      <c r="GVK134" s="20"/>
      <c r="GVL134" s="20"/>
      <c r="GVM134" s="21"/>
      <c r="GVN134" s="21"/>
      <c r="GVO134" s="7"/>
      <c r="GVP134" s="7"/>
      <c r="GVQ134" s="21"/>
      <c r="GVR134" s="20"/>
      <c r="GVS134" s="20"/>
      <c r="GVT134" s="20"/>
      <c r="GVU134" s="21"/>
      <c r="GVV134" s="21"/>
      <c r="GVW134" s="21"/>
      <c r="GVX134" s="21"/>
      <c r="GVY134" s="21"/>
      <c r="GVZ134" s="20"/>
      <c r="GWA134" s="20"/>
      <c r="GWB134" s="20"/>
      <c r="GWC134" s="20"/>
      <c r="GWD134" s="21"/>
      <c r="GWE134" s="21"/>
      <c r="GWF134" s="7"/>
      <c r="GWG134" s="7"/>
      <c r="GWH134" s="21"/>
      <c r="GWI134" s="20"/>
      <c r="GWJ134" s="20"/>
      <c r="GWK134" s="20"/>
      <c r="GWL134" s="21"/>
      <c r="GWM134" s="21"/>
      <c r="GWN134" s="21"/>
      <c r="GWO134" s="21"/>
      <c r="GWP134" s="21"/>
      <c r="GWQ134" s="20"/>
      <c r="GWR134" s="20"/>
      <c r="GWS134" s="20"/>
      <c r="GWT134" s="20"/>
      <c r="GWU134" s="21"/>
      <c r="GWV134" s="21"/>
      <c r="GWW134" s="7"/>
      <c r="GWX134" s="7"/>
      <c r="GWY134" s="21"/>
      <c r="GWZ134" s="20"/>
      <c r="GXA134" s="20"/>
      <c r="GXB134" s="20"/>
      <c r="GXC134" s="21"/>
      <c r="GXD134" s="21"/>
      <c r="GXE134" s="21"/>
      <c r="GXF134" s="21"/>
      <c r="GXG134" s="21"/>
      <c r="GXH134" s="20"/>
      <c r="GXI134" s="20"/>
      <c r="GXJ134" s="20"/>
      <c r="GXK134" s="20"/>
      <c r="GXL134" s="21"/>
      <c r="GXM134" s="21"/>
      <c r="GXN134" s="7"/>
      <c r="GXO134" s="7"/>
      <c r="GXP134" s="21"/>
      <c r="GXQ134" s="20"/>
      <c r="GXR134" s="20"/>
      <c r="GXS134" s="20"/>
      <c r="GXT134" s="21"/>
      <c r="GXU134" s="21"/>
      <c r="GXV134" s="21"/>
      <c r="GXW134" s="21"/>
      <c r="GXX134" s="21"/>
      <c r="GXY134" s="20"/>
      <c r="GXZ134" s="20"/>
      <c r="GYA134" s="20"/>
      <c r="GYB134" s="20"/>
      <c r="GYC134" s="21"/>
      <c r="GYD134" s="21"/>
      <c r="GYE134" s="7"/>
      <c r="GYF134" s="7"/>
      <c r="GYG134" s="21"/>
      <c r="GYH134" s="20"/>
      <c r="GYI134" s="20"/>
      <c r="GYJ134" s="20"/>
      <c r="GYK134" s="21"/>
      <c r="GYL134" s="21"/>
      <c r="GYM134" s="21"/>
      <c r="GYN134" s="21"/>
      <c r="GYO134" s="21"/>
      <c r="GYP134" s="20"/>
      <c r="GYQ134" s="20"/>
      <c r="GYR134" s="20"/>
      <c r="GYS134" s="20"/>
      <c r="GYT134" s="21"/>
      <c r="GYU134" s="21"/>
      <c r="GYV134" s="7"/>
      <c r="GYW134" s="7"/>
      <c r="GYX134" s="21"/>
      <c r="GYY134" s="20"/>
      <c r="GYZ134" s="20"/>
      <c r="GZA134" s="20"/>
      <c r="GZB134" s="21"/>
      <c r="GZC134" s="21"/>
      <c r="GZD134" s="21"/>
      <c r="GZE134" s="21"/>
      <c r="GZF134" s="21"/>
      <c r="GZG134" s="20"/>
      <c r="GZH134" s="20"/>
      <c r="GZI134" s="20"/>
      <c r="GZJ134" s="20"/>
      <c r="GZK134" s="21"/>
      <c r="GZL134" s="21"/>
      <c r="GZM134" s="7"/>
      <c r="GZN134" s="7"/>
      <c r="GZO134" s="21"/>
      <c r="GZP134" s="20"/>
      <c r="GZQ134" s="20"/>
      <c r="GZR134" s="20"/>
      <c r="GZS134" s="21"/>
      <c r="GZT134" s="21"/>
      <c r="GZU134" s="21"/>
      <c r="GZV134" s="21"/>
      <c r="GZW134" s="21"/>
      <c r="GZX134" s="20"/>
      <c r="GZY134" s="20"/>
      <c r="GZZ134" s="20"/>
      <c r="HAA134" s="20"/>
      <c r="HAB134" s="21"/>
      <c r="HAC134" s="21"/>
      <c r="HAD134" s="7"/>
      <c r="HAE134" s="7"/>
      <c r="HAF134" s="21"/>
      <c r="HAG134" s="20"/>
      <c r="HAH134" s="20"/>
      <c r="HAI134" s="20"/>
      <c r="HAJ134" s="21"/>
      <c r="HAK134" s="21"/>
      <c r="HAL134" s="21"/>
      <c r="HAM134" s="21"/>
      <c r="HAN134" s="21"/>
      <c r="HAO134" s="20"/>
      <c r="HAP134" s="20"/>
      <c r="HAQ134" s="20"/>
      <c r="HAR134" s="20"/>
      <c r="HAS134" s="21"/>
      <c r="HAT134" s="21"/>
      <c r="HAU134" s="7"/>
      <c r="HAV134" s="7"/>
      <c r="HAW134" s="21"/>
      <c r="HAX134" s="20"/>
      <c r="HAY134" s="20"/>
      <c r="HAZ134" s="20"/>
      <c r="HBA134" s="21"/>
      <c r="HBB134" s="21"/>
      <c r="HBC134" s="21"/>
      <c r="HBD134" s="21"/>
      <c r="HBE134" s="21"/>
      <c r="HBF134" s="20"/>
      <c r="HBG134" s="20"/>
      <c r="HBH134" s="20"/>
      <c r="HBI134" s="20"/>
      <c r="HBJ134" s="21"/>
      <c r="HBK134" s="21"/>
      <c r="HBL134" s="7"/>
      <c r="HBM134" s="7"/>
      <c r="HBN134" s="21"/>
      <c r="HBO134" s="20"/>
      <c r="HBP134" s="20"/>
      <c r="HBQ134" s="20"/>
      <c r="HBR134" s="21"/>
      <c r="HBS134" s="21"/>
      <c r="HBT134" s="21"/>
      <c r="HBU134" s="21"/>
      <c r="HBV134" s="21"/>
      <c r="HBW134" s="20"/>
      <c r="HBX134" s="20"/>
      <c r="HBY134" s="20"/>
      <c r="HBZ134" s="20"/>
      <c r="HCA134" s="21"/>
      <c r="HCB134" s="21"/>
      <c r="HCC134" s="7"/>
      <c r="HCD134" s="7"/>
      <c r="HCE134" s="21"/>
      <c r="HCF134" s="20"/>
      <c r="HCG134" s="20"/>
      <c r="HCH134" s="20"/>
      <c r="HCI134" s="21"/>
      <c r="HCJ134" s="21"/>
      <c r="HCK134" s="21"/>
      <c r="HCL134" s="21"/>
      <c r="HCM134" s="21"/>
      <c r="HCN134" s="20"/>
      <c r="HCO134" s="20"/>
      <c r="HCP134" s="20"/>
      <c r="HCQ134" s="20"/>
      <c r="HCR134" s="21"/>
      <c r="HCS134" s="21"/>
      <c r="HCT134" s="7"/>
      <c r="HCU134" s="7"/>
      <c r="HCV134" s="21"/>
      <c r="HCW134" s="20"/>
      <c r="HCX134" s="20"/>
      <c r="HCY134" s="20"/>
      <c r="HCZ134" s="21"/>
      <c r="HDA134" s="21"/>
      <c r="HDB134" s="21"/>
      <c r="HDC134" s="21"/>
      <c r="HDD134" s="21"/>
      <c r="HDE134" s="20"/>
      <c r="HDF134" s="20"/>
      <c r="HDG134" s="20"/>
      <c r="HDH134" s="20"/>
      <c r="HDI134" s="21"/>
      <c r="HDJ134" s="21"/>
      <c r="HDK134" s="7"/>
      <c r="HDL134" s="7"/>
      <c r="HDM134" s="21"/>
      <c r="HDN134" s="20"/>
      <c r="HDO134" s="20"/>
      <c r="HDP134" s="20"/>
      <c r="HDQ134" s="21"/>
      <c r="HDR134" s="21"/>
      <c r="HDS134" s="21"/>
      <c r="HDT134" s="21"/>
      <c r="HDU134" s="21"/>
      <c r="HDV134" s="20"/>
      <c r="HDW134" s="20"/>
      <c r="HDX134" s="20"/>
      <c r="HDY134" s="20"/>
      <c r="HDZ134" s="21"/>
      <c r="HEA134" s="21"/>
      <c r="HEB134" s="7"/>
      <c r="HEC134" s="7"/>
      <c r="HED134" s="21"/>
      <c r="HEE134" s="20"/>
      <c r="HEF134" s="20"/>
      <c r="HEG134" s="20"/>
      <c r="HEH134" s="21"/>
      <c r="HEI134" s="21"/>
      <c r="HEJ134" s="21"/>
      <c r="HEK134" s="21"/>
      <c r="HEL134" s="21"/>
      <c r="HEM134" s="20"/>
      <c r="HEN134" s="20"/>
      <c r="HEO134" s="20"/>
      <c r="HEP134" s="20"/>
      <c r="HEQ134" s="21"/>
      <c r="HER134" s="21"/>
      <c r="HES134" s="7"/>
      <c r="HET134" s="7"/>
      <c r="HEU134" s="21"/>
      <c r="HEV134" s="20"/>
      <c r="HEW134" s="20"/>
      <c r="HEX134" s="20"/>
      <c r="HEY134" s="21"/>
      <c r="HEZ134" s="21"/>
      <c r="HFA134" s="21"/>
      <c r="HFB134" s="21"/>
      <c r="HFC134" s="21"/>
      <c r="HFD134" s="20"/>
      <c r="HFE134" s="20"/>
      <c r="HFF134" s="20"/>
      <c r="HFG134" s="20"/>
      <c r="HFH134" s="21"/>
      <c r="HFI134" s="21"/>
      <c r="HFJ134" s="7"/>
      <c r="HFK134" s="7"/>
      <c r="HFL134" s="21"/>
      <c r="HFM134" s="20"/>
      <c r="HFN134" s="20"/>
      <c r="HFO134" s="20"/>
      <c r="HFP134" s="21"/>
      <c r="HFQ134" s="21"/>
      <c r="HFR134" s="21"/>
      <c r="HFS134" s="21"/>
      <c r="HFT134" s="21"/>
      <c r="HFU134" s="20"/>
      <c r="HFV134" s="20"/>
      <c r="HFW134" s="20"/>
      <c r="HFX134" s="20"/>
      <c r="HFY134" s="21"/>
      <c r="HFZ134" s="21"/>
      <c r="HGA134" s="7"/>
      <c r="HGB134" s="7"/>
      <c r="HGC134" s="21"/>
      <c r="HGD134" s="20"/>
      <c r="HGE134" s="20"/>
      <c r="HGF134" s="20"/>
      <c r="HGG134" s="21"/>
      <c r="HGH134" s="21"/>
      <c r="HGI134" s="21"/>
      <c r="HGJ134" s="21"/>
      <c r="HGK134" s="21"/>
      <c r="HGL134" s="20"/>
      <c r="HGM134" s="20"/>
      <c r="HGN134" s="20"/>
      <c r="HGO134" s="20"/>
      <c r="HGP134" s="21"/>
      <c r="HGQ134" s="21"/>
      <c r="HGR134" s="7"/>
      <c r="HGS134" s="7"/>
      <c r="HGT134" s="21"/>
      <c r="HGU134" s="20"/>
      <c r="HGV134" s="20"/>
      <c r="HGW134" s="20"/>
      <c r="HGX134" s="21"/>
      <c r="HGY134" s="21"/>
      <c r="HGZ134" s="21"/>
      <c r="HHA134" s="21"/>
      <c r="HHB134" s="21"/>
      <c r="HHC134" s="20"/>
      <c r="HHD134" s="20"/>
      <c r="HHE134" s="20"/>
      <c r="HHF134" s="20"/>
      <c r="HHG134" s="21"/>
      <c r="HHH134" s="21"/>
      <c r="HHI134" s="7"/>
      <c r="HHJ134" s="7"/>
      <c r="HHK134" s="21"/>
      <c r="HHL134" s="20"/>
      <c r="HHM134" s="20"/>
      <c r="HHN134" s="20"/>
      <c r="HHO134" s="21"/>
      <c r="HHP134" s="21"/>
      <c r="HHQ134" s="21"/>
      <c r="HHR134" s="21"/>
      <c r="HHS134" s="21"/>
      <c r="HHT134" s="20"/>
      <c r="HHU134" s="20"/>
      <c r="HHV134" s="20"/>
      <c r="HHW134" s="20"/>
      <c r="HHX134" s="21"/>
      <c r="HHY134" s="21"/>
      <c r="HHZ134" s="7"/>
      <c r="HIA134" s="7"/>
      <c r="HIB134" s="21"/>
      <c r="HIC134" s="20"/>
      <c r="HID134" s="20"/>
      <c r="HIE134" s="20"/>
      <c r="HIF134" s="21"/>
      <c r="HIG134" s="21"/>
      <c r="HIH134" s="21"/>
      <c r="HII134" s="21"/>
      <c r="HIJ134" s="21"/>
      <c r="HIK134" s="20"/>
      <c r="HIL134" s="20"/>
      <c r="HIM134" s="20"/>
      <c r="HIN134" s="20"/>
      <c r="HIO134" s="21"/>
      <c r="HIP134" s="21"/>
      <c r="HIQ134" s="7"/>
      <c r="HIR134" s="7"/>
      <c r="HIS134" s="21"/>
      <c r="HIT134" s="20"/>
      <c r="HIU134" s="20"/>
      <c r="HIV134" s="20"/>
      <c r="HIW134" s="21"/>
      <c r="HIX134" s="21"/>
      <c r="HIY134" s="21"/>
      <c r="HIZ134" s="21"/>
      <c r="HJA134" s="21"/>
      <c r="HJB134" s="20"/>
      <c r="HJC134" s="20"/>
      <c r="HJD134" s="20"/>
      <c r="HJE134" s="20"/>
      <c r="HJF134" s="21"/>
      <c r="HJG134" s="21"/>
      <c r="HJH134" s="7"/>
      <c r="HJI134" s="7"/>
      <c r="HJJ134" s="21"/>
      <c r="HJK134" s="20"/>
      <c r="HJL134" s="20"/>
      <c r="HJM134" s="20"/>
      <c r="HJN134" s="21"/>
      <c r="HJO134" s="21"/>
      <c r="HJP134" s="21"/>
      <c r="HJQ134" s="21"/>
      <c r="HJR134" s="21"/>
      <c r="HJS134" s="20"/>
      <c r="HJT134" s="20"/>
      <c r="HJU134" s="20"/>
      <c r="HJV134" s="20"/>
      <c r="HJW134" s="21"/>
      <c r="HJX134" s="21"/>
      <c r="HJY134" s="7"/>
      <c r="HJZ134" s="7"/>
      <c r="HKA134" s="21"/>
      <c r="HKB134" s="20"/>
      <c r="HKC134" s="20"/>
      <c r="HKD134" s="20"/>
      <c r="HKE134" s="21"/>
      <c r="HKF134" s="21"/>
      <c r="HKG134" s="21"/>
      <c r="HKH134" s="21"/>
      <c r="HKI134" s="21"/>
      <c r="HKJ134" s="20"/>
      <c r="HKK134" s="20"/>
      <c r="HKL134" s="20"/>
      <c r="HKM134" s="20"/>
      <c r="HKN134" s="21"/>
      <c r="HKO134" s="21"/>
      <c r="HKP134" s="7"/>
      <c r="HKQ134" s="7"/>
      <c r="HKR134" s="21"/>
      <c r="HKS134" s="20"/>
      <c r="HKT134" s="20"/>
      <c r="HKU134" s="20"/>
      <c r="HKV134" s="21"/>
      <c r="HKW134" s="21"/>
      <c r="HKX134" s="21"/>
      <c r="HKY134" s="21"/>
      <c r="HKZ134" s="21"/>
      <c r="HLA134" s="20"/>
      <c r="HLB134" s="20"/>
      <c r="HLC134" s="20"/>
      <c r="HLD134" s="20"/>
      <c r="HLE134" s="21"/>
      <c r="HLF134" s="21"/>
      <c r="HLG134" s="7"/>
      <c r="HLH134" s="7"/>
      <c r="HLI134" s="21"/>
      <c r="HLJ134" s="20"/>
      <c r="HLK134" s="20"/>
      <c r="HLL134" s="20"/>
      <c r="HLM134" s="21"/>
      <c r="HLN134" s="21"/>
      <c r="HLO134" s="21"/>
      <c r="HLP134" s="21"/>
      <c r="HLQ134" s="21"/>
      <c r="HLR134" s="20"/>
      <c r="HLS134" s="20"/>
      <c r="HLT134" s="20"/>
      <c r="HLU134" s="20"/>
      <c r="HLV134" s="21"/>
      <c r="HLW134" s="21"/>
      <c r="HLX134" s="7"/>
      <c r="HLY134" s="7"/>
      <c r="HLZ134" s="21"/>
      <c r="HMA134" s="20"/>
      <c r="HMB134" s="20"/>
      <c r="HMC134" s="20"/>
      <c r="HMD134" s="21"/>
      <c r="HME134" s="21"/>
      <c r="HMF134" s="21"/>
      <c r="HMG134" s="21"/>
      <c r="HMH134" s="21"/>
      <c r="HMI134" s="20"/>
      <c r="HMJ134" s="20"/>
      <c r="HMK134" s="20"/>
      <c r="HML134" s="20"/>
      <c r="HMM134" s="21"/>
      <c r="HMN134" s="21"/>
      <c r="HMO134" s="7"/>
      <c r="HMP134" s="7"/>
      <c r="HMQ134" s="21"/>
      <c r="HMR134" s="20"/>
      <c r="HMS134" s="20"/>
      <c r="HMT134" s="20"/>
      <c r="HMU134" s="21"/>
      <c r="HMV134" s="21"/>
      <c r="HMW134" s="21"/>
      <c r="HMX134" s="21"/>
      <c r="HMY134" s="21"/>
      <c r="HMZ134" s="20"/>
      <c r="HNA134" s="20"/>
      <c r="HNB134" s="20"/>
      <c r="HNC134" s="20"/>
      <c r="HND134" s="21"/>
      <c r="HNE134" s="21"/>
      <c r="HNF134" s="7"/>
      <c r="HNG134" s="7"/>
      <c r="HNH134" s="21"/>
      <c r="HNI134" s="20"/>
      <c r="HNJ134" s="20"/>
      <c r="HNK134" s="20"/>
      <c r="HNL134" s="21"/>
      <c r="HNM134" s="21"/>
      <c r="HNN134" s="21"/>
      <c r="HNO134" s="21"/>
      <c r="HNP134" s="21"/>
      <c r="HNQ134" s="20"/>
      <c r="HNR134" s="20"/>
      <c r="HNS134" s="20"/>
      <c r="HNT134" s="20"/>
      <c r="HNU134" s="21"/>
      <c r="HNV134" s="21"/>
      <c r="HNW134" s="7"/>
      <c r="HNX134" s="7"/>
      <c r="HNY134" s="21"/>
      <c r="HNZ134" s="20"/>
      <c r="HOA134" s="20"/>
      <c r="HOB134" s="20"/>
      <c r="HOC134" s="21"/>
      <c r="HOD134" s="21"/>
      <c r="HOE134" s="21"/>
      <c r="HOF134" s="21"/>
      <c r="HOG134" s="21"/>
      <c r="HOH134" s="20"/>
      <c r="HOI134" s="20"/>
      <c r="HOJ134" s="20"/>
      <c r="HOK134" s="20"/>
      <c r="HOL134" s="21"/>
      <c r="HOM134" s="21"/>
      <c r="HON134" s="7"/>
      <c r="HOO134" s="7"/>
      <c r="HOP134" s="21"/>
      <c r="HOQ134" s="20"/>
      <c r="HOR134" s="20"/>
      <c r="HOS134" s="20"/>
      <c r="HOT134" s="21"/>
      <c r="HOU134" s="21"/>
      <c r="HOV134" s="21"/>
      <c r="HOW134" s="21"/>
      <c r="HOX134" s="21"/>
      <c r="HOY134" s="20"/>
      <c r="HOZ134" s="20"/>
      <c r="HPA134" s="20"/>
      <c r="HPB134" s="20"/>
      <c r="HPC134" s="21"/>
      <c r="HPD134" s="21"/>
      <c r="HPE134" s="7"/>
      <c r="HPF134" s="7"/>
      <c r="HPG134" s="21"/>
      <c r="HPH134" s="20"/>
      <c r="HPI134" s="20"/>
      <c r="HPJ134" s="20"/>
      <c r="HPK134" s="21"/>
      <c r="HPL134" s="21"/>
      <c r="HPM134" s="21"/>
      <c r="HPN134" s="21"/>
      <c r="HPO134" s="21"/>
      <c r="HPP134" s="20"/>
      <c r="HPQ134" s="20"/>
      <c r="HPR134" s="20"/>
      <c r="HPS134" s="20"/>
      <c r="HPT134" s="21"/>
      <c r="HPU134" s="21"/>
      <c r="HPV134" s="7"/>
      <c r="HPW134" s="7"/>
      <c r="HPX134" s="21"/>
      <c r="HPY134" s="20"/>
      <c r="HPZ134" s="20"/>
      <c r="HQA134" s="20"/>
      <c r="HQB134" s="21"/>
      <c r="HQC134" s="21"/>
      <c r="HQD134" s="21"/>
      <c r="HQE134" s="21"/>
      <c r="HQF134" s="21"/>
      <c r="HQG134" s="20"/>
      <c r="HQH134" s="20"/>
      <c r="HQI134" s="20"/>
      <c r="HQJ134" s="20"/>
      <c r="HQK134" s="21"/>
      <c r="HQL134" s="21"/>
      <c r="HQM134" s="7"/>
      <c r="HQN134" s="7"/>
      <c r="HQO134" s="21"/>
      <c r="HQP134" s="20"/>
      <c r="HQQ134" s="20"/>
      <c r="HQR134" s="20"/>
      <c r="HQS134" s="21"/>
      <c r="HQT134" s="21"/>
      <c r="HQU134" s="21"/>
      <c r="HQV134" s="21"/>
      <c r="HQW134" s="21"/>
      <c r="HQX134" s="20"/>
      <c r="HQY134" s="20"/>
      <c r="HQZ134" s="20"/>
      <c r="HRA134" s="20"/>
      <c r="HRB134" s="21"/>
      <c r="HRC134" s="21"/>
      <c r="HRD134" s="7"/>
      <c r="HRE134" s="7"/>
      <c r="HRF134" s="21"/>
      <c r="HRG134" s="20"/>
      <c r="HRH134" s="20"/>
      <c r="HRI134" s="20"/>
      <c r="HRJ134" s="21"/>
      <c r="HRK134" s="21"/>
      <c r="HRL134" s="21"/>
      <c r="HRM134" s="21"/>
      <c r="HRN134" s="21"/>
      <c r="HRO134" s="20"/>
      <c r="HRP134" s="20"/>
      <c r="HRQ134" s="20"/>
      <c r="HRR134" s="20"/>
      <c r="HRS134" s="21"/>
      <c r="HRT134" s="21"/>
      <c r="HRU134" s="7"/>
      <c r="HRV134" s="7"/>
      <c r="HRW134" s="21"/>
      <c r="HRX134" s="20"/>
      <c r="HRY134" s="20"/>
      <c r="HRZ134" s="20"/>
      <c r="HSA134" s="21"/>
      <c r="HSB134" s="21"/>
      <c r="HSC134" s="21"/>
      <c r="HSD134" s="21"/>
      <c r="HSE134" s="21"/>
      <c r="HSF134" s="20"/>
      <c r="HSG134" s="20"/>
      <c r="HSH134" s="20"/>
      <c r="HSI134" s="20"/>
      <c r="HSJ134" s="21"/>
      <c r="HSK134" s="21"/>
      <c r="HSL134" s="7"/>
      <c r="HSM134" s="7"/>
      <c r="HSN134" s="21"/>
      <c r="HSO134" s="20"/>
      <c r="HSP134" s="20"/>
      <c r="HSQ134" s="20"/>
      <c r="HSR134" s="21"/>
      <c r="HSS134" s="21"/>
      <c r="HST134" s="21"/>
      <c r="HSU134" s="21"/>
      <c r="HSV134" s="21"/>
      <c r="HSW134" s="20"/>
      <c r="HSX134" s="20"/>
      <c r="HSY134" s="20"/>
      <c r="HSZ134" s="20"/>
      <c r="HTA134" s="21"/>
      <c r="HTB134" s="21"/>
      <c r="HTC134" s="7"/>
      <c r="HTD134" s="7"/>
      <c r="HTE134" s="21"/>
      <c r="HTF134" s="20"/>
      <c r="HTG134" s="20"/>
      <c r="HTH134" s="20"/>
      <c r="HTI134" s="21"/>
      <c r="HTJ134" s="21"/>
      <c r="HTK134" s="21"/>
      <c r="HTL134" s="21"/>
      <c r="HTM134" s="21"/>
      <c r="HTN134" s="20"/>
      <c r="HTO134" s="20"/>
      <c r="HTP134" s="20"/>
      <c r="HTQ134" s="20"/>
      <c r="HTR134" s="21"/>
      <c r="HTS134" s="21"/>
      <c r="HTT134" s="7"/>
      <c r="HTU134" s="7"/>
      <c r="HTV134" s="21"/>
      <c r="HTW134" s="20"/>
      <c r="HTX134" s="20"/>
      <c r="HTY134" s="20"/>
      <c r="HTZ134" s="21"/>
      <c r="HUA134" s="21"/>
      <c r="HUB134" s="21"/>
      <c r="HUC134" s="21"/>
      <c r="HUD134" s="21"/>
      <c r="HUE134" s="20"/>
      <c r="HUF134" s="20"/>
      <c r="HUG134" s="20"/>
      <c r="HUH134" s="20"/>
      <c r="HUI134" s="21"/>
      <c r="HUJ134" s="21"/>
      <c r="HUK134" s="7"/>
      <c r="HUL134" s="7"/>
      <c r="HUM134" s="21"/>
      <c r="HUN134" s="20"/>
      <c r="HUO134" s="20"/>
      <c r="HUP134" s="20"/>
      <c r="HUQ134" s="21"/>
      <c r="HUR134" s="21"/>
      <c r="HUS134" s="21"/>
      <c r="HUT134" s="21"/>
      <c r="HUU134" s="21"/>
      <c r="HUV134" s="20"/>
      <c r="HUW134" s="20"/>
      <c r="HUX134" s="20"/>
      <c r="HUY134" s="20"/>
      <c r="HUZ134" s="21"/>
      <c r="HVA134" s="21"/>
      <c r="HVB134" s="7"/>
      <c r="HVC134" s="7"/>
      <c r="HVD134" s="21"/>
      <c r="HVE134" s="20"/>
      <c r="HVF134" s="20"/>
      <c r="HVG134" s="20"/>
      <c r="HVH134" s="21"/>
      <c r="HVI134" s="21"/>
      <c r="HVJ134" s="21"/>
      <c r="HVK134" s="21"/>
      <c r="HVL134" s="21"/>
      <c r="HVM134" s="20"/>
      <c r="HVN134" s="20"/>
      <c r="HVO134" s="20"/>
      <c r="HVP134" s="20"/>
      <c r="HVQ134" s="21"/>
      <c r="HVR134" s="21"/>
      <c r="HVS134" s="7"/>
      <c r="HVT134" s="7"/>
      <c r="HVU134" s="21"/>
      <c r="HVV134" s="20"/>
      <c r="HVW134" s="20"/>
      <c r="HVX134" s="20"/>
      <c r="HVY134" s="21"/>
      <c r="HVZ134" s="21"/>
      <c r="HWA134" s="21"/>
      <c r="HWB134" s="21"/>
      <c r="HWC134" s="21"/>
      <c r="HWD134" s="20"/>
      <c r="HWE134" s="20"/>
      <c r="HWF134" s="20"/>
      <c r="HWG134" s="20"/>
      <c r="HWH134" s="21"/>
      <c r="HWI134" s="21"/>
      <c r="HWJ134" s="7"/>
      <c r="HWK134" s="7"/>
      <c r="HWL134" s="21"/>
      <c r="HWM134" s="20"/>
      <c r="HWN134" s="20"/>
      <c r="HWO134" s="20"/>
      <c r="HWP134" s="21"/>
      <c r="HWQ134" s="21"/>
      <c r="HWR134" s="21"/>
      <c r="HWS134" s="21"/>
      <c r="HWT134" s="21"/>
      <c r="HWU134" s="20"/>
      <c r="HWV134" s="20"/>
      <c r="HWW134" s="20"/>
      <c r="HWX134" s="20"/>
      <c r="HWY134" s="21"/>
      <c r="HWZ134" s="21"/>
      <c r="HXA134" s="7"/>
      <c r="HXB134" s="7"/>
      <c r="HXC134" s="21"/>
      <c r="HXD134" s="20"/>
      <c r="HXE134" s="20"/>
      <c r="HXF134" s="20"/>
      <c r="HXG134" s="21"/>
      <c r="HXH134" s="21"/>
      <c r="HXI134" s="21"/>
      <c r="HXJ134" s="21"/>
      <c r="HXK134" s="21"/>
      <c r="HXL134" s="20"/>
      <c r="HXM134" s="20"/>
      <c r="HXN134" s="20"/>
      <c r="HXO134" s="20"/>
      <c r="HXP134" s="21"/>
      <c r="HXQ134" s="21"/>
      <c r="HXR134" s="7"/>
      <c r="HXS134" s="7"/>
      <c r="HXT134" s="21"/>
      <c r="HXU134" s="20"/>
      <c r="HXV134" s="20"/>
      <c r="HXW134" s="20"/>
      <c r="HXX134" s="21"/>
      <c r="HXY134" s="21"/>
      <c r="HXZ134" s="21"/>
      <c r="HYA134" s="21"/>
      <c r="HYB134" s="21"/>
      <c r="HYC134" s="20"/>
      <c r="HYD134" s="20"/>
      <c r="HYE134" s="20"/>
      <c r="HYF134" s="20"/>
      <c r="HYG134" s="21"/>
      <c r="HYH134" s="21"/>
      <c r="HYI134" s="7"/>
      <c r="HYJ134" s="7"/>
      <c r="HYK134" s="21"/>
      <c r="HYL134" s="20"/>
      <c r="HYM134" s="20"/>
      <c r="HYN134" s="20"/>
      <c r="HYO134" s="21"/>
      <c r="HYP134" s="21"/>
      <c r="HYQ134" s="21"/>
      <c r="HYR134" s="21"/>
      <c r="HYS134" s="21"/>
      <c r="HYT134" s="20"/>
      <c r="HYU134" s="20"/>
      <c r="HYV134" s="20"/>
      <c r="HYW134" s="20"/>
      <c r="HYX134" s="21"/>
      <c r="HYY134" s="21"/>
      <c r="HYZ134" s="7"/>
      <c r="HZA134" s="7"/>
      <c r="HZB134" s="21"/>
      <c r="HZC134" s="20"/>
      <c r="HZD134" s="20"/>
      <c r="HZE134" s="20"/>
      <c r="HZF134" s="21"/>
      <c r="HZG134" s="21"/>
      <c r="HZH134" s="21"/>
      <c r="HZI134" s="21"/>
      <c r="HZJ134" s="21"/>
      <c r="HZK134" s="20"/>
      <c r="HZL134" s="20"/>
      <c r="HZM134" s="20"/>
      <c r="HZN134" s="20"/>
      <c r="HZO134" s="21"/>
      <c r="HZP134" s="21"/>
      <c r="HZQ134" s="7"/>
      <c r="HZR134" s="7"/>
      <c r="HZS134" s="21"/>
      <c r="HZT134" s="20"/>
      <c r="HZU134" s="20"/>
      <c r="HZV134" s="20"/>
      <c r="HZW134" s="21"/>
      <c r="HZX134" s="21"/>
      <c r="HZY134" s="21"/>
      <c r="HZZ134" s="21"/>
      <c r="IAA134" s="21"/>
      <c r="IAB134" s="20"/>
      <c r="IAC134" s="20"/>
      <c r="IAD134" s="20"/>
      <c r="IAE134" s="20"/>
      <c r="IAF134" s="21"/>
      <c r="IAG134" s="21"/>
      <c r="IAH134" s="7"/>
      <c r="IAI134" s="7"/>
      <c r="IAJ134" s="21"/>
      <c r="IAK134" s="20"/>
      <c r="IAL134" s="20"/>
      <c r="IAM134" s="20"/>
      <c r="IAN134" s="21"/>
      <c r="IAO134" s="21"/>
      <c r="IAP134" s="21"/>
      <c r="IAQ134" s="21"/>
      <c r="IAR134" s="21"/>
      <c r="IAS134" s="20"/>
      <c r="IAT134" s="20"/>
      <c r="IAU134" s="20"/>
      <c r="IAV134" s="20"/>
      <c r="IAW134" s="21"/>
      <c r="IAX134" s="21"/>
      <c r="IAY134" s="7"/>
      <c r="IAZ134" s="7"/>
      <c r="IBA134" s="21"/>
      <c r="IBB134" s="20"/>
      <c r="IBC134" s="20"/>
      <c r="IBD134" s="20"/>
      <c r="IBE134" s="21"/>
      <c r="IBF134" s="21"/>
      <c r="IBG134" s="21"/>
      <c r="IBH134" s="21"/>
      <c r="IBI134" s="21"/>
      <c r="IBJ134" s="20"/>
      <c r="IBK134" s="20"/>
      <c r="IBL134" s="20"/>
      <c r="IBM134" s="20"/>
      <c r="IBN134" s="21"/>
      <c r="IBO134" s="21"/>
      <c r="IBP134" s="7"/>
      <c r="IBQ134" s="7"/>
      <c r="IBR134" s="21"/>
      <c r="IBS134" s="20"/>
      <c r="IBT134" s="20"/>
      <c r="IBU134" s="20"/>
      <c r="IBV134" s="21"/>
      <c r="IBW134" s="21"/>
      <c r="IBX134" s="21"/>
      <c r="IBY134" s="21"/>
      <c r="IBZ134" s="21"/>
      <c r="ICA134" s="20"/>
      <c r="ICB134" s="20"/>
      <c r="ICC134" s="20"/>
      <c r="ICD134" s="20"/>
      <c r="ICE134" s="21"/>
      <c r="ICF134" s="21"/>
      <c r="ICG134" s="7"/>
      <c r="ICH134" s="7"/>
      <c r="ICI134" s="21"/>
      <c r="ICJ134" s="20"/>
      <c r="ICK134" s="20"/>
      <c r="ICL134" s="20"/>
      <c r="ICM134" s="21"/>
      <c r="ICN134" s="21"/>
      <c r="ICO134" s="21"/>
      <c r="ICP134" s="21"/>
      <c r="ICQ134" s="21"/>
      <c r="ICR134" s="20"/>
      <c r="ICS134" s="20"/>
      <c r="ICT134" s="20"/>
      <c r="ICU134" s="20"/>
      <c r="ICV134" s="21"/>
      <c r="ICW134" s="21"/>
      <c r="ICX134" s="7"/>
      <c r="ICY134" s="7"/>
      <c r="ICZ134" s="21"/>
      <c r="IDA134" s="20"/>
      <c r="IDB134" s="20"/>
      <c r="IDC134" s="20"/>
      <c r="IDD134" s="21"/>
      <c r="IDE134" s="21"/>
      <c r="IDF134" s="21"/>
      <c r="IDG134" s="21"/>
      <c r="IDH134" s="21"/>
      <c r="IDI134" s="20"/>
      <c r="IDJ134" s="20"/>
      <c r="IDK134" s="20"/>
      <c r="IDL134" s="20"/>
      <c r="IDM134" s="21"/>
      <c r="IDN134" s="21"/>
      <c r="IDO134" s="7"/>
      <c r="IDP134" s="7"/>
      <c r="IDQ134" s="21"/>
      <c r="IDR134" s="20"/>
      <c r="IDS134" s="20"/>
      <c r="IDT134" s="20"/>
      <c r="IDU134" s="21"/>
      <c r="IDV134" s="21"/>
      <c r="IDW134" s="21"/>
      <c r="IDX134" s="21"/>
      <c r="IDY134" s="21"/>
      <c r="IDZ134" s="20"/>
      <c r="IEA134" s="20"/>
      <c r="IEB134" s="20"/>
      <c r="IEC134" s="20"/>
      <c r="IED134" s="21"/>
      <c r="IEE134" s="21"/>
      <c r="IEF134" s="7"/>
      <c r="IEG134" s="7"/>
      <c r="IEH134" s="21"/>
      <c r="IEI134" s="20"/>
      <c r="IEJ134" s="20"/>
      <c r="IEK134" s="20"/>
      <c r="IEL134" s="21"/>
      <c r="IEM134" s="21"/>
      <c r="IEN134" s="21"/>
      <c r="IEO134" s="21"/>
      <c r="IEP134" s="21"/>
      <c r="IEQ134" s="20"/>
      <c r="IER134" s="20"/>
      <c r="IES134" s="20"/>
      <c r="IET134" s="20"/>
      <c r="IEU134" s="21"/>
      <c r="IEV134" s="21"/>
      <c r="IEW134" s="7"/>
      <c r="IEX134" s="7"/>
      <c r="IEY134" s="21"/>
      <c r="IEZ134" s="20"/>
      <c r="IFA134" s="20"/>
      <c r="IFB134" s="20"/>
      <c r="IFC134" s="21"/>
      <c r="IFD134" s="21"/>
      <c r="IFE134" s="21"/>
      <c r="IFF134" s="21"/>
      <c r="IFG134" s="21"/>
      <c r="IFH134" s="20"/>
      <c r="IFI134" s="20"/>
      <c r="IFJ134" s="20"/>
      <c r="IFK134" s="20"/>
      <c r="IFL134" s="21"/>
      <c r="IFM134" s="21"/>
      <c r="IFN134" s="7"/>
      <c r="IFO134" s="7"/>
      <c r="IFP134" s="21"/>
      <c r="IFQ134" s="20"/>
      <c r="IFR134" s="20"/>
      <c r="IFS134" s="20"/>
      <c r="IFT134" s="21"/>
      <c r="IFU134" s="21"/>
      <c r="IFV134" s="21"/>
      <c r="IFW134" s="21"/>
      <c r="IFX134" s="21"/>
      <c r="IFY134" s="20"/>
      <c r="IFZ134" s="20"/>
      <c r="IGA134" s="20"/>
      <c r="IGB134" s="20"/>
      <c r="IGC134" s="21"/>
      <c r="IGD134" s="21"/>
      <c r="IGE134" s="7"/>
      <c r="IGF134" s="7"/>
      <c r="IGG134" s="21"/>
      <c r="IGH134" s="20"/>
      <c r="IGI134" s="20"/>
      <c r="IGJ134" s="20"/>
      <c r="IGK134" s="21"/>
      <c r="IGL134" s="21"/>
      <c r="IGM134" s="21"/>
      <c r="IGN134" s="21"/>
      <c r="IGO134" s="21"/>
      <c r="IGP134" s="20"/>
      <c r="IGQ134" s="20"/>
      <c r="IGR134" s="20"/>
      <c r="IGS134" s="20"/>
      <c r="IGT134" s="21"/>
      <c r="IGU134" s="21"/>
      <c r="IGV134" s="7"/>
      <c r="IGW134" s="7"/>
      <c r="IGX134" s="21"/>
      <c r="IGY134" s="20"/>
      <c r="IGZ134" s="20"/>
      <c r="IHA134" s="20"/>
      <c r="IHB134" s="21"/>
      <c r="IHC134" s="21"/>
      <c r="IHD134" s="21"/>
      <c r="IHE134" s="21"/>
      <c r="IHF134" s="21"/>
      <c r="IHG134" s="20"/>
      <c r="IHH134" s="20"/>
      <c r="IHI134" s="20"/>
      <c r="IHJ134" s="20"/>
      <c r="IHK134" s="21"/>
      <c r="IHL134" s="21"/>
      <c r="IHM134" s="7"/>
      <c r="IHN134" s="7"/>
      <c r="IHO134" s="21"/>
      <c r="IHP134" s="20"/>
      <c r="IHQ134" s="20"/>
      <c r="IHR134" s="20"/>
      <c r="IHS134" s="21"/>
      <c r="IHT134" s="21"/>
      <c r="IHU134" s="21"/>
      <c r="IHV134" s="21"/>
      <c r="IHW134" s="21"/>
      <c r="IHX134" s="20"/>
      <c r="IHY134" s="20"/>
      <c r="IHZ134" s="20"/>
      <c r="IIA134" s="20"/>
      <c r="IIB134" s="21"/>
      <c r="IIC134" s="21"/>
      <c r="IID134" s="7"/>
      <c r="IIE134" s="7"/>
      <c r="IIF134" s="21"/>
      <c r="IIG134" s="20"/>
      <c r="IIH134" s="20"/>
      <c r="III134" s="20"/>
      <c r="IIJ134" s="21"/>
      <c r="IIK134" s="21"/>
      <c r="IIL134" s="21"/>
      <c r="IIM134" s="21"/>
      <c r="IIN134" s="21"/>
      <c r="IIO134" s="20"/>
      <c r="IIP134" s="20"/>
      <c r="IIQ134" s="20"/>
      <c r="IIR134" s="20"/>
      <c r="IIS134" s="21"/>
      <c r="IIT134" s="21"/>
      <c r="IIU134" s="7"/>
      <c r="IIV134" s="7"/>
      <c r="IIW134" s="21"/>
      <c r="IIX134" s="20"/>
      <c r="IIY134" s="20"/>
      <c r="IIZ134" s="20"/>
      <c r="IJA134" s="21"/>
      <c r="IJB134" s="21"/>
      <c r="IJC134" s="21"/>
      <c r="IJD134" s="21"/>
      <c r="IJE134" s="21"/>
      <c r="IJF134" s="20"/>
      <c r="IJG134" s="20"/>
      <c r="IJH134" s="20"/>
      <c r="IJI134" s="20"/>
      <c r="IJJ134" s="21"/>
      <c r="IJK134" s="21"/>
      <c r="IJL134" s="7"/>
      <c r="IJM134" s="7"/>
      <c r="IJN134" s="21"/>
      <c r="IJO134" s="20"/>
      <c r="IJP134" s="20"/>
      <c r="IJQ134" s="20"/>
      <c r="IJR134" s="21"/>
      <c r="IJS134" s="21"/>
      <c r="IJT134" s="21"/>
      <c r="IJU134" s="21"/>
      <c r="IJV134" s="21"/>
      <c r="IJW134" s="20"/>
      <c r="IJX134" s="20"/>
      <c r="IJY134" s="20"/>
      <c r="IJZ134" s="20"/>
      <c r="IKA134" s="21"/>
      <c r="IKB134" s="21"/>
      <c r="IKC134" s="7"/>
      <c r="IKD134" s="7"/>
      <c r="IKE134" s="21"/>
      <c r="IKF134" s="20"/>
      <c r="IKG134" s="20"/>
      <c r="IKH134" s="20"/>
      <c r="IKI134" s="21"/>
      <c r="IKJ134" s="21"/>
      <c r="IKK134" s="21"/>
      <c r="IKL134" s="21"/>
      <c r="IKM134" s="21"/>
      <c r="IKN134" s="20"/>
      <c r="IKO134" s="20"/>
      <c r="IKP134" s="20"/>
      <c r="IKQ134" s="20"/>
      <c r="IKR134" s="21"/>
      <c r="IKS134" s="21"/>
      <c r="IKT134" s="7"/>
      <c r="IKU134" s="7"/>
      <c r="IKV134" s="21"/>
      <c r="IKW134" s="20"/>
      <c r="IKX134" s="20"/>
      <c r="IKY134" s="20"/>
      <c r="IKZ134" s="21"/>
      <c r="ILA134" s="21"/>
      <c r="ILB134" s="21"/>
      <c r="ILC134" s="21"/>
      <c r="ILD134" s="21"/>
      <c r="ILE134" s="20"/>
      <c r="ILF134" s="20"/>
      <c r="ILG134" s="20"/>
      <c r="ILH134" s="20"/>
      <c r="ILI134" s="21"/>
      <c r="ILJ134" s="21"/>
      <c r="ILK134" s="7"/>
      <c r="ILL134" s="7"/>
      <c r="ILM134" s="21"/>
      <c r="ILN134" s="20"/>
      <c r="ILO134" s="20"/>
      <c r="ILP134" s="20"/>
      <c r="ILQ134" s="21"/>
      <c r="ILR134" s="21"/>
      <c r="ILS134" s="21"/>
      <c r="ILT134" s="21"/>
      <c r="ILU134" s="21"/>
      <c r="ILV134" s="20"/>
      <c r="ILW134" s="20"/>
      <c r="ILX134" s="20"/>
      <c r="ILY134" s="20"/>
      <c r="ILZ134" s="21"/>
      <c r="IMA134" s="21"/>
      <c r="IMB134" s="7"/>
      <c r="IMC134" s="7"/>
      <c r="IMD134" s="21"/>
      <c r="IME134" s="20"/>
      <c r="IMF134" s="20"/>
      <c r="IMG134" s="20"/>
      <c r="IMH134" s="21"/>
      <c r="IMI134" s="21"/>
      <c r="IMJ134" s="21"/>
      <c r="IMK134" s="21"/>
      <c r="IML134" s="21"/>
      <c r="IMM134" s="20"/>
      <c r="IMN134" s="20"/>
      <c r="IMO134" s="20"/>
      <c r="IMP134" s="20"/>
      <c r="IMQ134" s="21"/>
      <c r="IMR134" s="21"/>
      <c r="IMS134" s="7"/>
      <c r="IMT134" s="7"/>
      <c r="IMU134" s="21"/>
      <c r="IMV134" s="20"/>
      <c r="IMW134" s="20"/>
      <c r="IMX134" s="20"/>
      <c r="IMY134" s="21"/>
      <c r="IMZ134" s="21"/>
      <c r="INA134" s="21"/>
      <c r="INB134" s="21"/>
      <c r="INC134" s="21"/>
      <c r="IND134" s="20"/>
      <c r="INE134" s="20"/>
      <c r="INF134" s="20"/>
      <c r="ING134" s="20"/>
      <c r="INH134" s="21"/>
      <c r="INI134" s="21"/>
      <c r="INJ134" s="7"/>
      <c r="INK134" s="7"/>
      <c r="INL134" s="21"/>
      <c r="INM134" s="20"/>
      <c r="INN134" s="20"/>
      <c r="INO134" s="20"/>
      <c r="INP134" s="21"/>
      <c r="INQ134" s="21"/>
      <c r="INR134" s="21"/>
      <c r="INS134" s="21"/>
      <c r="INT134" s="21"/>
      <c r="INU134" s="20"/>
      <c r="INV134" s="20"/>
      <c r="INW134" s="20"/>
      <c r="INX134" s="20"/>
      <c r="INY134" s="21"/>
      <c r="INZ134" s="21"/>
      <c r="IOA134" s="7"/>
      <c r="IOB134" s="7"/>
      <c r="IOC134" s="21"/>
      <c r="IOD134" s="20"/>
      <c r="IOE134" s="20"/>
      <c r="IOF134" s="20"/>
      <c r="IOG134" s="21"/>
      <c r="IOH134" s="21"/>
      <c r="IOI134" s="21"/>
      <c r="IOJ134" s="21"/>
      <c r="IOK134" s="21"/>
      <c r="IOL134" s="20"/>
      <c r="IOM134" s="20"/>
      <c r="ION134" s="20"/>
      <c r="IOO134" s="20"/>
      <c r="IOP134" s="21"/>
      <c r="IOQ134" s="21"/>
      <c r="IOR134" s="7"/>
      <c r="IOS134" s="7"/>
      <c r="IOT134" s="21"/>
      <c r="IOU134" s="20"/>
      <c r="IOV134" s="20"/>
      <c r="IOW134" s="20"/>
      <c r="IOX134" s="21"/>
      <c r="IOY134" s="21"/>
      <c r="IOZ134" s="21"/>
      <c r="IPA134" s="21"/>
      <c r="IPB134" s="21"/>
      <c r="IPC134" s="20"/>
      <c r="IPD134" s="20"/>
      <c r="IPE134" s="20"/>
      <c r="IPF134" s="20"/>
      <c r="IPG134" s="21"/>
      <c r="IPH134" s="21"/>
      <c r="IPI134" s="7"/>
      <c r="IPJ134" s="7"/>
      <c r="IPK134" s="21"/>
      <c r="IPL134" s="20"/>
      <c r="IPM134" s="20"/>
      <c r="IPN134" s="20"/>
      <c r="IPO134" s="21"/>
      <c r="IPP134" s="21"/>
      <c r="IPQ134" s="21"/>
      <c r="IPR134" s="21"/>
      <c r="IPS134" s="21"/>
      <c r="IPT134" s="20"/>
      <c r="IPU134" s="20"/>
      <c r="IPV134" s="20"/>
      <c r="IPW134" s="20"/>
      <c r="IPX134" s="21"/>
      <c r="IPY134" s="21"/>
      <c r="IPZ134" s="7"/>
      <c r="IQA134" s="7"/>
      <c r="IQB134" s="21"/>
      <c r="IQC134" s="20"/>
      <c r="IQD134" s="20"/>
      <c r="IQE134" s="20"/>
      <c r="IQF134" s="21"/>
      <c r="IQG134" s="21"/>
      <c r="IQH134" s="21"/>
      <c r="IQI134" s="21"/>
      <c r="IQJ134" s="21"/>
      <c r="IQK134" s="20"/>
      <c r="IQL134" s="20"/>
      <c r="IQM134" s="20"/>
      <c r="IQN134" s="20"/>
      <c r="IQO134" s="21"/>
      <c r="IQP134" s="21"/>
      <c r="IQQ134" s="7"/>
      <c r="IQR134" s="7"/>
      <c r="IQS134" s="21"/>
      <c r="IQT134" s="20"/>
      <c r="IQU134" s="20"/>
      <c r="IQV134" s="20"/>
      <c r="IQW134" s="21"/>
      <c r="IQX134" s="21"/>
      <c r="IQY134" s="21"/>
      <c r="IQZ134" s="21"/>
      <c r="IRA134" s="21"/>
      <c r="IRB134" s="20"/>
      <c r="IRC134" s="20"/>
      <c r="IRD134" s="20"/>
      <c r="IRE134" s="20"/>
      <c r="IRF134" s="21"/>
      <c r="IRG134" s="21"/>
      <c r="IRH134" s="7"/>
      <c r="IRI134" s="7"/>
      <c r="IRJ134" s="21"/>
      <c r="IRK134" s="20"/>
      <c r="IRL134" s="20"/>
      <c r="IRM134" s="20"/>
      <c r="IRN134" s="21"/>
      <c r="IRO134" s="21"/>
      <c r="IRP134" s="21"/>
      <c r="IRQ134" s="21"/>
      <c r="IRR134" s="21"/>
      <c r="IRS134" s="20"/>
      <c r="IRT134" s="20"/>
      <c r="IRU134" s="20"/>
      <c r="IRV134" s="20"/>
      <c r="IRW134" s="21"/>
      <c r="IRX134" s="21"/>
      <c r="IRY134" s="7"/>
      <c r="IRZ134" s="7"/>
      <c r="ISA134" s="21"/>
      <c r="ISB134" s="20"/>
      <c r="ISC134" s="20"/>
      <c r="ISD134" s="20"/>
      <c r="ISE134" s="21"/>
      <c r="ISF134" s="21"/>
      <c r="ISG134" s="21"/>
      <c r="ISH134" s="21"/>
      <c r="ISI134" s="21"/>
      <c r="ISJ134" s="20"/>
      <c r="ISK134" s="20"/>
      <c r="ISL134" s="20"/>
      <c r="ISM134" s="20"/>
      <c r="ISN134" s="21"/>
      <c r="ISO134" s="21"/>
      <c r="ISP134" s="7"/>
      <c r="ISQ134" s="7"/>
      <c r="ISR134" s="21"/>
      <c r="ISS134" s="20"/>
      <c r="IST134" s="20"/>
      <c r="ISU134" s="20"/>
      <c r="ISV134" s="21"/>
      <c r="ISW134" s="21"/>
      <c r="ISX134" s="21"/>
      <c r="ISY134" s="21"/>
      <c r="ISZ134" s="21"/>
      <c r="ITA134" s="20"/>
      <c r="ITB134" s="20"/>
      <c r="ITC134" s="20"/>
      <c r="ITD134" s="20"/>
      <c r="ITE134" s="21"/>
      <c r="ITF134" s="21"/>
      <c r="ITG134" s="7"/>
      <c r="ITH134" s="7"/>
      <c r="ITI134" s="21"/>
      <c r="ITJ134" s="20"/>
      <c r="ITK134" s="20"/>
      <c r="ITL134" s="20"/>
      <c r="ITM134" s="21"/>
      <c r="ITN134" s="21"/>
      <c r="ITO134" s="21"/>
      <c r="ITP134" s="21"/>
      <c r="ITQ134" s="21"/>
      <c r="ITR134" s="20"/>
      <c r="ITS134" s="20"/>
      <c r="ITT134" s="20"/>
      <c r="ITU134" s="20"/>
      <c r="ITV134" s="21"/>
      <c r="ITW134" s="21"/>
      <c r="ITX134" s="7"/>
      <c r="ITY134" s="7"/>
      <c r="ITZ134" s="21"/>
      <c r="IUA134" s="20"/>
      <c r="IUB134" s="20"/>
      <c r="IUC134" s="20"/>
      <c r="IUD134" s="21"/>
      <c r="IUE134" s="21"/>
      <c r="IUF134" s="21"/>
      <c r="IUG134" s="21"/>
      <c r="IUH134" s="21"/>
      <c r="IUI134" s="20"/>
      <c r="IUJ134" s="20"/>
      <c r="IUK134" s="20"/>
      <c r="IUL134" s="20"/>
      <c r="IUM134" s="21"/>
      <c r="IUN134" s="21"/>
      <c r="IUO134" s="7"/>
      <c r="IUP134" s="7"/>
      <c r="IUQ134" s="21"/>
      <c r="IUR134" s="20"/>
      <c r="IUS134" s="20"/>
      <c r="IUT134" s="20"/>
      <c r="IUU134" s="21"/>
      <c r="IUV134" s="21"/>
      <c r="IUW134" s="21"/>
      <c r="IUX134" s="21"/>
      <c r="IUY134" s="21"/>
      <c r="IUZ134" s="20"/>
      <c r="IVA134" s="20"/>
      <c r="IVB134" s="20"/>
      <c r="IVC134" s="20"/>
      <c r="IVD134" s="21"/>
      <c r="IVE134" s="21"/>
      <c r="IVF134" s="7"/>
      <c r="IVG134" s="7"/>
      <c r="IVH134" s="21"/>
      <c r="IVI134" s="20"/>
      <c r="IVJ134" s="20"/>
      <c r="IVK134" s="20"/>
      <c r="IVL134" s="21"/>
      <c r="IVM134" s="21"/>
      <c r="IVN134" s="21"/>
      <c r="IVO134" s="21"/>
      <c r="IVP134" s="21"/>
      <c r="IVQ134" s="20"/>
      <c r="IVR134" s="20"/>
      <c r="IVS134" s="20"/>
      <c r="IVT134" s="20"/>
      <c r="IVU134" s="21"/>
      <c r="IVV134" s="21"/>
      <c r="IVW134" s="7"/>
      <c r="IVX134" s="7"/>
      <c r="IVY134" s="21"/>
      <c r="IVZ134" s="20"/>
      <c r="IWA134" s="20"/>
      <c r="IWB134" s="20"/>
      <c r="IWC134" s="21"/>
      <c r="IWD134" s="21"/>
      <c r="IWE134" s="21"/>
      <c r="IWF134" s="21"/>
      <c r="IWG134" s="21"/>
      <c r="IWH134" s="20"/>
      <c r="IWI134" s="20"/>
      <c r="IWJ134" s="20"/>
      <c r="IWK134" s="20"/>
      <c r="IWL134" s="21"/>
      <c r="IWM134" s="21"/>
      <c r="IWN134" s="7"/>
      <c r="IWO134" s="7"/>
      <c r="IWP134" s="21"/>
      <c r="IWQ134" s="20"/>
      <c r="IWR134" s="20"/>
      <c r="IWS134" s="20"/>
      <c r="IWT134" s="21"/>
      <c r="IWU134" s="21"/>
      <c r="IWV134" s="21"/>
      <c r="IWW134" s="21"/>
      <c r="IWX134" s="21"/>
      <c r="IWY134" s="20"/>
      <c r="IWZ134" s="20"/>
      <c r="IXA134" s="20"/>
      <c r="IXB134" s="20"/>
      <c r="IXC134" s="21"/>
      <c r="IXD134" s="21"/>
      <c r="IXE134" s="7"/>
      <c r="IXF134" s="7"/>
      <c r="IXG134" s="21"/>
      <c r="IXH134" s="20"/>
      <c r="IXI134" s="20"/>
      <c r="IXJ134" s="20"/>
      <c r="IXK134" s="21"/>
      <c r="IXL134" s="21"/>
      <c r="IXM134" s="21"/>
      <c r="IXN134" s="21"/>
      <c r="IXO134" s="21"/>
      <c r="IXP134" s="20"/>
      <c r="IXQ134" s="20"/>
      <c r="IXR134" s="20"/>
      <c r="IXS134" s="20"/>
      <c r="IXT134" s="21"/>
      <c r="IXU134" s="21"/>
      <c r="IXV134" s="7"/>
      <c r="IXW134" s="7"/>
      <c r="IXX134" s="21"/>
      <c r="IXY134" s="20"/>
      <c r="IXZ134" s="20"/>
      <c r="IYA134" s="20"/>
      <c r="IYB134" s="21"/>
      <c r="IYC134" s="21"/>
      <c r="IYD134" s="21"/>
      <c r="IYE134" s="21"/>
      <c r="IYF134" s="21"/>
      <c r="IYG134" s="20"/>
      <c r="IYH134" s="20"/>
      <c r="IYI134" s="20"/>
      <c r="IYJ134" s="20"/>
      <c r="IYK134" s="21"/>
      <c r="IYL134" s="21"/>
      <c r="IYM134" s="7"/>
      <c r="IYN134" s="7"/>
      <c r="IYO134" s="21"/>
      <c r="IYP134" s="20"/>
      <c r="IYQ134" s="20"/>
      <c r="IYR134" s="20"/>
      <c r="IYS134" s="21"/>
      <c r="IYT134" s="21"/>
      <c r="IYU134" s="21"/>
      <c r="IYV134" s="21"/>
      <c r="IYW134" s="21"/>
      <c r="IYX134" s="20"/>
      <c r="IYY134" s="20"/>
      <c r="IYZ134" s="20"/>
      <c r="IZA134" s="20"/>
      <c r="IZB134" s="21"/>
      <c r="IZC134" s="21"/>
      <c r="IZD134" s="7"/>
      <c r="IZE134" s="7"/>
      <c r="IZF134" s="21"/>
      <c r="IZG134" s="20"/>
      <c r="IZH134" s="20"/>
      <c r="IZI134" s="20"/>
      <c r="IZJ134" s="21"/>
      <c r="IZK134" s="21"/>
      <c r="IZL134" s="21"/>
      <c r="IZM134" s="21"/>
      <c r="IZN134" s="21"/>
      <c r="IZO134" s="20"/>
      <c r="IZP134" s="20"/>
      <c r="IZQ134" s="20"/>
      <c r="IZR134" s="20"/>
      <c r="IZS134" s="21"/>
      <c r="IZT134" s="21"/>
      <c r="IZU134" s="7"/>
      <c r="IZV134" s="7"/>
      <c r="IZW134" s="21"/>
      <c r="IZX134" s="20"/>
      <c r="IZY134" s="20"/>
      <c r="IZZ134" s="20"/>
      <c r="JAA134" s="21"/>
      <c r="JAB134" s="21"/>
      <c r="JAC134" s="21"/>
      <c r="JAD134" s="21"/>
      <c r="JAE134" s="21"/>
      <c r="JAF134" s="20"/>
      <c r="JAG134" s="20"/>
      <c r="JAH134" s="20"/>
      <c r="JAI134" s="20"/>
      <c r="JAJ134" s="21"/>
      <c r="JAK134" s="21"/>
      <c r="JAL134" s="7"/>
      <c r="JAM134" s="7"/>
      <c r="JAN134" s="21"/>
      <c r="JAO134" s="20"/>
      <c r="JAP134" s="20"/>
      <c r="JAQ134" s="20"/>
      <c r="JAR134" s="21"/>
      <c r="JAS134" s="21"/>
      <c r="JAT134" s="21"/>
      <c r="JAU134" s="21"/>
      <c r="JAV134" s="21"/>
      <c r="JAW134" s="20"/>
      <c r="JAX134" s="20"/>
      <c r="JAY134" s="20"/>
      <c r="JAZ134" s="20"/>
      <c r="JBA134" s="21"/>
      <c r="JBB134" s="21"/>
      <c r="JBC134" s="7"/>
      <c r="JBD134" s="7"/>
      <c r="JBE134" s="21"/>
      <c r="JBF134" s="20"/>
      <c r="JBG134" s="20"/>
      <c r="JBH134" s="20"/>
      <c r="JBI134" s="21"/>
      <c r="JBJ134" s="21"/>
      <c r="JBK134" s="21"/>
      <c r="JBL134" s="21"/>
      <c r="JBM134" s="21"/>
      <c r="JBN134" s="20"/>
      <c r="JBO134" s="20"/>
      <c r="JBP134" s="20"/>
      <c r="JBQ134" s="20"/>
      <c r="JBR134" s="21"/>
      <c r="JBS134" s="21"/>
      <c r="JBT134" s="7"/>
      <c r="JBU134" s="7"/>
      <c r="JBV134" s="21"/>
      <c r="JBW134" s="20"/>
      <c r="JBX134" s="20"/>
      <c r="JBY134" s="20"/>
      <c r="JBZ134" s="21"/>
      <c r="JCA134" s="21"/>
      <c r="JCB134" s="21"/>
      <c r="JCC134" s="21"/>
      <c r="JCD134" s="21"/>
      <c r="JCE134" s="20"/>
      <c r="JCF134" s="20"/>
      <c r="JCG134" s="20"/>
      <c r="JCH134" s="20"/>
      <c r="JCI134" s="21"/>
      <c r="JCJ134" s="21"/>
      <c r="JCK134" s="7"/>
      <c r="JCL134" s="7"/>
      <c r="JCM134" s="21"/>
      <c r="JCN134" s="20"/>
      <c r="JCO134" s="20"/>
      <c r="JCP134" s="20"/>
      <c r="JCQ134" s="21"/>
      <c r="JCR134" s="21"/>
      <c r="JCS134" s="21"/>
      <c r="JCT134" s="21"/>
      <c r="JCU134" s="21"/>
      <c r="JCV134" s="20"/>
      <c r="JCW134" s="20"/>
      <c r="JCX134" s="20"/>
      <c r="JCY134" s="20"/>
      <c r="JCZ134" s="21"/>
      <c r="JDA134" s="21"/>
      <c r="JDB134" s="7"/>
      <c r="JDC134" s="7"/>
      <c r="JDD134" s="21"/>
      <c r="JDE134" s="20"/>
      <c r="JDF134" s="20"/>
      <c r="JDG134" s="20"/>
      <c r="JDH134" s="21"/>
      <c r="JDI134" s="21"/>
      <c r="JDJ134" s="21"/>
      <c r="JDK134" s="21"/>
      <c r="JDL134" s="21"/>
      <c r="JDM134" s="20"/>
      <c r="JDN134" s="20"/>
      <c r="JDO134" s="20"/>
      <c r="JDP134" s="20"/>
      <c r="JDQ134" s="21"/>
      <c r="JDR134" s="21"/>
      <c r="JDS134" s="7"/>
      <c r="JDT134" s="7"/>
      <c r="JDU134" s="21"/>
      <c r="JDV134" s="20"/>
      <c r="JDW134" s="20"/>
      <c r="JDX134" s="20"/>
      <c r="JDY134" s="21"/>
      <c r="JDZ134" s="21"/>
      <c r="JEA134" s="21"/>
      <c r="JEB134" s="21"/>
      <c r="JEC134" s="21"/>
      <c r="JED134" s="20"/>
      <c r="JEE134" s="20"/>
      <c r="JEF134" s="20"/>
      <c r="JEG134" s="20"/>
      <c r="JEH134" s="21"/>
      <c r="JEI134" s="21"/>
      <c r="JEJ134" s="7"/>
      <c r="JEK134" s="7"/>
      <c r="JEL134" s="21"/>
      <c r="JEM134" s="20"/>
      <c r="JEN134" s="20"/>
      <c r="JEO134" s="20"/>
      <c r="JEP134" s="21"/>
      <c r="JEQ134" s="21"/>
      <c r="JER134" s="21"/>
      <c r="JES134" s="21"/>
      <c r="JET134" s="21"/>
      <c r="JEU134" s="20"/>
      <c r="JEV134" s="20"/>
      <c r="JEW134" s="20"/>
      <c r="JEX134" s="20"/>
      <c r="JEY134" s="21"/>
      <c r="JEZ134" s="21"/>
      <c r="JFA134" s="7"/>
      <c r="JFB134" s="7"/>
      <c r="JFC134" s="21"/>
      <c r="JFD134" s="20"/>
      <c r="JFE134" s="20"/>
      <c r="JFF134" s="20"/>
      <c r="JFG134" s="21"/>
      <c r="JFH134" s="21"/>
      <c r="JFI134" s="21"/>
      <c r="JFJ134" s="21"/>
      <c r="JFK134" s="21"/>
      <c r="JFL134" s="20"/>
      <c r="JFM134" s="20"/>
      <c r="JFN134" s="20"/>
      <c r="JFO134" s="20"/>
      <c r="JFP134" s="21"/>
      <c r="JFQ134" s="21"/>
      <c r="JFR134" s="7"/>
      <c r="JFS134" s="7"/>
      <c r="JFT134" s="21"/>
      <c r="JFU134" s="20"/>
      <c r="JFV134" s="20"/>
      <c r="JFW134" s="20"/>
      <c r="JFX134" s="21"/>
      <c r="JFY134" s="21"/>
      <c r="JFZ134" s="21"/>
      <c r="JGA134" s="21"/>
      <c r="JGB134" s="21"/>
      <c r="JGC134" s="20"/>
      <c r="JGD134" s="20"/>
      <c r="JGE134" s="20"/>
      <c r="JGF134" s="20"/>
      <c r="JGG134" s="21"/>
      <c r="JGH134" s="21"/>
      <c r="JGI134" s="7"/>
      <c r="JGJ134" s="7"/>
      <c r="JGK134" s="21"/>
      <c r="JGL134" s="20"/>
      <c r="JGM134" s="20"/>
      <c r="JGN134" s="20"/>
      <c r="JGO134" s="21"/>
      <c r="JGP134" s="21"/>
      <c r="JGQ134" s="21"/>
      <c r="JGR134" s="21"/>
      <c r="JGS134" s="21"/>
      <c r="JGT134" s="20"/>
      <c r="JGU134" s="20"/>
      <c r="JGV134" s="20"/>
      <c r="JGW134" s="20"/>
      <c r="JGX134" s="21"/>
      <c r="JGY134" s="21"/>
      <c r="JGZ134" s="7"/>
      <c r="JHA134" s="7"/>
      <c r="JHB134" s="21"/>
      <c r="JHC134" s="20"/>
      <c r="JHD134" s="20"/>
      <c r="JHE134" s="20"/>
      <c r="JHF134" s="21"/>
      <c r="JHG134" s="21"/>
      <c r="JHH134" s="21"/>
      <c r="JHI134" s="21"/>
      <c r="JHJ134" s="21"/>
      <c r="JHK134" s="20"/>
      <c r="JHL134" s="20"/>
      <c r="JHM134" s="20"/>
      <c r="JHN134" s="20"/>
      <c r="JHO134" s="21"/>
      <c r="JHP134" s="21"/>
      <c r="JHQ134" s="7"/>
      <c r="JHR134" s="7"/>
      <c r="JHS134" s="21"/>
      <c r="JHT134" s="20"/>
      <c r="JHU134" s="20"/>
      <c r="JHV134" s="20"/>
      <c r="JHW134" s="21"/>
      <c r="JHX134" s="21"/>
      <c r="JHY134" s="21"/>
      <c r="JHZ134" s="21"/>
      <c r="JIA134" s="21"/>
      <c r="JIB134" s="20"/>
      <c r="JIC134" s="20"/>
      <c r="JID134" s="20"/>
      <c r="JIE134" s="20"/>
      <c r="JIF134" s="21"/>
      <c r="JIG134" s="21"/>
      <c r="JIH134" s="7"/>
      <c r="JII134" s="7"/>
      <c r="JIJ134" s="21"/>
      <c r="JIK134" s="20"/>
      <c r="JIL134" s="20"/>
      <c r="JIM134" s="20"/>
      <c r="JIN134" s="21"/>
      <c r="JIO134" s="21"/>
      <c r="JIP134" s="21"/>
      <c r="JIQ134" s="21"/>
      <c r="JIR134" s="21"/>
      <c r="JIS134" s="20"/>
      <c r="JIT134" s="20"/>
      <c r="JIU134" s="20"/>
      <c r="JIV134" s="20"/>
      <c r="JIW134" s="21"/>
      <c r="JIX134" s="21"/>
      <c r="JIY134" s="7"/>
      <c r="JIZ134" s="7"/>
      <c r="JJA134" s="21"/>
      <c r="JJB134" s="20"/>
      <c r="JJC134" s="20"/>
      <c r="JJD134" s="20"/>
      <c r="JJE134" s="21"/>
      <c r="JJF134" s="21"/>
      <c r="JJG134" s="21"/>
      <c r="JJH134" s="21"/>
      <c r="JJI134" s="21"/>
      <c r="JJJ134" s="20"/>
      <c r="JJK134" s="20"/>
      <c r="JJL134" s="20"/>
      <c r="JJM134" s="20"/>
      <c r="JJN134" s="21"/>
      <c r="JJO134" s="21"/>
      <c r="JJP134" s="7"/>
      <c r="JJQ134" s="7"/>
      <c r="JJR134" s="21"/>
      <c r="JJS134" s="20"/>
      <c r="JJT134" s="20"/>
      <c r="JJU134" s="20"/>
      <c r="JJV134" s="21"/>
      <c r="JJW134" s="21"/>
      <c r="JJX134" s="21"/>
      <c r="JJY134" s="21"/>
      <c r="JJZ134" s="21"/>
      <c r="JKA134" s="20"/>
      <c r="JKB134" s="20"/>
      <c r="JKC134" s="20"/>
      <c r="JKD134" s="20"/>
      <c r="JKE134" s="21"/>
      <c r="JKF134" s="21"/>
      <c r="JKG134" s="7"/>
      <c r="JKH134" s="7"/>
      <c r="JKI134" s="21"/>
      <c r="JKJ134" s="20"/>
      <c r="JKK134" s="20"/>
      <c r="JKL134" s="20"/>
      <c r="JKM134" s="21"/>
      <c r="JKN134" s="21"/>
      <c r="JKO134" s="21"/>
      <c r="JKP134" s="21"/>
      <c r="JKQ134" s="21"/>
      <c r="JKR134" s="20"/>
      <c r="JKS134" s="20"/>
      <c r="JKT134" s="20"/>
      <c r="JKU134" s="20"/>
      <c r="JKV134" s="21"/>
      <c r="JKW134" s="21"/>
      <c r="JKX134" s="7"/>
      <c r="JKY134" s="7"/>
      <c r="JKZ134" s="21"/>
      <c r="JLA134" s="20"/>
      <c r="JLB134" s="20"/>
      <c r="JLC134" s="20"/>
      <c r="JLD134" s="21"/>
      <c r="JLE134" s="21"/>
      <c r="JLF134" s="21"/>
      <c r="JLG134" s="21"/>
      <c r="JLH134" s="21"/>
      <c r="JLI134" s="20"/>
      <c r="JLJ134" s="20"/>
      <c r="JLK134" s="20"/>
      <c r="JLL134" s="20"/>
      <c r="JLM134" s="21"/>
      <c r="JLN134" s="21"/>
      <c r="JLO134" s="7"/>
      <c r="JLP134" s="7"/>
      <c r="JLQ134" s="21"/>
      <c r="JLR134" s="20"/>
      <c r="JLS134" s="20"/>
      <c r="JLT134" s="20"/>
      <c r="JLU134" s="21"/>
      <c r="JLV134" s="21"/>
      <c r="JLW134" s="21"/>
      <c r="JLX134" s="21"/>
      <c r="JLY134" s="21"/>
      <c r="JLZ134" s="20"/>
      <c r="JMA134" s="20"/>
      <c r="JMB134" s="20"/>
      <c r="JMC134" s="20"/>
      <c r="JMD134" s="21"/>
      <c r="JME134" s="21"/>
      <c r="JMF134" s="7"/>
      <c r="JMG134" s="7"/>
      <c r="JMH134" s="21"/>
      <c r="JMI134" s="20"/>
      <c r="JMJ134" s="20"/>
      <c r="JMK134" s="20"/>
      <c r="JML134" s="21"/>
      <c r="JMM134" s="21"/>
      <c r="JMN134" s="21"/>
      <c r="JMO134" s="21"/>
      <c r="JMP134" s="21"/>
      <c r="JMQ134" s="20"/>
      <c r="JMR134" s="20"/>
      <c r="JMS134" s="20"/>
      <c r="JMT134" s="20"/>
      <c r="JMU134" s="21"/>
      <c r="JMV134" s="21"/>
      <c r="JMW134" s="7"/>
      <c r="JMX134" s="7"/>
      <c r="JMY134" s="21"/>
      <c r="JMZ134" s="20"/>
      <c r="JNA134" s="20"/>
      <c r="JNB134" s="20"/>
      <c r="JNC134" s="21"/>
      <c r="JND134" s="21"/>
      <c r="JNE134" s="21"/>
      <c r="JNF134" s="21"/>
      <c r="JNG134" s="21"/>
      <c r="JNH134" s="20"/>
      <c r="JNI134" s="20"/>
      <c r="JNJ134" s="20"/>
      <c r="JNK134" s="20"/>
      <c r="JNL134" s="21"/>
      <c r="JNM134" s="21"/>
      <c r="JNN134" s="7"/>
      <c r="JNO134" s="7"/>
      <c r="JNP134" s="21"/>
      <c r="JNQ134" s="20"/>
      <c r="JNR134" s="20"/>
      <c r="JNS134" s="20"/>
      <c r="JNT134" s="21"/>
      <c r="JNU134" s="21"/>
      <c r="JNV134" s="21"/>
      <c r="JNW134" s="21"/>
      <c r="JNX134" s="21"/>
      <c r="JNY134" s="20"/>
      <c r="JNZ134" s="20"/>
      <c r="JOA134" s="20"/>
      <c r="JOB134" s="20"/>
      <c r="JOC134" s="21"/>
      <c r="JOD134" s="21"/>
      <c r="JOE134" s="7"/>
      <c r="JOF134" s="7"/>
      <c r="JOG134" s="21"/>
      <c r="JOH134" s="20"/>
      <c r="JOI134" s="20"/>
      <c r="JOJ134" s="20"/>
      <c r="JOK134" s="21"/>
      <c r="JOL134" s="21"/>
      <c r="JOM134" s="21"/>
      <c r="JON134" s="21"/>
      <c r="JOO134" s="21"/>
      <c r="JOP134" s="20"/>
      <c r="JOQ134" s="20"/>
      <c r="JOR134" s="20"/>
      <c r="JOS134" s="20"/>
      <c r="JOT134" s="21"/>
      <c r="JOU134" s="21"/>
      <c r="JOV134" s="7"/>
      <c r="JOW134" s="7"/>
      <c r="JOX134" s="21"/>
      <c r="JOY134" s="20"/>
      <c r="JOZ134" s="20"/>
      <c r="JPA134" s="20"/>
      <c r="JPB134" s="21"/>
      <c r="JPC134" s="21"/>
      <c r="JPD134" s="21"/>
      <c r="JPE134" s="21"/>
      <c r="JPF134" s="21"/>
      <c r="JPG134" s="20"/>
      <c r="JPH134" s="20"/>
      <c r="JPI134" s="20"/>
      <c r="JPJ134" s="20"/>
      <c r="JPK134" s="21"/>
      <c r="JPL134" s="21"/>
      <c r="JPM134" s="7"/>
      <c r="JPN134" s="7"/>
      <c r="JPO134" s="21"/>
      <c r="JPP134" s="20"/>
      <c r="JPQ134" s="20"/>
      <c r="JPR134" s="20"/>
      <c r="JPS134" s="21"/>
      <c r="JPT134" s="21"/>
      <c r="JPU134" s="21"/>
      <c r="JPV134" s="21"/>
      <c r="JPW134" s="21"/>
      <c r="JPX134" s="20"/>
      <c r="JPY134" s="20"/>
      <c r="JPZ134" s="20"/>
      <c r="JQA134" s="20"/>
      <c r="JQB134" s="21"/>
      <c r="JQC134" s="21"/>
      <c r="JQD134" s="7"/>
      <c r="JQE134" s="7"/>
      <c r="JQF134" s="21"/>
      <c r="JQG134" s="20"/>
      <c r="JQH134" s="20"/>
      <c r="JQI134" s="20"/>
      <c r="JQJ134" s="21"/>
      <c r="JQK134" s="21"/>
      <c r="JQL134" s="21"/>
      <c r="JQM134" s="21"/>
      <c r="JQN134" s="21"/>
      <c r="JQO134" s="20"/>
      <c r="JQP134" s="20"/>
      <c r="JQQ134" s="20"/>
      <c r="JQR134" s="20"/>
      <c r="JQS134" s="21"/>
      <c r="JQT134" s="21"/>
      <c r="JQU134" s="7"/>
      <c r="JQV134" s="7"/>
      <c r="JQW134" s="21"/>
      <c r="JQX134" s="20"/>
      <c r="JQY134" s="20"/>
      <c r="JQZ134" s="20"/>
      <c r="JRA134" s="21"/>
      <c r="JRB134" s="21"/>
      <c r="JRC134" s="21"/>
      <c r="JRD134" s="21"/>
      <c r="JRE134" s="21"/>
      <c r="JRF134" s="20"/>
      <c r="JRG134" s="20"/>
      <c r="JRH134" s="20"/>
      <c r="JRI134" s="20"/>
      <c r="JRJ134" s="21"/>
      <c r="JRK134" s="21"/>
      <c r="JRL134" s="7"/>
      <c r="JRM134" s="7"/>
      <c r="JRN134" s="21"/>
      <c r="JRO134" s="20"/>
      <c r="JRP134" s="20"/>
      <c r="JRQ134" s="20"/>
      <c r="JRR134" s="21"/>
      <c r="JRS134" s="21"/>
      <c r="JRT134" s="21"/>
      <c r="JRU134" s="21"/>
      <c r="JRV134" s="21"/>
      <c r="JRW134" s="20"/>
      <c r="JRX134" s="20"/>
      <c r="JRY134" s="20"/>
      <c r="JRZ134" s="20"/>
      <c r="JSA134" s="21"/>
      <c r="JSB134" s="21"/>
      <c r="JSC134" s="7"/>
      <c r="JSD134" s="7"/>
      <c r="JSE134" s="21"/>
      <c r="JSF134" s="20"/>
      <c r="JSG134" s="20"/>
      <c r="JSH134" s="20"/>
      <c r="JSI134" s="21"/>
      <c r="JSJ134" s="21"/>
      <c r="JSK134" s="21"/>
      <c r="JSL134" s="21"/>
      <c r="JSM134" s="21"/>
      <c r="JSN134" s="20"/>
      <c r="JSO134" s="20"/>
      <c r="JSP134" s="20"/>
      <c r="JSQ134" s="20"/>
      <c r="JSR134" s="21"/>
      <c r="JSS134" s="21"/>
      <c r="JST134" s="7"/>
      <c r="JSU134" s="7"/>
      <c r="JSV134" s="21"/>
      <c r="JSW134" s="20"/>
      <c r="JSX134" s="20"/>
      <c r="JSY134" s="20"/>
      <c r="JSZ134" s="21"/>
      <c r="JTA134" s="21"/>
      <c r="JTB134" s="21"/>
      <c r="JTC134" s="21"/>
      <c r="JTD134" s="21"/>
      <c r="JTE134" s="20"/>
      <c r="JTF134" s="20"/>
      <c r="JTG134" s="20"/>
      <c r="JTH134" s="20"/>
      <c r="JTI134" s="21"/>
      <c r="JTJ134" s="21"/>
      <c r="JTK134" s="7"/>
      <c r="JTL134" s="7"/>
      <c r="JTM134" s="21"/>
      <c r="JTN134" s="20"/>
      <c r="JTO134" s="20"/>
      <c r="JTP134" s="20"/>
      <c r="JTQ134" s="21"/>
      <c r="JTR134" s="21"/>
      <c r="JTS134" s="21"/>
      <c r="JTT134" s="21"/>
      <c r="JTU134" s="21"/>
      <c r="JTV134" s="20"/>
      <c r="JTW134" s="20"/>
      <c r="JTX134" s="20"/>
      <c r="JTY134" s="20"/>
      <c r="JTZ134" s="21"/>
      <c r="JUA134" s="21"/>
      <c r="JUB134" s="7"/>
      <c r="JUC134" s="7"/>
      <c r="JUD134" s="21"/>
      <c r="JUE134" s="20"/>
      <c r="JUF134" s="20"/>
      <c r="JUG134" s="20"/>
      <c r="JUH134" s="21"/>
      <c r="JUI134" s="21"/>
      <c r="JUJ134" s="21"/>
      <c r="JUK134" s="21"/>
      <c r="JUL134" s="21"/>
      <c r="JUM134" s="20"/>
      <c r="JUN134" s="20"/>
      <c r="JUO134" s="20"/>
      <c r="JUP134" s="20"/>
      <c r="JUQ134" s="21"/>
      <c r="JUR134" s="21"/>
      <c r="JUS134" s="7"/>
      <c r="JUT134" s="7"/>
      <c r="JUU134" s="21"/>
      <c r="JUV134" s="20"/>
      <c r="JUW134" s="20"/>
      <c r="JUX134" s="20"/>
      <c r="JUY134" s="21"/>
      <c r="JUZ134" s="21"/>
      <c r="JVA134" s="21"/>
      <c r="JVB134" s="21"/>
      <c r="JVC134" s="21"/>
      <c r="JVD134" s="20"/>
      <c r="JVE134" s="20"/>
      <c r="JVF134" s="20"/>
      <c r="JVG134" s="20"/>
      <c r="JVH134" s="21"/>
      <c r="JVI134" s="21"/>
      <c r="JVJ134" s="7"/>
      <c r="JVK134" s="7"/>
      <c r="JVL134" s="21"/>
      <c r="JVM134" s="20"/>
      <c r="JVN134" s="20"/>
      <c r="JVO134" s="20"/>
      <c r="JVP134" s="21"/>
      <c r="JVQ134" s="21"/>
      <c r="JVR134" s="21"/>
      <c r="JVS134" s="21"/>
      <c r="JVT134" s="21"/>
      <c r="JVU134" s="20"/>
      <c r="JVV134" s="20"/>
      <c r="JVW134" s="20"/>
      <c r="JVX134" s="20"/>
      <c r="JVY134" s="21"/>
      <c r="JVZ134" s="21"/>
      <c r="JWA134" s="7"/>
      <c r="JWB134" s="7"/>
      <c r="JWC134" s="21"/>
      <c r="JWD134" s="20"/>
      <c r="JWE134" s="20"/>
      <c r="JWF134" s="20"/>
      <c r="JWG134" s="21"/>
      <c r="JWH134" s="21"/>
      <c r="JWI134" s="21"/>
      <c r="JWJ134" s="21"/>
      <c r="JWK134" s="21"/>
      <c r="JWL134" s="20"/>
      <c r="JWM134" s="20"/>
      <c r="JWN134" s="20"/>
      <c r="JWO134" s="20"/>
      <c r="JWP134" s="21"/>
      <c r="JWQ134" s="21"/>
      <c r="JWR134" s="7"/>
      <c r="JWS134" s="7"/>
      <c r="JWT134" s="21"/>
      <c r="JWU134" s="20"/>
      <c r="JWV134" s="20"/>
      <c r="JWW134" s="20"/>
      <c r="JWX134" s="21"/>
      <c r="JWY134" s="21"/>
      <c r="JWZ134" s="21"/>
      <c r="JXA134" s="21"/>
      <c r="JXB134" s="21"/>
      <c r="JXC134" s="20"/>
      <c r="JXD134" s="20"/>
      <c r="JXE134" s="20"/>
      <c r="JXF134" s="20"/>
      <c r="JXG134" s="21"/>
      <c r="JXH134" s="21"/>
      <c r="JXI134" s="7"/>
      <c r="JXJ134" s="7"/>
      <c r="JXK134" s="21"/>
      <c r="JXL134" s="20"/>
      <c r="JXM134" s="20"/>
      <c r="JXN134" s="20"/>
      <c r="JXO134" s="21"/>
      <c r="JXP134" s="21"/>
      <c r="JXQ134" s="21"/>
      <c r="JXR134" s="21"/>
      <c r="JXS134" s="21"/>
      <c r="JXT134" s="20"/>
      <c r="JXU134" s="20"/>
      <c r="JXV134" s="20"/>
      <c r="JXW134" s="20"/>
      <c r="JXX134" s="21"/>
      <c r="JXY134" s="21"/>
      <c r="JXZ134" s="7"/>
      <c r="JYA134" s="7"/>
      <c r="JYB134" s="21"/>
      <c r="JYC134" s="20"/>
      <c r="JYD134" s="20"/>
      <c r="JYE134" s="20"/>
      <c r="JYF134" s="21"/>
      <c r="JYG134" s="21"/>
      <c r="JYH134" s="21"/>
      <c r="JYI134" s="21"/>
      <c r="JYJ134" s="21"/>
      <c r="JYK134" s="20"/>
      <c r="JYL134" s="20"/>
      <c r="JYM134" s="20"/>
      <c r="JYN134" s="20"/>
      <c r="JYO134" s="21"/>
      <c r="JYP134" s="21"/>
      <c r="JYQ134" s="7"/>
      <c r="JYR134" s="7"/>
      <c r="JYS134" s="21"/>
      <c r="JYT134" s="20"/>
      <c r="JYU134" s="20"/>
      <c r="JYV134" s="20"/>
      <c r="JYW134" s="21"/>
      <c r="JYX134" s="21"/>
      <c r="JYY134" s="21"/>
      <c r="JYZ134" s="21"/>
      <c r="JZA134" s="21"/>
      <c r="JZB134" s="20"/>
      <c r="JZC134" s="20"/>
      <c r="JZD134" s="20"/>
      <c r="JZE134" s="20"/>
      <c r="JZF134" s="21"/>
      <c r="JZG134" s="21"/>
      <c r="JZH134" s="7"/>
      <c r="JZI134" s="7"/>
      <c r="JZJ134" s="21"/>
      <c r="JZK134" s="20"/>
      <c r="JZL134" s="20"/>
      <c r="JZM134" s="20"/>
      <c r="JZN134" s="21"/>
      <c r="JZO134" s="21"/>
      <c r="JZP134" s="21"/>
      <c r="JZQ134" s="21"/>
      <c r="JZR134" s="21"/>
      <c r="JZS134" s="20"/>
      <c r="JZT134" s="20"/>
      <c r="JZU134" s="20"/>
      <c r="JZV134" s="20"/>
      <c r="JZW134" s="21"/>
      <c r="JZX134" s="21"/>
      <c r="JZY134" s="7"/>
      <c r="JZZ134" s="7"/>
      <c r="KAA134" s="21"/>
      <c r="KAB134" s="20"/>
      <c r="KAC134" s="20"/>
      <c r="KAD134" s="20"/>
      <c r="KAE134" s="21"/>
      <c r="KAF134" s="21"/>
      <c r="KAG134" s="21"/>
      <c r="KAH134" s="21"/>
      <c r="KAI134" s="21"/>
      <c r="KAJ134" s="20"/>
      <c r="KAK134" s="20"/>
      <c r="KAL134" s="20"/>
      <c r="KAM134" s="20"/>
      <c r="KAN134" s="21"/>
      <c r="KAO134" s="21"/>
      <c r="KAP134" s="7"/>
      <c r="KAQ134" s="7"/>
      <c r="KAR134" s="21"/>
      <c r="KAS134" s="20"/>
      <c r="KAT134" s="20"/>
      <c r="KAU134" s="20"/>
      <c r="KAV134" s="21"/>
      <c r="KAW134" s="21"/>
      <c r="KAX134" s="21"/>
      <c r="KAY134" s="21"/>
      <c r="KAZ134" s="21"/>
      <c r="KBA134" s="20"/>
      <c r="KBB134" s="20"/>
      <c r="KBC134" s="20"/>
      <c r="KBD134" s="20"/>
      <c r="KBE134" s="21"/>
      <c r="KBF134" s="21"/>
      <c r="KBG134" s="7"/>
      <c r="KBH134" s="7"/>
      <c r="KBI134" s="21"/>
      <c r="KBJ134" s="20"/>
      <c r="KBK134" s="20"/>
      <c r="KBL134" s="20"/>
      <c r="KBM134" s="21"/>
      <c r="KBN134" s="21"/>
      <c r="KBO134" s="21"/>
      <c r="KBP134" s="21"/>
      <c r="KBQ134" s="21"/>
      <c r="KBR134" s="20"/>
      <c r="KBS134" s="20"/>
      <c r="KBT134" s="20"/>
      <c r="KBU134" s="20"/>
      <c r="KBV134" s="21"/>
      <c r="KBW134" s="21"/>
      <c r="KBX134" s="7"/>
      <c r="KBY134" s="7"/>
      <c r="KBZ134" s="21"/>
      <c r="KCA134" s="20"/>
      <c r="KCB134" s="20"/>
      <c r="KCC134" s="20"/>
      <c r="KCD134" s="21"/>
      <c r="KCE134" s="21"/>
      <c r="KCF134" s="21"/>
      <c r="KCG134" s="21"/>
      <c r="KCH134" s="21"/>
      <c r="KCI134" s="20"/>
      <c r="KCJ134" s="20"/>
      <c r="KCK134" s="20"/>
      <c r="KCL134" s="20"/>
      <c r="KCM134" s="21"/>
      <c r="KCN134" s="21"/>
      <c r="KCO134" s="7"/>
      <c r="KCP134" s="7"/>
      <c r="KCQ134" s="21"/>
      <c r="KCR134" s="20"/>
      <c r="KCS134" s="20"/>
      <c r="KCT134" s="20"/>
      <c r="KCU134" s="21"/>
      <c r="KCV134" s="21"/>
      <c r="KCW134" s="21"/>
      <c r="KCX134" s="21"/>
      <c r="KCY134" s="21"/>
      <c r="KCZ134" s="20"/>
      <c r="KDA134" s="20"/>
      <c r="KDB134" s="20"/>
      <c r="KDC134" s="20"/>
      <c r="KDD134" s="21"/>
      <c r="KDE134" s="21"/>
      <c r="KDF134" s="7"/>
      <c r="KDG134" s="7"/>
      <c r="KDH134" s="21"/>
      <c r="KDI134" s="20"/>
      <c r="KDJ134" s="20"/>
      <c r="KDK134" s="20"/>
      <c r="KDL134" s="21"/>
      <c r="KDM134" s="21"/>
      <c r="KDN134" s="21"/>
      <c r="KDO134" s="21"/>
      <c r="KDP134" s="21"/>
      <c r="KDQ134" s="20"/>
      <c r="KDR134" s="20"/>
      <c r="KDS134" s="20"/>
      <c r="KDT134" s="20"/>
      <c r="KDU134" s="21"/>
      <c r="KDV134" s="21"/>
      <c r="KDW134" s="7"/>
      <c r="KDX134" s="7"/>
      <c r="KDY134" s="21"/>
      <c r="KDZ134" s="20"/>
      <c r="KEA134" s="20"/>
      <c r="KEB134" s="20"/>
      <c r="KEC134" s="21"/>
      <c r="KED134" s="21"/>
      <c r="KEE134" s="21"/>
      <c r="KEF134" s="21"/>
      <c r="KEG134" s="21"/>
      <c r="KEH134" s="20"/>
      <c r="KEI134" s="20"/>
      <c r="KEJ134" s="20"/>
      <c r="KEK134" s="20"/>
      <c r="KEL134" s="21"/>
      <c r="KEM134" s="21"/>
      <c r="KEN134" s="7"/>
      <c r="KEO134" s="7"/>
      <c r="KEP134" s="21"/>
      <c r="KEQ134" s="20"/>
      <c r="KER134" s="20"/>
      <c r="KES134" s="20"/>
      <c r="KET134" s="21"/>
      <c r="KEU134" s="21"/>
      <c r="KEV134" s="21"/>
      <c r="KEW134" s="21"/>
      <c r="KEX134" s="21"/>
      <c r="KEY134" s="20"/>
      <c r="KEZ134" s="20"/>
      <c r="KFA134" s="20"/>
      <c r="KFB134" s="20"/>
      <c r="KFC134" s="21"/>
      <c r="KFD134" s="21"/>
      <c r="KFE134" s="7"/>
      <c r="KFF134" s="7"/>
      <c r="KFG134" s="21"/>
      <c r="KFH134" s="20"/>
      <c r="KFI134" s="20"/>
      <c r="KFJ134" s="20"/>
      <c r="KFK134" s="21"/>
      <c r="KFL134" s="21"/>
      <c r="KFM134" s="21"/>
      <c r="KFN134" s="21"/>
      <c r="KFO134" s="21"/>
      <c r="KFP134" s="20"/>
      <c r="KFQ134" s="20"/>
      <c r="KFR134" s="20"/>
      <c r="KFS134" s="20"/>
      <c r="KFT134" s="21"/>
      <c r="KFU134" s="21"/>
      <c r="KFV134" s="7"/>
      <c r="KFW134" s="7"/>
      <c r="KFX134" s="21"/>
      <c r="KFY134" s="20"/>
      <c r="KFZ134" s="20"/>
      <c r="KGA134" s="20"/>
      <c r="KGB134" s="21"/>
      <c r="KGC134" s="21"/>
      <c r="KGD134" s="21"/>
      <c r="KGE134" s="21"/>
      <c r="KGF134" s="21"/>
      <c r="KGG134" s="20"/>
      <c r="KGH134" s="20"/>
      <c r="KGI134" s="20"/>
      <c r="KGJ134" s="20"/>
      <c r="KGK134" s="21"/>
      <c r="KGL134" s="21"/>
      <c r="KGM134" s="7"/>
      <c r="KGN134" s="7"/>
      <c r="KGO134" s="21"/>
      <c r="KGP134" s="20"/>
      <c r="KGQ134" s="20"/>
      <c r="KGR134" s="20"/>
      <c r="KGS134" s="21"/>
      <c r="KGT134" s="21"/>
      <c r="KGU134" s="21"/>
      <c r="KGV134" s="21"/>
      <c r="KGW134" s="21"/>
      <c r="KGX134" s="20"/>
      <c r="KGY134" s="20"/>
      <c r="KGZ134" s="20"/>
      <c r="KHA134" s="20"/>
      <c r="KHB134" s="21"/>
      <c r="KHC134" s="21"/>
      <c r="KHD134" s="7"/>
      <c r="KHE134" s="7"/>
      <c r="KHF134" s="21"/>
      <c r="KHG134" s="20"/>
      <c r="KHH134" s="20"/>
      <c r="KHI134" s="20"/>
      <c r="KHJ134" s="21"/>
      <c r="KHK134" s="21"/>
      <c r="KHL134" s="21"/>
      <c r="KHM134" s="21"/>
      <c r="KHN134" s="21"/>
      <c r="KHO134" s="20"/>
      <c r="KHP134" s="20"/>
      <c r="KHQ134" s="20"/>
      <c r="KHR134" s="20"/>
      <c r="KHS134" s="21"/>
      <c r="KHT134" s="21"/>
      <c r="KHU134" s="7"/>
      <c r="KHV134" s="7"/>
      <c r="KHW134" s="21"/>
      <c r="KHX134" s="20"/>
      <c r="KHY134" s="20"/>
      <c r="KHZ134" s="20"/>
      <c r="KIA134" s="21"/>
      <c r="KIB134" s="21"/>
      <c r="KIC134" s="21"/>
      <c r="KID134" s="21"/>
      <c r="KIE134" s="21"/>
      <c r="KIF134" s="20"/>
      <c r="KIG134" s="20"/>
      <c r="KIH134" s="20"/>
      <c r="KII134" s="20"/>
      <c r="KIJ134" s="21"/>
      <c r="KIK134" s="21"/>
      <c r="KIL134" s="7"/>
      <c r="KIM134" s="7"/>
      <c r="KIN134" s="21"/>
      <c r="KIO134" s="20"/>
      <c r="KIP134" s="20"/>
      <c r="KIQ134" s="20"/>
      <c r="KIR134" s="21"/>
      <c r="KIS134" s="21"/>
      <c r="KIT134" s="21"/>
      <c r="KIU134" s="21"/>
      <c r="KIV134" s="21"/>
      <c r="KIW134" s="20"/>
      <c r="KIX134" s="20"/>
      <c r="KIY134" s="20"/>
      <c r="KIZ134" s="20"/>
      <c r="KJA134" s="21"/>
      <c r="KJB134" s="21"/>
      <c r="KJC134" s="7"/>
      <c r="KJD134" s="7"/>
      <c r="KJE134" s="21"/>
      <c r="KJF134" s="20"/>
      <c r="KJG134" s="20"/>
      <c r="KJH134" s="20"/>
      <c r="KJI134" s="21"/>
      <c r="KJJ134" s="21"/>
      <c r="KJK134" s="21"/>
      <c r="KJL134" s="21"/>
      <c r="KJM134" s="21"/>
      <c r="KJN134" s="20"/>
      <c r="KJO134" s="20"/>
      <c r="KJP134" s="20"/>
      <c r="KJQ134" s="20"/>
      <c r="KJR134" s="21"/>
      <c r="KJS134" s="21"/>
      <c r="KJT134" s="7"/>
      <c r="KJU134" s="7"/>
      <c r="KJV134" s="21"/>
      <c r="KJW134" s="20"/>
      <c r="KJX134" s="20"/>
      <c r="KJY134" s="20"/>
      <c r="KJZ134" s="21"/>
      <c r="KKA134" s="21"/>
      <c r="KKB134" s="21"/>
      <c r="KKC134" s="21"/>
      <c r="KKD134" s="21"/>
      <c r="KKE134" s="20"/>
      <c r="KKF134" s="20"/>
      <c r="KKG134" s="20"/>
      <c r="KKH134" s="20"/>
      <c r="KKI134" s="21"/>
      <c r="KKJ134" s="21"/>
      <c r="KKK134" s="7"/>
      <c r="KKL134" s="7"/>
      <c r="KKM134" s="21"/>
      <c r="KKN134" s="20"/>
      <c r="KKO134" s="20"/>
      <c r="KKP134" s="20"/>
      <c r="KKQ134" s="21"/>
      <c r="KKR134" s="21"/>
      <c r="KKS134" s="21"/>
      <c r="KKT134" s="21"/>
      <c r="KKU134" s="21"/>
      <c r="KKV134" s="20"/>
      <c r="KKW134" s="20"/>
      <c r="KKX134" s="20"/>
      <c r="KKY134" s="20"/>
      <c r="KKZ134" s="21"/>
      <c r="KLA134" s="21"/>
      <c r="KLB134" s="7"/>
      <c r="KLC134" s="7"/>
      <c r="KLD134" s="21"/>
      <c r="KLE134" s="20"/>
      <c r="KLF134" s="20"/>
      <c r="KLG134" s="20"/>
      <c r="KLH134" s="21"/>
      <c r="KLI134" s="21"/>
      <c r="KLJ134" s="21"/>
      <c r="KLK134" s="21"/>
      <c r="KLL134" s="21"/>
      <c r="KLM134" s="20"/>
      <c r="KLN134" s="20"/>
      <c r="KLO134" s="20"/>
      <c r="KLP134" s="20"/>
      <c r="KLQ134" s="21"/>
      <c r="KLR134" s="21"/>
      <c r="KLS134" s="7"/>
      <c r="KLT134" s="7"/>
      <c r="KLU134" s="21"/>
      <c r="KLV134" s="20"/>
      <c r="KLW134" s="20"/>
      <c r="KLX134" s="20"/>
      <c r="KLY134" s="21"/>
      <c r="KLZ134" s="21"/>
      <c r="KMA134" s="21"/>
      <c r="KMB134" s="21"/>
      <c r="KMC134" s="21"/>
      <c r="KMD134" s="20"/>
      <c r="KME134" s="20"/>
      <c r="KMF134" s="20"/>
      <c r="KMG134" s="20"/>
      <c r="KMH134" s="21"/>
      <c r="KMI134" s="21"/>
      <c r="KMJ134" s="7"/>
      <c r="KMK134" s="7"/>
      <c r="KML134" s="21"/>
      <c r="KMM134" s="20"/>
      <c r="KMN134" s="20"/>
      <c r="KMO134" s="20"/>
      <c r="KMP134" s="21"/>
      <c r="KMQ134" s="21"/>
      <c r="KMR134" s="21"/>
      <c r="KMS134" s="21"/>
      <c r="KMT134" s="21"/>
      <c r="KMU134" s="20"/>
      <c r="KMV134" s="20"/>
      <c r="KMW134" s="20"/>
      <c r="KMX134" s="20"/>
      <c r="KMY134" s="21"/>
      <c r="KMZ134" s="21"/>
      <c r="KNA134" s="7"/>
      <c r="KNB134" s="7"/>
      <c r="KNC134" s="21"/>
      <c r="KND134" s="20"/>
      <c r="KNE134" s="20"/>
      <c r="KNF134" s="20"/>
      <c r="KNG134" s="21"/>
      <c r="KNH134" s="21"/>
      <c r="KNI134" s="21"/>
      <c r="KNJ134" s="21"/>
      <c r="KNK134" s="21"/>
      <c r="KNL134" s="20"/>
      <c r="KNM134" s="20"/>
      <c r="KNN134" s="20"/>
      <c r="KNO134" s="20"/>
      <c r="KNP134" s="21"/>
      <c r="KNQ134" s="21"/>
      <c r="KNR134" s="7"/>
      <c r="KNS134" s="7"/>
      <c r="KNT134" s="21"/>
      <c r="KNU134" s="20"/>
      <c r="KNV134" s="20"/>
      <c r="KNW134" s="20"/>
      <c r="KNX134" s="21"/>
      <c r="KNY134" s="21"/>
      <c r="KNZ134" s="21"/>
      <c r="KOA134" s="21"/>
      <c r="KOB134" s="21"/>
      <c r="KOC134" s="20"/>
      <c r="KOD134" s="20"/>
      <c r="KOE134" s="20"/>
      <c r="KOF134" s="20"/>
      <c r="KOG134" s="21"/>
      <c r="KOH134" s="21"/>
      <c r="KOI134" s="7"/>
      <c r="KOJ134" s="7"/>
      <c r="KOK134" s="21"/>
      <c r="KOL134" s="20"/>
      <c r="KOM134" s="20"/>
      <c r="KON134" s="20"/>
      <c r="KOO134" s="21"/>
      <c r="KOP134" s="21"/>
      <c r="KOQ134" s="21"/>
      <c r="KOR134" s="21"/>
      <c r="KOS134" s="21"/>
      <c r="KOT134" s="20"/>
      <c r="KOU134" s="20"/>
      <c r="KOV134" s="20"/>
      <c r="KOW134" s="20"/>
      <c r="KOX134" s="21"/>
      <c r="KOY134" s="21"/>
      <c r="KOZ134" s="7"/>
      <c r="KPA134" s="7"/>
      <c r="KPB134" s="21"/>
      <c r="KPC134" s="20"/>
      <c r="KPD134" s="20"/>
      <c r="KPE134" s="20"/>
      <c r="KPF134" s="21"/>
      <c r="KPG134" s="21"/>
      <c r="KPH134" s="21"/>
      <c r="KPI134" s="21"/>
      <c r="KPJ134" s="21"/>
      <c r="KPK134" s="20"/>
      <c r="KPL134" s="20"/>
      <c r="KPM134" s="20"/>
      <c r="KPN134" s="20"/>
      <c r="KPO134" s="21"/>
      <c r="KPP134" s="21"/>
      <c r="KPQ134" s="7"/>
      <c r="KPR134" s="7"/>
      <c r="KPS134" s="21"/>
      <c r="KPT134" s="20"/>
      <c r="KPU134" s="20"/>
      <c r="KPV134" s="20"/>
      <c r="KPW134" s="21"/>
      <c r="KPX134" s="21"/>
      <c r="KPY134" s="21"/>
      <c r="KPZ134" s="21"/>
      <c r="KQA134" s="21"/>
      <c r="KQB134" s="20"/>
      <c r="KQC134" s="20"/>
      <c r="KQD134" s="20"/>
      <c r="KQE134" s="20"/>
      <c r="KQF134" s="21"/>
      <c r="KQG134" s="21"/>
      <c r="KQH134" s="7"/>
      <c r="KQI134" s="7"/>
      <c r="KQJ134" s="21"/>
      <c r="KQK134" s="20"/>
      <c r="KQL134" s="20"/>
      <c r="KQM134" s="20"/>
      <c r="KQN134" s="21"/>
      <c r="KQO134" s="21"/>
      <c r="KQP134" s="21"/>
      <c r="KQQ134" s="21"/>
      <c r="KQR134" s="21"/>
      <c r="KQS134" s="20"/>
      <c r="KQT134" s="20"/>
      <c r="KQU134" s="20"/>
      <c r="KQV134" s="20"/>
      <c r="KQW134" s="21"/>
      <c r="KQX134" s="21"/>
      <c r="KQY134" s="7"/>
      <c r="KQZ134" s="7"/>
      <c r="KRA134" s="21"/>
      <c r="KRB134" s="20"/>
      <c r="KRC134" s="20"/>
      <c r="KRD134" s="20"/>
      <c r="KRE134" s="21"/>
      <c r="KRF134" s="21"/>
      <c r="KRG134" s="21"/>
      <c r="KRH134" s="21"/>
      <c r="KRI134" s="21"/>
      <c r="KRJ134" s="20"/>
      <c r="KRK134" s="20"/>
      <c r="KRL134" s="20"/>
      <c r="KRM134" s="20"/>
      <c r="KRN134" s="21"/>
      <c r="KRO134" s="21"/>
      <c r="KRP134" s="7"/>
      <c r="KRQ134" s="7"/>
      <c r="KRR134" s="21"/>
      <c r="KRS134" s="20"/>
      <c r="KRT134" s="20"/>
      <c r="KRU134" s="20"/>
      <c r="KRV134" s="21"/>
      <c r="KRW134" s="21"/>
      <c r="KRX134" s="21"/>
      <c r="KRY134" s="21"/>
      <c r="KRZ134" s="21"/>
      <c r="KSA134" s="20"/>
      <c r="KSB134" s="20"/>
      <c r="KSC134" s="20"/>
      <c r="KSD134" s="20"/>
      <c r="KSE134" s="21"/>
      <c r="KSF134" s="21"/>
      <c r="KSG134" s="7"/>
      <c r="KSH134" s="7"/>
      <c r="KSI134" s="21"/>
      <c r="KSJ134" s="20"/>
      <c r="KSK134" s="20"/>
      <c r="KSL134" s="20"/>
      <c r="KSM134" s="21"/>
      <c r="KSN134" s="21"/>
      <c r="KSO134" s="21"/>
      <c r="KSP134" s="21"/>
      <c r="KSQ134" s="21"/>
      <c r="KSR134" s="20"/>
      <c r="KSS134" s="20"/>
      <c r="KST134" s="20"/>
      <c r="KSU134" s="20"/>
      <c r="KSV134" s="21"/>
      <c r="KSW134" s="21"/>
      <c r="KSX134" s="7"/>
      <c r="KSY134" s="7"/>
      <c r="KSZ134" s="21"/>
      <c r="KTA134" s="20"/>
      <c r="KTB134" s="20"/>
      <c r="KTC134" s="20"/>
      <c r="KTD134" s="21"/>
      <c r="KTE134" s="21"/>
      <c r="KTF134" s="21"/>
      <c r="KTG134" s="21"/>
      <c r="KTH134" s="21"/>
      <c r="KTI134" s="20"/>
      <c r="KTJ134" s="20"/>
      <c r="KTK134" s="20"/>
      <c r="KTL134" s="20"/>
      <c r="KTM134" s="21"/>
      <c r="KTN134" s="21"/>
      <c r="KTO134" s="7"/>
      <c r="KTP134" s="7"/>
      <c r="KTQ134" s="21"/>
      <c r="KTR134" s="20"/>
      <c r="KTS134" s="20"/>
      <c r="KTT134" s="20"/>
      <c r="KTU134" s="21"/>
      <c r="KTV134" s="21"/>
      <c r="KTW134" s="21"/>
      <c r="KTX134" s="21"/>
      <c r="KTY134" s="21"/>
      <c r="KTZ134" s="20"/>
      <c r="KUA134" s="20"/>
      <c r="KUB134" s="20"/>
      <c r="KUC134" s="20"/>
      <c r="KUD134" s="21"/>
      <c r="KUE134" s="21"/>
      <c r="KUF134" s="7"/>
      <c r="KUG134" s="7"/>
      <c r="KUH134" s="21"/>
      <c r="KUI134" s="20"/>
      <c r="KUJ134" s="20"/>
      <c r="KUK134" s="20"/>
      <c r="KUL134" s="21"/>
      <c r="KUM134" s="21"/>
      <c r="KUN134" s="21"/>
      <c r="KUO134" s="21"/>
      <c r="KUP134" s="21"/>
      <c r="KUQ134" s="20"/>
      <c r="KUR134" s="20"/>
      <c r="KUS134" s="20"/>
      <c r="KUT134" s="20"/>
      <c r="KUU134" s="21"/>
      <c r="KUV134" s="21"/>
      <c r="KUW134" s="7"/>
      <c r="KUX134" s="7"/>
      <c r="KUY134" s="21"/>
      <c r="KUZ134" s="20"/>
      <c r="KVA134" s="20"/>
      <c r="KVB134" s="20"/>
      <c r="KVC134" s="21"/>
      <c r="KVD134" s="21"/>
      <c r="KVE134" s="21"/>
      <c r="KVF134" s="21"/>
      <c r="KVG134" s="21"/>
      <c r="KVH134" s="20"/>
      <c r="KVI134" s="20"/>
      <c r="KVJ134" s="20"/>
      <c r="KVK134" s="20"/>
      <c r="KVL134" s="21"/>
      <c r="KVM134" s="21"/>
      <c r="KVN134" s="7"/>
      <c r="KVO134" s="7"/>
      <c r="KVP134" s="21"/>
      <c r="KVQ134" s="20"/>
      <c r="KVR134" s="20"/>
      <c r="KVS134" s="20"/>
      <c r="KVT134" s="21"/>
      <c r="KVU134" s="21"/>
      <c r="KVV134" s="21"/>
      <c r="KVW134" s="21"/>
      <c r="KVX134" s="21"/>
      <c r="KVY134" s="20"/>
      <c r="KVZ134" s="20"/>
      <c r="KWA134" s="20"/>
      <c r="KWB134" s="20"/>
      <c r="KWC134" s="21"/>
      <c r="KWD134" s="21"/>
      <c r="KWE134" s="7"/>
      <c r="KWF134" s="7"/>
      <c r="KWG134" s="21"/>
      <c r="KWH134" s="20"/>
      <c r="KWI134" s="20"/>
      <c r="KWJ134" s="20"/>
      <c r="KWK134" s="21"/>
      <c r="KWL134" s="21"/>
      <c r="KWM134" s="21"/>
      <c r="KWN134" s="21"/>
      <c r="KWO134" s="21"/>
      <c r="KWP134" s="20"/>
      <c r="KWQ134" s="20"/>
      <c r="KWR134" s="20"/>
      <c r="KWS134" s="20"/>
      <c r="KWT134" s="21"/>
      <c r="KWU134" s="21"/>
      <c r="KWV134" s="7"/>
      <c r="KWW134" s="7"/>
      <c r="KWX134" s="21"/>
      <c r="KWY134" s="20"/>
      <c r="KWZ134" s="20"/>
      <c r="KXA134" s="20"/>
      <c r="KXB134" s="21"/>
      <c r="KXC134" s="21"/>
      <c r="KXD134" s="21"/>
      <c r="KXE134" s="21"/>
      <c r="KXF134" s="21"/>
      <c r="KXG134" s="20"/>
      <c r="KXH134" s="20"/>
      <c r="KXI134" s="20"/>
      <c r="KXJ134" s="20"/>
      <c r="KXK134" s="21"/>
      <c r="KXL134" s="21"/>
      <c r="KXM134" s="7"/>
      <c r="KXN134" s="7"/>
      <c r="KXO134" s="21"/>
      <c r="KXP134" s="20"/>
      <c r="KXQ134" s="20"/>
      <c r="KXR134" s="20"/>
      <c r="KXS134" s="21"/>
      <c r="KXT134" s="21"/>
      <c r="KXU134" s="21"/>
      <c r="KXV134" s="21"/>
      <c r="KXW134" s="21"/>
      <c r="KXX134" s="20"/>
      <c r="KXY134" s="20"/>
      <c r="KXZ134" s="20"/>
      <c r="KYA134" s="20"/>
      <c r="KYB134" s="21"/>
      <c r="KYC134" s="21"/>
      <c r="KYD134" s="7"/>
      <c r="KYE134" s="7"/>
      <c r="KYF134" s="21"/>
      <c r="KYG134" s="20"/>
      <c r="KYH134" s="20"/>
      <c r="KYI134" s="20"/>
      <c r="KYJ134" s="21"/>
      <c r="KYK134" s="21"/>
      <c r="KYL134" s="21"/>
      <c r="KYM134" s="21"/>
      <c r="KYN134" s="21"/>
      <c r="KYO134" s="20"/>
      <c r="KYP134" s="20"/>
      <c r="KYQ134" s="20"/>
      <c r="KYR134" s="20"/>
      <c r="KYS134" s="21"/>
      <c r="KYT134" s="21"/>
      <c r="KYU134" s="7"/>
      <c r="KYV134" s="7"/>
      <c r="KYW134" s="21"/>
      <c r="KYX134" s="20"/>
      <c r="KYY134" s="20"/>
      <c r="KYZ134" s="20"/>
      <c r="KZA134" s="21"/>
      <c r="KZB134" s="21"/>
      <c r="KZC134" s="21"/>
      <c r="KZD134" s="21"/>
      <c r="KZE134" s="21"/>
      <c r="KZF134" s="20"/>
      <c r="KZG134" s="20"/>
      <c r="KZH134" s="20"/>
      <c r="KZI134" s="20"/>
      <c r="KZJ134" s="21"/>
      <c r="KZK134" s="21"/>
      <c r="KZL134" s="7"/>
      <c r="KZM134" s="7"/>
      <c r="KZN134" s="21"/>
      <c r="KZO134" s="20"/>
      <c r="KZP134" s="20"/>
      <c r="KZQ134" s="20"/>
      <c r="KZR134" s="21"/>
      <c r="KZS134" s="21"/>
      <c r="KZT134" s="21"/>
      <c r="KZU134" s="21"/>
      <c r="KZV134" s="21"/>
      <c r="KZW134" s="20"/>
      <c r="KZX134" s="20"/>
      <c r="KZY134" s="20"/>
      <c r="KZZ134" s="20"/>
      <c r="LAA134" s="21"/>
      <c r="LAB134" s="21"/>
      <c r="LAC134" s="7"/>
      <c r="LAD134" s="7"/>
      <c r="LAE134" s="21"/>
      <c r="LAF134" s="20"/>
      <c r="LAG134" s="20"/>
      <c r="LAH134" s="20"/>
      <c r="LAI134" s="21"/>
      <c r="LAJ134" s="21"/>
      <c r="LAK134" s="21"/>
      <c r="LAL134" s="21"/>
      <c r="LAM134" s="21"/>
      <c r="LAN134" s="20"/>
      <c r="LAO134" s="20"/>
      <c r="LAP134" s="20"/>
      <c r="LAQ134" s="20"/>
      <c r="LAR134" s="21"/>
      <c r="LAS134" s="21"/>
      <c r="LAT134" s="7"/>
      <c r="LAU134" s="7"/>
      <c r="LAV134" s="21"/>
      <c r="LAW134" s="20"/>
      <c r="LAX134" s="20"/>
      <c r="LAY134" s="20"/>
      <c r="LAZ134" s="21"/>
      <c r="LBA134" s="21"/>
      <c r="LBB134" s="21"/>
      <c r="LBC134" s="21"/>
      <c r="LBD134" s="21"/>
      <c r="LBE134" s="20"/>
      <c r="LBF134" s="20"/>
      <c r="LBG134" s="20"/>
      <c r="LBH134" s="20"/>
      <c r="LBI134" s="21"/>
      <c r="LBJ134" s="21"/>
      <c r="LBK134" s="7"/>
      <c r="LBL134" s="7"/>
      <c r="LBM134" s="21"/>
      <c r="LBN134" s="20"/>
      <c r="LBO134" s="20"/>
      <c r="LBP134" s="20"/>
      <c r="LBQ134" s="21"/>
      <c r="LBR134" s="21"/>
      <c r="LBS134" s="21"/>
      <c r="LBT134" s="21"/>
      <c r="LBU134" s="21"/>
      <c r="LBV134" s="20"/>
      <c r="LBW134" s="20"/>
      <c r="LBX134" s="20"/>
      <c r="LBY134" s="20"/>
      <c r="LBZ134" s="21"/>
      <c r="LCA134" s="21"/>
      <c r="LCB134" s="7"/>
      <c r="LCC134" s="7"/>
      <c r="LCD134" s="21"/>
      <c r="LCE134" s="20"/>
      <c r="LCF134" s="20"/>
      <c r="LCG134" s="20"/>
      <c r="LCH134" s="21"/>
      <c r="LCI134" s="21"/>
      <c r="LCJ134" s="21"/>
      <c r="LCK134" s="21"/>
      <c r="LCL134" s="21"/>
      <c r="LCM134" s="20"/>
      <c r="LCN134" s="20"/>
      <c r="LCO134" s="20"/>
      <c r="LCP134" s="20"/>
      <c r="LCQ134" s="21"/>
      <c r="LCR134" s="21"/>
      <c r="LCS134" s="7"/>
      <c r="LCT134" s="7"/>
      <c r="LCU134" s="21"/>
      <c r="LCV134" s="20"/>
      <c r="LCW134" s="20"/>
      <c r="LCX134" s="20"/>
      <c r="LCY134" s="21"/>
      <c r="LCZ134" s="21"/>
      <c r="LDA134" s="21"/>
      <c r="LDB134" s="21"/>
      <c r="LDC134" s="21"/>
      <c r="LDD134" s="20"/>
      <c r="LDE134" s="20"/>
      <c r="LDF134" s="20"/>
      <c r="LDG134" s="20"/>
      <c r="LDH134" s="21"/>
      <c r="LDI134" s="21"/>
      <c r="LDJ134" s="7"/>
      <c r="LDK134" s="7"/>
      <c r="LDL134" s="21"/>
      <c r="LDM134" s="20"/>
      <c r="LDN134" s="20"/>
      <c r="LDO134" s="20"/>
      <c r="LDP134" s="21"/>
      <c r="LDQ134" s="21"/>
      <c r="LDR134" s="21"/>
      <c r="LDS134" s="21"/>
      <c r="LDT134" s="21"/>
      <c r="LDU134" s="20"/>
      <c r="LDV134" s="20"/>
      <c r="LDW134" s="20"/>
      <c r="LDX134" s="20"/>
      <c r="LDY134" s="21"/>
      <c r="LDZ134" s="21"/>
      <c r="LEA134" s="7"/>
      <c r="LEB134" s="7"/>
      <c r="LEC134" s="21"/>
      <c r="LED134" s="20"/>
      <c r="LEE134" s="20"/>
      <c r="LEF134" s="20"/>
      <c r="LEG134" s="21"/>
      <c r="LEH134" s="21"/>
      <c r="LEI134" s="21"/>
      <c r="LEJ134" s="21"/>
      <c r="LEK134" s="21"/>
      <c r="LEL134" s="20"/>
      <c r="LEM134" s="20"/>
      <c r="LEN134" s="20"/>
      <c r="LEO134" s="20"/>
      <c r="LEP134" s="21"/>
      <c r="LEQ134" s="21"/>
      <c r="LER134" s="7"/>
      <c r="LES134" s="7"/>
      <c r="LET134" s="21"/>
      <c r="LEU134" s="20"/>
      <c r="LEV134" s="20"/>
      <c r="LEW134" s="20"/>
      <c r="LEX134" s="21"/>
      <c r="LEY134" s="21"/>
      <c r="LEZ134" s="21"/>
      <c r="LFA134" s="21"/>
      <c r="LFB134" s="21"/>
      <c r="LFC134" s="20"/>
      <c r="LFD134" s="20"/>
      <c r="LFE134" s="20"/>
      <c r="LFF134" s="20"/>
      <c r="LFG134" s="21"/>
      <c r="LFH134" s="21"/>
      <c r="LFI134" s="7"/>
      <c r="LFJ134" s="7"/>
      <c r="LFK134" s="21"/>
      <c r="LFL134" s="20"/>
      <c r="LFM134" s="20"/>
      <c r="LFN134" s="20"/>
      <c r="LFO134" s="21"/>
      <c r="LFP134" s="21"/>
      <c r="LFQ134" s="21"/>
      <c r="LFR134" s="21"/>
      <c r="LFS134" s="21"/>
      <c r="LFT134" s="20"/>
      <c r="LFU134" s="20"/>
      <c r="LFV134" s="20"/>
      <c r="LFW134" s="20"/>
      <c r="LFX134" s="21"/>
      <c r="LFY134" s="21"/>
      <c r="LFZ134" s="7"/>
      <c r="LGA134" s="7"/>
      <c r="LGB134" s="21"/>
      <c r="LGC134" s="20"/>
      <c r="LGD134" s="20"/>
      <c r="LGE134" s="20"/>
      <c r="LGF134" s="21"/>
      <c r="LGG134" s="21"/>
      <c r="LGH134" s="21"/>
      <c r="LGI134" s="21"/>
      <c r="LGJ134" s="21"/>
      <c r="LGK134" s="20"/>
      <c r="LGL134" s="20"/>
      <c r="LGM134" s="20"/>
      <c r="LGN134" s="20"/>
      <c r="LGO134" s="21"/>
      <c r="LGP134" s="21"/>
      <c r="LGQ134" s="7"/>
      <c r="LGR134" s="7"/>
      <c r="LGS134" s="21"/>
      <c r="LGT134" s="20"/>
      <c r="LGU134" s="20"/>
      <c r="LGV134" s="20"/>
      <c r="LGW134" s="21"/>
      <c r="LGX134" s="21"/>
      <c r="LGY134" s="21"/>
      <c r="LGZ134" s="21"/>
      <c r="LHA134" s="21"/>
      <c r="LHB134" s="20"/>
      <c r="LHC134" s="20"/>
      <c r="LHD134" s="20"/>
      <c r="LHE134" s="20"/>
      <c r="LHF134" s="21"/>
      <c r="LHG134" s="21"/>
      <c r="LHH134" s="7"/>
      <c r="LHI134" s="7"/>
      <c r="LHJ134" s="21"/>
      <c r="LHK134" s="20"/>
      <c r="LHL134" s="20"/>
      <c r="LHM134" s="20"/>
      <c r="LHN134" s="21"/>
      <c r="LHO134" s="21"/>
      <c r="LHP134" s="21"/>
      <c r="LHQ134" s="21"/>
      <c r="LHR134" s="21"/>
      <c r="LHS134" s="20"/>
      <c r="LHT134" s="20"/>
      <c r="LHU134" s="20"/>
      <c r="LHV134" s="20"/>
      <c r="LHW134" s="21"/>
      <c r="LHX134" s="21"/>
      <c r="LHY134" s="7"/>
      <c r="LHZ134" s="7"/>
      <c r="LIA134" s="21"/>
      <c r="LIB134" s="20"/>
      <c r="LIC134" s="20"/>
      <c r="LID134" s="20"/>
      <c r="LIE134" s="21"/>
      <c r="LIF134" s="21"/>
      <c r="LIG134" s="21"/>
      <c r="LIH134" s="21"/>
      <c r="LII134" s="21"/>
      <c r="LIJ134" s="20"/>
      <c r="LIK134" s="20"/>
      <c r="LIL134" s="20"/>
      <c r="LIM134" s="20"/>
      <c r="LIN134" s="21"/>
      <c r="LIO134" s="21"/>
      <c r="LIP134" s="7"/>
      <c r="LIQ134" s="7"/>
      <c r="LIR134" s="21"/>
      <c r="LIS134" s="20"/>
      <c r="LIT134" s="20"/>
      <c r="LIU134" s="20"/>
      <c r="LIV134" s="21"/>
      <c r="LIW134" s="21"/>
      <c r="LIX134" s="21"/>
      <c r="LIY134" s="21"/>
      <c r="LIZ134" s="21"/>
      <c r="LJA134" s="20"/>
      <c r="LJB134" s="20"/>
      <c r="LJC134" s="20"/>
      <c r="LJD134" s="20"/>
      <c r="LJE134" s="21"/>
      <c r="LJF134" s="21"/>
      <c r="LJG134" s="7"/>
      <c r="LJH134" s="7"/>
      <c r="LJI134" s="21"/>
      <c r="LJJ134" s="20"/>
      <c r="LJK134" s="20"/>
      <c r="LJL134" s="20"/>
      <c r="LJM134" s="21"/>
      <c r="LJN134" s="21"/>
      <c r="LJO134" s="21"/>
      <c r="LJP134" s="21"/>
      <c r="LJQ134" s="21"/>
      <c r="LJR134" s="20"/>
      <c r="LJS134" s="20"/>
      <c r="LJT134" s="20"/>
      <c r="LJU134" s="20"/>
      <c r="LJV134" s="21"/>
      <c r="LJW134" s="21"/>
      <c r="LJX134" s="7"/>
      <c r="LJY134" s="7"/>
      <c r="LJZ134" s="21"/>
      <c r="LKA134" s="20"/>
      <c r="LKB134" s="20"/>
      <c r="LKC134" s="20"/>
      <c r="LKD134" s="21"/>
      <c r="LKE134" s="21"/>
      <c r="LKF134" s="21"/>
      <c r="LKG134" s="21"/>
      <c r="LKH134" s="21"/>
      <c r="LKI134" s="20"/>
      <c r="LKJ134" s="20"/>
      <c r="LKK134" s="20"/>
      <c r="LKL134" s="20"/>
      <c r="LKM134" s="21"/>
      <c r="LKN134" s="21"/>
      <c r="LKO134" s="7"/>
      <c r="LKP134" s="7"/>
      <c r="LKQ134" s="21"/>
      <c r="LKR134" s="20"/>
      <c r="LKS134" s="20"/>
      <c r="LKT134" s="20"/>
      <c r="LKU134" s="21"/>
      <c r="LKV134" s="21"/>
      <c r="LKW134" s="21"/>
      <c r="LKX134" s="21"/>
      <c r="LKY134" s="21"/>
      <c r="LKZ134" s="20"/>
      <c r="LLA134" s="20"/>
      <c r="LLB134" s="20"/>
      <c r="LLC134" s="20"/>
      <c r="LLD134" s="21"/>
      <c r="LLE134" s="21"/>
      <c r="LLF134" s="7"/>
      <c r="LLG134" s="7"/>
      <c r="LLH134" s="21"/>
      <c r="LLI134" s="20"/>
      <c r="LLJ134" s="20"/>
      <c r="LLK134" s="20"/>
      <c r="LLL134" s="21"/>
      <c r="LLM134" s="21"/>
      <c r="LLN134" s="21"/>
      <c r="LLO134" s="21"/>
      <c r="LLP134" s="21"/>
      <c r="LLQ134" s="20"/>
      <c r="LLR134" s="20"/>
      <c r="LLS134" s="20"/>
      <c r="LLT134" s="20"/>
      <c r="LLU134" s="21"/>
      <c r="LLV134" s="21"/>
      <c r="LLW134" s="7"/>
      <c r="LLX134" s="7"/>
      <c r="LLY134" s="21"/>
      <c r="LLZ134" s="20"/>
      <c r="LMA134" s="20"/>
      <c r="LMB134" s="20"/>
      <c r="LMC134" s="21"/>
      <c r="LMD134" s="21"/>
      <c r="LME134" s="21"/>
      <c r="LMF134" s="21"/>
      <c r="LMG134" s="21"/>
      <c r="LMH134" s="20"/>
      <c r="LMI134" s="20"/>
      <c r="LMJ134" s="20"/>
      <c r="LMK134" s="20"/>
      <c r="LML134" s="21"/>
      <c r="LMM134" s="21"/>
      <c r="LMN134" s="7"/>
      <c r="LMO134" s="7"/>
      <c r="LMP134" s="21"/>
      <c r="LMQ134" s="20"/>
      <c r="LMR134" s="20"/>
      <c r="LMS134" s="20"/>
      <c r="LMT134" s="21"/>
      <c r="LMU134" s="21"/>
      <c r="LMV134" s="21"/>
      <c r="LMW134" s="21"/>
      <c r="LMX134" s="21"/>
      <c r="LMY134" s="20"/>
      <c r="LMZ134" s="20"/>
      <c r="LNA134" s="20"/>
      <c r="LNB134" s="20"/>
      <c r="LNC134" s="21"/>
      <c r="LND134" s="21"/>
      <c r="LNE134" s="7"/>
      <c r="LNF134" s="7"/>
      <c r="LNG134" s="21"/>
      <c r="LNH134" s="20"/>
      <c r="LNI134" s="20"/>
      <c r="LNJ134" s="20"/>
      <c r="LNK134" s="21"/>
      <c r="LNL134" s="21"/>
      <c r="LNM134" s="21"/>
      <c r="LNN134" s="21"/>
      <c r="LNO134" s="21"/>
      <c r="LNP134" s="20"/>
      <c r="LNQ134" s="20"/>
      <c r="LNR134" s="20"/>
      <c r="LNS134" s="20"/>
      <c r="LNT134" s="21"/>
      <c r="LNU134" s="21"/>
      <c r="LNV134" s="7"/>
      <c r="LNW134" s="7"/>
      <c r="LNX134" s="21"/>
      <c r="LNY134" s="20"/>
      <c r="LNZ134" s="20"/>
      <c r="LOA134" s="20"/>
      <c r="LOB134" s="21"/>
      <c r="LOC134" s="21"/>
      <c r="LOD134" s="21"/>
      <c r="LOE134" s="21"/>
      <c r="LOF134" s="21"/>
      <c r="LOG134" s="20"/>
      <c r="LOH134" s="20"/>
      <c r="LOI134" s="20"/>
      <c r="LOJ134" s="20"/>
      <c r="LOK134" s="21"/>
      <c r="LOL134" s="21"/>
      <c r="LOM134" s="7"/>
      <c r="LON134" s="7"/>
      <c r="LOO134" s="21"/>
      <c r="LOP134" s="20"/>
      <c r="LOQ134" s="20"/>
      <c r="LOR134" s="20"/>
      <c r="LOS134" s="21"/>
      <c r="LOT134" s="21"/>
      <c r="LOU134" s="21"/>
      <c r="LOV134" s="21"/>
      <c r="LOW134" s="21"/>
      <c r="LOX134" s="20"/>
      <c r="LOY134" s="20"/>
      <c r="LOZ134" s="20"/>
      <c r="LPA134" s="20"/>
      <c r="LPB134" s="21"/>
      <c r="LPC134" s="21"/>
      <c r="LPD134" s="7"/>
      <c r="LPE134" s="7"/>
      <c r="LPF134" s="21"/>
      <c r="LPG134" s="20"/>
      <c r="LPH134" s="20"/>
      <c r="LPI134" s="20"/>
      <c r="LPJ134" s="21"/>
      <c r="LPK134" s="21"/>
      <c r="LPL134" s="21"/>
      <c r="LPM134" s="21"/>
      <c r="LPN134" s="21"/>
      <c r="LPO134" s="20"/>
      <c r="LPP134" s="20"/>
      <c r="LPQ134" s="20"/>
      <c r="LPR134" s="20"/>
      <c r="LPS134" s="21"/>
      <c r="LPT134" s="21"/>
      <c r="LPU134" s="7"/>
      <c r="LPV134" s="7"/>
      <c r="LPW134" s="21"/>
      <c r="LPX134" s="20"/>
      <c r="LPY134" s="20"/>
      <c r="LPZ134" s="20"/>
      <c r="LQA134" s="21"/>
      <c r="LQB134" s="21"/>
      <c r="LQC134" s="21"/>
      <c r="LQD134" s="21"/>
      <c r="LQE134" s="21"/>
      <c r="LQF134" s="20"/>
      <c r="LQG134" s="20"/>
      <c r="LQH134" s="20"/>
      <c r="LQI134" s="20"/>
      <c r="LQJ134" s="21"/>
      <c r="LQK134" s="21"/>
      <c r="LQL134" s="7"/>
      <c r="LQM134" s="7"/>
      <c r="LQN134" s="21"/>
      <c r="LQO134" s="20"/>
      <c r="LQP134" s="20"/>
      <c r="LQQ134" s="20"/>
      <c r="LQR134" s="21"/>
      <c r="LQS134" s="21"/>
      <c r="LQT134" s="21"/>
      <c r="LQU134" s="21"/>
      <c r="LQV134" s="21"/>
      <c r="LQW134" s="20"/>
      <c r="LQX134" s="20"/>
      <c r="LQY134" s="20"/>
      <c r="LQZ134" s="20"/>
      <c r="LRA134" s="21"/>
      <c r="LRB134" s="21"/>
      <c r="LRC134" s="7"/>
      <c r="LRD134" s="7"/>
      <c r="LRE134" s="21"/>
      <c r="LRF134" s="20"/>
      <c r="LRG134" s="20"/>
      <c r="LRH134" s="20"/>
      <c r="LRI134" s="21"/>
      <c r="LRJ134" s="21"/>
      <c r="LRK134" s="21"/>
      <c r="LRL134" s="21"/>
      <c r="LRM134" s="21"/>
      <c r="LRN134" s="20"/>
      <c r="LRO134" s="20"/>
      <c r="LRP134" s="20"/>
      <c r="LRQ134" s="20"/>
      <c r="LRR134" s="21"/>
      <c r="LRS134" s="21"/>
      <c r="LRT134" s="7"/>
      <c r="LRU134" s="7"/>
      <c r="LRV134" s="21"/>
      <c r="LRW134" s="20"/>
      <c r="LRX134" s="20"/>
      <c r="LRY134" s="20"/>
      <c r="LRZ134" s="21"/>
      <c r="LSA134" s="21"/>
      <c r="LSB134" s="21"/>
      <c r="LSC134" s="21"/>
      <c r="LSD134" s="21"/>
      <c r="LSE134" s="20"/>
      <c r="LSF134" s="20"/>
      <c r="LSG134" s="20"/>
      <c r="LSH134" s="20"/>
      <c r="LSI134" s="21"/>
      <c r="LSJ134" s="21"/>
      <c r="LSK134" s="7"/>
      <c r="LSL134" s="7"/>
      <c r="LSM134" s="21"/>
      <c r="LSN134" s="20"/>
      <c r="LSO134" s="20"/>
      <c r="LSP134" s="20"/>
      <c r="LSQ134" s="21"/>
      <c r="LSR134" s="21"/>
      <c r="LSS134" s="21"/>
      <c r="LST134" s="21"/>
      <c r="LSU134" s="21"/>
      <c r="LSV134" s="20"/>
      <c r="LSW134" s="20"/>
      <c r="LSX134" s="20"/>
      <c r="LSY134" s="20"/>
      <c r="LSZ134" s="21"/>
      <c r="LTA134" s="21"/>
      <c r="LTB134" s="7"/>
      <c r="LTC134" s="7"/>
      <c r="LTD134" s="21"/>
      <c r="LTE134" s="20"/>
      <c r="LTF134" s="20"/>
      <c r="LTG134" s="20"/>
      <c r="LTH134" s="21"/>
      <c r="LTI134" s="21"/>
      <c r="LTJ134" s="21"/>
      <c r="LTK134" s="21"/>
      <c r="LTL134" s="21"/>
      <c r="LTM134" s="20"/>
      <c r="LTN134" s="20"/>
      <c r="LTO134" s="20"/>
      <c r="LTP134" s="20"/>
      <c r="LTQ134" s="21"/>
      <c r="LTR134" s="21"/>
      <c r="LTS134" s="7"/>
      <c r="LTT134" s="7"/>
      <c r="LTU134" s="21"/>
      <c r="LTV134" s="20"/>
      <c r="LTW134" s="20"/>
      <c r="LTX134" s="20"/>
      <c r="LTY134" s="21"/>
      <c r="LTZ134" s="21"/>
      <c r="LUA134" s="21"/>
      <c r="LUB134" s="21"/>
      <c r="LUC134" s="21"/>
      <c r="LUD134" s="20"/>
      <c r="LUE134" s="20"/>
      <c r="LUF134" s="20"/>
      <c r="LUG134" s="20"/>
      <c r="LUH134" s="21"/>
      <c r="LUI134" s="21"/>
      <c r="LUJ134" s="7"/>
      <c r="LUK134" s="7"/>
      <c r="LUL134" s="21"/>
      <c r="LUM134" s="20"/>
      <c r="LUN134" s="20"/>
      <c r="LUO134" s="20"/>
      <c r="LUP134" s="21"/>
      <c r="LUQ134" s="21"/>
      <c r="LUR134" s="21"/>
      <c r="LUS134" s="21"/>
      <c r="LUT134" s="21"/>
      <c r="LUU134" s="20"/>
      <c r="LUV134" s="20"/>
      <c r="LUW134" s="20"/>
      <c r="LUX134" s="20"/>
      <c r="LUY134" s="21"/>
      <c r="LUZ134" s="21"/>
      <c r="LVA134" s="7"/>
      <c r="LVB134" s="7"/>
      <c r="LVC134" s="21"/>
      <c r="LVD134" s="20"/>
      <c r="LVE134" s="20"/>
      <c r="LVF134" s="20"/>
      <c r="LVG134" s="21"/>
      <c r="LVH134" s="21"/>
      <c r="LVI134" s="21"/>
      <c r="LVJ134" s="21"/>
      <c r="LVK134" s="21"/>
      <c r="LVL134" s="20"/>
      <c r="LVM134" s="20"/>
      <c r="LVN134" s="20"/>
      <c r="LVO134" s="20"/>
      <c r="LVP134" s="21"/>
      <c r="LVQ134" s="21"/>
      <c r="LVR134" s="7"/>
      <c r="LVS134" s="7"/>
      <c r="LVT134" s="21"/>
      <c r="LVU134" s="20"/>
      <c r="LVV134" s="20"/>
      <c r="LVW134" s="20"/>
      <c r="LVX134" s="21"/>
      <c r="LVY134" s="21"/>
      <c r="LVZ134" s="21"/>
      <c r="LWA134" s="21"/>
      <c r="LWB134" s="21"/>
      <c r="LWC134" s="20"/>
      <c r="LWD134" s="20"/>
      <c r="LWE134" s="20"/>
      <c r="LWF134" s="20"/>
      <c r="LWG134" s="21"/>
      <c r="LWH134" s="21"/>
      <c r="LWI134" s="7"/>
      <c r="LWJ134" s="7"/>
      <c r="LWK134" s="21"/>
      <c r="LWL134" s="20"/>
      <c r="LWM134" s="20"/>
      <c r="LWN134" s="20"/>
      <c r="LWO134" s="21"/>
      <c r="LWP134" s="21"/>
      <c r="LWQ134" s="21"/>
      <c r="LWR134" s="21"/>
      <c r="LWS134" s="21"/>
      <c r="LWT134" s="20"/>
      <c r="LWU134" s="20"/>
      <c r="LWV134" s="20"/>
      <c r="LWW134" s="20"/>
      <c r="LWX134" s="21"/>
      <c r="LWY134" s="21"/>
      <c r="LWZ134" s="7"/>
      <c r="LXA134" s="7"/>
      <c r="LXB134" s="21"/>
      <c r="LXC134" s="20"/>
      <c r="LXD134" s="20"/>
      <c r="LXE134" s="20"/>
      <c r="LXF134" s="21"/>
      <c r="LXG134" s="21"/>
      <c r="LXH134" s="21"/>
      <c r="LXI134" s="21"/>
      <c r="LXJ134" s="21"/>
      <c r="LXK134" s="20"/>
      <c r="LXL134" s="20"/>
      <c r="LXM134" s="20"/>
      <c r="LXN134" s="20"/>
      <c r="LXO134" s="21"/>
      <c r="LXP134" s="21"/>
      <c r="LXQ134" s="7"/>
      <c r="LXR134" s="7"/>
      <c r="LXS134" s="21"/>
      <c r="LXT134" s="20"/>
      <c r="LXU134" s="20"/>
      <c r="LXV134" s="20"/>
      <c r="LXW134" s="21"/>
      <c r="LXX134" s="21"/>
      <c r="LXY134" s="21"/>
      <c r="LXZ134" s="21"/>
      <c r="LYA134" s="21"/>
      <c r="LYB134" s="20"/>
      <c r="LYC134" s="20"/>
      <c r="LYD134" s="20"/>
      <c r="LYE134" s="20"/>
      <c r="LYF134" s="21"/>
      <c r="LYG134" s="21"/>
      <c r="LYH134" s="7"/>
      <c r="LYI134" s="7"/>
      <c r="LYJ134" s="21"/>
      <c r="LYK134" s="20"/>
      <c r="LYL134" s="20"/>
      <c r="LYM134" s="20"/>
      <c r="LYN134" s="21"/>
      <c r="LYO134" s="21"/>
      <c r="LYP134" s="21"/>
      <c r="LYQ134" s="21"/>
      <c r="LYR134" s="21"/>
      <c r="LYS134" s="20"/>
      <c r="LYT134" s="20"/>
      <c r="LYU134" s="20"/>
      <c r="LYV134" s="20"/>
      <c r="LYW134" s="21"/>
      <c r="LYX134" s="21"/>
      <c r="LYY134" s="7"/>
      <c r="LYZ134" s="7"/>
      <c r="LZA134" s="21"/>
      <c r="LZB134" s="20"/>
      <c r="LZC134" s="20"/>
      <c r="LZD134" s="20"/>
      <c r="LZE134" s="21"/>
      <c r="LZF134" s="21"/>
      <c r="LZG134" s="21"/>
      <c r="LZH134" s="21"/>
      <c r="LZI134" s="21"/>
      <c r="LZJ134" s="20"/>
      <c r="LZK134" s="20"/>
      <c r="LZL134" s="20"/>
      <c r="LZM134" s="20"/>
      <c r="LZN134" s="21"/>
      <c r="LZO134" s="21"/>
      <c r="LZP134" s="7"/>
      <c r="LZQ134" s="7"/>
      <c r="LZR134" s="21"/>
      <c r="LZS134" s="20"/>
      <c r="LZT134" s="20"/>
      <c r="LZU134" s="20"/>
      <c r="LZV134" s="21"/>
      <c r="LZW134" s="21"/>
      <c r="LZX134" s="21"/>
      <c r="LZY134" s="21"/>
      <c r="LZZ134" s="21"/>
      <c r="MAA134" s="20"/>
      <c r="MAB134" s="20"/>
      <c r="MAC134" s="20"/>
      <c r="MAD134" s="20"/>
      <c r="MAE134" s="21"/>
      <c r="MAF134" s="21"/>
      <c r="MAG134" s="7"/>
      <c r="MAH134" s="7"/>
      <c r="MAI134" s="21"/>
      <c r="MAJ134" s="20"/>
      <c r="MAK134" s="20"/>
      <c r="MAL134" s="20"/>
      <c r="MAM134" s="21"/>
      <c r="MAN134" s="21"/>
      <c r="MAO134" s="21"/>
      <c r="MAP134" s="21"/>
      <c r="MAQ134" s="21"/>
      <c r="MAR134" s="20"/>
      <c r="MAS134" s="20"/>
      <c r="MAT134" s="20"/>
      <c r="MAU134" s="20"/>
      <c r="MAV134" s="21"/>
      <c r="MAW134" s="21"/>
      <c r="MAX134" s="7"/>
      <c r="MAY134" s="7"/>
      <c r="MAZ134" s="21"/>
      <c r="MBA134" s="20"/>
      <c r="MBB134" s="20"/>
      <c r="MBC134" s="20"/>
      <c r="MBD134" s="21"/>
      <c r="MBE134" s="21"/>
      <c r="MBF134" s="21"/>
      <c r="MBG134" s="21"/>
      <c r="MBH134" s="21"/>
      <c r="MBI134" s="20"/>
      <c r="MBJ134" s="20"/>
      <c r="MBK134" s="20"/>
      <c r="MBL134" s="20"/>
      <c r="MBM134" s="21"/>
      <c r="MBN134" s="21"/>
      <c r="MBO134" s="7"/>
      <c r="MBP134" s="7"/>
      <c r="MBQ134" s="21"/>
      <c r="MBR134" s="20"/>
      <c r="MBS134" s="20"/>
      <c r="MBT134" s="20"/>
      <c r="MBU134" s="21"/>
      <c r="MBV134" s="21"/>
      <c r="MBW134" s="21"/>
      <c r="MBX134" s="21"/>
      <c r="MBY134" s="21"/>
      <c r="MBZ134" s="20"/>
      <c r="MCA134" s="20"/>
      <c r="MCB134" s="20"/>
      <c r="MCC134" s="20"/>
      <c r="MCD134" s="21"/>
      <c r="MCE134" s="21"/>
      <c r="MCF134" s="7"/>
      <c r="MCG134" s="7"/>
      <c r="MCH134" s="21"/>
      <c r="MCI134" s="20"/>
      <c r="MCJ134" s="20"/>
      <c r="MCK134" s="20"/>
      <c r="MCL134" s="21"/>
      <c r="MCM134" s="21"/>
      <c r="MCN134" s="21"/>
      <c r="MCO134" s="21"/>
      <c r="MCP134" s="21"/>
      <c r="MCQ134" s="20"/>
      <c r="MCR134" s="20"/>
      <c r="MCS134" s="20"/>
      <c r="MCT134" s="20"/>
      <c r="MCU134" s="21"/>
      <c r="MCV134" s="21"/>
      <c r="MCW134" s="7"/>
      <c r="MCX134" s="7"/>
      <c r="MCY134" s="21"/>
      <c r="MCZ134" s="20"/>
      <c r="MDA134" s="20"/>
      <c r="MDB134" s="20"/>
      <c r="MDC134" s="21"/>
      <c r="MDD134" s="21"/>
      <c r="MDE134" s="21"/>
      <c r="MDF134" s="21"/>
      <c r="MDG134" s="21"/>
      <c r="MDH134" s="20"/>
      <c r="MDI134" s="20"/>
      <c r="MDJ134" s="20"/>
      <c r="MDK134" s="20"/>
      <c r="MDL134" s="21"/>
      <c r="MDM134" s="21"/>
      <c r="MDN134" s="7"/>
      <c r="MDO134" s="7"/>
      <c r="MDP134" s="21"/>
      <c r="MDQ134" s="20"/>
      <c r="MDR134" s="20"/>
      <c r="MDS134" s="20"/>
      <c r="MDT134" s="21"/>
      <c r="MDU134" s="21"/>
      <c r="MDV134" s="21"/>
      <c r="MDW134" s="21"/>
      <c r="MDX134" s="21"/>
      <c r="MDY134" s="20"/>
      <c r="MDZ134" s="20"/>
      <c r="MEA134" s="20"/>
      <c r="MEB134" s="20"/>
      <c r="MEC134" s="21"/>
      <c r="MED134" s="21"/>
      <c r="MEE134" s="7"/>
      <c r="MEF134" s="7"/>
      <c r="MEG134" s="21"/>
      <c r="MEH134" s="20"/>
      <c r="MEI134" s="20"/>
      <c r="MEJ134" s="20"/>
      <c r="MEK134" s="21"/>
      <c r="MEL134" s="21"/>
      <c r="MEM134" s="21"/>
      <c r="MEN134" s="21"/>
      <c r="MEO134" s="21"/>
      <c r="MEP134" s="20"/>
      <c r="MEQ134" s="20"/>
      <c r="MER134" s="20"/>
      <c r="MES134" s="20"/>
      <c r="MET134" s="21"/>
      <c r="MEU134" s="21"/>
      <c r="MEV134" s="7"/>
      <c r="MEW134" s="7"/>
      <c r="MEX134" s="21"/>
      <c r="MEY134" s="20"/>
      <c r="MEZ134" s="20"/>
      <c r="MFA134" s="20"/>
      <c r="MFB134" s="21"/>
      <c r="MFC134" s="21"/>
      <c r="MFD134" s="21"/>
      <c r="MFE134" s="21"/>
      <c r="MFF134" s="21"/>
      <c r="MFG134" s="20"/>
      <c r="MFH134" s="20"/>
      <c r="MFI134" s="20"/>
      <c r="MFJ134" s="20"/>
      <c r="MFK134" s="21"/>
      <c r="MFL134" s="21"/>
      <c r="MFM134" s="7"/>
      <c r="MFN134" s="7"/>
      <c r="MFO134" s="21"/>
      <c r="MFP134" s="20"/>
      <c r="MFQ134" s="20"/>
      <c r="MFR134" s="20"/>
      <c r="MFS134" s="21"/>
      <c r="MFT134" s="21"/>
      <c r="MFU134" s="21"/>
      <c r="MFV134" s="21"/>
      <c r="MFW134" s="21"/>
      <c r="MFX134" s="20"/>
      <c r="MFY134" s="20"/>
      <c r="MFZ134" s="20"/>
      <c r="MGA134" s="20"/>
      <c r="MGB134" s="21"/>
      <c r="MGC134" s="21"/>
      <c r="MGD134" s="7"/>
      <c r="MGE134" s="7"/>
      <c r="MGF134" s="21"/>
      <c r="MGG134" s="20"/>
      <c r="MGH134" s="20"/>
      <c r="MGI134" s="20"/>
      <c r="MGJ134" s="21"/>
      <c r="MGK134" s="21"/>
      <c r="MGL134" s="21"/>
      <c r="MGM134" s="21"/>
      <c r="MGN134" s="21"/>
      <c r="MGO134" s="20"/>
      <c r="MGP134" s="20"/>
      <c r="MGQ134" s="20"/>
      <c r="MGR134" s="20"/>
      <c r="MGS134" s="21"/>
      <c r="MGT134" s="21"/>
      <c r="MGU134" s="7"/>
      <c r="MGV134" s="7"/>
      <c r="MGW134" s="21"/>
      <c r="MGX134" s="20"/>
      <c r="MGY134" s="20"/>
      <c r="MGZ134" s="20"/>
      <c r="MHA134" s="21"/>
      <c r="MHB134" s="21"/>
      <c r="MHC134" s="21"/>
      <c r="MHD134" s="21"/>
      <c r="MHE134" s="21"/>
      <c r="MHF134" s="20"/>
      <c r="MHG134" s="20"/>
      <c r="MHH134" s="20"/>
      <c r="MHI134" s="20"/>
      <c r="MHJ134" s="21"/>
      <c r="MHK134" s="21"/>
      <c r="MHL134" s="7"/>
      <c r="MHM134" s="7"/>
      <c r="MHN134" s="21"/>
      <c r="MHO134" s="20"/>
      <c r="MHP134" s="20"/>
      <c r="MHQ134" s="20"/>
      <c r="MHR134" s="21"/>
      <c r="MHS134" s="21"/>
      <c r="MHT134" s="21"/>
      <c r="MHU134" s="21"/>
      <c r="MHV134" s="21"/>
      <c r="MHW134" s="20"/>
      <c r="MHX134" s="20"/>
      <c r="MHY134" s="20"/>
      <c r="MHZ134" s="20"/>
      <c r="MIA134" s="21"/>
      <c r="MIB134" s="21"/>
      <c r="MIC134" s="7"/>
      <c r="MID134" s="7"/>
      <c r="MIE134" s="21"/>
      <c r="MIF134" s="20"/>
      <c r="MIG134" s="20"/>
      <c r="MIH134" s="20"/>
      <c r="MII134" s="21"/>
      <c r="MIJ134" s="21"/>
      <c r="MIK134" s="21"/>
      <c r="MIL134" s="21"/>
      <c r="MIM134" s="21"/>
      <c r="MIN134" s="20"/>
      <c r="MIO134" s="20"/>
      <c r="MIP134" s="20"/>
      <c r="MIQ134" s="20"/>
      <c r="MIR134" s="21"/>
      <c r="MIS134" s="21"/>
      <c r="MIT134" s="7"/>
      <c r="MIU134" s="7"/>
      <c r="MIV134" s="21"/>
      <c r="MIW134" s="20"/>
      <c r="MIX134" s="20"/>
      <c r="MIY134" s="20"/>
      <c r="MIZ134" s="21"/>
      <c r="MJA134" s="21"/>
      <c r="MJB134" s="21"/>
      <c r="MJC134" s="21"/>
      <c r="MJD134" s="21"/>
      <c r="MJE134" s="20"/>
      <c r="MJF134" s="20"/>
      <c r="MJG134" s="20"/>
      <c r="MJH134" s="20"/>
      <c r="MJI134" s="21"/>
      <c r="MJJ134" s="21"/>
      <c r="MJK134" s="7"/>
      <c r="MJL134" s="7"/>
      <c r="MJM134" s="21"/>
      <c r="MJN134" s="20"/>
      <c r="MJO134" s="20"/>
      <c r="MJP134" s="20"/>
      <c r="MJQ134" s="21"/>
      <c r="MJR134" s="21"/>
      <c r="MJS134" s="21"/>
      <c r="MJT134" s="21"/>
      <c r="MJU134" s="21"/>
      <c r="MJV134" s="20"/>
      <c r="MJW134" s="20"/>
      <c r="MJX134" s="20"/>
      <c r="MJY134" s="20"/>
      <c r="MJZ134" s="21"/>
      <c r="MKA134" s="21"/>
      <c r="MKB134" s="7"/>
      <c r="MKC134" s="7"/>
      <c r="MKD134" s="21"/>
      <c r="MKE134" s="20"/>
      <c r="MKF134" s="20"/>
      <c r="MKG134" s="20"/>
      <c r="MKH134" s="21"/>
      <c r="MKI134" s="21"/>
      <c r="MKJ134" s="21"/>
      <c r="MKK134" s="21"/>
      <c r="MKL134" s="21"/>
      <c r="MKM134" s="20"/>
      <c r="MKN134" s="20"/>
      <c r="MKO134" s="20"/>
      <c r="MKP134" s="20"/>
      <c r="MKQ134" s="21"/>
      <c r="MKR134" s="21"/>
      <c r="MKS134" s="7"/>
      <c r="MKT134" s="7"/>
      <c r="MKU134" s="21"/>
      <c r="MKV134" s="20"/>
      <c r="MKW134" s="20"/>
      <c r="MKX134" s="20"/>
      <c r="MKY134" s="21"/>
      <c r="MKZ134" s="21"/>
      <c r="MLA134" s="21"/>
      <c r="MLB134" s="21"/>
      <c r="MLC134" s="21"/>
      <c r="MLD134" s="20"/>
      <c r="MLE134" s="20"/>
      <c r="MLF134" s="20"/>
      <c r="MLG134" s="20"/>
      <c r="MLH134" s="21"/>
      <c r="MLI134" s="21"/>
      <c r="MLJ134" s="7"/>
      <c r="MLK134" s="7"/>
      <c r="MLL134" s="21"/>
      <c r="MLM134" s="20"/>
      <c r="MLN134" s="20"/>
      <c r="MLO134" s="20"/>
      <c r="MLP134" s="21"/>
      <c r="MLQ134" s="21"/>
      <c r="MLR134" s="21"/>
      <c r="MLS134" s="21"/>
      <c r="MLT134" s="21"/>
      <c r="MLU134" s="20"/>
      <c r="MLV134" s="20"/>
      <c r="MLW134" s="20"/>
      <c r="MLX134" s="20"/>
      <c r="MLY134" s="21"/>
      <c r="MLZ134" s="21"/>
      <c r="MMA134" s="7"/>
      <c r="MMB134" s="7"/>
      <c r="MMC134" s="21"/>
      <c r="MMD134" s="20"/>
      <c r="MME134" s="20"/>
      <c r="MMF134" s="20"/>
      <c r="MMG134" s="21"/>
      <c r="MMH134" s="21"/>
      <c r="MMI134" s="21"/>
      <c r="MMJ134" s="21"/>
      <c r="MMK134" s="21"/>
      <c r="MML134" s="20"/>
      <c r="MMM134" s="20"/>
      <c r="MMN134" s="20"/>
      <c r="MMO134" s="20"/>
      <c r="MMP134" s="21"/>
      <c r="MMQ134" s="21"/>
      <c r="MMR134" s="7"/>
      <c r="MMS134" s="7"/>
      <c r="MMT134" s="21"/>
      <c r="MMU134" s="20"/>
      <c r="MMV134" s="20"/>
      <c r="MMW134" s="20"/>
      <c r="MMX134" s="21"/>
      <c r="MMY134" s="21"/>
      <c r="MMZ134" s="21"/>
      <c r="MNA134" s="21"/>
      <c r="MNB134" s="21"/>
      <c r="MNC134" s="20"/>
      <c r="MND134" s="20"/>
      <c r="MNE134" s="20"/>
      <c r="MNF134" s="20"/>
      <c r="MNG134" s="21"/>
      <c r="MNH134" s="21"/>
      <c r="MNI134" s="7"/>
      <c r="MNJ134" s="7"/>
      <c r="MNK134" s="21"/>
      <c r="MNL134" s="20"/>
      <c r="MNM134" s="20"/>
      <c r="MNN134" s="20"/>
      <c r="MNO134" s="21"/>
      <c r="MNP134" s="21"/>
      <c r="MNQ134" s="21"/>
      <c r="MNR134" s="21"/>
      <c r="MNS134" s="21"/>
      <c r="MNT134" s="20"/>
      <c r="MNU134" s="20"/>
      <c r="MNV134" s="20"/>
      <c r="MNW134" s="20"/>
      <c r="MNX134" s="21"/>
      <c r="MNY134" s="21"/>
      <c r="MNZ134" s="7"/>
      <c r="MOA134" s="7"/>
      <c r="MOB134" s="21"/>
      <c r="MOC134" s="20"/>
      <c r="MOD134" s="20"/>
      <c r="MOE134" s="20"/>
      <c r="MOF134" s="21"/>
      <c r="MOG134" s="21"/>
      <c r="MOH134" s="21"/>
      <c r="MOI134" s="21"/>
      <c r="MOJ134" s="21"/>
      <c r="MOK134" s="20"/>
      <c r="MOL134" s="20"/>
      <c r="MOM134" s="20"/>
      <c r="MON134" s="20"/>
      <c r="MOO134" s="21"/>
      <c r="MOP134" s="21"/>
      <c r="MOQ134" s="7"/>
      <c r="MOR134" s="7"/>
      <c r="MOS134" s="21"/>
      <c r="MOT134" s="20"/>
      <c r="MOU134" s="20"/>
      <c r="MOV134" s="20"/>
      <c r="MOW134" s="21"/>
      <c r="MOX134" s="21"/>
      <c r="MOY134" s="21"/>
      <c r="MOZ134" s="21"/>
      <c r="MPA134" s="21"/>
      <c r="MPB134" s="20"/>
      <c r="MPC134" s="20"/>
      <c r="MPD134" s="20"/>
      <c r="MPE134" s="20"/>
      <c r="MPF134" s="21"/>
      <c r="MPG134" s="21"/>
      <c r="MPH134" s="7"/>
      <c r="MPI134" s="7"/>
      <c r="MPJ134" s="21"/>
      <c r="MPK134" s="20"/>
      <c r="MPL134" s="20"/>
      <c r="MPM134" s="20"/>
      <c r="MPN134" s="21"/>
      <c r="MPO134" s="21"/>
      <c r="MPP134" s="21"/>
      <c r="MPQ134" s="21"/>
      <c r="MPR134" s="21"/>
      <c r="MPS134" s="20"/>
      <c r="MPT134" s="20"/>
      <c r="MPU134" s="20"/>
      <c r="MPV134" s="20"/>
      <c r="MPW134" s="21"/>
      <c r="MPX134" s="21"/>
      <c r="MPY134" s="7"/>
      <c r="MPZ134" s="7"/>
      <c r="MQA134" s="21"/>
      <c r="MQB134" s="20"/>
      <c r="MQC134" s="20"/>
      <c r="MQD134" s="20"/>
      <c r="MQE134" s="21"/>
      <c r="MQF134" s="21"/>
      <c r="MQG134" s="21"/>
      <c r="MQH134" s="21"/>
      <c r="MQI134" s="21"/>
      <c r="MQJ134" s="20"/>
      <c r="MQK134" s="20"/>
      <c r="MQL134" s="20"/>
      <c r="MQM134" s="20"/>
      <c r="MQN134" s="21"/>
      <c r="MQO134" s="21"/>
      <c r="MQP134" s="7"/>
      <c r="MQQ134" s="7"/>
      <c r="MQR134" s="21"/>
      <c r="MQS134" s="20"/>
      <c r="MQT134" s="20"/>
      <c r="MQU134" s="20"/>
      <c r="MQV134" s="21"/>
      <c r="MQW134" s="21"/>
      <c r="MQX134" s="21"/>
      <c r="MQY134" s="21"/>
      <c r="MQZ134" s="21"/>
      <c r="MRA134" s="20"/>
      <c r="MRB134" s="20"/>
      <c r="MRC134" s="20"/>
      <c r="MRD134" s="20"/>
      <c r="MRE134" s="21"/>
      <c r="MRF134" s="21"/>
      <c r="MRG134" s="7"/>
      <c r="MRH134" s="7"/>
      <c r="MRI134" s="21"/>
      <c r="MRJ134" s="20"/>
      <c r="MRK134" s="20"/>
      <c r="MRL134" s="20"/>
      <c r="MRM134" s="21"/>
      <c r="MRN134" s="21"/>
      <c r="MRO134" s="21"/>
      <c r="MRP134" s="21"/>
      <c r="MRQ134" s="21"/>
      <c r="MRR134" s="20"/>
      <c r="MRS134" s="20"/>
      <c r="MRT134" s="20"/>
      <c r="MRU134" s="20"/>
      <c r="MRV134" s="21"/>
      <c r="MRW134" s="21"/>
      <c r="MRX134" s="7"/>
      <c r="MRY134" s="7"/>
      <c r="MRZ134" s="21"/>
      <c r="MSA134" s="20"/>
      <c r="MSB134" s="20"/>
      <c r="MSC134" s="20"/>
      <c r="MSD134" s="21"/>
      <c r="MSE134" s="21"/>
      <c r="MSF134" s="21"/>
      <c r="MSG134" s="21"/>
      <c r="MSH134" s="21"/>
      <c r="MSI134" s="20"/>
      <c r="MSJ134" s="20"/>
      <c r="MSK134" s="20"/>
      <c r="MSL134" s="20"/>
      <c r="MSM134" s="21"/>
      <c r="MSN134" s="21"/>
      <c r="MSO134" s="7"/>
      <c r="MSP134" s="7"/>
      <c r="MSQ134" s="21"/>
      <c r="MSR134" s="20"/>
      <c r="MSS134" s="20"/>
      <c r="MST134" s="20"/>
      <c r="MSU134" s="21"/>
      <c r="MSV134" s="21"/>
      <c r="MSW134" s="21"/>
      <c r="MSX134" s="21"/>
      <c r="MSY134" s="21"/>
      <c r="MSZ134" s="20"/>
      <c r="MTA134" s="20"/>
      <c r="MTB134" s="20"/>
      <c r="MTC134" s="20"/>
      <c r="MTD134" s="21"/>
      <c r="MTE134" s="21"/>
      <c r="MTF134" s="7"/>
      <c r="MTG134" s="7"/>
      <c r="MTH134" s="21"/>
      <c r="MTI134" s="20"/>
      <c r="MTJ134" s="20"/>
      <c r="MTK134" s="20"/>
      <c r="MTL134" s="21"/>
      <c r="MTM134" s="21"/>
      <c r="MTN134" s="21"/>
      <c r="MTO134" s="21"/>
      <c r="MTP134" s="21"/>
      <c r="MTQ134" s="20"/>
      <c r="MTR134" s="20"/>
      <c r="MTS134" s="20"/>
      <c r="MTT134" s="20"/>
      <c r="MTU134" s="21"/>
      <c r="MTV134" s="21"/>
      <c r="MTW134" s="7"/>
      <c r="MTX134" s="7"/>
      <c r="MTY134" s="21"/>
      <c r="MTZ134" s="20"/>
      <c r="MUA134" s="20"/>
      <c r="MUB134" s="20"/>
      <c r="MUC134" s="21"/>
      <c r="MUD134" s="21"/>
      <c r="MUE134" s="21"/>
      <c r="MUF134" s="21"/>
      <c r="MUG134" s="21"/>
      <c r="MUH134" s="20"/>
      <c r="MUI134" s="20"/>
      <c r="MUJ134" s="20"/>
      <c r="MUK134" s="20"/>
      <c r="MUL134" s="21"/>
      <c r="MUM134" s="21"/>
      <c r="MUN134" s="7"/>
      <c r="MUO134" s="7"/>
      <c r="MUP134" s="21"/>
      <c r="MUQ134" s="20"/>
      <c r="MUR134" s="20"/>
      <c r="MUS134" s="20"/>
      <c r="MUT134" s="21"/>
      <c r="MUU134" s="21"/>
      <c r="MUV134" s="21"/>
      <c r="MUW134" s="21"/>
      <c r="MUX134" s="21"/>
      <c r="MUY134" s="20"/>
      <c r="MUZ134" s="20"/>
      <c r="MVA134" s="20"/>
      <c r="MVB134" s="20"/>
      <c r="MVC134" s="21"/>
      <c r="MVD134" s="21"/>
      <c r="MVE134" s="7"/>
      <c r="MVF134" s="7"/>
      <c r="MVG134" s="21"/>
      <c r="MVH134" s="20"/>
      <c r="MVI134" s="20"/>
      <c r="MVJ134" s="20"/>
      <c r="MVK134" s="21"/>
      <c r="MVL134" s="21"/>
      <c r="MVM134" s="21"/>
      <c r="MVN134" s="21"/>
      <c r="MVO134" s="21"/>
      <c r="MVP134" s="20"/>
      <c r="MVQ134" s="20"/>
      <c r="MVR134" s="20"/>
      <c r="MVS134" s="20"/>
      <c r="MVT134" s="21"/>
      <c r="MVU134" s="21"/>
      <c r="MVV134" s="7"/>
      <c r="MVW134" s="7"/>
      <c r="MVX134" s="21"/>
      <c r="MVY134" s="20"/>
      <c r="MVZ134" s="20"/>
      <c r="MWA134" s="20"/>
      <c r="MWB134" s="21"/>
      <c r="MWC134" s="21"/>
      <c r="MWD134" s="21"/>
      <c r="MWE134" s="21"/>
      <c r="MWF134" s="21"/>
      <c r="MWG134" s="20"/>
      <c r="MWH134" s="20"/>
      <c r="MWI134" s="20"/>
      <c r="MWJ134" s="20"/>
      <c r="MWK134" s="21"/>
      <c r="MWL134" s="21"/>
      <c r="MWM134" s="7"/>
      <c r="MWN134" s="7"/>
      <c r="MWO134" s="21"/>
      <c r="MWP134" s="20"/>
      <c r="MWQ134" s="20"/>
      <c r="MWR134" s="20"/>
      <c r="MWS134" s="21"/>
      <c r="MWT134" s="21"/>
      <c r="MWU134" s="21"/>
      <c r="MWV134" s="21"/>
      <c r="MWW134" s="21"/>
      <c r="MWX134" s="20"/>
      <c r="MWY134" s="20"/>
      <c r="MWZ134" s="20"/>
      <c r="MXA134" s="20"/>
      <c r="MXB134" s="21"/>
      <c r="MXC134" s="21"/>
      <c r="MXD134" s="7"/>
      <c r="MXE134" s="7"/>
      <c r="MXF134" s="21"/>
      <c r="MXG134" s="20"/>
      <c r="MXH134" s="20"/>
      <c r="MXI134" s="20"/>
      <c r="MXJ134" s="21"/>
      <c r="MXK134" s="21"/>
      <c r="MXL134" s="21"/>
      <c r="MXM134" s="21"/>
      <c r="MXN134" s="21"/>
      <c r="MXO134" s="20"/>
      <c r="MXP134" s="20"/>
      <c r="MXQ134" s="20"/>
      <c r="MXR134" s="20"/>
      <c r="MXS134" s="21"/>
      <c r="MXT134" s="21"/>
      <c r="MXU134" s="7"/>
      <c r="MXV134" s="7"/>
      <c r="MXW134" s="21"/>
      <c r="MXX134" s="20"/>
      <c r="MXY134" s="20"/>
      <c r="MXZ134" s="20"/>
      <c r="MYA134" s="21"/>
      <c r="MYB134" s="21"/>
      <c r="MYC134" s="21"/>
      <c r="MYD134" s="21"/>
      <c r="MYE134" s="21"/>
      <c r="MYF134" s="20"/>
      <c r="MYG134" s="20"/>
      <c r="MYH134" s="20"/>
      <c r="MYI134" s="20"/>
      <c r="MYJ134" s="21"/>
      <c r="MYK134" s="21"/>
      <c r="MYL134" s="7"/>
      <c r="MYM134" s="7"/>
      <c r="MYN134" s="21"/>
      <c r="MYO134" s="20"/>
      <c r="MYP134" s="20"/>
      <c r="MYQ134" s="20"/>
      <c r="MYR134" s="21"/>
      <c r="MYS134" s="21"/>
      <c r="MYT134" s="21"/>
      <c r="MYU134" s="21"/>
      <c r="MYV134" s="21"/>
      <c r="MYW134" s="20"/>
      <c r="MYX134" s="20"/>
      <c r="MYY134" s="20"/>
      <c r="MYZ134" s="20"/>
      <c r="MZA134" s="21"/>
      <c r="MZB134" s="21"/>
      <c r="MZC134" s="7"/>
      <c r="MZD134" s="7"/>
      <c r="MZE134" s="21"/>
      <c r="MZF134" s="20"/>
      <c r="MZG134" s="20"/>
      <c r="MZH134" s="20"/>
      <c r="MZI134" s="21"/>
      <c r="MZJ134" s="21"/>
      <c r="MZK134" s="21"/>
      <c r="MZL134" s="21"/>
      <c r="MZM134" s="21"/>
      <c r="MZN134" s="20"/>
      <c r="MZO134" s="20"/>
      <c r="MZP134" s="20"/>
      <c r="MZQ134" s="20"/>
      <c r="MZR134" s="21"/>
      <c r="MZS134" s="21"/>
      <c r="MZT134" s="7"/>
      <c r="MZU134" s="7"/>
      <c r="MZV134" s="21"/>
      <c r="MZW134" s="20"/>
      <c r="MZX134" s="20"/>
      <c r="MZY134" s="20"/>
      <c r="MZZ134" s="21"/>
      <c r="NAA134" s="21"/>
      <c r="NAB134" s="21"/>
      <c r="NAC134" s="21"/>
      <c r="NAD134" s="21"/>
      <c r="NAE134" s="20"/>
      <c r="NAF134" s="20"/>
      <c r="NAG134" s="20"/>
      <c r="NAH134" s="20"/>
      <c r="NAI134" s="21"/>
      <c r="NAJ134" s="21"/>
      <c r="NAK134" s="7"/>
      <c r="NAL134" s="7"/>
      <c r="NAM134" s="21"/>
      <c r="NAN134" s="20"/>
      <c r="NAO134" s="20"/>
      <c r="NAP134" s="20"/>
      <c r="NAQ134" s="21"/>
      <c r="NAR134" s="21"/>
      <c r="NAS134" s="21"/>
      <c r="NAT134" s="21"/>
      <c r="NAU134" s="21"/>
      <c r="NAV134" s="20"/>
      <c r="NAW134" s="20"/>
      <c r="NAX134" s="20"/>
      <c r="NAY134" s="20"/>
      <c r="NAZ134" s="21"/>
      <c r="NBA134" s="21"/>
      <c r="NBB134" s="7"/>
      <c r="NBC134" s="7"/>
      <c r="NBD134" s="21"/>
      <c r="NBE134" s="20"/>
      <c r="NBF134" s="20"/>
      <c r="NBG134" s="20"/>
      <c r="NBH134" s="21"/>
      <c r="NBI134" s="21"/>
      <c r="NBJ134" s="21"/>
      <c r="NBK134" s="21"/>
      <c r="NBL134" s="21"/>
      <c r="NBM134" s="20"/>
      <c r="NBN134" s="20"/>
      <c r="NBO134" s="20"/>
      <c r="NBP134" s="20"/>
      <c r="NBQ134" s="21"/>
      <c r="NBR134" s="21"/>
      <c r="NBS134" s="7"/>
      <c r="NBT134" s="7"/>
      <c r="NBU134" s="21"/>
      <c r="NBV134" s="20"/>
      <c r="NBW134" s="20"/>
      <c r="NBX134" s="20"/>
      <c r="NBY134" s="21"/>
      <c r="NBZ134" s="21"/>
      <c r="NCA134" s="21"/>
      <c r="NCB134" s="21"/>
      <c r="NCC134" s="21"/>
      <c r="NCD134" s="20"/>
      <c r="NCE134" s="20"/>
      <c r="NCF134" s="20"/>
      <c r="NCG134" s="20"/>
      <c r="NCH134" s="21"/>
      <c r="NCI134" s="21"/>
      <c r="NCJ134" s="7"/>
      <c r="NCK134" s="7"/>
      <c r="NCL134" s="21"/>
      <c r="NCM134" s="20"/>
      <c r="NCN134" s="20"/>
      <c r="NCO134" s="20"/>
      <c r="NCP134" s="21"/>
      <c r="NCQ134" s="21"/>
      <c r="NCR134" s="21"/>
      <c r="NCS134" s="21"/>
      <c r="NCT134" s="21"/>
      <c r="NCU134" s="20"/>
      <c r="NCV134" s="20"/>
      <c r="NCW134" s="20"/>
      <c r="NCX134" s="20"/>
      <c r="NCY134" s="21"/>
      <c r="NCZ134" s="21"/>
      <c r="NDA134" s="7"/>
      <c r="NDB134" s="7"/>
      <c r="NDC134" s="21"/>
      <c r="NDD134" s="20"/>
      <c r="NDE134" s="20"/>
      <c r="NDF134" s="20"/>
      <c r="NDG134" s="21"/>
      <c r="NDH134" s="21"/>
      <c r="NDI134" s="21"/>
      <c r="NDJ134" s="21"/>
      <c r="NDK134" s="21"/>
      <c r="NDL134" s="20"/>
      <c r="NDM134" s="20"/>
      <c r="NDN134" s="20"/>
      <c r="NDO134" s="20"/>
      <c r="NDP134" s="21"/>
      <c r="NDQ134" s="21"/>
      <c r="NDR134" s="7"/>
      <c r="NDS134" s="7"/>
      <c r="NDT134" s="21"/>
      <c r="NDU134" s="20"/>
      <c r="NDV134" s="20"/>
      <c r="NDW134" s="20"/>
      <c r="NDX134" s="21"/>
      <c r="NDY134" s="21"/>
      <c r="NDZ134" s="21"/>
      <c r="NEA134" s="21"/>
      <c r="NEB134" s="21"/>
      <c r="NEC134" s="20"/>
      <c r="NED134" s="20"/>
      <c r="NEE134" s="20"/>
      <c r="NEF134" s="20"/>
      <c r="NEG134" s="21"/>
      <c r="NEH134" s="21"/>
      <c r="NEI134" s="7"/>
      <c r="NEJ134" s="7"/>
      <c r="NEK134" s="21"/>
      <c r="NEL134" s="20"/>
      <c r="NEM134" s="20"/>
      <c r="NEN134" s="20"/>
      <c r="NEO134" s="21"/>
      <c r="NEP134" s="21"/>
      <c r="NEQ134" s="21"/>
      <c r="NER134" s="21"/>
      <c r="NES134" s="21"/>
      <c r="NET134" s="20"/>
      <c r="NEU134" s="20"/>
      <c r="NEV134" s="20"/>
      <c r="NEW134" s="20"/>
      <c r="NEX134" s="21"/>
      <c r="NEY134" s="21"/>
      <c r="NEZ134" s="7"/>
      <c r="NFA134" s="7"/>
      <c r="NFB134" s="21"/>
      <c r="NFC134" s="20"/>
      <c r="NFD134" s="20"/>
      <c r="NFE134" s="20"/>
      <c r="NFF134" s="21"/>
      <c r="NFG134" s="21"/>
      <c r="NFH134" s="21"/>
      <c r="NFI134" s="21"/>
      <c r="NFJ134" s="21"/>
      <c r="NFK134" s="20"/>
      <c r="NFL134" s="20"/>
      <c r="NFM134" s="20"/>
      <c r="NFN134" s="20"/>
      <c r="NFO134" s="21"/>
      <c r="NFP134" s="21"/>
      <c r="NFQ134" s="7"/>
      <c r="NFR134" s="7"/>
      <c r="NFS134" s="21"/>
      <c r="NFT134" s="20"/>
      <c r="NFU134" s="20"/>
      <c r="NFV134" s="20"/>
      <c r="NFW134" s="21"/>
      <c r="NFX134" s="21"/>
      <c r="NFY134" s="21"/>
      <c r="NFZ134" s="21"/>
      <c r="NGA134" s="21"/>
      <c r="NGB134" s="20"/>
      <c r="NGC134" s="20"/>
      <c r="NGD134" s="20"/>
      <c r="NGE134" s="20"/>
      <c r="NGF134" s="21"/>
      <c r="NGG134" s="21"/>
      <c r="NGH134" s="7"/>
      <c r="NGI134" s="7"/>
      <c r="NGJ134" s="21"/>
      <c r="NGK134" s="20"/>
      <c r="NGL134" s="20"/>
      <c r="NGM134" s="20"/>
      <c r="NGN134" s="21"/>
      <c r="NGO134" s="21"/>
      <c r="NGP134" s="21"/>
      <c r="NGQ134" s="21"/>
      <c r="NGR134" s="21"/>
      <c r="NGS134" s="20"/>
      <c r="NGT134" s="20"/>
      <c r="NGU134" s="20"/>
      <c r="NGV134" s="20"/>
      <c r="NGW134" s="21"/>
      <c r="NGX134" s="21"/>
      <c r="NGY134" s="7"/>
      <c r="NGZ134" s="7"/>
      <c r="NHA134" s="21"/>
      <c r="NHB134" s="20"/>
      <c r="NHC134" s="20"/>
      <c r="NHD134" s="20"/>
      <c r="NHE134" s="21"/>
      <c r="NHF134" s="21"/>
      <c r="NHG134" s="21"/>
      <c r="NHH134" s="21"/>
      <c r="NHI134" s="21"/>
      <c r="NHJ134" s="20"/>
      <c r="NHK134" s="20"/>
      <c r="NHL134" s="20"/>
      <c r="NHM134" s="20"/>
      <c r="NHN134" s="21"/>
      <c r="NHO134" s="21"/>
      <c r="NHP134" s="7"/>
      <c r="NHQ134" s="7"/>
      <c r="NHR134" s="21"/>
      <c r="NHS134" s="20"/>
      <c r="NHT134" s="20"/>
      <c r="NHU134" s="20"/>
      <c r="NHV134" s="21"/>
      <c r="NHW134" s="21"/>
      <c r="NHX134" s="21"/>
      <c r="NHY134" s="21"/>
      <c r="NHZ134" s="21"/>
      <c r="NIA134" s="20"/>
      <c r="NIB134" s="20"/>
      <c r="NIC134" s="20"/>
      <c r="NID134" s="20"/>
      <c r="NIE134" s="21"/>
      <c r="NIF134" s="21"/>
      <c r="NIG134" s="7"/>
      <c r="NIH134" s="7"/>
      <c r="NII134" s="21"/>
      <c r="NIJ134" s="20"/>
      <c r="NIK134" s="20"/>
      <c r="NIL134" s="20"/>
      <c r="NIM134" s="21"/>
      <c r="NIN134" s="21"/>
      <c r="NIO134" s="21"/>
      <c r="NIP134" s="21"/>
      <c r="NIQ134" s="21"/>
      <c r="NIR134" s="20"/>
      <c r="NIS134" s="20"/>
      <c r="NIT134" s="20"/>
      <c r="NIU134" s="20"/>
      <c r="NIV134" s="21"/>
      <c r="NIW134" s="21"/>
      <c r="NIX134" s="7"/>
      <c r="NIY134" s="7"/>
      <c r="NIZ134" s="21"/>
      <c r="NJA134" s="20"/>
      <c r="NJB134" s="20"/>
      <c r="NJC134" s="20"/>
      <c r="NJD134" s="21"/>
      <c r="NJE134" s="21"/>
      <c r="NJF134" s="21"/>
      <c r="NJG134" s="21"/>
      <c r="NJH134" s="21"/>
      <c r="NJI134" s="20"/>
      <c r="NJJ134" s="20"/>
      <c r="NJK134" s="20"/>
      <c r="NJL134" s="20"/>
      <c r="NJM134" s="21"/>
      <c r="NJN134" s="21"/>
      <c r="NJO134" s="7"/>
      <c r="NJP134" s="7"/>
      <c r="NJQ134" s="21"/>
      <c r="NJR134" s="20"/>
      <c r="NJS134" s="20"/>
      <c r="NJT134" s="20"/>
      <c r="NJU134" s="21"/>
      <c r="NJV134" s="21"/>
      <c r="NJW134" s="21"/>
      <c r="NJX134" s="21"/>
      <c r="NJY134" s="21"/>
      <c r="NJZ134" s="20"/>
      <c r="NKA134" s="20"/>
      <c r="NKB134" s="20"/>
      <c r="NKC134" s="20"/>
      <c r="NKD134" s="21"/>
      <c r="NKE134" s="21"/>
      <c r="NKF134" s="7"/>
      <c r="NKG134" s="7"/>
      <c r="NKH134" s="21"/>
      <c r="NKI134" s="20"/>
      <c r="NKJ134" s="20"/>
      <c r="NKK134" s="20"/>
      <c r="NKL134" s="21"/>
      <c r="NKM134" s="21"/>
      <c r="NKN134" s="21"/>
      <c r="NKO134" s="21"/>
      <c r="NKP134" s="21"/>
      <c r="NKQ134" s="20"/>
      <c r="NKR134" s="20"/>
      <c r="NKS134" s="20"/>
      <c r="NKT134" s="20"/>
      <c r="NKU134" s="21"/>
      <c r="NKV134" s="21"/>
      <c r="NKW134" s="7"/>
      <c r="NKX134" s="7"/>
      <c r="NKY134" s="21"/>
      <c r="NKZ134" s="20"/>
      <c r="NLA134" s="20"/>
      <c r="NLB134" s="20"/>
      <c r="NLC134" s="21"/>
      <c r="NLD134" s="21"/>
      <c r="NLE134" s="21"/>
      <c r="NLF134" s="21"/>
      <c r="NLG134" s="21"/>
      <c r="NLH134" s="20"/>
      <c r="NLI134" s="20"/>
      <c r="NLJ134" s="20"/>
      <c r="NLK134" s="20"/>
      <c r="NLL134" s="21"/>
      <c r="NLM134" s="21"/>
      <c r="NLN134" s="7"/>
      <c r="NLO134" s="7"/>
      <c r="NLP134" s="21"/>
      <c r="NLQ134" s="20"/>
      <c r="NLR134" s="20"/>
      <c r="NLS134" s="20"/>
      <c r="NLT134" s="21"/>
      <c r="NLU134" s="21"/>
      <c r="NLV134" s="21"/>
      <c r="NLW134" s="21"/>
      <c r="NLX134" s="21"/>
      <c r="NLY134" s="20"/>
      <c r="NLZ134" s="20"/>
      <c r="NMA134" s="20"/>
      <c r="NMB134" s="20"/>
      <c r="NMC134" s="21"/>
      <c r="NMD134" s="21"/>
      <c r="NME134" s="7"/>
      <c r="NMF134" s="7"/>
      <c r="NMG134" s="21"/>
      <c r="NMH134" s="20"/>
      <c r="NMI134" s="20"/>
      <c r="NMJ134" s="20"/>
      <c r="NMK134" s="21"/>
      <c r="NML134" s="21"/>
      <c r="NMM134" s="21"/>
      <c r="NMN134" s="21"/>
      <c r="NMO134" s="21"/>
      <c r="NMP134" s="20"/>
      <c r="NMQ134" s="20"/>
      <c r="NMR134" s="20"/>
      <c r="NMS134" s="20"/>
      <c r="NMT134" s="21"/>
      <c r="NMU134" s="21"/>
      <c r="NMV134" s="7"/>
      <c r="NMW134" s="7"/>
      <c r="NMX134" s="21"/>
      <c r="NMY134" s="20"/>
      <c r="NMZ134" s="20"/>
      <c r="NNA134" s="20"/>
      <c r="NNB134" s="21"/>
      <c r="NNC134" s="21"/>
      <c r="NND134" s="21"/>
      <c r="NNE134" s="21"/>
      <c r="NNF134" s="21"/>
      <c r="NNG134" s="20"/>
      <c r="NNH134" s="20"/>
      <c r="NNI134" s="20"/>
      <c r="NNJ134" s="20"/>
      <c r="NNK134" s="21"/>
      <c r="NNL134" s="21"/>
      <c r="NNM134" s="7"/>
      <c r="NNN134" s="7"/>
      <c r="NNO134" s="21"/>
      <c r="NNP134" s="20"/>
      <c r="NNQ134" s="20"/>
      <c r="NNR134" s="20"/>
      <c r="NNS134" s="21"/>
      <c r="NNT134" s="21"/>
      <c r="NNU134" s="21"/>
      <c r="NNV134" s="21"/>
      <c r="NNW134" s="21"/>
      <c r="NNX134" s="20"/>
      <c r="NNY134" s="20"/>
      <c r="NNZ134" s="20"/>
      <c r="NOA134" s="20"/>
      <c r="NOB134" s="21"/>
      <c r="NOC134" s="21"/>
      <c r="NOD134" s="7"/>
      <c r="NOE134" s="7"/>
      <c r="NOF134" s="21"/>
      <c r="NOG134" s="20"/>
      <c r="NOH134" s="20"/>
      <c r="NOI134" s="20"/>
      <c r="NOJ134" s="21"/>
      <c r="NOK134" s="21"/>
      <c r="NOL134" s="21"/>
      <c r="NOM134" s="21"/>
      <c r="NON134" s="21"/>
      <c r="NOO134" s="20"/>
      <c r="NOP134" s="20"/>
      <c r="NOQ134" s="20"/>
      <c r="NOR134" s="20"/>
      <c r="NOS134" s="21"/>
      <c r="NOT134" s="21"/>
      <c r="NOU134" s="7"/>
      <c r="NOV134" s="7"/>
      <c r="NOW134" s="21"/>
      <c r="NOX134" s="20"/>
      <c r="NOY134" s="20"/>
      <c r="NOZ134" s="20"/>
      <c r="NPA134" s="21"/>
      <c r="NPB134" s="21"/>
      <c r="NPC134" s="21"/>
      <c r="NPD134" s="21"/>
      <c r="NPE134" s="21"/>
      <c r="NPF134" s="20"/>
      <c r="NPG134" s="20"/>
      <c r="NPH134" s="20"/>
      <c r="NPI134" s="20"/>
      <c r="NPJ134" s="21"/>
      <c r="NPK134" s="21"/>
      <c r="NPL134" s="7"/>
      <c r="NPM134" s="7"/>
      <c r="NPN134" s="21"/>
      <c r="NPO134" s="20"/>
      <c r="NPP134" s="20"/>
      <c r="NPQ134" s="20"/>
      <c r="NPR134" s="21"/>
      <c r="NPS134" s="21"/>
      <c r="NPT134" s="21"/>
      <c r="NPU134" s="21"/>
      <c r="NPV134" s="21"/>
      <c r="NPW134" s="20"/>
      <c r="NPX134" s="20"/>
      <c r="NPY134" s="20"/>
      <c r="NPZ134" s="20"/>
      <c r="NQA134" s="21"/>
      <c r="NQB134" s="21"/>
      <c r="NQC134" s="7"/>
      <c r="NQD134" s="7"/>
      <c r="NQE134" s="21"/>
      <c r="NQF134" s="20"/>
      <c r="NQG134" s="20"/>
      <c r="NQH134" s="20"/>
      <c r="NQI134" s="21"/>
      <c r="NQJ134" s="21"/>
      <c r="NQK134" s="21"/>
      <c r="NQL134" s="21"/>
      <c r="NQM134" s="21"/>
      <c r="NQN134" s="20"/>
      <c r="NQO134" s="20"/>
      <c r="NQP134" s="20"/>
      <c r="NQQ134" s="20"/>
      <c r="NQR134" s="21"/>
      <c r="NQS134" s="21"/>
      <c r="NQT134" s="7"/>
      <c r="NQU134" s="7"/>
      <c r="NQV134" s="21"/>
      <c r="NQW134" s="20"/>
      <c r="NQX134" s="20"/>
      <c r="NQY134" s="20"/>
      <c r="NQZ134" s="21"/>
      <c r="NRA134" s="21"/>
      <c r="NRB134" s="21"/>
      <c r="NRC134" s="21"/>
      <c r="NRD134" s="21"/>
      <c r="NRE134" s="20"/>
      <c r="NRF134" s="20"/>
      <c r="NRG134" s="20"/>
      <c r="NRH134" s="20"/>
      <c r="NRI134" s="21"/>
      <c r="NRJ134" s="21"/>
      <c r="NRK134" s="7"/>
      <c r="NRL134" s="7"/>
      <c r="NRM134" s="21"/>
      <c r="NRN134" s="20"/>
      <c r="NRO134" s="20"/>
      <c r="NRP134" s="20"/>
      <c r="NRQ134" s="21"/>
      <c r="NRR134" s="21"/>
      <c r="NRS134" s="21"/>
      <c r="NRT134" s="21"/>
      <c r="NRU134" s="21"/>
      <c r="NRV134" s="20"/>
      <c r="NRW134" s="20"/>
      <c r="NRX134" s="20"/>
      <c r="NRY134" s="20"/>
      <c r="NRZ134" s="21"/>
      <c r="NSA134" s="21"/>
      <c r="NSB134" s="7"/>
      <c r="NSC134" s="7"/>
      <c r="NSD134" s="21"/>
      <c r="NSE134" s="20"/>
      <c r="NSF134" s="20"/>
      <c r="NSG134" s="20"/>
      <c r="NSH134" s="21"/>
      <c r="NSI134" s="21"/>
      <c r="NSJ134" s="21"/>
      <c r="NSK134" s="21"/>
      <c r="NSL134" s="21"/>
      <c r="NSM134" s="20"/>
      <c r="NSN134" s="20"/>
      <c r="NSO134" s="20"/>
      <c r="NSP134" s="20"/>
      <c r="NSQ134" s="21"/>
      <c r="NSR134" s="21"/>
      <c r="NSS134" s="7"/>
      <c r="NST134" s="7"/>
      <c r="NSU134" s="21"/>
      <c r="NSV134" s="20"/>
      <c r="NSW134" s="20"/>
      <c r="NSX134" s="20"/>
      <c r="NSY134" s="21"/>
      <c r="NSZ134" s="21"/>
      <c r="NTA134" s="21"/>
      <c r="NTB134" s="21"/>
      <c r="NTC134" s="21"/>
      <c r="NTD134" s="20"/>
      <c r="NTE134" s="20"/>
      <c r="NTF134" s="20"/>
      <c r="NTG134" s="20"/>
      <c r="NTH134" s="21"/>
      <c r="NTI134" s="21"/>
      <c r="NTJ134" s="7"/>
      <c r="NTK134" s="7"/>
      <c r="NTL134" s="21"/>
      <c r="NTM134" s="20"/>
      <c r="NTN134" s="20"/>
      <c r="NTO134" s="20"/>
      <c r="NTP134" s="21"/>
      <c r="NTQ134" s="21"/>
      <c r="NTR134" s="21"/>
      <c r="NTS134" s="21"/>
      <c r="NTT134" s="21"/>
      <c r="NTU134" s="20"/>
      <c r="NTV134" s="20"/>
      <c r="NTW134" s="20"/>
      <c r="NTX134" s="20"/>
      <c r="NTY134" s="21"/>
      <c r="NTZ134" s="21"/>
      <c r="NUA134" s="7"/>
      <c r="NUB134" s="7"/>
      <c r="NUC134" s="21"/>
      <c r="NUD134" s="20"/>
      <c r="NUE134" s="20"/>
      <c r="NUF134" s="20"/>
      <c r="NUG134" s="21"/>
      <c r="NUH134" s="21"/>
      <c r="NUI134" s="21"/>
      <c r="NUJ134" s="21"/>
      <c r="NUK134" s="21"/>
      <c r="NUL134" s="20"/>
      <c r="NUM134" s="20"/>
      <c r="NUN134" s="20"/>
      <c r="NUO134" s="20"/>
      <c r="NUP134" s="21"/>
      <c r="NUQ134" s="21"/>
      <c r="NUR134" s="7"/>
      <c r="NUS134" s="7"/>
      <c r="NUT134" s="21"/>
      <c r="NUU134" s="20"/>
      <c r="NUV134" s="20"/>
      <c r="NUW134" s="20"/>
      <c r="NUX134" s="21"/>
      <c r="NUY134" s="21"/>
      <c r="NUZ134" s="21"/>
      <c r="NVA134" s="21"/>
      <c r="NVB134" s="21"/>
      <c r="NVC134" s="20"/>
      <c r="NVD134" s="20"/>
      <c r="NVE134" s="20"/>
      <c r="NVF134" s="20"/>
      <c r="NVG134" s="21"/>
      <c r="NVH134" s="21"/>
      <c r="NVI134" s="7"/>
      <c r="NVJ134" s="7"/>
      <c r="NVK134" s="21"/>
      <c r="NVL134" s="20"/>
      <c r="NVM134" s="20"/>
      <c r="NVN134" s="20"/>
      <c r="NVO134" s="21"/>
      <c r="NVP134" s="21"/>
      <c r="NVQ134" s="21"/>
      <c r="NVR134" s="21"/>
      <c r="NVS134" s="21"/>
      <c r="NVT134" s="20"/>
      <c r="NVU134" s="20"/>
      <c r="NVV134" s="20"/>
      <c r="NVW134" s="20"/>
      <c r="NVX134" s="21"/>
      <c r="NVY134" s="21"/>
      <c r="NVZ134" s="7"/>
      <c r="NWA134" s="7"/>
      <c r="NWB134" s="21"/>
      <c r="NWC134" s="20"/>
      <c r="NWD134" s="20"/>
      <c r="NWE134" s="20"/>
      <c r="NWF134" s="21"/>
      <c r="NWG134" s="21"/>
      <c r="NWH134" s="21"/>
      <c r="NWI134" s="21"/>
      <c r="NWJ134" s="21"/>
      <c r="NWK134" s="20"/>
      <c r="NWL134" s="20"/>
      <c r="NWM134" s="20"/>
      <c r="NWN134" s="20"/>
      <c r="NWO134" s="21"/>
      <c r="NWP134" s="21"/>
      <c r="NWQ134" s="7"/>
      <c r="NWR134" s="7"/>
      <c r="NWS134" s="21"/>
      <c r="NWT134" s="20"/>
      <c r="NWU134" s="20"/>
      <c r="NWV134" s="20"/>
      <c r="NWW134" s="21"/>
      <c r="NWX134" s="21"/>
      <c r="NWY134" s="21"/>
      <c r="NWZ134" s="21"/>
      <c r="NXA134" s="21"/>
      <c r="NXB134" s="20"/>
      <c r="NXC134" s="20"/>
      <c r="NXD134" s="20"/>
      <c r="NXE134" s="20"/>
      <c r="NXF134" s="21"/>
      <c r="NXG134" s="21"/>
      <c r="NXH134" s="7"/>
      <c r="NXI134" s="7"/>
      <c r="NXJ134" s="21"/>
      <c r="NXK134" s="20"/>
      <c r="NXL134" s="20"/>
      <c r="NXM134" s="20"/>
      <c r="NXN134" s="21"/>
      <c r="NXO134" s="21"/>
      <c r="NXP134" s="21"/>
      <c r="NXQ134" s="21"/>
      <c r="NXR134" s="21"/>
      <c r="NXS134" s="20"/>
      <c r="NXT134" s="20"/>
      <c r="NXU134" s="20"/>
      <c r="NXV134" s="20"/>
      <c r="NXW134" s="21"/>
      <c r="NXX134" s="21"/>
      <c r="NXY134" s="7"/>
      <c r="NXZ134" s="7"/>
      <c r="NYA134" s="21"/>
      <c r="NYB134" s="20"/>
      <c r="NYC134" s="20"/>
      <c r="NYD134" s="20"/>
      <c r="NYE134" s="21"/>
      <c r="NYF134" s="21"/>
      <c r="NYG134" s="21"/>
      <c r="NYH134" s="21"/>
      <c r="NYI134" s="21"/>
      <c r="NYJ134" s="20"/>
      <c r="NYK134" s="20"/>
      <c r="NYL134" s="20"/>
      <c r="NYM134" s="20"/>
      <c r="NYN134" s="21"/>
      <c r="NYO134" s="21"/>
      <c r="NYP134" s="7"/>
      <c r="NYQ134" s="7"/>
      <c r="NYR134" s="21"/>
      <c r="NYS134" s="20"/>
      <c r="NYT134" s="20"/>
      <c r="NYU134" s="20"/>
      <c r="NYV134" s="21"/>
      <c r="NYW134" s="21"/>
      <c r="NYX134" s="21"/>
      <c r="NYY134" s="21"/>
      <c r="NYZ134" s="21"/>
      <c r="NZA134" s="20"/>
      <c r="NZB134" s="20"/>
      <c r="NZC134" s="20"/>
      <c r="NZD134" s="20"/>
      <c r="NZE134" s="21"/>
      <c r="NZF134" s="21"/>
      <c r="NZG134" s="7"/>
      <c r="NZH134" s="7"/>
      <c r="NZI134" s="21"/>
      <c r="NZJ134" s="20"/>
      <c r="NZK134" s="20"/>
      <c r="NZL134" s="20"/>
      <c r="NZM134" s="21"/>
      <c r="NZN134" s="21"/>
      <c r="NZO134" s="21"/>
      <c r="NZP134" s="21"/>
      <c r="NZQ134" s="21"/>
      <c r="NZR134" s="20"/>
      <c r="NZS134" s="20"/>
      <c r="NZT134" s="20"/>
      <c r="NZU134" s="20"/>
      <c r="NZV134" s="21"/>
      <c r="NZW134" s="21"/>
      <c r="NZX134" s="7"/>
      <c r="NZY134" s="7"/>
      <c r="NZZ134" s="21"/>
      <c r="OAA134" s="20"/>
      <c r="OAB134" s="20"/>
      <c r="OAC134" s="20"/>
      <c r="OAD134" s="21"/>
      <c r="OAE134" s="21"/>
      <c r="OAF134" s="21"/>
      <c r="OAG134" s="21"/>
      <c r="OAH134" s="21"/>
      <c r="OAI134" s="20"/>
      <c r="OAJ134" s="20"/>
      <c r="OAK134" s="20"/>
      <c r="OAL134" s="20"/>
      <c r="OAM134" s="21"/>
      <c r="OAN134" s="21"/>
      <c r="OAO134" s="7"/>
      <c r="OAP134" s="7"/>
      <c r="OAQ134" s="21"/>
      <c r="OAR134" s="20"/>
      <c r="OAS134" s="20"/>
      <c r="OAT134" s="20"/>
      <c r="OAU134" s="21"/>
      <c r="OAV134" s="21"/>
      <c r="OAW134" s="21"/>
      <c r="OAX134" s="21"/>
      <c r="OAY134" s="21"/>
      <c r="OAZ134" s="20"/>
      <c r="OBA134" s="20"/>
      <c r="OBB134" s="20"/>
      <c r="OBC134" s="20"/>
      <c r="OBD134" s="21"/>
      <c r="OBE134" s="21"/>
      <c r="OBF134" s="7"/>
      <c r="OBG134" s="7"/>
      <c r="OBH134" s="21"/>
      <c r="OBI134" s="20"/>
      <c r="OBJ134" s="20"/>
      <c r="OBK134" s="20"/>
      <c r="OBL134" s="21"/>
      <c r="OBM134" s="21"/>
      <c r="OBN134" s="21"/>
      <c r="OBO134" s="21"/>
      <c r="OBP134" s="21"/>
      <c r="OBQ134" s="20"/>
      <c r="OBR134" s="20"/>
      <c r="OBS134" s="20"/>
      <c r="OBT134" s="20"/>
      <c r="OBU134" s="21"/>
      <c r="OBV134" s="21"/>
      <c r="OBW134" s="7"/>
      <c r="OBX134" s="7"/>
      <c r="OBY134" s="21"/>
      <c r="OBZ134" s="20"/>
      <c r="OCA134" s="20"/>
      <c r="OCB134" s="20"/>
      <c r="OCC134" s="21"/>
      <c r="OCD134" s="21"/>
      <c r="OCE134" s="21"/>
      <c r="OCF134" s="21"/>
      <c r="OCG134" s="21"/>
      <c r="OCH134" s="20"/>
      <c r="OCI134" s="20"/>
      <c r="OCJ134" s="20"/>
      <c r="OCK134" s="20"/>
      <c r="OCL134" s="21"/>
      <c r="OCM134" s="21"/>
      <c r="OCN134" s="7"/>
      <c r="OCO134" s="7"/>
      <c r="OCP134" s="21"/>
      <c r="OCQ134" s="20"/>
      <c r="OCR134" s="20"/>
      <c r="OCS134" s="20"/>
      <c r="OCT134" s="21"/>
      <c r="OCU134" s="21"/>
      <c r="OCV134" s="21"/>
      <c r="OCW134" s="21"/>
      <c r="OCX134" s="21"/>
      <c r="OCY134" s="20"/>
      <c r="OCZ134" s="20"/>
      <c r="ODA134" s="20"/>
      <c r="ODB134" s="20"/>
      <c r="ODC134" s="21"/>
      <c r="ODD134" s="21"/>
      <c r="ODE134" s="7"/>
      <c r="ODF134" s="7"/>
      <c r="ODG134" s="21"/>
      <c r="ODH134" s="20"/>
      <c r="ODI134" s="20"/>
      <c r="ODJ134" s="20"/>
      <c r="ODK134" s="21"/>
      <c r="ODL134" s="21"/>
      <c r="ODM134" s="21"/>
      <c r="ODN134" s="21"/>
      <c r="ODO134" s="21"/>
      <c r="ODP134" s="20"/>
      <c r="ODQ134" s="20"/>
      <c r="ODR134" s="20"/>
      <c r="ODS134" s="20"/>
      <c r="ODT134" s="21"/>
      <c r="ODU134" s="21"/>
      <c r="ODV134" s="7"/>
      <c r="ODW134" s="7"/>
      <c r="ODX134" s="21"/>
      <c r="ODY134" s="20"/>
      <c r="ODZ134" s="20"/>
      <c r="OEA134" s="20"/>
      <c r="OEB134" s="21"/>
      <c r="OEC134" s="21"/>
      <c r="OED134" s="21"/>
      <c r="OEE134" s="21"/>
      <c r="OEF134" s="21"/>
      <c r="OEG134" s="20"/>
      <c r="OEH134" s="20"/>
      <c r="OEI134" s="20"/>
      <c r="OEJ134" s="20"/>
      <c r="OEK134" s="21"/>
      <c r="OEL134" s="21"/>
      <c r="OEM134" s="7"/>
      <c r="OEN134" s="7"/>
      <c r="OEO134" s="21"/>
      <c r="OEP134" s="20"/>
      <c r="OEQ134" s="20"/>
      <c r="OER134" s="20"/>
      <c r="OES134" s="21"/>
      <c r="OET134" s="21"/>
      <c r="OEU134" s="21"/>
      <c r="OEV134" s="21"/>
      <c r="OEW134" s="21"/>
      <c r="OEX134" s="20"/>
      <c r="OEY134" s="20"/>
      <c r="OEZ134" s="20"/>
      <c r="OFA134" s="20"/>
      <c r="OFB134" s="21"/>
      <c r="OFC134" s="21"/>
      <c r="OFD134" s="7"/>
      <c r="OFE134" s="7"/>
      <c r="OFF134" s="21"/>
      <c r="OFG134" s="20"/>
      <c r="OFH134" s="20"/>
      <c r="OFI134" s="20"/>
      <c r="OFJ134" s="21"/>
      <c r="OFK134" s="21"/>
      <c r="OFL134" s="21"/>
      <c r="OFM134" s="21"/>
      <c r="OFN134" s="21"/>
      <c r="OFO134" s="20"/>
      <c r="OFP134" s="20"/>
      <c r="OFQ134" s="20"/>
      <c r="OFR134" s="20"/>
      <c r="OFS134" s="21"/>
      <c r="OFT134" s="21"/>
      <c r="OFU134" s="7"/>
      <c r="OFV134" s="7"/>
      <c r="OFW134" s="21"/>
      <c r="OFX134" s="20"/>
      <c r="OFY134" s="20"/>
      <c r="OFZ134" s="20"/>
      <c r="OGA134" s="21"/>
      <c r="OGB134" s="21"/>
      <c r="OGC134" s="21"/>
      <c r="OGD134" s="21"/>
      <c r="OGE134" s="21"/>
      <c r="OGF134" s="20"/>
      <c r="OGG134" s="20"/>
      <c r="OGH134" s="20"/>
      <c r="OGI134" s="20"/>
      <c r="OGJ134" s="21"/>
      <c r="OGK134" s="21"/>
      <c r="OGL134" s="7"/>
      <c r="OGM134" s="7"/>
      <c r="OGN134" s="21"/>
      <c r="OGO134" s="20"/>
      <c r="OGP134" s="20"/>
      <c r="OGQ134" s="20"/>
      <c r="OGR134" s="21"/>
      <c r="OGS134" s="21"/>
      <c r="OGT134" s="21"/>
      <c r="OGU134" s="21"/>
      <c r="OGV134" s="21"/>
      <c r="OGW134" s="20"/>
      <c r="OGX134" s="20"/>
      <c r="OGY134" s="20"/>
      <c r="OGZ134" s="20"/>
      <c r="OHA134" s="21"/>
      <c r="OHB134" s="21"/>
      <c r="OHC134" s="7"/>
      <c r="OHD134" s="7"/>
      <c r="OHE134" s="21"/>
      <c r="OHF134" s="20"/>
      <c r="OHG134" s="20"/>
      <c r="OHH134" s="20"/>
      <c r="OHI134" s="21"/>
      <c r="OHJ134" s="21"/>
      <c r="OHK134" s="21"/>
      <c r="OHL134" s="21"/>
      <c r="OHM134" s="21"/>
      <c r="OHN134" s="20"/>
      <c r="OHO134" s="20"/>
      <c r="OHP134" s="20"/>
      <c r="OHQ134" s="20"/>
      <c r="OHR134" s="21"/>
      <c r="OHS134" s="21"/>
      <c r="OHT134" s="7"/>
      <c r="OHU134" s="7"/>
      <c r="OHV134" s="21"/>
      <c r="OHW134" s="20"/>
      <c r="OHX134" s="20"/>
      <c r="OHY134" s="20"/>
      <c r="OHZ134" s="21"/>
      <c r="OIA134" s="21"/>
      <c r="OIB134" s="21"/>
      <c r="OIC134" s="21"/>
      <c r="OID134" s="21"/>
      <c r="OIE134" s="20"/>
      <c r="OIF134" s="20"/>
      <c r="OIG134" s="20"/>
      <c r="OIH134" s="20"/>
      <c r="OII134" s="21"/>
      <c r="OIJ134" s="21"/>
      <c r="OIK134" s="7"/>
      <c r="OIL134" s="7"/>
      <c r="OIM134" s="21"/>
      <c r="OIN134" s="20"/>
      <c r="OIO134" s="20"/>
      <c r="OIP134" s="20"/>
      <c r="OIQ134" s="21"/>
      <c r="OIR134" s="21"/>
      <c r="OIS134" s="21"/>
      <c r="OIT134" s="21"/>
      <c r="OIU134" s="21"/>
      <c r="OIV134" s="20"/>
      <c r="OIW134" s="20"/>
      <c r="OIX134" s="20"/>
      <c r="OIY134" s="20"/>
      <c r="OIZ134" s="21"/>
      <c r="OJA134" s="21"/>
      <c r="OJB134" s="7"/>
      <c r="OJC134" s="7"/>
      <c r="OJD134" s="21"/>
      <c r="OJE134" s="20"/>
      <c r="OJF134" s="20"/>
      <c r="OJG134" s="20"/>
      <c r="OJH134" s="21"/>
      <c r="OJI134" s="21"/>
      <c r="OJJ134" s="21"/>
      <c r="OJK134" s="21"/>
      <c r="OJL134" s="21"/>
      <c r="OJM134" s="20"/>
      <c r="OJN134" s="20"/>
      <c r="OJO134" s="20"/>
      <c r="OJP134" s="20"/>
      <c r="OJQ134" s="21"/>
      <c r="OJR134" s="21"/>
      <c r="OJS134" s="7"/>
      <c r="OJT134" s="7"/>
      <c r="OJU134" s="21"/>
      <c r="OJV134" s="20"/>
      <c r="OJW134" s="20"/>
      <c r="OJX134" s="20"/>
      <c r="OJY134" s="21"/>
      <c r="OJZ134" s="21"/>
      <c r="OKA134" s="21"/>
      <c r="OKB134" s="21"/>
      <c r="OKC134" s="21"/>
      <c r="OKD134" s="20"/>
      <c r="OKE134" s="20"/>
      <c r="OKF134" s="20"/>
      <c r="OKG134" s="20"/>
      <c r="OKH134" s="21"/>
      <c r="OKI134" s="21"/>
      <c r="OKJ134" s="7"/>
      <c r="OKK134" s="7"/>
      <c r="OKL134" s="21"/>
      <c r="OKM134" s="20"/>
      <c r="OKN134" s="20"/>
      <c r="OKO134" s="20"/>
      <c r="OKP134" s="21"/>
      <c r="OKQ134" s="21"/>
      <c r="OKR134" s="21"/>
      <c r="OKS134" s="21"/>
      <c r="OKT134" s="21"/>
      <c r="OKU134" s="20"/>
      <c r="OKV134" s="20"/>
      <c r="OKW134" s="20"/>
      <c r="OKX134" s="20"/>
      <c r="OKY134" s="21"/>
      <c r="OKZ134" s="21"/>
      <c r="OLA134" s="7"/>
      <c r="OLB134" s="7"/>
      <c r="OLC134" s="21"/>
      <c r="OLD134" s="20"/>
      <c r="OLE134" s="20"/>
      <c r="OLF134" s="20"/>
      <c r="OLG134" s="21"/>
      <c r="OLH134" s="21"/>
      <c r="OLI134" s="21"/>
      <c r="OLJ134" s="21"/>
      <c r="OLK134" s="21"/>
      <c r="OLL134" s="20"/>
      <c r="OLM134" s="20"/>
      <c r="OLN134" s="20"/>
      <c r="OLO134" s="20"/>
      <c r="OLP134" s="21"/>
      <c r="OLQ134" s="21"/>
      <c r="OLR134" s="7"/>
      <c r="OLS134" s="7"/>
      <c r="OLT134" s="21"/>
      <c r="OLU134" s="20"/>
      <c r="OLV134" s="20"/>
      <c r="OLW134" s="20"/>
      <c r="OLX134" s="21"/>
      <c r="OLY134" s="21"/>
      <c r="OLZ134" s="21"/>
      <c r="OMA134" s="21"/>
      <c r="OMB134" s="21"/>
      <c r="OMC134" s="20"/>
      <c r="OMD134" s="20"/>
      <c r="OME134" s="20"/>
      <c r="OMF134" s="20"/>
      <c r="OMG134" s="21"/>
      <c r="OMH134" s="21"/>
      <c r="OMI134" s="7"/>
      <c r="OMJ134" s="7"/>
      <c r="OMK134" s="21"/>
      <c r="OML134" s="20"/>
      <c r="OMM134" s="20"/>
      <c r="OMN134" s="20"/>
      <c r="OMO134" s="21"/>
      <c r="OMP134" s="21"/>
      <c r="OMQ134" s="21"/>
      <c r="OMR134" s="21"/>
      <c r="OMS134" s="21"/>
      <c r="OMT134" s="20"/>
      <c r="OMU134" s="20"/>
      <c r="OMV134" s="20"/>
      <c r="OMW134" s="20"/>
      <c r="OMX134" s="21"/>
      <c r="OMY134" s="21"/>
      <c r="OMZ134" s="7"/>
      <c r="ONA134" s="7"/>
      <c r="ONB134" s="21"/>
      <c r="ONC134" s="20"/>
      <c r="OND134" s="20"/>
      <c r="ONE134" s="20"/>
      <c r="ONF134" s="21"/>
      <c r="ONG134" s="21"/>
      <c r="ONH134" s="21"/>
      <c r="ONI134" s="21"/>
      <c r="ONJ134" s="21"/>
      <c r="ONK134" s="20"/>
      <c r="ONL134" s="20"/>
      <c r="ONM134" s="20"/>
      <c r="ONN134" s="20"/>
      <c r="ONO134" s="21"/>
      <c r="ONP134" s="21"/>
      <c r="ONQ134" s="7"/>
      <c r="ONR134" s="7"/>
      <c r="ONS134" s="21"/>
      <c r="ONT134" s="20"/>
      <c r="ONU134" s="20"/>
      <c r="ONV134" s="20"/>
      <c r="ONW134" s="21"/>
      <c r="ONX134" s="21"/>
      <c r="ONY134" s="21"/>
      <c r="ONZ134" s="21"/>
      <c r="OOA134" s="21"/>
      <c r="OOB134" s="20"/>
      <c r="OOC134" s="20"/>
      <c r="OOD134" s="20"/>
      <c r="OOE134" s="20"/>
      <c r="OOF134" s="21"/>
      <c r="OOG134" s="21"/>
      <c r="OOH134" s="7"/>
      <c r="OOI134" s="7"/>
      <c r="OOJ134" s="21"/>
      <c r="OOK134" s="20"/>
      <c r="OOL134" s="20"/>
      <c r="OOM134" s="20"/>
      <c r="OON134" s="21"/>
      <c r="OOO134" s="21"/>
      <c r="OOP134" s="21"/>
      <c r="OOQ134" s="21"/>
      <c r="OOR134" s="21"/>
      <c r="OOS134" s="20"/>
      <c r="OOT134" s="20"/>
      <c r="OOU134" s="20"/>
      <c r="OOV134" s="20"/>
      <c r="OOW134" s="21"/>
      <c r="OOX134" s="21"/>
      <c r="OOY134" s="7"/>
      <c r="OOZ134" s="7"/>
      <c r="OPA134" s="21"/>
      <c r="OPB134" s="20"/>
      <c r="OPC134" s="20"/>
      <c r="OPD134" s="20"/>
      <c r="OPE134" s="21"/>
      <c r="OPF134" s="21"/>
      <c r="OPG134" s="21"/>
      <c r="OPH134" s="21"/>
      <c r="OPI134" s="21"/>
      <c r="OPJ134" s="20"/>
      <c r="OPK134" s="20"/>
      <c r="OPL134" s="20"/>
      <c r="OPM134" s="20"/>
      <c r="OPN134" s="21"/>
      <c r="OPO134" s="21"/>
      <c r="OPP134" s="7"/>
      <c r="OPQ134" s="7"/>
      <c r="OPR134" s="21"/>
      <c r="OPS134" s="20"/>
      <c r="OPT134" s="20"/>
      <c r="OPU134" s="20"/>
      <c r="OPV134" s="21"/>
      <c r="OPW134" s="21"/>
      <c r="OPX134" s="21"/>
      <c r="OPY134" s="21"/>
      <c r="OPZ134" s="21"/>
      <c r="OQA134" s="20"/>
      <c r="OQB134" s="20"/>
      <c r="OQC134" s="20"/>
      <c r="OQD134" s="20"/>
      <c r="OQE134" s="21"/>
      <c r="OQF134" s="21"/>
      <c r="OQG134" s="7"/>
      <c r="OQH134" s="7"/>
      <c r="OQI134" s="21"/>
      <c r="OQJ134" s="20"/>
      <c r="OQK134" s="20"/>
      <c r="OQL134" s="20"/>
      <c r="OQM134" s="21"/>
      <c r="OQN134" s="21"/>
      <c r="OQO134" s="21"/>
      <c r="OQP134" s="21"/>
      <c r="OQQ134" s="21"/>
      <c r="OQR134" s="20"/>
      <c r="OQS134" s="20"/>
      <c r="OQT134" s="20"/>
      <c r="OQU134" s="20"/>
      <c r="OQV134" s="21"/>
      <c r="OQW134" s="21"/>
      <c r="OQX134" s="7"/>
      <c r="OQY134" s="7"/>
      <c r="OQZ134" s="21"/>
      <c r="ORA134" s="20"/>
      <c r="ORB134" s="20"/>
      <c r="ORC134" s="20"/>
      <c r="ORD134" s="21"/>
      <c r="ORE134" s="21"/>
      <c r="ORF134" s="21"/>
      <c r="ORG134" s="21"/>
      <c r="ORH134" s="21"/>
      <c r="ORI134" s="20"/>
      <c r="ORJ134" s="20"/>
      <c r="ORK134" s="20"/>
      <c r="ORL134" s="20"/>
      <c r="ORM134" s="21"/>
      <c r="ORN134" s="21"/>
      <c r="ORO134" s="7"/>
      <c r="ORP134" s="7"/>
      <c r="ORQ134" s="21"/>
      <c r="ORR134" s="20"/>
      <c r="ORS134" s="20"/>
      <c r="ORT134" s="20"/>
      <c r="ORU134" s="21"/>
      <c r="ORV134" s="21"/>
      <c r="ORW134" s="21"/>
      <c r="ORX134" s="21"/>
      <c r="ORY134" s="21"/>
      <c r="ORZ134" s="20"/>
      <c r="OSA134" s="20"/>
      <c r="OSB134" s="20"/>
      <c r="OSC134" s="20"/>
      <c r="OSD134" s="21"/>
      <c r="OSE134" s="21"/>
      <c r="OSF134" s="7"/>
      <c r="OSG134" s="7"/>
      <c r="OSH134" s="21"/>
      <c r="OSI134" s="20"/>
      <c r="OSJ134" s="20"/>
      <c r="OSK134" s="20"/>
      <c r="OSL134" s="21"/>
      <c r="OSM134" s="21"/>
      <c r="OSN134" s="21"/>
      <c r="OSO134" s="21"/>
      <c r="OSP134" s="21"/>
      <c r="OSQ134" s="20"/>
      <c r="OSR134" s="20"/>
      <c r="OSS134" s="20"/>
      <c r="OST134" s="20"/>
      <c r="OSU134" s="21"/>
      <c r="OSV134" s="21"/>
      <c r="OSW134" s="7"/>
      <c r="OSX134" s="7"/>
      <c r="OSY134" s="21"/>
      <c r="OSZ134" s="20"/>
      <c r="OTA134" s="20"/>
      <c r="OTB134" s="20"/>
      <c r="OTC134" s="21"/>
      <c r="OTD134" s="21"/>
      <c r="OTE134" s="21"/>
      <c r="OTF134" s="21"/>
      <c r="OTG134" s="21"/>
      <c r="OTH134" s="20"/>
      <c r="OTI134" s="20"/>
      <c r="OTJ134" s="20"/>
      <c r="OTK134" s="20"/>
      <c r="OTL134" s="21"/>
      <c r="OTM134" s="21"/>
      <c r="OTN134" s="7"/>
      <c r="OTO134" s="7"/>
      <c r="OTP134" s="21"/>
      <c r="OTQ134" s="20"/>
      <c r="OTR134" s="20"/>
      <c r="OTS134" s="20"/>
      <c r="OTT134" s="21"/>
      <c r="OTU134" s="21"/>
      <c r="OTV134" s="21"/>
      <c r="OTW134" s="21"/>
      <c r="OTX134" s="21"/>
      <c r="OTY134" s="20"/>
      <c r="OTZ134" s="20"/>
      <c r="OUA134" s="20"/>
      <c r="OUB134" s="20"/>
      <c r="OUC134" s="21"/>
      <c r="OUD134" s="21"/>
      <c r="OUE134" s="7"/>
      <c r="OUF134" s="7"/>
      <c r="OUG134" s="21"/>
      <c r="OUH134" s="20"/>
      <c r="OUI134" s="20"/>
      <c r="OUJ134" s="20"/>
      <c r="OUK134" s="21"/>
      <c r="OUL134" s="21"/>
      <c r="OUM134" s="21"/>
      <c r="OUN134" s="21"/>
      <c r="OUO134" s="21"/>
      <c r="OUP134" s="20"/>
      <c r="OUQ134" s="20"/>
      <c r="OUR134" s="20"/>
      <c r="OUS134" s="20"/>
      <c r="OUT134" s="21"/>
      <c r="OUU134" s="21"/>
      <c r="OUV134" s="7"/>
      <c r="OUW134" s="7"/>
      <c r="OUX134" s="21"/>
      <c r="OUY134" s="20"/>
      <c r="OUZ134" s="20"/>
      <c r="OVA134" s="20"/>
      <c r="OVB134" s="21"/>
      <c r="OVC134" s="21"/>
      <c r="OVD134" s="21"/>
      <c r="OVE134" s="21"/>
      <c r="OVF134" s="21"/>
      <c r="OVG134" s="20"/>
      <c r="OVH134" s="20"/>
      <c r="OVI134" s="20"/>
      <c r="OVJ134" s="20"/>
      <c r="OVK134" s="21"/>
      <c r="OVL134" s="21"/>
      <c r="OVM134" s="7"/>
      <c r="OVN134" s="7"/>
      <c r="OVO134" s="21"/>
      <c r="OVP134" s="20"/>
      <c r="OVQ134" s="20"/>
      <c r="OVR134" s="20"/>
      <c r="OVS134" s="21"/>
      <c r="OVT134" s="21"/>
      <c r="OVU134" s="21"/>
      <c r="OVV134" s="21"/>
      <c r="OVW134" s="21"/>
      <c r="OVX134" s="20"/>
      <c r="OVY134" s="20"/>
      <c r="OVZ134" s="20"/>
      <c r="OWA134" s="20"/>
      <c r="OWB134" s="21"/>
      <c r="OWC134" s="21"/>
      <c r="OWD134" s="7"/>
      <c r="OWE134" s="7"/>
      <c r="OWF134" s="21"/>
      <c r="OWG134" s="20"/>
      <c r="OWH134" s="20"/>
      <c r="OWI134" s="20"/>
      <c r="OWJ134" s="21"/>
      <c r="OWK134" s="21"/>
      <c r="OWL134" s="21"/>
      <c r="OWM134" s="21"/>
      <c r="OWN134" s="21"/>
      <c r="OWO134" s="20"/>
      <c r="OWP134" s="20"/>
      <c r="OWQ134" s="20"/>
      <c r="OWR134" s="20"/>
      <c r="OWS134" s="21"/>
      <c r="OWT134" s="21"/>
      <c r="OWU134" s="7"/>
      <c r="OWV134" s="7"/>
      <c r="OWW134" s="21"/>
      <c r="OWX134" s="20"/>
      <c r="OWY134" s="20"/>
      <c r="OWZ134" s="20"/>
      <c r="OXA134" s="21"/>
      <c r="OXB134" s="21"/>
      <c r="OXC134" s="21"/>
      <c r="OXD134" s="21"/>
      <c r="OXE134" s="21"/>
      <c r="OXF134" s="20"/>
      <c r="OXG134" s="20"/>
      <c r="OXH134" s="20"/>
      <c r="OXI134" s="20"/>
      <c r="OXJ134" s="21"/>
      <c r="OXK134" s="21"/>
      <c r="OXL134" s="7"/>
      <c r="OXM134" s="7"/>
      <c r="OXN134" s="21"/>
      <c r="OXO134" s="20"/>
      <c r="OXP134" s="20"/>
      <c r="OXQ134" s="20"/>
      <c r="OXR134" s="21"/>
      <c r="OXS134" s="21"/>
      <c r="OXT134" s="21"/>
      <c r="OXU134" s="21"/>
      <c r="OXV134" s="21"/>
      <c r="OXW134" s="20"/>
      <c r="OXX134" s="20"/>
      <c r="OXY134" s="20"/>
      <c r="OXZ134" s="20"/>
      <c r="OYA134" s="21"/>
      <c r="OYB134" s="21"/>
      <c r="OYC134" s="7"/>
      <c r="OYD134" s="7"/>
      <c r="OYE134" s="21"/>
      <c r="OYF134" s="20"/>
      <c r="OYG134" s="20"/>
      <c r="OYH134" s="20"/>
      <c r="OYI134" s="21"/>
      <c r="OYJ134" s="21"/>
      <c r="OYK134" s="21"/>
      <c r="OYL134" s="21"/>
      <c r="OYM134" s="21"/>
      <c r="OYN134" s="20"/>
      <c r="OYO134" s="20"/>
      <c r="OYP134" s="20"/>
      <c r="OYQ134" s="20"/>
      <c r="OYR134" s="21"/>
      <c r="OYS134" s="21"/>
      <c r="OYT134" s="7"/>
      <c r="OYU134" s="7"/>
      <c r="OYV134" s="21"/>
      <c r="OYW134" s="20"/>
      <c r="OYX134" s="20"/>
      <c r="OYY134" s="20"/>
      <c r="OYZ134" s="21"/>
      <c r="OZA134" s="21"/>
      <c r="OZB134" s="21"/>
      <c r="OZC134" s="21"/>
      <c r="OZD134" s="21"/>
      <c r="OZE134" s="20"/>
      <c r="OZF134" s="20"/>
      <c r="OZG134" s="20"/>
      <c r="OZH134" s="20"/>
      <c r="OZI134" s="21"/>
      <c r="OZJ134" s="21"/>
      <c r="OZK134" s="7"/>
      <c r="OZL134" s="7"/>
      <c r="OZM134" s="21"/>
      <c r="OZN134" s="20"/>
      <c r="OZO134" s="20"/>
      <c r="OZP134" s="20"/>
      <c r="OZQ134" s="21"/>
      <c r="OZR134" s="21"/>
      <c r="OZS134" s="21"/>
      <c r="OZT134" s="21"/>
      <c r="OZU134" s="21"/>
      <c r="OZV134" s="20"/>
      <c r="OZW134" s="20"/>
      <c r="OZX134" s="20"/>
      <c r="OZY134" s="20"/>
      <c r="OZZ134" s="21"/>
      <c r="PAA134" s="21"/>
      <c r="PAB134" s="7"/>
      <c r="PAC134" s="7"/>
      <c r="PAD134" s="21"/>
      <c r="PAE134" s="20"/>
      <c r="PAF134" s="20"/>
      <c r="PAG134" s="20"/>
      <c r="PAH134" s="21"/>
      <c r="PAI134" s="21"/>
      <c r="PAJ134" s="21"/>
      <c r="PAK134" s="21"/>
      <c r="PAL134" s="21"/>
      <c r="PAM134" s="20"/>
      <c r="PAN134" s="20"/>
      <c r="PAO134" s="20"/>
      <c r="PAP134" s="20"/>
      <c r="PAQ134" s="21"/>
      <c r="PAR134" s="21"/>
      <c r="PAS134" s="7"/>
      <c r="PAT134" s="7"/>
      <c r="PAU134" s="21"/>
      <c r="PAV134" s="20"/>
      <c r="PAW134" s="20"/>
      <c r="PAX134" s="20"/>
      <c r="PAY134" s="21"/>
      <c r="PAZ134" s="21"/>
      <c r="PBA134" s="21"/>
      <c r="PBB134" s="21"/>
      <c r="PBC134" s="21"/>
      <c r="PBD134" s="20"/>
      <c r="PBE134" s="20"/>
      <c r="PBF134" s="20"/>
      <c r="PBG134" s="20"/>
      <c r="PBH134" s="21"/>
      <c r="PBI134" s="21"/>
      <c r="PBJ134" s="7"/>
      <c r="PBK134" s="7"/>
      <c r="PBL134" s="21"/>
      <c r="PBM134" s="20"/>
      <c r="PBN134" s="20"/>
      <c r="PBO134" s="20"/>
      <c r="PBP134" s="21"/>
      <c r="PBQ134" s="21"/>
      <c r="PBR134" s="21"/>
      <c r="PBS134" s="21"/>
      <c r="PBT134" s="21"/>
      <c r="PBU134" s="20"/>
      <c r="PBV134" s="20"/>
      <c r="PBW134" s="20"/>
      <c r="PBX134" s="20"/>
      <c r="PBY134" s="21"/>
      <c r="PBZ134" s="21"/>
      <c r="PCA134" s="7"/>
      <c r="PCB134" s="7"/>
      <c r="PCC134" s="21"/>
      <c r="PCD134" s="20"/>
      <c r="PCE134" s="20"/>
      <c r="PCF134" s="20"/>
      <c r="PCG134" s="21"/>
      <c r="PCH134" s="21"/>
      <c r="PCI134" s="21"/>
      <c r="PCJ134" s="21"/>
      <c r="PCK134" s="21"/>
      <c r="PCL134" s="20"/>
      <c r="PCM134" s="20"/>
      <c r="PCN134" s="20"/>
      <c r="PCO134" s="20"/>
      <c r="PCP134" s="21"/>
      <c r="PCQ134" s="21"/>
      <c r="PCR134" s="7"/>
      <c r="PCS134" s="7"/>
      <c r="PCT134" s="21"/>
      <c r="PCU134" s="20"/>
      <c r="PCV134" s="20"/>
      <c r="PCW134" s="20"/>
      <c r="PCX134" s="21"/>
      <c r="PCY134" s="21"/>
      <c r="PCZ134" s="21"/>
      <c r="PDA134" s="21"/>
      <c r="PDB134" s="21"/>
      <c r="PDC134" s="20"/>
      <c r="PDD134" s="20"/>
      <c r="PDE134" s="20"/>
      <c r="PDF134" s="20"/>
      <c r="PDG134" s="21"/>
      <c r="PDH134" s="21"/>
      <c r="PDI134" s="7"/>
      <c r="PDJ134" s="7"/>
      <c r="PDK134" s="21"/>
      <c r="PDL134" s="20"/>
      <c r="PDM134" s="20"/>
      <c r="PDN134" s="20"/>
      <c r="PDO134" s="21"/>
      <c r="PDP134" s="21"/>
      <c r="PDQ134" s="21"/>
      <c r="PDR134" s="21"/>
      <c r="PDS134" s="21"/>
      <c r="PDT134" s="20"/>
      <c r="PDU134" s="20"/>
      <c r="PDV134" s="20"/>
      <c r="PDW134" s="20"/>
      <c r="PDX134" s="21"/>
      <c r="PDY134" s="21"/>
      <c r="PDZ134" s="7"/>
      <c r="PEA134" s="7"/>
      <c r="PEB134" s="21"/>
      <c r="PEC134" s="20"/>
      <c r="PED134" s="20"/>
      <c r="PEE134" s="20"/>
      <c r="PEF134" s="21"/>
      <c r="PEG134" s="21"/>
      <c r="PEH134" s="21"/>
      <c r="PEI134" s="21"/>
      <c r="PEJ134" s="21"/>
      <c r="PEK134" s="20"/>
      <c r="PEL134" s="20"/>
      <c r="PEM134" s="20"/>
      <c r="PEN134" s="20"/>
      <c r="PEO134" s="21"/>
      <c r="PEP134" s="21"/>
      <c r="PEQ134" s="7"/>
      <c r="PER134" s="7"/>
      <c r="PES134" s="21"/>
      <c r="PET134" s="20"/>
      <c r="PEU134" s="20"/>
      <c r="PEV134" s="20"/>
      <c r="PEW134" s="21"/>
      <c r="PEX134" s="21"/>
      <c r="PEY134" s="21"/>
      <c r="PEZ134" s="21"/>
      <c r="PFA134" s="21"/>
      <c r="PFB134" s="20"/>
      <c r="PFC134" s="20"/>
      <c r="PFD134" s="20"/>
      <c r="PFE134" s="20"/>
      <c r="PFF134" s="21"/>
      <c r="PFG134" s="21"/>
      <c r="PFH134" s="7"/>
      <c r="PFI134" s="7"/>
      <c r="PFJ134" s="21"/>
      <c r="PFK134" s="20"/>
      <c r="PFL134" s="20"/>
      <c r="PFM134" s="20"/>
      <c r="PFN134" s="21"/>
      <c r="PFO134" s="21"/>
      <c r="PFP134" s="21"/>
      <c r="PFQ134" s="21"/>
      <c r="PFR134" s="21"/>
      <c r="PFS134" s="20"/>
      <c r="PFT134" s="20"/>
      <c r="PFU134" s="20"/>
      <c r="PFV134" s="20"/>
      <c r="PFW134" s="21"/>
      <c r="PFX134" s="21"/>
      <c r="PFY134" s="7"/>
      <c r="PFZ134" s="7"/>
      <c r="PGA134" s="21"/>
      <c r="PGB134" s="20"/>
      <c r="PGC134" s="20"/>
      <c r="PGD134" s="20"/>
      <c r="PGE134" s="21"/>
      <c r="PGF134" s="21"/>
      <c r="PGG134" s="21"/>
      <c r="PGH134" s="21"/>
      <c r="PGI134" s="21"/>
      <c r="PGJ134" s="20"/>
      <c r="PGK134" s="20"/>
      <c r="PGL134" s="20"/>
      <c r="PGM134" s="20"/>
      <c r="PGN134" s="21"/>
      <c r="PGO134" s="21"/>
      <c r="PGP134" s="7"/>
      <c r="PGQ134" s="7"/>
      <c r="PGR134" s="21"/>
      <c r="PGS134" s="20"/>
      <c r="PGT134" s="20"/>
      <c r="PGU134" s="20"/>
      <c r="PGV134" s="21"/>
      <c r="PGW134" s="21"/>
      <c r="PGX134" s="21"/>
      <c r="PGY134" s="21"/>
      <c r="PGZ134" s="21"/>
      <c r="PHA134" s="20"/>
      <c r="PHB134" s="20"/>
      <c r="PHC134" s="20"/>
      <c r="PHD134" s="20"/>
      <c r="PHE134" s="21"/>
      <c r="PHF134" s="21"/>
      <c r="PHG134" s="7"/>
      <c r="PHH134" s="7"/>
      <c r="PHI134" s="21"/>
      <c r="PHJ134" s="20"/>
      <c r="PHK134" s="20"/>
      <c r="PHL134" s="20"/>
      <c r="PHM134" s="21"/>
      <c r="PHN134" s="21"/>
      <c r="PHO134" s="21"/>
      <c r="PHP134" s="21"/>
      <c r="PHQ134" s="21"/>
      <c r="PHR134" s="20"/>
      <c r="PHS134" s="20"/>
      <c r="PHT134" s="20"/>
      <c r="PHU134" s="20"/>
      <c r="PHV134" s="21"/>
      <c r="PHW134" s="21"/>
      <c r="PHX134" s="7"/>
      <c r="PHY134" s="7"/>
      <c r="PHZ134" s="21"/>
      <c r="PIA134" s="20"/>
      <c r="PIB134" s="20"/>
      <c r="PIC134" s="20"/>
      <c r="PID134" s="21"/>
      <c r="PIE134" s="21"/>
      <c r="PIF134" s="21"/>
      <c r="PIG134" s="21"/>
      <c r="PIH134" s="21"/>
      <c r="PII134" s="20"/>
      <c r="PIJ134" s="20"/>
      <c r="PIK134" s="20"/>
      <c r="PIL134" s="20"/>
      <c r="PIM134" s="21"/>
      <c r="PIN134" s="21"/>
      <c r="PIO134" s="7"/>
      <c r="PIP134" s="7"/>
      <c r="PIQ134" s="21"/>
      <c r="PIR134" s="20"/>
      <c r="PIS134" s="20"/>
      <c r="PIT134" s="20"/>
      <c r="PIU134" s="21"/>
      <c r="PIV134" s="21"/>
      <c r="PIW134" s="21"/>
      <c r="PIX134" s="21"/>
      <c r="PIY134" s="21"/>
      <c r="PIZ134" s="20"/>
      <c r="PJA134" s="20"/>
      <c r="PJB134" s="20"/>
      <c r="PJC134" s="20"/>
      <c r="PJD134" s="21"/>
      <c r="PJE134" s="21"/>
      <c r="PJF134" s="7"/>
      <c r="PJG134" s="7"/>
      <c r="PJH134" s="21"/>
      <c r="PJI134" s="20"/>
      <c r="PJJ134" s="20"/>
      <c r="PJK134" s="20"/>
      <c r="PJL134" s="21"/>
      <c r="PJM134" s="21"/>
      <c r="PJN134" s="21"/>
      <c r="PJO134" s="21"/>
      <c r="PJP134" s="21"/>
      <c r="PJQ134" s="20"/>
      <c r="PJR134" s="20"/>
      <c r="PJS134" s="20"/>
      <c r="PJT134" s="20"/>
      <c r="PJU134" s="21"/>
      <c r="PJV134" s="21"/>
      <c r="PJW134" s="7"/>
      <c r="PJX134" s="7"/>
      <c r="PJY134" s="21"/>
      <c r="PJZ134" s="20"/>
      <c r="PKA134" s="20"/>
      <c r="PKB134" s="20"/>
      <c r="PKC134" s="21"/>
      <c r="PKD134" s="21"/>
      <c r="PKE134" s="21"/>
      <c r="PKF134" s="21"/>
      <c r="PKG134" s="21"/>
      <c r="PKH134" s="20"/>
      <c r="PKI134" s="20"/>
      <c r="PKJ134" s="20"/>
      <c r="PKK134" s="20"/>
      <c r="PKL134" s="21"/>
      <c r="PKM134" s="21"/>
      <c r="PKN134" s="7"/>
      <c r="PKO134" s="7"/>
      <c r="PKP134" s="21"/>
      <c r="PKQ134" s="20"/>
      <c r="PKR134" s="20"/>
      <c r="PKS134" s="20"/>
      <c r="PKT134" s="21"/>
      <c r="PKU134" s="21"/>
      <c r="PKV134" s="21"/>
      <c r="PKW134" s="21"/>
      <c r="PKX134" s="21"/>
      <c r="PKY134" s="20"/>
      <c r="PKZ134" s="20"/>
      <c r="PLA134" s="20"/>
      <c r="PLB134" s="20"/>
      <c r="PLC134" s="21"/>
      <c r="PLD134" s="21"/>
      <c r="PLE134" s="7"/>
      <c r="PLF134" s="7"/>
      <c r="PLG134" s="21"/>
      <c r="PLH134" s="20"/>
      <c r="PLI134" s="20"/>
      <c r="PLJ134" s="20"/>
      <c r="PLK134" s="21"/>
      <c r="PLL134" s="21"/>
      <c r="PLM134" s="21"/>
      <c r="PLN134" s="21"/>
      <c r="PLO134" s="21"/>
      <c r="PLP134" s="20"/>
      <c r="PLQ134" s="20"/>
      <c r="PLR134" s="20"/>
      <c r="PLS134" s="20"/>
      <c r="PLT134" s="21"/>
      <c r="PLU134" s="21"/>
      <c r="PLV134" s="7"/>
      <c r="PLW134" s="7"/>
      <c r="PLX134" s="21"/>
      <c r="PLY134" s="20"/>
      <c r="PLZ134" s="20"/>
      <c r="PMA134" s="20"/>
      <c r="PMB134" s="21"/>
      <c r="PMC134" s="21"/>
      <c r="PMD134" s="21"/>
      <c r="PME134" s="21"/>
      <c r="PMF134" s="21"/>
      <c r="PMG134" s="20"/>
      <c r="PMH134" s="20"/>
      <c r="PMI134" s="20"/>
      <c r="PMJ134" s="20"/>
      <c r="PMK134" s="21"/>
      <c r="PML134" s="21"/>
      <c r="PMM134" s="7"/>
      <c r="PMN134" s="7"/>
      <c r="PMO134" s="21"/>
      <c r="PMP134" s="20"/>
      <c r="PMQ134" s="20"/>
      <c r="PMR134" s="20"/>
      <c r="PMS134" s="21"/>
      <c r="PMT134" s="21"/>
      <c r="PMU134" s="21"/>
      <c r="PMV134" s="21"/>
      <c r="PMW134" s="21"/>
      <c r="PMX134" s="20"/>
      <c r="PMY134" s="20"/>
      <c r="PMZ134" s="20"/>
      <c r="PNA134" s="20"/>
      <c r="PNB134" s="21"/>
      <c r="PNC134" s="21"/>
      <c r="PND134" s="7"/>
      <c r="PNE134" s="7"/>
      <c r="PNF134" s="21"/>
      <c r="PNG134" s="20"/>
      <c r="PNH134" s="20"/>
      <c r="PNI134" s="20"/>
      <c r="PNJ134" s="21"/>
      <c r="PNK134" s="21"/>
      <c r="PNL134" s="21"/>
      <c r="PNM134" s="21"/>
      <c r="PNN134" s="21"/>
      <c r="PNO134" s="20"/>
      <c r="PNP134" s="20"/>
      <c r="PNQ134" s="20"/>
      <c r="PNR134" s="20"/>
      <c r="PNS134" s="21"/>
      <c r="PNT134" s="21"/>
      <c r="PNU134" s="7"/>
      <c r="PNV134" s="7"/>
      <c r="PNW134" s="21"/>
      <c r="PNX134" s="20"/>
      <c r="PNY134" s="20"/>
      <c r="PNZ134" s="20"/>
      <c r="POA134" s="21"/>
      <c r="POB134" s="21"/>
      <c r="POC134" s="21"/>
      <c r="POD134" s="21"/>
      <c r="POE134" s="21"/>
      <c r="POF134" s="20"/>
      <c r="POG134" s="20"/>
      <c r="POH134" s="20"/>
      <c r="POI134" s="20"/>
      <c r="POJ134" s="21"/>
      <c r="POK134" s="21"/>
      <c r="POL134" s="7"/>
      <c r="POM134" s="7"/>
      <c r="PON134" s="21"/>
      <c r="POO134" s="20"/>
      <c r="POP134" s="20"/>
      <c r="POQ134" s="20"/>
      <c r="POR134" s="21"/>
      <c r="POS134" s="21"/>
      <c r="POT134" s="21"/>
      <c r="POU134" s="21"/>
      <c r="POV134" s="21"/>
      <c r="POW134" s="20"/>
      <c r="POX134" s="20"/>
      <c r="POY134" s="20"/>
      <c r="POZ134" s="20"/>
      <c r="PPA134" s="21"/>
      <c r="PPB134" s="21"/>
      <c r="PPC134" s="7"/>
      <c r="PPD134" s="7"/>
      <c r="PPE134" s="21"/>
      <c r="PPF134" s="20"/>
      <c r="PPG134" s="20"/>
      <c r="PPH134" s="20"/>
      <c r="PPI134" s="21"/>
      <c r="PPJ134" s="21"/>
      <c r="PPK134" s="21"/>
      <c r="PPL134" s="21"/>
      <c r="PPM134" s="21"/>
      <c r="PPN134" s="20"/>
      <c r="PPO134" s="20"/>
      <c r="PPP134" s="20"/>
      <c r="PPQ134" s="20"/>
      <c r="PPR134" s="21"/>
      <c r="PPS134" s="21"/>
      <c r="PPT134" s="7"/>
      <c r="PPU134" s="7"/>
      <c r="PPV134" s="21"/>
      <c r="PPW134" s="20"/>
      <c r="PPX134" s="20"/>
      <c r="PPY134" s="20"/>
      <c r="PPZ134" s="21"/>
      <c r="PQA134" s="21"/>
      <c r="PQB134" s="21"/>
      <c r="PQC134" s="21"/>
      <c r="PQD134" s="21"/>
      <c r="PQE134" s="20"/>
      <c r="PQF134" s="20"/>
      <c r="PQG134" s="20"/>
      <c r="PQH134" s="20"/>
      <c r="PQI134" s="21"/>
      <c r="PQJ134" s="21"/>
      <c r="PQK134" s="7"/>
      <c r="PQL134" s="7"/>
      <c r="PQM134" s="21"/>
      <c r="PQN134" s="20"/>
      <c r="PQO134" s="20"/>
      <c r="PQP134" s="20"/>
      <c r="PQQ134" s="21"/>
      <c r="PQR134" s="21"/>
      <c r="PQS134" s="21"/>
      <c r="PQT134" s="21"/>
      <c r="PQU134" s="21"/>
      <c r="PQV134" s="20"/>
      <c r="PQW134" s="20"/>
      <c r="PQX134" s="20"/>
      <c r="PQY134" s="20"/>
      <c r="PQZ134" s="21"/>
      <c r="PRA134" s="21"/>
      <c r="PRB134" s="7"/>
      <c r="PRC134" s="7"/>
      <c r="PRD134" s="21"/>
      <c r="PRE134" s="20"/>
      <c r="PRF134" s="20"/>
      <c r="PRG134" s="20"/>
      <c r="PRH134" s="21"/>
      <c r="PRI134" s="21"/>
      <c r="PRJ134" s="21"/>
      <c r="PRK134" s="21"/>
      <c r="PRL134" s="21"/>
      <c r="PRM134" s="20"/>
      <c r="PRN134" s="20"/>
      <c r="PRO134" s="20"/>
      <c r="PRP134" s="20"/>
      <c r="PRQ134" s="21"/>
      <c r="PRR134" s="21"/>
      <c r="PRS134" s="7"/>
      <c r="PRT134" s="7"/>
      <c r="PRU134" s="21"/>
      <c r="PRV134" s="20"/>
      <c r="PRW134" s="20"/>
      <c r="PRX134" s="20"/>
      <c r="PRY134" s="21"/>
      <c r="PRZ134" s="21"/>
      <c r="PSA134" s="21"/>
      <c r="PSB134" s="21"/>
      <c r="PSC134" s="21"/>
      <c r="PSD134" s="20"/>
      <c r="PSE134" s="20"/>
      <c r="PSF134" s="20"/>
      <c r="PSG134" s="20"/>
      <c r="PSH134" s="21"/>
      <c r="PSI134" s="21"/>
      <c r="PSJ134" s="7"/>
      <c r="PSK134" s="7"/>
      <c r="PSL134" s="21"/>
      <c r="PSM134" s="20"/>
      <c r="PSN134" s="20"/>
      <c r="PSO134" s="20"/>
      <c r="PSP134" s="21"/>
      <c r="PSQ134" s="21"/>
      <c r="PSR134" s="21"/>
      <c r="PSS134" s="21"/>
      <c r="PST134" s="21"/>
      <c r="PSU134" s="20"/>
      <c r="PSV134" s="20"/>
      <c r="PSW134" s="20"/>
      <c r="PSX134" s="20"/>
      <c r="PSY134" s="21"/>
      <c r="PSZ134" s="21"/>
      <c r="PTA134" s="7"/>
      <c r="PTB134" s="7"/>
      <c r="PTC134" s="21"/>
      <c r="PTD134" s="20"/>
      <c r="PTE134" s="20"/>
      <c r="PTF134" s="20"/>
      <c r="PTG134" s="21"/>
      <c r="PTH134" s="21"/>
      <c r="PTI134" s="21"/>
      <c r="PTJ134" s="21"/>
      <c r="PTK134" s="21"/>
      <c r="PTL134" s="20"/>
      <c r="PTM134" s="20"/>
      <c r="PTN134" s="20"/>
      <c r="PTO134" s="20"/>
      <c r="PTP134" s="21"/>
      <c r="PTQ134" s="21"/>
      <c r="PTR134" s="7"/>
      <c r="PTS134" s="7"/>
      <c r="PTT134" s="21"/>
      <c r="PTU134" s="20"/>
      <c r="PTV134" s="20"/>
      <c r="PTW134" s="20"/>
      <c r="PTX134" s="21"/>
      <c r="PTY134" s="21"/>
      <c r="PTZ134" s="21"/>
      <c r="PUA134" s="21"/>
      <c r="PUB134" s="21"/>
      <c r="PUC134" s="20"/>
      <c r="PUD134" s="20"/>
      <c r="PUE134" s="20"/>
      <c r="PUF134" s="20"/>
      <c r="PUG134" s="21"/>
      <c r="PUH134" s="21"/>
      <c r="PUI134" s="7"/>
      <c r="PUJ134" s="7"/>
      <c r="PUK134" s="21"/>
      <c r="PUL134" s="20"/>
      <c r="PUM134" s="20"/>
      <c r="PUN134" s="20"/>
      <c r="PUO134" s="21"/>
      <c r="PUP134" s="21"/>
      <c r="PUQ134" s="21"/>
      <c r="PUR134" s="21"/>
      <c r="PUS134" s="21"/>
      <c r="PUT134" s="20"/>
      <c r="PUU134" s="20"/>
      <c r="PUV134" s="20"/>
      <c r="PUW134" s="20"/>
      <c r="PUX134" s="21"/>
      <c r="PUY134" s="21"/>
      <c r="PUZ134" s="7"/>
      <c r="PVA134" s="7"/>
      <c r="PVB134" s="21"/>
      <c r="PVC134" s="20"/>
      <c r="PVD134" s="20"/>
      <c r="PVE134" s="20"/>
      <c r="PVF134" s="21"/>
      <c r="PVG134" s="21"/>
      <c r="PVH134" s="21"/>
      <c r="PVI134" s="21"/>
      <c r="PVJ134" s="21"/>
      <c r="PVK134" s="20"/>
      <c r="PVL134" s="20"/>
      <c r="PVM134" s="20"/>
      <c r="PVN134" s="20"/>
      <c r="PVO134" s="21"/>
      <c r="PVP134" s="21"/>
      <c r="PVQ134" s="7"/>
      <c r="PVR134" s="7"/>
      <c r="PVS134" s="21"/>
      <c r="PVT134" s="20"/>
      <c r="PVU134" s="20"/>
      <c r="PVV134" s="20"/>
      <c r="PVW134" s="21"/>
      <c r="PVX134" s="21"/>
      <c r="PVY134" s="21"/>
      <c r="PVZ134" s="21"/>
      <c r="PWA134" s="21"/>
      <c r="PWB134" s="20"/>
      <c r="PWC134" s="20"/>
      <c r="PWD134" s="20"/>
      <c r="PWE134" s="20"/>
      <c r="PWF134" s="21"/>
      <c r="PWG134" s="21"/>
      <c r="PWH134" s="7"/>
      <c r="PWI134" s="7"/>
      <c r="PWJ134" s="21"/>
      <c r="PWK134" s="20"/>
      <c r="PWL134" s="20"/>
      <c r="PWM134" s="20"/>
      <c r="PWN134" s="21"/>
      <c r="PWO134" s="21"/>
      <c r="PWP134" s="21"/>
      <c r="PWQ134" s="21"/>
      <c r="PWR134" s="21"/>
      <c r="PWS134" s="20"/>
      <c r="PWT134" s="20"/>
      <c r="PWU134" s="20"/>
      <c r="PWV134" s="20"/>
      <c r="PWW134" s="21"/>
      <c r="PWX134" s="21"/>
      <c r="PWY134" s="7"/>
      <c r="PWZ134" s="7"/>
      <c r="PXA134" s="21"/>
      <c r="PXB134" s="20"/>
      <c r="PXC134" s="20"/>
      <c r="PXD134" s="20"/>
      <c r="PXE134" s="21"/>
      <c r="PXF134" s="21"/>
      <c r="PXG134" s="21"/>
      <c r="PXH134" s="21"/>
      <c r="PXI134" s="21"/>
      <c r="PXJ134" s="20"/>
      <c r="PXK134" s="20"/>
      <c r="PXL134" s="20"/>
      <c r="PXM134" s="20"/>
      <c r="PXN134" s="21"/>
      <c r="PXO134" s="21"/>
      <c r="PXP134" s="7"/>
      <c r="PXQ134" s="7"/>
      <c r="PXR134" s="21"/>
      <c r="PXS134" s="20"/>
      <c r="PXT134" s="20"/>
      <c r="PXU134" s="20"/>
      <c r="PXV134" s="21"/>
      <c r="PXW134" s="21"/>
      <c r="PXX134" s="21"/>
      <c r="PXY134" s="21"/>
      <c r="PXZ134" s="21"/>
      <c r="PYA134" s="20"/>
      <c r="PYB134" s="20"/>
      <c r="PYC134" s="20"/>
      <c r="PYD134" s="20"/>
      <c r="PYE134" s="21"/>
      <c r="PYF134" s="21"/>
      <c r="PYG134" s="7"/>
      <c r="PYH134" s="7"/>
      <c r="PYI134" s="21"/>
      <c r="PYJ134" s="20"/>
      <c r="PYK134" s="20"/>
      <c r="PYL134" s="20"/>
      <c r="PYM134" s="21"/>
      <c r="PYN134" s="21"/>
      <c r="PYO134" s="21"/>
      <c r="PYP134" s="21"/>
      <c r="PYQ134" s="21"/>
      <c r="PYR134" s="20"/>
      <c r="PYS134" s="20"/>
      <c r="PYT134" s="20"/>
      <c r="PYU134" s="20"/>
      <c r="PYV134" s="21"/>
      <c r="PYW134" s="21"/>
      <c r="PYX134" s="7"/>
      <c r="PYY134" s="7"/>
      <c r="PYZ134" s="21"/>
      <c r="PZA134" s="20"/>
      <c r="PZB134" s="20"/>
      <c r="PZC134" s="20"/>
      <c r="PZD134" s="21"/>
      <c r="PZE134" s="21"/>
      <c r="PZF134" s="21"/>
      <c r="PZG134" s="21"/>
      <c r="PZH134" s="21"/>
      <c r="PZI134" s="20"/>
      <c r="PZJ134" s="20"/>
      <c r="PZK134" s="20"/>
      <c r="PZL134" s="20"/>
      <c r="PZM134" s="21"/>
      <c r="PZN134" s="21"/>
      <c r="PZO134" s="7"/>
      <c r="PZP134" s="7"/>
      <c r="PZQ134" s="21"/>
      <c r="PZR134" s="20"/>
      <c r="PZS134" s="20"/>
      <c r="PZT134" s="20"/>
      <c r="PZU134" s="21"/>
      <c r="PZV134" s="21"/>
      <c r="PZW134" s="21"/>
      <c r="PZX134" s="21"/>
      <c r="PZY134" s="21"/>
      <c r="PZZ134" s="20"/>
      <c r="QAA134" s="20"/>
      <c r="QAB134" s="20"/>
      <c r="QAC134" s="20"/>
      <c r="QAD134" s="21"/>
      <c r="QAE134" s="21"/>
      <c r="QAF134" s="7"/>
      <c r="QAG134" s="7"/>
      <c r="QAH134" s="21"/>
      <c r="QAI134" s="20"/>
      <c r="QAJ134" s="20"/>
      <c r="QAK134" s="20"/>
      <c r="QAL134" s="21"/>
      <c r="QAM134" s="21"/>
      <c r="QAN134" s="21"/>
      <c r="QAO134" s="21"/>
      <c r="QAP134" s="21"/>
      <c r="QAQ134" s="20"/>
      <c r="QAR134" s="20"/>
      <c r="QAS134" s="20"/>
      <c r="QAT134" s="20"/>
      <c r="QAU134" s="21"/>
      <c r="QAV134" s="21"/>
      <c r="QAW134" s="7"/>
      <c r="QAX134" s="7"/>
      <c r="QAY134" s="21"/>
      <c r="QAZ134" s="20"/>
      <c r="QBA134" s="20"/>
      <c r="QBB134" s="20"/>
      <c r="QBC134" s="21"/>
      <c r="QBD134" s="21"/>
      <c r="QBE134" s="21"/>
      <c r="QBF134" s="21"/>
      <c r="QBG134" s="21"/>
      <c r="QBH134" s="20"/>
      <c r="QBI134" s="20"/>
      <c r="QBJ134" s="20"/>
      <c r="QBK134" s="20"/>
      <c r="QBL134" s="21"/>
      <c r="QBM134" s="21"/>
      <c r="QBN134" s="7"/>
      <c r="QBO134" s="7"/>
      <c r="QBP134" s="21"/>
      <c r="QBQ134" s="20"/>
      <c r="QBR134" s="20"/>
      <c r="QBS134" s="20"/>
      <c r="QBT134" s="21"/>
      <c r="QBU134" s="21"/>
      <c r="QBV134" s="21"/>
      <c r="QBW134" s="21"/>
      <c r="QBX134" s="21"/>
      <c r="QBY134" s="20"/>
      <c r="QBZ134" s="20"/>
      <c r="QCA134" s="20"/>
      <c r="QCB134" s="20"/>
      <c r="QCC134" s="21"/>
      <c r="QCD134" s="21"/>
      <c r="QCE134" s="7"/>
      <c r="QCF134" s="7"/>
      <c r="QCG134" s="21"/>
      <c r="QCH134" s="20"/>
      <c r="QCI134" s="20"/>
      <c r="QCJ134" s="20"/>
      <c r="QCK134" s="21"/>
      <c r="QCL134" s="21"/>
      <c r="QCM134" s="21"/>
      <c r="QCN134" s="21"/>
      <c r="QCO134" s="21"/>
      <c r="QCP134" s="20"/>
      <c r="QCQ134" s="20"/>
      <c r="QCR134" s="20"/>
      <c r="QCS134" s="20"/>
      <c r="QCT134" s="21"/>
      <c r="QCU134" s="21"/>
      <c r="QCV134" s="7"/>
      <c r="QCW134" s="7"/>
      <c r="QCX134" s="21"/>
      <c r="QCY134" s="20"/>
      <c r="QCZ134" s="20"/>
      <c r="QDA134" s="20"/>
      <c r="QDB134" s="21"/>
      <c r="QDC134" s="21"/>
      <c r="QDD134" s="21"/>
      <c r="QDE134" s="21"/>
      <c r="QDF134" s="21"/>
      <c r="QDG134" s="20"/>
      <c r="QDH134" s="20"/>
      <c r="QDI134" s="20"/>
      <c r="QDJ134" s="20"/>
      <c r="QDK134" s="21"/>
      <c r="QDL134" s="21"/>
      <c r="QDM134" s="7"/>
      <c r="QDN134" s="7"/>
      <c r="QDO134" s="21"/>
      <c r="QDP134" s="20"/>
      <c r="QDQ134" s="20"/>
      <c r="QDR134" s="20"/>
      <c r="QDS134" s="21"/>
      <c r="QDT134" s="21"/>
      <c r="QDU134" s="21"/>
      <c r="QDV134" s="21"/>
      <c r="QDW134" s="21"/>
      <c r="QDX134" s="20"/>
      <c r="QDY134" s="20"/>
      <c r="QDZ134" s="20"/>
      <c r="QEA134" s="20"/>
      <c r="QEB134" s="21"/>
      <c r="QEC134" s="21"/>
      <c r="QED134" s="7"/>
      <c r="QEE134" s="7"/>
      <c r="QEF134" s="21"/>
      <c r="QEG134" s="20"/>
      <c r="QEH134" s="20"/>
      <c r="QEI134" s="20"/>
      <c r="QEJ134" s="21"/>
      <c r="QEK134" s="21"/>
      <c r="QEL134" s="21"/>
      <c r="QEM134" s="21"/>
      <c r="QEN134" s="21"/>
      <c r="QEO134" s="20"/>
      <c r="QEP134" s="20"/>
      <c r="QEQ134" s="20"/>
      <c r="QER134" s="20"/>
      <c r="QES134" s="21"/>
      <c r="QET134" s="21"/>
      <c r="QEU134" s="7"/>
      <c r="QEV134" s="7"/>
      <c r="QEW134" s="21"/>
      <c r="QEX134" s="20"/>
      <c r="QEY134" s="20"/>
      <c r="QEZ134" s="20"/>
      <c r="QFA134" s="21"/>
      <c r="QFB134" s="21"/>
      <c r="QFC134" s="21"/>
      <c r="QFD134" s="21"/>
      <c r="QFE134" s="21"/>
      <c r="QFF134" s="20"/>
      <c r="QFG134" s="20"/>
      <c r="QFH134" s="20"/>
      <c r="QFI134" s="20"/>
      <c r="QFJ134" s="21"/>
      <c r="QFK134" s="21"/>
      <c r="QFL134" s="7"/>
      <c r="QFM134" s="7"/>
      <c r="QFN134" s="21"/>
      <c r="QFO134" s="20"/>
      <c r="QFP134" s="20"/>
      <c r="QFQ134" s="20"/>
      <c r="QFR134" s="21"/>
      <c r="QFS134" s="21"/>
      <c r="QFT134" s="21"/>
      <c r="QFU134" s="21"/>
      <c r="QFV134" s="21"/>
      <c r="QFW134" s="20"/>
      <c r="QFX134" s="20"/>
      <c r="QFY134" s="20"/>
      <c r="QFZ134" s="20"/>
      <c r="QGA134" s="21"/>
      <c r="QGB134" s="21"/>
      <c r="QGC134" s="7"/>
      <c r="QGD134" s="7"/>
      <c r="QGE134" s="21"/>
      <c r="QGF134" s="20"/>
      <c r="QGG134" s="20"/>
      <c r="QGH134" s="20"/>
      <c r="QGI134" s="21"/>
      <c r="QGJ134" s="21"/>
      <c r="QGK134" s="21"/>
      <c r="QGL134" s="21"/>
      <c r="QGM134" s="21"/>
      <c r="QGN134" s="20"/>
      <c r="QGO134" s="20"/>
      <c r="QGP134" s="20"/>
      <c r="QGQ134" s="20"/>
      <c r="QGR134" s="21"/>
      <c r="QGS134" s="21"/>
      <c r="QGT134" s="7"/>
      <c r="QGU134" s="7"/>
      <c r="QGV134" s="21"/>
      <c r="QGW134" s="20"/>
      <c r="QGX134" s="20"/>
      <c r="QGY134" s="20"/>
      <c r="QGZ134" s="21"/>
      <c r="QHA134" s="21"/>
      <c r="QHB134" s="21"/>
      <c r="QHC134" s="21"/>
      <c r="QHD134" s="21"/>
      <c r="QHE134" s="20"/>
      <c r="QHF134" s="20"/>
      <c r="QHG134" s="20"/>
      <c r="QHH134" s="20"/>
      <c r="QHI134" s="21"/>
      <c r="QHJ134" s="21"/>
      <c r="QHK134" s="7"/>
      <c r="QHL134" s="7"/>
      <c r="QHM134" s="21"/>
      <c r="QHN134" s="20"/>
      <c r="QHO134" s="20"/>
      <c r="QHP134" s="20"/>
      <c r="QHQ134" s="21"/>
      <c r="QHR134" s="21"/>
      <c r="QHS134" s="21"/>
      <c r="QHT134" s="21"/>
      <c r="QHU134" s="21"/>
      <c r="QHV134" s="20"/>
      <c r="QHW134" s="20"/>
      <c r="QHX134" s="20"/>
      <c r="QHY134" s="20"/>
      <c r="QHZ134" s="21"/>
      <c r="QIA134" s="21"/>
      <c r="QIB134" s="7"/>
      <c r="QIC134" s="7"/>
      <c r="QID134" s="21"/>
      <c r="QIE134" s="20"/>
      <c r="QIF134" s="20"/>
      <c r="QIG134" s="20"/>
      <c r="QIH134" s="21"/>
      <c r="QII134" s="21"/>
      <c r="QIJ134" s="21"/>
      <c r="QIK134" s="21"/>
      <c r="QIL134" s="21"/>
      <c r="QIM134" s="20"/>
      <c r="QIN134" s="20"/>
      <c r="QIO134" s="20"/>
      <c r="QIP134" s="20"/>
      <c r="QIQ134" s="21"/>
      <c r="QIR134" s="21"/>
      <c r="QIS134" s="7"/>
      <c r="QIT134" s="7"/>
      <c r="QIU134" s="21"/>
      <c r="QIV134" s="20"/>
      <c r="QIW134" s="20"/>
      <c r="QIX134" s="20"/>
      <c r="QIY134" s="21"/>
      <c r="QIZ134" s="21"/>
      <c r="QJA134" s="21"/>
      <c r="QJB134" s="21"/>
      <c r="QJC134" s="21"/>
      <c r="QJD134" s="20"/>
      <c r="QJE134" s="20"/>
      <c r="QJF134" s="20"/>
      <c r="QJG134" s="20"/>
      <c r="QJH134" s="21"/>
      <c r="QJI134" s="21"/>
      <c r="QJJ134" s="7"/>
      <c r="QJK134" s="7"/>
      <c r="QJL134" s="21"/>
      <c r="QJM134" s="20"/>
      <c r="QJN134" s="20"/>
      <c r="QJO134" s="20"/>
      <c r="QJP134" s="21"/>
      <c r="QJQ134" s="21"/>
      <c r="QJR134" s="21"/>
      <c r="QJS134" s="21"/>
      <c r="QJT134" s="21"/>
      <c r="QJU134" s="20"/>
      <c r="QJV134" s="20"/>
      <c r="QJW134" s="20"/>
      <c r="QJX134" s="20"/>
      <c r="QJY134" s="21"/>
      <c r="QJZ134" s="21"/>
      <c r="QKA134" s="7"/>
      <c r="QKB134" s="7"/>
      <c r="QKC134" s="21"/>
      <c r="QKD134" s="20"/>
      <c r="QKE134" s="20"/>
      <c r="QKF134" s="20"/>
      <c r="QKG134" s="21"/>
      <c r="QKH134" s="21"/>
      <c r="QKI134" s="21"/>
      <c r="QKJ134" s="21"/>
      <c r="QKK134" s="21"/>
      <c r="QKL134" s="20"/>
      <c r="QKM134" s="20"/>
      <c r="QKN134" s="20"/>
      <c r="QKO134" s="20"/>
      <c r="QKP134" s="21"/>
      <c r="QKQ134" s="21"/>
      <c r="QKR134" s="7"/>
      <c r="QKS134" s="7"/>
      <c r="QKT134" s="21"/>
      <c r="QKU134" s="20"/>
      <c r="QKV134" s="20"/>
      <c r="QKW134" s="20"/>
      <c r="QKX134" s="21"/>
      <c r="QKY134" s="21"/>
      <c r="QKZ134" s="21"/>
      <c r="QLA134" s="21"/>
      <c r="QLB134" s="21"/>
      <c r="QLC134" s="20"/>
      <c r="QLD134" s="20"/>
      <c r="QLE134" s="20"/>
      <c r="QLF134" s="20"/>
      <c r="QLG134" s="21"/>
      <c r="QLH134" s="21"/>
      <c r="QLI134" s="7"/>
      <c r="QLJ134" s="7"/>
      <c r="QLK134" s="21"/>
      <c r="QLL134" s="20"/>
      <c r="QLM134" s="20"/>
      <c r="QLN134" s="20"/>
      <c r="QLO134" s="21"/>
      <c r="QLP134" s="21"/>
      <c r="QLQ134" s="21"/>
      <c r="QLR134" s="21"/>
      <c r="QLS134" s="21"/>
      <c r="QLT134" s="20"/>
      <c r="QLU134" s="20"/>
      <c r="QLV134" s="20"/>
      <c r="QLW134" s="20"/>
      <c r="QLX134" s="21"/>
      <c r="QLY134" s="21"/>
      <c r="QLZ134" s="7"/>
      <c r="QMA134" s="7"/>
      <c r="QMB134" s="21"/>
      <c r="QMC134" s="20"/>
      <c r="QMD134" s="20"/>
      <c r="QME134" s="20"/>
      <c r="QMF134" s="21"/>
      <c r="QMG134" s="21"/>
      <c r="QMH134" s="21"/>
      <c r="QMI134" s="21"/>
      <c r="QMJ134" s="21"/>
      <c r="QMK134" s="20"/>
      <c r="QML134" s="20"/>
      <c r="QMM134" s="20"/>
      <c r="QMN134" s="20"/>
      <c r="QMO134" s="21"/>
      <c r="QMP134" s="21"/>
      <c r="QMQ134" s="7"/>
      <c r="QMR134" s="7"/>
      <c r="QMS134" s="21"/>
      <c r="QMT134" s="20"/>
      <c r="QMU134" s="20"/>
      <c r="QMV134" s="20"/>
      <c r="QMW134" s="21"/>
      <c r="QMX134" s="21"/>
      <c r="QMY134" s="21"/>
      <c r="QMZ134" s="21"/>
      <c r="QNA134" s="21"/>
      <c r="QNB134" s="20"/>
      <c r="QNC134" s="20"/>
      <c r="QND134" s="20"/>
      <c r="QNE134" s="20"/>
      <c r="QNF134" s="21"/>
      <c r="QNG134" s="21"/>
      <c r="QNH134" s="7"/>
      <c r="QNI134" s="7"/>
      <c r="QNJ134" s="21"/>
      <c r="QNK134" s="20"/>
      <c r="QNL134" s="20"/>
      <c r="QNM134" s="20"/>
      <c r="QNN134" s="21"/>
      <c r="QNO134" s="21"/>
      <c r="QNP134" s="21"/>
      <c r="QNQ134" s="21"/>
      <c r="QNR134" s="21"/>
      <c r="QNS134" s="20"/>
      <c r="QNT134" s="20"/>
      <c r="QNU134" s="20"/>
      <c r="QNV134" s="20"/>
      <c r="QNW134" s="21"/>
      <c r="QNX134" s="21"/>
      <c r="QNY134" s="7"/>
      <c r="QNZ134" s="7"/>
      <c r="QOA134" s="21"/>
      <c r="QOB134" s="20"/>
      <c r="QOC134" s="20"/>
      <c r="QOD134" s="20"/>
      <c r="QOE134" s="21"/>
      <c r="QOF134" s="21"/>
      <c r="QOG134" s="21"/>
      <c r="QOH134" s="21"/>
      <c r="QOI134" s="21"/>
      <c r="QOJ134" s="20"/>
      <c r="QOK134" s="20"/>
      <c r="QOL134" s="20"/>
      <c r="QOM134" s="20"/>
      <c r="QON134" s="21"/>
      <c r="QOO134" s="21"/>
      <c r="QOP134" s="7"/>
      <c r="QOQ134" s="7"/>
      <c r="QOR134" s="21"/>
      <c r="QOS134" s="20"/>
      <c r="QOT134" s="20"/>
      <c r="QOU134" s="20"/>
      <c r="QOV134" s="21"/>
      <c r="QOW134" s="21"/>
      <c r="QOX134" s="21"/>
      <c r="QOY134" s="21"/>
      <c r="QOZ134" s="21"/>
      <c r="QPA134" s="20"/>
      <c r="QPB134" s="20"/>
      <c r="QPC134" s="20"/>
      <c r="QPD134" s="20"/>
      <c r="QPE134" s="21"/>
      <c r="QPF134" s="21"/>
      <c r="QPG134" s="7"/>
      <c r="QPH134" s="7"/>
      <c r="QPI134" s="21"/>
      <c r="QPJ134" s="20"/>
      <c r="QPK134" s="20"/>
      <c r="QPL134" s="20"/>
      <c r="QPM134" s="21"/>
      <c r="QPN134" s="21"/>
      <c r="QPO134" s="21"/>
      <c r="QPP134" s="21"/>
      <c r="QPQ134" s="21"/>
      <c r="QPR134" s="20"/>
      <c r="QPS134" s="20"/>
      <c r="QPT134" s="20"/>
      <c r="QPU134" s="20"/>
      <c r="QPV134" s="21"/>
      <c r="QPW134" s="21"/>
      <c r="QPX134" s="7"/>
      <c r="QPY134" s="7"/>
      <c r="QPZ134" s="21"/>
      <c r="QQA134" s="20"/>
      <c r="QQB134" s="20"/>
      <c r="QQC134" s="20"/>
      <c r="QQD134" s="21"/>
      <c r="QQE134" s="21"/>
      <c r="QQF134" s="21"/>
      <c r="QQG134" s="21"/>
      <c r="QQH134" s="21"/>
      <c r="QQI134" s="20"/>
      <c r="QQJ134" s="20"/>
      <c r="QQK134" s="20"/>
      <c r="QQL134" s="20"/>
      <c r="QQM134" s="21"/>
      <c r="QQN134" s="21"/>
      <c r="QQO134" s="7"/>
      <c r="QQP134" s="7"/>
      <c r="QQQ134" s="21"/>
      <c r="QQR134" s="20"/>
      <c r="QQS134" s="20"/>
      <c r="QQT134" s="20"/>
      <c r="QQU134" s="21"/>
      <c r="QQV134" s="21"/>
      <c r="QQW134" s="21"/>
      <c r="QQX134" s="21"/>
      <c r="QQY134" s="21"/>
      <c r="QQZ134" s="20"/>
      <c r="QRA134" s="20"/>
      <c r="QRB134" s="20"/>
      <c r="QRC134" s="20"/>
      <c r="QRD134" s="21"/>
      <c r="QRE134" s="21"/>
      <c r="QRF134" s="7"/>
      <c r="QRG134" s="7"/>
      <c r="QRH134" s="21"/>
      <c r="QRI134" s="20"/>
      <c r="QRJ134" s="20"/>
      <c r="QRK134" s="20"/>
      <c r="QRL134" s="21"/>
      <c r="QRM134" s="21"/>
      <c r="QRN134" s="21"/>
      <c r="QRO134" s="21"/>
      <c r="QRP134" s="21"/>
      <c r="QRQ134" s="20"/>
      <c r="QRR134" s="20"/>
      <c r="QRS134" s="20"/>
      <c r="QRT134" s="20"/>
      <c r="QRU134" s="21"/>
      <c r="QRV134" s="21"/>
      <c r="QRW134" s="7"/>
      <c r="QRX134" s="7"/>
      <c r="QRY134" s="21"/>
      <c r="QRZ134" s="20"/>
      <c r="QSA134" s="20"/>
      <c r="QSB134" s="20"/>
      <c r="QSC134" s="21"/>
      <c r="QSD134" s="21"/>
      <c r="QSE134" s="21"/>
      <c r="QSF134" s="21"/>
      <c r="QSG134" s="21"/>
      <c r="QSH134" s="20"/>
      <c r="QSI134" s="20"/>
      <c r="QSJ134" s="20"/>
      <c r="QSK134" s="20"/>
      <c r="QSL134" s="21"/>
      <c r="QSM134" s="21"/>
      <c r="QSN134" s="7"/>
      <c r="QSO134" s="7"/>
      <c r="QSP134" s="21"/>
      <c r="QSQ134" s="20"/>
      <c r="QSR134" s="20"/>
      <c r="QSS134" s="20"/>
      <c r="QST134" s="21"/>
      <c r="QSU134" s="21"/>
      <c r="QSV134" s="21"/>
      <c r="QSW134" s="21"/>
      <c r="QSX134" s="21"/>
      <c r="QSY134" s="20"/>
      <c r="QSZ134" s="20"/>
      <c r="QTA134" s="20"/>
      <c r="QTB134" s="20"/>
      <c r="QTC134" s="21"/>
      <c r="QTD134" s="21"/>
      <c r="QTE134" s="7"/>
      <c r="QTF134" s="7"/>
      <c r="QTG134" s="21"/>
      <c r="QTH134" s="20"/>
      <c r="QTI134" s="20"/>
      <c r="QTJ134" s="20"/>
      <c r="QTK134" s="21"/>
      <c r="QTL134" s="21"/>
      <c r="QTM134" s="21"/>
      <c r="QTN134" s="21"/>
      <c r="QTO134" s="21"/>
      <c r="QTP134" s="20"/>
      <c r="QTQ134" s="20"/>
      <c r="QTR134" s="20"/>
      <c r="QTS134" s="20"/>
      <c r="QTT134" s="21"/>
      <c r="QTU134" s="21"/>
      <c r="QTV134" s="7"/>
      <c r="QTW134" s="7"/>
      <c r="QTX134" s="21"/>
      <c r="QTY134" s="20"/>
      <c r="QTZ134" s="20"/>
      <c r="QUA134" s="20"/>
      <c r="QUB134" s="21"/>
      <c r="QUC134" s="21"/>
      <c r="QUD134" s="21"/>
      <c r="QUE134" s="21"/>
      <c r="QUF134" s="21"/>
      <c r="QUG134" s="20"/>
      <c r="QUH134" s="20"/>
      <c r="QUI134" s="20"/>
      <c r="QUJ134" s="20"/>
      <c r="QUK134" s="21"/>
      <c r="QUL134" s="21"/>
      <c r="QUM134" s="7"/>
      <c r="QUN134" s="7"/>
      <c r="QUO134" s="21"/>
      <c r="QUP134" s="20"/>
      <c r="QUQ134" s="20"/>
      <c r="QUR134" s="20"/>
      <c r="QUS134" s="21"/>
      <c r="QUT134" s="21"/>
      <c r="QUU134" s="21"/>
      <c r="QUV134" s="21"/>
      <c r="QUW134" s="21"/>
      <c r="QUX134" s="20"/>
      <c r="QUY134" s="20"/>
      <c r="QUZ134" s="20"/>
      <c r="QVA134" s="20"/>
      <c r="QVB134" s="21"/>
      <c r="QVC134" s="21"/>
      <c r="QVD134" s="7"/>
      <c r="QVE134" s="7"/>
      <c r="QVF134" s="21"/>
      <c r="QVG134" s="20"/>
      <c r="QVH134" s="20"/>
      <c r="QVI134" s="20"/>
      <c r="QVJ134" s="21"/>
      <c r="QVK134" s="21"/>
      <c r="QVL134" s="21"/>
      <c r="QVM134" s="21"/>
      <c r="QVN134" s="21"/>
      <c r="QVO134" s="20"/>
      <c r="QVP134" s="20"/>
      <c r="QVQ134" s="20"/>
      <c r="QVR134" s="20"/>
      <c r="QVS134" s="21"/>
      <c r="QVT134" s="21"/>
      <c r="QVU134" s="7"/>
      <c r="QVV134" s="7"/>
      <c r="QVW134" s="21"/>
      <c r="QVX134" s="20"/>
      <c r="QVY134" s="20"/>
      <c r="QVZ134" s="20"/>
      <c r="QWA134" s="21"/>
      <c r="QWB134" s="21"/>
      <c r="QWC134" s="21"/>
      <c r="QWD134" s="21"/>
      <c r="QWE134" s="21"/>
      <c r="QWF134" s="20"/>
      <c r="QWG134" s="20"/>
      <c r="QWH134" s="20"/>
      <c r="QWI134" s="20"/>
      <c r="QWJ134" s="21"/>
      <c r="QWK134" s="21"/>
      <c r="QWL134" s="7"/>
      <c r="QWM134" s="7"/>
      <c r="QWN134" s="21"/>
      <c r="QWO134" s="20"/>
      <c r="QWP134" s="20"/>
      <c r="QWQ134" s="20"/>
      <c r="QWR134" s="21"/>
      <c r="QWS134" s="21"/>
      <c r="QWT134" s="21"/>
      <c r="QWU134" s="21"/>
      <c r="QWV134" s="21"/>
      <c r="QWW134" s="20"/>
      <c r="QWX134" s="20"/>
      <c r="QWY134" s="20"/>
      <c r="QWZ134" s="20"/>
      <c r="QXA134" s="21"/>
      <c r="QXB134" s="21"/>
      <c r="QXC134" s="7"/>
      <c r="QXD134" s="7"/>
      <c r="QXE134" s="21"/>
      <c r="QXF134" s="20"/>
      <c r="QXG134" s="20"/>
      <c r="QXH134" s="20"/>
      <c r="QXI134" s="21"/>
      <c r="QXJ134" s="21"/>
      <c r="QXK134" s="21"/>
      <c r="QXL134" s="21"/>
      <c r="QXM134" s="21"/>
      <c r="QXN134" s="20"/>
      <c r="QXO134" s="20"/>
      <c r="QXP134" s="20"/>
      <c r="QXQ134" s="20"/>
      <c r="QXR134" s="21"/>
      <c r="QXS134" s="21"/>
      <c r="QXT134" s="7"/>
      <c r="QXU134" s="7"/>
      <c r="QXV134" s="21"/>
      <c r="QXW134" s="20"/>
      <c r="QXX134" s="20"/>
      <c r="QXY134" s="20"/>
      <c r="QXZ134" s="21"/>
      <c r="QYA134" s="21"/>
      <c r="QYB134" s="21"/>
      <c r="QYC134" s="21"/>
      <c r="QYD134" s="21"/>
      <c r="QYE134" s="20"/>
      <c r="QYF134" s="20"/>
      <c r="QYG134" s="20"/>
      <c r="QYH134" s="20"/>
      <c r="QYI134" s="21"/>
      <c r="QYJ134" s="21"/>
      <c r="QYK134" s="7"/>
      <c r="QYL134" s="7"/>
      <c r="QYM134" s="21"/>
      <c r="QYN134" s="20"/>
      <c r="QYO134" s="20"/>
      <c r="QYP134" s="20"/>
      <c r="QYQ134" s="21"/>
      <c r="QYR134" s="21"/>
      <c r="QYS134" s="21"/>
      <c r="QYT134" s="21"/>
      <c r="QYU134" s="21"/>
      <c r="QYV134" s="20"/>
      <c r="QYW134" s="20"/>
      <c r="QYX134" s="20"/>
      <c r="QYY134" s="20"/>
      <c r="QYZ134" s="21"/>
      <c r="QZA134" s="21"/>
      <c r="QZB134" s="7"/>
      <c r="QZC134" s="7"/>
      <c r="QZD134" s="21"/>
      <c r="QZE134" s="20"/>
      <c r="QZF134" s="20"/>
      <c r="QZG134" s="20"/>
      <c r="QZH134" s="21"/>
      <c r="QZI134" s="21"/>
      <c r="QZJ134" s="21"/>
      <c r="QZK134" s="21"/>
      <c r="QZL134" s="21"/>
      <c r="QZM134" s="20"/>
      <c r="QZN134" s="20"/>
      <c r="QZO134" s="20"/>
      <c r="QZP134" s="20"/>
      <c r="QZQ134" s="21"/>
      <c r="QZR134" s="21"/>
      <c r="QZS134" s="7"/>
      <c r="QZT134" s="7"/>
      <c r="QZU134" s="21"/>
      <c r="QZV134" s="20"/>
      <c r="QZW134" s="20"/>
      <c r="QZX134" s="20"/>
      <c r="QZY134" s="21"/>
      <c r="QZZ134" s="21"/>
      <c r="RAA134" s="21"/>
      <c r="RAB134" s="21"/>
      <c r="RAC134" s="21"/>
      <c r="RAD134" s="20"/>
      <c r="RAE134" s="20"/>
      <c r="RAF134" s="20"/>
      <c r="RAG134" s="20"/>
      <c r="RAH134" s="21"/>
      <c r="RAI134" s="21"/>
      <c r="RAJ134" s="7"/>
      <c r="RAK134" s="7"/>
      <c r="RAL134" s="21"/>
      <c r="RAM134" s="20"/>
      <c r="RAN134" s="20"/>
      <c r="RAO134" s="20"/>
      <c r="RAP134" s="21"/>
      <c r="RAQ134" s="21"/>
      <c r="RAR134" s="21"/>
      <c r="RAS134" s="21"/>
      <c r="RAT134" s="21"/>
      <c r="RAU134" s="20"/>
      <c r="RAV134" s="20"/>
      <c r="RAW134" s="20"/>
      <c r="RAX134" s="20"/>
      <c r="RAY134" s="21"/>
      <c r="RAZ134" s="21"/>
      <c r="RBA134" s="7"/>
      <c r="RBB134" s="7"/>
      <c r="RBC134" s="21"/>
      <c r="RBD134" s="20"/>
      <c r="RBE134" s="20"/>
      <c r="RBF134" s="20"/>
      <c r="RBG134" s="21"/>
      <c r="RBH134" s="21"/>
      <c r="RBI134" s="21"/>
      <c r="RBJ134" s="21"/>
      <c r="RBK134" s="21"/>
      <c r="RBL134" s="20"/>
      <c r="RBM134" s="20"/>
      <c r="RBN134" s="20"/>
      <c r="RBO134" s="20"/>
      <c r="RBP134" s="21"/>
      <c r="RBQ134" s="21"/>
      <c r="RBR134" s="7"/>
      <c r="RBS134" s="7"/>
      <c r="RBT134" s="21"/>
      <c r="RBU134" s="20"/>
      <c r="RBV134" s="20"/>
      <c r="RBW134" s="20"/>
      <c r="RBX134" s="21"/>
      <c r="RBY134" s="21"/>
      <c r="RBZ134" s="21"/>
      <c r="RCA134" s="21"/>
      <c r="RCB134" s="21"/>
      <c r="RCC134" s="20"/>
      <c r="RCD134" s="20"/>
      <c r="RCE134" s="20"/>
      <c r="RCF134" s="20"/>
      <c r="RCG134" s="21"/>
      <c r="RCH134" s="21"/>
      <c r="RCI134" s="7"/>
      <c r="RCJ134" s="7"/>
      <c r="RCK134" s="21"/>
      <c r="RCL134" s="20"/>
      <c r="RCM134" s="20"/>
      <c r="RCN134" s="20"/>
      <c r="RCO134" s="21"/>
      <c r="RCP134" s="21"/>
      <c r="RCQ134" s="21"/>
      <c r="RCR134" s="21"/>
      <c r="RCS134" s="21"/>
      <c r="RCT134" s="20"/>
      <c r="RCU134" s="20"/>
      <c r="RCV134" s="20"/>
      <c r="RCW134" s="20"/>
      <c r="RCX134" s="21"/>
      <c r="RCY134" s="21"/>
      <c r="RCZ134" s="7"/>
      <c r="RDA134" s="7"/>
      <c r="RDB134" s="21"/>
      <c r="RDC134" s="20"/>
      <c r="RDD134" s="20"/>
      <c r="RDE134" s="20"/>
      <c r="RDF134" s="21"/>
      <c r="RDG134" s="21"/>
      <c r="RDH134" s="21"/>
      <c r="RDI134" s="21"/>
      <c r="RDJ134" s="21"/>
      <c r="RDK134" s="20"/>
      <c r="RDL134" s="20"/>
      <c r="RDM134" s="20"/>
      <c r="RDN134" s="20"/>
      <c r="RDO134" s="21"/>
      <c r="RDP134" s="21"/>
      <c r="RDQ134" s="7"/>
      <c r="RDR134" s="7"/>
      <c r="RDS134" s="21"/>
      <c r="RDT134" s="20"/>
      <c r="RDU134" s="20"/>
      <c r="RDV134" s="20"/>
      <c r="RDW134" s="21"/>
      <c r="RDX134" s="21"/>
      <c r="RDY134" s="21"/>
      <c r="RDZ134" s="21"/>
      <c r="REA134" s="21"/>
      <c r="REB134" s="20"/>
      <c r="REC134" s="20"/>
      <c r="RED134" s="20"/>
      <c r="REE134" s="20"/>
      <c r="REF134" s="21"/>
      <c r="REG134" s="21"/>
      <c r="REH134" s="7"/>
      <c r="REI134" s="7"/>
      <c r="REJ134" s="21"/>
      <c r="REK134" s="20"/>
      <c r="REL134" s="20"/>
      <c r="REM134" s="20"/>
      <c r="REN134" s="21"/>
      <c r="REO134" s="21"/>
      <c r="REP134" s="21"/>
      <c r="REQ134" s="21"/>
      <c r="RER134" s="21"/>
      <c r="RES134" s="20"/>
      <c r="RET134" s="20"/>
      <c r="REU134" s="20"/>
      <c r="REV134" s="20"/>
      <c r="REW134" s="21"/>
      <c r="REX134" s="21"/>
      <c r="REY134" s="7"/>
      <c r="REZ134" s="7"/>
      <c r="RFA134" s="21"/>
      <c r="RFB134" s="20"/>
      <c r="RFC134" s="20"/>
      <c r="RFD134" s="20"/>
      <c r="RFE134" s="21"/>
      <c r="RFF134" s="21"/>
      <c r="RFG134" s="21"/>
      <c r="RFH134" s="21"/>
      <c r="RFI134" s="21"/>
      <c r="RFJ134" s="20"/>
      <c r="RFK134" s="20"/>
      <c r="RFL134" s="20"/>
      <c r="RFM134" s="20"/>
      <c r="RFN134" s="21"/>
      <c r="RFO134" s="21"/>
      <c r="RFP134" s="7"/>
      <c r="RFQ134" s="7"/>
      <c r="RFR134" s="21"/>
      <c r="RFS134" s="20"/>
      <c r="RFT134" s="20"/>
      <c r="RFU134" s="20"/>
      <c r="RFV134" s="21"/>
      <c r="RFW134" s="21"/>
      <c r="RFX134" s="21"/>
      <c r="RFY134" s="21"/>
      <c r="RFZ134" s="21"/>
      <c r="RGA134" s="20"/>
      <c r="RGB134" s="20"/>
      <c r="RGC134" s="20"/>
      <c r="RGD134" s="20"/>
      <c r="RGE134" s="21"/>
      <c r="RGF134" s="21"/>
      <c r="RGG134" s="7"/>
      <c r="RGH134" s="7"/>
      <c r="RGI134" s="21"/>
      <c r="RGJ134" s="20"/>
      <c r="RGK134" s="20"/>
      <c r="RGL134" s="20"/>
      <c r="RGM134" s="21"/>
      <c r="RGN134" s="21"/>
      <c r="RGO134" s="21"/>
      <c r="RGP134" s="21"/>
      <c r="RGQ134" s="21"/>
      <c r="RGR134" s="20"/>
      <c r="RGS134" s="20"/>
      <c r="RGT134" s="20"/>
      <c r="RGU134" s="20"/>
      <c r="RGV134" s="21"/>
      <c r="RGW134" s="21"/>
      <c r="RGX134" s="7"/>
      <c r="RGY134" s="7"/>
      <c r="RGZ134" s="21"/>
      <c r="RHA134" s="20"/>
      <c r="RHB134" s="20"/>
      <c r="RHC134" s="20"/>
      <c r="RHD134" s="21"/>
      <c r="RHE134" s="21"/>
      <c r="RHF134" s="21"/>
      <c r="RHG134" s="21"/>
      <c r="RHH134" s="21"/>
      <c r="RHI134" s="20"/>
      <c r="RHJ134" s="20"/>
      <c r="RHK134" s="20"/>
      <c r="RHL134" s="20"/>
      <c r="RHM134" s="21"/>
      <c r="RHN134" s="21"/>
      <c r="RHO134" s="7"/>
      <c r="RHP134" s="7"/>
      <c r="RHQ134" s="21"/>
      <c r="RHR134" s="20"/>
      <c r="RHS134" s="20"/>
      <c r="RHT134" s="20"/>
      <c r="RHU134" s="21"/>
      <c r="RHV134" s="21"/>
      <c r="RHW134" s="21"/>
      <c r="RHX134" s="21"/>
      <c r="RHY134" s="21"/>
      <c r="RHZ134" s="20"/>
      <c r="RIA134" s="20"/>
      <c r="RIB134" s="20"/>
      <c r="RIC134" s="20"/>
      <c r="RID134" s="21"/>
      <c r="RIE134" s="21"/>
      <c r="RIF134" s="7"/>
      <c r="RIG134" s="7"/>
      <c r="RIH134" s="21"/>
      <c r="RII134" s="20"/>
      <c r="RIJ134" s="20"/>
      <c r="RIK134" s="20"/>
      <c r="RIL134" s="21"/>
      <c r="RIM134" s="21"/>
      <c r="RIN134" s="21"/>
      <c r="RIO134" s="21"/>
      <c r="RIP134" s="21"/>
      <c r="RIQ134" s="20"/>
      <c r="RIR134" s="20"/>
      <c r="RIS134" s="20"/>
      <c r="RIT134" s="20"/>
      <c r="RIU134" s="21"/>
      <c r="RIV134" s="21"/>
      <c r="RIW134" s="7"/>
      <c r="RIX134" s="7"/>
      <c r="RIY134" s="21"/>
      <c r="RIZ134" s="20"/>
      <c r="RJA134" s="20"/>
      <c r="RJB134" s="20"/>
      <c r="RJC134" s="21"/>
      <c r="RJD134" s="21"/>
      <c r="RJE134" s="21"/>
      <c r="RJF134" s="21"/>
      <c r="RJG134" s="21"/>
      <c r="RJH134" s="20"/>
      <c r="RJI134" s="20"/>
      <c r="RJJ134" s="20"/>
      <c r="RJK134" s="20"/>
      <c r="RJL134" s="21"/>
      <c r="RJM134" s="21"/>
      <c r="RJN134" s="7"/>
      <c r="RJO134" s="7"/>
      <c r="RJP134" s="21"/>
      <c r="RJQ134" s="20"/>
      <c r="RJR134" s="20"/>
      <c r="RJS134" s="20"/>
      <c r="RJT134" s="21"/>
      <c r="RJU134" s="21"/>
      <c r="RJV134" s="21"/>
      <c r="RJW134" s="21"/>
      <c r="RJX134" s="21"/>
      <c r="RJY134" s="20"/>
      <c r="RJZ134" s="20"/>
      <c r="RKA134" s="20"/>
      <c r="RKB134" s="20"/>
      <c r="RKC134" s="21"/>
      <c r="RKD134" s="21"/>
      <c r="RKE134" s="7"/>
      <c r="RKF134" s="7"/>
      <c r="RKG134" s="21"/>
      <c r="RKH134" s="20"/>
      <c r="RKI134" s="20"/>
      <c r="RKJ134" s="20"/>
      <c r="RKK134" s="21"/>
      <c r="RKL134" s="21"/>
      <c r="RKM134" s="21"/>
      <c r="RKN134" s="21"/>
      <c r="RKO134" s="21"/>
      <c r="RKP134" s="20"/>
      <c r="RKQ134" s="20"/>
      <c r="RKR134" s="20"/>
      <c r="RKS134" s="20"/>
      <c r="RKT134" s="21"/>
      <c r="RKU134" s="21"/>
      <c r="RKV134" s="7"/>
      <c r="RKW134" s="7"/>
      <c r="RKX134" s="21"/>
      <c r="RKY134" s="20"/>
      <c r="RKZ134" s="20"/>
      <c r="RLA134" s="20"/>
      <c r="RLB134" s="21"/>
      <c r="RLC134" s="21"/>
      <c r="RLD134" s="21"/>
      <c r="RLE134" s="21"/>
      <c r="RLF134" s="21"/>
      <c r="RLG134" s="20"/>
      <c r="RLH134" s="20"/>
      <c r="RLI134" s="20"/>
      <c r="RLJ134" s="20"/>
      <c r="RLK134" s="21"/>
      <c r="RLL134" s="21"/>
      <c r="RLM134" s="7"/>
      <c r="RLN134" s="7"/>
      <c r="RLO134" s="21"/>
      <c r="RLP134" s="20"/>
      <c r="RLQ134" s="20"/>
      <c r="RLR134" s="20"/>
      <c r="RLS134" s="21"/>
      <c r="RLT134" s="21"/>
      <c r="RLU134" s="21"/>
      <c r="RLV134" s="21"/>
      <c r="RLW134" s="21"/>
      <c r="RLX134" s="20"/>
      <c r="RLY134" s="20"/>
      <c r="RLZ134" s="20"/>
      <c r="RMA134" s="20"/>
      <c r="RMB134" s="21"/>
      <c r="RMC134" s="21"/>
      <c r="RMD134" s="7"/>
      <c r="RME134" s="7"/>
      <c r="RMF134" s="21"/>
      <c r="RMG134" s="20"/>
      <c r="RMH134" s="20"/>
      <c r="RMI134" s="20"/>
      <c r="RMJ134" s="21"/>
      <c r="RMK134" s="21"/>
      <c r="RML134" s="21"/>
      <c r="RMM134" s="21"/>
      <c r="RMN134" s="21"/>
      <c r="RMO134" s="20"/>
      <c r="RMP134" s="20"/>
      <c r="RMQ134" s="20"/>
      <c r="RMR134" s="20"/>
      <c r="RMS134" s="21"/>
      <c r="RMT134" s="21"/>
      <c r="RMU134" s="7"/>
      <c r="RMV134" s="7"/>
      <c r="RMW134" s="21"/>
      <c r="RMX134" s="20"/>
      <c r="RMY134" s="20"/>
      <c r="RMZ134" s="20"/>
      <c r="RNA134" s="21"/>
      <c r="RNB134" s="21"/>
      <c r="RNC134" s="21"/>
      <c r="RND134" s="21"/>
      <c r="RNE134" s="21"/>
      <c r="RNF134" s="20"/>
      <c r="RNG134" s="20"/>
      <c r="RNH134" s="20"/>
      <c r="RNI134" s="20"/>
      <c r="RNJ134" s="21"/>
      <c r="RNK134" s="21"/>
      <c r="RNL134" s="7"/>
      <c r="RNM134" s="7"/>
      <c r="RNN134" s="21"/>
      <c r="RNO134" s="20"/>
      <c r="RNP134" s="20"/>
      <c r="RNQ134" s="20"/>
      <c r="RNR134" s="21"/>
      <c r="RNS134" s="21"/>
      <c r="RNT134" s="21"/>
      <c r="RNU134" s="21"/>
      <c r="RNV134" s="21"/>
      <c r="RNW134" s="20"/>
      <c r="RNX134" s="20"/>
      <c r="RNY134" s="20"/>
      <c r="RNZ134" s="20"/>
      <c r="ROA134" s="21"/>
      <c r="ROB134" s="21"/>
      <c r="ROC134" s="7"/>
      <c r="ROD134" s="7"/>
      <c r="ROE134" s="21"/>
      <c r="ROF134" s="20"/>
      <c r="ROG134" s="20"/>
      <c r="ROH134" s="20"/>
      <c r="ROI134" s="21"/>
      <c r="ROJ134" s="21"/>
      <c r="ROK134" s="21"/>
      <c r="ROL134" s="21"/>
      <c r="ROM134" s="21"/>
      <c r="RON134" s="20"/>
      <c r="ROO134" s="20"/>
      <c r="ROP134" s="20"/>
      <c r="ROQ134" s="20"/>
      <c r="ROR134" s="21"/>
      <c r="ROS134" s="21"/>
      <c r="ROT134" s="7"/>
      <c r="ROU134" s="7"/>
      <c r="ROV134" s="21"/>
      <c r="ROW134" s="20"/>
      <c r="ROX134" s="20"/>
      <c r="ROY134" s="20"/>
      <c r="ROZ134" s="21"/>
      <c r="RPA134" s="21"/>
      <c r="RPB134" s="21"/>
      <c r="RPC134" s="21"/>
      <c r="RPD134" s="21"/>
      <c r="RPE134" s="20"/>
      <c r="RPF134" s="20"/>
      <c r="RPG134" s="20"/>
      <c r="RPH134" s="20"/>
      <c r="RPI134" s="21"/>
      <c r="RPJ134" s="21"/>
      <c r="RPK134" s="7"/>
      <c r="RPL134" s="7"/>
      <c r="RPM134" s="21"/>
      <c r="RPN134" s="20"/>
      <c r="RPO134" s="20"/>
      <c r="RPP134" s="20"/>
      <c r="RPQ134" s="21"/>
      <c r="RPR134" s="21"/>
      <c r="RPS134" s="21"/>
      <c r="RPT134" s="21"/>
      <c r="RPU134" s="21"/>
      <c r="RPV134" s="20"/>
      <c r="RPW134" s="20"/>
      <c r="RPX134" s="20"/>
      <c r="RPY134" s="20"/>
      <c r="RPZ134" s="21"/>
      <c r="RQA134" s="21"/>
      <c r="RQB134" s="7"/>
      <c r="RQC134" s="7"/>
      <c r="RQD134" s="21"/>
      <c r="RQE134" s="20"/>
      <c r="RQF134" s="20"/>
      <c r="RQG134" s="20"/>
      <c r="RQH134" s="21"/>
      <c r="RQI134" s="21"/>
      <c r="RQJ134" s="21"/>
      <c r="RQK134" s="21"/>
      <c r="RQL134" s="21"/>
      <c r="RQM134" s="20"/>
      <c r="RQN134" s="20"/>
      <c r="RQO134" s="20"/>
      <c r="RQP134" s="20"/>
      <c r="RQQ134" s="21"/>
      <c r="RQR134" s="21"/>
      <c r="RQS134" s="7"/>
      <c r="RQT134" s="7"/>
      <c r="RQU134" s="21"/>
      <c r="RQV134" s="20"/>
      <c r="RQW134" s="20"/>
      <c r="RQX134" s="20"/>
      <c r="RQY134" s="21"/>
      <c r="RQZ134" s="21"/>
      <c r="RRA134" s="21"/>
      <c r="RRB134" s="21"/>
      <c r="RRC134" s="21"/>
      <c r="RRD134" s="20"/>
      <c r="RRE134" s="20"/>
      <c r="RRF134" s="20"/>
      <c r="RRG134" s="20"/>
      <c r="RRH134" s="21"/>
      <c r="RRI134" s="21"/>
      <c r="RRJ134" s="7"/>
      <c r="RRK134" s="7"/>
      <c r="RRL134" s="21"/>
      <c r="RRM134" s="20"/>
      <c r="RRN134" s="20"/>
      <c r="RRO134" s="20"/>
      <c r="RRP134" s="21"/>
      <c r="RRQ134" s="21"/>
      <c r="RRR134" s="21"/>
      <c r="RRS134" s="21"/>
      <c r="RRT134" s="21"/>
      <c r="RRU134" s="20"/>
      <c r="RRV134" s="20"/>
      <c r="RRW134" s="20"/>
      <c r="RRX134" s="20"/>
      <c r="RRY134" s="21"/>
      <c r="RRZ134" s="21"/>
      <c r="RSA134" s="7"/>
      <c r="RSB134" s="7"/>
      <c r="RSC134" s="21"/>
      <c r="RSD134" s="20"/>
      <c r="RSE134" s="20"/>
      <c r="RSF134" s="20"/>
      <c r="RSG134" s="21"/>
      <c r="RSH134" s="21"/>
      <c r="RSI134" s="21"/>
      <c r="RSJ134" s="21"/>
      <c r="RSK134" s="21"/>
      <c r="RSL134" s="20"/>
      <c r="RSM134" s="20"/>
      <c r="RSN134" s="20"/>
      <c r="RSO134" s="20"/>
      <c r="RSP134" s="21"/>
      <c r="RSQ134" s="21"/>
      <c r="RSR134" s="7"/>
      <c r="RSS134" s="7"/>
      <c r="RST134" s="21"/>
      <c r="RSU134" s="20"/>
      <c r="RSV134" s="20"/>
      <c r="RSW134" s="20"/>
      <c r="RSX134" s="21"/>
      <c r="RSY134" s="21"/>
      <c r="RSZ134" s="21"/>
      <c r="RTA134" s="21"/>
      <c r="RTB134" s="21"/>
      <c r="RTC134" s="20"/>
      <c r="RTD134" s="20"/>
      <c r="RTE134" s="20"/>
      <c r="RTF134" s="20"/>
      <c r="RTG134" s="21"/>
      <c r="RTH134" s="21"/>
      <c r="RTI134" s="7"/>
      <c r="RTJ134" s="7"/>
      <c r="RTK134" s="21"/>
      <c r="RTL134" s="20"/>
      <c r="RTM134" s="20"/>
      <c r="RTN134" s="20"/>
      <c r="RTO134" s="21"/>
      <c r="RTP134" s="21"/>
      <c r="RTQ134" s="21"/>
      <c r="RTR134" s="21"/>
      <c r="RTS134" s="21"/>
      <c r="RTT134" s="20"/>
      <c r="RTU134" s="20"/>
      <c r="RTV134" s="20"/>
      <c r="RTW134" s="20"/>
      <c r="RTX134" s="21"/>
      <c r="RTY134" s="21"/>
      <c r="RTZ134" s="7"/>
      <c r="RUA134" s="7"/>
      <c r="RUB134" s="21"/>
      <c r="RUC134" s="20"/>
      <c r="RUD134" s="20"/>
      <c r="RUE134" s="20"/>
      <c r="RUF134" s="21"/>
      <c r="RUG134" s="21"/>
      <c r="RUH134" s="21"/>
      <c r="RUI134" s="21"/>
      <c r="RUJ134" s="21"/>
      <c r="RUK134" s="20"/>
      <c r="RUL134" s="20"/>
      <c r="RUM134" s="20"/>
      <c r="RUN134" s="20"/>
      <c r="RUO134" s="21"/>
      <c r="RUP134" s="21"/>
      <c r="RUQ134" s="7"/>
      <c r="RUR134" s="7"/>
      <c r="RUS134" s="21"/>
      <c r="RUT134" s="20"/>
      <c r="RUU134" s="20"/>
      <c r="RUV134" s="20"/>
      <c r="RUW134" s="21"/>
      <c r="RUX134" s="21"/>
      <c r="RUY134" s="21"/>
      <c r="RUZ134" s="21"/>
      <c r="RVA134" s="21"/>
      <c r="RVB134" s="20"/>
      <c r="RVC134" s="20"/>
      <c r="RVD134" s="20"/>
      <c r="RVE134" s="20"/>
      <c r="RVF134" s="21"/>
      <c r="RVG134" s="21"/>
      <c r="RVH134" s="7"/>
      <c r="RVI134" s="7"/>
      <c r="RVJ134" s="21"/>
      <c r="RVK134" s="20"/>
      <c r="RVL134" s="20"/>
      <c r="RVM134" s="20"/>
      <c r="RVN134" s="21"/>
      <c r="RVO134" s="21"/>
      <c r="RVP134" s="21"/>
      <c r="RVQ134" s="21"/>
      <c r="RVR134" s="21"/>
      <c r="RVS134" s="20"/>
      <c r="RVT134" s="20"/>
      <c r="RVU134" s="20"/>
      <c r="RVV134" s="20"/>
      <c r="RVW134" s="21"/>
      <c r="RVX134" s="21"/>
      <c r="RVY134" s="7"/>
      <c r="RVZ134" s="7"/>
      <c r="RWA134" s="21"/>
      <c r="RWB134" s="20"/>
      <c r="RWC134" s="20"/>
      <c r="RWD134" s="20"/>
      <c r="RWE134" s="21"/>
      <c r="RWF134" s="21"/>
      <c r="RWG134" s="21"/>
      <c r="RWH134" s="21"/>
      <c r="RWI134" s="21"/>
      <c r="RWJ134" s="20"/>
      <c r="RWK134" s="20"/>
      <c r="RWL134" s="20"/>
      <c r="RWM134" s="20"/>
      <c r="RWN134" s="21"/>
      <c r="RWO134" s="21"/>
      <c r="RWP134" s="7"/>
      <c r="RWQ134" s="7"/>
      <c r="RWR134" s="21"/>
      <c r="RWS134" s="20"/>
      <c r="RWT134" s="20"/>
      <c r="RWU134" s="20"/>
      <c r="RWV134" s="21"/>
      <c r="RWW134" s="21"/>
      <c r="RWX134" s="21"/>
      <c r="RWY134" s="21"/>
      <c r="RWZ134" s="21"/>
      <c r="RXA134" s="20"/>
      <c r="RXB134" s="20"/>
      <c r="RXC134" s="20"/>
      <c r="RXD134" s="20"/>
      <c r="RXE134" s="21"/>
      <c r="RXF134" s="21"/>
      <c r="RXG134" s="7"/>
      <c r="RXH134" s="7"/>
      <c r="RXI134" s="21"/>
      <c r="RXJ134" s="20"/>
      <c r="RXK134" s="20"/>
      <c r="RXL134" s="20"/>
      <c r="RXM134" s="21"/>
      <c r="RXN134" s="21"/>
      <c r="RXO134" s="21"/>
      <c r="RXP134" s="21"/>
      <c r="RXQ134" s="21"/>
      <c r="RXR134" s="20"/>
      <c r="RXS134" s="20"/>
      <c r="RXT134" s="20"/>
      <c r="RXU134" s="20"/>
      <c r="RXV134" s="21"/>
      <c r="RXW134" s="21"/>
      <c r="RXX134" s="7"/>
      <c r="RXY134" s="7"/>
      <c r="RXZ134" s="21"/>
      <c r="RYA134" s="20"/>
      <c r="RYB134" s="20"/>
      <c r="RYC134" s="20"/>
      <c r="RYD134" s="21"/>
      <c r="RYE134" s="21"/>
      <c r="RYF134" s="21"/>
      <c r="RYG134" s="21"/>
      <c r="RYH134" s="21"/>
      <c r="RYI134" s="20"/>
      <c r="RYJ134" s="20"/>
      <c r="RYK134" s="20"/>
      <c r="RYL134" s="20"/>
      <c r="RYM134" s="21"/>
      <c r="RYN134" s="21"/>
      <c r="RYO134" s="7"/>
      <c r="RYP134" s="7"/>
      <c r="RYQ134" s="21"/>
      <c r="RYR134" s="20"/>
      <c r="RYS134" s="20"/>
      <c r="RYT134" s="20"/>
      <c r="RYU134" s="21"/>
      <c r="RYV134" s="21"/>
      <c r="RYW134" s="21"/>
      <c r="RYX134" s="21"/>
      <c r="RYY134" s="21"/>
      <c r="RYZ134" s="20"/>
      <c r="RZA134" s="20"/>
      <c r="RZB134" s="20"/>
      <c r="RZC134" s="20"/>
      <c r="RZD134" s="21"/>
      <c r="RZE134" s="21"/>
      <c r="RZF134" s="7"/>
      <c r="RZG134" s="7"/>
      <c r="RZH134" s="21"/>
      <c r="RZI134" s="20"/>
      <c r="RZJ134" s="20"/>
      <c r="RZK134" s="20"/>
      <c r="RZL134" s="21"/>
      <c r="RZM134" s="21"/>
      <c r="RZN134" s="21"/>
      <c r="RZO134" s="21"/>
      <c r="RZP134" s="21"/>
      <c r="RZQ134" s="20"/>
      <c r="RZR134" s="20"/>
      <c r="RZS134" s="20"/>
      <c r="RZT134" s="20"/>
      <c r="RZU134" s="21"/>
      <c r="RZV134" s="21"/>
      <c r="RZW134" s="7"/>
      <c r="RZX134" s="7"/>
      <c r="RZY134" s="21"/>
      <c r="RZZ134" s="20"/>
      <c r="SAA134" s="20"/>
      <c r="SAB134" s="20"/>
      <c r="SAC134" s="21"/>
      <c r="SAD134" s="21"/>
      <c r="SAE134" s="21"/>
      <c r="SAF134" s="21"/>
      <c r="SAG134" s="21"/>
      <c r="SAH134" s="20"/>
      <c r="SAI134" s="20"/>
      <c r="SAJ134" s="20"/>
      <c r="SAK134" s="20"/>
      <c r="SAL134" s="21"/>
      <c r="SAM134" s="21"/>
      <c r="SAN134" s="7"/>
      <c r="SAO134" s="7"/>
      <c r="SAP134" s="21"/>
      <c r="SAQ134" s="20"/>
      <c r="SAR134" s="20"/>
      <c r="SAS134" s="20"/>
      <c r="SAT134" s="21"/>
      <c r="SAU134" s="21"/>
      <c r="SAV134" s="21"/>
      <c r="SAW134" s="21"/>
      <c r="SAX134" s="21"/>
      <c r="SAY134" s="20"/>
      <c r="SAZ134" s="20"/>
      <c r="SBA134" s="20"/>
      <c r="SBB134" s="20"/>
      <c r="SBC134" s="21"/>
      <c r="SBD134" s="21"/>
      <c r="SBE134" s="7"/>
      <c r="SBF134" s="7"/>
      <c r="SBG134" s="21"/>
      <c r="SBH134" s="20"/>
      <c r="SBI134" s="20"/>
      <c r="SBJ134" s="20"/>
      <c r="SBK134" s="21"/>
      <c r="SBL134" s="21"/>
      <c r="SBM134" s="21"/>
      <c r="SBN134" s="21"/>
      <c r="SBO134" s="21"/>
      <c r="SBP134" s="20"/>
      <c r="SBQ134" s="20"/>
      <c r="SBR134" s="20"/>
      <c r="SBS134" s="20"/>
      <c r="SBT134" s="21"/>
      <c r="SBU134" s="21"/>
      <c r="SBV134" s="7"/>
      <c r="SBW134" s="7"/>
      <c r="SBX134" s="21"/>
      <c r="SBY134" s="20"/>
      <c r="SBZ134" s="20"/>
      <c r="SCA134" s="20"/>
      <c r="SCB134" s="21"/>
      <c r="SCC134" s="21"/>
      <c r="SCD134" s="21"/>
      <c r="SCE134" s="21"/>
      <c r="SCF134" s="21"/>
      <c r="SCG134" s="20"/>
      <c r="SCH134" s="20"/>
      <c r="SCI134" s="20"/>
      <c r="SCJ134" s="20"/>
      <c r="SCK134" s="21"/>
      <c r="SCL134" s="21"/>
      <c r="SCM134" s="7"/>
      <c r="SCN134" s="7"/>
      <c r="SCO134" s="21"/>
      <c r="SCP134" s="20"/>
      <c r="SCQ134" s="20"/>
      <c r="SCR134" s="20"/>
      <c r="SCS134" s="21"/>
      <c r="SCT134" s="21"/>
      <c r="SCU134" s="21"/>
      <c r="SCV134" s="21"/>
      <c r="SCW134" s="21"/>
      <c r="SCX134" s="20"/>
      <c r="SCY134" s="20"/>
      <c r="SCZ134" s="20"/>
      <c r="SDA134" s="20"/>
      <c r="SDB134" s="21"/>
      <c r="SDC134" s="21"/>
      <c r="SDD134" s="7"/>
      <c r="SDE134" s="7"/>
      <c r="SDF134" s="21"/>
      <c r="SDG134" s="20"/>
      <c r="SDH134" s="20"/>
      <c r="SDI134" s="20"/>
      <c r="SDJ134" s="21"/>
      <c r="SDK134" s="21"/>
      <c r="SDL134" s="21"/>
      <c r="SDM134" s="21"/>
      <c r="SDN134" s="21"/>
      <c r="SDO134" s="20"/>
      <c r="SDP134" s="20"/>
      <c r="SDQ134" s="20"/>
      <c r="SDR134" s="20"/>
      <c r="SDS134" s="21"/>
      <c r="SDT134" s="21"/>
      <c r="SDU134" s="7"/>
      <c r="SDV134" s="7"/>
      <c r="SDW134" s="21"/>
      <c r="SDX134" s="20"/>
      <c r="SDY134" s="20"/>
      <c r="SDZ134" s="20"/>
      <c r="SEA134" s="21"/>
      <c r="SEB134" s="21"/>
      <c r="SEC134" s="21"/>
      <c r="SED134" s="21"/>
      <c r="SEE134" s="21"/>
      <c r="SEF134" s="20"/>
      <c r="SEG134" s="20"/>
      <c r="SEH134" s="20"/>
      <c r="SEI134" s="20"/>
      <c r="SEJ134" s="21"/>
      <c r="SEK134" s="21"/>
      <c r="SEL134" s="7"/>
      <c r="SEM134" s="7"/>
      <c r="SEN134" s="21"/>
      <c r="SEO134" s="20"/>
      <c r="SEP134" s="20"/>
      <c r="SEQ134" s="20"/>
      <c r="SER134" s="21"/>
      <c r="SES134" s="21"/>
      <c r="SET134" s="21"/>
      <c r="SEU134" s="21"/>
      <c r="SEV134" s="21"/>
      <c r="SEW134" s="20"/>
      <c r="SEX134" s="20"/>
      <c r="SEY134" s="20"/>
      <c r="SEZ134" s="20"/>
      <c r="SFA134" s="21"/>
      <c r="SFB134" s="21"/>
      <c r="SFC134" s="7"/>
      <c r="SFD134" s="7"/>
      <c r="SFE134" s="21"/>
      <c r="SFF134" s="20"/>
      <c r="SFG134" s="20"/>
      <c r="SFH134" s="20"/>
      <c r="SFI134" s="21"/>
      <c r="SFJ134" s="21"/>
      <c r="SFK134" s="21"/>
      <c r="SFL134" s="21"/>
      <c r="SFM134" s="21"/>
      <c r="SFN134" s="20"/>
      <c r="SFO134" s="20"/>
      <c r="SFP134" s="20"/>
      <c r="SFQ134" s="20"/>
      <c r="SFR134" s="21"/>
      <c r="SFS134" s="21"/>
      <c r="SFT134" s="7"/>
      <c r="SFU134" s="7"/>
      <c r="SFV134" s="21"/>
      <c r="SFW134" s="20"/>
      <c r="SFX134" s="20"/>
      <c r="SFY134" s="20"/>
      <c r="SFZ134" s="21"/>
      <c r="SGA134" s="21"/>
      <c r="SGB134" s="21"/>
      <c r="SGC134" s="21"/>
      <c r="SGD134" s="21"/>
      <c r="SGE134" s="20"/>
      <c r="SGF134" s="20"/>
      <c r="SGG134" s="20"/>
      <c r="SGH134" s="20"/>
      <c r="SGI134" s="21"/>
      <c r="SGJ134" s="21"/>
      <c r="SGK134" s="7"/>
      <c r="SGL134" s="7"/>
      <c r="SGM134" s="21"/>
      <c r="SGN134" s="20"/>
      <c r="SGO134" s="20"/>
      <c r="SGP134" s="20"/>
      <c r="SGQ134" s="21"/>
      <c r="SGR134" s="21"/>
      <c r="SGS134" s="21"/>
      <c r="SGT134" s="21"/>
      <c r="SGU134" s="21"/>
      <c r="SGV134" s="20"/>
      <c r="SGW134" s="20"/>
      <c r="SGX134" s="20"/>
      <c r="SGY134" s="20"/>
      <c r="SGZ134" s="21"/>
      <c r="SHA134" s="21"/>
      <c r="SHB134" s="7"/>
      <c r="SHC134" s="7"/>
      <c r="SHD134" s="21"/>
      <c r="SHE134" s="20"/>
      <c r="SHF134" s="20"/>
      <c r="SHG134" s="20"/>
      <c r="SHH134" s="21"/>
      <c r="SHI134" s="21"/>
      <c r="SHJ134" s="21"/>
      <c r="SHK134" s="21"/>
      <c r="SHL134" s="21"/>
      <c r="SHM134" s="20"/>
      <c r="SHN134" s="20"/>
      <c r="SHO134" s="20"/>
      <c r="SHP134" s="20"/>
      <c r="SHQ134" s="21"/>
      <c r="SHR134" s="21"/>
      <c r="SHS134" s="7"/>
      <c r="SHT134" s="7"/>
      <c r="SHU134" s="21"/>
      <c r="SHV134" s="20"/>
      <c r="SHW134" s="20"/>
      <c r="SHX134" s="20"/>
      <c r="SHY134" s="21"/>
      <c r="SHZ134" s="21"/>
      <c r="SIA134" s="21"/>
      <c r="SIB134" s="21"/>
      <c r="SIC134" s="21"/>
      <c r="SID134" s="20"/>
      <c r="SIE134" s="20"/>
      <c r="SIF134" s="20"/>
      <c r="SIG134" s="20"/>
      <c r="SIH134" s="21"/>
      <c r="SII134" s="21"/>
      <c r="SIJ134" s="7"/>
      <c r="SIK134" s="7"/>
      <c r="SIL134" s="21"/>
      <c r="SIM134" s="20"/>
      <c r="SIN134" s="20"/>
      <c r="SIO134" s="20"/>
      <c r="SIP134" s="21"/>
      <c r="SIQ134" s="21"/>
      <c r="SIR134" s="21"/>
      <c r="SIS134" s="21"/>
      <c r="SIT134" s="21"/>
      <c r="SIU134" s="20"/>
      <c r="SIV134" s="20"/>
      <c r="SIW134" s="20"/>
      <c r="SIX134" s="20"/>
      <c r="SIY134" s="21"/>
      <c r="SIZ134" s="21"/>
      <c r="SJA134" s="7"/>
      <c r="SJB134" s="7"/>
      <c r="SJC134" s="21"/>
      <c r="SJD134" s="20"/>
      <c r="SJE134" s="20"/>
      <c r="SJF134" s="20"/>
      <c r="SJG134" s="21"/>
      <c r="SJH134" s="21"/>
      <c r="SJI134" s="21"/>
      <c r="SJJ134" s="21"/>
      <c r="SJK134" s="21"/>
      <c r="SJL134" s="20"/>
      <c r="SJM134" s="20"/>
      <c r="SJN134" s="20"/>
      <c r="SJO134" s="20"/>
      <c r="SJP134" s="21"/>
      <c r="SJQ134" s="21"/>
      <c r="SJR134" s="7"/>
      <c r="SJS134" s="7"/>
      <c r="SJT134" s="21"/>
      <c r="SJU134" s="20"/>
      <c r="SJV134" s="20"/>
      <c r="SJW134" s="20"/>
      <c r="SJX134" s="21"/>
      <c r="SJY134" s="21"/>
      <c r="SJZ134" s="21"/>
      <c r="SKA134" s="21"/>
      <c r="SKB134" s="21"/>
      <c r="SKC134" s="20"/>
      <c r="SKD134" s="20"/>
      <c r="SKE134" s="20"/>
      <c r="SKF134" s="20"/>
      <c r="SKG134" s="21"/>
      <c r="SKH134" s="21"/>
      <c r="SKI134" s="7"/>
      <c r="SKJ134" s="7"/>
      <c r="SKK134" s="21"/>
      <c r="SKL134" s="20"/>
      <c r="SKM134" s="20"/>
      <c r="SKN134" s="20"/>
      <c r="SKO134" s="21"/>
      <c r="SKP134" s="21"/>
      <c r="SKQ134" s="21"/>
      <c r="SKR134" s="21"/>
      <c r="SKS134" s="21"/>
      <c r="SKT134" s="20"/>
      <c r="SKU134" s="20"/>
      <c r="SKV134" s="20"/>
      <c r="SKW134" s="20"/>
      <c r="SKX134" s="21"/>
      <c r="SKY134" s="21"/>
      <c r="SKZ134" s="7"/>
      <c r="SLA134" s="7"/>
      <c r="SLB134" s="21"/>
      <c r="SLC134" s="20"/>
      <c r="SLD134" s="20"/>
      <c r="SLE134" s="20"/>
      <c r="SLF134" s="21"/>
      <c r="SLG134" s="21"/>
      <c r="SLH134" s="21"/>
      <c r="SLI134" s="21"/>
      <c r="SLJ134" s="21"/>
      <c r="SLK134" s="20"/>
      <c r="SLL134" s="20"/>
      <c r="SLM134" s="20"/>
      <c r="SLN134" s="20"/>
      <c r="SLO134" s="21"/>
      <c r="SLP134" s="21"/>
      <c r="SLQ134" s="7"/>
      <c r="SLR134" s="7"/>
      <c r="SLS134" s="21"/>
      <c r="SLT134" s="20"/>
      <c r="SLU134" s="20"/>
      <c r="SLV134" s="20"/>
      <c r="SLW134" s="21"/>
      <c r="SLX134" s="21"/>
      <c r="SLY134" s="21"/>
      <c r="SLZ134" s="21"/>
      <c r="SMA134" s="21"/>
      <c r="SMB134" s="20"/>
      <c r="SMC134" s="20"/>
      <c r="SMD134" s="20"/>
      <c r="SME134" s="20"/>
      <c r="SMF134" s="21"/>
      <c r="SMG134" s="21"/>
      <c r="SMH134" s="7"/>
      <c r="SMI134" s="7"/>
      <c r="SMJ134" s="21"/>
      <c r="SMK134" s="20"/>
      <c r="SML134" s="20"/>
      <c r="SMM134" s="20"/>
      <c r="SMN134" s="21"/>
      <c r="SMO134" s="21"/>
      <c r="SMP134" s="21"/>
      <c r="SMQ134" s="21"/>
      <c r="SMR134" s="21"/>
      <c r="SMS134" s="20"/>
      <c r="SMT134" s="20"/>
      <c r="SMU134" s="20"/>
      <c r="SMV134" s="20"/>
      <c r="SMW134" s="21"/>
      <c r="SMX134" s="21"/>
      <c r="SMY134" s="7"/>
      <c r="SMZ134" s="7"/>
      <c r="SNA134" s="21"/>
      <c r="SNB134" s="20"/>
      <c r="SNC134" s="20"/>
      <c r="SND134" s="20"/>
      <c r="SNE134" s="21"/>
      <c r="SNF134" s="21"/>
      <c r="SNG134" s="21"/>
      <c r="SNH134" s="21"/>
      <c r="SNI134" s="21"/>
      <c r="SNJ134" s="20"/>
      <c r="SNK134" s="20"/>
      <c r="SNL134" s="20"/>
      <c r="SNM134" s="20"/>
      <c r="SNN134" s="21"/>
      <c r="SNO134" s="21"/>
      <c r="SNP134" s="7"/>
      <c r="SNQ134" s="7"/>
      <c r="SNR134" s="21"/>
      <c r="SNS134" s="20"/>
      <c r="SNT134" s="20"/>
      <c r="SNU134" s="20"/>
      <c r="SNV134" s="21"/>
      <c r="SNW134" s="21"/>
      <c r="SNX134" s="21"/>
      <c r="SNY134" s="21"/>
      <c r="SNZ134" s="21"/>
      <c r="SOA134" s="20"/>
      <c r="SOB134" s="20"/>
      <c r="SOC134" s="20"/>
      <c r="SOD134" s="20"/>
      <c r="SOE134" s="21"/>
      <c r="SOF134" s="21"/>
      <c r="SOG134" s="7"/>
      <c r="SOH134" s="7"/>
      <c r="SOI134" s="21"/>
      <c r="SOJ134" s="20"/>
      <c r="SOK134" s="20"/>
      <c r="SOL134" s="20"/>
      <c r="SOM134" s="21"/>
      <c r="SON134" s="21"/>
      <c r="SOO134" s="21"/>
      <c r="SOP134" s="21"/>
      <c r="SOQ134" s="21"/>
      <c r="SOR134" s="20"/>
      <c r="SOS134" s="20"/>
      <c r="SOT134" s="20"/>
      <c r="SOU134" s="20"/>
      <c r="SOV134" s="21"/>
      <c r="SOW134" s="21"/>
      <c r="SOX134" s="7"/>
      <c r="SOY134" s="7"/>
      <c r="SOZ134" s="21"/>
      <c r="SPA134" s="20"/>
      <c r="SPB134" s="20"/>
      <c r="SPC134" s="20"/>
      <c r="SPD134" s="21"/>
      <c r="SPE134" s="21"/>
      <c r="SPF134" s="21"/>
      <c r="SPG134" s="21"/>
      <c r="SPH134" s="21"/>
      <c r="SPI134" s="20"/>
      <c r="SPJ134" s="20"/>
      <c r="SPK134" s="20"/>
      <c r="SPL134" s="20"/>
      <c r="SPM134" s="21"/>
      <c r="SPN134" s="21"/>
      <c r="SPO134" s="7"/>
      <c r="SPP134" s="7"/>
      <c r="SPQ134" s="21"/>
      <c r="SPR134" s="20"/>
      <c r="SPS134" s="20"/>
      <c r="SPT134" s="20"/>
      <c r="SPU134" s="21"/>
      <c r="SPV134" s="21"/>
      <c r="SPW134" s="21"/>
      <c r="SPX134" s="21"/>
      <c r="SPY134" s="21"/>
      <c r="SPZ134" s="20"/>
      <c r="SQA134" s="20"/>
      <c r="SQB134" s="20"/>
      <c r="SQC134" s="20"/>
      <c r="SQD134" s="21"/>
      <c r="SQE134" s="21"/>
      <c r="SQF134" s="7"/>
      <c r="SQG134" s="7"/>
      <c r="SQH134" s="21"/>
      <c r="SQI134" s="20"/>
      <c r="SQJ134" s="20"/>
      <c r="SQK134" s="20"/>
      <c r="SQL134" s="21"/>
      <c r="SQM134" s="21"/>
      <c r="SQN134" s="21"/>
      <c r="SQO134" s="21"/>
      <c r="SQP134" s="21"/>
      <c r="SQQ134" s="20"/>
      <c r="SQR134" s="20"/>
      <c r="SQS134" s="20"/>
      <c r="SQT134" s="20"/>
      <c r="SQU134" s="21"/>
      <c r="SQV134" s="21"/>
      <c r="SQW134" s="7"/>
      <c r="SQX134" s="7"/>
      <c r="SQY134" s="21"/>
      <c r="SQZ134" s="20"/>
      <c r="SRA134" s="20"/>
      <c r="SRB134" s="20"/>
      <c r="SRC134" s="21"/>
      <c r="SRD134" s="21"/>
      <c r="SRE134" s="21"/>
      <c r="SRF134" s="21"/>
      <c r="SRG134" s="21"/>
      <c r="SRH134" s="20"/>
      <c r="SRI134" s="20"/>
      <c r="SRJ134" s="20"/>
      <c r="SRK134" s="20"/>
      <c r="SRL134" s="21"/>
      <c r="SRM134" s="21"/>
      <c r="SRN134" s="7"/>
      <c r="SRO134" s="7"/>
      <c r="SRP134" s="21"/>
      <c r="SRQ134" s="20"/>
      <c r="SRR134" s="20"/>
      <c r="SRS134" s="20"/>
      <c r="SRT134" s="21"/>
      <c r="SRU134" s="21"/>
      <c r="SRV134" s="21"/>
      <c r="SRW134" s="21"/>
      <c r="SRX134" s="21"/>
      <c r="SRY134" s="20"/>
      <c r="SRZ134" s="20"/>
      <c r="SSA134" s="20"/>
      <c r="SSB134" s="20"/>
      <c r="SSC134" s="21"/>
      <c r="SSD134" s="21"/>
      <c r="SSE134" s="7"/>
      <c r="SSF134" s="7"/>
      <c r="SSG134" s="21"/>
      <c r="SSH134" s="20"/>
      <c r="SSI134" s="20"/>
      <c r="SSJ134" s="20"/>
      <c r="SSK134" s="21"/>
      <c r="SSL134" s="21"/>
      <c r="SSM134" s="21"/>
      <c r="SSN134" s="21"/>
      <c r="SSO134" s="21"/>
      <c r="SSP134" s="20"/>
      <c r="SSQ134" s="20"/>
      <c r="SSR134" s="20"/>
      <c r="SSS134" s="20"/>
      <c r="SST134" s="21"/>
      <c r="SSU134" s="21"/>
      <c r="SSV134" s="7"/>
      <c r="SSW134" s="7"/>
      <c r="SSX134" s="21"/>
      <c r="SSY134" s="20"/>
      <c r="SSZ134" s="20"/>
      <c r="STA134" s="20"/>
      <c r="STB134" s="21"/>
      <c r="STC134" s="21"/>
      <c r="STD134" s="21"/>
      <c r="STE134" s="21"/>
      <c r="STF134" s="21"/>
      <c r="STG134" s="20"/>
      <c r="STH134" s="20"/>
      <c r="STI134" s="20"/>
      <c r="STJ134" s="20"/>
      <c r="STK134" s="21"/>
      <c r="STL134" s="21"/>
      <c r="STM134" s="7"/>
      <c r="STN134" s="7"/>
      <c r="STO134" s="21"/>
      <c r="STP134" s="20"/>
      <c r="STQ134" s="20"/>
      <c r="STR134" s="20"/>
      <c r="STS134" s="21"/>
      <c r="STT134" s="21"/>
      <c r="STU134" s="21"/>
      <c r="STV134" s="21"/>
      <c r="STW134" s="21"/>
      <c r="STX134" s="20"/>
      <c r="STY134" s="20"/>
      <c r="STZ134" s="20"/>
      <c r="SUA134" s="20"/>
      <c r="SUB134" s="21"/>
      <c r="SUC134" s="21"/>
      <c r="SUD134" s="7"/>
      <c r="SUE134" s="7"/>
      <c r="SUF134" s="21"/>
      <c r="SUG134" s="20"/>
      <c r="SUH134" s="20"/>
      <c r="SUI134" s="20"/>
      <c r="SUJ134" s="21"/>
      <c r="SUK134" s="21"/>
      <c r="SUL134" s="21"/>
      <c r="SUM134" s="21"/>
      <c r="SUN134" s="21"/>
      <c r="SUO134" s="20"/>
      <c r="SUP134" s="20"/>
      <c r="SUQ134" s="20"/>
      <c r="SUR134" s="20"/>
      <c r="SUS134" s="21"/>
      <c r="SUT134" s="21"/>
      <c r="SUU134" s="7"/>
      <c r="SUV134" s="7"/>
      <c r="SUW134" s="21"/>
      <c r="SUX134" s="20"/>
      <c r="SUY134" s="20"/>
      <c r="SUZ134" s="20"/>
      <c r="SVA134" s="21"/>
      <c r="SVB134" s="21"/>
      <c r="SVC134" s="21"/>
      <c r="SVD134" s="21"/>
      <c r="SVE134" s="21"/>
      <c r="SVF134" s="20"/>
      <c r="SVG134" s="20"/>
      <c r="SVH134" s="20"/>
      <c r="SVI134" s="20"/>
      <c r="SVJ134" s="21"/>
      <c r="SVK134" s="21"/>
      <c r="SVL134" s="7"/>
      <c r="SVM134" s="7"/>
      <c r="SVN134" s="21"/>
      <c r="SVO134" s="20"/>
      <c r="SVP134" s="20"/>
      <c r="SVQ134" s="20"/>
      <c r="SVR134" s="21"/>
      <c r="SVS134" s="21"/>
      <c r="SVT134" s="21"/>
      <c r="SVU134" s="21"/>
      <c r="SVV134" s="21"/>
      <c r="SVW134" s="20"/>
      <c r="SVX134" s="20"/>
      <c r="SVY134" s="20"/>
      <c r="SVZ134" s="20"/>
      <c r="SWA134" s="21"/>
      <c r="SWB134" s="21"/>
      <c r="SWC134" s="7"/>
      <c r="SWD134" s="7"/>
      <c r="SWE134" s="21"/>
      <c r="SWF134" s="20"/>
      <c r="SWG134" s="20"/>
      <c r="SWH134" s="20"/>
      <c r="SWI134" s="21"/>
      <c r="SWJ134" s="21"/>
      <c r="SWK134" s="21"/>
      <c r="SWL134" s="21"/>
      <c r="SWM134" s="21"/>
      <c r="SWN134" s="20"/>
      <c r="SWO134" s="20"/>
      <c r="SWP134" s="20"/>
      <c r="SWQ134" s="20"/>
      <c r="SWR134" s="21"/>
      <c r="SWS134" s="21"/>
      <c r="SWT134" s="7"/>
      <c r="SWU134" s="7"/>
      <c r="SWV134" s="21"/>
      <c r="SWW134" s="20"/>
      <c r="SWX134" s="20"/>
      <c r="SWY134" s="20"/>
      <c r="SWZ134" s="21"/>
      <c r="SXA134" s="21"/>
      <c r="SXB134" s="21"/>
      <c r="SXC134" s="21"/>
      <c r="SXD134" s="21"/>
      <c r="SXE134" s="20"/>
      <c r="SXF134" s="20"/>
      <c r="SXG134" s="20"/>
      <c r="SXH134" s="20"/>
      <c r="SXI134" s="21"/>
      <c r="SXJ134" s="21"/>
      <c r="SXK134" s="7"/>
      <c r="SXL134" s="7"/>
      <c r="SXM134" s="21"/>
      <c r="SXN134" s="20"/>
      <c r="SXO134" s="20"/>
      <c r="SXP134" s="20"/>
      <c r="SXQ134" s="21"/>
      <c r="SXR134" s="21"/>
      <c r="SXS134" s="21"/>
      <c r="SXT134" s="21"/>
      <c r="SXU134" s="21"/>
      <c r="SXV134" s="20"/>
      <c r="SXW134" s="20"/>
      <c r="SXX134" s="20"/>
      <c r="SXY134" s="20"/>
      <c r="SXZ134" s="21"/>
      <c r="SYA134" s="21"/>
      <c r="SYB134" s="7"/>
      <c r="SYC134" s="7"/>
      <c r="SYD134" s="21"/>
      <c r="SYE134" s="20"/>
      <c r="SYF134" s="20"/>
      <c r="SYG134" s="20"/>
      <c r="SYH134" s="21"/>
      <c r="SYI134" s="21"/>
      <c r="SYJ134" s="21"/>
      <c r="SYK134" s="21"/>
      <c r="SYL134" s="21"/>
      <c r="SYM134" s="20"/>
      <c r="SYN134" s="20"/>
      <c r="SYO134" s="20"/>
      <c r="SYP134" s="20"/>
      <c r="SYQ134" s="21"/>
      <c r="SYR134" s="21"/>
      <c r="SYS134" s="7"/>
      <c r="SYT134" s="7"/>
      <c r="SYU134" s="21"/>
      <c r="SYV134" s="20"/>
      <c r="SYW134" s="20"/>
      <c r="SYX134" s="20"/>
      <c r="SYY134" s="21"/>
      <c r="SYZ134" s="21"/>
      <c r="SZA134" s="21"/>
      <c r="SZB134" s="21"/>
      <c r="SZC134" s="21"/>
      <c r="SZD134" s="20"/>
      <c r="SZE134" s="20"/>
      <c r="SZF134" s="20"/>
      <c r="SZG134" s="20"/>
      <c r="SZH134" s="21"/>
      <c r="SZI134" s="21"/>
      <c r="SZJ134" s="7"/>
      <c r="SZK134" s="7"/>
      <c r="SZL134" s="21"/>
      <c r="SZM134" s="20"/>
      <c r="SZN134" s="20"/>
      <c r="SZO134" s="20"/>
      <c r="SZP134" s="21"/>
      <c r="SZQ134" s="21"/>
      <c r="SZR134" s="21"/>
      <c r="SZS134" s="21"/>
      <c r="SZT134" s="21"/>
      <c r="SZU134" s="20"/>
      <c r="SZV134" s="20"/>
      <c r="SZW134" s="20"/>
      <c r="SZX134" s="20"/>
      <c r="SZY134" s="21"/>
      <c r="SZZ134" s="21"/>
      <c r="TAA134" s="7"/>
      <c r="TAB134" s="7"/>
      <c r="TAC134" s="21"/>
      <c r="TAD134" s="20"/>
      <c r="TAE134" s="20"/>
      <c r="TAF134" s="20"/>
      <c r="TAG134" s="21"/>
      <c r="TAH134" s="21"/>
      <c r="TAI134" s="21"/>
      <c r="TAJ134" s="21"/>
      <c r="TAK134" s="21"/>
      <c r="TAL134" s="20"/>
      <c r="TAM134" s="20"/>
      <c r="TAN134" s="20"/>
      <c r="TAO134" s="20"/>
      <c r="TAP134" s="21"/>
      <c r="TAQ134" s="21"/>
      <c r="TAR134" s="7"/>
      <c r="TAS134" s="7"/>
      <c r="TAT134" s="21"/>
      <c r="TAU134" s="20"/>
      <c r="TAV134" s="20"/>
      <c r="TAW134" s="20"/>
      <c r="TAX134" s="21"/>
      <c r="TAY134" s="21"/>
      <c r="TAZ134" s="21"/>
      <c r="TBA134" s="21"/>
      <c r="TBB134" s="21"/>
      <c r="TBC134" s="20"/>
      <c r="TBD134" s="20"/>
      <c r="TBE134" s="20"/>
      <c r="TBF134" s="20"/>
      <c r="TBG134" s="21"/>
      <c r="TBH134" s="21"/>
      <c r="TBI134" s="7"/>
      <c r="TBJ134" s="7"/>
      <c r="TBK134" s="21"/>
      <c r="TBL134" s="20"/>
      <c r="TBM134" s="20"/>
      <c r="TBN134" s="20"/>
      <c r="TBO134" s="21"/>
      <c r="TBP134" s="21"/>
      <c r="TBQ134" s="21"/>
      <c r="TBR134" s="21"/>
      <c r="TBS134" s="21"/>
      <c r="TBT134" s="20"/>
      <c r="TBU134" s="20"/>
      <c r="TBV134" s="20"/>
      <c r="TBW134" s="20"/>
      <c r="TBX134" s="21"/>
      <c r="TBY134" s="21"/>
      <c r="TBZ134" s="7"/>
      <c r="TCA134" s="7"/>
      <c r="TCB134" s="21"/>
      <c r="TCC134" s="20"/>
      <c r="TCD134" s="20"/>
      <c r="TCE134" s="20"/>
      <c r="TCF134" s="21"/>
      <c r="TCG134" s="21"/>
      <c r="TCH134" s="21"/>
      <c r="TCI134" s="21"/>
      <c r="TCJ134" s="21"/>
      <c r="TCK134" s="20"/>
      <c r="TCL134" s="20"/>
      <c r="TCM134" s="20"/>
      <c r="TCN134" s="20"/>
      <c r="TCO134" s="21"/>
      <c r="TCP134" s="21"/>
      <c r="TCQ134" s="7"/>
      <c r="TCR134" s="7"/>
      <c r="TCS134" s="21"/>
      <c r="TCT134" s="20"/>
      <c r="TCU134" s="20"/>
      <c r="TCV134" s="20"/>
      <c r="TCW134" s="21"/>
      <c r="TCX134" s="21"/>
      <c r="TCY134" s="21"/>
      <c r="TCZ134" s="21"/>
      <c r="TDA134" s="21"/>
      <c r="TDB134" s="20"/>
      <c r="TDC134" s="20"/>
      <c r="TDD134" s="20"/>
      <c r="TDE134" s="20"/>
      <c r="TDF134" s="21"/>
      <c r="TDG134" s="21"/>
      <c r="TDH134" s="7"/>
      <c r="TDI134" s="7"/>
      <c r="TDJ134" s="21"/>
      <c r="TDK134" s="20"/>
      <c r="TDL134" s="20"/>
      <c r="TDM134" s="20"/>
      <c r="TDN134" s="21"/>
      <c r="TDO134" s="21"/>
      <c r="TDP134" s="21"/>
      <c r="TDQ134" s="21"/>
      <c r="TDR134" s="21"/>
      <c r="TDS134" s="20"/>
      <c r="TDT134" s="20"/>
      <c r="TDU134" s="20"/>
      <c r="TDV134" s="20"/>
      <c r="TDW134" s="21"/>
      <c r="TDX134" s="21"/>
      <c r="TDY134" s="7"/>
      <c r="TDZ134" s="7"/>
      <c r="TEA134" s="21"/>
      <c r="TEB134" s="20"/>
      <c r="TEC134" s="20"/>
      <c r="TED134" s="20"/>
      <c r="TEE134" s="21"/>
      <c r="TEF134" s="21"/>
      <c r="TEG134" s="21"/>
      <c r="TEH134" s="21"/>
      <c r="TEI134" s="21"/>
      <c r="TEJ134" s="20"/>
      <c r="TEK134" s="20"/>
      <c r="TEL134" s="20"/>
      <c r="TEM134" s="20"/>
      <c r="TEN134" s="21"/>
      <c r="TEO134" s="21"/>
      <c r="TEP134" s="7"/>
      <c r="TEQ134" s="7"/>
      <c r="TER134" s="21"/>
      <c r="TES134" s="20"/>
      <c r="TET134" s="20"/>
      <c r="TEU134" s="20"/>
      <c r="TEV134" s="21"/>
      <c r="TEW134" s="21"/>
      <c r="TEX134" s="21"/>
      <c r="TEY134" s="21"/>
      <c r="TEZ134" s="21"/>
      <c r="TFA134" s="20"/>
      <c r="TFB134" s="20"/>
      <c r="TFC134" s="20"/>
      <c r="TFD134" s="20"/>
      <c r="TFE134" s="21"/>
      <c r="TFF134" s="21"/>
      <c r="TFG134" s="7"/>
      <c r="TFH134" s="7"/>
      <c r="TFI134" s="21"/>
      <c r="TFJ134" s="20"/>
      <c r="TFK134" s="20"/>
      <c r="TFL134" s="20"/>
      <c r="TFM134" s="21"/>
      <c r="TFN134" s="21"/>
      <c r="TFO134" s="21"/>
      <c r="TFP134" s="21"/>
      <c r="TFQ134" s="21"/>
      <c r="TFR134" s="20"/>
      <c r="TFS134" s="20"/>
      <c r="TFT134" s="20"/>
      <c r="TFU134" s="20"/>
      <c r="TFV134" s="21"/>
      <c r="TFW134" s="21"/>
      <c r="TFX134" s="7"/>
      <c r="TFY134" s="7"/>
      <c r="TFZ134" s="21"/>
      <c r="TGA134" s="20"/>
      <c r="TGB134" s="20"/>
      <c r="TGC134" s="20"/>
      <c r="TGD134" s="21"/>
      <c r="TGE134" s="21"/>
      <c r="TGF134" s="21"/>
      <c r="TGG134" s="21"/>
      <c r="TGH134" s="21"/>
      <c r="TGI134" s="20"/>
      <c r="TGJ134" s="20"/>
      <c r="TGK134" s="20"/>
      <c r="TGL134" s="20"/>
      <c r="TGM134" s="21"/>
      <c r="TGN134" s="21"/>
      <c r="TGO134" s="7"/>
      <c r="TGP134" s="7"/>
      <c r="TGQ134" s="21"/>
      <c r="TGR134" s="20"/>
      <c r="TGS134" s="20"/>
      <c r="TGT134" s="20"/>
      <c r="TGU134" s="21"/>
      <c r="TGV134" s="21"/>
      <c r="TGW134" s="21"/>
      <c r="TGX134" s="21"/>
      <c r="TGY134" s="21"/>
      <c r="TGZ134" s="20"/>
      <c r="THA134" s="20"/>
      <c r="THB134" s="20"/>
      <c r="THC134" s="20"/>
      <c r="THD134" s="21"/>
      <c r="THE134" s="21"/>
      <c r="THF134" s="7"/>
      <c r="THG134" s="7"/>
      <c r="THH134" s="21"/>
      <c r="THI134" s="20"/>
      <c r="THJ134" s="20"/>
      <c r="THK134" s="20"/>
      <c r="THL134" s="21"/>
      <c r="THM134" s="21"/>
      <c r="THN134" s="21"/>
      <c r="THO134" s="21"/>
      <c r="THP134" s="21"/>
      <c r="THQ134" s="20"/>
      <c r="THR134" s="20"/>
      <c r="THS134" s="20"/>
      <c r="THT134" s="20"/>
      <c r="THU134" s="21"/>
      <c r="THV134" s="21"/>
      <c r="THW134" s="7"/>
      <c r="THX134" s="7"/>
      <c r="THY134" s="21"/>
      <c r="THZ134" s="20"/>
      <c r="TIA134" s="20"/>
      <c r="TIB134" s="20"/>
      <c r="TIC134" s="21"/>
      <c r="TID134" s="21"/>
      <c r="TIE134" s="21"/>
      <c r="TIF134" s="21"/>
      <c r="TIG134" s="21"/>
      <c r="TIH134" s="20"/>
      <c r="TII134" s="20"/>
      <c r="TIJ134" s="20"/>
      <c r="TIK134" s="20"/>
      <c r="TIL134" s="21"/>
      <c r="TIM134" s="21"/>
      <c r="TIN134" s="7"/>
      <c r="TIO134" s="7"/>
      <c r="TIP134" s="21"/>
      <c r="TIQ134" s="20"/>
      <c r="TIR134" s="20"/>
      <c r="TIS134" s="20"/>
      <c r="TIT134" s="21"/>
      <c r="TIU134" s="21"/>
      <c r="TIV134" s="21"/>
      <c r="TIW134" s="21"/>
      <c r="TIX134" s="21"/>
      <c r="TIY134" s="20"/>
      <c r="TIZ134" s="20"/>
      <c r="TJA134" s="20"/>
      <c r="TJB134" s="20"/>
      <c r="TJC134" s="21"/>
      <c r="TJD134" s="21"/>
      <c r="TJE134" s="7"/>
      <c r="TJF134" s="7"/>
      <c r="TJG134" s="21"/>
      <c r="TJH134" s="20"/>
      <c r="TJI134" s="20"/>
      <c r="TJJ134" s="20"/>
      <c r="TJK134" s="21"/>
      <c r="TJL134" s="21"/>
      <c r="TJM134" s="21"/>
      <c r="TJN134" s="21"/>
      <c r="TJO134" s="21"/>
      <c r="TJP134" s="20"/>
      <c r="TJQ134" s="20"/>
      <c r="TJR134" s="20"/>
      <c r="TJS134" s="20"/>
      <c r="TJT134" s="21"/>
      <c r="TJU134" s="21"/>
      <c r="TJV134" s="7"/>
      <c r="TJW134" s="7"/>
      <c r="TJX134" s="21"/>
      <c r="TJY134" s="20"/>
      <c r="TJZ134" s="20"/>
      <c r="TKA134" s="20"/>
      <c r="TKB134" s="21"/>
      <c r="TKC134" s="21"/>
      <c r="TKD134" s="21"/>
      <c r="TKE134" s="21"/>
      <c r="TKF134" s="21"/>
      <c r="TKG134" s="20"/>
      <c r="TKH134" s="20"/>
      <c r="TKI134" s="20"/>
      <c r="TKJ134" s="20"/>
      <c r="TKK134" s="21"/>
      <c r="TKL134" s="21"/>
      <c r="TKM134" s="7"/>
      <c r="TKN134" s="7"/>
      <c r="TKO134" s="21"/>
      <c r="TKP134" s="20"/>
      <c r="TKQ134" s="20"/>
      <c r="TKR134" s="20"/>
      <c r="TKS134" s="21"/>
      <c r="TKT134" s="21"/>
      <c r="TKU134" s="21"/>
      <c r="TKV134" s="21"/>
      <c r="TKW134" s="21"/>
      <c r="TKX134" s="20"/>
      <c r="TKY134" s="20"/>
      <c r="TKZ134" s="20"/>
      <c r="TLA134" s="20"/>
      <c r="TLB134" s="21"/>
      <c r="TLC134" s="21"/>
      <c r="TLD134" s="7"/>
      <c r="TLE134" s="7"/>
      <c r="TLF134" s="21"/>
      <c r="TLG134" s="20"/>
      <c r="TLH134" s="20"/>
      <c r="TLI134" s="20"/>
      <c r="TLJ134" s="21"/>
      <c r="TLK134" s="21"/>
      <c r="TLL134" s="21"/>
      <c r="TLM134" s="21"/>
      <c r="TLN134" s="21"/>
      <c r="TLO134" s="20"/>
      <c r="TLP134" s="20"/>
      <c r="TLQ134" s="20"/>
      <c r="TLR134" s="20"/>
      <c r="TLS134" s="21"/>
      <c r="TLT134" s="21"/>
      <c r="TLU134" s="7"/>
      <c r="TLV134" s="7"/>
      <c r="TLW134" s="21"/>
      <c r="TLX134" s="20"/>
      <c r="TLY134" s="20"/>
      <c r="TLZ134" s="20"/>
      <c r="TMA134" s="21"/>
      <c r="TMB134" s="21"/>
      <c r="TMC134" s="21"/>
      <c r="TMD134" s="21"/>
      <c r="TME134" s="21"/>
      <c r="TMF134" s="20"/>
      <c r="TMG134" s="20"/>
      <c r="TMH134" s="20"/>
      <c r="TMI134" s="20"/>
      <c r="TMJ134" s="21"/>
      <c r="TMK134" s="21"/>
      <c r="TML134" s="7"/>
      <c r="TMM134" s="7"/>
      <c r="TMN134" s="21"/>
      <c r="TMO134" s="20"/>
      <c r="TMP134" s="20"/>
      <c r="TMQ134" s="20"/>
      <c r="TMR134" s="21"/>
      <c r="TMS134" s="21"/>
      <c r="TMT134" s="21"/>
      <c r="TMU134" s="21"/>
      <c r="TMV134" s="21"/>
      <c r="TMW134" s="20"/>
      <c r="TMX134" s="20"/>
      <c r="TMY134" s="20"/>
      <c r="TMZ134" s="20"/>
      <c r="TNA134" s="21"/>
      <c r="TNB134" s="21"/>
      <c r="TNC134" s="7"/>
      <c r="TND134" s="7"/>
      <c r="TNE134" s="21"/>
      <c r="TNF134" s="20"/>
      <c r="TNG134" s="20"/>
      <c r="TNH134" s="20"/>
      <c r="TNI134" s="21"/>
      <c r="TNJ134" s="21"/>
      <c r="TNK134" s="21"/>
      <c r="TNL134" s="21"/>
      <c r="TNM134" s="21"/>
      <c r="TNN134" s="20"/>
      <c r="TNO134" s="20"/>
      <c r="TNP134" s="20"/>
      <c r="TNQ134" s="20"/>
      <c r="TNR134" s="21"/>
      <c r="TNS134" s="21"/>
      <c r="TNT134" s="7"/>
      <c r="TNU134" s="7"/>
      <c r="TNV134" s="21"/>
      <c r="TNW134" s="20"/>
      <c r="TNX134" s="20"/>
      <c r="TNY134" s="20"/>
      <c r="TNZ134" s="21"/>
      <c r="TOA134" s="21"/>
      <c r="TOB134" s="21"/>
      <c r="TOC134" s="21"/>
      <c r="TOD134" s="21"/>
      <c r="TOE134" s="20"/>
      <c r="TOF134" s="20"/>
      <c r="TOG134" s="20"/>
      <c r="TOH134" s="20"/>
      <c r="TOI134" s="21"/>
      <c r="TOJ134" s="21"/>
      <c r="TOK134" s="7"/>
      <c r="TOL134" s="7"/>
      <c r="TOM134" s="21"/>
      <c r="TON134" s="20"/>
      <c r="TOO134" s="20"/>
      <c r="TOP134" s="20"/>
      <c r="TOQ134" s="21"/>
      <c r="TOR134" s="21"/>
      <c r="TOS134" s="21"/>
      <c r="TOT134" s="21"/>
      <c r="TOU134" s="21"/>
      <c r="TOV134" s="20"/>
      <c r="TOW134" s="20"/>
      <c r="TOX134" s="20"/>
      <c r="TOY134" s="20"/>
      <c r="TOZ134" s="21"/>
      <c r="TPA134" s="21"/>
      <c r="TPB134" s="7"/>
      <c r="TPC134" s="7"/>
      <c r="TPD134" s="21"/>
      <c r="TPE134" s="20"/>
      <c r="TPF134" s="20"/>
      <c r="TPG134" s="20"/>
      <c r="TPH134" s="21"/>
      <c r="TPI134" s="21"/>
      <c r="TPJ134" s="21"/>
      <c r="TPK134" s="21"/>
      <c r="TPL134" s="21"/>
      <c r="TPM134" s="20"/>
      <c r="TPN134" s="20"/>
      <c r="TPO134" s="20"/>
      <c r="TPP134" s="20"/>
      <c r="TPQ134" s="21"/>
      <c r="TPR134" s="21"/>
      <c r="TPS134" s="7"/>
      <c r="TPT134" s="7"/>
      <c r="TPU134" s="21"/>
      <c r="TPV134" s="20"/>
      <c r="TPW134" s="20"/>
      <c r="TPX134" s="20"/>
      <c r="TPY134" s="21"/>
      <c r="TPZ134" s="21"/>
      <c r="TQA134" s="21"/>
      <c r="TQB134" s="21"/>
      <c r="TQC134" s="21"/>
      <c r="TQD134" s="20"/>
      <c r="TQE134" s="20"/>
      <c r="TQF134" s="20"/>
      <c r="TQG134" s="20"/>
      <c r="TQH134" s="21"/>
      <c r="TQI134" s="21"/>
      <c r="TQJ134" s="7"/>
      <c r="TQK134" s="7"/>
      <c r="TQL134" s="21"/>
      <c r="TQM134" s="20"/>
      <c r="TQN134" s="20"/>
      <c r="TQO134" s="20"/>
      <c r="TQP134" s="21"/>
      <c r="TQQ134" s="21"/>
      <c r="TQR134" s="21"/>
      <c r="TQS134" s="21"/>
      <c r="TQT134" s="21"/>
      <c r="TQU134" s="20"/>
      <c r="TQV134" s="20"/>
      <c r="TQW134" s="20"/>
      <c r="TQX134" s="20"/>
      <c r="TQY134" s="21"/>
      <c r="TQZ134" s="21"/>
      <c r="TRA134" s="7"/>
      <c r="TRB134" s="7"/>
      <c r="TRC134" s="21"/>
      <c r="TRD134" s="20"/>
      <c r="TRE134" s="20"/>
      <c r="TRF134" s="20"/>
      <c r="TRG134" s="21"/>
      <c r="TRH134" s="21"/>
      <c r="TRI134" s="21"/>
      <c r="TRJ134" s="21"/>
      <c r="TRK134" s="21"/>
      <c r="TRL134" s="20"/>
      <c r="TRM134" s="20"/>
      <c r="TRN134" s="20"/>
      <c r="TRO134" s="20"/>
      <c r="TRP134" s="21"/>
      <c r="TRQ134" s="21"/>
      <c r="TRR134" s="7"/>
      <c r="TRS134" s="7"/>
      <c r="TRT134" s="21"/>
      <c r="TRU134" s="20"/>
      <c r="TRV134" s="20"/>
      <c r="TRW134" s="20"/>
      <c r="TRX134" s="21"/>
      <c r="TRY134" s="21"/>
      <c r="TRZ134" s="21"/>
      <c r="TSA134" s="21"/>
      <c r="TSB134" s="21"/>
      <c r="TSC134" s="20"/>
      <c r="TSD134" s="20"/>
      <c r="TSE134" s="20"/>
      <c r="TSF134" s="20"/>
      <c r="TSG134" s="21"/>
      <c r="TSH134" s="21"/>
      <c r="TSI134" s="7"/>
      <c r="TSJ134" s="7"/>
      <c r="TSK134" s="21"/>
      <c r="TSL134" s="20"/>
      <c r="TSM134" s="20"/>
      <c r="TSN134" s="20"/>
      <c r="TSO134" s="21"/>
      <c r="TSP134" s="21"/>
      <c r="TSQ134" s="21"/>
      <c r="TSR134" s="21"/>
      <c r="TSS134" s="21"/>
      <c r="TST134" s="20"/>
      <c r="TSU134" s="20"/>
      <c r="TSV134" s="20"/>
      <c r="TSW134" s="20"/>
      <c r="TSX134" s="21"/>
      <c r="TSY134" s="21"/>
      <c r="TSZ134" s="7"/>
      <c r="TTA134" s="7"/>
      <c r="TTB134" s="21"/>
      <c r="TTC134" s="20"/>
      <c r="TTD134" s="20"/>
      <c r="TTE134" s="20"/>
      <c r="TTF134" s="21"/>
      <c r="TTG134" s="21"/>
      <c r="TTH134" s="21"/>
      <c r="TTI134" s="21"/>
      <c r="TTJ134" s="21"/>
      <c r="TTK134" s="20"/>
      <c r="TTL134" s="20"/>
      <c r="TTM134" s="20"/>
      <c r="TTN134" s="20"/>
      <c r="TTO134" s="21"/>
      <c r="TTP134" s="21"/>
      <c r="TTQ134" s="7"/>
      <c r="TTR134" s="7"/>
      <c r="TTS134" s="21"/>
      <c r="TTT134" s="20"/>
      <c r="TTU134" s="20"/>
      <c r="TTV134" s="20"/>
      <c r="TTW134" s="21"/>
      <c r="TTX134" s="21"/>
      <c r="TTY134" s="21"/>
      <c r="TTZ134" s="21"/>
      <c r="TUA134" s="21"/>
      <c r="TUB134" s="20"/>
      <c r="TUC134" s="20"/>
      <c r="TUD134" s="20"/>
      <c r="TUE134" s="20"/>
      <c r="TUF134" s="21"/>
      <c r="TUG134" s="21"/>
      <c r="TUH134" s="7"/>
      <c r="TUI134" s="7"/>
      <c r="TUJ134" s="21"/>
      <c r="TUK134" s="20"/>
      <c r="TUL134" s="20"/>
      <c r="TUM134" s="20"/>
      <c r="TUN134" s="21"/>
      <c r="TUO134" s="21"/>
      <c r="TUP134" s="21"/>
      <c r="TUQ134" s="21"/>
      <c r="TUR134" s="21"/>
      <c r="TUS134" s="20"/>
      <c r="TUT134" s="20"/>
      <c r="TUU134" s="20"/>
      <c r="TUV134" s="20"/>
      <c r="TUW134" s="21"/>
      <c r="TUX134" s="21"/>
      <c r="TUY134" s="7"/>
      <c r="TUZ134" s="7"/>
      <c r="TVA134" s="21"/>
      <c r="TVB134" s="20"/>
      <c r="TVC134" s="20"/>
      <c r="TVD134" s="20"/>
      <c r="TVE134" s="21"/>
      <c r="TVF134" s="21"/>
      <c r="TVG134" s="21"/>
      <c r="TVH134" s="21"/>
      <c r="TVI134" s="21"/>
      <c r="TVJ134" s="20"/>
      <c r="TVK134" s="20"/>
      <c r="TVL134" s="20"/>
      <c r="TVM134" s="20"/>
      <c r="TVN134" s="21"/>
      <c r="TVO134" s="21"/>
      <c r="TVP134" s="7"/>
      <c r="TVQ134" s="7"/>
      <c r="TVR134" s="21"/>
      <c r="TVS134" s="20"/>
      <c r="TVT134" s="20"/>
      <c r="TVU134" s="20"/>
      <c r="TVV134" s="21"/>
      <c r="TVW134" s="21"/>
      <c r="TVX134" s="21"/>
      <c r="TVY134" s="21"/>
      <c r="TVZ134" s="21"/>
      <c r="TWA134" s="20"/>
      <c r="TWB134" s="20"/>
      <c r="TWC134" s="20"/>
      <c r="TWD134" s="20"/>
      <c r="TWE134" s="21"/>
      <c r="TWF134" s="21"/>
      <c r="TWG134" s="7"/>
      <c r="TWH134" s="7"/>
      <c r="TWI134" s="21"/>
      <c r="TWJ134" s="20"/>
      <c r="TWK134" s="20"/>
      <c r="TWL134" s="20"/>
      <c r="TWM134" s="21"/>
      <c r="TWN134" s="21"/>
      <c r="TWO134" s="21"/>
      <c r="TWP134" s="21"/>
      <c r="TWQ134" s="21"/>
      <c r="TWR134" s="20"/>
      <c r="TWS134" s="20"/>
      <c r="TWT134" s="20"/>
      <c r="TWU134" s="20"/>
      <c r="TWV134" s="21"/>
      <c r="TWW134" s="21"/>
      <c r="TWX134" s="7"/>
      <c r="TWY134" s="7"/>
      <c r="TWZ134" s="21"/>
      <c r="TXA134" s="20"/>
      <c r="TXB134" s="20"/>
      <c r="TXC134" s="20"/>
      <c r="TXD134" s="21"/>
      <c r="TXE134" s="21"/>
      <c r="TXF134" s="21"/>
      <c r="TXG134" s="21"/>
      <c r="TXH134" s="21"/>
      <c r="TXI134" s="20"/>
      <c r="TXJ134" s="20"/>
      <c r="TXK134" s="20"/>
      <c r="TXL134" s="20"/>
      <c r="TXM134" s="21"/>
      <c r="TXN134" s="21"/>
      <c r="TXO134" s="7"/>
      <c r="TXP134" s="7"/>
      <c r="TXQ134" s="21"/>
      <c r="TXR134" s="20"/>
      <c r="TXS134" s="20"/>
      <c r="TXT134" s="20"/>
      <c r="TXU134" s="21"/>
      <c r="TXV134" s="21"/>
      <c r="TXW134" s="21"/>
      <c r="TXX134" s="21"/>
      <c r="TXY134" s="21"/>
      <c r="TXZ134" s="20"/>
      <c r="TYA134" s="20"/>
      <c r="TYB134" s="20"/>
      <c r="TYC134" s="20"/>
      <c r="TYD134" s="21"/>
      <c r="TYE134" s="21"/>
      <c r="TYF134" s="7"/>
      <c r="TYG134" s="7"/>
      <c r="TYH134" s="21"/>
      <c r="TYI134" s="20"/>
      <c r="TYJ134" s="20"/>
      <c r="TYK134" s="20"/>
      <c r="TYL134" s="21"/>
      <c r="TYM134" s="21"/>
      <c r="TYN134" s="21"/>
      <c r="TYO134" s="21"/>
      <c r="TYP134" s="21"/>
      <c r="TYQ134" s="20"/>
      <c r="TYR134" s="20"/>
      <c r="TYS134" s="20"/>
      <c r="TYT134" s="20"/>
      <c r="TYU134" s="21"/>
      <c r="TYV134" s="21"/>
      <c r="TYW134" s="7"/>
      <c r="TYX134" s="7"/>
      <c r="TYY134" s="21"/>
      <c r="TYZ134" s="20"/>
      <c r="TZA134" s="20"/>
      <c r="TZB134" s="20"/>
      <c r="TZC134" s="21"/>
      <c r="TZD134" s="21"/>
      <c r="TZE134" s="21"/>
      <c r="TZF134" s="21"/>
      <c r="TZG134" s="21"/>
      <c r="TZH134" s="20"/>
      <c r="TZI134" s="20"/>
      <c r="TZJ134" s="20"/>
      <c r="TZK134" s="20"/>
      <c r="TZL134" s="21"/>
      <c r="TZM134" s="21"/>
      <c r="TZN134" s="7"/>
      <c r="TZO134" s="7"/>
      <c r="TZP134" s="21"/>
      <c r="TZQ134" s="20"/>
      <c r="TZR134" s="20"/>
      <c r="TZS134" s="20"/>
      <c r="TZT134" s="21"/>
      <c r="TZU134" s="21"/>
      <c r="TZV134" s="21"/>
      <c r="TZW134" s="21"/>
      <c r="TZX134" s="21"/>
      <c r="TZY134" s="20"/>
      <c r="TZZ134" s="20"/>
      <c r="UAA134" s="20"/>
      <c r="UAB134" s="20"/>
      <c r="UAC134" s="21"/>
      <c r="UAD134" s="21"/>
      <c r="UAE134" s="7"/>
      <c r="UAF134" s="7"/>
      <c r="UAG134" s="21"/>
      <c r="UAH134" s="20"/>
      <c r="UAI134" s="20"/>
      <c r="UAJ134" s="20"/>
      <c r="UAK134" s="21"/>
      <c r="UAL134" s="21"/>
      <c r="UAM134" s="21"/>
      <c r="UAN134" s="21"/>
      <c r="UAO134" s="21"/>
      <c r="UAP134" s="20"/>
      <c r="UAQ134" s="20"/>
      <c r="UAR134" s="20"/>
      <c r="UAS134" s="20"/>
      <c r="UAT134" s="21"/>
      <c r="UAU134" s="21"/>
      <c r="UAV134" s="7"/>
      <c r="UAW134" s="7"/>
      <c r="UAX134" s="21"/>
      <c r="UAY134" s="20"/>
      <c r="UAZ134" s="20"/>
      <c r="UBA134" s="20"/>
      <c r="UBB134" s="21"/>
      <c r="UBC134" s="21"/>
      <c r="UBD134" s="21"/>
      <c r="UBE134" s="21"/>
      <c r="UBF134" s="21"/>
      <c r="UBG134" s="20"/>
      <c r="UBH134" s="20"/>
      <c r="UBI134" s="20"/>
      <c r="UBJ134" s="20"/>
      <c r="UBK134" s="21"/>
      <c r="UBL134" s="21"/>
      <c r="UBM134" s="7"/>
      <c r="UBN134" s="7"/>
      <c r="UBO134" s="21"/>
      <c r="UBP134" s="20"/>
      <c r="UBQ134" s="20"/>
      <c r="UBR134" s="20"/>
      <c r="UBS134" s="21"/>
      <c r="UBT134" s="21"/>
      <c r="UBU134" s="21"/>
      <c r="UBV134" s="21"/>
      <c r="UBW134" s="21"/>
      <c r="UBX134" s="20"/>
      <c r="UBY134" s="20"/>
      <c r="UBZ134" s="20"/>
      <c r="UCA134" s="20"/>
      <c r="UCB134" s="21"/>
      <c r="UCC134" s="21"/>
      <c r="UCD134" s="7"/>
      <c r="UCE134" s="7"/>
      <c r="UCF134" s="21"/>
      <c r="UCG134" s="20"/>
      <c r="UCH134" s="20"/>
      <c r="UCI134" s="20"/>
      <c r="UCJ134" s="21"/>
      <c r="UCK134" s="21"/>
      <c r="UCL134" s="21"/>
      <c r="UCM134" s="21"/>
      <c r="UCN134" s="21"/>
      <c r="UCO134" s="20"/>
      <c r="UCP134" s="20"/>
      <c r="UCQ134" s="20"/>
      <c r="UCR134" s="20"/>
      <c r="UCS134" s="21"/>
      <c r="UCT134" s="21"/>
      <c r="UCU134" s="7"/>
      <c r="UCV134" s="7"/>
      <c r="UCW134" s="21"/>
      <c r="UCX134" s="20"/>
      <c r="UCY134" s="20"/>
      <c r="UCZ134" s="20"/>
      <c r="UDA134" s="21"/>
      <c r="UDB134" s="21"/>
      <c r="UDC134" s="21"/>
      <c r="UDD134" s="21"/>
      <c r="UDE134" s="21"/>
      <c r="UDF134" s="20"/>
      <c r="UDG134" s="20"/>
      <c r="UDH134" s="20"/>
      <c r="UDI134" s="20"/>
      <c r="UDJ134" s="21"/>
      <c r="UDK134" s="21"/>
      <c r="UDL134" s="7"/>
      <c r="UDM134" s="7"/>
      <c r="UDN134" s="21"/>
      <c r="UDO134" s="20"/>
      <c r="UDP134" s="20"/>
      <c r="UDQ134" s="20"/>
      <c r="UDR134" s="21"/>
      <c r="UDS134" s="21"/>
      <c r="UDT134" s="21"/>
      <c r="UDU134" s="21"/>
      <c r="UDV134" s="21"/>
      <c r="UDW134" s="20"/>
      <c r="UDX134" s="20"/>
      <c r="UDY134" s="20"/>
      <c r="UDZ134" s="20"/>
      <c r="UEA134" s="21"/>
      <c r="UEB134" s="21"/>
      <c r="UEC134" s="7"/>
      <c r="UED134" s="7"/>
      <c r="UEE134" s="21"/>
      <c r="UEF134" s="20"/>
      <c r="UEG134" s="20"/>
      <c r="UEH134" s="20"/>
      <c r="UEI134" s="21"/>
      <c r="UEJ134" s="21"/>
      <c r="UEK134" s="21"/>
      <c r="UEL134" s="21"/>
      <c r="UEM134" s="21"/>
      <c r="UEN134" s="20"/>
      <c r="UEO134" s="20"/>
      <c r="UEP134" s="20"/>
      <c r="UEQ134" s="20"/>
      <c r="UER134" s="21"/>
      <c r="UES134" s="21"/>
      <c r="UET134" s="7"/>
      <c r="UEU134" s="7"/>
      <c r="UEV134" s="21"/>
      <c r="UEW134" s="20"/>
      <c r="UEX134" s="20"/>
      <c r="UEY134" s="20"/>
      <c r="UEZ134" s="21"/>
      <c r="UFA134" s="21"/>
      <c r="UFB134" s="21"/>
      <c r="UFC134" s="21"/>
      <c r="UFD134" s="21"/>
      <c r="UFE134" s="20"/>
      <c r="UFF134" s="20"/>
      <c r="UFG134" s="20"/>
      <c r="UFH134" s="20"/>
      <c r="UFI134" s="21"/>
      <c r="UFJ134" s="21"/>
      <c r="UFK134" s="7"/>
      <c r="UFL134" s="7"/>
      <c r="UFM134" s="21"/>
      <c r="UFN134" s="20"/>
      <c r="UFO134" s="20"/>
      <c r="UFP134" s="20"/>
      <c r="UFQ134" s="21"/>
      <c r="UFR134" s="21"/>
      <c r="UFS134" s="21"/>
      <c r="UFT134" s="21"/>
      <c r="UFU134" s="21"/>
      <c r="UFV134" s="20"/>
      <c r="UFW134" s="20"/>
      <c r="UFX134" s="20"/>
      <c r="UFY134" s="20"/>
      <c r="UFZ134" s="21"/>
      <c r="UGA134" s="21"/>
      <c r="UGB134" s="7"/>
      <c r="UGC134" s="7"/>
      <c r="UGD134" s="21"/>
      <c r="UGE134" s="20"/>
      <c r="UGF134" s="20"/>
      <c r="UGG134" s="20"/>
      <c r="UGH134" s="21"/>
      <c r="UGI134" s="21"/>
      <c r="UGJ134" s="21"/>
      <c r="UGK134" s="21"/>
      <c r="UGL134" s="21"/>
      <c r="UGM134" s="20"/>
      <c r="UGN134" s="20"/>
      <c r="UGO134" s="20"/>
      <c r="UGP134" s="20"/>
      <c r="UGQ134" s="21"/>
      <c r="UGR134" s="21"/>
      <c r="UGS134" s="7"/>
      <c r="UGT134" s="7"/>
      <c r="UGU134" s="21"/>
      <c r="UGV134" s="20"/>
      <c r="UGW134" s="20"/>
      <c r="UGX134" s="20"/>
      <c r="UGY134" s="21"/>
      <c r="UGZ134" s="21"/>
      <c r="UHA134" s="21"/>
      <c r="UHB134" s="21"/>
      <c r="UHC134" s="21"/>
      <c r="UHD134" s="20"/>
      <c r="UHE134" s="20"/>
      <c r="UHF134" s="20"/>
      <c r="UHG134" s="20"/>
      <c r="UHH134" s="21"/>
      <c r="UHI134" s="21"/>
      <c r="UHJ134" s="7"/>
      <c r="UHK134" s="7"/>
      <c r="UHL134" s="21"/>
      <c r="UHM134" s="20"/>
      <c r="UHN134" s="20"/>
      <c r="UHO134" s="20"/>
      <c r="UHP134" s="21"/>
      <c r="UHQ134" s="21"/>
      <c r="UHR134" s="21"/>
      <c r="UHS134" s="21"/>
      <c r="UHT134" s="21"/>
      <c r="UHU134" s="20"/>
      <c r="UHV134" s="20"/>
      <c r="UHW134" s="20"/>
      <c r="UHX134" s="20"/>
      <c r="UHY134" s="21"/>
      <c r="UHZ134" s="21"/>
      <c r="UIA134" s="7"/>
      <c r="UIB134" s="7"/>
      <c r="UIC134" s="21"/>
      <c r="UID134" s="20"/>
      <c r="UIE134" s="20"/>
      <c r="UIF134" s="20"/>
      <c r="UIG134" s="21"/>
      <c r="UIH134" s="21"/>
      <c r="UII134" s="21"/>
      <c r="UIJ134" s="21"/>
      <c r="UIK134" s="21"/>
      <c r="UIL134" s="20"/>
      <c r="UIM134" s="20"/>
      <c r="UIN134" s="20"/>
      <c r="UIO134" s="20"/>
      <c r="UIP134" s="21"/>
      <c r="UIQ134" s="21"/>
      <c r="UIR134" s="7"/>
      <c r="UIS134" s="7"/>
      <c r="UIT134" s="21"/>
      <c r="UIU134" s="20"/>
      <c r="UIV134" s="20"/>
      <c r="UIW134" s="20"/>
      <c r="UIX134" s="21"/>
      <c r="UIY134" s="21"/>
      <c r="UIZ134" s="21"/>
      <c r="UJA134" s="21"/>
      <c r="UJB134" s="21"/>
      <c r="UJC134" s="20"/>
      <c r="UJD134" s="20"/>
      <c r="UJE134" s="20"/>
      <c r="UJF134" s="20"/>
      <c r="UJG134" s="21"/>
      <c r="UJH134" s="21"/>
      <c r="UJI134" s="7"/>
      <c r="UJJ134" s="7"/>
      <c r="UJK134" s="21"/>
      <c r="UJL134" s="20"/>
      <c r="UJM134" s="20"/>
      <c r="UJN134" s="20"/>
      <c r="UJO134" s="21"/>
      <c r="UJP134" s="21"/>
      <c r="UJQ134" s="21"/>
      <c r="UJR134" s="21"/>
      <c r="UJS134" s="21"/>
      <c r="UJT134" s="20"/>
      <c r="UJU134" s="20"/>
      <c r="UJV134" s="20"/>
      <c r="UJW134" s="20"/>
      <c r="UJX134" s="21"/>
      <c r="UJY134" s="21"/>
      <c r="UJZ134" s="7"/>
      <c r="UKA134" s="7"/>
      <c r="UKB134" s="21"/>
      <c r="UKC134" s="20"/>
      <c r="UKD134" s="20"/>
      <c r="UKE134" s="20"/>
      <c r="UKF134" s="21"/>
      <c r="UKG134" s="21"/>
      <c r="UKH134" s="21"/>
      <c r="UKI134" s="21"/>
      <c r="UKJ134" s="21"/>
      <c r="UKK134" s="20"/>
      <c r="UKL134" s="20"/>
      <c r="UKM134" s="20"/>
      <c r="UKN134" s="20"/>
      <c r="UKO134" s="21"/>
      <c r="UKP134" s="21"/>
      <c r="UKQ134" s="7"/>
      <c r="UKR134" s="7"/>
      <c r="UKS134" s="21"/>
      <c r="UKT134" s="20"/>
      <c r="UKU134" s="20"/>
      <c r="UKV134" s="20"/>
      <c r="UKW134" s="21"/>
      <c r="UKX134" s="21"/>
      <c r="UKY134" s="21"/>
      <c r="UKZ134" s="21"/>
      <c r="ULA134" s="21"/>
      <c r="ULB134" s="20"/>
      <c r="ULC134" s="20"/>
      <c r="ULD134" s="20"/>
      <c r="ULE134" s="20"/>
      <c r="ULF134" s="21"/>
      <c r="ULG134" s="21"/>
      <c r="ULH134" s="7"/>
      <c r="ULI134" s="7"/>
      <c r="ULJ134" s="21"/>
      <c r="ULK134" s="20"/>
      <c r="ULL134" s="20"/>
      <c r="ULM134" s="20"/>
      <c r="ULN134" s="21"/>
      <c r="ULO134" s="21"/>
      <c r="ULP134" s="21"/>
      <c r="ULQ134" s="21"/>
      <c r="ULR134" s="21"/>
      <c r="ULS134" s="20"/>
      <c r="ULT134" s="20"/>
      <c r="ULU134" s="20"/>
      <c r="ULV134" s="20"/>
      <c r="ULW134" s="21"/>
      <c r="ULX134" s="21"/>
      <c r="ULY134" s="7"/>
      <c r="ULZ134" s="7"/>
      <c r="UMA134" s="21"/>
      <c r="UMB134" s="20"/>
      <c r="UMC134" s="20"/>
      <c r="UMD134" s="20"/>
      <c r="UME134" s="21"/>
      <c r="UMF134" s="21"/>
      <c r="UMG134" s="21"/>
      <c r="UMH134" s="21"/>
      <c r="UMI134" s="21"/>
      <c r="UMJ134" s="20"/>
      <c r="UMK134" s="20"/>
      <c r="UML134" s="20"/>
      <c r="UMM134" s="20"/>
      <c r="UMN134" s="21"/>
      <c r="UMO134" s="21"/>
      <c r="UMP134" s="7"/>
      <c r="UMQ134" s="7"/>
      <c r="UMR134" s="21"/>
      <c r="UMS134" s="20"/>
      <c r="UMT134" s="20"/>
      <c r="UMU134" s="20"/>
      <c r="UMV134" s="21"/>
      <c r="UMW134" s="21"/>
      <c r="UMX134" s="21"/>
      <c r="UMY134" s="21"/>
      <c r="UMZ134" s="21"/>
      <c r="UNA134" s="20"/>
      <c r="UNB134" s="20"/>
      <c r="UNC134" s="20"/>
      <c r="UND134" s="20"/>
      <c r="UNE134" s="21"/>
      <c r="UNF134" s="21"/>
      <c r="UNG134" s="7"/>
      <c r="UNH134" s="7"/>
      <c r="UNI134" s="21"/>
      <c r="UNJ134" s="20"/>
      <c r="UNK134" s="20"/>
      <c r="UNL134" s="20"/>
      <c r="UNM134" s="21"/>
      <c r="UNN134" s="21"/>
      <c r="UNO134" s="21"/>
      <c r="UNP134" s="21"/>
      <c r="UNQ134" s="21"/>
      <c r="UNR134" s="20"/>
      <c r="UNS134" s="20"/>
      <c r="UNT134" s="20"/>
      <c r="UNU134" s="20"/>
      <c r="UNV134" s="21"/>
      <c r="UNW134" s="21"/>
      <c r="UNX134" s="7"/>
      <c r="UNY134" s="7"/>
      <c r="UNZ134" s="21"/>
      <c r="UOA134" s="20"/>
      <c r="UOB134" s="20"/>
      <c r="UOC134" s="20"/>
      <c r="UOD134" s="21"/>
      <c r="UOE134" s="21"/>
      <c r="UOF134" s="21"/>
      <c r="UOG134" s="21"/>
      <c r="UOH134" s="21"/>
      <c r="UOI134" s="20"/>
      <c r="UOJ134" s="20"/>
      <c r="UOK134" s="20"/>
      <c r="UOL134" s="20"/>
      <c r="UOM134" s="21"/>
      <c r="UON134" s="21"/>
      <c r="UOO134" s="7"/>
      <c r="UOP134" s="7"/>
      <c r="UOQ134" s="21"/>
      <c r="UOR134" s="20"/>
      <c r="UOS134" s="20"/>
      <c r="UOT134" s="20"/>
      <c r="UOU134" s="21"/>
      <c r="UOV134" s="21"/>
      <c r="UOW134" s="21"/>
      <c r="UOX134" s="21"/>
      <c r="UOY134" s="21"/>
      <c r="UOZ134" s="20"/>
      <c r="UPA134" s="20"/>
      <c r="UPB134" s="20"/>
      <c r="UPC134" s="20"/>
      <c r="UPD134" s="21"/>
      <c r="UPE134" s="21"/>
      <c r="UPF134" s="7"/>
      <c r="UPG134" s="7"/>
      <c r="UPH134" s="21"/>
      <c r="UPI134" s="20"/>
      <c r="UPJ134" s="20"/>
      <c r="UPK134" s="20"/>
      <c r="UPL134" s="21"/>
      <c r="UPM134" s="21"/>
      <c r="UPN134" s="21"/>
      <c r="UPO134" s="21"/>
      <c r="UPP134" s="21"/>
      <c r="UPQ134" s="20"/>
      <c r="UPR134" s="20"/>
      <c r="UPS134" s="20"/>
      <c r="UPT134" s="20"/>
      <c r="UPU134" s="21"/>
      <c r="UPV134" s="21"/>
      <c r="UPW134" s="7"/>
      <c r="UPX134" s="7"/>
      <c r="UPY134" s="21"/>
      <c r="UPZ134" s="20"/>
      <c r="UQA134" s="20"/>
      <c r="UQB134" s="20"/>
      <c r="UQC134" s="21"/>
      <c r="UQD134" s="21"/>
      <c r="UQE134" s="21"/>
      <c r="UQF134" s="21"/>
      <c r="UQG134" s="21"/>
      <c r="UQH134" s="20"/>
      <c r="UQI134" s="20"/>
      <c r="UQJ134" s="20"/>
      <c r="UQK134" s="20"/>
      <c r="UQL134" s="21"/>
      <c r="UQM134" s="21"/>
      <c r="UQN134" s="7"/>
      <c r="UQO134" s="7"/>
      <c r="UQP134" s="21"/>
      <c r="UQQ134" s="20"/>
      <c r="UQR134" s="20"/>
      <c r="UQS134" s="20"/>
      <c r="UQT134" s="21"/>
      <c r="UQU134" s="21"/>
      <c r="UQV134" s="21"/>
      <c r="UQW134" s="21"/>
      <c r="UQX134" s="21"/>
      <c r="UQY134" s="20"/>
      <c r="UQZ134" s="20"/>
      <c r="URA134" s="20"/>
      <c r="URB134" s="20"/>
      <c r="URC134" s="21"/>
      <c r="URD134" s="21"/>
      <c r="URE134" s="7"/>
      <c r="URF134" s="7"/>
      <c r="URG134" s="21"/>
      <c r="URH134" s="20"/>
      <c r="URI134" s="20"/>
      <c r="URJ134" s="20"/>
      <c r="URK134" s="21"/>
      <c r="URL134" s="21"/>
      <c r="URM134" s="21"/>
      <c r="URN134" s="21"/>
      <c r="URO134" s="21"/>
      <c r="URP134" s="20"/>
      <c r="URQ134" s="20"/>
      <c r="URR134" s="20"/>
      <c r="URS134" s="20"/>
      <c r="URT134" s="21"/>
      <c r="URU134" s="21"/>
      <c r="URV134" s="7"/>
      <c r="URW134" s="7"/>
      <c r="URX134" s="21"/>
      <c r="URY134" s="20"/>
      <c r="URZ134" s="20"/>
      <c r="USA134" s="20"/>
      <c r="USB134" s="21"/>
      <c r="USC134" s="21"/>
      <c r="USD134" s="21"/>
      <c r="USE134" s="21"/>
      <c r="USF134" s="21"/>
      <c r="USG134" s="20"/>
      <c r="USH134" s="20"/>
      <c r="USI134" s="20"/>
      <c r="USJ134" s="20"/>
      <c r="USK134" s="21"/>
      <c r="USL134" s="21"/>
      <c r="USM134" s="7"/>
      <c r="USN134" s="7"/>
      <c r="USO134" s="21"/>
      <c r="USP134" s="20"/>
      <c r="USQ134" s="20"/>
      <c r="USR134" s="20"/>
      <c r="USS134" s="21"/>
      <c r="UST134" s="21"/>
      <c r="USU134" s="21"/>
      <c r="USV134" s="21"/>
      <c r="USW134" s="21"/>
      <c r="USX134" s="20"/>
      <c r="USY134" s="20"/>
      <c r="USZ134" s="20"/>
      <c r="UTA134" s="20"/>
      <c r="UTB134" s="21"/>
      <c r="UTC134" s="21"/>
      <c r="UTD134" s="7"/>
      <c r="UTE134" s="7"/>
      <c r="UTF134" s="21"/>
      <c r="UTG134" s="20"/>
      <c r="UTH134" s="20"/>
      <c r="UTI134" s="20"/>
      <c r="UTJ134" s="21"/>
      <c r="UTK134" s="21"/>
      <c r="UTL134" s="21"/>
      <c r="UTM134" s="21"/>
      <c r="UTN134" s="21"/>
      <c r="UTO134" s="20"/>
      <c r="UTP134" s="20"/>
      <c r="UTQ134" s="20"/>
      <c r="UTR134" s="20"/>
      <c r="UTS134" s="21"/>
      <c r="UTT134" s="21"/>
      <c r="UTU134" s="7"/>
      <c r="UTV134" s="7"/>
      <c r="UTW134" s="21"/>
      <c r="UTX134" s="20"/>
      <c r="UTY134" s="20"/>
      <c r="UTZ134" s="20"/>
      <c r="UUA134" s="21"/>
      <c r="UUB134" s="21"/>
      <c r="UUC134" s="21"/>
      <c r="UUD134" s="21"/>
      <c r="UUE134" s="21"/>
      <c r="UUF134" s="20"/>
      <c r="UUG134" s="20"/>
      <c r="UUH134" s="20"/>
      <c r="UUI134" s="20"/>
      <c r="UUJ134" s="21"/>
      <c r="UUK134" s="21"/>
      <c r="UUL134" s="7"/>
      <c r="UUM134" s="7"/>
      <c r="UUN134" s="21"/>
      <c r="UUO134" s="20"/>
      <c r="UUP134" s="20"/>
      <c r="UUQ134" s="20"/>
      <c r="UUR134" s="21"/>
      <c r="UUS134" s="21"/>
      <c r="UUT134" s="21"/>
      <c r="UUU134" s="21"/>
      <c r="UUV134" s="21"/>
      <c r="UUW134" s="20"/>
      <c r="UUX134" s="20"/>
      <c r="UUY134" s="20"/>
      <c r="UUZ134" s="20"/>
      <c r="UVA134" s="21"/>
      <c r="UVB134" s="21"/>
      <c r="UVC134" s="7"/>
      <c r="UVD134" s="7"/>
      <c r="UVE134" s="21"/>
      <c r="UVF134" s="20"/>
      <c r="UVG134" s="20"/>
      <c r="UVH134" s="20"/>
      <c r="UVI134" s="21"/>
      <c r="UVJ134" s="21"/>
      <c r="UVK134" s="21"/>
      <c r="UVL134" s="21"/>
      <c r="UVM134" s="21"/>
      <c r="UVN134" s="20"/>
      <c r="UVO134" s="20"/>
      <c r="UVP134" s="20"/>
      <c r="UVQ134" s="20"/>
      <c r="UVR134" s="21"/>
      <c r="UVS134" s="21"/>
      <c r="UVT134" s="7"/>
      <c r="UVU134" s="7"/>
      <c r="UVV134" s="21"/>
      <c r="UVW134" s="20"/>
      <c r="UVX134" s="20"/>
      <c r="UVY134" s="20"/>
      <c r="UVZ134" s="21"/>
      <c r="UWA134" s="21"/>
      <c r="UWB134" s="21"/>
      <c r="UWC134" s="21"/>
      <c r="UWD134" s="21"/>
      <c r="UWE134" s="20"/>
      <c r="UWF134" s="20"/>
      <c r="UWG134" s="20"/>
      <c r="UWH134" s="20"/>
      <c r="UWI134" s="21"/>
      <c r="UWJ134" s="21"/>
      <c r="UWK134" s="7"/>
      <c r="UWL134" s="7"/>
      <c r="UWM134" s="21"/>
      <c r="UWN134" s="20"/>
      <c r="UWO134" s="20"/>
      <c r="UWP134" s="20"/>
      <c r="UWQ134" s="21"/>
      <c r="UWR134" s="21"/>
      <c r="UWS134" s="21"/>
      <c r="UWT134" s="21"/>
      <c r="UWU134" s="21"/>
      <c r="UWV134" s="20"/>
      <c r="UWW134" s="20"/>
      <c r="UWX134" s="20"/>
      <c r="UWY134" s="20"/>
      <c r="UWZ134" s="21"/>
      <c r="UXA134" s="21"/>
      <c r="UXB134" s="7"/>
      <c r="UXC134" s="7"/>
      <c r="UXD134" s="21"/>
      <c r="UXE134" s="20"/>
      <c r="UXF134" s="20"/>
      <c r="UXG134" s="20"/>
      <c r="UXH134" s="21"/>
      <c r="UXI134" s="21"/>
      <c r="UXJ134" s="21"/>
      <c r="UXK134" s="21"/>
      <c r="UXL134" s="21"/>
      <c r="UXM134" s="20"/>
      <c r="UXN134" s="20"/>
      <c r="UXO134" s="20"/>
      <c r="UXP134" s="20"/>
      <c r="UXQ134" s="21"/>
      <c r="UXR134" s="21"/>
      <c r="UXS134" s="7"/>
      <c r="UXT134" s="7"/>
      <c r="UXU134" s="21"/>
      <c r="UXV134" s="20"/>
      <c r="UXW134" s="20"/>
      <c r="UXX134" s="20"/>
      <c r="UXY134" s="21"/>
      <c r="UXZ134" s="21"/>
      <c r="UYA134" s="21"/>
      <c r="UYB134" s="21"/>
      <c r="UYC134" s="21"/>
      <c r="UYD134" s="20"/>
      <c r="UYE134" s="20"/>
      <c r="UYF134" s="20"/>
      <c r="UYG134" s="20"/>
      <c r="UYH134" s="21"/>
      <c r="UYI134" s="21"/>
      <c r="UYJ134" s="7"/>
      <c r="UYK134" s="7"/>
      <c r="UYL134" s="21"/>
      <c r="UYM134" s="20"/>
      <c r="UYN134" s="20"/>
      <c r="UYO134" s="20"/>
      <c r="UYP134" s="21"/>
      <c r="UYQ134" s="21"/>
      <c r="UYR134" s="21"/>
      <c r="UYS134" s="21"/>
      <c r="UYT134" s="21"/>
      <c r="UYU134" s="20"/>
      <c r="UYV134" s="20"/>
      <c r="UYW134" s="20"/>
      <c r="UYX134" s="20"/>
      <c r="UYY134" s="21"/>
      <c r="UYZ134" s="21"/>
      <c r="UZA134" s="7"/>
      <c r="UZB134" s="7"/>
      <c r="UZC134" s="21"/>
      <c r="UZD134" s="20"/>
      <c r="UZE134" s="20"/>
      <c r="UZF134" s="20"/>
      <c r="UZG134" s="21"/>
      <c r="UZH134" s="21"/>
      <c r="UZI134" s="21"/>
      <c r="UZJ134" s="21"/>
      <c r="UZK134" s="21"/>
      <c r="UZL134" s="20"/>
      <c r="UZM134" s="20"/>
      <c r="UZN134" s="20"/>
      <c r="UZO134" s="20"/>
      <c r="UZP134" s="21"/>
      <c r="UZQ134" s="21"/>
      <c r="UZR134" s="7"/>
      <c r="UZS134" s="7"/>
      <c r="UZT134" s="21"/>
      <c r="UZU134" s="20"/>
      <c r="UZV134" s="20"/>
      <c r="UZW134" s="20"/>
      <c r="UZX134" s="21"/>
      <c r="UZY134" s="21"/>
      <c r="UZZ134" s="21"/>
      <c r="VAA134" s="21"/>
      <c r="VAB134" s="21"/>
      <c r="VAC134" s="20"/>
      <c r="VAD134" s="20"/>
      <c r="VAE134" s="20"/>
      <c r="VAF134" s="20"/>
      <c r="VAG134" s="21"/>
      <c r="VAH134" s="21"/>
      <c r="VAI134" s="7"/>
      <c r="VAJ134" s="7"/>
      <c r="VAK134" s="21"/>
      <c r="VAL134" s="20"/>
      <c r="VAM134" s="20"/>
      <c r="VAN134" s="20"/>
      <c r="VAO134" s="21"/>
      <c r="VAP134" s="21"/>
      <c r="VAQ134" s="21"/>
      <c r="VAR134" s="21"/>
      <c r="VAS134" s="21"/>
      <c r="VAT134" s="20"/>
      <c r="VAU134" s="20"/>
      <c r="VAV134" s="20"/>
      <c r="VAW134" s="20"/>
      <c r="VAX134" s="21"/>
      <c r="VAY134" s="21"/>
      <c r="VAZ134" s="7"/>
      <c r="VBA134" s="7"/>
      <c r="VBB134" s="21"/>
      <c r="VBC134" s="20"/>
      <c r="VBD134" s="20"/>
      <c r="VBE134" s="20"/>
      <c r="VBF134" s="21"/>
      <c r="VBG134" s="21"/>
      <c r="VBH134" s="21"/>
      <c r="VBI134" s="21"/>
      <c r="VBJ134" s="21"/>
      <c r="VBK134" s="20"/>
      <c r="VBL134" s="20"/>
      <c r="VBM134" s="20"/>
      <c r="VBN134" s="20"/>
      <c r="VBO134" s="21"/>
      <c r="VBP134" s="21"/>
      <c r="VBQ134" s="7"/>
      <c r="VBR134" s="7"/>
      <c r="VBS134" s="21"/>
      <c r="VBT134" s="20"/>
      <c r="VBU134" s="20"/>
      <c r="VBV134" s="20"/>
      <c r="VBW134" s="21"/>
      <c r="VBX134" s="21"/>
      <c r="VBY134" s="21"/>
      <c r="VBZ134" s="21"/>
      <c r="VCA134" s="21"/>
      <c r="VCB134" s="20"/>
      <c r="VCC134" s="20"/>
      <c r="VCD134" s="20"/>
      <c r="VCE134" s="20"/>
      <c r="VCF134" s="21"/>
      <c r="VCG134" s="21"/>
      <c r="VCH134" s="7"/>
      <c r="VCI134" s="7"/>
      <c r="VCJ134" s="21"/>
      <c r="VCK134" s="20"/>
      <c r="VCL134" s="20"/>
      <c r="VCM134" s="20"/>
      <c r="VCN134" s="21"/>
      <c r="VCO134" s="21"/>
      <c r="VCP134" s="21"/>
      <c r="VCQ134" s="21"/>
      <c r="VCR134" s="21"/>
      <c r="VCS134" s="20"/>
      <c r="VCT134" s="20"/>
      <c r="VCU134" s="20"/>
      <c r="VCV134" s="20"/>
      <c r="VCW134" s="21"/>
      <c r="VCX134" s="21"/>
      <c r="VCY134" s="7"/>
      <c r="VCZ134" s="7"/>
      <c r="VDA134" s="21"/>
      <c r="VDB134" s="20"/>
      <c r="VDC134" s="20"/>
      <c r="VDD134" s="20"/>
      <c r="VDE134" s="21"/>
      <c r="VDF134" s="21"/>
      <c r="VDG134" s="21"/>
      <c r="VDH134" s="21"/>
      <c r="VDI134" s="21"/>
      <c r="VDJ134" s="20"/>
      <c r="VDK134" s="20"/>
      <c r="VDL134" s="20"/>
      <c r="VDM134" s="20"/>
      <c r="VDN134" s="21"/>
      <c r="VDO134" s="21"/>
      <c r="VDP134" s="7"/>
      <c r="VDQ134" s="7"/>
      <c r="VDR134" s="21"/>
      <c r="VDS134" s="20"/>
      <c r="VDT134" s="20"/>
      <c r="VDU134" s="20"/>
      <c r="VDV134" s="21"/>
      <c r="VDW134" s="21"/>
      <c r="VDX134" s="21"/>
      <c r="VDY134" s="21"/>
      <c r="VDZ134" s="21"/>
      <c r="VEA134" s="20"/>
      <c r="VEB134" s="20"/>
      <c r="VEC134" s="20"/>
      <c r="VED134" s="20"/>
      <c r="VEE134" s="21"/>
      <c r="VEF134" s="21"/>
      <c r="VEG134" s="7"/>
      <c r="VEH134" s="7"/>
      <c r="VEI134" s="21"/>
      <c r="VEJ134" s="20"/>
      <c r="VEK134" s="20"/>
      <c r="VEL134" s="20"/>
      <c r="VEM134" s="21"/>
      <c r="VEN134" s="21"/>
      <c r="VEO134" s="21"/>
      <c r="VEP134" s="21"/>
      <c r="VEQ134" s="21"/>
      <c r="VER134" s="20"/>
      <c r="VES134" s="20"/>
      <c r="VET134" s="20"/>
      <c r="VEU134" s="20"/>
      <c r="VEV134" s="21"/>
      <c r="VEW134" s="21"/>
      <c r="VEX134" s="7"/>
      <c r="VEY134" s="7"/>
      <c r="VEZ134" s="21"/>
      <c r="VFA134" s="20"/>
      <c r="VFB134" s="20"/>
      <c r="VFC134" s="20"/>
      <c r="VFD134" s="21"/>
      <c r="VFE134" s="21"/>
      <c r="VFF134" s="21"/>
      <c r="VFG134" s="21"/>
      <c r="VFH134" s="21"/>
      <c r="VFI134" s="20"/>
      <c r="VFJ134" s="20"/>
      <c r="VFK134" s="20"/>
      <c r="VFL134" s="20"/>
      <c r="VFM134" s="21"/>
      <c r="VFN134" s="21"/>
      <c r="VFO134" s="7"/>
      <c r="VFP134" s="7"/>
      <c r="VFQ134" s="21"/>
      <c r="VFR134" s="20"/>
      <c r="VFS134" s="20"/>
      <c r="VFT134" s="20"/>
      <c r="VFU134" s="21"/>
      <c r="VFV134" s="21"/>
      <c r="VFW134" s="21"/>
      <c r="VFX134" s="21"/>
      <c r="VFY134" s="21"/>
      <c r="VFZ134" s="20"/>
      <c r="VGA134" s="20"/>
      <c r="VGB134" s="20"/>
      <c r="VGC134" s="20"/>
      <c r="VGD134" s="21"/>
      <c r="VGE134" s="21"/>
      <c r="VGF134" s="7"/>
      <c r="VGG134" s="7"/>
      <c r="VGH134" s="21"/>
      <c r="VGI134" s="20"/>
      <c r="VGJ134" s="20"/>
      <c r="VGK134" s="20"/>
      <c r="VGL134" s="21"/>
      <c r="VGM134" s="21"/>
      <c r="VGN134" s="21"/>
      <c r="VGO134" s="21"/>
      <c r="VGP134" s="21"/>
      <c r="VGQ134" s="20"/>
      <c r="VGR134" s="20"/>
      <c r="VGS134" s="20"/>
      <c r="VGT134" s="20"/>
      <c r="VGU134" s="21"/>
      <c r="VGV134" s="21"/>
      <c r="VGW134" s="7"/>
      <c r="VGX134" s="7"/>
      <c r="VGY134" s="21"/>
      <c r="VGZ134" s="20"/>
      <c r="VHA134" s="20"/>
      <c r="VHB134" s="20"/>
      <c r="VHC134" s="21"/>
      <c r="VHD134" s="21"/>
      <c r="VHE134" s="21"/>
      <c r="VHF134" s="21"/>
      <c r="VHG134" s="21"/>
      <c r="VHH134" s="20"/>
      <c r="VHI134" s="20"/>
      <c r="VHJ134" s="20"/>
      <c r="VHK134" s="20"/>
      <c r="VHL134" s="21"/>
      <c r="VHM134" s="21"/>
      <c r="VHN134" s="7"/>
      <c r="VHO134" s="7"/>
      <c r="VHP134" s="21"/>
      <c r="VHQ134" s="20"/>
      <c r="VHR134" s="20"/>
      <c r="VHS134" s="20"/>
      <c r="VHT134" s="21"/>
      <c r="VHU134" s="21"/>
      <c r="VHV134" s="21"/>
      <c r="VHW134" s="21"/>
      <c r="VHX134" s="21"/>
      <c r="VHY134" s="20"/>
      <c r="VHZ134" s="20"/>
      <c r="VIA134" s="20"/>
      <c r="VIB134" s="20"/>
      <c r="VIC134" s="21"/>
      <c r="VID134" s="21"/>
      <c r="VIE134" s="7"/>
      <c r="VIF134" s="7"/>
      <c r="VIG134" s="21"/>
      <c r="VIH134" s="20"/>
      <c r="VII134" s="20"/>
      <c r="VIJ134" s="20"/>
      <c r="VIK134" s="21"/>
      <c r="VIL134" s="21"/>
      <c r="VIM134" s="21"/>
      <c r="VIN134" s="21"/>
      <c r="VIO134" s="21"/>
      <c r="VIP134" s="20"/>
      <c r="VIQ134" s="20"/>
      <c r="VIR134" s="20"/>
      <c r="VIS134" s="20"/>
      <c r="VIT134" s="21"/>
      <c r="VIU134" s="21"/>
      <c r="VIV134" s="7"/>
      <c r="VIW134" s="7"/>
      <c r="VIX134" s="21"/>
      <c r="VIY134" s="20"/>
      <c r="VIZ134" s="20"/>
      <c r="VJA134" s="20"/>
      <c r="VJB134" s="21"/>
      <c r="VJC134" s="21"/>
      <c r="VJD134" s="21"/>
      <c r="VJE134" s="21"/>
      <c r="VJF134" s="21"/>
      <c r="VJG134" s="20"/>
      <c r="VJH134" s="20"/>
      <c r="VJI134" s="20"/>
      <c r="VJJ134" s="20"/>
      <c r="VJK134" s="21"/>
      <c r="VJL134" s="21"/>
      <c r="VJM134" s="7"/>
      <c r="VJN134" s="7"/>
      <c r="VJO134" s="21"/>
      <c r="VJP134" s="20"/>
      <c r="VJQ134" s="20"/>
      <c r="VJR134" s="20"/>
      <c r="VJS134" s="21"/>
      <c r="VJT134" s="21"/>
      <c r="VJU134" s="21"/>
      <c r="VJV134" s="21"/>
      <c r="VJW134" s="21"/>
      <c r="VJX134" s="20"/>
      <c r="VJY134" s="20"/>
      <c r="VJZ134" s="20"/>
      <c r="VKA134" s="20"/>
      <c r="VKB134" s="21"/>
      <c r="VKC134" s="21"/>
      <c r="VKD134" s="7"/>
      <c r="VKE134" s="7"/>
      <c r="VKF134" s="21"/>
      <c r="VKG134" s="20"/>
      <c r="VKH134" s="20"/>
      <c r="VKI134" s="20"/>
      <c r="VKJ134" s="21"/>
      <c r="VKK134" s="21"/>
      <c r="VKL134" s="21"/>
      <c r="VKM134" s="21"/>
      <c r="VKN134" s="21"/>
      <c r="VKO134" s="20"/>
      <c r="VKP134" s="20"/>
      <c r="VKQ134" s="20"/>
      <c r="VKR134" s="20"/>
      <c r="VKS134" s="21"/>
      <c r="VKT134" s="21"/>
      <c r="VKU134" s="7"/>
      <c r="VKV134" s="7"/>
      <c r="VKW134" s="21"/>
      <c r="VKX134" s="20"/>
      <c r="VKY134" s="20"/>
      <c r="VKZ134" s="20"/>
      <c r="VLA134" s="21"/>
      <c r="VLB134" s="21"/>
      <c r="VLC134" s="21"/>
      <c r="VLD134" s="21"/>
      <c r="VLE134" s="21"/>
      <c r="VLF134" s="20"/>
      <c r="VLG134" s="20"/>
      <c r="VLH134" s="20"/>
      <c r="VLI134" s="20"/>
      <c r="VLJ134" s="21"/>
      <c r="VLK134" s="21"/>
      <c r="VLL134" s="7"/>
      <c r="VLM134" s="7"/>
      <c r="VLN134" s="21"/>
      <c r="VLO134" s="20"/>
      <c r="VLP134" s="20"/>
      <c r="VLQ134" s="20"/>
      <c r="VLR134" s="21"/>
      <c r="VLS134" s="21"/>
      <c r="VLT134" s="21"/>
      <c r="VLU134" s="21"/>
      <c r="VLV134" s="21"/>
      <c r="VLW134" s="20"/>
      <c r="VLX134" s="20"/>
      <c r="VLY134" s="20"/>
      <c r="VLZ134" s="20"/>
      <c r="VMA134" s="21"/>
      <c r="VMB134" s="21"/>
      <c r="VMC134" s="7"/>
      <c r="VMD134" s="7"/>
      <c r="VME134" s="21"/>
      <c r="VMF134" s="20"/>
      <c r="VMG134" s="20"/>
      <c r="VMH134" s="20"/>
      <c r="VMI134" s="21"/>
      <c r="VMJ134" s="21"/>
      <c r="VMK134" s="21"/>
      <c r="VML134" s="21"/>
      <c r="VMM134" s="21"/>
      <c r="VMN134" s="20"/>
      <c r="VMO134" s="20"/>
      <c r="VMP134" s="20"/>
      <c r="VMQ134" s="20"/>
      <c r="VMR134" s="21"/>
      <c r="VMS134" s="21"/>
      <c r="VMT134" s="7"/>
      <c r="VMU134" s="7"/>
      <c r="VMV134" s="21"/>
      <c r="VMW134" s="20"/>
      <c r="VMX134" s="20"/>
      <c r="VMY134" s="20"/>
      <c r="VMZ134" s="21"/>
      <c r="VNA134" s="21"/>
      <c r="VNB134" s="21"/>
      <c r="VNC134" s="21"/>
      <c r="VND134" s="21"/>
      <c r="VNE134" s="20"/>
      <c r="VNF134" s="20"/>
      <c r="VNG134" s="20"/>
      <c r="VNH134" s="20"/>
      <c r="VNI134" s="21"/>
      <c r="VNJ134" s="21"/>
      <c r="VNK134" s="7"/>
      <c r="VNL134" s="7"/>
      <c r="VNM134" s="21"/>
      <c r="VNN134" s="20"/>
      <c r="VNO134" s="20"/>
      <c r="VNP134" s="20"/>
      <c r="VNQ134" s="21"/>
      <c r="VNR134" s="21"/>
      <c r="VNS134" s="21"/>
      <c r="VNT134" s="21"/>
      <c r="VNU134" s="21"/>
      <c r="VNV134" s="20"/>
      <c r="VNW134" s="20"/>
      <c r="VNX134" s="20"/>
      <c r="VNY134" s="20"/>
      <c r="VNZ134" s="21"/>
      <c r="VOA134" s="21"/>
      <c r="VOB134" s="7"/>
      <c r="VOC134" s="7"/>
      <c r="VOD134" s="21"/>
      <c r="VOE134" s="20"/>
      <c r="VOF134" s="20"/>
      <c r="VOG134" s="20"/>
      <c r="VOH134" s="21"/>
      <c r="VOI134" s="21"/>
      <c r="VOJ134" s="21"/>
      <c r="VOK134" s="21"/>
      <c r="VOL134" s="21"/>
      <c r="VOM134" s="20"/>
      <c r="VON134" s="20"/>
      <c r="VOO134" s="20"/>
      <c r="VOP134" s="20"/>
      <c r="VOQ134" s="21"/>
      <c r="VOR134" s="21"/>
      <c r="VOS134" s="7"/>
      <c r="VOT134" s="7"/>
      <c r="VOU134" s="21"/>
      <c r="VOV134" s="20"/>
      <c r="VOW134" s="20"/>
      <c r="VOX134" s="20"/>
      <c r="VOY134" s="21"/>
      <c r="VOZ134" s="21"/>
      <c r="VPA134" s="21"/>
      <c r="VPB134" s="21"/>
      <c r="VPC134" s="21"/>
      <c r="VPD134" s="20"/>
      <c r="VPE134" s="20"/>
      <c r="VPF134" s="20"/>
      <c r="VPG134" s="20"/>
      <c r="VPH134" s="21"/>
      <c r="VPI134" s="21"/>
      <c r="VPJ134" s="7"/>
      <c r="VPK134" s="7"/>
      <c r="VPL134" s="21"/>
      <c r="VPM134" s="20"/>
      <c r="VPN134" s="20"/>
      <c r="VPO134" s="20"/>
      <c r="VPP134" s="21"/>
      <c r="VPQ134" s="21"/>
      <c r="VPR134" s="21"/>
      <c r="VPS134" s="21"/>
      <c r="VPT134" s="21"/>
      <c r="VPU134" s="20"/>
      <c r="VPV134" s="20"/>
      <c r="VPW134" s="20"/>
      <c r="VPX134" s="20"/>
      <c r="VPY134" s="21"/>
      <c r="VPZ134" s="21"/>
      <c r="VQA134" s="7"/>
      <c r="VQB134" s="7"/>
      <c r="VQC134" s="21"/>
      <c r="VQD134" s="20"/>
      <c r="VQE134" s="20"/>
      <c r="VQF134" s="20"/>
      <c r="VQG134" s="21"/>
      <c r="VQH134" s="21"/>
      <c r="VQI134" s="21"/>
      <c r="VQJ134" s="21"/>
      <c r="VQK134" s="21"/>
      <c r="VQL134" s="20"/>
      <c r="VQM134" s="20"/>
      <c r="VQN134" s="20"/>
      <c r="VQO134" s="20"/>
      <c r="VQP134" s="21"/>
      <c r="VQQ134" s="21"/>
      <c r="VQR134" s="7"/>
      <c r="VQS134" s="7"/>
      <c r="VQT134" s="21"/>
      <c r="VQU134" s="20"/>
      <c r="VQV134" s="20"/>
      <c r="VQW134" s="20"/>
      <c r="VQX134" s="21"/>
      <c r="VQY134" s="21"/>
      <c r="VQZ134" s="21"/>
      <c r="VRA134" s="21"/>
      <c r="VRB134" s="21"/>
      <c r="VRC134" s="20"/>
      <c r="VRD134" s="20"/>
      <c r="VRE134" s="20"/>
      <c r="VRF134" s="20"/>
      <c r="VRG134" s="21"/>
      <c r="VRH134" s="21"/>
      <c r="VRI134" s="7"/>
      <c r="VRJ134" s="7"/>
      <c r="VRK134" s="21"/>
      <c r="VRL134" s="20"/>
      <c r="VRM134" s="20"/>
      <c r="VRN134" s="20"/>
      <c r="VRO134" s="21"/>
      <c r="VRP134" s="21"/>
      <c r="VRQ134" s="21"/>
      <c r="VRR134" s="21"/>
      <c r="VRS134" s="21"/>
      <c r="VRT134" s="20"/>
      <c r="VRU134" s="20"/>
      <c r="VRV134" s="20"/>
      <c r="VRW134" s="20"/>
      <c r="VRX134" s="21"/>
      <c r="VRY134" s="21"/>
      <c r="VRZ134" s="7"/>
      <c r="VSA134" s="7"/>
      <c r="VSB134" s="21"/>
      <c r="VSC134" s="20"/>
      <c r="VSD134" s="20"/>
      <c r="VSE134" s="20"/>
      <c r="VSF134" s="21"/>
      <c r="VSG134" s="21"/>
      <c r="VSH134" s="21"/>
      <c r="VSI134" s="21"/>
      <c r="VSJ134" s="21"/>
      <c r="VSK134" s="20"/>
      <c r="VSL134" s="20"/>
      <c r="VSM134" s="20"/>
      <c r="VSN134" s="20"/>
      <c r="VSO134" s="21"/>
      <c r="VSP134" s="21"/>
      <c r="VSQ134" s="7"/>
      <c r="VSR134" s="7"/>
      <c r="VSS134" s="21"/>
      <c r="VST134" s="20"/>
      <c r="VSU134" s="20"/>
      <c r="VSV134" s="20"/>
      <c r="VSW134" s="21"/>
      <c r="VSX134" s="21"/>
      <c r="VSY134" s="21"/>
      <c r="VSZ134" s="21"/>
      <c r="VTA134" s="21"/>
      <c r="VTB134" s="20"/>
      <c r="VTC134" s="20"/>
      <c r="VTD134" s="20"/>
      <c r="VTE134" s="20"/>
      <c r="VTF134" s="21"/>
      <c r="VTG134" s="21"/>
      <c r="VTH134" s="7"/>
      <c r="VTI134" s="7"/>
      <c r="VTJ134" s="21"/>
      <c r="VTK134" s="20"/>
      <c r="VTL134" s="20"/>
      <c r="VTM134" s="20"/>
      <c r="VTN134" s="21"/>
      <c r="VTO134" s="21"/>
      <c r="VTP134" s="21"/>
      <c r="VTQ134" s="21"/>
      <c r="VTR134" s="21"/>
      <c r="VTS134" s="20"/>
      <c r="VTT134" s="20"/>
      <c r="VTU134" s="20"/>
      <c r="VTV134" s="20"/>
      <c r="VTW134" s="21"/>
      <c r="VTX134" s="21"/>
      <c r="VTY134" s="7"/>
      <c r="VTZ134" s="7"/>
      <c r="VUA134" s="21"/>
      <c r="VUB134" s="20"/>
      <c r="VUC134" s="20"/>
      <c r="VUD134" s="20"/>
      <c r="VUE134" s="21"/>
      <c r="VUF134" s="21"/>
      <c r="VUG134" s="21"/>
      <c r="VUH134" s="21"/>
      <c r="VUI134" s="21"/>
      <c r="VUJ134" s="20"/>
      <c r="VUK134" s="20"/>
      <c r="VUL134" s="20"/>
      <c r="VUM134" s="20"/>
      <c r="VUN134" s="21"/>
      <c r="VUO134" s="21"/>
      <c r="VUP134" s="7"/>
      <c r="VUQ134" s="7"/>
      <c r="VUR134" s="21"/>
      <c r="VUS134" s="20"/>
      <c r="VUT134" s="20"/>
      <c r="VUU134" s="20"/>
      <c r="VUV134" s="21"/>
      <c r="VUW134" s="21"/>
      <c r="VUX134" s="21"/>
      <c r="VUY134" s="21"/>
      <c r="VUZ134" s="21"/>
      <c r="VVA134" s="20"/>
      <c r="VVB134" s="20"/>
      <c r="VVC134" s="20"/>
      <c r="VVD134" s="20"/>
      <c r="VVE134" s="21"/>
      <c r="VVF134" s="21"/>
      <c r="VVG134" s="7"/>
      <c r="VVH134" s="7"/>
      <c r="VVI134" s="21"/>
      <c r="VVJ134" s="20"/>
      <c r="VVK134" s="20"/>
      <c r="VVL134" s="20"/>
      <c r="VVM134" s="21"/>
      <c r="VVN134" s="21"/>
      <c r="VVO134" s="21"/>
      <c r="VVP134" s="21"/>
      <c r="VVQ134" s="21"/>
      <c r="VVR134" s="20"/>
      <c r="VVS134" s="20"/>
      <c r="VVT134" s="20"/>
      <c r="VVU134" s="20"/>
      <c r="VVV134" s="21"/>
      <c r="VVW134" s="21"/>
      <c r="VVX134" s="7"/>
      <c r="VVY134" s="7"/>
      <c r="VVZ134" s="21"/>
      <c r="VWA134" s="20"/>
      <c r="VWB134" s="20"/>
      <c r="VWC134" s="20"/>
      <c r="VWD134" s="21"/>
      <c r="VWE134" s="21"/>
      <c r="VWF134" s="21"/>
      <c r="VWG134" s="21"/>
      <c r="VWH134" s="21"/>
      <c r="VWI134" s="20"/>
      <c r="VWJ134" s="20"/>
      <c r="VWK134" s="20"/>
      <c r="VWL134" s="20"/>
      <c r="VWM134" s="21"/>
      <c r="VWN134" s="21"/>
      <c r="VWO134" s="7"/>
      <c r="VWP134" s="7"/>
      <c r="VWQ134" s="21"/>
      <c r="VWR134" s="20"/>
      <c r="VWS134" s="20"/>
      <c r="VWT134" s="20"/>
      <c r="VWU134" s="21"/>
      <c r="VWV134" s="21"/>
      <c r="VWW134" s="21"/>
      <c r="VWX134" s="21"/>
      <c r="VWY134" s="21"/>
      <c r="VWZ134" s="20"/>
      <c r="VXA134" s="20"/>
      <c r="VXB134" s="20"/>
      <c r="VXC134" s="20"/>
      <c r="VXD134" s="21"/>
      <c r="VXE134" s="21"/>
      <c r="VXF134" s="7"/>
      <c r="VXG134" s="7"/>
      <c r="VXH134" s="21"/>
      <c r="VXI134" s="20"/>
      <c r="VXJ134" s="20"/>
      <c r="VXK134" s="20"/>
      <c r="VXL134" s="21"/>
      <c r="VXM134" s="21"/>
      <c r="VXN134" s="21"/>
      <c r="VXO134" s="21"/>
      <c r="VXP134" s="21"/>
      <c r="VXQ134" s="20"/>
      <c r="VXR134" s="20"/>
      <c r="VXS134" s="20"/>
      <c r="VXT134" s="20"/>
      <c r="VXU134" s="21"/>
      <c r="VXV134" s="21"/>
      <c r="VXW134" s="7"/>
      <c r="VXX134" s="7"/>
      <c r="VXY134" s="21"/>
      <c r="VXZ134" s="20"/>
      <c r="VYA134" s="20"/>
      <c r="VYB134" s="20"/>
      <c r="VYC134" s="21"/>
      <c r="VYD134" s="21"/>
      <c r="VYE134" s="21"/>
      <c r="VYF134" s="21"/>
      <c r="VYG134" s="21"/>
      <c r="VYH134" s="20"/>
      <c r="VYI134" s="20"/>
      <c r="VYJ134" s="20"/>
      <c r="VYK134" s="20"/>
      <c r="VYL134" s="21"/>
      <c r="VYM134" s="21"/>
      <c r="VYN134" s="7"/>
      <c r="VYO134" s="7"/>
      <c r="VYP134" s="21"/>
      <c r="VYQ134" s="20"/>
      <c r="VYR134" s="20"/>
      <c r="VYS134" s="20"/>
      <c r="VYT134" s="21"/>
      <c r="VYU134" s="21"/>
      <c r="VYV134" s="21"/>
      <c r="VYW134" s="21"/>
      <c r="VYX134" s="21"/>
      <c r="VYY134" s="20"/>
      <c r="VYZ134" s="20"/>
      <c r="VZA134" s="20"/>
      <c r="VZB134" s="20"/>
      <c r="VZC134" s="21"/>
      <c r="VZD134" s="21"/>
      <c r="VZE134" s="7"/>
      <c r="VZF134" s="7"/>
      <c r="VZG134" s="21"/>
      <c r="VZH134" s="20"/>
      <c r="VZI134" s="20"/>
      <c r="VZJ134" s="20"/>
      <c r="VZK134" s="21"/>
      <c r="VZL134" s="21"/>
      <c r="VZM134" s="21"/>
      <c r="VZN134" s="21"/>
      <c r="VZO134" s="21"/>
      <c r="VZP134" s="20"/>
      <c r="VZQ134" s="20"/>
      <c r="VZR134" s="20"/>
      <c r="VZS134" s="20"/>
      <c r="VZT134" s="21"/>
      <c r="VZU134" s="21"/>
      <c r="VZV134" s="7"/>
      <c r="VZW134" s="7"/>
      <c r="VZX134" s="21"/>
      <c r="VZY134" s="20"/>
      <c r="VZZ134" s="20"/>
      <c r="WAA134" s="20"/>
      <c r="WAB134" s="21"/>
      <c r="WAC134" s="21"/>
      <c r="WAD134" s="21"/>
      <c r="WAE134" s="21"/>
      <c r="WAF134" s="21"/>
      <c r="WAG134" s="20"/>
      <c r="WAH134" s="20"/>
      <c r="WAI134" s="20"/>
      <c r="WAJ134" s="20"/>
      <c r="WAK134" s="21"/>
      <c r="WAL134" s="21"/>
      <c r="WAM134" s="7"/>
      <c r="WAN134" s="7"/>
      <c r="WAO134" s="21"/>
      <c r="WAP134" s="20"/>
      <c r="WAQ134" s="20"/>
      <c r="WAR134" s="20"/>
      <c r="WAS134" s="21"/>
      <c r="WAT134" s="21"/>
      <c r="WAU134" s="21"/>
      <c r="WAV134" s="21"/>
      <c r="WAW134" s="21"/>
      <c r="WAX134" s="20"/>
      <c r="WAY134" s="20"/>
      <c r="WAZ134" s="20"/>
      <c r="WBA134" s="20"/>
      <c r="WBB134" s="21"/>
      <c r="WBC134" s="21"/>
      <c r="WBD134" s="7"/>
      <c r="WBE134" s="7"/>
      <c r="WBF134" s="21"/>
      <c r="WBG134" s="20"/>
      <c r="WBH134" s="20"/>
      <c r="WBI134" s="20"/>
      <c r="WBJ134" s="21"/>
      <c r="WBK134" s="21"/>
      <c r="WBL134" s="21"/>
      <c r="WBM134" s="21"/>
      <c r="WBN134" s="21"/>
      <c r="WBO134" s="20"/>
      <c r="WBP134" s="20"/>
      <c r="WBQ134" s="20"/>
      <c r="WBR134" s="20"/>
      <c r="WBS134" s="21"/>
      <c r="WBT134" s="21"/>
      <c r="WBU134" s="7"/>
      <c r="WBV134" s="7"/>
      <c r="WBW134" s="21"/>
      <c r="WBX134" s="20"/>
      <c r="WBY134" s="20"/>
      <c r="WBZ134" s="20"/>
      <c r="WCA134" s="21"/>
      <c r="WCB134" s="21"/>
      <c r="WCC134" s="21"/>
      <c r="WCD134" s="21"/>
      <c r="WCE134" s="21"/>
      <c r="WCF134" s="20"/>
      <c r="WCG134" s="20"/>
      <c r="WCH134" s="20"/>
      <c r="WCI134" s="20"/>
      <c r="WCJ134" s="21"/>
      <c r="WCK134" s="21"/>
      <c r="WCL134" s="7"/>
      <c r="WCM134" s="7"/>
      <c r="WCN134" s="21"/>
      <c r="WCO134" s="20"/>
      <c r="WCP134" s="20"/>
      <c r="WCQ134" s="20"/>
      <c r="WCR134" s="21"/>
      <c r="WCS134" s="21"/>
      <c r="WCT134" s="21"/>
      <c r="WCU134" s="21"/>
      <c r="WCV134" s="21"/>
      <c r="WCW134" s="20"/>
      <c r="WCX134" s="20"/>
      <c r="WCY134" s="20"/>
      <c r="WCZ134" s="20"/>
      <c r="WDA134" s="21"/>
      <c r="WDB134" s="21"/>
      <c r="WDC134" s="7"/>
      <c r="WDD134" s="7"/>
      <c r="WDE134" s="21"/>
      <c r="WDF134" s="20"/>
      <c r="WDG134" s="20"/>
      <c r="WDH134" s="20"/>
      <c r="WDI134" s="21"/>
      <c r="WDJ134" s="21"/>
      <c r="WDK134" s="21"/>
      <c r="WDL134" s="21"/>
      <c r="WDM134" s="21"/>
      <c r="WDN134" s="20"/>
      <c r="WDO134" s="20"/>
      <c r="WDP134" s="20"/>
      <c r="WDQ134" s="20"/>
      <c r="WDR134" s="21"/>
      <c r="WDS134" s="21"/>
      <c r="WDT134" s="7"/>
      <c r="WDU134" s="7"/>
      <c r="WDV134" s="21"/>
      <c r="WDW134" s="20"/>
      <c r="WDX134" s="20"/>
      <c r="WDY134" s="20"/>
      <c r="WDZ134" s="21"/>
      <c r="WEA134" s="21"/>
      <c r="WEB134" s="21"/>
      <c r="WEC134" s="21"/>
      <c r="WED134" s="21"/>
      <c r="WEE134" s="20"/>
      <c r="WEF134" s="20"/>
      <c r="WEG134" s="20"/>
      <c r="WEH134" s="20"/>
      <c r="WEI134" s="21"/>
      <c r="WEJ134" s="21"/>
      <c r="WEK134" s="7"/>
      <c r="WEL134" s="7"/>
      <c r="WEM134" s="21"/>
      <c r="WEN134" s="20"/>
      <c r="WEO134" s="20"/>
      <c r="WEP134" s="20"/>
      <c r="WEQ134" s="21"/>
      <c r="WER134" s="21"/>
      <c r="WES134" s="21"/>
      <c r="WET134" s="21"/>
      <c r="WEU134" s="21"/>
      <c r="WEV134" s="20"/>
      <c r="WEW134" s="20"/>
      <c r="WEX134" s="20"/>
      <c r="WEY134" s="20"/>
      <c r="WEZ134" s="21"/>
      <c r="WFA134" s="21"/>
      <c r="WFB134" s="7"/>
      <c r="WFC134" s="7"/>
      <c r="WFD134" s="21"/>
      <c r="WFE134" s="20"/>
      <c r="WFF134" s="20"/>
      <c r="WFG134" s="20"/>
      <c r="WFH134" s="21"/>
      <c r="WFI134" s="21"/>
      <c r="WFJ134" s="21"/>
      <c r="WFK134" s="21"/>
      <c r="WFL134" s="21"/>
      <c r="WFM134" s="20"/>
      <c r="WFN134" s="20"/>
      <c r="WFO134" s="20"/>
      <c r="WFP134" s="20"/>
      <c r="WFQ134" s="21"/>
      <c r="WFR134" s="21"/>
      <c r="WFS134" s="7"/>
      <c r="WFT134" s="7"/>
      <c r="WFU134" s="21"/>
      <c r="WFV134" s="20"/>
      <c r="WFW134" s="20"/>
      <c r="WFX134" s="20"/>
      <c r="WFY134" s="21"/>
      <c r="WFZ134" s="21"/>
      <c r="WGA134" s="21"/>
      <c r="WGB134" s="21"/>
      <c r="WGC134" s="21"/>
      <c r="WGD134" s="20"/>
      <c r="WGE134" s="20"/>
      <c r="WGF134" s="20"/>
      <c r="WGG134" s="20"/>
      <c r="WGH134" s="21"/>
      <c r="WGI134" s="21"/>
      <c r="WGJ134" s="7"/>
      <c r="WGK134" s="7"/>
      <c r="WGL134" s="21"/>
      <c r="WGM134" s="20"/>
      <c r="WGN134" s="20"/>
      <c r="WGO134" s="20"/>
      <c r="WGP134" s="21"/>
      <c r="WGQ134" s="21"/>
      <c r="WGR134" s="21"/>
      <c r="WGS134" s="21"/>
      <c r="WGT134" s="21"/>
      <c r="WGU134" s="20"/>
      <c r="WGV134" s="20"/>
      <c r="WGW134" s="20"/>
      <c r="WGX134" s="20"/>
      <c r="WGY134" s="21"/>
      <c r="WGZ134" s="21"/>
      <c r="WHA134" s="7"/>
      <c r="WHB134" s="7"/>
      <c r="WHC134" s="21"/>
      <c r="WHD134" s="20"/>
      <c r="WHE134" s="20"/>
      <c r="WHF134" s="20"/>
      <c r="WHG134" s="21"/>
      <c r="WHH134" s="21"/>
      <c r="WHI134" s="21"/>
      <c r="WHJ134" s="21"/>
      <c r="WHK134" s="21"/>
      <c r="WHL134" s="20"/>
      <c r="WHM134" s="20"/>
      <c r="WHN134" s="20"/>
      <c r="WHO134" s="20"/>
      <c r="WHP134" s="21"/>
      <c r="WHQ134" s="21"/>
      <c r="WHR134" s="7"/>
      <c r="WHS134" s="7"/>
      <c r="WHT134" s="21"/>
      <c r="WHU134" s="20"/>
      <c r="WHV134" s="20"/>
      <c r="WHW134" s="20"/>
      <c r="WHX134" s="21"/>
      <c r="WHY134" s="21"/>
      <c r="WHZ134" s="21"/>
      <c r="WIA134" s="21"/>
      <c r="WIB134" s="21"/>
      <c r="WIC134" s="20"/>
      <c r="WID134" s="20"/>
      <c r="WIE134" s="20"/>
      <c r="WIF134" s="20"/>
      <c r="WIG134" s="21"/>
      <c r="WIH134" s="21"/>
      <c r="WII134" s="7"/>
      <c r="WIJ134" s="7"/>
      <c r="WIK134" s="21"/>
      <c r="WIL134" s="20"/>
      <c r="WIM134" s="20"/>
      <c r="WIN134" s="20"/>
      <c r="WIO134" s="21"/>
      <c r="WIP134" s="21"/>
      <c r="WIQ134" s="21"/>
      <c r="WIR134" s="21"/>
      <c r="WIS134" s="21"/>
      <c r="WIT134" s="20"/>
      <c r="WIU134" s="20"/>
      <c r="WIV134" s="20"/>
      <c r="WIW134" s="20"/>
      <c r="WIX134" s="21"/>
      <c r="WIY134" s="21"/>
      <c r="WIZ134" s="7"/>
      <c r="WJA134" s="7"/>
      <c r="WJB134" s="21"/>
      <c r="WJC134" s="20"/>
      <c r="WJD134" s="20"/>
      <c r="WJE134" s="20"/>
      <c r="WJF134" s="21"/>
      <c r="WJG134" s="21"/>
      <c r="WJH134" s="21"/>
      <c r="WJI134" s="21"/>
      <c r="WJJ134" s="21"/>
      <c r="WJK134" s="20"/>
      <c r="WJL134" s="20"/>
      <c r="WJM134" s="20"/>
      <c r="WJN134" s="20"/>
      <c r="WJO134" s="21"/>
      <c r="WJP134" s="21"/>
      <c r="WJQ134" s="7"/>
      <c r="WJR134" s="7"/>
      <c r="WJS134" s="21"/>
      <c r="WJT134" s="20"/>
      <c r="WJU134" s="20"/>
      <c r="WJV134" s="20"/>
      <c r="WJW134" s="21"/>
      <c r="WJX134" s="21"/>
      <c r="WJY134" s="21"/>
      <c r="WJZ134" s="21"/>
      <c r="WKA134" s="21"/>
      <c r="WKB134" s="20"/>
      <c r="WKC134" s="20"/>
      <c r="WKD134" s="20"/>
      <c r="WKE134" s="20"/>
      <c r="WKF134" s="21"/>
      <c r="WKG134" s="21"/>
      <c r="WKH134" s="7"/>
      <c r="WKI134" s="7"/>
      <c r="WKJ134" s="21"/>
      <c r="WKK134" s="20"/>
      <c r="WKL134" s="20"/>
      <c r="WKM134" s="20"/>
      <c r="WKN134" s="21"/>
      <c r="WKO134" s="21"/>
      <c r="WKP134" s="21"/>
      <c r="WKQ134" s="21"/>
      <c r="WKR134" s="21"/>
      <c r="WKS134" s="20"/>
      <c r="WKT134" s="20"/>
      <c r="WKU134" s="20"/>
      <c r="WKV134" s="20"/>
      <c r="WKW134" s="21"/>
      <c r="WKX134" s="21"/>
      <c r="WKY134" s="7"/>
      <c r="WKZ134" s="7"/>
      <c r="WLA134" s="21"/>
      <c r="WLB134" s="20"/>
      <c r="WLC134" s="20"/>
      <c r="WLD134" s="20"/>
      <c r="WLE134" s="21"/>
      <c r="WLF134" s="21"/>
      <c r="WLG134" s="21"/>
      <c r="WLH134" s="21"/>
      <c r="WLI134" s="21"/>
      <c r="WLJ134" s="20"/>
      <c r="WLK134" s="20"/>
      <c r="WLL134" s="20"/>
      <c r="WLM134" s="20"/>
      <c r="WLN134" s="21"/>
      <c r="WLO134" s="21"/>
      <c r="WLP134" s="7"/>
      <c r="WLQ134" s="7"/>
      <c r="WLR134" s="21"/>
      <c r="WLS134" s="20"/>
      <c r="WLT134" s="20"/>
      <c r="WLU134" s="20"/>
      <c r="WLV134" s="21"/>
      <c r="WLW134" s="21"/>
      <c r="WLX134" s="21"/>
      <c r="WLY134" s="21"/>
      <c r="WLZ134" s="21"/>
      <c r="WMA134" s="20"/>
      <c r="WMB134" s="20"/>
      <c r="WMC134" s="20"/>
      <c r="WMD134" s="20"/>
      <c r="WME134" s="21"/>
      <c r="WMF134" s="21"/>
      <c r="WMG134" s="7"/>
      <c r="WMH134" s="7"/>
      <c r="WMI134" s="21"/>
      <c r="WMJ134" s="20"/>
      <c r="WMK134" s="20"/>
      <c r="WML134" s="20"/>
      <c r="WMM134" s="21"/>
      <c r="WMN134" s="21"/>
      <c r="WMO134" s="21"/>
      <c r="WMP134" s="21"/>
      <c r="WMQ134" s="21"/>
      <c r="WMR134" s="20"/>
      <c r="WMS134" s="20"/>
      <c r="WMT134" s="20"/>
      <c r="WMU134" s="20"/>
      <c r="WMV134" s="21"/>
      <c r="WMW134" s="21"/>
      <c r="WMX134" s="7"/>
      <c r="WMY134" s="7"/>
      <c r="WMZ134" s="21"/>
      <c r="WNA134" s="20"/>
      <c r="WNB134" s="20"/>
      <c r="WNC134" s="20"/>
      <c r="WND134" s="21"/>
      <c r="WNE134" s="21"/>
      <c r="WNF134" s="21"/>
      <c r="WNG134" s="21"/>
      <c r="WNH134" s="21"/>
      <c r="WNI134" s="20"/>
      <c r="WNJ134" s="20"/>
      <c r="WNK134" s="20"/>
      <c r="WNL134" s="20"/>
      <c r="WNM134" s="21"/>
      <c r="WNN134" s="21"/>
      <c r="WNO134" s="7"/>
      <c r="WNP134" s="7"/>
      <c r="WNQ134" s="21"/>
      <c r="WNR134" s="20"/>
      <c r="WNS134" s="20"/>
      <c r="WNT134" s="20"/>
      <c r="WNU134" s="21"/>
      <c r="WNV134" s="21"/>
      <c r="WNW134" s="21"/>
      <c r="WNX134" s="21"/>
      <c r="WNY134" s="21"/>
      <c r="WNZ134" s="20"/>
      <c r="WOA134" s="20"/>
      <c r="WOB134" s="20"/>
      <c r="WOC134" s="20"/>
      <c r="WOD134" s="21"/>
      <c r="WOE134" s="21"/>
      <c r="WOF134" s="7"/>
      <c r="WOG134" s="7"/>
      <c r="WOH134" s="21"/>
      <c r="WOI134" s="20"/>
      <c r="WOJ134" s="20"/>
      <c r="WOK134" s="20"/>
      <c r="WOL134" s="21"/>
      <c r="WOM134" s="21"/>
      <c r="WON134" s="21"/>
      <c r="WOO134" s="21"/>
      <c r="WOP134" s="21"/>
      <c r="WOQ134" s="20"/>
      <c r="WOR134" s="20"/>
      <c r="WOS134" s="20"/>
      <c r="WOT134" s="20"/>
      <c r="WOU134" s="21"/>
      <c r="WOV134" s="21"/>
      <c r="WOW134" s="7"/>
      <c r="WOX134" s="7"/>
      <c r="WOY134" s="21"/>
      <c r="WOZ134" s="20"/>
      <c r="WPA134" s="20"/>
      <c r="WPB134" s="20"/>
      <c r="WPC134" s="21"/>
      <c r="WPD134" s="21"/>
      <c r="WPE134" s="21"/>
      <c r="WPF134" s="21"/>
      <c r="WPG134" s="21"/>
      <c r="WPH134" s="20"/>
      <c r="WPI134" s="20"/>
      <c r="WPJ134" s="20"/>
      <c r="WPK134" s="20"/>
      <c r="WPL134" s="21"/>
      <c r="WPM134" s="21"/>
      <c r="WPN134" s="7"/>
      <c r="WPO134" s="7"/>
      <c r="WPP134" s="21"/>
      <c r="WPQ134" s="20"/>
      <c r="WPR134" s="20"/>
      <c r="WPS134" s="20"/>
      <c r="WPT134" s="21"/>
      <c r="WPU134" s="21"/>
      <c r="WPV134" s="21"/>
      <c r="WPW134" s="21"/>
      <c r="WPX134" s="21"/>
      <c r="WPY134" s="20"/>
      <c r="WPZ134" s="20"/>
      <c r="WQA134" s="20"/>
      <c r="WQB134" s="20"/>
      <c r="WQC134" s="21"/>
      <c r="WQD134" s="21"/>
      <c r="WQE134" s="7"/>
      <c r="WQF134" s="7"/>
      <c r="WQG134" s="21"/>
      <c r="WQH134" s="20"/>
      <c r="WQI134" s="20"/>
      <c r="WQJ134" s="20"/>
      <c r="WQK134" s="21"/>
      <c r="WQL134" s="21"/>
      <c r="WQM134" s="21"/>
      <c r="WQN134" s="21"/>
      <c r="WQO134" s="21"/>
      <c r="WQP134" s="20"/>
      <c r="WQQ134" s="20"/>
      <c r="WQR134" s="20"/>
      <c r="WQS134" s="20"/>
      <c r="WQT134" s="21"/>
      <c r="WQU134" s="21"/>
      <c r="WQV134" s="7"/>
      <c r="WQW134" s="7"/>
      <c r="WQX134" s="21"/>
      <c r="WQY134" s="20"/>
      <c r="WQZ134" s="20"/>
      <c r="WRA134" s="20"/>
      <c r="WRB134" s="21"/>
      <c r="WRC134" s="21"/>
      <c r="WRD134" s="21"/>
      <c r="WRE134" s="21"/>
      <c r="WRF134" s="21"/>
      <c r="WRG134" s="20"/>
      <c r="WRH134" s="20"/>
      <c r="WRI134" s="20"/>
      <c r="WRJ134" s="20"/>
      <c r="WRK134" s="21"/>
      <c r="WRL134" s="21"/>
      <c r="WRM134" s="7"/>
      <c r="WRN134" s="7"/>
      <c r="WRO134" s="21"/>
      <c r="WRP134" s="20"/>
      <c r="WRQ134" s="20"/>
      <c r="WRR134" s="20"/>
      <c r="WRS134" s="21"/>
      <c r="WRT134" s="21"/>
      <c r="WRU134" s="21"/>
      <c r="WRV134" s="21"/>
      <c r="WRW134" s="21"/>
      <c r="WRX134" s="20"/>
      <c r="WRY134" s="20"/>
      <c r="WRZ134" s="20"/>
      <c r="WSA134" s="20"/>
      <c r="WSB134" s="21"/>
      <c r="WSC134" s="21"/>
      <c r="WSD134" s="7"/>
      <c r="WSE134" s="7"/>
      <c r="WSF134" s="21"/>
      <c r="WSG134" s="20"/>
      <c r="WSH134" s="20"/>
      <c r="WSI134" s="20"/>
      <c r="WSJ134" s="21"/>
      <c r="WSK134" s="21"/>
      <c r="WSL134" s="21"/>
      <c r="WSM134" s="21"/>
      <c r="WSN134" s="21"/>
      <c r="WSO134" s="20"/>
      <c r="WSP134" s="20"/>
      <c r="WSQ134" s="20"/>
      <c r="WSR134" s="20"/>
      <c r="WSS134" s="21"/>
      <c r="WST134" s="21"/>
      <c r="WSU134" s="7"/>
      <c r="WSV134" s="7"/>
      <c r="WSW134" s="21"/>
      <c r="WSX134" s="20"/>
      <c r="WSY134" s="20"/>
      <c r="WSZ134" s="20"/>
      <c r="WTA134" s="21"/>
      <c r="WTB134" s="21"/>
      <c r="WTC134" s="21"/>
      <c r="WTD134" s="21"/>
      <c r="WTE134" s="21"/>
      <c r="WTF134" s="20"/>
      <c r="WTG134" s="20"/>
      <c r="WTH134" s="20"/>
      <c r="WTI134" s="20"/>
      <c r="WTJ134" s="21"/>
      <c r="WTK134" s="21"/>
      <c r="WTL134" s="7"/>
      <c r="WTM134" s="7"/>
      <c r="WTN134" s="21"/>
      <c r="WTO134" s="20"/>
      <c r="WTP134" s="20"/>
      <c r="WTQ134" s="20"/>
      <c r="WTR134" s="21"/>
      <c r="WTS134" s="21"/>
      <c r="WTT134" s="21"/>
      <c r="WTU134" s="21"/>
      <c r="WTV134" s="21"/>
      <c r="WTW134" s="20"/>
      <c r="WTX134" s="20"/>
      <c r="WTY134" s="20"/>
      <c r="WTZ134" s="20"/>
      <c r="WUA134" s="21"/>
      <c r="WUB134" s="21"/>
      <c r="WUC134" s="7"/>
      <c r="WUD134" s="7"/>
      <c r="WUE134" s="21"/>
      <c r="WUF134" s="20"/>
      <c r="WUG134" s="20"/>
      <c r="WUH134" s="20"/>
      <c r="WUI134" s="21"/>
      <c r="WUJ134" s="21"/>
      <c r="WUK134" s="21"/>
      <c r="WUL134" s="21"/>
      <c r="WUM134" s="21"/>
      <c r="WUN134" s="20"/>
      <c r="WUO134" s="20"/>
      <c r="WUP134" s="20"/>
      <c r="WUQ134" s="20"/>
      <c r="WUR134" s="21"/>
      <c r="WUS134" s="21"/>
      <c r="WUT134" s="7"/>
      <c r="WUU134" s="7"/>
      <c r="WUV134" s="21"/>
      <c r="WUW134" s="20"/>
      <c r="WUX134" s="20"/>
      <c r="WUY134" s="20"/>
      <c r="WUZ134" s="21"/>
      <c r="WVA134" s="21"/>
      <c r="WVB134" s="21"/>
      <c r="WVC134" s="21"/>
      <c r="WVD134" s="21"/>
      <c r="WVE134" s="20"/>
      <c r="WVF134" s="20"/>
      <c r="WVG134" s="20"/>
      <c r="WVH134" s="20"/>
      <c r="WVI134" s="21"/>
      <c r="WVJ134" s="21"/>
      <c r="WVK134" s="7"/>
      <c r="WVL134" s="7"/>
      <c r="WVM134" s="21"/>
      <c r="WVN134" s="20"/>
      <c r="WVO134" s="20"/>
      <c r="WVP134" s="20"/>
      <c r="WVQ134" s="21"/>
      <c r="WVR134" s="21"/>
      <c r="WVS134" s="21"/>
      <c r="WVT134" s="21"/>
      <c r="WVU134" s="21"/>
      <c r="WVV134" s="20"/>
      <c r="WVW134" s="20"/>
      <c r="WVX134" s="20"/>
      <c r="WVY134" s="20"/>
      <c r="WVZ134" s="21"/>
      <c r="WWA134" s="21"/>
      <c r="WWB134" s="7"/>
      <c r="WWC134" s="7"/>
      <c r="WWD134" s="21"/>
      <c r="WWE134" s="20"/>
      <c r="WWF134" s="20"/>
      <c r="WWG134" s="20"/>
      <c r="WWH134" s="21"/>
      <c r="WWI134" s="21"/>
      <c r="WWJ134" s="21"/>
      <c r="WWK134" s="21"/>
      <c r="WWL134" s="21"/>
      <c r="WWM134" s="20"/>
      <c r="WWN134" s="20"/>
      <c r="WWO134" s="20"/>
      <c r="WWP134" s="20"/>
      <c r="WWQ134" s="21"/>
      <c r="WWR134" s="21"/>
      <c r="WWS134" s="7"/>
      <c r="WWT134" s="7"/>
      <c r="WWU134" s="21"/>
      <c r="WWV134" s="20"/>
      <c r="WWW134" s="20"/>
      <c r="WWX134" s="20"/>
      <c r="WWY134" s="21"/>
      <c r="WWZ134" s="21"/>
      <c r="WXA134" s="21"/>
      <c r="WXB134" s="21"/>
      <c r="WXC134" s="21"/>
      <c r="WXD134" s="20"/>
      <c r="WXE134" s="20"/>
      <c r="WXF134" s="20"/>
      <c r="WXG134" s="20"/>
      <c r="WXH134" s="21"/>
      <c r="WXI134" s="21"/>
      <c r="WXJ134" s="7"/>
      <c r="WXK134" s="7"/>
      <c r="WXL134" s="21"/>
      <c r="WXM134" s="20"/>
      <c r="WXN134" s="20"/>
      <c r="WXO134" s="20"/>
      <c r="WXP134" s="21"/>
      <c r="WXQ134" s="21"/>
      <c r="WXR134" s="21"/>
      <c r="WXS134" s="21"/>
      <c r="WXT134" s="21"/>
      <c r="WXU134" s="20"/>
      <c r="WXV134" s="20"/>
      <c r="WXW134" s="20"/>
      <c r="WXX134" s="20"/>
      <c r="WXY134" s="21"/>
      <c r="WXZ134" s="21"/>
      <c r="WYA134" s="7"/>
      <c r="WYB134" s="7"/>
      <c r="WYC134" s="21"/>
      <c r="WYD134" s="20"/>
      <c r="WYE134" s="20"/>
      <c r="WYF134" s="20"/>
      <c r="WYG134" s="21"/>
      <c r="WYH134" s="21"/>
      <c r="WYI134" s="21"/>
      <c r="WYJ134" s="21"/>
      <c r="WYK134" s="21"/>
      <c r="WYL134" s="20"/>
      <c r="WYM134" s="20"/>
      <c r="WYN134" s="20"/>
      <c r="WYO134" s="20"/>
      <c r="WYP134" s="21"/>
      <c r="WYQ134" s="21"/>
      <c r="WYR134" s="7"/>
      <c r="WYS134" s="7"/>
      <c r="WYT134" s="21"/>
      <c r="WYU134" s="20"/>
      <c r="WYV134" s="20"/>
      <c r="WYW134" s="20"/>
      <c r="WYX134" s="21"/>
      <c r="WYY134" s="21"/>
      <c r="WYZ134" s="21"/>
      <c r="WZA134" s="21"/>
      <c r="WZB134" s="21"/>
      <c r="WZC134" s="20"/>
      <c r="WZD134" s="20"/>
      <c r="WZE134" s="20"/>
      <c r="WZF134" s="20"/>
      <c r="WZG134" s="21"/>
      <c r="WZH134" s="21"/>
      <c r="WZI134" s="7"/>
      <c r="WZJ134" s="7"/>
      <c r="WZK134" s="21"/>
      <c r="WZL134" s="20"/>
      <c r="WZM134" s="20"/>
      <c r="WZN134" s="20"/>
      <c r="WZO134" s="21"/>
      <c r="WZP134" s="21"/>
      <c r="WZQ134" s="21"/>
      <c r="WZR134" s="21"/>
      <c r="WZS134" s="21"/>
      <c r="WZT134" s="20"/>
      <c r="WZU134" s="20"/>
      <c r="WZV134" s="20"/>
      <c r="WZW134" s="20"/>
      <c r="WZX134" s="21"/>
      <c r="WZY134" s="21"/>
      <c r="WZZ134" s="7"/>
      <c r="XAA134" s="7"/>
      <c r="XAB134" s="21"/>
      <c r="XAC134" s="20"/>
      <c r="XAD134" s="20"/>
      <c r="XAE134" s="20"/>
      <c r="XAF134" s="21"/>
      <c r="XAG134" s="21"/>
      <c r="XAH134" s="21"/>
      <c r="XAI134" s="21"/>
      <c r="XAJ134" s="21"/>
      <c r="XAK134" s="20"/>
      <c r="XAL134" s="20"/>
      <c r="XAM134" s="20"/>
      <c r="XAN134" s="20"/>
      <c r="XAO134" s="21"/>
      <c r="XAP134" s="21"/>
      <c r="XAQ134" s="7"/>
      <c r="XAR134" s="7"/>
      <c r="XAS134" s="21"/>
      <c r="XAT134" s="20"/>
      <c r="XAU134" s="20"/>
      <c r="XAV134" s="20"/>
      <c r="XAW134" s="21"/>
      <c r="XAX134" s="21"/>
      <c r="XAY134" s="21"/>
      <c r="XAZ134" s="21"/>
      <c r="XBA134" s="21"/>
      <c r="XBB134" s="20"/>
      <c r="XBC134" s="20"/>
      <c r="XBD134" s="20"/>
      <c r="XBE134" s="20"/>
      <c r="XBF134" s="21"/>
      <c r="XBG134" s="21"/>
      <c r="XBH134" s="7"/>
      <c r="XBI134" s="7"/>
      <c r="XBJ134" s="21"/>
      <c r="XBK134" s="20"/>
      <c r="XBL134" s="20"/>
      <c r="XBM134" s="20"/>
      <c r="XBN134" s="21"/>
      <c r="XBO134" s="21"/>
      <c r="XBP134" s="21"/>
      <c r="XBQ134" s="21"/>
      <c r="XBR134" s="21"/>
      <c r="XBS134" s="20"/>
      <c r="XBT134" s="20"/>
      <c r="XBU134" s="20"/>
      <c r="XBV134" s="20"/>
      <c r="XBW134" s="21"/>
      <c r="XBX134" s="21"/>
      <c r="XBY134" s="7"/>
      <c r="XBZ134" s="7"/>
      <c r="XCA134" s="21"/>
      <c r="XCB134" s="20"/>
      <c r="XCC134" s="20"/>
      <c r="XCD134" s="20"/>
      <c r="XCE134" s="21"/>
      <c r="XCF134" s="21"/>
      <c r="XCG134" s="21"/>
      <c r="XCH134" s="21"/>
      <c r="XCI134" s="21"/>
      <c r="XCJ134" s="20"/>
      <c r="XCK134" s="20"/>
      <c r="XCL134" s="20"/>
      <c r="XCM134" s="20"/>
      <c r="XCN134" s="21"/>
      <c r="XCO134" s="21"/>
      <c r="XCP134" s="7"/>
      <c r="XCQ134" s="7"/>
      <c r="XCR134" s="21"/>
      <c r="XCS134" s="20"/>
      <c r="XCT134" s="20"/>
      <c r="XCU134" s="20"/>
      <c r="XCV134" s="21"/>
      <c r="XCW134" s="21"/>
      <c r="XCX134" s="21"/>
      <c r="XCY134" s="21"/>
      <c r="XCZ134" s="21"/>
      <c r="XDA134" s="20"/>
      <c r="XDB134" s="20"/>
      <c r="XDC134" s="20"/>
      <c r="XDD134" s="20"/>
      <c r="XDE134" s="21"/>
      <c r="XDF134" s="21"/>
      <c r="XDG134" s="7"/>
      <c r="XDH134" s="7"/>
      <c r="XDI134" s="21"/>
      <c r="XDJ134" s="20"/>
      <c r="XDK134" s="20"/>
      <c r="XDL134" s="20"/>
      <c r="XDM134" s="21"/>
      <c r="XDN134" s="21"/>
      <c r="XDO134" s="21"/>
      <c r="XDP134" s="21"/>
      <c r="XDQ134" s="21"/>
      <c r="XDR134" s="20"/>
      <c r="XDS134" s="20"/>
      <c r="XDT134" s="20"/>
      <c r="XDU134" s="20"/>
      <c r="XDV134" s="21"/>
      <c r="XDW134" s="21"/>
      <c r="XDX134" s="7"/>
      <c r="XDY134" s="7"/>
      <c r="XDZ134" s="21"/>
      <c r="XEA134" s="20"/>
      <c r="XEB134" s="20"/>
      <c r="XEC134" s="20"/>
      <c r="XED134" s="21"/>
      <c r="XEE134" s="21"/>
      <c r="XEF134" s="21"/>
      <c r="XEG134" s="21"/>
      <c r="XEH134" s="21"/>
      <c r="XEI134" s="20"/>
      <c r="XEJ134" s="20"/>
      <c r="XEK134" s="20"/>
      <c r="XEL134" s="20"/>
      <c r="XEM134" s="21"/>
      <c r="XEN134" s="21"/>
      <c r="XEO134" s="7"/>
      <c r="XEP134" s="7"/>
      <c r="XEQ134" s="21"/>
      <c r="XER134" s="20"/>
      <c r="XES134" s="20"/>
      <c r="XET134" s="20"/>
      <c r="XEU134" s="21"/>
      <c r="XEV134" s="21"/>
      <c r="XEW134" s="21"/>
      <c r="XEX134" s="21"/>
      <c r="XEY134" s="21"/>
      <c r="XEZ134" s="20"/>
      <c r="XFA134" s="20"/>
      <c r="XFB134" s="20"/>
      <c r="XFC134" s="20"/>
      <c r="XFD134" s="21"/>
    </row>
    <row r="135" spans="1:16384" s="3" customFormat="1" ht="14.25" customHeight="1" x14ac:dyDescent="0.25">
      <c r="A135" s="20">
        <v>0</v>
      </c>
      <c r="B135" s="20">
        <v>2</v>
      </c>
      <c r="C135" s="20">
        <v>1</v>
      </c>
      <c r="D135" s="21" t="s">
        <v>50</v>
      </c>
      <c r="E135" s="21" t="s">
        <v>44</v>
      </c>
      <c r="F135" s="21" t="s">
        <v>253</v>
      </c>
      <c r="G135" s="21" t="s">
        <v>102</v>
      </c>
      <c r="H135" s="21" t="s">
        <v>165</v>
      </c>
      <c r="I135" s="20" t="s">
        <v>170</v>
      </c>
      <c r="J135" s="20">
        <v>4</v>
      </c>
      <c r="K135" s="20" t="s">
        <v>376</v>
      </c>
      <c r="L135" s="20" t="s">
        <v>318</v>
      </c>
      <c r="M135" s="21" t="s">
        <v>269</v>
      </c>
      <c r="N135" s="21"/>
      <c r="O135" s="7"/>
      <c r="P135" s="7"/>
      <c r="Q135" s="21"/>
      <c r="R135" s="2"/>
      <c r="S135" s="2">
        <f t="shared" si="23"/>
        <v>0</v>
      </c>
      <c r="T135" s="2">
        <f t="shared" si="24"/>
        <v>0</v>
      </c>
      <c r="U135" s="2">
        <f t="shared" si="25"/>
        <v>0</v>
      </c>
      <c r="V135" s="2">
        <f t="shared" si="26"/>
        <v>1</v>
      </c>
      <c r="W135" s="2">
        <f t="shared" si="27"/>
        <v>0</v>
      </c>
      <c r="X135" s="2">
        <f t="shared" si="28"/>
        <v>0</v>
      </c>
      <c r="Y135" s="2">
        <f t="shared" si="29"/>
        <v>0</v>
      </c>
      <c r="Z135" s="2">
        <f t="shared" si="30"/>
        <v>0</v>
      </c>
      <c r="AA135" s="2">
        <f t="shared" si="31"/>
        <v>0</v>
      </c>
      <c r="AB135" s="2">
        <f t="shared" si="32"/>
        <v>0</v>
      </c>
      <c r="AC135" s="2"/>
      <c r="AD135" s="2">
        <f t="shared" si="33"/>
        <v>0</v>
      </c>
      <c r="AE135" s="2">
        <f t="shared" si="34"/>
        <v>0</v>
      </c>
      <c r="AF135" s="2">
        <f t="shared" si="35"/>
        <v>0</v>
      </c>
      <c r="AG135" s="2">
        <f t="shared" si="36"/>
        <v>0</v>
      </c>
      <c r="AH135" s="2">
        <f t="shared" si="37"/>
        <v>0</v>
      </c>
      <c r="AI135" s="2">
        <f t="shared" si="38"/>
        <v>1</v>
      </c>
    </row>
    <row r="136" spans="1:16384" s="3" customFormat="1" ht="14.25" customHeight="1" x14ac:dyDescent="0.25">
      <c r="A136" s="29">
        <v>0</v>
      </c>
      <c r="B136" s="29">
        <v>2</v>
      </c>
      <c r="C136" s="29">
        <v>1</v>
      </c>
      <c r="D136" s="30" t="s">
        <v>918</v>
      </c>
      <c r="E136" s="30" t="s">
        <v>919</v>
      </c>
      <c r="F136" s="30" t="s">
        <v>920</v>
      </c>
      <c r="G136" s="30"/>
      <c r="H136" s="30" t="s">
        <v>165</v>
      </c>
      <c r="I136" s="29" t="s">
        <v>33</v>
      </c>
      <c r="J136" s="29"/>
      <c r="K136" s="29" t="s">
        <v>376</v>
      </c>
      <c r="L136" s="29"/>
      <c r="M136" s="30"/>
      <c r="N136" s="30" t="s">
        <v>880</v>
      </c>
      <c r="O136" s="31">
        <v>1</v>
      </c>
      <c r="P136" s="31">
        <v>1</v>
      </c>
      <c r="Q136" s="30"/>
      <c r="R136" s="2"/>
      <c r="S136" s="2">
        <f t="shared" si="23"/>
        <v>0</v>
      </c>
      <c r="T136" s="2">
        <f t="shared" si="24"/>
        <v>0</v>
      </c>
      <c r="U136" s="2">
        <f t="shared" si="25"/>
        <v>0</v>
      </c>
      <c r="V136" s="2">
        <f t="shared" si="26"/>
        <v>0</v>
      </c>
      <c r="W136" s="2">
        <f t="shared" si="27"/>
        <v>0</v>
      </c>
      <c r="X136" s="2">
        <f t="shared" si="28"/>
        <v>0</v>
      </c>
      <c r="Y136" s="2">
        <f t="shared" si="29"/>
        <v>0</v>
      </c>
      <c r="Z136" s="2">
        <f t="shared" si="30"/>
        <v>0</v>
      </c>
      <c r="AA136" s="2">
        <f t="shared" si="31"/>
        <v>0</v>
      </c>
      <c r="AB136" s="2">
        <f t="shared" si="32"/>
        <v>0</v>
      </c>
      <c r="AC136" s="2"/>
      <c r="AD136" s="2">
        <f t="shared" si="33"/>
        <v>1</v>
      </c>
      <c r="AE136" s="2">
        <f t="shared" si="34"/>
        <v>0</v>
      </c>
      <c r="AF136" s="2">
        <f t="shared" si="35"/>
        <v>1</v>
      </c>
      <c r="AG136" s="2">
        <f t="shared" si="36"/>
        <v>0</v>
      </c>
      <c r="AH136" s="2">
        <f t="shared" si="37"/>
        <v>1</v>
      </c>
      <c r="AI136" s="2">
        <f t="shared" si="38"/>
        <v>0</v>
      </c>
    </row>
    <row r="137" spans="1:16384" s="3" customFormat="1" ht="14.25" customHeight="1" x14ac:dyDescent="0.25">
      <c r="A137" s="29">
        <v>0</v>
      </c>
      <c r="B137" s="29">
        <v>2</v>
      </c>
      <c r="C137" s="29">
        <v>1</v>
      </c>
      <c r="D137" s="30" t="s">
        <v>895</v>
      </c>
      <c r="E137" s="30" t="s">
        <v>35</v>
      </c>
      <c r="F137" s="30" t="s">
        <v>896</v>
      </c>
      <c r="G137" s="30"/>
      <c r="H137" s="30" t="s">
        <v>165</v>
      </c>
      <c r="I137" s="29" t="s">
        <v>897</v>
      </c>
      <c r="J137" s="29">
        <v>99</v>
      </c>
      <c r="K137" s="29" t="s">
        <v>376</v>
      </c>
      <c r="L137" s="29"/>
      <c r="M137" s="30"/>
      <c r="N137" s="30" t="s">
        <v>880</v>
      </c>
      <c r="O137" s="31">
        <v>1</v>
      </c>
      <c r="P137" s="31">
        <v>1</v>
      </c>
      <c r="Q137" s="30"/>
      <c r="R137" s="2"/>
      <c r="S137" s="2">
        <f t="shared" si="23"/>
        <v>0</v>
      </c>
      <c r="T137" s="2">
        <f t="shared" si="24"/>
        <v>0</v>
      </c>
      <c r="U137" s="2">
        <f t="shared" si="25"/>
        <v>0</v>
      </c>
      <c r="V137" s="2">
        <f t="shared" si="26"/>
        <v>0</v>
      </c>
      <c r="W137" s="2">
        <f t="shared" si="27"/>
        <v>0</v>
      </c>
      <c r="X137" s="2">
        <f t="shared" si="28"/>
        <v>0</v>
      </c>
      <c r="Y137" s="2">
        <f t="shared" si="29"/>
        <v>0</v>
      </c>
      <c r="Z137" s="2">
        <f t="shared" si="30"/>
        <v>0</v>
      </c>
      <c r="AA137" s="2">
        <f t="shared" si="31"/>
        <v>0</v>
      </c>
      <c r="AB137" s="2">
        <f t="shared" si="32"/>
        <v>0</v>
      </c>
      <c r="AC137" s="2"/>
      <c r="AD137" s="2">
        <f t="shared" si="33"/>
        <v>1</v>
      </c>
      <c r="AE137" s="2">
        <f t="shared" si="34"/>
        <v>0</v>
      </c>
      <c r="AF137" s="2">
        <f t="shared" si="35"/>
        <v>1</v>
      </c>
      <c r="AG137" s="2">
        <f t="shared" si="36"/>
        <v>0</v>
      </c>
      <c r="AH137" s="2">
        <f t="shared" si="37"/>
        <v>1</v>
      </c>
      <c r="AI137" s="2">
        <f t="shared" si="38"/>
        <v>0</v>
      </c>
    </row>
    <row r="138" spans="1:16384" s="3" customFormat="1" ht="14.25" customHeight="1" x14ac:dyDescent="0.25">
      <c r="A138" s="29">
        <v>0</v>
      </c>
      <c r="B138" s="29">
        <v>2</v>
      </c>
      <c r="C138" s="29">
        <v>1</v>
      </c>
      <c r="D138" s="30" t="s">
        <v>550</v>
      </c>
      <c r="E138" s="30" t="s">
        <v>211</v>
      </c>
      <c r="F138" s="30" t="s">
        <v>551</v>
      </c>
      <c r="G138" s="30" t="s">
        <v>552</v>
      </c>
      <c r="H138" s="30" t="s">
        <v>165</v>
      </c>
      <c r="I138" s="29" t="s">
        <v>33</v>
      </c>
      <c r="J138" s="29">
        <v>99</v>
      </c>
      <c r="K138" s="29" t="s">
        <v>321</v>
      </c>
      <c r="L138" s="29">
        <v>8</v>
      </c>
      <c r="M138" s="30" t="s">
        <v>853</v>
      </c>
      <c r="N138" s="30" t="s">
        <v>880</v>
      </c>
      <c r="O138" s="31">
        <v>1</v>
      </c>
      <c r="P138" s="31">
        <v>1</v>
      </c>
      <c r="Q138" s="30"/>
      <c r="R138" s="2"/>
      <c r="S138" s="2">
        <f t="shared" si="23"/>
        <v>0</v>
      </c>
      <c r="T138" s="2">
        <f t="shared" si="24"/>
        <v>0</v>
      </c>
      <c r="U138" s="2">
        <f t="shared" si="25"/>
        <v>0</v>
      </c>
      <c r="V138" s="2">
        <f t="shared" si="26"/>
        <v>0</v>
      </c>
      <c r="W138" s="2">
        <f t="shared" si="27"/>
        <v>0</v>
      </c>
      <c r="X138" s="2">
        <f t="shared" si="28"/>
        <v>0</v>
      </c>
      <c r="Y138" s="2">
        <f t="shared" si="29"/>
        <v>0</v>
      </c>
      <c r="Z138" s="2">
        <f t="shared" si="30"/>
        <v>0</v>
      </c>
      <c r="AA138" s="2">
        <f t="shared" si="31"/>
        <v>0</v>
      </c>
      <c r="AB138" s="2">
        <f t="shared" si="32"/>
        <v>0</v>
      </c>
      <c r="AC138" s="2"/>
      <c r="AD138" s="2">
        <f t="shared" si="33"/>
        <v>1</v>
      </c>
      <c r="AE138" s="2">
        <f t="shared" si="34"/>
        <v>0</v>
      </c>
      <c r="AF138" s="2">
        <f t="shared" si="35"/>
        <v>1</v>
      </c>
      <c r="AG138" s="2">
        <f t="shared" si="36"/>
        <v>0</v>
      </c>
      <c r="AH138" s="2">
        <f t="shared" si="37"/>
        <v>1</v>
      </c>
      <c r="AI138" s="2">
        <f t="shared" si="38"/>
        <v>0</v>
      </c>
    </row>
    <row r="139" spans="1:16384" s="3" customFormat="1" ht="14.25" customHeight="1" x14ac:dyDescent="0.25">
      <c r="A139" s="29">
        <v>0</v>
      </c>
      <c r="B139" s="29">
        <v>2</v>
      </c>
      <c r="C139" s="29">
        <v>1</v>
      </c>
      <c r="D139" s="30" t="s">
        <v>225</v>
      </c>
      <c r="E139" s="30" t="s">
        <v>44</v>
      </c>
      <c r="F139" s="30" t="s">
        <v>815</v>
      </c>
      <c r="G139" s="30" t="s">
        <v>130</v>
      </c>
      <c r="H139" s="30" t="s">
        <v>165</v>
      </c>
      <c r="I139" s="29" t="s">
        <v>226</v>
      </c>
      <c r="J139" s="29">
        <v>10</v>
      </c>
      <c r="K139" s="29" t="s">
        <v>321</v>
      </c>
      <c r="L139" s="29">
        <v>5</v>
      </c>
      <c r="M139" s="30" t="s">
        <v>269</v>
      </c>
      <c r="N139" s="30" t="s">
        <v>880</v>
      </c>
      <c r="O139" s="31">
        <v>1</v>
      </c>
      <c r="P139" s="31">
        <v>1</v>
      </c>
      <c r="Q139" s="30"/>
      <c r="R139" s="2"/>
      <c r="S139" s="2">
        <f t="shared" si="23"/>
        <v>0</v>
      </c>
      <c r="T139" s="2">
        <f t="shared" si="24"/>
        <v>0</v>
      </c>
      <c r="U139" s="2">
        <f t="shared" si="25"/>
        <v>0</v>
      </c>
      <c r="V139" s="2">
        <f t="shared" si="26"/>
        <v>0</v>
      </c>
      <c r="W139" s="2">
        <f t="shared" si="27"/>
        <v>0</v>
      </c>
      <c r="X139" s="2">
        <f t="shared" si="28"/>
        <v>0</v>
      </c>
      <c r="Y139" s="2">
        <f t="shared" si="29"/>
        <v>0</v>
      </c>
      <c r="Z139" s="2">
        <f t="shared" si="30"/>
        <v>0</v>
      </c>
      <c r="AA139" s="2">
        <f t="shared" si="31"/>
        <v>0</v>
      </c>
      <c r="AB139" s="2">
        <f t="shared" si="32"/>
        <v>1</v>
      </c>
      <c r="AC139" s="2"/>
      <c r="AD139" s="2">
        <f t="shared" si="33"/>
        <v>1</v>
      </c>
      <c r="AE139" s="2">
        <f t="shared" si="34"/>
        <v>0</v>
      </c>
      <c r="AF139" s="2">
        <f t="shared" si="35"/>
        <v>1</v>
      </c>
      <c r="AG139" s="2">
        <f t="shared" si="36"/>
        <v>0</v>
      </c>
      <c r="AH139" s="2">
        <f t="shared" si="37"/>
        <v>1</v>
      </c>
      <c r="AI139" s="2">
        <f t="shared" si="38"/>
        <v>0</v>
      </c>
    </row>
    <row r="140" spans="1:16384" s="3" customFormat="1" ht="14.25" customHeight="1" x14ac:dyDescent="0.25">
      <c r="A140" s="29">
        <v>0</v>
      </c>
      <c r="B140" s="29">
        <v>2</v>
      </c>
      <c r="C140" s="29">
        <v>1</v>
      </c>
      <c r="D140" s="30" t="s">
        <v>352</v>
      </c>
      <c r="E140" s="30" t="s">
        <v>468</v>
      </c>
      <c r="F140" s="30" t="s">
        <v>353</v>
      </c>
      <c r="G140" s="30" t="s">
        <v>243</v>
      </c>
      <c r="H140" s="30" t="s">
        <v>165</v>
      </c>
      <c r="I140" s="29" t="s">
        <v>486</v>
      </c>
      <c r="J140" s="29">
        <v>9</v>
      </c>
      <c r="K140" s="29" t="s">
        <v>320</v>
      </c>
      <c r="L140" s="29">
        <v>11</v>
      </c>
      <c r="M140" s="30" t="s">
        <v>854</v>
      </c>
      <c r="N140" s="30" t="s">
        <v>882</v>
      </c>
      <c r="O140" s="31">
        <v>1</v>
      </c>
      <c r="P140" s="31"/>
      <c r="Q140" s="30"/>
      <c r="R140" s="2"/>
      <c r="S140" s="2">
        <f t="shared" si="23"/>
        <v>0</v>
      </c>
      <c r="T140" s="2">
        <f t="shared" si="24"/>
        <v>0</v>
      </c>
      <c r="U140" s="2">
        <f t="shared" si="25"/>
        <v>0</v>
      </c>
      <c r="V140" s="2">
        <f t="shared" si="26"/>
        <v>0</v>
      </c>
      <c r="W140" s="2">
        <f t="shared" si="27"/>
        <v>0</v>
      </c>
      <c r="X140" s="2">
        <f t="shared" si="28"/>
        <v>0</v>
      </c>
      <c r="Y140" s="2">
        <f t="shared" si="29"/>
        <v>0</v>
      </c>
      <c r="Z140" s="2">
        <f t="shared" si="30"/>
        <v>0</v>
      </c>
      <c r="AA140" s="2">
        <f t="shared" si="31"/>
        <v>1</v>
      </c>
      <c r="AB140" s="2">
        <f t="shared" si="32"/>
        <v>0</v>
      </c>
      <c r="AC140" s="2"/>
      <c r="AD140" s="2">
        <f t="shared" si="33"/>
        <v>0</v>
      </c>
      <c r="AE140" s="2">
        <f t="shared" si="34"/>
        <v>1</v>
      </c>
      <c r="AF140" s="2">
        <f t="shared" si="35"/>
        <v>0</v>
      </c>
      <c r="AG140" s="2">
        <f t="shared" si="36"/>
        <v>1</v>
      </c>
      <c r="AH140" s="2">
        <f t="shared" si="37"/>
        <v>0</v>
      </c>
      <c r="AI140" s="2">
        <f t="shared" si="38"/>
        <v>1</v>
      </c>
    </row>
    <row r="141" spans="1:16384" s="3" customFormat="1" ht="14.25" customHeight="1" x14ac:dyDescent="0.25">
      <c r="A141" s="29">
        <v>1</v>
      </c>
      <c r="B141" s="29">
        <v>2</v>
      </c>
      <c r="C141" s="29">
        <v>1</v>
      </c>
      <c r="D141" s="30" t="s">
        <v>352</v>
      </c>
      <c r="E141" s="30" t="s">
        <v>468</v>
      </c>
      <c r="F141" s="30" t="s">
        <v>578</v>
      </c>
      <c r="G141" s="30" t="s">
        <v>553</v>
      </c>
      <c r="H141" s="30" t="s">
        <v>165</v>
      </c>
      <c r="I141" s="29" t="s">
        <v>554</v>
      </c>
      <c r="J141" s="29">
        <v>99</v>
      </c>
      <c r="K141" s="29" t="s">
        <v>320</v>
      </c>
      <c r="L141" s="29">
        <v>11</v>
      </c>
      <c r="M141" s="30" t="s">
        <v>855</v>
      </c>
      <c r="N141" s="30" t="s">
        <v>882</v>
      </c>
      <c r="O141" s="31">
        <v>1</v>
      </c>
      <c r="P141" s="31"/>
      <c r="Q141" s="30"/>
      <c r="R141" s="2"/>
      <c r="S141" s="2">
        <f t="shared" si="23"/>
        <v>0</v>
      </c>
      <c r="T141" s="2">
        <f t="shared" si="24"/>
        <v>0</v>
      </c>
      <c r="U141" s="2">
        <f t="shared" si="25"/>
        <v>0</v>
      </c>
      <c r="V141" s="2">
        <f t="shared" si="26"/>
        <v>0</v>
      </c>
      <c r="W141" s="2">
        <f t="shared" si="27"/>
        <v>0</v>
      </c>
      <c r="X141" s="2">
        <f t="shared" si="28"/>
        <v>0</v>
      </c>
      <c r="Y141" s="2">
        <f t="shared" si="29"/>
        <v>0</v>
      </c>
      <c r="Z141" s="2">
        <f t="shared" si="30"/>
        <v>0</v>
      </c>
      <c r="AA141" s="2">
        <f t="shared" si="31"/>
        <v>0</v>
      </c>
      <c r="AB141" s="2">
        <f t="shared" si="32"/>
        <v>0</v>
      </c>
      <c r="AC141" s="2"/>
      <c r="AD141" s="2">
        <f t="shared" si="33"/>
        <v>0</v>
      </c>
      <c r="AE141" s="2">
        <f t="shared" si="34"/>
        <v>1</v>
      </c>
      <c r="AF141" s="2">
        <f t="shared" si="35"/>
        <v>0</v>
      </c>
      <c r="AG141" s="2">
        <f t="shared" si="36"/>
        <v>0</v>
      </c>
      <c r="AH141" s="2">
        <f t="shared" si="37"/>
        <v>0</v>
      </c>
      <c r="AI141" s="2">
        <f t="shared" si="38"/>
        <v>0</v>
      </c>
    </row>
    <row r="142" spans="1:16384" s="3" customFormat="1" ht="14.25" customHeight="1" x14ac:dyDescent="0.25">
      <c r="A142" s="29">
        <v>1</v>
      </c>
      <c r="B142" s="29">
        <v>2</v>
      </c>
      <c r="C142" s="29">
        <v>1</v>
      </c>
      <c r="D142" s="30" t="s">
        <v>352</v>
      </c>
      <c r="E142" s="30" t="s">
        <v>468</v>
      </c>
      <c r="F142" s="30" t="s">
        <v>989</v>
      </c>
      <c r="G142" s="30" t="s">
        <v>125</v>
      </c>
      <c r="H142" s="30" t="s">
        <v>165</v>
      </c>
      <c r="I142" s="29" t="s">
        <v>33</v>
      </c>
      <c r="J142" s="29">
        <v>99</v>
      </c>
      <c r="K142" s="29" t="s">
        <v>320</v>
      </c>
      <c r="L142" s="29">
        <v>11</v>
      </c>
      <c r="M142" s="30" t="s">
        <v>855</v>
      </c>
      <c r="N142" s="30" t="s">
        <v>882</v>
      </c>
      <c r="O142" s="31">
        <v>1</v>
      </c>
      <c r="P142" s="31"/>
      <c r="Q142" s="30"/>
      <c r="R142" s="2"/>
      <c r="S142" s="2">
        <f t="shared" ref="S142" si="71">IF(J142=$S$7,1,0)</f>
        <v>0</v>
      </c>
      <c r="T142" s="2">
        <f t="shared" ref="T142" si="72">IF(J142=$T$7,1,0)</f>
        <v>0</v>
      </c>
      <c r="U142" s="2">
        <f t="shared" ref="U142" si="73">IF(J142=$U$7,1,0)</f>
        <v>0</v>
      </c>
      <c r="V142" s="2">
        <f t="shared" ref="V142" si="74">IF(J142=$V$7,1,0)</f>
        <v>0</v>
      </c>
      <c r="W142" s="2">
        <f t="shared" ref="W142" si="75">IF(J142=$W$7,1,0)</f>
        <v>0</v>
      </c>
      <c r="X142" s="2">
        <f t="shared" ref="X142" si="76">IF(J142=$X$7,1,0)</f>
        <v>0</v>
      </c>
      <c r="Y142" s="2">
        <f t="shared" ref="Y142" si="77">IF(J142=$Y$7,1,0)</f>
        <v>0</v>
      </c>
      <c r="Z142" s="2">
        <f t="shared" ref="Z142" si="78">IF(J142=$Z$7,1,0)</f>
        <v>0</v>
      </c>
      <c r="AA142" s="2">
        <f t="shared" ref="AA142" si="79">IF(J142=$AA$7,1,0)</f>
        <v>0</v>
      </c>
      <c r="AB142" s="2">
        <f t="shared" ref="AB142" si="80">IF(J142=$AB$7,1,0)</f>
        <v>0</v>
      </c>
      <c r="AC142" s="2"/>
      <c r="AD142" s="2">
        <f t="shared" ref="AD142" si="81">+O142*P142</f>
        <v>0</v>
      </c>
      <c r="AE142" s="2">
        <f t="shared" ref="AE142" si="82">O142*(1-P142)</f>
        <v>1</v>
      </c>
      <c r="AF142" s="2">
        <f t="shared" ref="AF142" si="83">+O142*P142*(1-A142)</f>
        <v>0</v>
      </c>
      <c r="AG142" s="2">
        <f t="shared" ref="AG142" si="84">O142*(1-P142)*(1-A142)</f>
        <v>0</v>
      </c>
      <c r="AH142" s="2">
        <f t="shared" ref="AH142" si="85">+P142*(1-A142)</f>
        <v>0</v>
      </c>
      <c r="AI142" s="2">
        <f t="shared" ref="AI142" si="86">+(1-A142)*(1-P142)</f>
        <v>0</v>
      </c>
    </row>
    <row r="143" spans="1:16384" s="3" customFormat="1" ht="14.25" customHeight="1" x14ac:dyDescent="0.25">
      <c r="A143" s="29">
        <v>0</v>
      </c>
      <c r="B143" s="29">
        <v>2</v>
      </c>
      <c r="C143" s="29">
        <v>1</v>
      </c>
      <c r="D143" s="30" t="s">
        <v>247</v>
      </c>
      <c r="E143" s="30" t="s">
        <v>35</v>
      </c>
      <c r="F143" s="30" t="s">
        <v>209</v>
      </c>
      <c r="G143" s="30" t="s">
        <v>93</v>
      </c>
      <c r="H143" s="30" t="s">
        <v>165</v>
      </c>
      <c r="I143" s="29" t="s">
        <v>210</v>
      </c>
      <c r="J143" s="29">
        <v>8</v>
      </c>
      <c r="K143" s="29" t="s">
        <v>319</v>
      </c>
      <c r="L143" s="29" t="s">
        <v>318</v>
      </c>
      <c r="M143" s="30" t="s">
        <v>269</v>
      </c>
      <c r="N143" s="30" t="s">
        <v>880</v>
      </c>
      <c r="O143" s="31">
        <v>1</v>
      </c>
      <c r="P143" s="31">
        <v>1</v>
      </c>
      <c r="Q143" s="30"/>
      <c r="R143" s="2"/>
      <c r="S143" s="2">
        <f t="shared" ref="S143:S205" si="87">IF(J143=$S$7,1,0)</f>
        <v>0</v>
      </c>
      <c r="T143" s="2">
        <f t="shared" ref="T143:T205" si="88">IF(J143=$T$7,1,0)</f>
        <v>0</v>
      </c>
      <c r="U143" s="2">
        <f t="shared" ref="U143:U205" si="89">IF(J143=$U$7,1,0)</f>
        <v>0</v>
      </c>
      <c r="V143" s="2">
        <f t="shared" ref="V143:V205" si="90">IF(J143=$V$7,1,0)</f>
        <v>0</v>
      </c>
      <c r="W143" s="2">
        <f t="shared" ref="W143:W205" si="91">IF(J143=$W$7,1,0)</f>
        <v>0</v>
      </c>
      <c r="X143" s="2">
        <f t="shared" ref="X143:X205" si="92">IF(J143=$X$7,1,0)</f>
        <v>0</v>
      </c>
      <c r="Y143" s="2">
        <f t="shared" ref="Y143:Y205" si="93">IF(J143=$Y$7,1,0)</f>
        <v>0</v>
      </c>
      <c r="Z143" s="2">
        <f t="shared" ref="Z143:Z205" si="94">IF(J143=$Z$7,1,0)</f>
        <v>1</v>
      </c>
      <c r="AA143" s="2">
        <f t="shared" ref="AA143:AA205" si="95">IF(J143=$AA$7,1,0)</f>
        <v>0</v>
      </c>
      <c r="AB143" s="2">
        <f t="shared" ref="AB143:AB205" si="96">IF(J143=$AB$7,1,0)</f>
        <v>0</v>
      </c>
      <c r="AC143" s="2"/>
      <c r="AD143" s="2">
        <f t="shared" ref="AD143:AD205" si="97">+O143*P143</f>
        <v>1</v>
      </c>
      <c r="AE143" s="2">
        <f t="shared" ref="AE143:AE205" si="98">O143*(1-P143)</f>
        <v>0</v>
      </c>
      <c r="AF143" s="2">
        <f t="shared" ref="AF143:AF205" si="99">+O143*P143*(1-A143)</f>
        <v>1</v>
      </c>
      <c r="AG143" s="2">
        <f t="shared" ref="AG143:AG205" si="100">O143*(1-P143)*(1-A143)</f>
        <v>0</v>
      </c>
      <c r="AH143" s="2">
        <f t="shared" ref="AH143:AH205" si="101">+P143*(1-A143)</f>
        <v>1</v>
      </c>
      <c r="AI143" s="2">
        <f t="shared" ref="AI143:AI205" si="102">+(1-A143)*(1-P143)</f>
        <v>0</v>
      </c>
    </row>
    <row r="144" spans="1:16384" s="3" customFormat="1" ht="14.25" customHeight="1" x14ac:dyDescent="0.25">
      <c r="A144" s="29">
        <v>0</v>
      </c>
      <c r="B144" s="29">
        <v>2</v>
      </c>
      <c r="C144" s="29">
        <v>1</v>
      </c>
      <c r="D144" s="30" t="s">
        <v>360</v>
      </c>
      <c r="E144" s="30" t="s">
        <v>468</v>
      </c>
      <c r="F144" s="30" t="s">
        <v>580</v>
      </c>
      <c r="G144" s="30" t="s">
        <v>91</v>
      </c>
      <c r="H144" s="30" t="s">
        <v>165</v>
      </c>
      <c r="I144" s="29" t="s">
        <v>357</v>
      </c>
      <c r="J144" s="29">
        <v>1</v>
      </c>
      <c r="K144" s="29" t="s">
        <v>321</v>
      </c>
      <c r="L144" s="29" t="s">
        <v>325</v>
      </c>
      <c r="M144" s="30" t="s">
        <v>495</v>
      </c>
      <c r="N144" s="30" t="s">
        <v>880</v>
      </c>
      <c r="O144" s="31">
        <v>1</v>
      </c>
      <c r="P144" s="31">
        <v>1</v>
      </c>
      <c r="Q144" s="30"/>
      <c r="R144" s="2"/>
      <c r="S144" s="2">
        <f t="shared" si="87"/>
        <v>1</v>
      </c>
      <c r="T144" s="2">
        <f t="shared" si="88"/>
        <v>0</v>
      </c>
      <c r="U144" s="2">
        <f t="shared" si="89"/>
        <v>0</v>
      </c>
      <c r="V144" s="2">
        <f t="shared" si="90"/>
        <v>0</v>
      </c>
      <c r="W144" s="2">
        <f t="shared" si="91"/>
        <v>0</v>
      </c>
      <c r="X144" s="2">
        <f t="shared" si="92"/>
        <v>0</v>
      </c>
      <c r="Y144" s="2">
        <f t="shared" si="93"/>
        <v>0</v>
      </c>
      <c r="Z144" s="2">
        <f t="shared" si="94"/>
        <v>0</v>
      </c>
      <c r="AA144" s="2">
        <f t="shared" si="95"/>
        <v>0</v>
      </c>
      <c r="AB144" s="2">
        <f t="shared" si="96"/>
        <v>0</v>
      </c>
      <c r="AC144" s="2"/>
      <c r="AD144" s="2">
        <f t="shared" si="97"/>
        <v>1</v>
      </c>
      <c r="AE144" s="2">
        <f t="shared" si="98"/>
        <v>0</v>
      </c>
      <c r="AF144" s="2">
        <f t="shared" si="99"/>
        <v>1</v>
      </c>
      <c r="AG144" s="2">
        <f t="shared" si="100"/>
        <v>0</v>
      </c>
      <c r="AH144" s="2">
        <f t="shared" si="101"/>
        <v>1</v>
      </c>
      <c r="AI144" s="2">
        <f t="shared" si="102"/>
        <v>0</v>
      </c>
    </row>
    <row r="145" spans="1:35" ht="14.25" customHeight="1" x14ac:dyDescent="0.25">
      <c r="A145" s="29">
        <v>0</v>
      </c>
      <c r="B145" s="29">
        <v>2</v>
      </c>
      <c r="C145" s="29">
        <v>1</v>
      </c>
      <c r="D145" s="30" t="s">
        <v>55</v>
      </c>
      <c r="E145" s="30" t="s">
        <v>468</v>
      </c>
      <c r="F145" s="30" t="s">
        <v>110</v>
      </c>
      <c r="G145" s="30" t="s">
        <v>99</v>
      </c>
      <c r="H145" s="30" t="s">
        <v>165</v>
      </c>
      <c r="I145" s="29" t="s">
        <v>174</v>
      </c>
      <c r="J145" s="29">
        <v>3</v>
      </c>
      <c r="K145" s="29" t="s">
        <v>320</v>
      </c>
      <c r="L145" s="29" t="s">
        <v>325</v>
      </c>
      <c r="M145" s="30" t="s">
        <v>495</v>
      </c>
      <c r="N145" s="30" t="s">
        <v>880</v>
      </c>
      <c r="O145" s="31">
        <v>1</v>
      </c>
      <c r="P145" s="31">
        <v>1</v>
      </c>
      <c r="Q145" s="30"/>
      <c r="S145" s="2">
        <f t="shared" si="87"/>
        <v>0</v>
      </c>
      <c r="T145" s="2">
        <f t="shared" si="88"/>
        <v>0</v>
      </c>
      <c r="U145" s="2">
        <f t="shared" si="89"/>
        <v>1</v>
      </c>
      <c r="V145" s="2">
        <f t="shared" si="90"/>
        <v>0</v>
      </c>
      <c r="W145" s="2">
        <f t="shared" si="91"/>
        <v>0</v>
      </c>
      <c r="X145" s="2">
        <f t="shared" si="92"/>
        <v>0</v>
      </c>
      <c r="Y145" s="2">
        <f t="shared" si="93"/>
        <v>0</v>
      </c>
      <c r="Z145" s="2">
        <f t="shared" si="94"/>
        <v>0</v>
      </c>
      <c r="AA145" s="2">
        <f t="shared" si="95"/>
        <v>0</v>
      </c>
      <c r="AB145" s="2">
        <f t="shared" si="96"/>
        <v>0</v>
      </c>
      <c r="AD145" s="2">
        <f t="shared" si="97"/>
        <v>1</v>
      </c>
      <c r="AE145" s="2">
        <f t="shared" si="98"/>
        <v>0</v>
      </c>
      <c r="AF145" s="2">
        <f t="shared" si="99"/>
        <v>1</v>
      </c>
      <c r="AG145" s="2">
        <f t="shared" si="100"/>
        <v>0</v>
      </c>
      <c r="AH145" s="2">
        <f t="shared" si="101"/>
        <v>1</v>
      </c>
      <c r="AI145" s="2">
        <f t="shared" si="102"/>
        <v>0</v>
      </c>
    </row>
    <row r="146" spans="1:35" ht="14.25" customHeight="1" x14ac:dyDescent="0.25">
      <c r="A146" s="29">
        <v>1</v>
      </c>
      <c r="B146" s="29">
        <v>2</v>
      </c>
      <c r="C146" s="29">
        <v>1</v>
      </c>
      <c r="D146" s="30" t="s">
        <v>55</v>
      </c>
      <c r="E146" s="30" t="s">
        <v>468</v>
      </c>
      <c r="F146" s="30" t="s">
        <v>990</v>
      </c>
      <c r="G146" s="30" t="s">
        <v>991</v>
      </c>
      <c r="H146" s="30" t="s">
        <v>165</v>
      </c>
      <c r="I146" s="29" t="s">
        <v>33</v>
      </c>
      <c r="J146" s="29"/>
      <c r="K146" s="29" t="s">
        <v>320</v>
      </c>
      <c r="L146" s="29" t="s">
        <v>325</v>
      </c>
      <c r="M146" s="30" t="s">
        <v>495</v>
      </c>
      <c r="N146" s="30" t="s">
        <v>880</v>
      </c>
      <c r="O146" s="31">
        <v>1</v>
      </c>
      <c r="P146" s="31">
        <v>1</v>
      </c>
      <c r="Q146" s="30"/>
      <c r="S146" s="2">
        <f t="shared" ref="S146" si="103">IF(J146=$S$7,1,0)</f>
        <v>0</v>
      </c>
      <c r="T146" s="2">
        <f t="shared" ref="T146" si="104">IF(J146=$T$7,1,0)</f>
        <v>0</v>
      </c>
      <c r="U146" s="2">
        <f t="shared" ref="U146" si="105">IF(J146=$U$7,1,0)</f>
        <v>0</v>
      </c>
      <c r="V146" s="2">
        <f t="shared" ref="V146" si="106">IF(J146=$V$7,1,0)</f>
        <v>0</v>
      </c>
      <c r="W146" s="2">
        <f t="shared" ref="W146" si="107">IF(J146=$W$7,1,0)</f>
        <v>0</v>
      </c>
      <c r="X146" s="2">
        <f t="shared" ref="X146" si="108">IF(J146=$X$7,1,0)</f>
        <v>0</v>
      </c>
      <c r="Y146" s="2">
        <f t="shared" ref="Y146" si="109">IF(J146=$Y$7,1,0)</f>
        <v>0</v>
      </c>
      <c r="Z146" s="2">
        <f t="shared" ref="Z146" si="110">IF(J146=$Z$7,1,0)</f>
        <v>0</v>
      </c>
      <c r="AA146" s="2">
        <f t="shared" ref="AA146" si="111">IF(J146=$AA$7,1,0)</f>
        <v>0</v>
      </c>
      <c r="AB146" s="2">
        <f t="shared" ref="AB146" si="112">IF(J146=$AB$7,1,0)</f>
        <v>0</v>
      </c>
      <c r="AD146" s="2">
        <f t="shared" ref="AD146" si="113">+O146*P146</f>
        <v>1</v>
      </c>
      <c r="AE146" s="2">
        <f t="shared" ref="AE146" si="114">O146*(1-P146)</f>
        <v>0</v>
      </c>
      <c r="AF146" s="2">
        <f t="shared" ref="AF146" si="115">+O146*P146*(1-A146)</f>
        <v>0</v>
      </c>
      <c r="AG146" s="2">
        <f t="shared" ref="AG146" si="116">O146*(1-P146)*(1-A146)</f>
        <v>0</v>
      </c>
      <c r="AH146" s="2">
        <f t="shared" ref="AH146" si="117">+P146*(1-A146)</f>
        <v>0</v>
      </c>
      <c r="AI146" s="2">
        <f t="shared" ref="AI146" si="118">+(1-A146)*(1-P146)</f>
        <v>0</v>
      </c>
    </row>
    <row r="147" spans="1:35" ht="14.25" customHeight="1" x14ac:dyDescent="0.25">
      <c r="A147" s="29">
        <v>0</v>
      </c>
      <c r="B147" s="29">
        <v>2</v>
      </c>
      <c r="C147" s="29">
        <v>1</v>
      </c>
      <c r="D147" s="30" t="s">
        <v>47</v>
      </c>
      <c r="E147" s="30" t="s">
        <v>82</v>
      </c>
      <c r="F147" s="30" t="s">
        <v>819</v>
      </c>
      <c r="G147" s="30" t="s">
        <v>93</v>
      </c>
      <c r="H147" s="30" t="s">
        <v>165</v>
      </c>
      <c r="I147" s="29" t="s">
        <v>167</v>
      </c>
      <c r="J147" s="29">
        <v>8</v>
      </c>
      <c r="K147" s="29" t="s">
        <v>320</v>
      </c>
      <c r="L147" s="29" t="s">
        <v>318</v>
      </c>
      <c r="M147" s="30" t="s">
        <v>269</v>
      </c>
      <c r="N147" s="30" t="s">
        <v>894</v>
      </c>
      <c r="O147" s="31">
        <v>1</v>
      </c>
      <c r="P147" s="31"/>
      <c r="Q147" s="30"/>
      <c r="S147" s="2">
        <f t="shared" si="87"/>
        <v>0</v>
      </c>
      <c r="T147" s="2">
        <f t="shared" si="88"/>
        <v>0</v>
      </c>
      <c r="U147" s="2">
        <f t="shared" si="89"/>
        <v>0</v>
      </c>
      <c r="V147" s="2">
        <f t="shared" si="90"/>
        <v>0</v>
      </c>
      <c r="W147" s="2">
        <f t="shared" si="91"/>
        <v>0</v>
      </c>
      <c r="X147" s="2">
        <f t="shared" si="92"/>
        <v>0</v>
      </c>
      <c r="Y147" s="2">
        <f t="shared" si="93"/>
        <v>0</v>
      </c>
      <c r="Z147" s="2">
        <f t="shared" si="94"/>
        <v>1</v>
      </c>
      <c r="AA147" s="2">
        <f t="shared" si="95"/>
        <v>0</v>
      </c>
      <c r="AB147" s="2">
        <f t="shared" si="96"/>
        <v>0</v>
      </c>
      <c r="AD147" s="2">
        <f t="shared" si="97"/>
        <v>0</v>
      </c>
      <c r="AE147" s="2">
        <f t="shared" si="98"/>
        <v>1</v>
      </c>
      <c r="AF147" s="2">
        <f t="shared" si="99"/>
        <v>0</v>
      </c>
      <c r="AG147" s="2">
        <f t="shared" si="100"/>
        <v>1</v>
      </c>
      <c r="AH147" s="2">
        <f t="shared" si="101"/>
        <v>0</v>
      </c>
      <c r="AI147" s="2">
        <f t="shared" si="102"/>
        <v>1</v>
      </c>
    </row>
    <row r="148" spans="1:35" ht="14.25" customHeight="1" x14ac:dyDescent="0.25">
      <c r="A148" s="29">
        <v>1</v>
      </c>
      <c r="B148" s="29">
        <v>2</v>
      </c>
      <c r="C148" s="29">
        <v>1</v>
      </c>
      <c r="D148" s="30" t="s">
        <v>47</v>
      </c>
      <c r="E148" s="30" t="s">
        <v>82</v>
      </c>
      <c r="F148" s="30" t="s">
        <v>98</v>
      </c>
      <c r="G148" s="30" t="s">
        <v>99</v>
      </c>
      <c r="H148" s="30" t="s">
        <v>165</v>
      </c>
      <c r="I148" s="29" t="s">
        <v>490</v>
      </c>
      <c r="J148" s="29">
        <v>3</v>
      </c>
      <c r="K148" s="29" t="s">
        <v>320</v>
      </c>
      <c r="L148" s="29" t="s">
        <v>318</v>
      </c>
      <c r="M148" s="30" t="s">
        <v>269</v>
      </c>
      <c r="N148" s="30" t="s">
        <v>894</v>
      </c>
      <c r="O148" s="31">
        <v>1</v>
      </c>
      <c r="P148" s="31"/>
      <c r="Q148" s="30"/>
      <c r="S148" s="2">
        <f t="shared" si="87"/>
        <v>0</v>
      </c>
      <c r="T148" s="2">
        <f t="shared" si="88"/>
        <v>0</v>
      </c>
      <c r="U148" s="2">
        <f t="shared" si="89"/>
        <v>1</v>
      </c>
      <c r="V148" s="2">
        <f t="shared" si="90"/>
        <v>0</v>
      </c>
      <c r="W148" s="2">
        <f t="shared" si="91"/>
        <v>0</v>
      </c>
      <c r="X148" s="2">
        <f t="shared" si="92"/>
        <v>0</v>
      </c>
      <c r="Y148" s="2">
        <f t="shared" si="93"/>
        <v>0</v>
      </c>
      <c r="Z148" s="2">
        <f t="shared" si="94"/>
        <v>0</v>
      </c>
      <c r="AA148" s="2">
        <f t="shared" si="95"/>
        <v>0</v>
      </c>
      <c r="AB148" s="2">
        <f t="shared" si="96"/>
        <v>0</v>
      </c>
      <c r="AD148" s="2">
        <f t="shared" si="97"/>
        <v>0</v>
      </c>
      <c r="AE148" s="2">
        <f t="shared" si="98"/>
        <v>1</v>
      </c>
      <c r="AF148" s="2">
        <f t="shared" si="99"/>
        <v>0</v>
      </c>
      <c r="AG148" s="2">
        <f t="shared" si="100"/>
        <v>0</v>
      </c>
      <c r="AH148" s="2">
        <f t="shared" si="101"/>
        <v>0</v>
      </c>
      <c r="AI148" s="2">
        <f t="shared" si="102"/>
        <v>0</v>
      </c>
    </row>
    <row r="149" spans="1:35" ht="14.25" customHeight="1" x14ac:dyDescent="0.25">
      <c r="A149" s="29">
        <v>0</v>
      </c>
      <c r="B149" s="29">
        <v>2</v>
      </c>
      <c r="C149" s="29">
        <v>1</v>
      </c>
      <c r="D149" s="30" t="s">
        <v>902</v>
      </c>
      <c r="E149" s="30" t="s">
        <v>35</v>
      </c>
      <c r="F149" s="30" t="s">
        <v>903</v>
      </c>
      <c r="G149" s="30" t="s">
        <v>132</v>
      </c>
      <c r="H149" s="30" t="s">
        <v>165</v>
      </c>
      <c r="I149" s="29" t="s">
        <v>904</v>
      </c>
      <c r="J149" s="29">
        <v>99</v>
      </c>
      <c r="K149" s="29" t="s">
        <v>376</v>
      </c>
      <c r="L149" s="29"/>
      <c r="M149" s="30"/>
      <c r="N149" s="30" t="s">
        <v>880</v>
      </c>
      <c r="O149" s="31">
        <v>1</v>
      </c>
      <c r="P149" s="31">
        <v>1</v>
      </c>
      <c r="Q149" s="30"/>
      <c r="S149" s="2">
        <f t="shared" si="87"/>
        <v>0</v>
      </c>
      <c r="T149" s="2">
        <f t="shared" si="88"/>
        <v>0</v>
      </c>
      <c r="U149" s="2">
        <f t="shared" si="89"/>
        <v>0</v>
      </c>
      <c r="V149" s="2">
        <f t="shared" si="90"/>
        <v>0</v>
      </c>
      <c r="W149" s="2">
        <f t="shared" si="91"/>
        <v>0</v>
      </c>
      <c r="X149" s="2">
        <f t="shared" si="92"/>
        <v>0</v>
      </c>
      <c r="Y149" s="2">
        <f t="shared" si="93"/>
        <v>0</v>
      </c>
      <c r="Z149" s="2">
        <f t="shared" si="94"/>
        <v>0</v>
      </c>
      <c r="AA149" s="2">
        <f t="shared" si="95"/>
        <v>0</v>
      </c>
      <c r="AB149" s="2">
        <f t="shared" si="96"/>
        <v>0</v>
      </c>
      <c r="AD149" s="2">
        <f t="shared" si="97"/>
        <v>1</v>
      </c>
      <c r="AE149" s="2">
        <f t="shared" si="98"/>
        <v>0</v>
      </c>
      <c r="AF149" s="2">
        <f t="shared" si="99"/>
        <v>1</v>
      </c>
      <c r="AG149" s="2">
        <f t="shared" si="100"/>
        <v>0</v>
      </c>
      <c r="AH149" s="2">
        <f t="shared" si="101"/>
        <v>1</v>
      </c>
      <c r="AI149" s="2">
        <f t="shared" si="102"/>
        <v>0</v>
      </c>
    </row>
    <row r="150" spans="1:35" ht="14.25" customHeight="1" x14ac:dyDescent="0.25">
      <c r="A150" s="29">
        <v>0</v>
      </c>
      <c r="B150" s="29">
        <v>2</v>
      </c>
      <c r="C150" s="29">
        <v>1</v>
      </c>
      <c r="D150" s="30" t="s">
        <v>453</v>
      </c>
      <c r="E150" s="30" t="s">
        <v>454</v>
      </c>
      <c r="F150" s="30" t="s">
        <v>455</v>
      </c>
      <c r="G150" s="30" t="s">
        <v>456</v>
      </c>
      <c r="H150" s="30" t="s">
        <v>165</v>
      </c>
      <c r="I150" s="29" t="s">
        <v>457</v>
      </c>
      <c r="J150" s="29">
        <v>99</v>
      </c>
      <c r="K150" s="29" t="s">
        <v>318</v>
      </c>
      <c r="L150" s="29" t="s">
        <v>321</v>
      </c>
      <c r="M150" s="30" t="s">
        <v>269</v>
      </c>
      <c r="N150" s="30" t="s">
        <v>880</v>
      </c>
      <c r="O150" s="31">
        <v>1</v>
      </c>
      <c r="P150" s="31">
        <v>1</v>
      </c>
      <c r="Q150" s="30"/>
      <c r="S150" s="2">
        <f t="shared" si="87"/>
        <v>0</v>
      </c>
      <c r="T150" s="2">
        <f t="shared" si="88"/>
        <v>0</v>
      </c>
      <c r="U150" s="2">
        <f t="shared" si="89"/>
        <v>0</v>
      </c>
      <c r="V150" s="2">
        <f t="shared" si="90"/>
        <v>0</v>
      </c>
      <c r="W150" s="2">
        <f t="shared" si="91"/>
        <v>0</v>
      </c>
      <c r="X150" s="2">
        <f t="shared" si="92"/>
        <v>0</v>
      </c>
      <c r="Y150" s="2">
        <f t="shared" si="93"/>
        <v>0</v>
      </c>
      <c r="Z150" s="2">
        <f t="shared" si="94"/>
        <v>0</v>
      </c>
      <c r="AA150" s="2">
        <f t="shared" si="95"/>
        <v>0</v>
      </c>
      <c r="AB150" s="2">
        <f t="shared" si="96"/>
        <v>0</v>
      </c>
      <c r="AD150" s="2">
        <f t="shared" si="97"/>
        <v>1</v>
      </c>
      <c r="AE150" s="2">
        <f t="shared" si="98"/>
        <v>0</v>
      </c>
      <c r="AF150" s="2">
        <f t="shared" si="99"/>
        <v>1</v>
      </c>
      <c r="AG150" s="2">
        <f t="shared" si="100"/>
        <v>0</v>
      </c>
      <c r="AH150" s="2">
        <f t="shared" si="101"/>
        <v>1</v>
      </c>
      <c r="AI150" s="2">
        <f t="shared" si="102"/>
        <v>0</v>
      </c>
    </row>
    <row r="151" spans="1:35" ht="14.25" customHeight="1" x14ac:dyDescent="0.25">
      <c r="A151" s="29">
        <v>0</v>
      </c>
      <c r="B151" s="29">
        <v>2</v>
      </c>
      <c r="C151" s="29">
        <v>1</v>
      </c>
      <c r="D151" s="30" t="s">
        <v>558</v>
      </c>
      <c r="E151" s="30" t="s">
        <v>35</v>
      </c>
      <c r="F151" s="30" t="s">
        <v>822</v>
      </c>
      <c r="G151" s="30" t="s">
        <v>517</v>
      </c>
      <c r="H151" s="30" t="s">
        <v>165</v>
      </c>
      <c r="I151" s="29" t="s">
        <v>559</v>
      </c>
      <c r="J151" s="29">
        <v>99</v>
      </c>
      <c r="K151" s="29" t="s">
        <v>318</v>
      </c>
      <c r="L151" s="29">
        <v>5</v>
      </c>
      <c r="M151" s="30" t="s">
        <v>269</v>
      </c>
      <c r="N151" s="30" t="s">
        <v>882</v>
      </c>
      <c r="O151" s="31">
        <v>1</v>
      </c>
      <c r="P151" s="31"/>
      <c r="Q151" s="30" t="s">
        <v>936</v>
      </c>
      <c r="S151" s="2">
        <f t="shared" si="87"/>
        <v>0</v>
      </c>
      <c r="T151" s="2">
        <f t="shared" si="88"/>
        <v>0</v>
      </c>
      <c r="U151" s="2">
        <f t="shared" si="89"/>
        <v>0</v>
      </c>
      <c r="V151" s="2">
        <f t="shared" si="90"/>
        <v>0</v>
      </c>
      <c r="W151" s="2">
        <f t="shared" si="91"/>
        <v>0</v>
      </c>
      <c r="X151" s="2">
        <f t="shared" si="92"/>
        <v>0</v>
      </c>
      <c r="Y151" s="2">
        <f t="shared" si="93"/>
        <v>0</v>
      </c>
      <c r="Z151" s="2">
        <f t="shared" si="94"/>
        <v>0</v>
      </c>
      <c r="AA151" s="2">
        <f t="shared" si="95"/>
        <v>0</v>
      </c>
      <c r="AB151" s="2">
        <f t="shared" si="96"/>
        <v>0</v>
      </c>
      <c r="AD151" s="2">
        <f t="shared" si="97"/>
        <v>0</v>
      </c>
      <c r="AE151" s="2">
        <f t="shared" si="98"/>
        <v>1</v>
      </c>
      <c r="AF151" s="2">
        <f t="shared" si="99"/>
        <v>0</v>
      </c>
      <c r="AG151" s="2">
        <f t="shared" si="100"/>
        <v>1</v>
      </c>
      <c r="AH151" s="2">
        <f t="shared" si="101"/>
        <v>0</v>
      </c>
      <c r="AI151" s="2">
        <f t="shared" si="102"/>
        <v>1</v>
      </c>
    </row>
    <row r="152" spans="1:35" ht="14.25" customHeight="1" x14ac:dyDescent="0.25">
      <c r="A152" s="29">
        <v>0</v>
      </c>
      <c r="B152" s="29">
        <v>2</v>
      </c>
      <c r="C152" s="29">
        <v>1</v>
      </c>
      <c r="D152" s="30" t="s">
        <v>390</v>
      </c>
      <c r="E152" s="30" t="s">
        <v>37</v>
      </c>
      <c r="F152" s="30" t="s">
        <v>481</v>
      </c>
      <c r="G152" s="30" t="s">
        <v>130</v>
      </c>
      <c r="H152" s="30" t="s">
        <v>165</v>
      </c>
      <c r="I152" s="29" t="s">
        <v>391</v>
      </c>
      <c r="J152" s="29">
        <v>10</v>
      </c>
      <c r="K152" s="29" t="s">
        <v>319</v>
      </c>
      <c r="L152" s="29">
        <v>5</v>
      </c>
      <c r="M152" s="30" t="s">
        <v>269</v>
      </c>
      <c r="N152" s="30" t="s">
        <v>882</v>
      </c>
      <c r="O152" s="31">
        <v>1</v>
      </c>
      <c r="P152" s="31"/>
      <c r="Q152" s="30"/>
      <c r="S152" s="2">
        <f t="shared" si="87"/>
        <v>0</v>
      </c>
      <c r="T152" s="2">
        <f t="shared" si="88"/>
        <v>0</v>
      </c>
      <c r="U152" s="2">
        <f t="shared" si="89"/>
        <v>0</v>
      </c>
      <c r="V152" s="2">
        <f t="shared" si="90"/>
        <v>0</v>
      </c>
      <c r="W152" s="2">
        <f t="shared" si="91"/>
        <v>0</v>
      </c>
      <c r="X152" s="2">
        <f t="shared" si="92"/>
        <v>0</v>
      </c>
      <c r="Y152" s="2">
        <f t="shared" si="93"/>
        <v>0</v>
      </c>
      <c r="Z152" s="2">
        <f t="shared" si="94"/>
        <v>0</v>
      </c>
      <c r="AA152" s="2">
        <f t="shared" si="95"/>
        <v>0</v>
      </c>
      <c r="AB152" s="2">
        <f t="shared" si="96"/>
        <v>1</v>
      </c>
      <c r="AD152" s="2">
        <f t="shared" si="97"/>
        <v>0</v>
      </c>
      <c r="AE152" s="2">
        <f t="shared" si="98"/>
        <v>1</v>
      </c>
      <c r="AF152" s="2">
        <f t="shared" si="99"/>
        <v>0</v>
      </c>
      <c r="AG152" s="2">
        <f t="shared" si="100"/>
        <v>1</v>
      </c>
      <c r="AH152" s="2">
        <f t="shared" si="101"/>
        <v>0</v>
      </c>
      <c r="AI152" s="2">
        <f t="shared" si="102"/>
        <v>1</v>
      </c>
    </row>
    <row r="153" spans="1:35" ht="14.25" customHeight="1" x14ac:dyDescent="0.25">
      <c r="A153" s="29">
        <v>0</v>
      </c>
      <c r="B153" s="29">
        <v>2</v>
      </c>
      <c r="C153" s="29">
        <v>1</v>
      </c>
      <c r="D153" s="30" t="s">
        <v>248</v>
      </c>
      <c r="E153" s="30" t="s">
        <v>37</v>
      </c>
      <c r="F153" s="30" t="s">
        <v>232</v>
      </c>
      <c r="G153" s="30" t="s">
        <v>582</v>
      </c>
      <c r="H153" s="30" t="s">
        <v>165</v>
      </c>
      <c r="I153" s="29" t="s">
        <v>265</v>
      </c>
      <c r="J153" s="29">
        <v>99</v>
      </c>
      <c r="K153" s="29" t="s">
        <v>320</v>
      </c>
      <c r="L153" s="29">
        <v>5</v>
      </c>
      <c r="M153" s="30" t="s">
        <v>269</v>
      </c>
      <c r="N153" s="30" t="s">
        <v>882</v>
      </c>
      <c r="O153" s="31">
        <v>1</v>
      </c>
      <c r="P153" s="31"/>
      <c r="Q153" s="30"/>
      <c r="S153" s="2">
        <f t="shared" si="87"/>
        <v>0</v>
      </c>
      <c r="T153" s="2">
        <f t="shared" si="88"/>
        <v>0</v>
      </c>
      <c r="U153" s="2">
        <f t="shared" si="89"/>
        <v>0</v>
      </c>
      <c r="V153" s="2">
        <f t="shared" si="90"/>
        <v>0</v>
      </c>
      <c r="W153" s="2">
        <f t="shared" si="91"/>
        <v>0</v>
      </c>
      <c r="X153" s="2">
        <f t="shared" si="92"/>
        <v>0</v>
      </c>
      <c r="Y153" s="2">
        <f t="shared" si="93"/>
        <v>0</v>
      </c>
      <c r="Z153" s="2">
        <f t="shared" si="94"/>
        <v>0</v>
      </c>
      <c r="AA153" s="2">
        <f t="shared" si="95"/>
        <v>0</v>
      </c>
      <c r="AB153" s="2">
        <f t="shared" si="96"/>
        <v>0</v>
      </c>
      <c r="AD153" s="2">
        <f t="shared" si="97"/>
        <v>0</v>
      </c>
      <c r="AE153" s="2">
        <f t="shared" si="98"/>
        <v>1</v>
      </c>
      <c r="AF153" s="2">
        <f t="shared" si="99"/>
        <v>0</v>
      </c>
      <c r="AG153" s="2">
        <f t="shared" si="100"/>
        <v>1</v>
      </c>
      <c r="AH153" s="2">
        <f t="shared" si="101"/>
        <v>0</v>
      </c>
      <c r="AI153" s="2">
        <f t="shared" si="102"/>
        <v>1</v>
      </c>
    </row>
    <row r="154" spans="1:35" ht="14.25" customHeight="1" x14ac:dyDescent="0.25">
      <c r="A154" s="20">
        <v>0</v>
      </c>
      <c r="B154" s="20">
        <v>2</v>
      </c>
      <c r="C154" s="20">
        <v>2</v>
      </c>
      <c r="D154" s="21" t="s">
        <v>717</v>
      </c>
      <c r="E154" s="21" t="s">
        <v>808</v>
      </c>
      <c r="F154" s="21" t="s">
        <v>718</v>
      </c>
      <c r="G154" s="21" t="s">
        <v>96</v>
      </c>
      <c r="H154" s="21" t="s">
        <v>165</v>
      </c>
      <c r="I154" s="20" t="s">
        <v>719</v>
      </c>
      <c r="J154" s="20">
        <v>3</v>
      </c>
      <c r="K154" s="20" t="s">
        <v>319</v>
      </c>
      <c r="L154" s="20">
        <v>35</v>
      </c>
      <c r="M154" s="21" t="s">
        <v>870</v>
      </c>
      <c r="N154" s="21"/>
      <c r="O154" s="7"/>
      <c r="P154" s="7"/>
      <c r="Q154" s="21"/>
      <c r="S154" s="2">
        <f t="shared" si="87"/>
        <v>0</v>
      </c>
      <c r="T154" s="2">
        <f t="shared" si="88"/>
        <v>0</v>
      </c>
      <c r="U154" s="2">
        <f t="shared" si="89"/>
        <v>1</v>
      </c>
      <c r="V154" s="2">
        <f t="shared" si="90"/>
        <v>0</v>
      </c>
      <c r="W154" s="2">
        <f t="shared" si="91"/>
        <v>0</v>
      </c>
      <c r="X154" s="2">
        <f t="shared" si="92"/>
        <v>0</v>
      </c>
      <c r="Y154" s="2">
        <f t="shared" si="93"/>
        <v>0</v>
      </c>
      <c r="Z154" s="2">
        <f t="shared" si="94"/>
        <v>0</v>
      </c>
      <c r="AA154" s="2">
        <f t="shared" si="95"/>
        <v>0</v>
      </c>
      <c r="AB154" s="2">
        <f t="shared" si="96"/>
        <v>0</v>
      </c>
      <c r="AD154" s="2">
        <f t="shared" si="97"/>
        <v>0</v>
      </c>
      <c r="AE154" s="2">
        <f t="shared" si="98"/>
        <v>0</v>
      </c>
      <c r="AF154" s="2">
        <f t="shared" si="99"/>
        <v>0</v>
      </c>
      <c r="AG154" s="2">
        <f t="shared" si="100"/>
        <v>0</v>
      </c>
      <c r="AH154" s="2">
        <f t="shared" si="101"/>
        <v>0</v>
      </c>
      <c r="AI154" s="2">
        <f t="shared" si="102"/>
        <v>1</v>
      </c>
    </row>
    <row r="155" spans="1:35" ht="14.25" customHeight="1" x14ac:dyDescent="0.25">
      <c r="A155" s="29">
        <v>0</v>
      </c>
      <c r="B155" s="29">
        <v>2</v>
      </c>
      <c r="C155" s="29">
        <v>2</v>
      </c>
      <c r="D155" s="30" t="s">
        <v>501</v>
      </c>
      <c r="E155" s="30" t="s">
        <v>670</v>
      </c>
      <c r="F155" s="30" t="s">
        <v>502</v>
      </c>
      <c r="G155" s="30" t="s">
        <v>137</v>
      </c>
      <c r="H155" s="30" t="s">
        <v>165</v>
      </c>
      <c r="I155" s="29" t="s">
        <v>503</v>
      </c>
      <c r="J155" s="29">
        <v>1</v>
      </c>
      <c r="K155" s="29" t="s">
        <v>318</v>
      </c>
      <c r="L155" s="29">
        <v>45</v>
      </c>
      <c r="M155" s="30" t="s">
        <v>871</v>
      </c>
      <c r="N155" s="30" t="s">
        <v>882</v>
      </c>
      <c r="O155" s="31">
        <v>1</v>
      </c>
      <c r="P155" s="31"/>
      <c r="Q155" s="30"/>
      <c r="S155" s="2">
        <f t="shared" si="87"/>
        <v>1</v>
      </c>
      <c r="T155" s="2">
        <f t="shared" si="88"/>
        <v>0</v>
      </c>
      <c r="U155" s="2">
        <f t="shared" si="89"/>
        <v>0</v>
      </c>
      <c r="V155" s="2">
        <f t="shared" si="90"/>
        <v>0</v>
      </c>
      <c r="W155" s="2">
        <f t="shared" si="91"/>
        <v>0</v>
      </c>
      <c r="X155" s="2">
        <f t="shared" si="92"/>
        <v>0</v>
      </c>
      <c r="Y155" s="2">
        <f t="shared" si="93"/>
        <v>0</v>
      </c>
      <c r="Z155" s="2">
        <f t="shared" si="94"/>
        <v>0</v>
      </c>
      <c r="AA155" s="2">
        <f t="shared" si="95"/>
        <v>0</v>
      </c>
      <c r="AB155" s="2">
        <f t="shared" si="96"/>
        <v>0</v>
      </c>
      <c r="AD155" s="2">
        <f t="shared" si="97"/>
        <v>0</v>
      </c>
      <c r="AE155" s="2">
        <f t="shared" si="98"/>
        <v>1</v>
      </c>
      <c r="AF155" s="2">
        <f t="shared" si="99"/>
        <v>0</v>
      </c>
      <c r="AG155" s="2">
        <f t="shared" si="100"/>
        <v>1</v>
      </c>
      <c r="AH155" s="2">
        <f t="shared" si="101"/>
        <v>0</v>
      </c>
      <c r="AI155" s="2">
        <f t="shared" si="102"/>
        <v>1</v>
      </c>
    </row>
    <row r="156" spans="1:35" ht="14.25" customHeight="1" x14ac:dyDescent="0.25">
      <c r="A156" s="20">
        <v>0</v>
      </c>
      <c r="B156" s="20">
        <v>2</v>
      </c>
      <c r="C156" s="20">
        <v>2</v>
      </c>
      <c r="D156" s="21" t="s">
        <v>790</v>
      </c>
      <c r="E156" s="21"/>
      <c r="F156" s="21" t="s">
        <v>791</v>
      </c>
      <c r="G156" s="21" t="s">
        <v>309</v>
      </c>
      <c r="H156" s="21" t="s">
        <v>165</v>
      </c>
      <c r="I156" s="20" t="s">
        <v>33</v>
      </c>
      <c r="J156" s="20">
        <v>1</v>
      </c>
      <c r="K156" s="20" t="s">
        <v>376</v>
      </c>
      <c r="L156" s="20">
        <v>40</v>
      </c>
      <c r="M156" s="21" t="s">
        <v>792</v>
      </c>
      <c r="N156" s="21"/>
      <c r="O156" s="7"/>
      <c r="P156" s="7"/>
      <c r="Q156" s="21"/>
      <c r="S156" s="2">
        <f t="shared" si="87"/>
        <v>1</v>
      </c>
      <c r="T156" s="2">
        <f t="shared" si="88"/>
        <v>0</v>
      </c>
      <c r="U156" s="2">
        <f t="shared" si="89"/>
        <v>0</v>
      </c>
      <c r="V156" s="2">
        <f t="shared" si="90"/>
        <v>0</v>
      </c>
      <c r="W156" s="2">
        <f t="shared" si="91"/>
        <v>0</v>
      </c>
      <c r="X156" s="2">
        <f t="shared" si="92"/>
        <v>0</v>
      </c>
      <c r="Y156" s="2">
        <f t="shared" si="93"/>
        <v>0</v>
      </c>
      <c r="Z156" s="2">
        <f t="shared" si="94"/>
        <v>0</v>
      </c>
      <c r="AA156" s="2">
        <f t="shared" si="95"/>
        <v>0</v>
      </c>
      <c r="AB156" s="2">
        <f t="shared" si="96"/>
        <v>0</v>
      </c>
      <c r="AD156" s="2">
        <f t="shared" si="97"/>
        <v>0</v>
      </c>
      <c r="AE156" s="2">
        <f t="shared" si="98"/>
        <v>0</v>
      </c>
      <c r="AF156" s="2">
        <f t="shared" si="99"/>
        <v>0</v>
      </c>
      <c r="AG156" s="2">
        <f t="shared" si="100"/>
        <v>0</v>
      </c>
      <c r="AH156" s="2">
        <f t="shared" si="101"/>
        <v>0</v>
      </c>
      <c r="AI156" s="2">
        <f t="shared" si="102"/>
        <v>1</v>
      </c>
    </row>
    <row r="157" spans="1:35" ht="14.25" customHeight="1" x14ac:dyDescent="0.25">
      <c r="A157" s="29">
        <v>0</v>
      </c>
      <c r="B157" s="29">
        <v>2</v>
      </c>
      <c r="C157" s="29">
        <v>2</v>
      </c>
      <c r="D157" s="30" t="s">
        <v>721</v>
      </c>
      <c r="E157" s="30" t="s">
        <v>30</v>
      </c>
      <c r="F157" s="30" t="s">
        <v>781</v>
      </c>
      <c r="G157" s="30" t="s">
        <v>40</v>
      </c>
      <c r="H157" s="30" t="s">
        <v>165</v>
      </c>
      <c r="I157" s="29" t="s">
        <v>33</v>
      </c>
      <c r="J157" s="29">
        <v>99</v>
      </c>
      <c r="K157" s="29" t="s">
        <v>320</v>
      </c>
      <c r="L157" s="29" t="s">
        <v>345</v>
      </c>
      <c r="M157" s="30" t="s">
        <v>722</v>
      </c>
      <c r="N157" s="30" t="s">
        <v>882</v>
      </c>
      <c r="O157" s="31">
        <v>1</v>
      </c>
      <c r="P157" s="31"/>
      <c r="Q157" s="30"/>
      <c r="S157" s="2">
        <f t="shared" si="87"/>
        <v>0</v>
      </c>
      <c r="T157" s="2">
        <f t="shared" si="88"/>
        <v>0</v>
      </c>
      <c r="U157" s="2">
        <f t="shared" si="89"/>
        <v>0</v>
      </c>
      <c r="V157" s="2">
        <f t="shared" si="90"/>
        <v>0</v>
      </c>
      <c r="W157" s="2">
        <f t="shared" si="91"/>
        <v>0</v>
      </c>
      <c r="X157" s="2">
        <f t="shared" si="92"/>
        <v>0</v>
      </c>
      <c r="Y157" s="2">
        <f t="shared" si="93"/>
        <v>0</v>
      </c>
      <c r="Z157" s="2">
        <f t="shared" si="94"/>
        <v>0</v>
      </c>
      <c r="AA157" s="2">
        <f t="shared" si="95"/>
        <v>0</v>
      </c>
      <c r="AB157" s="2">
        <f t="shared" si="96"/>
        <v>0</v>
      </c>
      <c r="AD157" s="2">
        <f t="shared" si="97"/>
        <v>0</v>
      </c>
      <c r="AE157" s="2">
        <f t="shared" si="98"/>
        <v>1</v>
      </c>
      <c r="AF157" s="2">
        <f t="shared" si="99"/>
        <v>0</v>
      </c>
      <c r="AG157" s="2">
        <f t="shared" si="100"/>
        <v>1</v>
      </c>
      <c r="AH157" s="2">
        <f t="shared" si="101"/>
        <v>0</v>
      </c>
      <c r="AI157" s="2">
        <f t="shared" si="102"/>
        <v>1</v>
      </c>
    </row>
    <row r="158" spans="1:35" ht="14.25" customHeight="1" x14ac:dyDescent="0.25">
      <c r="A158" s="29">
        <v>0</v>
      </c>
      <c r="B158" s="29">
        <v>2</v>
      </c>
      <c r="C158" s="29">
        <v>2</v>
      </c>
      <c r="D158" s="30" t="s">
        <v>521</v>
      </c>
      <c r="E158" s="30" t="s">
        <v>522</v>
      </c>
      <c r="F158" s="30" t="s">
        <v>513</v>
      </c>
      <c r="G158" s="30" t="s">
        <v>514</v>
      </c>
      <c r="H158" s="30" t="s">
        <v>165</v>
      </c>
      <c r="I158" s="29" t="s">
        <v>33</v>
      </c>
      <c r="J158" s="29">
        <v>99</v>
      </c>
      <c r="K158" s="29" t="s">
        <v>320</v>
      </c>
      <c r="L158" s="29" t="s">
        <v>40</v>
      </c>
      <c r="M158" s="30" t="s">
        <v>40</v>
      </c>
      <c r="N158" s="30" t="s">
        <v>880</v>
      </c>
      <c r="O158" s="31">
        <v>1</v>
      </c>
      <c r="P158" s="31">
        <v>1</v>
      </c>
      <c r="Q158" s="30"/>
      <c r="S158" s="2">
        <f t="shared" si="87"/>
        <v>0</v>
      </c>
      <c r="T158" s="2">
        <f t="shared" si="88"/>
        <v>0</v>
      </c>
      <c r="U158" s="2">
        <f t="shared" si="89"/>
        <v>0</v>
      </c>
      <c r="V158" s="2">
        <f t="shared" si="90"/>
        <v>0</v>
      </c>
      <c r="W158" s="2">
        <f t="shared" si="91"/>
        <v>0</v>
      </c>
      <c r="X158" s="2">
        <f t="shared" si="92"/>
        <v>0</v>
      </c>
      <c r="Y158" s="2">
        <f t="shared" si="93"/>
        <v>0</v>
      </c>
      <c r="Z158" s="2">
        <f t="shared" si="94"/>
        <v>0</v>
      </c>
      <c r="AA158" s="2">
        <f t="shared" si="95"/>
        <v>0</v>
      </c>
      <c r="AB158" s="2">
        <f t="shared" si="96"/>
        <v>0</v>
      </c>
      <c r="AD158" s="2">
        <f t="shared" si="97"/>
        <v>1</v>
      </c>
      <c r="AE158" s="2">
        <f t="shared" si="98"/>
        <v>0</v>
      </c>
      <c r="AF158" s="2">
        <f t="shared" si="99"/>
        <v>1</v>
      </c>
      <c r="AG158" s="2">
        <f t="shared" si="100"/>
        <v>0</v>
      </c>
      <c r="AH158" s="2">
        <f t="shared" si="101"/>
        <v>1</v>
      </c>
      <c r="AI158" s="2">
        <f t="shared" si="102"/>
        <v>0</v>
      </c>
    </row>
    <row r="159" spans="1:35" ht="14.25" customHeight="1" x14ac:dyDescent="0.25">
      <c r="A159" s="29">
        <v>1</v>
      </c>
      <c r="B159" s="29">
        <v>2</v>
      </c>
      <c r="C159" s="29">
        <v>2</v>
      </c>
      <c r="D159" s="30" t="s">
        <v>521</v>
      </c>
      <c r="E159" s="30" t="s">
        <v>522</v>
      </c>
      <c r="F159" s="30" t="s">
        <v>774</v>
      </c>
      <c r="G159" s="30" t="s">
        <v>130</v>
      </c>
      <c r="H159" s="30" t="s">
        <v>165</v>
      </c>
      <c r="I159" s="29" t="s">
        <v>33</v>
      </c>
      <c r="J159" s="29"/>
      <c r="K159" s="29" t="s">
        <v>320</v>
      </c>
      <c r="L159" s="29" t="s">
        <v>40</v>
      </c>
      <c r="M159" s="30" t="s">
        <v>40</v>
      </c>
      <c r="N159" s="30" t="s">
        <v>880</v>
      </c>
      <c r="O159" s="31">
        <v>1</v>
      </c>
      <c r="P159" s="31">
        <v>1</v>
      </c>
      <c r="Q159" s="30"/>
      <c r="S159" s="2">
        <f t="shared" si="87"/>
        <v>0</v>
      </c>
      <c r="T159" s="2">
        <f t="shared" si="88"/>
        <v>0</v>
      </c>
      <c r="U159" s="2">
        <f t="shared" si="89"/>
        <v>0</v>
      </c>
      <c r="V159" s="2">
        <f t="shared" si="90"/>
        <v>0</v>
      </c>
      <c r="W159" s="2">
        <f t="shared" si="91"/>
        <v>0</v>
      </c>
      <c r="X159" s="2">
        <f t="shared" si="92"/>
        <v>0</v>
      </c>
      <c r="Y159" s="2">
        <f t="shared" si="93"/>
        <v>0</v>
      </c>
      <c r="Z159" s="2">
        <f t="shared" si="94"/>
        <v>0</v>
      </c>
      <c r="AA159" s="2">
        <f t="shared" si="95"/>
        <v>0</v>
      </c>
      <c r="AB159" s="2">
        <f t="shared" si="96"/>
        <v>0</v>
      </c>
      <c r="AD159" s="2">
        <f t="shared" si="97"/>
        <v>1</v>
      </c>
      <c r="AE159" s="2">
        <f t="shared" si="98"/>
        <v>0</v>
      </c>
      <c r="AF159" s="2">
        <f t="shared" si="99"/>
        <v>0</v>
      </c>
      <c r="AG159" s="2">
        <f t="shared" si="100"/>
        <v>0</v>
      </c>
      <c r="AH159" s="2">
        <f t="shared" si="101"/>
        <v>0</v>
      </c>
      <c r="AI159" s="2">
        <f t="shared" si="102"/>
        <v>0</v>
      </c>
    </row>
    <row r="160" spans="1:35" ht="14.25" customHeight="1" x14ac:dyDescent="0.25">
      <c r="A160" s="29">
        <v>0</v>
      </c>
      <c r="B160" s="29">
        <v>2</v>
      </c>
      <c r="C160" s="29">
        <v>2</v>
      </c>
      <c r="D160" s="30" t="s">
        <v>54</v>
      </c>
      <c r="E160" s="30" t="s">
        <v>84</v>
      </c>
      <c r="F160" s="30" t="s">
        <v>108</v>
      </c>
      <c r="G160" s="30" t="s">
        <v>40</v>
      </c>
      <c r="H160" s="30" t="s">
        <v>165</v>
      </c>
      <c r="I160" s="29" t="s">
        <v>173</v>
      </c>
      <c r="J160" s="29">
        <v>4</v>
      </c>
      <c r="K160" s="29" t="s">
        <v>320</v>
      </c>
      <c r="L160" s="29" t="s">
        <v>336</v>
      </c>
      <c r="M160" s="30" t="s">
        <v>337</v>
      </c>
      <c r="N160" s="30" t="s">
        <v>892</v>
      </c>
      <c r="O160" s="31">
        <v>1</v>
      </c>
      <c r="P160" s="31"/>
      <c r="Q160" s="30"/>
      <c r="S160" s="2">
        <f t="shared" si="87"/>
        <v>0</v>
      </c>
      <c r="T160" s="2">
        <f t="shared" si="88"/>
        <v>0</v>
      </c>
      <c r="U160" s="2">
        <f t="shared" si="89"/>
        <v>0</v>
      </c>
      <c r="V160" s="2">
        <f t="shared" si="90"/>
        <v>1</v>
      </c>
      <c r="W160" s="2">
        <f t="shared" si="91"/>
        <v>0</v>
      </c>
      <c r="X160" s="2">
        <f t="shared" si="92"/>
        <v>0</v>
      </c>
      <c r="Y160" s="2">
        <f t="shared" si="93"/>
        <v>0</v>
      </c>
      <c r="Z160" s="2">
        <f t="shared" si="94"/>
        <v>0</v>
      </c>
      <c r="AA160" s="2">
        <f t="shared" si="95"/>
        <v>0</v>
      </c>
      <c r="AB160" s="2">
        <f t="shared" si="96"/>
        <v>0</v>
      </c>
      <c r="AD160" s="2">
        <f t="shared" si="97"/>
        <v>0</v>
      </c>
      <c r="AE160" s="2">
        <f t="shared" si="98"/>
        <v>1</v>
      </c>
      <c r="AF160" s="2">
        <f t="shared" si="99"/>
        <v>0</v>
      </c>
      <c r="AG160" s="2">
        <f t="shared" si="100"/>
        <v>1</v>
      </c>
      <c r="AH160" s="2">
        <f t="shared" si="101"/>
        <v>0</v>
      </c>
      <c r="AI160" s="2">
        <f t="shared" si="102"/>
        <v>1</v>
      </c>
    </row>
    <row r="161" spans="1:16384" s="3" customFormat="1" ht="14.25" customHeight="1" x14ac:dyDescent="0.25">
      <c r="A161" s="29">
        <v>1</v>
      </c>
      <c r="B161" s="29">
        <v>2</v>
      </c>
      <c r="C161" s="29">
        <v>2</v>
      </c>
      <c r="D161" s="30" t="s">
        <v>54</v>
      </c>
      <c r="E161" s="30" t="s">
        <v>84</v>
      </c>
      <c r="F161" s="30" t="s">
        <v>720</v>
      </c>
      <c r="G161" s="30" t="s">
        <v>582</v>
      </c>
      <c r="H161" s="30" t="s">
        <v>165</v>
      </c>
      <c r="I161" s="29" t="s">
        <v>33</v>
      </c>
      <c r="J161" s="29">
        <v>99</v>
      </c>
      <c r="K161" s="29" t="s">
        <v>320</v>
      </c>
      <c r="L161" s="29" t="s">
        <v>336</v>
      </c>
      <c r="M161" s="30" t="s">
        <v>337</v>
      </c>
      <c r="N161" s="30" t="s">
        <v>892</v>
      </c>
      <c r="O161" s="31">
        <v>1</v>
      </c>
      <c r="P161" s="31"/>
      <c r="Q161" s="30"/>
      <c r="R161" s="2"/>
      <c r="S161" s="2">
        <f t="shared" si="87"/>
        <v>0</v>
      </c>
      <c r="T161" s="2">
        <f t="shared" si="88"/>
        <v>0</v>
      </c>
      <c r="U161" s="2">
        <f t="shared" si="89"/>
        <v>0</v>
      </c>
      <c r="V161" s="2">
        <f t="shared" si="90"/>
        <v>0</v>
      </c>
      <c r="W161" s="2">
        <f t="shared" si="91"/>
        <v>0</v>
      </c>
      <c r="X161" s="2">
        <f t="shared" si="92"/>
        <v>0</v>
      </c>
      <c r="Y161" s="2">
        <f t="shared" si="93"/>
        <v>0</v>
      </c>
      <c r="Z161" s="2">
        <f t="shared" si="94"/>
        <v>0</v>
      </c>
      <c r="AA161" s="2">
        <f t="shared" si="95"/>
        <v>0</v>
      </c>
      <c r="AB161" s="2">
        <f t="shared" si="96"/>
        <v>0</v>
      </c>
      <c r="AC161" s="2"/>
      <c r="AD161" s="2">
        <f t="shared" si="97"/>
        <v>0</v>
      </c>
      <c r="AE161" s="2">
        <f t="shared" si="98"/>
        <v>1</v>
      </c>
      <c r="AF161" s="2">
        <f t="shared" si="99"/>
        <v>0</v>
      </c>
      <c r="AG161" s="2">
        <f t="shared" si="100"/>
        <v>0</v>
      </c>
      <c r="AH161" s="2">
        <f t="shared" si="101"/>
        <v>0</v>
      </c>
      <c r="AI161" s="2">
        <f t="shared" si="102"/>
        <v>0</v>
      </c>
    </row>
    <row r="162" spans="1:16384" s="3" customFormat="1" ht="14.25" customHeight="1" x14ac:dyDescent="0.25">
      <c r="A162" s="29">
        <v>0</v>
      </c>
      <c r="B162" s="29">
        <v>2</v>
      </c>
      <c r="C162" s="29">
        <v>2</v>
      </c>
      <c r="D162" s="30" t="s">
        <v>677</v>
      </c>
      <c r="E162" s="30" t="s">
        <v>672</v>
      </c>
      <c r="F162" s="30" t="s">
        <v>476</v>
      </c>
      <c r="G162" s="30" t="s">
        <v>122</v>
      </c>
      <c r="H162" s="30" t="s">
        <v>165</v>
      </c>
      <c r="I162" s="29" t="s">
        <v>417</v>
      </c>
      <c r="J162" s="29">
        <v>6</v>
      </c>
      <c r="K162" s="29" t="s">
        <v>319</v>
      </c>
      <c r="L162" s="29" t="s">
        <v>339</v>
      </c>
      <c r="M162" s="30" t="s">
        <v>738</v>
      </c>
      <c r="N162" s="30" t="s">
        <v>883</v>
      </c>
      <c r="O162" s="31">
        <v>1</v>
      </c>
      <c r="P162" s="31"/>
      <c r="Q162" s="30"/>
      <c r="R162" s="2"/>
      <c r="S162" s="2">
        <f t="shared" si="87"/>
        <v>0</v>
      </c>
      <c r="T162" s="2">
        <f t="shared" si="88"/>
        <v>0</v>
      </c>
      <c r="U162" s="2">
        <f t="shared" si="89"/>
        <v>0</v>
      </c>
      <c r="V162" s="2">
        <f t="shared" si="90"/>
        <v>0</v>
      </c>
      <c r="W162" s="2">
        <f t="shared" si="91"/>
        <v>0</v>
      </c>
      <c r="X162" s="2">
        <f t="shared" si="92"/>
        <v>1</v>
      </c>
      <c r="Y162" s="2">
        <f t="shared" si="93"/>
        <v>0</v>
      </c>
      <c r="Z162" s="2">
        <f t="shared" si="94"/>
        <v>0</v>
      </c>
      <c r="AA162" s="2">
        <f t="shared" si="95"/>
        <v>0</v>
      </c>
      <c r="AB162" s="2">
        <f t="shared" si="96"/>
        <v>0</v>
      </c>
      <c r="AC162" s="2"/>
      <c r="AD162" s="2">
        <f t="shared" si="97"/>
        <v>0</v>
      </c>
      <c r="AE162" s="2">
        <f t="shared" si="98"/>
        <v>1</v>
      </c>
      <c r="AF162" s="2">
        <f t="shared" si="99"/>
        <v>0</v>
      </c>
      <c r="AG162" s="2">
        <f t="shared" si="100"/>
        <v>1</v>
      </c>
      <c r="AH162" s="2">
        <f t="shared" si="101"/>
        <v>0</v>
      </c>
      <c r="AI162" s="2">
        <f t="shared" si="102"/>
        <v>1</v>
      </c>
    </row>
    <row r="163" spans="1:16384" s="3" customFormat="1" ht="14.25" customHeight="1" x14ac:dyDescent="0.25">
      <c r="A163" s="29">
        <v>0</v>
      </c>
      <c r="B163" s="29">
        <v>2</v>
      </c>
      <c r="C163" s="29">
        <v>2</v>
      </c>
      <c r="D163" s="30" t="s">
        <v>435</v>
      </c>
      <c r="E163" s="30" t="s">
        <v>30</v>
      </c>
      <c r="F163" s="30" t="s">
        <v>932</v>
      </c>
      <c r="G163" s="30" t="s">
        <v>577</v>
      </c>
      <c r="H163" s="30" t="s">
        <v>165</v>
      </c>
      <c r="I163" s="29" t="s">
        <v>591</v>
      </c>
      <c r="J163" s="29">
        <v>99</v>
      </c>
      <c r="K163" s="29" t="s">
        <v>376</v>
      </c>
      <c r="L163" s="29">
        <v>35</v>
      </c>
      <c r="M163" s="30" t="s">
        <v>597</v>
      </c>
      <c r="N163" s="30" t="s">
        <v>914</v>
      </c>
      <c r="O163" s="31">
        <v>1</v>
      </c>
      <c r="P163" s="31"/>
      <c r="Q163" s="30"/>
      <c r="R163" s="2"/>
      <c r="S163" s="2">
        <f t="shared" si="87"/>
        <v>0</v>
      </c>
      <c r="T163" s="2">
        <f t="shared" si="88"/>
        <v>0</v>
      </c>
      <c r="U163" s="2">
        <f t="shared" si="89"/>
        <v>0</v>
      </c>
      <c r="V163" s="2">
        <f t="shared" si="90"/>
        <v>0</v>
      </c>
      <c r="W163" s="2">
        <f t="shared" si="91"/>
        <v>0</v>
      </c>
      <c r="X163" s="2">
        <f t="shared" si="92"/>
        <v>0</v>
      </c>
      <c r="Y163" s="2">
        <f t="shared" si="93"/>
        <v>0</v>
      </c>
      <c r="Z163" s="2">
        <f t="shared" si="94"/>
        <v>0</v>
      </c>
      <c r="AA163" s="2">
        <f t="shared" si="95"/>
        <v>0</v>
      </c>
      <c r="AB163" s="2">
        <f t="shared" si="96"/>
        <v>0</v>
      </c>
      <c r="AC163" s="2"/>
      <c r="AD163" s="2">
        <f t="shared" si="97"/>
        <v>0</v>
      </c>
      <c r="AE163" s="2">
        <f t="shared" si="98"/>
        <v>1</v>
      </c>
      <c r="AF163" s="2">
        <f t="shared" si="99"/>
        <v>0</v>
      </c>
      <c r="AG163" s="2">
        <f t="shared" si="100"/>
        <v>1</v>
      </c>
      <c r="AH163" s="2">
        <f t="shared" si="101"/>
        <v>0</v>
      </c>
      <c r="AI163" s="2">
        <f t="shared" si="102"/>
        <v>1</v>
      </c>
    </row>
    <row r="164" spans="1:16384" s="3" customFormat="1" ht="14.25" customHeight="1" x14ac:dyDescent="0.25">
      <c r="A164" s="29">
        <v>0</v>
      </c>
      <c r="B164" s="29">
        <v>2</v>
      </c>
      <c r="C164" s="29">
        <v>2</v>
      </c>
      <c r="D164" s="30" t="s">
        <v>560</v>
      </c>
      <c r="E164" s="30" t="s">
        <v>561</v>
      </c>
      <c r="F164" s="30" t="s">
        <v>562</v>
      </c>
      <c r="G164" s="30" t="s">
        <v>563</v>
      </c>
      <c r="H164" s="30" t="s">
        <v>165</v>
      </c>
      <c r="I164" s="29" t="s">
        <v>564</v>
      </c>
      <c r="J164" s="29">
        <v>99</v>
      </c>
      <c r="K164" s="29" t="s">
        <v>320</v>
      </c>
      <c r="L164" s="29" t="s">
        <v>40</v>
      </c>
      <c r="M164" s="30" t="s">
        <v>40</v>
      </c>
      <c r="N164" s="30" t="s">
        <v>880</v>
      </c>
      <c r="O164" s="31">
        <v>1</v>
      </c>
      <c r="P164" s="31">
        <v>1</v>
      </c>
      <c r="Q164" s="30"/>
      <c r="R164" s="2"/>
      <c r="S164" s="2">
        <f t="shared" si="87"/>
        <v>0</v>
      </c>
      <c r="T164" s="2">
        <f t="shared" si="88"/>
        <v>0</v>
      </c>
      <c r="U164" s="2">
        <f t="shared" si="89"/>
        <v>0</v>
      </c>
      <c r="V164" s="2">
        <f t="shared" si="90"/>
        <v>0</v>
      </c>
      <c r="W164" s="2">
        <f t="shared" si="91"/>
        <v>0</v>
      </c>
      <c r="X164" s="2">
        <f t="shared" si="92"/>
        <v>0</v>
      </c>
      <c r="Y164" s="2">
        <f t="shared" si="93"/>
        <v>0</v>
      </c>
      <c r="Z164" s="2">
        <f t="shared" si="94"/>
        <v>0</v>
      </c>
      <c r="AA164" s="2">
        <f t="shared" si="95"/>
        <v>0</v>
      </c>
      <c r="AB164" s="2">
        <f t="shared" si="96"/>
        <v>0</v>
      </c>
      <c r="AC164" s="2"/>
      <c r="AD164" s="2">
        <f t="shared" si="97"/>
        <v>1</v>
      </c>
      <c r="AE164" s="2">
        <f t="shared" si="98"/>
        <v>0</v>
      </c>
      <c r="AF164" s="2">
        <f t="shared" si="99"/>
        <v>1</v>
      </c>
      <c r="AG164" s="2">
        <f t="shared" si="100"/>
        <v>0</v>
      </c>
      <c r="AH164" s="2">
        <f t="shared" si="101"/>
        <v>1</v>
      </c>
      <c r="AI164" s="2">
        <f t="shared" si="102"/>
        <v>0</v>
      </c>
    </row>
    <row r="165" spans="1:16384" s="3" customFormat="1" ht="14.25" customHeight="1" x14ac:dyDescent="0.25">
      <c r="A165" s="29">
        <v>0</v>
      </c>
      <c r="B165" s="29">
        <v>2</v>
      </c>
      <c r="C165" s="29">
        <v>2</v>
      </c>
      <c r="D165" s="30" t="s">
        <v>947</v>
      </c>
      <c r="E165" s="30" t="s">
        <v>948</v>
      </c>
      <c r="F165" s="30" t="s">
        <v>949</v>
      </c>
      <c r="G165" s="30" t="s">
        <v>950</v>
      </c>
      <c r="H165" s="30" t="s">
        <v>165</v>
      </c>
      <c r="I165" s="29" t="s">
        <v>951</v>
      </c>
      <c r="J165" s="29"/>
      <c r="K165" s="29" t="s">
        <v>376</v>
      </c>
      <c r="L165" s="29"/>
      <c r="M165" s="30"/>
      <c r="N165" s="30" t="s">
        <v>880</v>
      </c>
      <c r="O165" s="31">
        <v>1</v>
      </c>
      <c r="P165" s="31">
        <v>1</v>
      </c>
      <c r="Q165" s="30"/>
      <c r="R165" s="20"/>
      <c r="S165" s="2">
        <f t="shared" si="87"/>
        <v>0</v>
      </c>
      <c r="T165" s="2">
        <f t="shared" si="88"/>
        <v>0</v>
      </c>
      <c r="U165" s="2">
        <f t="shared" si="89"/>
        <v>0</v>
      </c>
      <c r="V165" s="2">
        <f t="shared" si="90"/>
        <v>0</v>
      </c>
      <c r="W165" s="2">
        <f t="shared" si="91"/>
        <v>0</v>
      </c>
      <c r="X165" s="2">
        <f t="shared" si="92"/>
        <v>0</v>
      </c>
      <c r="Y165" s="2">
        <f t="shared" si="93"/>
        <v>0</v>
      </c>
      <c r="Z165" s="2">
        <f t="shared" si="94"/>
        <v>0</v>
      </c>
      <c r="AA165" s="2">
        <f t="shared" si="95"/>
        <v>0</v>
      </c>
      <c r="AB165" s="2">
        <f t="shared" si="96"/>
        <v>0</v>
      </c>
      <c r="AC165" s="2"/>
      <c r="AD165" s="2">
        <f t="shared" si="97"/>
        <v>1</v>
      </c>
      <c r="AE165" s="2">
        <f t="shared" si="98"/>
        <v>0</v>
      </c>
      <c r="AF165" s="2">
        <f t="shared" si="99"/>
        <v>1</v>
      </c>
      <c r="AG165" s="2">
        <f t="shared" si="100"/>
        <v>0</v>
      </c>
      <c r="AH165" s="2">
        <f t="shared" si="101"/>
        <v>1</v>
      </c>
      <c r="AI165" s="2">
        <f t="shared" si="102"/>
        <v>0</v>
      </c>
      <c r="AJ165" s="20"/>
      <c r="AK165" s="20"/>
      <c r="AL165" s="21"/>
      <c r="AM165" s="21"/>
      <c r="AN165" s="21"/>
      <c r="AO165" s="21"/>
      <c r="AP165" s="21"/>
      <c r="AQ165" s="20"/>
      <c r="AR165" s="20"/>
      <c r="AS165" s="20"/>
      <c r="AT165" s="20"/>
      <c r="AU165" s="21"/>
      <c r="AV165" s="21"/>
      <c r="AW165" s="7"/>
      <c r="AX165" s="7"/>
      <c r="AY165" s="21"/>
      <c r="AZ165" s="20"/>
      <c r="BA165" s="20"/>
      <c r="BB165" s="20"/>
      <c r="BC165" s="21"/>
      <c r="BD165" s="21"/>
      <c r="BE165" s="21"/>
      <c r="BF165" s="21"/>
      <c r="BG165" s="21"/>
      <c r="BH165" s="20"/>
      <c r="BI165" s="20"/>
      <c r="BJ165" s="20"/>
      <c r="BK165" s="20"/>
      <c r="BL165" s="21"/>
      <c r="BM165" s="21"/>
      <c r="BN165" s="7"/>
      <c r="BO165" s="7"/>
      <c r="BP165" s="21"/>
      <c r="BQ165" s="20"/>
      <c r="BR165" s="20"/>
      <c r="BS165" s="20"/>
      <c r="BT165" s="21"/>
      <c r="BU165" s="21"/>
      <c r="BV165" s="21"/>
      <c r="BW165" s="21"/>
      <c r="BX165" s="21"/>
      <c r="BY165" s="20"/>
      <c r="BZ165" s="20"/>
      <c r="CA165" s="20"/>
      <c r="CB165" s="20"/>
      <c r="CC165" s="21"/>
      <c r="CD165" s="21"/>
      <c r="CE165" s="7"/>
      <c r="CF165" s="7"/>
      <c r="CG165" s="21"/>
      <c r="CH165" s="20"/>
      <c r="CI165" s="20"/>
      <c r="CJ165" s="20"/>
      <c r="CK165" s="21"/>
      <c r="CL165" s="21"/>
      <c r="CM165" s="21"/>
      <c r="CN165" s="21"/>
      <c r="CO165" s="21"/>
      <c r="CP165" s="20"/>
      <c r="CQ165" s="20"/>
      <c r="CR165" s="20"/>
      <c r="CS165" s="20"/>
      <c r="CT165" s="21"/>
      <c r="CU165" s="21"/>
      <c r="CV165" s="7"/>
      <c r="CW165" s="7"/>
      <c r="CX165" s="21"/>
      <c r="CY165" s="20"/>
      <c r="CZ165" s="20"/>
      <c r="DA165" s="20"/>
      <c r="DB165" s="21"/>
      <c r="DC165" s="21"/>
      <c r="DD165" s="21"/>
      <c r="DE165" s="21"/>
      <c r="DF165" s="21"/>
      <c r="DG165" s="20"/>
      <c r="DH165" s="20"/>
      <c r="DI165" s="20"/>
      <c r="DJ165" s="20"/>
      <c r="DK165" s="21"/>
      <c r="DL165" s="21"/>
      <c r="DM165" s="7"/>
      <c r="DN165" s="7"/>
      <c r="DO165" s="21"/>
      <c r="DP165" s="20"/>
      <c r="DQ165" s="20"/>
      <c r="DR165" s="20"/>
      <c r="DS165" s="21"/>
      <c r="DT165" s="21"/>
      <c r="DU165" s="21"/>
      <c r="DV165" s="21"/>
      <c r="DW165" s="21"/>
      <c r="DX165" s="20"/>
      <c r="DY165" s="20"/>
      <c r="DZ165" s="20"/>
      <c r="EA165" s="20"/>
      <c r="EB165" s="21"/>
      <c r="EC165" s="21"/>
      <c r="ED165" s="7"/>
      <c r="EE165" s="7"/>
      <c r="EF165" s="21"/>
      <c r="EG165" s="20"/>
      <c r="EH165" s="20"/>
      <c r="EI165" s="20"/>
      <c r="EJ165" s="21"/>
      <c r="EK165" s="21"/>
      <c r="EL165" s="21"/>
      <c r="EM165" s="21"/>
      <c r="EN165" s="21"/>
      <c r="EO165" s="20"/>
      <c r="EP165" s="20"/>
      <c r="EQ165" s="20"/>
      <c r="ER165" s="20"/>
      <c r="ES165" s="21"/>
      <c r="ET165" s="21"/>
      <c r="EU165" s="7"/>
      <c r="EV165" s="7"/>
      <c r="EW165" s="21"/>
      <c r="EX165" s="20"/>
      <c r="EY165" s="20"/>
      <c r="EZ165" s="20"/>
      <c r="FA165" s="21"/>
      <c r="FB165" s="21"/>
      <c r="FC165" s="21"/>
      <c r="FD165" s="21"/>
      <c r="FE165" s="21"/>
      <c r="FF165" s="20"/>
      <c r="FG165" s="20"/>
      <c r="FH165" s="20"/>
      <c r="FI165" s="20"/>
      <c r="FJ165" s="21"/>
      <c r="FK165" s="21"/>
      <c r="FL165" s="7"/>
      <c r="FM165" s="7"/>
      <c r="FN165" s="21"/>
      <c r="FO165" s="20"/>
      <c r="FP165" s="20"/>
      <c r="FQ165" s="20"/>
      <c r="FR165" s="21"/>
      <c r="FS165" s="21"/>
      <c r="FT165" s="21"/>
      <c r="FU165" s="21"/>
      <c r="FV165" s="21"/>
      <c r="FW165" s="20"/>
      <c r="FX165" s="20"/>
      <c r="FY165" s="20"/>
      <c r="FZ165" s="20"/>
      <c r="GA165" s="21"/>
      <c r="GB165" s="21"/>
      <c r="GC165" s="7"/>
      <c r="GD165" s="7"/>
      <c r="GE165" s="21"/>
      <c r="GF165" s="20"/>
      <c r="GG165" s="20"/>
      <c r="GH165" s="20"/>
      <c r="GI165" s="21"/>
      <c r="GJ165" s="21"/>
      <c r="GK165" s="21"/>
      <c r="GL165" s="21"/>
      <c r="GM165" s="21"/>
      <c r="GN165" s="20"/>
      <c r="GO165" s="20"/>
      <c r="GP165" s="20"/>
      <c r="GQ165" s="20"/>
      <c r="GR165" s="21"/>
      <c r="GS165" s="21"/>
      <c r="GT165" s="7"/>
      <c r="GU165" s="7"/>
      <c r="GV165" s="21"/>
      <c r="GW165" s="20"/>
      <c r="GX165" s="20"/>
      <c r="GY165" s="20"/>
      <c r="GZ165" s="21"/>
      <c r="HA165" s="21"/>
      <c r="HB165" s="21"/>
      <c r="HC165" s="21"/>
      <c r="HD165" s="21"/>
      <c r="HE165" s="20"/>
      <c r="HF165" s="20"/>
      <c r="HG165" s="20"/>
      <c r="HH165" s="20"/>
      <c r="HI165" s="21"/>
      <c r="HJ165" s="21"/>
      <c r="HK165" s="7"/>
      <c r="HL165" s="7"/>
      <c r="HM165" s="21"/>
      <c r="HN165" s="20"/>
      <c r="HO165" s="20"/>
      <c r="HP165" s="20"/>
      <c r="HQ165" s="21"/>
      <c r="HR165" s="21"/>
      <c r="HS165" s="21"/>
      <c r="HT165" s="21"/>
      <c r="HU165" s="21"/>
      <c r="HV165" s="20"/>
      <c r="HW165" s="20"/>
      <c r="HX165" s="20"/>
      <c r="HY165" s="20"/>
      <c r="HZ165" s="21"/>
      <c r="IA165" s="21"/>
      <c r="IB165" s="7"/>
      <c r="IC165" s="7"/>
      <c r="ID165" s="21"/>
      <c r="IE165" s="20"/>
      <c r="IF165" s="20"/>
      <c r="IG165" s="20"/>
      <c r="IH165" s="21"/>
      <c r="II165" s="21"/>
      <c r="IJ165" s="21"/>
      <c r="IK165" s="21"/>
      <c r="IL165" s="21"/>
      <c r="IM165" s="20"/>
      <c r="IN165" s="20"/>
      <c r="IO165" s="20"/>
      <c r="IP165" s="20"/>
      <c r="IQ165" s="21"/>
      <c r="IR165" s="21"/>
      <c r="IS165" s="7"/>
      <c r="IT165" s="7"/>
      <c r="IU165" s="21"/>
      <c r="IV165" s="20"/>
      <c r="IW165" s="20"/>
      <c r="IX165" s="20"/>
      <c r="IY165" s="21"/>
      <c r="IZ165" s="21"/>
      <c r="JA165" s="21"/>
      <c r="JB165" s="21"/>
      <c r="JC165" s="21"/>
      <c r="JD165" s="20"/>
      <c r="JE165" s="20"/>
      <c r="JF165" s="20"/>
      <c r="JG165" s="20"/>
      <c r="JH165" s="21"/>
      <c r="JI165" s="21"/>
      <c r="JJ165" s="7"/>
      <c r="JK165" s="7"/>
      <c r="JL165" s="21"/>
      <c r="JM165" s="20"/>
      <c r="JN165" s="20"/>
      <c r="JO165" s="20"/>
      <c r="JP165" s="21"/>
      <c r="JQ165" s="21"/>
      <c r="JR165" s="21"/>
      <c r="JS165" s="21"/>
      <c r="JT165" s="21"/>
      <c r="JU165" s="20"/>
      <c r="JV165" s="20"/>
      <c r="JW165" s="20"/>
      <c r="JX165" s="20"/>
      <c r="JY165" s="21"/>
      <c r="JZ165" s="21"/>
      <c r="KA165" s="7"/>
      <c r="KB165" s="7"/>
      <c r="KC165" s="21"/>
      <c r="KD165" s="20"/>
      <c r="KE165" s="20"/>
      <c r="KF165" s="20"/>
      <c r="KG165" s="21"/>
      <c r="KH165" s="21"/>
      <c r="KI165" s="21"/>
      <c r="KJ165" s="21"/>
      <c r="KK165" s="21"/>
      <c r="KL165" s="20"/>
      <c r="KM165" s="20"/>
      <c r="KN165" s="20"/>
      <c r="KO165" s="20"/>
      <c r="KP165" s="21"/>
      <c r="KQ165" s="21"/>
      <c r="KR165" s="7"/>
      <c r="KS165" s="7"/>
      <c r="KT165" s="21"/>
      <c r="KU165" s="20"/>
      <c r="KV165" s="20"/>
      <c r="KW165" s="20"/>
      <c r="KX165" s="21"/>
      <c r="KY165" s="21"/>
      <c r="KZ165" s="21"/>
      <c r="LA165" s="21"/>
      <c r="LB165" s="21"/>
      <c r="LC165" s="20"/>
      <c r="LD165" s="20"/>
      <c r="LE165" s="20"/>
      <c r="LF165" s="20"/>
      <c r="LG165" s="21"/>
      <c r="LH165" s="21"/>
      <c r="LI165" s="7"/>
      <c r="LJ165" s="7"/>
      <c r="LK165" s="21"/>
      <c r="LL165" s="20"/>
      <c r="LM165" s="20"/>
      <c r="LN165" s="20"/>
      <c r="LO165" s="21"/>
      <c r="LP165" s="21"/>
      <c r="LQ165" s="21"/>
      <c r="LR165" s="21"/>
      <c r="LS165" s="21"/>
      <c r="LT165" s="20"/>
      <c r="LU165" s="20"/>
      <c r="LV165" s="20"/>
      <c r="LW165" s="20"/>
      <c r="LX165" s="21"/>
      <c r="LY165" s="21"/>
      <c r="LZ165" s="7"/>
      <c r="MA165" s="7"/>
      <c r="MB165" s="21"/>
      <c r="MC165" s="20"/>
      <c r="MD165" s="20"/>
      <c r="ME165" s="20"/>
      <c r="MF165" s="21"/>
      <c r="MG165" s="21"/>
      <c r="MH165" s="21"/>
      <c r="MI165" s="21"/>
      <c r="MJ165" s="21"/>
      <c r="MK165" s="20"/>
      <c r="ML165" s="20"/>
      <c r="MM165" s="20"/>
      <c r="MN165" s="20"/>
      <c r="MO165" s="21"/>
      <c r="MP165" s="21"/>
      <c r="MQ165" s="7"/>
      <c r="MR165" s="7"/>
      <c r="MS165" s="21"/>
      <c r="MT165" s="20"/>
      <c r="MU165" s="20"/>
      <c r="MV165" s="20"/>
      <c r="MW165" s="21"/>
      <c r="MX165" s="21"/>
      <c r="MY165" s="21"/>
      <c r="MZ165" s="21"/>
      <c r="NA165" s="21"/>
      <c r="NB165" s="20"/>
      <c r="NC165" s="20"/>
      <c r="ND165" s="20"/>
      <c r="NE165" s="20"/>
      <c r="NF165" s="21"/>
      <c r="NG165" s="21"/>
      <c r="NH165" s="7"/>
      <c r="NI165" s="7"/>
      <c r="NJ165" s="21"/>
      <c r="NK165" s="20"/>
      <c r="NL165" s="20"/>
      <c r="NM165" s="20"/>
      <c r="NN165" s="21"/>
      <c r="NO165" s="21"/>
      <c r="NP165" s="21"/>
      <c r="NQ165" s="21"/>
      <c r="NR165" s="21"/>
      <c r="NS165" s="20"/>
      <c r="NT165" s="20"/>
      <c r="NU165" s="20"/>
      <c r="NV165" s="20"/>
      <c r="NW165" s="21"/>
      <c r="NX165" s="21"/>
      <c r="NY165" s="7"/>
      <c r="NZ165" s="7"/>
      <c r="OA165" s="21"/>
      <c r="OB165" s="20"/>
      <c r="OC165" s="20"/>
      <c r="OD165" s="20"/>
      <c r="OE165" s="21"/>
      <c r="OF165" s="21"/>
      <c r="OG165" s="21"/>
      <c r="OH165" s="21"/>
      <c r="OI165" s="21"/>
      <c r="OJ165" s="20"/>
      <c r="OK165" s="20"/>
      <c r="OL165" s="20"/>
      <c r="OM165" s="20"/>
      <c r="ON165" s="21"/>
      <c r="OO165" s="21"/>
      <c r="OP165" s="7"/>
      <c r="OQ165" s="7"/>
      <c r="OR165" s="21"/>
      <c r="OS165" s="20"/>
      <c r="OT165" s="20"/>
      <c r="OU165" s="20"/>
      <c r="OV165" s="21"/>
      <c r="OW165" s="21"/>
      <c r="OX165" s="21"/>
      <c r="OY165" s="21"/>
      <c r="OZ165" s="21"/>
      <c r="PA165" s="20"/>
      <c r="PB165" s="20"/>
      <c r="PC165" s="20"/>
      <c r="PD165" s="20"/>
      <c r="PE165" s="21"/>
      <c r="PF165" s="21"/>
      <c r="PG165" s="7"/>
      <c r="PH165" s="7"/>
      <c r="PI165" s="21"/>
      <c r="PJ165" s="20"/>
      <c r="PK165" s="20"/>
      <c r="PL165" s="20"/>
      <c r="PM165" s="21"/>
      <c r="PN165" s="21"/>
      <c r="PO165" s="21"/>
      <c r="PP165" s="21"/>
      <c r="PQ165" s="21"/>
      <c r="PR165" s="20"/>
      <c r="PS165" s="20"/>
      <c r="PT165" s="20"/>
      <c r="PU165" s="20"/>
      <c r="PV165" s="21"/>
      <c r="PW165" s="21"/>
      <c r="PX165" s="7"/>
      <c r="PY165" s="7"/>
      <c r="PZ165" s="21"/>
      <c r="QA165" s="20"/>
      <c r="QB165" s="20"/>
      <c r="QC165" s="20"/>
      <c r="QD165" s="21"/>
      <c r="QE165" s="21"/>
      <c r="QF165" s="21"/>
      <c r="QG165" s="21"/>
      <c r="QH165" s="21"/>
      <c r="QI165" s="20"/>
      <c r="QJ165" s="20"/>
      <c r="QK165" s="20"/>
      <c r="QL165" s="20"/>
      <c r="QM165" s="21"/>
      <c r="QN165" s="21"/>
      <c r="QO165" s="7"/>
      <c r="QP165" s="7"/>
      <c r="QQ165" s="21"/>
      <c r="QR165" s="20"/>
      <c r="QS165" s="20"/>
      <c r="QT165" s="20"/>
      <c r="QU165" s="21"/>
      <c r="QV165" s="21"/>
      <c r="QW165" s="21"/>
      <c r="QX165" s="21"/>
      <c r="QY165" s="21"/>
      <c r="QZ165" s="20"/>
      <c r="RA165" s="20"/>
      <c r="RB165" s="20"/>
      <c r="RC165" s="20"/>
      <c r="RD165" s="21"/>
      <c r="RE165" s="21"/>
      <c r="RF165" s="7"/>
      <c r="RG165" s="7"/>
      <c r="RH165" s="21"/>
      <c r="RI165" s="20"/>
      <c r="RJ165" s="20"/>
      <c r="RK165" s="20"/>
      <c r="RL165" s="21"/>
      <c r="RM165" s="21"/>
      <c r="RN165" s="21"/>
      <c r="RO165" s="21"/>
      <c r="RP165" s="21"/>
      <c r="RQ165" s="20"/>
      <c r="RR165" s="20"/>
      <c r="RS165" s="20"/>
      <c r="RT165" s="20"/>
      <c r="RU165" s="21"/>
      <c r="RV165" s="21"/>
      <c r="RW165" s="7"/>
      <c r="RX165" s="7"/>
      <c r="RY165" s="21"/>
      <c r="RZ165" s="20"/>
      <c r="SA165" s="20"/>
      <c r="SB165" s="20"/>
      <c r="SC165" s="21"/>
      <c r="SD165" s="21"/>
      <c r="SE165" s="21"/>
      <c r="SF165" s="21"/>
      <c r="SG165" s="21"/>
      <c r="SH165" s="20"/>
      <c r="SI165" s="20"/>
      <c r="SJ165" s="20"/>
      <c r="SK165" s="20"/>
      <c r="SL165" s="21"/>
      <c r="SM165" s="21"/>
      <c r="SN165" s="7"/>
      <c r="SO165" s="7"/>
      <c r="SP165" s="21"/>
      <c r="SQ165" s="20"/>
      <c r="SR165" s="20"/>
      <c r="SS165" s="20"/>
      <c r="ST165" s="21"/>
      <c r="SU165" s="21"/>
      <c r="SV165" s="21"/>
      <c r="SW165" s="21"/>
      <c r="SX165" s="21"/>
      <c r="SY165" s="20"/>
      <c r="SZ165" s="20"/>
      <c r="TA165" s="20"/>
      <c r="TB165" s="20"/>
      <c r="TC165" s="21"/>
      <c r="TD165" s="21"/>
      <c r="TE165" s="7"/>
      <c r="TF165" s="7"/>
      <c r="TG165" s="21"/>
      <c r="TH165" s="20"/>
      <c r="TI165" s="20"/>
      <c r="TJ165" s="20"/>
      <c r="TK165" s="21"/>
      <c r="TL165" s="21"/>
      <c r="TM165" s="21"/>
      <c r="TN165" s="21"/>
      <c r="TO165" s="21"/>
      <c r="TP165" s="20"/>
      <c r="TQ165" s="20"/>
      <c r="TR165" s="20"/>
      <c r="TS165" s="20"/>
      <c r="TT165" s="21"/>
      <c r="TU165" s="21"/>
      <c r="TV165" s="7"/>
      <c r="TW165" s="7"/>
      <c r="TX165" s="21"/>
      <c r="TY165" s="20"/>
      <c r="TZ165" s="20"/>
      <c r="UA165" s="20"/>
      <c r="UB165" s="21"/>
      <c r="UC165" s="21"/>
      <c r="UD165" s="21"/>
      <c r="UE165" s="21"/>
      <c r="UF165" s="21"/>
      <c r="UG165" s="20"/>
      <c r="UH165" s="20"/>
      <c r="UI165" s="20"/>
      <c r="UJ165" s="20"/>
      <c r="UK165" s="21"/>
      <c r="UL165" s="21"/>
      <c r="UM165" s="7"/>
      <c r="UN165" s="7"/>
      <c r="UO165" s="21"/>
      <c r="UP165" s="20"/>
      <c r="UQ165" s="20"/>
      <c r="UR165" s="20"/>
      <c r="US165" s="21"/>
      <c r="UT165" s="21"/>
      <c r="UU165" s="21"/>
      <c r="UV165" s="21"/>
      <c r="UW165" s="21"/>
      <c r="UX165" s="20"/>
      <c r="UY165" s="20"/>
      <c r="UZ165" s="20"/>
      <c r="VA165" s="20"/>
      <c r="VB165" s="21"/>
      <c r="VC165" s="21"/>
      <c r="VD165" s="7"/>
      <c r="VE165" s="7"/>
      <c r="VF165" s="21"/>
      <c r="VG165" s="20"/>
      <c r="VH165" s="20"/>
      <c r="VI165" s="20"/>
      <c r="VJ165" s="21"/>
      <c r="VK165" s="21"/>
      <c r="VL165" s="21"/>
      <c r="VM165" s="21"/>
      <c r="VN165" s="21"/>
      <c r="VO165" s="20"/>
      <c r="VP165" s="20"/>
      <c r="VQ165" s="20"/>
      <c r="VR165" s="20"/>
      <c r="VS165" s="21"/>
      <c r="VT165" s="21"/>
      <c r="VU165" s="7"/>
      <c r="VV165" s="7"/>
      <c r="VW165" s="21"/>
      <c r="VX165" s="20"/>
      <c r="VY165" s="20"/>
      <c r="VZ165" s="20"/>
      <c r="WA165" s="21"/>
      <c r="WB165" s="21"/>
      <c r="WC165" s="21"/>
      <c r="WD165" s="21"/>
      <c r="WE165" s="21"/>
      <c r="WF165" s="20"/>
      <c r="WG165" s="20"/>
      <c r="WH165" s="20"/>
      <c r="WI165" s="20"/>
      <c r="WJ165" s="21"/>
      <c r="WK165" s="21"/>
      <c r="WL165" s="7"/>
      <c r="WM165" s="7"/>
      <c r="WN165" s="21"/>
      <c r="WO165" s="20"/>
      <c r="WP165" s="20"/>
      <c r="WQ165" s="20"/>
      <c r="WR165" s="21"/>
      <c r="WS165" s="21"/>
      <c r="WT165" s="21"/>
      <c r="WU165" s="21"/>
      <c r="WV165" s="21"/>
      <c r="WW165" s="20"/>
      <c r="WX165" s="20"/>
      <c r="WY165" s="20"/>
      <c r="WZ165" s="20"/>
      <c r="XA165" s="21"/>
      <c r="XB165" s="21"/>
      <c r="XC165" s="7"/>
      <c r="XD165" s="7"/>
      <c r="XE165" s="21"/>
      <c r="XF165" s="20"/>
      <c r="XG165" s="20"/>
      <c r="XH165" s="20"/>
      <c r="XI165" s="21"/>
      <c r="XJ165" s="21"/>
      <c r="XK165" s="21"/>
      <c r="XL165" s="21"/>
      <c r="XM165" s="21"/>
      <c r="XN165" s="20"/>
      <c r="XO165" s="20"/>
      <c r="XP165" s="20"/>
      <c r="XQ165" s="20"/>
      <c r="XR165" s="21"/>
      <c r="XS165" s="21"/>
      <c r="XT165" s="7"/>
      <c r="XU165" s="7"/>
      <c r="XV165" s="21"/>
      <c r="XW165" s="20"/>
      <c r="XX165" s="20"/>
      <c r="XY165" s="20"/>
      <c r="XZ165" s="21"/>
      <c r="YA165" s="21"/>
      <c r="YB165" s="21"/>
      <c r="YC165" s="21"/>
      <c r="YD165" s="21"/>
      <c r="YE165" s="20"/>
      <c r="YF165" s="20"/>
      <c r="YG165" s="20"/>
      <c r="YH165" s="20"/>
      <c r="YI165" s="21"/>
      <c r="YJ165" s="21"/>
      <c r="YK165" s="7"/>
      <c r="YL165" s="7"/>
      <c r="YM165" s="21"/>
      <c r="YN165" s="20"/>
      <c r="YO165" s="20"/>
      <c r="YP165" s="20"/>
      <c r="YQ165" s="21"/>
      <c r="YR165" s="21"/>
      <c r="YS165" s="21"/>
      <c r="YT165" s="21"/>
      <c r="YU165" s="21"/>
      <c r="YV165" s="20"/>
      <c r="YW165" s="20"/>
      <c r="YX165" s="20"/>
      <c r="YY165" s="20"/>
      <c r="YZ165" s="21"/>
      <c r="ZA165" s="21"/>
      <c r="ZB165" s="7"/>
      <c r="ZC165" s="7"/>
      <c r="ZD165" s="21"/>
      <c r="ZE165" s="20"/>
      <c r="ZF165" s="20"/>
      <c r="ZG165" s="20"/>
      <c r="ZH165" s="21"/>
      <c r="ZI165" s="21"/>
      <c r="ZJ165" s="21"/>
      <c r="ZK165" s="21"/>
      <c r="ZL165" s="21"/>
      <c r="ZM165" s="20"/>
      <c r="ZN165" s="20"/>
      <c r="ZO165" s="20"/>
      <c r="ZP165" s="20"/>
      <c r="ZQ165" s="21"/>
      <c r="ZR165" s="21"/>
      <c r="ZS165" s="7"/>
      <c r="ZT165" s="7"/>
      <c r="ZU165" s="21"/>
      <c r="ZV165" s="20"/>
      <c r="ZW165" s="20"/>
      <c r="ZX165" s="20"/>
      <c r="ZY165" s="21"/>
      <c r="ZZ165" s="21"/>
      <c r="AAA165" s="21"/>
      <c r="AAB165" s="21"/>
      <c r="AAC165" s="21"/>
      <c r="AAD165" s="20"/>
      <c r="AAE165" s="20"/>
      <c r="AAF165" s="20"/>
      <c r="AAG165" s="20"/>
      <c r="AAH165" s="21"/>
      <c r="AAI165" s="21"/>
      <c r="AAJ165" s="7"/>
      <c r="AAK165" s="7"/>
      <c r="AAL165" s="21"/>
      <c r="AAM165" s="20"/>
      <c r="AAN165" s="20"/>
      <c r="AAO165" s="20"/>
      <c r="AAP165" s="21"/>
      <c r="AAQ165" s="21"/>
      <c r="AAR165" s="21"/>
      <c r="AAS165" s="21"/>
      <c r="AAT165" s="21"/>
      <c r="AAU165" s="20"/>
      <c r="AAV165" s="20"/>
      <c r="AAW165" s="20"/>
      <c r="AAX165" s="20"/>
      <c r="AAY165" s="21"/>
      <c r="AAZ165" s="21"/>
      <c r="ABA165" s="7"/>
      <c r="ABB165" s="7"/>
      <c r="ABC165" s="21"/>
      <c r="ABD165" s="20"/>
      <c r="ABE165" s="20"/>
      <c r="ABF165" s="20"/>
      <c r="ABG165" s="21"/>
      <c r="ABH165" s="21"/>
      <c r="ABI165" s="21"/>
      <c r="ABJ165" s="21"/>
      <c r="ABK165" s="21"/>
      <c r="ABL165" s="20"/>
      <c r="ABM165" s="20"/>
      <c r="ABN165" s="20"/>
      <c r="ABO165" s="20"/>
      <c r="ABP165" s="21"/>
      <c r="ABQ165" s="21"/>
      <c r="ABR165" s="7"/>
      <c r="ABS165" s="7"/>
      <c r="ABT165" s="21"/>
      <c r="ABU165" s="20"/>
      <c r="ABV165" s="20"/>
      <c r="ABW165" s="20"/>
      <c r="ABX165" s="21"/>
      <c r="ABY165" s="21"/>
      <c r="ABZ165" s="21"/>
      <c r="ACA165" s="21"/>
      <c r="ACB165" s="21"/>
      <c r="ACC165" s="20"/>
      <c r="ACD165" s="20"/>
      <c r="ACE165" s="20"/>
      <c r="ACF165" s="20"/>
      <c r="ACG165" s="21"/>
      <c r="ACH165" s="21"/>
      <c r="ACI165" s="7"/>
      <c r="ACJ165" s="7"/>
      <c r="ACK165" s="21"/>
      <c r="ACL165" s="20"/>
      <c r="ACM165" s="20"/>
      <c r="ACN165" s="20"/>
      <c r="ACO165" s="21"/>
      <c r="ACP165" s="21"/>
      <c r="ACQ165" s="21"/>
      <c r="ACR165" s="21"/>
      <c r="ACS165" s="21"/>
      <c r="ACT165" s="20"/>
      <c r="ACU165" s="20"/>
      <c r="ACV165" s="20"/>
      <c r="ACW165" s="20"/>
      <c r="ACX165" s="21"/>
      <c r="ACY165" s="21"/>
      <c r="ACZ165" s="7"/>
      <c r="ADA165" s="7"/>
      <c r="ADB165" s="21"/>
      <c r="ADC165" s="20"/>
      <c r="ADD165" s="20"/>
      <c r="ADE165" s="20"/>
      <c r="ADF165" s="21"/>
      <c r="ADG165" s="21"/>
      <c r="ADH165" s="21"/>
      <c r="ADI165" s="21"/>
      <c r="ADJ165" s="21"/>
      <c r="ADK165" s="20"/>
      <c r="ADL165" s="20"/>
      <c r="ADM165" s="20"/>
      <c r="ADN165" s="20"/>
      <c r="ADO165" s="21"/>
      <c r="ADP165" s="21"/>
      <c r="ADQ165" s="7"/>
      <c r="ADR165" s="7"/>
      <c r="ADS165" s="21"/>
      <c r="ADT165" s="20"/>
      <c r="ADU165" s="20"/>
      <c r="ADV165" s="20"/>
      <c r="ADW165" s="21"/>
      <c r="ADX165" s="21"/>
      <c r="ADY165" s="21"/>
      <c r="ADZ165" s="21"/>
      <c r="AEA165" s="21"/>
      <c r="AEB165" s="20"/>
      <c r="AEC165" s="20"/>
      <c r="AED165" s="20"/>
      <c r="AEE165" s="20"/>
      <c r="AEF165" s="21"/>
      <c r="AEG165" s="21"/>
      <c r="AEH165" s="7"/>
      <c r="AEI165" s="7"/>
      <c r="AEJ165" s="21"/>
      <c r="AEK165" s="20"/>
      <c r="AEL165" s="20"/>
      <c r="AEM165" s="20"/>
      <c r="AEN165" s="21"/>
      <c r="AEO165" s="21"/>
      <c r="AEP165" s="21"/>
      <c r="AEQ165" s="21"/>
      <c r="AER165" s="21"/>
      <c r="AES165" s="20"/>
      <c r="AET165" s="20"/>
      <c r="AEU165" s="20"/>
      <c r="AEV165" s="20"/>
      <c r="AEW165" s="21"/>
      <c r="AEX165" s="21"/>
      <c r="AEY165" s="7"/>
      <c r="AEZ165" s="7"/>
      <c r="AFA165" s="21"/>
      <c r="AFB165" s="20"/>
      <c r="AFC165" s="20"/>
      <c r="AFD165" s="20"/>
      <c r="AFE165" s="21"/>
      <c r="AFF165" s="21"/>
      <c r="AFG165" s="21"/>
      <c r="AFH165" s="21"/>
      <c r="AFI165" s="21"/>
      <c r="AFJ165" s="20"/>
      <c r="AFK165" s="20"/>
      <c r="AFL165" s="20"/>
      <c r="AFM165" s="20"/>
      <c r="AFN165" s="21"/>
      <c r="AFO165" s="21"/>
      <c r="AFP165" s="7"/>
      <c r="AFQ165" s="7"/>
      <c r="AFR165" s="21"/>
      <c r="AFS165" s="20"/>
      <c r="AFT165" s="20"/>
      <c r="AFU165" s="20"/>
      <c r="AFV165" s="21"/>
      <c r="AFW165" s="21"/>
      <c r="AFX165" s="21"/>
      <c r="AFY165" s="21"/>
      <c r="AFZ165" s="21"/>
      <c r="AGA165" s="20"/>
      <c r="AGB165" s="20"/>
      <c r="AGC165" s="20"/>
      <c r="AGD165" s="20"/>
      <c r="AGE165" s="21"/>
      <c r="AGF165" s="21"/>
      <c r="AGG165" s="7"/>
      <c r="AGH165" s="7"/>
      <c r="AGI165" s="21"/>
      <c r="AGJ165" s="20"/>
      <c r="AGK165" s="20"/>
      <c r="AGL165" s="20"/>
      <c r="AGM165" s="21"/>
      <c r="AGN165" s="21"/>
      <c r="AGO165" s="21"/>
      <c r="AGP165" s="21"/>
      <c r="AGQ165" s="21"/>
      <c r="AGR165" s="20"/>
      <c r="AGS165" s="20"/>
      <c r="AGT165" s="20"/>
      <c r="AGU165" s="20"/>
      <c r="AGV165" s="21"/>
      <c r="AGW165" s="21"/>
      <c r="AGX165" s="7"/>
      <c r="AGY165" s="7"/>
      <c r="AGZ165" s="21"/>
      <c r="AHA165" s="20"/>
      <c r="AHB165" s="20"/>
      <c r="AHC165" s="20"/>
      <c r="AHD165" s="21"/>
      <c r="AHE165" s="21"/>
      <c r="AHF165" s="21"/>
      <c r="AHG165" s="21"/>
      <c r="AHH165" s="21"/>
      <c r="AHI165" s="20"/>
      <c r="AHJ165" s="20"/>
      <c r="AHK165" s="20"/>
      <c r="AHL165" s="20"/>
      <c r="AHM165" s="21"/>
      <c r="AHN165" s="21"/>
      <c r="AHO165" s="7"/>
      <c r="AHP165" s="7"/>
      <c r="AHQ165" s="21"/>
      <c r="AHR165" s="20"/>
      <c r="AHS165" s="20"/>
      <c r="AHT165" s="20"/>
      <c r="AHU165" s="21"/>
      <c r="AHV165" s="21"/>
      <c r="AHW165" s="21"/>
      <c r="AHX165" s="21"/>
      <c r="AHY165" s="21"/>
      <c r="AHZ165" s="20"/>
      <c r="AIA165" s="20"/>
      <c r="AIB165" s="20"/>
      <c r="AIC165" s="20"/>
      <c r="AID165" s="21"/>
      <c r="AIE165" s="21"/>
      <c r="AIF165" s="7"/>
      <c r="AIG165" s="7"/>
      <c r="AIH165" s="21"/>
      <c r="AII165" s="20"/>
      <c r="AIJ165" s="20"/>
      <c r="AIK165" s="20"/>
      <c r="AIL165" s="21"/>
      <c r="AIM165" s="21"/>
      <c r="AIN165" s="21"/>
      <c r="AIO165" s="21"/>
      <c r="AIP165" s="21"/>
      <c r="AIQ165" s="20"/>
      <c r="AIR165" s="20"/>
      <c r="AIS165" s="20"/>
      <c r="AIT165" s="20"/>
      <c r="AIU165" s="21"/>
      <c r="AIV165" s="21"/>
      <c r="AIW165" s="7"/>
      <c r="AIX165" s="7"/>
      <c r="AIY165" s="21"/>
      <c r="AIZ165" s="20"/>
      <c r="AJA165" s="20"/>
      <c r="AJB165" s="20"/>
      <c r="AJC165" s="21"/>
      <c r="AJD165" s="21"/>
      <c r="AJE165" s="21"/>
      <c r="AJF165" s="21"/>
      <c r="AJG165" s="21"/>
      <c r="AJH165" s="20"/>
      <c r="AJI165" s="20"/>
      <c r="AJJ165" s="20"/>
      <c r="AJK165" s="20"/>
      <c r="AJL165" s="21"/>
      <c r="AJM165" s="21"/>
      <c r="AJN165" s="7"/>
      <c r="AJO165" s="7"/>
      <c r="AJP165" s="21"/>
      <c r="AJQ165" s="20"/>
      <c r="AJR165" s="20"/>
      <c r="AJS165" s="20"/>
      <c r="AJT165" s="21"/>
      <c r="AJU165" s="21"/>
      <c r="AJV165" s="21"/>
      <c r="AJW165" s="21"/>
      <c r="AJX165" s="21"/>
      <c r="AJY165" s="20"/>
      <c r="AJZ165" s="20"/>
      <c r="AKA165" s="20"/>
      <c r="AKB165" s="20"/>
      <c r="AKC165" s="21"/>
      <c r="AKD165" s="21"/>
      <c r="AKE165" s="7"/>
      <c r="AKF165" s="7"/>
      <c r="AKG165" s="21"/>
      <c r="AKH165" s="20"/>
      <c r="AKI165" s="20"/>
      <c r="AKJ165" s="20"/>
      <c r="AKK165" s="21"/>
      <c r="AKL165" s="21"/>
      <c r="AKM165" s="21"/>
      <c r="AKN165" s="21"/>
      <c r="AKO165" s="21"/>
      <c r="AKP165" s="20"/>
      <c r="AKQ165" s="20"/>
      <c r="AKR165" s="20"/>
      <c r="AKS165" s="20"/>
      <c r="AKT165" s="21"/>
      <c r="AKU165" s="21"/>
      <c r="AKV165" s="7"/>
      <c r="AKW165" s="7"/>
      <c r="AKX165" s="21"/>
      <c r="AKY165" s="20"/>
      <c r="AKZ165" s="20"/>
      <c r="ALA165" s="20"/>
      <c r="ALB165" s="21"/>
      <c r="ALC165" s="21"/>
      <c r="ALD165" s="21"/>
      <c r="ALE165" s="21"/>
      <c r="ALF165" s="21"/>
      <c r="ALG165" s="20"/>
      <c r="ALH165" s="20"/>
      <c r="ALI165" s="20"/>
      <c r="ALJ165" s="20"/>
      <c r="ALK165" s="21"/>
      <c r="ALL165" s="21"/>
      <c r="ALM165" s="7"/>
      <c r="ALN165" s="7"/>
      <c r="ALO165" s="21"/>
      <c r="ALP165" s="20"/>
      <c r="ALQ165" s="20"/>
      <c r="ALR165" s="20"/>
      <c r="ALS165" s="21"/>
      <c r="ALT165" s="21"/>
      <c r="ALU165" s="21"/>
      <c r="ALV165" s="21"/>
      <c r="ALW165" s="21"/>
      <c r="ALX165" s="20"/>
      <c r="ALY165" s="20"/>
      <c r="ALZ165" s="20"/>
      <c r="AMA165" s="20"/>
      <c r="AMB165" s="21"/>
      <c r="AMC165" s="21"/>
      <c r="AMD165" s="7"/>
      <c r="AME165" s="7"/>
      <c r="AMF165" s="21"/>
      <c r="AMG165" s="20"/>
      <c r="AMH165" s="20"/>
      <c r="AMI165" s="20"/>
      <c r="AMJ165" s="21"/>
      <c r="AMK165" s="21"/>
      <c r="AML165" s="21"/>
      <c r="AMM165" s="21"/>
      <c r="AMN165" s="21"/>
      <c r="AMO165" s="20"/>
      <c r="AMP165" s="20"/>
      <c r="AMQ165" s="20"/>
      <c r="AMR165" s="20"/>
      <c r="AMS165" s="21"/>
      <c r="AMT165" s="21"/>
      <c r="AMU165" s="7"/>
      <c r="AMV165" s="7"/>
      <c r="AMW165" s="21"/>
      <c r="AMX165" s="20"/>
      <c r="AMY165" s="20"/>
      <c r="AMZ165" s="20"/>
      <c r="ANA165" s="21"/>
      <c r="ANB165" s="21"/>
      <c r="ANC165" s="21"/>
      <c r="AND165" s="21"/>
      <c r="ANE165" s="21"/>
      <c r="ANF165" s="20"/>
      <c r="ANG165" s="20"/>
      <c r="ANH165" s="20"/>
      <c r="ANI165" s="20"/>
      <c r="ANJ165" s="21"/>
      <c r="ANK165" s="21"/>
      <c r="ANL165" s="7"/>
      <c r="ANM165" s="7"/>
      <c r="ANN165" s="21"/>
      <c r="ANO165" s="20"/>
      <c r="ANP165" s="20"/>
      <c r="ANQ165" s="20"/>
      <c r="ANR165" s="21"/>
      <c r="ANS165" s="21"/>
      <c r="ANT165" s="21"/>
      <c r="ANU165" s="21"/>
      <c r="ANV165" s="21"/>
      <c r="ANW165" s="20"/>
      <c r="ANX165" s="20"/>
      <c r="ANY165" s="20"/>
      <c r="ANZ165" s="20"/>
      <c r="AOA165" s="21"/>
      <c r="AOB165" s="21"/>
      <c r="AOC165" s="7"/>
      <c r="AOD165" s="7"/>
      <c r="AOE165" s="21"/>
      <c r="AOF165" s="20"/>
      <c r="AOG165" s="20"/>
      <c r="AOH165" s="20"/>
      <c r="AOI165" s="21"/>
      <c r="AOJ165" s="21"/>
      <c r="AOK165" s="21"/>
      <c r="AOL165" s="21"/>
      <c r="AOM165" s="21"/>
      <c r="AON165" s="20"/>
      <c r="AOO165" s="20"/>
      <c r="AOP165" s="20"/>
      <c r="AOQ165" s="20"/>
      <c r="AOR165" s="21"/>
      <c r="AOS165" s="21"/>
      <c r="AOT165" s="7"/>
      <c r="AOU165" s="7"/>
      <c r="AOV165" s="21"/>
      <c r="AOW165" s="20"/>
      <c r="AOX165" s="20"/>
      <c r="AOY165" s="20"/>
      <c r="AOZ165" s="21"/>
      <c r="APA165" s="21"/>
      <c r="APB165" s="21"/>
      <c r="APC165" s="21"/>
      <c r="APD165" s="21"/>
      <c r="APE165" s="20"/>
      <c r="APF165" s="20"/>
      <c r="APG165" s="20"/>
      <c r="APH165" s="20"/>
      <c r="API165" s="21"/>
      <c r="APJ165" s="21"/>
      <c r="APK165" s="7"/>
      <c r="APL165" s="7"/>
      <c r="APM165" s="21"/>
      <c r="APN165" s="20"/>
      <c r="APO165" s="20"/>
      <c r="APP165" s="20"/>
      <c r="APQ165" s="21"/>
      <c r="APR165" s="21"/>
      <c r="APS165" s="21"/>
      <c r="APT165" s="21"/>
      <c r="APU165" s="21"/>
      <c r="APV165" s="20"/>
      <c r="APW165" s="20"/>
      <c r="APX165" s="20"/>
      <c r="APY165" s="20"/>
      <c r="APZ165" s="21"/>
      <c r="AQA165" s="21"/>
      <c r="AQB165" s="7"/>
      <c r="AQC165" s="7"/>
      <c r="AQD165" s="21"/>
      <c r="AQE165" s="20"/>
      <c r="AQF165" s="20"/>
      <c r="AQG165" s="20"/>
      <c r="AQH165" s="21"/>
      <c r="AQI165" s="21"/>
      <c r="AQJ165" s="21"/>
      <c r="AQK165" s="21"/>
      <c r="AQL165" s="21"/>
      <c r="AQM165" s="20"/>
      <c r="AQN165" s="20"/>
      <c r="AQO165" s="20"/>
      <c r="AQP165" s="20"/>
      <c r="AQQ165" s="21"/>
      <c r="AQR165" s="21"/>
      <c r="AQS165" s="7"/>
      <c r="AQT165" s="7"/>
      <c r="AQU165" s="21"/>
      <c r="AQV165" s="20"/>
      <c r="AQW165" s="20"/>
      <c r="AQX165" s="20"/>
      <c r="AQY165" s="21"/>
      <c r="AQZ165" s="21"/>
      <c r="ARA165" s="21"/>
      <c r="ARB165" s="21"/>
      <c r="ARC165" s="21"/>
      <c r="ARD165" s="20"/>
      <c r="ARE165" s="20"/>
      <c r="ARF165" s="20"/>
      <c r="ARG165" s="20"/>
      <c r="ARH165" s="21"/>
      <c r="ARI165" s="21"/>
      <c r="ARJ165" s="7"/>
      <c r="ARK165" s="7"/>
      <c r="ARL165" s="21"/>
      <c r="ARM165" s="20"/>
      <c r="ARN165" s="20"/>
      <c r="ARO165" s="20"/>
      <c r="ARP165" s="21"/>
      <c r="ARQ165" s="21"/>
      <c r="ARR165" s="21"/>
      <c r="ARS165" s="21"/>
      <c r="ART165" s="21"/>
      <c r="ARU165" s="20"/>
      <c r="ARV165" s="20"/>
      <c r="ARW165" s="20"/>
      <c r="ARX165" s="20"/>
      <c r="ARY165" s="21"/>
      <c r="ARZ165" s="21"/>
      <c r="ASA165" s="7"/>
      <c r="ASB165" s="7"/>
      <c r="ASC165" s="21"/>
      <c r="ASD165" s="20"/>
      <c r="ASE165" s="20"/>
      <c r="ASF165" s="20"/>
      <c r="ASG165" s="21"/>
      <c r="ASH165" s="21"/>
      <c r="ASI165" s="21"/>
      <c r="ASJ165" s="21"/>
      <c r="ASK165" s="21"/>
      <c r="ASL165" s="20"/>
      <c r="ASM165" s="20"/>
      <c r="ASN165" s="20"/>
      <c r="ASO165" s="20"/>
      <c r="ASP165" s="21"/>
      <c r="ASQ165" s="21"/>
      <c r="ASR165" s="7"/>
      <c r="ASS165" s="7"/>
      <c r="AST165" s="21"/>
      <c r="ASU165" s="20"/>
      <c r="ASV165" s="20"/>
      <c r="ASW165" s="20"/>
      <c r="ASX165" s="21"/>
      <c r="ASY165" s="21"/>
      <c r="ASZ165" s="21"/>
      <c r="ATA165" s="21"/>
      <c r="ATB165" s="21"/>
      <c r="ATC165" s="20"/>
      <c r="ATD165" s="20"/>
      <c r="ATE165" s="20"/>
      <c r="ATF165" s="20"/>
      <c r="ATG165" s="21"/>
      <c r="ATH165" s="21"/>
      <c r="ATI165" s="7"/>
      <c r="ATJ165" s="7"/>
      <c r="ATK165" s="21"/>
      <c r="ATL165" s="20"/>
      <c r="ATM165" s="20"/>
      <c r="ATN165" s="20"/>
      <c r="ATO165" s="21"/>
      <c r="ATP165" s="21"/>
      <c r="ATQ165" s="21"/>
      <c r="ATR165" s="21"/>
      <c r="ATS165" s="21"/>
      <c r="ATT165" s="20"/>
      <c r="ATU165" s="20"/>
      <c r="ATV165" s="20"/>
      <c r="ATW165" s="20"/>
      <c r="ATX165" s="21"/>
      <c r="ATY165" s="21"/>
      <c r="ATZ165" s="7"/>
      <c r="AUA165" s="7"/>
      <c r="AUB165" s="21"/>
      <c r="AUC165" s="20"/>
      <c r="AUD165" s="20"/>
      <c r="AUE165" s="20"/>
      <c r="AUF165" s="21"/>
      <c r="AUG165" s="21"/>
      <c r="AUH165" s="21"/>
      <c r="AUI165" s="21"/>
      <c r="AUJ165" s="21"/>
      <c r="AUK165" s="20"/>
      <c r="AUL165" s="20"/>
      <c r="AUM165" s="20"/>
      <c r="AUN165" s="20"/>
      <c r="AUO165" s="21"/>
      <c r="AUP165" s="21"/>
      <c r="AUQ165" s="7"/>
      <c r="AUR165" s="7"/>
      <c r="AUS165" s="21"/>
      <c r="AUT165" s="20"/>
      <c r="AUU165" s="20"/>
      <c r="AUV165" s="20"/>
      <c r="AUW165" s="21"/>
      <c r="AUX165" s="21"/>
      <c r="AUY165" s="21"/>
      <c r="AUZ165" s="21"/>
      <c r="AVA165" s="21"/>
      <c r="AVB165" s="20"/>
      <c r="AVC165" s="20"/>
      <c r="AVD165" s="20"/>
      <c r="AVE165" s="20"/>
      <c r="AVF165" s="21"/>
      <c r="AVG165" s="21"/>
      <c r="AVH165" s="7"/>
      <c r="AVI165" s="7"/>
      <c r="AVJ165" s="21"/>
      <c r="AVK165" s="20"/>
      <c r="AVL165" s="20"/>
      <c r="AVM165" s="20"/>
      <c r="AVN165" s="21"/>
      <c r="AVO165" s="21"/>
      <c r="AVP165" s="21"/>
      <c r="AVQ165" s="21"/>
      <c r="AVR165" s="21"/>
      <c r="AVS165" s="20"/>
      <c r="AVT165" s="20"/>
      <c r="AVU165" s="20"/>
      <c r="AVV165" s="20"/>
      <c r="AVW165" s="21"/>
      <c r="AVX165" s="21"/>
      <c r="AVY165" s="7"/>
      <c r="AVZ165" s="7"/>
      <c r="AWA165" s="21"/>
      <c r="AWB165" s="20"/>
      <c r="AWC165" s="20"/>
      <c r="AWD165" s="20"/>
      <c r="AWE165" s="21"/>
      <c r="AWF165" s="21"/>
      <c r="AWG165" s="21"/>
      <c r="AWH165" s="21"/>
      <c r="AWI165" s="21"/>
      <c r="AWJ165" s="20"/>
      <c r="AWK165" s="20"/>
      <c r="AWL165" s="20"/>
      <c r="AWM165" s="20"/>
      <c r="AWN165" s="21"/>
      <c r="AWO165" s="21"/>
      <c r="AWP165" s="7"/>
      <c r="AWQ165" s="7"/>
      <c r="AWR165" s="21"/>
      <c r="AWS165" s="20"/>
      <c r="AWT165" s="20"/>
      <c r="AWU165" s="20"/>
      <c r="AWV165" s="21"/>
      <c r="AWW165" s="21"/>
      <c r="AWX165" s="21"/>
      <c r="AWY165" s="21"/>
      <c r="AWZ165" s="21"/>
      <c r="AXA165" s="20"/>
      <c r="AXB165" s="20"/>
      <c r="AXC165" s="20"/>
      <c r="AXD165" s="20"/>
      <c r="AXE165" s="21"/>
      <c r="AXF165" s="21"/>
      <c r="AXG165" s="7"/>
      <c r="AXH165" s="7"/>
      <c r="AXI165" s="21"/>
      <c r="AXJ165" s="20"/>
      <c r="AXK165" s="20"/>
      <c r="AXL165" s="20"/>
      <c r="AXM165" s="21"/>
      <c r="AXN165" s="21"/>
      <c r="AXO165" s="21"/>
      <c r="AXP165" s="21"/>
      <c r="AXQ165" s="21"/>
      <c r="AXR165" s="20"/>
      <c r="AXS165" s="20"/>
      <c r="AXT165" s="20"/>
      <c r="AXU165" s="20"/>
      <c r="AXV165" s="21"/>
      <c r="AXW165" s="21"/>
      <c r="AXX165" s="7"/>
      <c r="AXY165" s="7"/>
      <c r="AXZ165" s="21"/>
      <c r="AYA165" s="20"/>
      <c r="AYB165" s="20"/>
      <c r="AYC165" s="20"/>
      <c r="AYD165" s="21"/>
      <c r="AYE165" s="21"/>
      <c r="AYF165" s="21"/>
      <c r="AYG165" s="21"/>
      <c r="AYH165" s="21"/>
      <c r="AYI165" s="20"/>
      <c r="AYJ165" s="20"/>
      <c r="AYK165" s="20"/>
      <c r="AYL165" s="20"/>
      <c r="AYM165" s="21"/>
      <c r="AYN165" s="21"/>
      <c r="AYO165" s="7"/>
      <c r="AYP165" s="7"/>
      <c r="AYQ165" s="21"/>
      <c r="AYR165" s="20"/>
      <c r="AYS165" s="20"/>
      <c r="AYT165" s="20"/>
      <c r="AYU165" s="21"/>
      <c r="AYV165" s="21"/>
      <c r="AYW165" s="21"/>
      <c r="AYX165" s="21"/>
      <c r="AYY165" s="21"/>
      <c r="AYZ165" s="20"/>
      <c r="AZA165" s="20"/>
      <c r="AZB165" s="20"/>
      <c r="AZC165" s="20"/>
      <c r="AZD165" s="21"/>
      <c r="AZE165" s="21"/>
      <c r="AZF165" s="7"/>
      <c r="AZG165" s="7"/>
      <c r="AZH165" s="21"/>
      <c r="AZI165" s="20"/>
      <c r="AZJ165" s="20"/>
      <c r="AZK165" s="20"/>
      <c r="AZL165" s="21"/>
      <c r="AZM165" s="21"/>
      <c r="AZN165" s="21"/>
      <c r="AZO165" s="21"/>
      <c r="AZP165" s="21"/>
      <c r="AZQ165" s="20"/>
      <c r="AZR165" s="20"/>
      <c r="AZS165" s="20"/>
      <c r="AZT165" s="20"/>
      <c r="AZU165" s="21"/>
      <c r="AZV165" s="21"/>
      <c r="AZW165" s="7"/>
      <c r="AZX165" s="7"/>
      <c r="AZY165" s="21"/>
      <c r="AZZ165" s="20"/>
      <c r="BAA165" s="20"/>
      <c r="BAB165" s="20"/>
      <c r="BAC165" s="21"/>
      <c r="BAD165" s="21"/>
      <c r="BAE165" s="21"/>
      <c r="BAF165" s="21"/>
      <c r="BAG165" s="21"/>
      <c r="BAH165" s="20"/>
      <c r="BAI165" s="20"/>
      <c r="BAJ165" s="20"/>
      <c r="BAK165" s="20"/>
      <c r="BAL165" s="21"/>
      <c r="BAM165" s="21"/>
      <c r="BAN165" s="7"/>
      <c r="BAO165" s="7"/>
      <c r="BAP165" s="21"/>
      <c r="BAQ165" s="20"/>
      <c r="BAR165" s="20"/>
      <c r="BAS165" s="20"/>
      <c r="BAT165" s="21"/>
      <c r="BAU165" s="21"/>
      <c r="BAV165" s="21"/>
      <c r="BAW165" s="21"/>
      <c r="BAX165" s="21"/>
      <c r="BAY165" s="20"/>
      <c r="BAZ165" s="20"/>
      <c r="BBA165" s="20"/>
      <c r="BBB165" s="20"/>
      <c r="BBC165" s="21"/>
      <c r="BBD165" s="21"/>
      <c r="BBE165" s="7"/>
      <c r="BBF165" s="7"/>
      <c r="BBG165" s="21"/>
      <c r="BBH165" s="20"/>
      <c r="BBI165" s="20"/>
      <c r="BBJ165" s="20"/>
      <c r="BBK165" s="21"/>
      <c r="BBL165" s="21"/>
      <c r="BBM165" s="21"/>
      <c r="BBN165" s="21"/>
      <c r="BBO165" s="21"/>
      <c r="BBP165" s="20"/>
      <c r="BBQ165" s="20"/>
      <c r="BBR165" s="20"/>
      <c r="BBS165" s="20"/>
      <c r="BBT165" s="21"/>
      <c r="BBU165" s="21"/>
      <c r="BBV165" s="7"/>
      <c r="BBW165" s="7"/>
      <c r="BBX165" s="21"/>
      <c r="BBY165" s="20"/>
      <c r="BBZ165" s="20"/>
      <c r="BCA165" s="20"/>
      <c r="BCB165" s="21"/>
      <c r="BCC165" s="21"/>
      <c r="BCD165" s="21"/>
      <c r="BCE165" s="21"/>
      <c r="BCF165" s="21"/>
      <c r="BCG165" s="20"/>
      <c r="BCH165" s="20"/>
      <c r="BCI165" s="20"/>
      <c r="BCJ165" s="20"/>
      <c r="BCK165" s="21"/>
      <c r="BCL165" s="21"/>
      <c r="BCM165" s="7"/>
      <c r="BCN165" s="7"/>
      <c r="BCO165" s="21"/>
      <c r="BCP165" s="20"/>
      <c r="BCQ165" s="20"/>
      <c r="BCR165" s="20"/>
      <c r="BCS165" s="21"/>
      <c r="BCT165" s="21"/>
      <c r="BCU165" s="21"/>
      <c r="BCV165" s="21"/>
      <c r="BCW165" s="21"/>
      <c r="BCX165" s="20"/>
      <c r="BCY165" s="20"/>
      <c r="BCZ165" s="20"/>
      <c r="BDA165" s="20"/>
      <c r="BDB165" s="21"/>
      <c r="BDC165" s="21"/>
      <c r="BDD165" s="7"/>
      <c r="BDE165" s="7"/>
      <c r="BDF165" s="21"/>
      <c r="BDG165" s="20"/>
      <c r="BDH165" s="20"/>
      <c r="BDI165" s="20"/>
      <c r="BDJ165" s="21"/>
      <c r="BDK165" s="21"/>
      <c r="BDL165" s="21"/>
      <c r="BDM165" s="21"/>
      <c r="BDN165" s="21"/>
      <c r="BDO165" s="20"/>
      <c r="BDP165" s="20"/>
      <c r="BDQ165" s="20"/>
      <c r="BDR165" s="20"/>
      <c r="BDS165" s="21"/>
      <c r="BDT165" s="21"/>
      <c r="BDU165" s="7"/>
      <c r="BDV165" s="7"/>
      <c r="BDW165" s="21"/>
      <c r="BDX165" s="20"/>
      <c r="BDY165" s="20"/>
      <c r="BDZ165" s="20"/>
      <c r="BEA165" s="21"/>
      <c r="BEB165" s="21"/>
      <c r="BEC165" s="21"/>
      <c r="BED165" s="21"/>
      <c r="BEE165" s="21"/>
      <c r="BEF165" s="20"/>
      <c r="BEG165" s="20"/>
      <c r="BEH165" s="20"/>
      <c r="BEI165" s="20"/>
      <c r="BEJ165" s="21"/>
      <c r="BEK165" s="21"/>
      <c r="BEL165" s="7"/>
      <c r="BEM165" s="7"/>
      <c r="BEN165" s="21"/>
      <c r="BEO165" s="20"/>
      <c r="BEP165" s="20"/>
      <c r="BEQ165" s="20"/>
      <c r="BER165" s="21"/>
      <c r="BES165" s="21"/>
      <c r="BET165" s="21"/>
      <c r="BEU165" s="21"/>
      <c r="BEV165" s="21"/>
      <c r="BEW165" s="20"/>
      <c r="BEX165" s="20"/>
      <c r="BEY165" s="20"/>
      <c r="BEZ165" s="20"/>
      <c r="BFA165" s="21"/>
      <c r="BFB165" s="21"/>
      <c r="BFC165" s="7"/>
      <c r="BFD165" s="7"/>
      <c r="BFE165" s="21"/>
      <c r="BFF165" s="20"/>
      <c r="BFG165" s="20"/>
      <c r="BFH165" s="20"/>
      <c r="BFI165" s="21"/>
      <c r="BFJ165" s="21"/>
      <c r="BFK165" s="21"/>
      <c r="BFL165" s="21"/>
      <c r="BFM165" s="21"/>
      <c r="BFN165" s="20"/>
      <c r="BFO165" s="20"/>
      <c r="BFP165" s="20"/>
      <c r="BFQ165" s="20"/>
      <c r="BFR165" s="21"/>
      <c r="BFS165" s="21"/>
      <c r="BFT165" s="7"/>
      <c r="BFU165" s="7"/>
      <c r="BFV165" s="21"/>
      <c r="BFW165" s="20"/>
      <c r="BFX165" s="20"/>
      <c r="BFY165" s="20"/>
      <c r="BFZ165" s="21"/>
      <c r="BGA165" s="21"/>
      <c r="BGB165" s="21"/>
      <c r="BGC165" s="21"/>
      <c r="BGD165" s="21"/>
      <c r="BGE165" s="20"/>
      <c r="BGF165" s="20"/>
      <c r="BGG165" s="20"/>
      <c r="BGH165" s="20"/>
      <c r="BGI165" s="21"/>
      <c r="BGJ165" s="21"/>
      <c r="BGK165" s="7"/>
      <c r="BGL165" s="7"/>
      <c r="BGM165" s="21"/>
      <c r="BGN165" s="20"/>
      <c r="BGO165" s="20"/>
      <c r="BGP165" s="20"/>
      <c r="BGQ165" s="21"/>
      <c r="BGR165" s="21"/>
      <c r="BGS165" s="21"/>
      <c r="BGT165" s="21"/>
      <c r="BGU165" s="21"/>
      <c r="BGV165" s="20"/>
      <c r="BGW165" s="20"/>
      <c r="BGX165" s="20"/>
      <c r="BGY165" s="20"/>
      <c r="BGZ165" s="21"/>
      <c r="BHA165" s="21"/>
      <c r="BHB165" s="7"/>
      <c r="BHC165" s="7"/>
      <c r="BHD165" s="21"/>
      <c r="BHE165" s="20"/>
      <c r="BHF165" s="20"/>
      <c r="BHG165" s="20"/>
      <c r="BHH165" s="21"/>
      <c r="BHI165" s="21"/>
      <c r="BHJ165" s="21"/>
      <c r="BHK165" s="21"/>
      <c r="BHL165" s="21"/>
      <c r="BHM165" s="20"/>
      <c r="BHN165" s="20"/>
      <c r="BHO165" s="20"/>
      <c r="BHP165" s="20"/>
      <c r="BHQ165" s="21"/>
      <c r="BHR165" s="21"/>
      <c r="BHS165" s="7"/>
      <c r="BHT165" s="7"/>
      <c r="BHU165" s="21"/>
      <c r="BHV165" s="20"/>
      <c r="BHW165" s="20"/>
      <c r="BHX165" s="20"/>
      <c r="BHY165" s="21"/>
      <c r="BHZ165" s="21"/>
      <c r="BIA165" s="21"/>
      <c r="BIB165" s="21"/>
      <c r="BIC165" s="21"/>
      <c r="BID165" s="20"/>
      <c r="BIE165" s="20"/>
      <c r="BIF165" s="20"/>
      <c r="BIG165" s="20"/>
      <c r="BIH165" s="21"/>
      <c r="BII165" s="21"/>
      <c r="BIJ165" s="7"/>
      <c r="BIK165" s="7"/>
      <c r="BIL165" s="21"/>
      <c r="BIM165" s="20"/>
      <c r="BIN165" s="20"/>
      <c r="BIO165" s="20"/>
      <c r="BIP165" s="21"/>
      <c r="BIQ165" s="21"/>
      <c r="BIR165" s="21"/>
      <c r="BIS165" s="21"/>
      <c r="BIT165" s="21"/>
      <c r="BIU165" s="20"/>
      <c r="BIV165" s="20"/>
      <c r="BIW165" s="20"/>
      <c r="BIX165" s="20"/>
      <c r="BIY165" s="21"/>
      <c r="BIZ165" s="21"/>
      <c r="BJA165" s="7"/>
      <c r="BJB165" s="7"/>
      <c r="BJC165" s="21"/>
      <c r="BJD165" s="20"/>
      <c r="BJE165" s="20"/>
      <c r="BJF165" s="20"/>
      <c r="BJG165" s="21"/>
      <c r="BJH165" s="21"/>
      <c r="BJI165" s="21"/>
      <c r="BJJ165" s="21"/>
      <c r="BJK165" s="21"/>
      <c r="BJL165" s="20"/>
      <c r="BJM165" s="20"/>
      <c r="BJN165" s="20"/>
      <c r="BJO165" s="20"/>
      <c r="BJP165" s="21"/>
      <c r="BJQ165" s="21"/>
      <c r="BJR165" s="7"/>
      <c r="BJS165" s="7"/>
      <c r="BJT165" s="21"/>
      <c r="BJU165" s="20"/>
      <c r="BJV165" s="20"/>
      <c r="BJW165" s="20"/>
      <c r="BJX165" s="21"/>
      <c r="BJY165" s="21"/>
      <c r="BJZ165" s="21"/>
      <c r="BKA165" s="21"/>
      <c r="BKB165" s="21"/>
      <c r="BKC165" s="20"/>
      <c r="BKD165" s="20"/>
      <c r="BKE165" s="20"/>
      <c r="BKF165" s="20"/>
      <c r="BKG165" s="21"/>
      <c r="BKH165" s="21"/>
      <c r="BKI165" s="7"/>
      <c r="BKJ165" s="7"/>
      <c r="BKK165" s="21"/>
      <c r="BKL165" s="20"/>
      <c r="BKM165" s="20"/>
      <c r="BKN165" s="20"/>
      <c r="BKO165" s="21"/>
      <c r="BKP165" s="21"/>
      <c r="BKQ165" s="21"/>
      <c r="BKR165" s="21"/>
      <c r="BKS165" s="21"/>
      <c r="BKT165" s="20"/>
      <c r="BKU165" s="20"/>
      <c r="BKV165" s="20"/>
      <c r="BKW165" s="20"/>
      <c r="BKX165" s="21"/>
      <c r="BKY165" s="21"/>
      <c r="BKZ165" s="7"/>
      <c r="BLA165" s="7"/>
      <c r="BLB165" s="21"/>
      <c r="BLC165" s="20"/>
      <c r="BLD165" s="20"/>
      <c r="BLE165" s="20"/>
      <c r="BLF165" s="21"/>
      <c r="BLG165" s="21"/>
      <c r="BLH165" s="21"/>
      <c r="BLI165" s="21"/>
      <c r="BLJ165" s="21"/>
      <c r="BLK165" s="20"/>
      <c r="BLL165" s="20"/>
      <c r="BLM165" s="20"/>
      <c r="BLN165" s="20"/>
      <c r="BLO165" s="21"/>
      <c r="BLP165" s="21"/>
      <c r="BLQ165" s="7"/>
      <c r="BLR165" s="7"/>
      <c r="BLS165" s="21"/>
      <c r="BLT165" s="20"/>
      <c r="BLU165" s="20"/>
      <c r="BLV165" s="20"/>
      <c r="BLW165" s="21"/>
      <c r="BLX165" s="21"/>
      <c r="BLY165" s="21"/>
      <c r="BLZ165" s="21"/>
      <c r="BMA165" s="21"/>
      <c r="BMB165" s="20"/>
      <c r="BMC165" s="20"/>
      <c r="BMD165" s="20"/>
      <c r="BME165" s="20"/>
      <c r="BMF165" s="21"/>
      <c r="BMG165" s="21"/>
      <c r="BMH165" s="7"/>
      <c r="BMI165" s="7"/>
      <c r="BMJ165" s="21"/>
      <c r="BMK165" s="20"/>
      <c r="BML165" s="20"/>
      <c r="BMM165" s="20"/>
      <c r="BMN165" s="21"/>
      <c r="BMO165" s="21"/>
      <c r="BMP165" s="21"/>
      <c r="BMQ165" s="21"/>
      <c r="BMR165" s="21"/>
      <c r="BMS165" s="20"/>
      <c r="BMT165" s="20"/>
      <c r="BMU165" s="20"/>
      <c r="BMV165" s="20"/>
      <c r="BMW165" s="21"/>
      <c r="BMX165" s="21"/>
      <c r="BMY165" s="7"/>
      <c r="BMZ165" s="7"/>
      <c r="BNA165" s="21"/>
      <c r="BNB165" s="20"/>
      <c r="BNC165" s="20"/>
      <c r="BND165" s="20"/>
      <c r="BNE165" s="21"/>
      <c r="BNF165" s="21"/>
      <c r="BNG165" s="21"/>
      <c r="BNH165" s="21"/>
      <c r="BNI165" s="21"/>
      <c r="BNJ165" s="20"/>
      <c r="BNK165" s="20"/>
      <c r="BNL165" s="20"/>
      <c r="BNM165" s="20"/>
      <c r="BNN165" s="21"/>
      <c r="BNO165" s="21"/>
      <c r="BNP165" s="7"/>
      <c r="BNQ165" s="7"/>
      <c r="BNR165" s="21"/>
      <c r="BNS165" s="20"/>
      <c r="BNT165" s="20"/>
      <c r="BNU165" s="20"/>
      <c r="BNV165" s="21"/>
      <c r="BNW165" s="21"/>
      <c r="BNX165" s="21"/>
      <c r="BNY165" s="21"/>
      <c r="BNZ165" s="21"/>
      <c r="BOA165" s="20"/>
      <c r="BOB165" s="20"/>
      <c r="BOC165" s="20"/>
      <c r="BOD165" s="20"/>
      <c r="BOE165" s="21"/>
      <c r="BOF165" s="21"/>
      <c r="BOG165" s="7"/>
      <c r="BOH165" s="7"/>
      <c r="BOI165" s="21"/>
      <c r="BOJ165" s="20"/>
      <c r="BOK165" s="20"/>
      <c r="BOL165" s="20"/>
      <c r="BOM165" s="21"/>
      <c r="BON165" s="21"/>
      <c r="BOO165" s="21"/>
      <c r="BOP165" s="21"/>
      <c r="BOQ165" s="21"/>
      <c r="BOR165" s="20"/>
      <c r="BOS165" s="20"/>
      <c r="BOT165" s="20"/>
      <c r="BOU165" s="20"/>
      <c r="BOV165" s="21"/>
      <c r="BOW165" s="21"/>
      <c r="BOX165" s="7"/>
      <c r="BOY165" s="7"/>
      <c r="BOZ165" s="21"/>
      <c r="BPA165" s="20"/>
      <c r="BPB165" s="20"/>
      <c r="BPC165" s="20"/>
      <c r="BPD165" s="21"/>
      <c r="BPE165" s="21"/>
      <c r="BPF165" s="21"/>
      <c r="BPG165" s="21"/>
      <c r="BPH165" s="21"/>
      <c r="BPI165" s="20"/>
      <c r="BPJ165" s="20"/>
      <c r="BPK165" s="20"/>
      <c r="BPL165" s="20"/>
      <c r="BPM165" s="21"/>
      <c r="BPN165" s="21"/>
      <c r="BPO165" s="7"/>
      <c r="BPP165" s="7"/>
      <c r="BPQ165" s="21"/>
      <c r="BPR165" s="20"/>
      <c r="BPS165" s="20"/>
      <c r="BPT165" s="20"/>
      <c r="BPU165" s="21"/>
      <c r="BPV165" s="21"/>
      <c r="BPW165" s="21"/>
      <c r="BPX165" s="21"/>
      <c r="BPY165" s="21"/>
      <c r="BPZ165" s="20"/>
      <c r="BQA165" s="20"/>
      <c r="BQB165" s="20"/>
      <c r="BQC165" s="20"/>
      <c r="BQD165" s="21"/>
      <c r="BQE165" s="21"/>
      <c r="BQF165" s="7"/>
      <c r="BQG165" s="7"/>
      <c r="BQH165" s="21"/>
      <c r="BQI165" s="20"/>
      <c r="BQJ165" s="20"/>
      <c r="BQK165" s="20"/>
      <c r="BQL165" s="21"/>
      <c r="BQM165" s="21"/>
      <c r="BQN165" s="21"/>
      <c r="BQO165" s="21"/>
      <c r="BQP165" s="21"/>
      <c r="BQQ165" s="20"/>
      <c r="BQR165" s="20"/>
      <c r="BQS165" s="20"/>
      <c r="BQT165" s="20"/>
      <c r="BQU165" s="21"/>
      <c r="BQV165" s="21"/>
      <c r="BQW165" s="7"/>
      <c r="BQX165" s="7"/>
      <c r="BQY165" s="21"/>
      <c r="BQZ165" s="20"/>
      <c r="BRA165" s="20"/>
      <c r="BRB165" s="20"/>
      <c r="BRC165" s="21"/>
      <c r="BRD165" s="21"/>
      <c r="BRE165" s="21"/>
      <c r="BRF165" s="21"/>
      <c r="BRG165" s="21"/>
      <c r="BRH165" s="20"/>
      <c r="BRI165" s="20"/>
      <c r="BRJ165" s="20"/>
      <c r="BRK165" s="20"/>
      <c r="BRL165" s="21"/>
      <c r="BRM165" s="21"/>
      <c r="BRN165" s="7"/>
      <c r="BRO165" s="7"/>
      <c r="BRP165" s="21"/>
      <c r="BRQ165" s="20"/>
      <c r="BRR165" s="20"/>
      <c r="BRS165" s="20"/>
      <c r="BRT165" s="21"/>
      <c r="BRU165" s="21"/>
      <c r="BRV165" s="21"/>
      <c r="BRW165" s="21"/>
      <c r="BRX165" s="21"/>
      <c r="BRY165" s="20"/>
      <c r="BRZ165" s="20"/>
      <c r="BSA165" s="20"/>
      <c r="BSB165" s="20"/>
      <c r="BSC165" s="21"/>
      <c r="BSD165" s="21"/>
      <c r="BSE165" s="7"/>
      <c r="BSF165" s="7"/>
      <c r="BSG165" s="21"/>
      <c r="BSH165" s="20"/>
      <c r="BSI165" s="20"/>
      <c r="BSJ165" s="20"/>
      <c r="BSK165" s="21"/>
      <c r="BSL165" s="21"/>
      <c r="BSM165" s="21"/>
      <c r="BSN165" s="21"/>
      <c r="BSO165" s="21"/>
      <c r="BSP165" s="20"/>
      <c r="BSQ165" s="20"/>
      <c r="BSR165" s="20"/>
      <c r="BSS165" s="20"/>
      <c r="BST165" s="21"/>
      <c r="BSU165" s="21"/>
      <c r="BSV165" s="7"/>
      <c r="BSW165" s="7"/>
      <c r="BSX165" s="21"/>
      <c r="BSY165" s="20"/>
      <c r="BSZ165" s="20"/>
      <c r="BTA165" s="20"/>
      <c r="BTB165" s="21"/>
      <c r="BTC165" s="21"/>
      <c r="BTD165" s="21"/>
      <c r="BTE165" s="21"/>
      <c r="BTF165" s="21"/>
      <c r="BTG165" s="20"/>
      <c r="BTH165" s="20"/>
      <c r="BTI165" s="20"/>
      <c r="BTJ165" s="20"/>
      <c r="BTK165" s="21"/>
      <c r="BTL165" s="21"/>
      <c r="BTM165" s="7"/>
      <c r="BTN165" s="7"/>
      <c r="BTO165" s="21"/>
      <c r="BTP165" s="20"/>
      <c r="BTQ165" s="20"/>
      <c r="BTR165" s="20"/>
      <c r="BTS165" s="21"/>
      <c r="BTT165" s="21"/>
      <c r="BTU165" s="21"/>
      <c r="BTV165" s="21"/>
      <c r="BTW165" s="21"/>
      <c r="BTX165" s="20"/>
      <c r="BTY165" s="20"/>
      <c r="BTZ165" s="20"/>
      <c r="BUA165" s="20"/>
      <c r="BUB165" s="21"/>
      <c r="BUC165" s="21"/>
      <c r="BUD165" s="7"/>
      <c r="BUE165" s="7"/>
      <c r="BUF165" s="21"/>
      <c r="BUG165" s="20"/>
      <c r="BUH165" s="20"/>
      <c r="BUI165" s="20"/>
      <c r="BUJ165" s="21"/>
      <c r="BUK165" s="21"/>
      <c r="BUL165" s="21"/>
      <c r="BUM165" s="21"/>
      <c r="BUN165" s="21"/>
      <c r="BUO165" s="20"/>
      <c r="BUP165" s="20"/>
      <c r="BUQ165" s="20"/>
      <c r="BUR165" s="20"/>
      <c r="BUS165" s="21"/>
      <c r="BUT165" s="21"/>
      <c r="BUU165" s="7"/>
      <c r="BUV165" s="7"/>
      <c r="BUW165" s="21"/>
      <c r="BUX165" s="20"/>
      <c r="BUY165" s="20"/>
      <c r="BUZ165" s="20"/>
      <c r="BVA165" s="21"/>
      <c r="BVB165" s="21"/>
      <c r="BVC165" s="21"/>
      <c r="BVD165" s="21"/>
      <c r="BVE165" s="21"/>
      <c r="BVF165" s="20"/>
      <c r="BVG165" s="20"/>
      <c r="BVH165" s="20"/>
      <c r="BVI165" s="20"/>
      <c r="BVJ165" s="21"/>
      <c r="BVK165" s="21"/>
      <c r="BVL165" s="7"/>
      <c r="BVM165" s="7"/>
      <c r="BVN165" s="21"/>
      <c r="BVO165" s="20"/>
      <c r="BVP165" s="20"/>
      <c r="BVQ165" s="20"/>
      <c r="BVR165" s="21"/>
      <c r="BVS165" s="21"/>
      <c r="BVT165" s="21"/>
      <c r="BVU165" s="21"/>
      <c r="BVV165" s="21"/>
      <c r="BVW165" s="20"/>
      <c r="BVX165" s="20"/>
      <c r="BVY165" s="20"/>
      <c r="BVZ165" s="20"/>
      <c r="BWA165" s="21"/>
      <c r="BWB165" s="21"/>
      <c r="BWC165" s="7"/>
      <c r="BWD165" s="7"/>
      <c r="BWE165" s="21"/>
      <c r="BWF165" s="20"/>
      <c r="BWG165" s="20"/>
      <c r="BWH165" s="20"/>
      <c r="BWI165" s="21"/>
      <c r="BWJ165" s="21"/>
      <c r="BWK165" s="21"/>
      <c r="BWL165" s="21"/>
      <c r="BWM165" s="21"/>
      <c r="BWN165" s="20"/>
      <c r="BWO165" s="20"/>
      <c r="BWP165" s="20"/>
      <c r="BWQ165" s="20"/>
      <c r="BWR165" s="21"/>
      <c r="BWS165" s="21"/>
      <c r="BWT165" s="7"/>
      <c r="BWU165" s="7"/>
      <c r="BWV165" s="21"/>
      <c r="BWW165" s="20"/>
      <c r="BWX165" s="20"/>
      <c r="BWY165" s="20"/>
      <c r="BWZ165" s="21"/>
      <c r="BXA165" s="21"/>
      <c r="BXB165" s="21"/>
      <c r="BXC165" s="21"/>
      <c r="BXD165" s="21"/>
      <c r="BXE165" s="20"/>
      <c r="BXF165" s="20"/>
      <c r="BXG165" s="20"/>
      <c r="BXH165" s="20"/>
      <c r="BXI165" s="21"/>
      <c r="BXJ165" s="21"/>
      <c r="BXK165" s="7"/>
      <c r="BXL165" s="7"/>
      <c r="BXM165" s="21"/>
      <c r="BXN165" s="20"/>
      <c r="BXO165" s="20"/>
      <c r="BXP165" s="20"/>
      <c r="BXQ165" s="21"/>
      <c r="BXR165" s="21"/>
      <c r="BXS165" s="21"/>
      <c r="BXT165" s="21"/>
      <c r="BXU165" s="21"/>
      <c r="BXV165" s="20"/>
      <c r="BXW165" s="20"/>
      <c r="BXX165" s="20"/>
      <c r="BXY165" s="20"/>
      <c r="BXZ165" s="21"/>
      <c r="BYA165" s="21"/>
      <c r="BYB165" s="7"/>
      <c r="BYC165" s="7"/>
      <c r="BYD165" s="21"/>
      <c r="BYE165" s="20"/>
      <c r="BYF165" s="20"/>
      <c r="BYG165" s="20"/>
      <c r="BYH165" s="21"/>
      <c r="BYI165" s="21"/>
      <c r="BYJ165" s="21"/>
      <c r="BYK165" s="21"/>
      <c r="BYL165" s="21"/>
      <c r="BYM165" s="20"/>
      <c r="BYN165" s="20"/>
      <c r="BYO165" s="20"/>
      <c r="BYP165" s="20"/>
      <c r="BYQ165" s="21"/>
      <c r="BYR165" s="21"/>
      <c r="BYS165" s="7"/>
      <c r="BYT165" s="7"/>
      <c r="BYU165" s="21"/>
      <c r="BYV165" s="20"/>
      <c r="BYW165" s="20"/>
      <c r="BYX165" s="20"/>
      <c r="BYY165" s="21"/>
      <c r="BYZ165" s="21"/>
      <c r="BZA165" s="21"/>
      <c r="BZB165" s="21"/>
      <c r="BZC165" s="21"/>
      <c r="BZD165" s="20"/>
      <c r="BZE165" s="20"/>
      <c r="BZF165" s="20"/>
      <c r="BZG165" s="20"/>
      <c r="BZH165" s="21"/>
      <c r="BZI165" s="21"/>
      <c r="BZJ165" s="7"/>
      <c r="BZK165" s="7"/>
      <c r="BZL165" s="21"/>
      <c r="BZM165" s="20"/>
      <c r="BZN165" s="20"/>
      <c r="BZO165" s="20"/>
      <c r="BZP165" s="21"/>
      <c r="BZQ165" s="21"/>
      <c r="BZR165" s="21"/>
      <c r="BZS165" s="21"/>
      <c r="BZT165" s="21"/>
      <c r="BZU165" s="20"/>
      <c r="BZV165" s="20"/>
      <c r="BZW165" s="20"/>
      <c r="BZX165" s="20"/>
      <c r="BZY165" s="21"/>
      <c r="BZZ165" s="21"/>
      <c r="CAA165" s="7"/>
      <c r="CAB165" s="7"/>
      <c r="CAC165" s="21"/>
      <c r="CAD165" s="20"/>
      <c r="CAE165" s="20"/>
      <c r="CAF165" s="20"/>
      <c r="CAG165" s="21"/>
      <c r="CAH165" s="21"/>
      <c r="CAI165" s="21"/>
      <c r="CAJ165" s="21"/>
      <c r="CAK165" s="21"/>
      <c r="CAL165" s="20"/>
      <c r="CAM165" s="20"/>
      <c r="CAN165" s="20"/>
      <c r="CAO165" s="20"/>
      <c r="CAP165" s="21"/>
      <c r="CAQ165" s="21"/>
      <c r="CAR165" s="7"/>
      <c r="CAS165" s="7"/>
      <c r="CAT165" s="21"/>
      <c r="CAU165" s="20"/>
      <c r="CAV165" s="20"/>
      <c r="CAW165" s="20"/>
      <c r="CAX165" s="21"/>
      <c r="CAY165" s="21"/>
      <c r="CAZ165" s="21"/>
      <c r="CBA165" s="21"/>
      <c r="CBB165" s="21"/>
      <c r="CBC165" s="20"/>
      <c r="CBD165" s="20"/>
      <c r="CBE165" s="20"/>
      <c r="CBF165" s="20"/>
      <c r="CBG165" s="21"/>
      <c r="CBH165" s="21"/>
      <c r="CBI165" s="7"/>
      <c r="CBJ165" s="7"/>
      <c r="CBK165" s="21"/>
      <c r="CBL165" s="20"/>
      <c r="CBM165" s="20"/>
      <c r="CBN165" s="20"/>
      <c r="CBO165" s="21"/>
      <c r="CBP165" s="21"/>
      <c r="CBQ165" s="21"/>
      <c r="CBR165" s="21"/>
      <c r="CBS165" s="21"/>
      <c r="CBT165" s="20"/>
      <c r="CBU165" s="20"/>
      <c r="CBV165" s="20"/>
      <c r="CBW165" s="20"/>
      <c r="CBX165" s="21"/>
      <c r="CBY165" s="21"/>
      <c r="CBZ165" s="7"/>
      <c r="CCA165" s="7"/>
      <c r="CCB165" s="21"/>
      <c r="CCC165" s="20"/>
      <c r="CCD165" s="20"/>
      <c r="CCE165" s="20"/>
      <c r="CCF165" s="21"/>
      <c r="CCG165" s="21"/>
      <c r="CCH165" s="21"/>
      <c r="CCI165" s="21"/>
      <c r="CCJ165" s="21"/>
      <c r="CCK165" s="20"/>
      <c r="CCL165" s="20"/>
      <c r="CCM165" s="20"/>
      <c r="CCN165" s="20"/>
      <c r="CCO165" s="21"/>
      <c r="CCP165" s="21"/>
      <c r="CCQ165" s="7"/>
      <c r="CCR165" s="7"/>
      <c r="CCS165" s="21"/>
      <c r="CCT165" s="20"/>
      <c r="CCU165" s="20"/>
      <c r="CCV165" s="20"/>
      <c r="CCW165" s="21"/>
      <c r="CCX165" s="21"/>
      <c r="CCY165" s="21"/>
      <c r="CCZ165" s="21"/>
      <c r="CDA165" s="21"/>
      <c r="CDB165" s="20"/>
      <c r="CDC165" s="20"/>
      <c r="CDD165" s="20"/>
      <c r="CDE165" s="20"/>
      <c r="CDF165" s="21"/>
      <c r="CDG165" s="21"/>
      <c r="CDH165" s="7"/>
      <c r="CDI165" s="7"/>
      <c r="CDJ165" s="21"/>
      <c r="CDK165" s="20"/>
      <c r="CDL165" s="20"/>
      <c r="CDM165" s="20"/>
      <c r="CDN165" s="21"/>
      <c r="CDO165" s="21"/>
      <c r="CDP165" s="21"/>
      <c r="CDQ165" s="21"/>
      <c r="CDR165" s="21"/>
      <c r="CDS165" s="20"/>
      <c r="CDT165" s="20"/>
      <c r="CDU165" s="20"/>
      <c r="CDV165" s="20"/>
      <c r="CDW165" s="21"/>
      <c r="CDX165" s="21"/>
      <c r="CDY165" s="7"/>
      <c r="CDZ165" s="7"/>
      <c r="CEA165" s="21"/>
      <c r="CEB165" s="20"/>
      <c r="CEC165" s="20"/>
      <c r="CED165" s="20"/>
      <c r="CEE165" s="21"/>
      <c r="CEF165" s="21"/>
      <c r="CEG165" s="21"/>
      <c r="CEH165" s="21"/>
      <c r="CEI165" s="21"/>
      <c r="CEJ165" s="20"/>
      <c r="CEK165" s="20"/>
      <c r="CEL165" s="20"/>
      <c r="CEM165" s="20"/>
      <c r="CEN165" s="21"/>
      <c r="CEO165" s="21"/>
      <c r="CEP165" s="7"/>
      <c r="CEQ165" s="7"/>
      <c r="CER165" s="21"/>
      <c r="CES165" s="20"/>
      <c r="CET165" s="20"/>
      <c r="CEU165" s="20"/>
      <c r="CEV165" s="21"/>
      <c r="CEW165" s="21"/>
      <c r="CEX165" s="21"/>
      <c r="CEY165" s="21"/>
      <c r="CEZ165" s="21"/>
      <c r="CFA165" s="20"/>
      <c r="CFB165" s="20"/>
      <c r="CFC165" s="20"/>
      <c r="CFD165" s="20"/>
      <c r="CFE165" s="21"/>
      <c r="CFF165" s="21"/>
      <c r="CFG165" s="7"/>
      <c r="CFH165" s="7"/>
      <c r="CFI165" s="21"/>
      <c r="CFJ165" s="20"/>
      <c r="CFK165" s="20"/>
      <c r="CFL165" s="20"/>
      <c r="CFM165" s="21"/>
      <c r="CFN165" s="21"/>
      <c r="CFO165" s="21"/>
      <c r="CFP165" s="21"/>
      <c r="CFQ165" s="21"/>
      <c r="CFR165" s="20"/>
      <c r="CFS165" s="20"/>
      <c r="CFT165" s="20"/>
      <c r="CFU165" s="20"/>
      <c r="CFV165" s="21"/>
      <c r="CFW165" s="21"/>
      <c r="CFX165" s="7"/>
      <c r="CFY165" s="7"/>
      <c r="CFZ165" s="21"/>
      <c r="CGA165" s="20"/>
      <c r="CGB165" s="20"/>
      <c r="CGC165" s="20"/>
      <c r="CGD165" s="21"/>
      <c r="CGE165" s="21"/>
      <c r="CGF165" s="21"/>
      <c r="CGG165" s="21"/>
      <c r="CGH165" s="21"/>
      <c r="CGI165" s="20"/>
      <c r="CGJ165" s="20"/>
      <c r="CGK165" s="20"/>
      <c r="CGL165" s="20"/>
      <c r="CGM165" s="21"/>
      <c r="CGN165" s="21"/>
      <c r="CGO165" s="7"/>
      <c r="CGP165" s="7"/>
      <c r="CGQ165" s="21"/>
      <c r="CGR165" s="20"/>
      <c r="CGS165" s="20"/>
      <c r="CGT165" s="20"/>
      <c r="CGU165" s="21"/>
      <c r="CGV165" s="21"/>
      <c r="CGW165" s="21"/>
      <c r="CGX165" s="21"/>
      <c r="CGY165" s="21"/>
      <c r="CGZ165" s="20"/>
      <c r="CHA165" s="20"/>
      <c r="CHB165" s="20"/>
      <c r="CHC165" s="20"/>
      <c r="CHD165" s="21"/>
      <c r="CHE165" s="21"/>
      <c r="CHF165" s="7"/>
      <c r="CHG165" s="7"/>
      <c r="CHH165" s="21"/>
      <c r="CHI165" s="20"/>
      <c r="CHJ165" s="20"/>
      <c r="CHK165" s="20"/>
      <c r="CHL165" s="21"/>
      <c r="CHM165" s="21"/>
      <c r="CHN165" s="21"/>
      <c r="CHO165" s="21"/>
      <c r="CHP165" s="21"/>
      <c r="CHQ165" s="20"/>
      <c r="CHR165" s="20"/>
      <c r="CHS165" s="20"/>
      <c r="CHT165" s="20"/>
      <c r="CHU165" s="21"/>
      <c r="CHV165" s="21"/>
      <c r="CHW165" s="7"/>
      <c r="CHX165" s="7"/>
      <c r="CHY165" s="21"/>
      <c r="CHZ165" s="20"/>
      <c r="CIA165" s="20"/>
      <c r="CIB165" s="20"/>
      <c r="CIC165" s="21"/>
      <c r="CID165" s="21"/>
      <c r="CIE165" s="21"/>
      <c r="CIF165" s="21"/>
      <c r="CIG165" s="21"/>
      <c r="CIH165" s="20"/>
      <c r="CII165" s="20"/>
      <c r="CIJ165" s="20"/>
      <c r="CIK165" s="20"/>
      <c r="CIL165" s="21"/>
      <c r="CIM165" s="21"/>
      <c r="CIN165" s="7"/>
      <c r="CIO165" s="7"/>
      <c r="CIP165" s="21"/>
      <c r="CIQ165" s="20"/>
      <c r="CIR165" s="20"/>
      <c r="CIS165" s="20"/>
      <c r="CIT165" s="21"/>
      <c r="CIU165" s="21"/>
      <c r="CIV165" s="21"/>
      <c r="CIW165" s="21"/>
      <c r="CIX165" s="21"/>
      <c r="CIY165" s="20"/>
      <c r="CIZ165" s="20"/>
      <c r="CJA165" s="20"/>
      <c r="CJB165" s="20"/>
      <c r="CJC165" s="21"/>
      <c r="CJD165" s="21"/>
      <c r="CJE165" s="7"/>
      <c r="CJF165" s="7"/>
      <c r="CJG165" s="21"/>
      <c r="CJH165" s="20"/>
      <c r="CJI165" s="20"/>
      <c r="CJJ165" s="20"/>
      <c r="CJK165" s="21"/>
      <c r="CJL165" s="21"/>
      <c r="CJM165" s="21"/>
      <c r="CJN165" s="21"/>
      <c r="CJO165" s="21"/>
      <c r="CJP165" s="20"/>
      <c r="CJQ165" s="20"/>
      <c r="CJR165" s="20"/>
      <c r="CJS165" s="20"/>
      <c r="CJT165" s="21"/>
      <c r="CJU165" s="21"/>
      <c r="CJV165" s="7"/>
      <c r="CJW165" s="7"/>
      <c r="CJX165" s="21"/>
      <c r="CJY165" s="20"/>
      <c r="CJZ165" s="20"/>
      <c r="CKA165" s="20"/>
      <c r="CKB165" s="21"/>
      <c r="CKC165" s="21"/>
      <c r="CKD165" s="21"/>
      <c r="CKE165" s="21"/>
      <c r="CKF165" s="21"/>
      <c r="CKG165" s="20"/>
      <c r="CKH165" s="20"/>
      <c r="CKI165" s="20"/>
      <c r="CKJ165" s="20"/>
      <c r="CKK165" s="21"/>
      <c r="CKL165" s="21"/>
      <c r="CKM165" s="7"/>
      <c r="CKN165" s="7"/>
      <c r="CKO165" s="21"/>
      <c r="CKP165" s="20"/>
      <c r="CKQ165" s="20"/>
      <c r="CKR165" s="20"/>
      <c r="CKS165" s="21"/>
      <c r="CKT165" s="21"/>
      <c r="CKU165" s="21"/>
      <c r="CKV165" s="21"/>
      <c r="CKW165" s="21"/>
      <c r="CKX165" s="20"/>
      <c r="CKY165" s="20"/>
      <c r="CKZ165" s="20"/>
      <c r="CLA165" s="20"/>
      <c r="CLB165" s="21"/>
      <c r="CLC165" s="21"/>
      <c r="CLD165" s="7"/>
      <c r="CLE165" s="7"/>
      <c r="CLF165" s="21"/>
      <c r="CLG165" s="20"/>
      <c r="CLH165" s="20"/>
      <c r="CLI165" s="20"/>
      <c r="CLJ165" s="21"/>
      <c r="CLK165" s="21"/>
      <c r="CLL165" s="21"/>
      <c r="CLM165" s="21"/>
      <c r="CLN165" s="21"/>
      <c r="CLO165" s="20"/>
      <c r="CLP165" s="20"/>
      <c r="CLQ165" s="20"/>
      <c r="CLR165" s="20"/>
      <c r="CLS165" s="21"/>
      <c r="CLT165" s="21"/>
      <c r="CLU165" s="7"/>
      <c r="CLV165" s="7"/>
      <c r="CLW165" s="21"/>
      <c r="CLX165" s="20"/>
      <c r="CLY165" s="20"/>
      <c r="CLZ165" s="20"/>
      <c r="CMA165" s="21"/>
      <c r="CMB165" s="21"/>
      <c r="CMC165" s="21"/>
      <c r="CMD165" s="21"/>
      <c r="CME165" s="21"/>
      <c r="CMF165" s="20"/>
      <c r="CMG165" s="20"/>
      <c r="CMH165" s="20"/>
      <c r="CMI165" s="20"/>
      <c r="CMJ165" s="21"/>
      <c r="CMK165" s="21"/>
      <c r="CML165" s="7"/>
      <c r="CMM165" s="7"/>
      <c r="CMN165" s="21"/>
      <c r="CMO165" s="20"/>
      <c r="CMP165" s="20"/>
      <c r="CMQ165" s="20"/>
      <c r="CMR165" s="21"/>
      <c r="CMS165" s="21"/>
      <c r="CMT165" s="21"/>
      <c r="CMU165" s="21"/>
      <c r="CMV165" s="21"/>
      <c r="CMW165" s="20"/>
      <c r="CMX165" s="20"/>
      <c r="CMY165" s="20"/>
      <c r="CMZ165" s="20"/>
      <c r="CNA165" s="21"/>
      <c r="CNB165" s="21"/>
      <c r="CNC165" s="7"/>
      <c r="CND165" s="7"/>
      <c r="CNE165" s="21"/>
      <c r="CNF165" s="20"/>
      <c r="CNG165" s="20"/>
      <c r="CNH165" s="20"/>
      <c r="CNI165" s="21"/>
      <c r="CNJ165" s="21"/>
      <c r="CNK165" s="21"/>
      <c r="CNL165" s="21"/>
      <c r="CNM165" s="21"/>
      <c r="CNN165" s="20"/>
      <c r="CNO165" s="20"/>
      <c r="CNP165" s="20"/>
      <c r="CNQ165" s="20"/>
      <c r="CNR165" s="21"/>
      <c r="CNS165" s="21"/>
      <c r="CNT165" s="7"/>
      <c r="CNU165" s="7"/>
      <c r="CNV165" s="21"/>
      <c r="CNW165" s="20"/>
      <c r="CNX165" s="20"/>
      <c r="CNY165" s="20"/>
      <c r="CNZ165" s="21"/>
      <c r="COA165" s="21"/>
      <c r="COB165" s="21"/>
      <c r="COC165" s="21"/>
      <c r="COD165" s="21"/>
      <c r="COE165" s="20"/>
      <c r="COF165" s="20"/>
      <c r="COG165" s="20"/>
      <c r="COH165" s="20"/>
      <c r="COI165" s="21"/>
      <c r="COJ165" s="21"/>
      <c r="COK165" s="7"/>
      <c r="COL165" s="7"/>
      <c r="COM165" s="21"/>
      <c r="CON165" s="20"/>
      <c r="COO165" s="20"/>
      <c r="COP165" s="20"/>
      <c r="COQ165" s="21"/>
      <c r="COR165" s="21"/>
      <c r="COS165" s="21"/>
      <c r="COT165" s="21"/>
      <c r="COU165" s="21"/>
      <c r="COV165" s="20"/>
      <c r="COW165" s="20"/>
      <c r="COX165" s="20"/>
      <c r="COY165" s="20"/>
      <c r="COZ165" s="21"/>
      <c r="CPA165" s="21"/>
      <c r="CPB165" s="7"/>
      <c r="CPC165" s="7"/>
      <c r="CPD165" s="21"/>
      <c r="CPE165" s="20"/>
      <c r="CPF165" s="20"/>
      <c r="CPG165" s="20"/>
      <c r="CPH165" s="21"/>
      <c r="CPI165" s="21"/>
      <c r="CPJ165" s="21"/>
      <c r="CPK165" s="21"/>
      <c r="CPL165" s="21"/>
      <c r="CPM165" s="20"/>
      <c r="CPN165" s="20"/>
      <c r="CPO165" s="20"/>
      <c r="CPP165" s="20"/>
      <c r="CPQ165" s="21"/>
      <c r="CPR165" s="21"/>
      <c r="CPS165" s="7"/>
      <c r="CPT165" s="7"/>
      <c r="CPU165" s="21"/>
      <c r="CPV165" s="20"/>
      <c r="CPW165" s="20"/>
      <c r="CPX165" s="20"/>
      <c r="CPY165" s="21"/>
      <c r="CPZ165" s="21"/>
      <c r="CQA165" s="21"/>
      <c r="CQB165" s="21"/>
      <c r="CQC165" s="21"/>
      <c r="CQD165" s="20"/>
      <c r="CQE165" s="20"/>
      <c r="CQF165" s="20"/>
      <c r="CQG165" s="20"/>
      <c r="CQH165" s="21"/>
      <c r="CQI165" s="21"/>
      <c r="CQJ165" s="7"/>
      <c r="CQK165" s="7"/>
      <c r="CQL165" s="21"/>
      <c r="CQM165" s="20"/>
      <c r="CQN165" s="20"/>
      <c r="CQO165" s="20"/>
      <c r="CQP165" s="21"/>
      <c r="CQQ165" s="21"/>
      <c r="CQR165" s="21"/>
      <c r="CQS165" s="21"/>
      <c r="CQT165" s="21"/>
      <c r="CQU165" s="20"/>
      <c r="CQV165" s="20"/>
      <c r="CQW165" s="20"/>
      <c r="CQX165" s="20"/>
      <c r="CQY165" s="21"/>
      <c r="CQZ165" s="21"/>
      <c r="CRA165" s="7"/>
      <c r="CRB165" s="7"/>
      <c r="CRC165" s="21"/>
      <c r="CRD165" s="20"/>
      <c r="CRE165" s="20"/>
      <c r="CRF165" s="20"/>
      <c r="CRG165" s="21"/>
      <c r="CRH165" s="21"/>
      <c r="CRI165" s="21"/>
      <c r="CRJ165" s="21"/>
      <c r="CRK165" s="21"/>
      <c r="CRL165" s="20"/>
      <c r="CRM165" s="20"/>
      <c r="CRN165" s="20"/>
      <c r="CRO165" s="20"/>
      <c r="CRP165" s="21"/>
      <c r="CRQ165" s="21"/>
      <c r="CRR165" s="7"/>
      <c r="CRS165" s="7"/>
      <c r="CRT165" s="21"/>
      <c r="CRU165" s="20"/>
      <c r="CRV165" s="20"/>
      <c r="CRW165" s="20"/>
      <c r="CRX165" s="21"/>
      <c r="CRY165" s="21"/>
      <c r="CRZ165" s="21"/>
      <c r="CSA165" s="21"/>
      <c r="CSB165" s="21"/>
      <c r="CSC165" s="20"/>
      <c r="CSD165" s="20"/>
      <c r="CSE165" s="20"/>
      <c r="CSF165" s="20"/>
      <c r="CSG165" s="21"/>
      <c r="CSH165" s="21"/>
      <c r="CSI165" s="7"/>
      <c r="CSJ165" s="7"/>
      <c r="CSK165" s="21"/>
      <c r="CSL165" s="20"/>
      <c r="CSM165" s="20"/>
      <c r="CSN165" s="20"/>
      <c r="CSO165" s="21"/>
      <c r="CSP165" s="21"/>
      <c r="CSQ165" s="21"/>
      <c r="CSR165" s="21"/>
      <c r="CSS165" s="21"/>
      <c r="CST165" s="20"/>
      <c r="CSU165" s="20"/>
      <c r="CSV165" s="20"/>
      <c r="CSW165" s="20"/>
      <c r="CSX165" s="21"/>
      <c r="CSY165" s="21"/>
      <c r="CSZ165" s="7"/>
      <c r="CTA165" s="7"/>
      <c r="CTB165" s="21"/>
      <c r="CTC165" s="20"/>
      <c r="CTD165" s="20"/>
      <c r="CTE165" s="20"/>
      <c r="CTF165" s="21"/>
      <c r="CTG165" s="21"/>
      <c r="CTH165" s="21"/>
      <c r="CTI165" s="21"/>
      <c r="CTJ165" s="21"/>
      <c r="CTK165" s="20"/>
      <c r="CTL165" s="20"/>
      <c r="CTM165" s="20"/>
      <c r="CTN165" s="20"/>
      <c r="CTO165" s="21"/>
      <c r="CTP165" s="21"/>
      <c r="CTQ165" s="7"/>
      <c r="CTR165" s="7"/>
      <c r="CTS165" s="21"/>
      <c r="CTT165" s="20"/>
      <c r="CTU165" s="20"/>
      <c r="CTV165" s="20"/>
      <c r="CTW165" s="21"/>
      <c r="CTX165" s="21"/>
      <c r="CTY165" s="21"/>
      <c r="CTZ165" s="21"/>
      <c r="CUA165" s="21"/>
      <c r="CUB165" s="20"/>
      <c r="CUC165" s="20"/>
      <c r="CUD165" s="20"/>
      <c r="CUE165" s="20"/>
      <c r="CUF165" s="21"/>
      <c r="CUG165" s="21"/>
      <c r="CUH165" s="7"/>
      <c r="CUI165" s="7"/>
      <c r="CUJ165" s="21"/>
      <c r="CUK165" s="20"/>
      <c r="CUL165" s="20"/>
      <c r="CUM165" s="20"/>
      <c r="CUN165" s="21"/>
      <c r="CUO165" s="21"/>
      <c r="CUP165" s="21"/>
      <c r="CUQ165" s="21"/>
      <c r="CUR165" s="21"/>
      <c r="CUS165" s="20"/>
      <c r="CUT165" s="20"/>
      <c r="CUU165" s="20"/>
      <c r="CUV165" s="20"/>
      <c r="CUW165" s="21"/>
      <c r="CUX165" s="21"/>
      <c r="CUY165" s="7"/>
      <c r="CUZ165" s="7"/>
      <c r="CVA165" s="21"/>
      <c r="CVB165" s="20"/>
      <c r="CVC165" s="20"/>
      <c r="CVD165" s="20"/>
      <c r="CVE165" s="21"/>
      <c r="CVF165" s="21"/>
      <c r="CVG165" s="21"/>
      <c r="CVH165" s="21"/>
      <c r="CVI165" s="21"/>
      <c r="CVJ165" s="20"/>
      <c r="CVK165" s="20"/>
      <c r="CVL165" s="20"/>
      <c r="CVM165" s="20"/>
      <c r="CVN165" s="21"/>
      <c r="CVO165" s="21"/>
      <c r="CVP165" s="7"/>
      <c r="CVQ165" s="7"/>
      <c r="CVR165" s="21"/>
      <c r="CVS165" s="20"/>
      <c r="CVT165" s="20"/>
      <c r="CVU165" s="20"/>
      <c r="CVV165" s="21"/>
      <c r="CVW165" s="21"/>
      <c r="CVX165" s="21"/>
      <c r="CVY165" s="21"/>
      <c r="CVZ165" s="21"/>
      <c r="CWA165" s="20"/>
      <c r="CWB165" s="20"/>
      <c r="CWC165" s="20"/>
      <c r="CWD165" s="20"/>
      <c r="CWE165" s="21"/>
      <c r="CWF165" s="21"/>
      <c r="CWG165" s="7"/>
      <c r="CWH165" s="7"/>
      <c r="CWI165" s="21"/>
      <c r="CWJ165" s="20"/>
      <c r="CWK165" s="20"/>
      <c r="CWL165" s="20"/>
      <c r="CWM165" s="21"/>
      <c r="CWN165" s="21"/>
      <c r="CWO165" s="21"/>
      <c r="CWP165" s="21"/>
      <c r="CWQ165" s="21"/>
      <c r="CWR165" s="20"/>
      <c r="CWS165" s="20"/>
      <c r="CWT165" s="20"/>
      <c r="CWU165" s="20"/>
      <c r="CWV165" s="21"/>
      <c r="CWW165" s="21"/>
      <c r="CWX165" s="7"/>
      <c r="CWY165" s="7"/>
      <c r="CWZ165" s="21"/>
      <c r="CXA165" s="20"/>
      <c r="CXB165" s="20"/>
      <c r="CXC165" s="20"/>
      <c r="CXD165" s="21"/>
      <c r="CXE165" s="21"/>
      <c r="CXF165" s="21"/>
      <c r="CXG165" s="21"/>
      <c r="CXH165" s="21"/>
      <c r="CXI165" s="20"/>
      <c r="CXJ165" s="20"/>
      <c r="CXK165" s="20"/>
      <c r="CXL165" s="20"/>
      <c r="CXM165" s="21"/>
      <c r="CXN165" s="21"/>
      <c r="CXO165" s="7"/>
      <c r="CXP165" s="7"/>
      <c r="CXQ165" s="21"/>
      <c r="CXR165" s="20"/>
      <c r="CXS165" s="20"/>
      <c r="CXT165" s="20"/>
      <c r="CXU165" s="21"/>
      <c r="CXV165" s="21"/>
      <c r="CXW165" s="21"/>
      <c r="CXX165" s="21"/>
      <c r="CXY165" s="21"/>
      <c r="CXZ165" s="20"/>
      <c r="CYA165" s="20"/>
      <c r="CYB165" s="20"/>
      <c r="CYC165" s="20"/>
      <c r="CYD165" s="21"/>
      <c r="CYE165" s="21"/>
      <c r="CYF165" s="7"/>
      <c r="CYG165" s="7"/>
      <c r="CYH165" s="21"/>
      <c r="CYI165" s="20"/>
      <c r="CYJ165" s="20"/>
      <c r="CYK165" s="20"/>
      <c r="CYL165" s="21"/>
      <c r="CYM165" s="21"/>
      <c r="CYN165" s="21"/>
      <c r="CYO165" s="21"/>
      <c r="CYP165" s="21"/>
      <c r="CYQ165" s="20"/>
      <c r="CYR165" s="20"/>
      <c r="CYS165" s="20"/>
      <c r="CYT165" s="20"/>
      <c r="CYU165" s="21"/>
      <c r="CYV165" s="21"/>
      <c r="CYW165" s="7"/>
      <c r="CYX165" s="7"/>
      <c r="CYY165" s="21"/>
      <c r="CYZ165" s="20"/>
      <c r="CZA165" s="20"/>
      <c r="CZB165" s="20"/>
      <c r="CZC165" s="21"/>
      <c r="CZD165" s="21"/>
      <c r="CZE165" s="21"/>
      <c r="CZF165" s="21"/>
      <c r="CZG165" s="21"/>
      <c r="CZH165" s="20"/>
      <c r="CZI165" s="20"/>
      <c r="CZJ165" s="20"/>
      <c r="CZK165" s="20"/>
      <c r="CZL165" s="21"/>
      <c r="CZM165" s="21"/>
      <c r="CZN165" s="7"/>
      <c r="CZO165" s="7"/>
      <c r="CZP165" s="21"/>
      <c r="CZQ165" s="20"/>
      <c r="CZR165" s="20"/>
      <c r="CZS165" s="20"/>
      <c r="CZT165" s="21"/>
      <c r="CZU165" s="21"/>
      <c r="CZV165" s="21"/>
      <c r="CZW165" s="21"/>
      <c r="CZX165" s="21"/>
      <c r="CZY165" s="20"/>
      <c r="CZZ165" s="20"/>
      <c r="DAA165" s="20"/>
      <c r="DAB165" s="20"/>
      <c r="DAC165" s="21"/>
      <c r="DAD165" s="21"/>
      <c r="DAE165" s="7"/>
      <c r="DAF165" s="7"/>
      <c r="DAG165" s="21"/>
      <c r="DAH165" s="20"/>
      <c r="DAI165" s="20"/>
      <c r="DAJ165" s="20"/>
      <c r="DAK165" s="21"/>
      <c r="DAL165" s="21"/>
      <c r="DAM165" s="21"/>
      <c r="DAN165" s="21"/>
      <c r="DAO165" s="21"/>
      <c r="DAP165" s="20"/>
      <c r="DAQ165" s="20"/>
      <c r="DAR165" s="20"/>
      <c r="DAS165" s="20"/>
      <c r="DAT165" s="21"/>
      <c r="DAU165" s="21"/>
      <c r="DAV165" s="7"/>
      <c r="DAW165" s="7"/>
      <c r="DAX165" s="21"/>
      <c r="DAY165" s="20"/>
      <c r="DAZ165" s="20"/>
      <c r="DBA165" s="20"/>
      <c r="DBB165" s="21"/>
      <c r="DBC165" s="21"/>
      <c r="DBD165" s="21"/>
      <c r="DBE165" s="21"/>
      <c r="DBF165" s="21"/>
      <c r="DBG165" s="20"/>
      <c r="DBH165" s="20"/>
      <c r="DBI165" s="20"/>
      <c r="DBJ165" s="20"/>
      <c r="DBK165" s="21"/>
      <c r="DBL165" s="21"/>
      <c r="DBM165" s="7"/>
      <c r="DBN165" s="7"/>
      <c r="DBO165" s="21"/>
      <c r="DBP165" s="20"/>
      <c r="DBQ165" s="20"/>
      <c r="DBR165" s="20"/>
      <c r="DBS165" s="21"/>
      <c r="DBT165" s="21"/>
      <c r="DBU165" s="21"/>
      <c r="DBV165" s="21"/>
      <c r="DBW165" s="21"/>
      <c r="DBX165" s="20"/>
      <c r="DBY165" s="20"/>
      <c r="DBZ165" s="20"/>
      <c r="DCA165" s="20"/>
      <c r="DCB165" s="21"/>
      <c r="DCC165" s="21"/>
      <c r="DCD165" s="7"/>
      <c r="DCE165" s="7"/>
      <c r="DCF165" s="21"/>
      <c r="DCG165" s="20"/>
      <c r="DCH165" s="20"/>
      <c r="DCI165" s="20"/>
      <c r="DCJ165" s="21"/>
      <c r="DCK165" s="21"/>
      <c r="DCL165" s="21"/>
      <c r="DCM165" s="21"/>
      <c r="DCN165" s="21"/>
      <c r="DCO165" s="20"/>
      <c r="DCP165" s="20"/>
      <c r="DCQ165" s="20"/>
      <c r="DCR165" s="20"/>
      <c r="DCS165" s="21"/>
      <c r="DCT165" s="21"/>
      <c r="DCU165" s="7"/>
      <c r="DCV165" s="7"/>
      <c r="DCW165" s="21"/>
      <c r="DCX165" s="20"/>
      <c r="DCY165" s="20"/>
      <c r="DCZ165" s="20"/>
      <c r="DDA165" s="21"/>
      <c r="DDB165" s="21"/>
      <c r="DDC165" s="21"/>
      <c r="DDD165" s="21"/>
      <c r="DDE165" s="21"/>
      <c r="DDF165" s="20"/>
      <c r="DDG165" s="20"/>
      <c r="DDH165" s="20"/>
      <c r="DDI165" s="20"/>
      <c r="DDJ165" s="21"/>
      <c r="DDK165" s="21"/>
      <c r="DDL165" s="7"/>
      <c r="DDM165" s="7"/>
      <c r="DDN165" s="21"/>
      <c r="DDO165" s="20"/>
      <c r="DDP165" s="20"/>
      <c r="DDQ165" s="20"/>
      <c r="DDR165" s="21"/>
      <c r="DDS165" s="21"/>
      <c r="DDT165" s="21"/>
      <c r="DDU165" s="21"/>
      <c r="DDV165" s="21"/>
      <c r="DDW165" s="20"/>
      <c r="DDX165" s="20"/>
      <c r="DDY165" s="20"/>
      <c r="DDZ165" s="20"/>
      <c r="DEA165" s="21"/>
      <c r="DEB165" s="21"/>
      <c r="DEC165" s="7"/>
      <c r="DED165" s="7"/>
      <c r="DEE165" s="21"/>
      <c r="DEF165" s="20"/>
      <c r="DEG165" s="20"/>
      <c r="DEH165" s="20"/>
      <c r="DEI165" s="21"/>
      <c r="DEJ165" s="21"/>
      <c r="DEK165" s="21"/>
      <c r="DEL165" s="21"/>
      <c r="DEM165" s="21"/>
      <c r="DEN165" s="20"/>
      <c r="DEO165" s="20"/>
      <c r="DEP165" s="20"/>
      <c r="DEQ165" s="20"/>
      <c r="DER165" s="21"/>
      <c r="DES165" s="21"/>
      <c r="DET165" s="7"/>
      <c r="DEU165" s="7"/>
      <c r="DEV165" s="21"/>
      <c r="DEW165" s="20"/>
      <c r="DEX165" s="20"/>
      <c r="DEY165" s="20"/>
      <c r="DEZ165" s="21"/>
      <c r="DFA165" s="21"/>
      <c r="DFB165" s="21"/>
      <c r="DFC165" s="21"/>
      <c r="DFD165" s="21"/>
      <c r="DFE165" s="20"/>
      <c r="DFF165" s="20"/>
      <c r="DFG165" s="20"/>
      <c r="DFH165" s="20"/>
      <c r="DFI165" s="21"/>
      <c r="DFJ165" s="21"/>
      <c r="DFK165" s="7"/>
      <c r="DFL165" s="7"/>
      <c r="DFM165" s="21"/>
      <c r="DFN165" s="20"/>
      <c r="DFO165" s="20"/>
      <c r="DFP165" s="20"/>
      <c r="DFQ165" s="21"/>
      <c r="DFR165" s="21"/>
      <c r="DFS165" s="21"/>
      <c r="DFT165" s="21"/>
      <c r="DFU165" s="21"/>
      <c r="DFV165" s="20"/>
      <c r="DFW165" s="20"/>
      <c r="DFX165" s="20"/>
      <c r="DFY165" s="20"/>
      <c r="DFZ165" s="21"/>
      <c r="DGA165" s="21"/>
      <c r="DGB165" s="7"/>
      <c r="DGC165" s="7"/>
      <c r="DGD165" s="21"/>
      <c r="DGE165" s="20"/>
      <c r="DGF165" s="20"/>
      <c r="DGG165" s="20"/>
      <c r="DGH165" s="21"/>
      <c r="DGI165" s="21"/>
      <c r="DGJ165" s="21"/>
      <c r="DGK165" s="21"/>
      <c r="DGL165" s="21"/>
      <c r="DGM165" s="20"/>
      <c r="DGN165" s="20"/>
      <c r="DGO165" s="20"/>
      <c r="DGP165" s="20"/>
      <c r="DGQ165" s="21"/>
      <c r="DGR165" s="21"/>
      <c r="DGS165" s="7"/>
      <c r="DGT165" s="7"/>
      <c r="DGU165" s="21"/>
      <c r="DGV165" s="20"/>
      <c r="DGW165" s="20"/>
      <c r="DGX165" s="20"/>
      <c r="DGY165" s="21"/>
      <c r="DGZ165" s="21"/>
      <c r="DHA165" s="21"/>
      <c r="DHB165" s="21"/>
      <c r="DHC165" s="21"/>
      <c r="DHD165" s="20"/>
      <c r="DHE165" s="20"/>
      <c r="DHF165" s="20"/>
      <c r="DHG165" s="20"/>
      <c r="DHH165" s="21"/>
      <c r="DHI165" s="21"/>
      <c r="DHJ165" s="7"/>
      <c r="DHK165" s="7"/>
      <c r="DHL165" s="21"/>
      <c r="DHM165" s="20"/>
      <c r="DHN165" s="20"/>
      <c r="DHO165" s="20"/>
      <c r="DHP165" s="21"/>
      <c r="DHQ165" s="21"/>
      <c r="DHR165" s="21"/>
      <c r="DHS165" s="21"/>
      <c r="DHT165" s="21"/>
      <c r="DHU165" s="20"/>
      <c r="DHV165" s="20"/>
      <c r="DHW165" s="20"/>
      <c r="DHX165" s="20"/>
      <c r="DHY165" s="21"/>
      <c r="DHZ165" s="21"/>
      <c r="DIA165" s="7"/>
      <c r="DIB165" s="7"/>
      <c r="DIC165" s="21"/>
      <c r="DID165" s="20"/>
      <c r="DIE165" s="20"/>
      <c r="DIF165" s="20"/>
      <c r="DIG165" s="21"/>
      <c r="DIH165" s="21"/>
      <c r="DII165" s="21"/>
      <c r="DIJ165" s="21"/>
      <c r="DIK165" s="21"/>
      <c r="DIL165" s="20"/>
      <c r="DIM165" s="20"/>
      <c r="DIN165" s="20"/>
      <c r="DIO165" s="20"/>
      <c r="DIP165" s="21"/>
      <c r="DIQ165" s="21"/>
      <c r="DIR165" s="7"/>
      <c r="DIS165" s="7"/>
      <c r="DIT165" s="21"/>
      <c r="DIU165" s="20"/>
      <c r="DIV165" s="20"/>
      <c r="DIW165" s="20"/>
      <c r="DIX165" s="21"/>
      <c r="DIY165" s="21"/>
      <c r="DIZ165" s="21"/>
      <c r="DJA165" s="21"/>
      <c r="DJB165" s="21"/>
      <c r="DJC165" s="20"/>
      <c r="DJD165" s="20"/>
      <c r="DJE165" s="20"/>
      <c r="DJF165" s="20"/>
      <c r="DJG165" s="21"/>
      <c r="DJH165" s="21"/>
      <c r="DJI165" s="7"/>
      <c r="DJJ165" s="7"/>
      <c r="DJK165" s="21"/>
      <c r="DJL165" s="20"/>
      <c r="DJM165" s="20"/>
      <c r="DJN165" s="20"/>
      <c r="DJO165" s="21"/>
      <c r="DJP165" s="21"/>
      <c r="DJQ165" s="21"/>
      <c r="DJR165" s="21"/>
      <c r="DJS165" s="21"/>
      <c r="DJT165" s="20"/>
      <c r="DJU165" s="20"/>
      <c r="DJV165" s="20"/>
      <c r="DJW165" s="20"/>
      <c r="DJX165" s="21"/>
      <c r="DJY165" s="21"/>
      <c r="DJZ165" s="7"/>
      <c r="DKA165" s="7"/>
      <c r="DKB165" s="21"/>
      <c r="DKC165" s="20"/>
      <c r="DKD165" s="20"/>
      <c r="DKE165" s="20"/>
      <c r="DKF165" s="21"/>
      <c r="DKG165" s="21"/>
      <c r="DKH165" s="21"/>
      <c r="DKI165" s="21"/>
      <c r="DKJ165" s="21"/>
      <c r="DKK165" s="20"/>
      <c r="DKL165" s="20"/>
      <c r="DKM165" s="20"/>
      <c r="DKN165" s="20"/>
      <c r="DKO165" s="21"/>
      <c r="DKP165" s="21"/>
      <c r="DKQ165" s="7"/>
      <c r="DKR165" s="7"/>
      <c r="DKS165" s="21"/>
      <c r="DKT165" s="20"/>
      <c r="DKU165" s="20"/>
      <c r="DKV165" s="20"/>
      <c r="DKW165" s="21"/>
      <c r="DKX165" s="21"/>
      <c r="DKY165" s="21"/>
      <c r="DKZ165" s="21"/>
      <c r="DLA165" s="21"/>
      <c r="DLB165" s="20"/>
      <c r="DLC165" s="20"/>
      <c r="DLD165" s="20"/>
      <c r="DLE165" s="20"/>
      <c r="DLF165" s="21"/>
      <c r="DLG165" s="21"/>
      <c r="DLH165" s="7"/>
      <c r="DLI165" s="7"/>
      <c r="DLJ165" s="21"/>
      <c r="DLK165" s="20"/>
      <c r="DLL165" s="20"/>
      <c r="DLM165" s="20"/>
      <c r="DLN165" s="21"/>
      <c r="DLO165" s="21"/>
      <c r="DLP165" s="21"/>
      <c r="DLQ165" s="21"/>
      <c r="DLR165" s="21"/>
      <c r="DLS165" s="20"/>
      <c r="DLT165" s="20"/>
      <c r="DLU165" s="20"/>
      <c r="DLV165" s="20"/>
      <c r="DLW165" s="21"/>
      <c r="DLX165" s="21"/>
      <c r="DLY165" s="7"/>
      <c r="DLZ165" s="7"/>
      <c r="DMA165" s="21"/>
      <c r="DMB165" s="20"/>
      <c r="DMC165" s="20"/>
      <c r="DMD165" s="20"/>
      <c r="DME165" s="21"/>
      <c r="DMF165" s="21"/>
      <c r="DMG165" s="21"/>
      <c r="DMH165" s="21"/>
      <c r="DMI165" s="21"/>
      <c r="DMJ165" s="20"/>
      <c r="DMK165" s="20"/>
      <c r="DML165" s="20"/>
      <c r="DMM165" s="20"/>
      <c r="DMN165" s="21"/>
      <c r="DMO165" s="21"/>
      <c r="DMP165" s="7"/>
      <c r="DMQ165" s="7"/>
      <c r="DMR165" s="21"/>
      <c r="DMS165" s="20"/>
      <c r="DMT165" s="20"/>
      <c r="DMU165" s="20"/>
      <c r="DMV165" s="21"/>
      <c r="DMW165" s="21"/>
      <c r="DMX165" s="21"/>
      <c r="DMY165" s="21"/>
      <c r="DMZ165" s="21"/>
      <c r="DNA165" s="20"/>
      <c r="DNB165" s="20"/>
      <c r="DNC165" s="20"/>
      <c r="DND165" s="20"/>
      <c r="DNE165" s="21"/>
      <c r="DNF165" s="21"/>
      <c r="DNG165" s="7"/>
      <c r="DNH165" s="7"/>
      <c r="DNI165" s="21"/>
      <c r="DNJ165" s="20"/>
      <c r="DNK165" s="20"/>
      <c r="DNL165" s="20"/>
      <c r="DNM165" s="21"/>
      <c r="DNN165" s="21"/>
      <c r="DNO165" s="21"/>
      <c r="DNP165" s="21"/>
      <c r="DNQ165" s="21"/>
      <c r="DNR165" s="20"/>
      <c r="DNS165" s="20"/>
      <c r="DNT165" s="20"/>
      <c r="DNU165" s="20"/>
      <c r="DNV165" s="21"/>
      <c r="DNW165" s="21"/>
      <c r="DNX165" s="7"/>
      <c r="DNY165" s="7"/>
      <c r="DNZ165" s="21"/>
      <c r="DOA165" s="20"/>
      <c r="DOB165" s="20"/>
      <c r="DOC165" s="20"/>
      <c r="DOD165" s="21"/>
      <c r="DOE165" s="21"/>
      <c r="DOF165" s="21"/>
      <c r="DOG165" s="21"/>
      <c r="DOH165" s="21"/>
      <c r="DOI165" s="20"/>
      <c r="DOJ165" s="20"/>
      <c r="DOK165" s="20"/>
      <c r="DOL165" s="20"/>
      <c r="DOM165" s="21"/>
      <c r="DON165" s="21"/>
      <c r="DOO165" s="7"/>
      <c r="DOP165" s="7"/>
      <c r="DOQ165" s="21"/>
      <c r="DOR165" s="20"/>
      <c r="DOS165" s="20"/>
      <c r="DOT165" s="20"/>
      <c r="DOU165" s="21"/>
      <c r="DOV165" s="21"/>
      <c r="DOW165" s="21"/>
      <c r="DOX165" s="21"/>
      <c r="DOY165" s="21"/>
      <c r="DOZ165" s="20"/>
      <c r="DPA165" s="20"/>
      <c r="DPB165" s="20"/>
      <c r="DPC165" s="20"/>
      <c r="DPD165" s="21"/>
      <c r="DPE165" s="21"/>
      <c r="DPF165" s="7"/>
      <c r="DPG165" s="7"/>
      <c r="DPH165" s="21"/>
      <c r="DPI165" s="20"/>
      <c r="DPJ165" s="20"/>
      <c r="DPK165" s="20"/>
      <c r="DPL165" s="21"/>
      <c r="DPM165" s="21"/>
      <c r="DPN165" s="21"/>
      <c r="DPO165" s="21"/>
      <c r="DPP165" s="21"/>
      <c r="DPQ165" s="20"/>
      <c r="DPR165" s="20"/>
      <c r="DPS165" s="20"/>
      <c r="DPT165" s="20"/>
      <c r="DPU165" s="21"/>
      <c r="DPV165" s="21"/>
      <c r="DPW165" s="7"/>
      <c r="DPX165" s="7"/>
      <c r="DPY165" s="21"/>
      <c r="DPZ165" s="20"/>
      <c r="DQA165" s="20"/>
      <c r="DQB165" s="20"/>
      <c r="DQC165" s="21"/>
      <c r="DQD165" s="21"/>
      <c r="DQE165" s="21"/>
      <c r="DQF165" s="21"/>
      <c r="DQG165" s="21"/>
      <c r="DQH165" s="20"/>
      <c r="DQI165" s="20"/>
      <c r="DQJ165" s="20"/>
      <c r="DQK165" s="20"/>
      <c r="DQL165" s="21"/>
      <c r="DQM165" s="21"/>
      <c r="DQN165" s="7"/>
      <c r="DQO165" s="7"/>
      <c r="DQP165" s="21"/>
      <c r="DQQ165" s="20"/>
      <c r="DQR165" s="20"/>
      <c r="DQS165" s="20"/>
      <c r="DQT165" s="21"/>
      <c r="DQU165" s="21"/>
      <c r="DQV165" s="21"/>
      <c r="DQW165" s="21"/>
      <c r="DQX165" s="21"/>
      <c r="DQY165" s="20"/>
      <c r="DQZ165" s="20"/>
      <c r="DRA165" s="20"/>
      <c r="DRB165" s="20"/>
      <c r="DRC165" s="21"/>
      <c r="DRD165" s="21"/>
      <c r="DRE165" s="7"/>
      <c r="DRF165" s="7"/>
      <c r="DRG165" s="21"/>
      <c r="DRH165" s="20"/>
      <c r="DRI165" s="20"/>
      <c r="DRJ165" s="20"/>
      <c r="DRK165" s="21"/>
      <c r="DRL165" s="21"/>
      <c r="DRM165" s="21"/>
      <c r="DRN165" s="21"/>
      <c r="DRO165" s="21"/>
      <c r="DRP165" s="20"/>
      <c r="DRQ165" s="20"/>
      <c r="DRR165" s="20"/>
      <c r="DRS165" s="20"/>
      <c r="DRT165" s="21"/>
      <c r="DRU165" s="21"/>
      <c r="DRV165" s="7"/>
      <c r="DRW165" s="7"/>
      <c r="DRX165" s="21"/>
      <c r="DRY165" s="20"/>
      <c r="DRZ165" s="20"/>
      <c r="DSA165" s="20"/>
      <c r="DSB165" s="21"/>
      <c r="DSC165" s="21"/>
      <c r="DSD165" s="21"/>
      <c r="DSE165" s="21"/>
      <c r="DSF165" s="21"/>
      <c r="DSG165" s="20"/>
      <c r="DSH165" s="20"/>
      <c r="DSI165" s="20"/>
      <c r="DSJ165" s="20"/>
      <c r="DSK165" s="21"/>
      <c r="DSL165" s="21"/>
      <c r="DSM165" s="7"/>
      <c r="DSN165" s="7"/>
      <c r="DSO165" s="21"/>
      <c r="DSP165" s="20"/>
      <c r="DSQ165" s="20"/>
      <c r="DSR165" s="20"/>
      <c r="DSS165" s="21"/>
      <c r="DST165" s="21"/>
      <c r="DSU165" s="21"/>
      <c r="DSV165" s="21"/>
      <c r="DSW165" s="21"/>
      <c r="DSX165" s="20"/>
      <c r="DSY165" s="20"/>
      <c r="DSZ165" s="20"/>
      <c r="DTA165" s="20"/>
      <c r="DTB165" s="21"/>
      <c r="DTC165" s="21"/>
      <c r="DTD165" s="7"/>
      <c r="DTE165" s="7"/>
      <c r="DTF165" s="21"/>
      <c r="DTG165" s="20"/>
      <c r="DTH165" s="20"/>
      <c r="DTI165" s="20"/>
      <c r="DTJ165" s="21"/>
      <c r="DTK165" s="21"/>
      <c r="DTL165" s="21"/>
      <c r="DTM165" s="21"/>
      <c r="DTN165" s="21"/>
      <c r="DTO165" s="20"/>
      <c r="DTP165" s="20"/>
      <c r="DTQ165" s="20"/>
      <c r="DTR165" s="20"/>
      <c r="DTS165" s="21"/>
      <c r="DTT165" s="21"/>
      <c r="DTU165" s="7"/>
      <c r="DTV165" s="7"/>
      <c r="DTW165" s="21"/>
      <c r="DTX165" s="20"/>
      <c r="DTY165" s="20"/>
      <c r="DTZ165" s="20"/>
      <c r="DUA165" s="21"/>
      <c r="DUB165" s="21"/>
      <c r="DUC165" s="21"/>
      <c r="DUD165" s="21"/>
      <c r="DUE165" s="21"/>
      <c r="DUF165" s="20"/>
      <c r="DUG165" s="20"/>
      <c r="DUH165" s="20"/>
      <c r="DUI165" s="20"/>
      <c r="DUJ165" s="21"/>
      <c r="DUK165" s="21"/>
      <c r="DUL165" s="7"/>
      <c r="DUM165" s="7"/>
      <c r="DUN165" s="21"/>
      <c r="DUO165" s="20"/>
      <c r="DUP165" s="20"/>
      <c r="DUQ165" s="20"/>
      <c r="DUR165" s="21"/>
      <c r="DUS165" s="21"/>
      <c r="DUT165" s="21"/>
      <c r="DUU165" s="21"/>
      <c r="DUV165" s="21"/>
      <c r="DUW165" s="20"/>
      <c r="DUX165" s="20"/>
      <c r="DUY165" s="20"/>
      <c r="DUZ165" s="20"/>
      <c r="DVA165" s="21"/>
      <c r="DVB165" s="21"/>
      <c r="DVC165" s="7"/>
      <c r="DVD165" s="7"/>
      <c r="DVE165" s="21"/>
      <c r="DVF165" s="20"/>
      <c r="DVG165" s="20"/>
      <c r="DVH165" s="20"/>
      <c r="DVI165" s="21"/>
      <c r="DVJ165" s="21"/>
      <c r="DVK165" s="21"/>
      <c r="DVL165" s="21"/>
      <c r="DVM165" s="21"/>
      <c r="DVN165" s="20"/>
      <c r="DVO165" s="20"/>
      <c r="DVP165" s="20"/>
      <c r="DVQ165" s="20"/>
      <c r="DVR165" s="21"/>
      <c r="DVS165" s="21"/>
      <c r="DVT165" s="7"/>
      <c r="DVU165" s="7"/>
      <c r="DVV165" s="21"/>
      <c r="DVW165" s="20"/>
      <c r="DVX165" s="20"/>
      <c r="DVY165" s="20"/>
      <c r="DVZ165" s="21"/>
      <c r="DWA165" s="21"/>
      <c r="DWB165" s="21"/>
      <c r="DWC165" s="21"/>
      <c r="DWD165" s="21"/>
      <c r="DWE165" s="20"/>
      <c r="DWF165" s="20"/>
      <c r="DWG165" s="20"/>
      <c r="DWH165" s="20"/>
      <c r="DWI165" s="21"/>
      <c r="DWJ165" s="21"/>
      <c r="DWK165" s="7"/>
      <c r="DWL165" s="7"/>
      <c r="DWM165" s="21"/>
      <c r="DWN165" s="20"/>
      <c r="DWO165" s="20"/>
      <c r="DWP165" s="20"/>
      <c r="DWQ165" s="21"/>
      <c r="DWR165" s="21"/>
      <c r="DWS165" s="21"/>
      <c r="DWT165" s="21"/>
      <c r="DWU165" s="21"/>
      <c r="DWV165" s="20"/>
      <c r="DWW165" s="20"/>
      <c r="DWX165" s="20"/>
      <c r="DWY165" s="20"/>
      <c r="DWZ165" s="21"/>
      <c r="DXA165" s="21"/>
      <c r="DXB165" s="7"/>
      <c r="DXC165" s="7"/>
      <c r="DXD165" s="21"/>
      <c r="DXE165" s="20"/>
      <c r="DXF165" s="20"/>
      <c r="DXG165" s="20"/>
      <c r="DXH165" s="21"/>
      <c r="DXI165" s="21"/>
      <c r="DXJ165" s="21"/>
      <c r="DXK165" s="21"/>
      <c r="DXL165" s="21"/>
      <c r="DXM165" s="20"/>
      <c r="DXN165" s="20"/>
      <c r="DXO165" s="20"/>
      <c r="DXP165" s="20"/>
      <c r="DXQ165" s="21"/>
      <c r="DXR165" s="21"/>
      <c r="DXS165" s="7"/>
      <c r="DXT165" s="7"/>
      <c r="DXU165" s="21"/>
      <c r="DXV165" s="20"/>
      <c r="DXW165" s="20"/>
      <c r="DXX165" s="20"/>
      <c r="DXY165" s="21"/>
      <c r="DXZ165" s="21"/>
      <c r="DYA165" s="21"/>
      <c r="DYB165" s="21"/>
      <c r="DYC165" s="21"/>
      <c r="DYD165" s="20"/>
      <c r="DYE165" s="20"/>
      <c r="DYF165" s="20"/>
      <c r="DYG165" s="20"/>
      <c r="DYH165" s="21"/>
      <c r="DYI165" s="21"/>
      <c r="DYJ165" s="7"/>
      <c r="DYK165" s="7"/>
      <c r="DYL165" s="21"/>
      <c r="DYM165" s="20"/>
      <c r="DYN165" s="20"/>
      <c r="DYO165" s="20"/>
      <c r="DYP165" s="21"/>
      <c r="DYQ165" s="21"/>
      <c r="DYR165" s="21"/>
      <c r="DYS165" s="21"/>
      <c r="DYT165" s="21"/>
      <c r="DYU165" s="20"/>
      <c r="DYV165" s="20"/>
      <c r="DYW165" s="20"/>
      <c r="DYX165" s="20"/>
      <c r="DYY165" s="21"/>
      <c r="DYZ165" s="21"/>
      <c r="DZA165" s="7"/>
      <c r="DZB165" s="7"/>
      <c r="DZC165" s="21"/>
      <c r="DZD165" s="20"/>
      <c r="DZE165" s="20"/>
      <c r="DZF165" s="20"/>
      <c r="DZG165" s="21"/>
      <c r="DZH165" s="21"/>
      <c r="DZI165" s="21"/>
      <c r="DZJ165" s="21"/>
      <c r="DZK165" s="21"/>
      <c r="DZL165" s="20"/>
      <c r="DZM165" s="20"/>
      <c r="DZN165" s="20"/>
      <c r="DZO165" s="20"/>
      <c r="DZP165" s="21"/>
      <c r="DZQ165" s="21"/>
      <c r="DZR165" s="7"/>
      <c r="DZS165" s="7"/>
      <c r="DZT165" s="21"/>
      <c r="DZU165" s="20"/>
      <c r="DZV165" s="20"/>
      <c r="DZW165" s="20"/>
      <c r="DZX165" s="21"/>
      <c r="DZY165" s="21"/>
      <c r="DZZ165" s="21"/>
      <c r="EAA165" s="21"/>
      <c r="EAB165" s="21"/>
      <c r="EAC165" s="20"/>
      <c r="EAD165" s="20"/>
      <c r="EAE165" s="20"/>
      <c r="EAF165" s="20"/>
      <c r="EAG165" s="21"/>
      <c r="EAH165" s="21"/>
      <c r="EAI165" s="7"/>
      <c r="EAJ165" s="7"/>
      <c r="EAK165" s="21"/>
      <c r="EAL165" s="20"/>
      <c r="EAM165" s="20"/>
      <c r="EAN165" s="20"/>
      <c r="EAO165" s="21"/>
      <c r="EAP165" s="21"/>
      <c r="EAQ165" s="21"/>
      <c r="EAR165" s="21"/>
      <c r="EAS165" s="21"/>
      <c r="EAT165" s="20"/>
      <c r="EAU165" s="20"/>
      <c r="EAV165" s="20"/>
      <c r="EAW165" s="20"/>
      <c r="EAX165" s="21"/>
      <c r="EAY165" s="21"/>
      <c r="EAZ165" s="7"/>
      <c r="EBA165" s="7"/>
      <c r="EBB165" s="21"/>
      <c r="EBC165" s="20"/>
      <c r="EBD165" s="20"/>
      <c r="EBE165" s="20"/>
      <c r="EBF165" s="21"/>
      <c r="EBG165" s="21"/>
      <c r="EBH165" s="21"/>
      <c r="EBI165" s="21"/>
      <c r="EBJ165" s="21"/>
      <c r="EBK165" s="20"/>
      <c r="EBL165" s="20"/>
      <c r="EBM165" s="20"/>
      <c r="EBN165" s="20"/>
      <c r="EBO165" s="21"/>
      <c r="EBP165" s="21"/>
      <c r="EBQ165" s="7"/>
      <c r="EBR165" s="7"/>
      <c r="EBS165" s="21"/>
      <c r="EBT165" s="20"/>
      <c r="EBU165" s="20"/>
      <c r="EBV165" s="20"/>
      <c r="EBW165" s="21"/>
      <c r="EBX165" s="21"/>
      <c r="EBY165" s="21"/>
      <c r="EBZ165" s="21"/>
      <c r="ECA165" s="21"/>
      <c r="ECB165" s="20"/>
      <c r="ECC165" s="20"/>
      <c r="ECD165" s="20"/>
      <c r="ECE165" s="20"/>
      <c r="ECF165" s="21"/>
      <c r="ECG165" s="21"/>
      <c r="ECH165" s="7"/>
      <c r="ECI165" s="7"/>
      <c r="ECJ165" s="21"/>
      <c r="ECK165" s="20"/>
      <c r="ECL165" s="20"/>
      <c r="ECM165" s="20"/>
      <c r="ECN165" s="21"/>
      <c r="ECO165" s="21"/>
      <c r="ECP165" s="21"/>
      <c r="ECQ165" s="21"/>
      <c r="ECR165" s="21"/>
      <c r="ECS165" s="20"/>
      <c r="ECT165" s="20"/>
      <c r="ECU165" s="20"/>
      <c r="ECV165" s="20"/>
      <c r="ECW165" s="21"/>
      <c r="ECX165" s="21"/>
      <c r="ECY165" s="7"/>
      <c r="ECZ165" s="7"/>
      <c r="EDA165" s="21"/>
      <c r="EDB165" s="20"/>
      <c r="EDC165" s="20"/>
      <c r="EDD165" s="20"/>
      <c r="EDE165" s="21"/>
      <c r="EDF165" s="21"/>
      <c r="EDG165" s="21"/>
      <c r="EDH165" s="21"/>
      <c r="EDI165" s="21"/>
      <c r="EDJ165" s="20"/>
      <c r="EDK165" s="20"/>
      <c r="EDL165" s="20"/>
      <c r="EDM165" s="20"/>
      <c r="EDN165" s="21"/>
      <c r="EDO165" s="21"/>
      <c r="EDP165" s="7"/>
      <c r="EDQ165" s="7"/>
      <c r="EDR165" s="21"/>
      <c r="EDS165" s="20"/>
      <c r="EDT165" s="20"/>
      <c r="EDU165" s="20"/>
      <c r="EDV165" s="21"/>
      <c r="EDW165" s="21"/>
      <c r="EDX165" s="21"/>
      <c r="EDY165" s="21"/>
      <c r="EDZ165" s="21"/>
      <c r="EEA165" s="20"/>
      <c r="EEB165" s="20"/>
      <c r="EEC165" s="20"/>
      <c r="EED165" s="20"/>
      <c r="EEE165" s="21"/>
      <c r="EEF165" s="21"/>
      <c r="EEG165" s="7"/>
      <c r="EEH165" s="7"/>
      <c r="EEI165" s="21"/>
      <c r="EEJ165" s="20"/>
      <c r="EEK165" s="20"/>
      <c r="EEL165" s="20"/>
      <c r="EEM165" s="21"/>
      <c r="EEN165" s="21"/>
      <c r="EEO165" s="21"/>
      <c r="EEP165" s="21"/>
      <c r="EEQ165" s="21"/>
      <c r="EER165" s="20"/>
      <c r="EES165" s="20"/>
      <c r="EET165" s="20"/>
      <c r="EEU165" s="20"/>
      <c r="EEV165" s="21"/>
      <c r="EEW165" s="21"/>
      <c r="EEX165" s="7"/>
      <c r="EEY165" s="7"/>
      <c r="EEZ165" s="21"/>
      <c r="EFA165" s="20"/>
      <c r="EFB165" s="20"/>
      <c r="EFC165" s="20"/>
      <c r="EFD165" s="21"/>
      <c r="EFE165" s="21"/>
      <c r="EFF165" s="21"/>
      <c r="EFG165" s="21"/>
      <c r="EFH165" s="21"/>
      <c r="EFI165" s="20"/>
      <c r="EFJ165" s="20"/>
      <c r="EFK165" s="20"/>
      <c r="EFL165" s="20"/>
      <c r="EFM165" s="21"/>
      <c r="EFN165" s="21"/>
      <c r="EFO165" s="7"/>
      <c r="EFP165" s="7"/>
      <c r="EFQ165" s="21"/>
      <c r="EFR165" s="20"/>
      <c r="EFS165" s="20"/>
      <c r="EFT165" s="20"/>
      <c r="EFU165" s="21"/>
      <c r="EFV165" s="21"/>
      <c r="EFW165" s="21"/>
      <c r="EFX165" s="21"/>
      <c r="EFY165" s="21"/>
      <c r="EFZ165" s="20"/>
      <c r="EGA165" s="20"/>
      <c r="EGB165" s="20"/>
      <c r="EGC165" s="20"/>
      <c r="EGD165" s="21"/>
      <c r="EGE165" s="21"/>
      <c r="EGF165" s="7"/>
      <c r="EGG165" s="7"/>
      <c r="EGH165" s="21"/>
      <c r="EGI165" s="20"/>
      <c r="EGJ165" s="20"/>
      <c r="EGK165" s="20"/>
      <c r="EGL165" s="21"/>
      <c r="EGM165" s="21"/>
      <c r="EGN165" s="21"/>
      <c r="EGO165" s="21"/>
      <c r="EGP165" s="21"/>
      <c r="EGQ165" s="20"/>
      <c r="EGR165" s="20"/>
      <c r="EGS165" s="20"/>
      <c r="EGT165" s="20"/>
      <c r="EGU165" s="21"/>
      <c r="EGV165" s="21"/>
      <c r="EGW165" s="7"/>
      <c r="EGX165" s="7"/>
      <c r="EGY165" s="21"/>
      <c r="EGZ165" s="20"/>
      <c r="EHA165" s="20"/>
      <c r="EHB165" s="20"/>
      <c r="EHC165" s="21"/>
      <c r="EHD165" s="21"/>
      <c r="EHE165" s="21"/>
      <c r="EHF165" s="21"/>
      <c r="EHG165" s="21"/>
      <c r="EHH165" s="20"/>
      <c r="EHI165" s="20"/>
      <c r="EHJ165" s="20"/>
      <c r="EHK165" s="20"/>
      <c r="EHL165" s="21"/>
      <c r="EHM165" s="21"/>
      <c r="EHN165" s="7"/>
      <c r="EHO165" s="7"/>
      <c r="EHP165" s="21"/>
      <c r="EHQ165" s="20"/>
      <c r="EHR165" s="20"/>
      <c r="EHS165" s="20"/>
      <c r="EHT165" s="21"/>
      <c r="EHU165" s="21"/>
      <c r="EHV165" s="21"/>
      <c r="EHW165" s="21"/>
      <c r="EHX165" s="21"/>
      <c r="EHY165" s="20"/>
      <c r="EHZ165" s="20"/>
      <c r="EIA165" s="20"/>
      <c r="EIB165" s="20"/>
      <c r="EIC165" s="21"/>
      <c r="EID165" s="21"/>
      <c r="EIE165" s="7"/>
      <c r="EIF165" s="7"/>
      <c r="EIG165" s="21"/>
      <c r="EIH165" s="20"/>
      <c r="EII165" s="20"/>
      <c r="EIJ165" s="20"/>
      <c r="EIK165" s="21"/>
      <c r="EIL165" s="21"/>
      <c r="EIM165" s="21"/>
      <c r="EIN165" s="21"/>
      <c r="EIO165" s="21"/>
      <c r="EIP165" s="20"/>
      <c r="EIQ165" s="20"/>
      <c r="EIR165" s="20"/>
      <c r="EIS165" s="20"/>
      <c r="EIT165" s="21"/>
      <c r="EIU165" s="21"/>
      <c r="EIV165" s="7"/>
      <c r="EIW165" s="7"/>
      <c r="EIX165" s="21"/>
      <c r="EIY165" s="20"/>
      <c r="EIZ165" s="20"/>
      <c r="EJA165" s="20"/>
      <c r="EJB165" s="21"/>
      <c r="EJC165" s="21"/>
      <c r="EJD165" s="21"/>
      <c r="EJE165" s="21"/>
      <c r="EJF165" s="21"/>
      <c r="EJG165" s="20"/>
      <c r="EJH165" s="20"/>
      <c r="EJI165" s="20"/>
      <c r="EJJ165" s="20"/>
      <c r="EJK165" s="21"/>
      <c r="EJL165" s="21"/>
      <c r="EJM165" s="7"/>
      <c r="EJN165" s="7"/>
      <c r="EJO165" s="21"/>
      <c r="EJP165" s="20"/>
      <c r="EJQ165" s="20"/>
      <c r="EJR165" s="20"/>
      <c r="EJS165" s="21"/>
      <c r="EJT165" s="21"/>
      <c r="EJU165" s="21"/>
      <c r="EJV165" s="21"/>
      <c r="EJW165" s="21"/>
      <c r="EJX165" s="20"/>
      <c r="EJY165" s="20"/>
      <c r="EJZ165" s="20"/>
      <c r="EKA165" s="20"/>
      <c r="EKB165" s="21"/>
      <c r="EKC165" s="21"/>
      <c r="EKD165" s="7"/>
      <c r="EKE165" s="7"/>
      <c r="EKF165" s="21"/>
      <c r="EKG165" s="20"/>
      <c r="EKH165" s="20"/>
      <c r="EKI165" s="20"/>
      <c r="EKJ165" s="21"/>
      <c r="EKK165" s="21"/>
      <c r="EKL165" s="21"/>
      <c r="EKM165" s="21"/>
      <c r="EKN165" s="21"/>
      <c r="EKO165" s="20"/>
      <c r="EKP165" s="20"/>
      <c r="EKQ165" s="20"/>
      <c r="EKR165" s="20"/>
      <c r="EKS165" s="21"/>
      <c r="EKT165" s="21"/>
      <c r="EKU165" s="7"/>
      <c r="EKV165" s="7"/>
      <c r="EKW165" s="21"/>
      <c r="EKX165" s="20"/>
      <c r="EKY165" s="20"/>
      <c r="EKZ165" s="20"/>
      <c r="ELA165" s="21"/>
      <c r="ELB165" s="21"/>
      <c r="ELC165" s="21"/>
      <c r="ELD165" s="21"/>
      <c r="ELE165" s="21"/>
      <c r="ELF165" s="20"/>
      <c r="ELG165" s="20"/>
      <c r="ELH165" s="20"/>
      <c r="ELI165" s="20"/>
      <c r="ELJ165" s="21"/>
      <c r="ELK165" s="21"/>
      <c r="ELL165" s="7"/>
      <c r="ELM165" s="7"/>
      <c r="ELN165" s="21"/>
      <c r="ELO165" s="20"/>
      <c r="ELP165" s="20"/>
      <c r="ELQ165" s="20"/>
      <c r="ELR165" s="21"/>
      <c r="ELS165" s="21"/>
      <c r="ELT165" s="21"/>
      <c r="ELU165" s="21"/>
      <c r="ELV165" s="21"/>
      <c r="ELW165" s="20"/>
      <c r="ELX165" s="20"/>
      <c r="ELY165" s="20"/>
      <c r="ELZ165" s="20"/>
      <c r="EMA165" s="21"/>
      <c r="EMB165" s="21"/>
      <c r="EMC165" s="7"/>
      <c r="EMD165" s="7"/>
      <c r="EME165" s="21"/>
      <c r="EMF165" s="20"/>
      <c r="EMG165" s="20"/>
      <c r="EMH165" s="20"/>
      <c r="EMI165" s="21"/>
      <c r="EMJ165" s="21"/>
      <c r="EMK165" s="21"/>
      <c r="EML165" s="21"/>
      <c r="EMM165" s="21"/>
      <c r="EMN165" s="20"/>
      <c r="EMO165" s="20"/>
      <c r="EMP165" s="20"/>
      <c r="EMQ165" s="20"/>
      <c r="EMR165" s="21"/>
      <c r="EMS165" s="21"/>
      <c r="EMT165" s="7"/>
      <c r="EMU165" s="7"/>
      <c r="EMV165" s="21"/>
      <c r="EMW165" s="20"/>
      <c r="EMX165" s="20"/>
      <c r="EMY165" s="20"/>
      <c r="EMZ165" s="21"/>
      <c r="ENA165" s="21"/>
      <c r="ENB165" s="21"/>
      <c r="ENC165" s="21"/>
      <c r="END165" s="21"/>
      <c r="ENE165" s="20"/>
      <c r="ENF165" s="20"/>
      <c r="ENG165" s="20"/>
      <c r="ENH165" s="20"/>
      <c r="ENI165" s="21"/>
      <c r="ENJ165" s="21"/>
      <c r="ENK165" s="7"/>
      <c r="ENL165" s="7"/>
      <c r="ENM165" s="21"/>
      <c r="ENN165" s="20"/>
      <c r="ENO165" s="20"/>
      <c r="ENP165" s="20"/>
      <c r="ENQ165" s="21"/>
      <c r="ENR165" s="21"/>
      <c r="ENS165" s="21"/>
      <c r="ENT165" s="21"/>
      <c r="ENU165" s="21"/>
      <c r="ENV165" s="20"/>
      <c r="ENW165" s="20"/>
      <c r="ENX165" s="20"/>
      <c r="ENY165" s="20"/>
      <c r="ENZ165" s="21"/>
      <c r="EOA165" s="21"/>
      <c r="EOB165" s="7"/>
      <c r="EOC165" s="7"/>
      <c r="EOD165" s="21"/>
      <c r="EOE165" s="20"/>
      <c r="EOF165" s="20"/>
      <c r="EOG165" s="20"/>
      <c r="EOH165" s="21"/>
      <c r="EOI165" s="21"/>
      <c r="EOJ165" s="21"/>
      <c r="EOK165" s="21"/>
      <c r="EOL165" s="21"/>
      <c r="EOM165" s="20"/>
      <c r="EON165" s="20"/>
      <c r="EOO165" s="20"/>
      <c r="EOP165" s="20"/>
      <c r="EOQ165" s="21"/>
      <c r="EOR165" s="21"/>
      <c r="EOS165" s="7"/>
      <c r="EOT165" s="7"/>
      <c r="EOU165" s="21"/>
      <c r="EOV165" s="20"/>
      <c r="EOW165" s="20"/>
      <c r="EOX165" s="20"/>
      <c r="EOY165" s="21"/>
      <c r="EOZ165" s="21"/>
      <c r="EPA165" s="21"/>
      <c r="EPB165" s="21"/>
      <c r="EPC165" s="21"/>
      <c r="EPD165" s="20"/>
      <c r="EPE165" s="20"/>
      <c r="EPF165" s="20"/>
      <c r="EPG165" s="20"/>
      <c r="EPH165" s="21"/>
      <c r="EPI165" s="21"/>
      <c r="EPJ165" s="7"/>
      <c r="EPK165" s="7"/>
      <c r="EPL165" s="21"/>
      <c r="EPM165" s="20"/>
      <c r="EPN165" s="20"/>
      <c r="EPO165" s="20"/>
      <c r="EPP165" s="21"/>
      <c r="EPQ165" s="21"/>
      <c r="EPR165" s="21"/>
      <c r="EPS165" s="21"/>
      <c r="EPT165" s="21"/>
      <c r="EPU165" s="20"/>
      <c r="EPV165" s="20"/>
      <c r="EPW165" s="20"/>
      <c r="EPX165" s="20"/>
      <c r="EPY165" s="21"/>
      <c r="EPZ165" s="21"/>
      <c r="EQA165" s="7"/>
      <c r="EQB165" s="7"/>
      <c r="EQC165" s="21"/>
      <c r="EQD165" s="20"/>
      <c r="EQE165" s="20"/>
      <c r="EQF165" s="20"/>
      <c r="EQG165" s="21"/>
      <c r="EQH165" s="21"/>
      <c r="EQI165" s="21"/>
      <c r="EQJ165" s="21"/>
      <c r="EQK165" s="21"/>
      <c r="EQL165" s="20"/>
      <c r="EQM165" s="20"/>
      <c r="EQN165" s="20"/>
      <c r="EQO165" s="20"/>
      <c r="EQP165" s="21"/>
      <c r="EQQ165" s="21"/>
      <c r="EQR165" s="7"/>
      <c r="EQS165" s="7"/>
      <c r="EQT165" s="21"/>
      <c r="EQU165" s="20"/>
      <c r="EQV165" s="20"/>
      <c r="EQW165" s="20"/>
      <c r="EQX165" s="21"/>
      <c r="EQY165" s="21"/>
      <c r="EQZ165" s="21"/>
      <c r="ERA165" s="21"/>
      <c r="ERB165" s="21"/>
      <c r="ERC165" s="20"/>
      <c r="ERD165" s="20"/>
      <c r="ERE165" s="20"/>
      <c r="ERF165" s="20"/>
      <c r="ERG165" s="21"/>
      <c r="ERH165" s="21"/>
      <c r="ERI165" s="7"/>
      <c r="ERJ165" s="7"/>
      <c r="ERK165" s="21"/>
      <c r="ERL165" s="20"/>
      <c r="ERM165" s="20"/>
      <c r="ERN165" s="20"/>
      <c r="ERO165" s="21"/>
      <c r="ERP165" s="21"/>
      <c r="ERQ165" s="21"/>
      <c r="ERR165" s="21"/>
      <c r="ERS165" s="21"/>
      <c r="ERT165" s="20"/>
      <c r="ERU165" s="20"/>
      <c r="ERV165" s="20"/>
      <c r="ERW165" s="20"/>
      <c r="ERX165" s="21"/>
      <c r="ERY165" s="21"/>
      <c r="ERZ165" s="7"/>
      <c r="ESA165" s="7"/>
      <c r="ESB165" s="21"/>
      <c r="ESC165" s="20"/>
      <c r="ESD165" s="20"/>
      <c r="ESE165" s="20"/>
      <c r="ESF165" s="21"/>
      <c r="ESG165" s="21"/>
      <c r="ESH165" s="21"/>
      <c r="ESI165" s="21"/>
      <c r="ESJ165" s="21"/>
      <c r="ESK165" s="20"/>
      <c r="ESL165" s="20"/>
      <c r="ESM165" s="20"/>
      <c r="ESN165" s="20"/>
      <c r="ESO165" s="21"/>
      <c r="ESP165" s="21"/>
      <c r="ESQ165" s="7"/>
      <c r="ESR165" s="7"/>
      <c r="ESS165" s="21"/>
      <c r="EST165" s="20"/>
      <c r="ESU165" s="20"/>
      <c r="ESV165" s="20"/>
      <c r="ESW165" s="21"/>
      <c r="ESX165" s="21"/>
      <c r="ESY165" s="21"/>
      <c r="ESZ165" s="21"/>
      <c r="ETA165" s="21"/>
      <c r="ETB165" s="20"/>
      <c r="ETC165" s="20"/>
      <c r="ETD165" s="20"/>
      <c r="ETE165" s="20"/>
      <c r="ETF165" s="21"/>
      <c r="ETG165" s="21"/>
      <c r="ETH165" s="7"/>
      <c r="ETI165" s="7"/>
      <c r="ETJ165" s="21"/>
      <c r="ETK165" s="20"/>
      <c r="ETL165" s="20"/>
      <c r="ETM165" s="20"/>
      <c r="ETN165" s="21"/>
      <c r="ETO165" s="21"/>
      <c r="ETP165" s="21"/>
      <c r="ETQ165" s="21"/>
      <c r="ETR165" s="21"/>
      <c r="ETS165" s="20"/>
      <c r="ETT165" s="20"/>
      <c r="ETU165" s="20"/>
      <c r="ETV165" s="20"/>
      <c r="ETW165" s="21"/>
      <c r="ETX165" s="21"/>
      <c r="ETY165" s="7"/>
      <c r="ETZ165" s="7"/>
      <c r="EUA165" s="21"/>
      <c r="EUB165" s="20"/>
      <c r="EUC165" s="20"/>
      <c r="EUD165" s="20"/>
      <c r="EUE165" s="21"/>
      <c r="EUF165" s="21"/>
      <c r="EUG165" s="21"/>
      <c r="EUH165" s="21"/>
      <c r="EUI165" s="21"/>
      <c r="EUJ165" s="20"/>
      <c r="EUK165" s="20"/>
      <c r="EUL165" s="20"/>
      <c r="EUM165" s="20"/>
      <c r="EUN165" s="21"/>
      <c r="EUO165" s="21"/>
      <c r="EUP165" s="7"/>
      <c r="EUQ165" s="7"/>
      <c r="EUR165" s="21"/>
      <c r="EUS165" s="20"/>
      <c r="EUT165" s="20"/>
      <c r="EUU165" s="20"/>
      <c r="EUV165" s="21"/>
      <c r="EUW165" s="21"/>
      <c r="EUX165" s="21"/>
      <c r="EUY165" s="21"/>
      <c r="EUZ165" s="21"/>
      <c r="EVA165" s="20"/>
      <c r="EVB165" s="20"/>
      <c r="EVC165" s="20"/>
      <c r="EVD165" s="20"/>
      <c r="EVE165" s="21"/>
      <c r="EVF165" s="21"/>
      <c r="EVG165" s="7"/>
      <c r="EVH165" s="7"/>
      <c r="EVI165" s="21"/>
      <c r="EVJ165" s="20"/>
      <c r="EVK165" s="20"/>
      <c r="EVL165" s="20"/>
      <c r="EVM165" s="21"/>
      <c r="EVN165" s="21"/>
      <c r="EVO165" s="21"/>
      <c r="EVP165" s="21"/>
      <c r="EVQ165" s="21"/>
      <c r="EVR165" s="20"/>
      <c r="EVS165" s="20"/>
      <c r="EVT165" s="20"/>
      <c r="EVU165" s="20"/>
      <c r="EVV165" s="21"/>
      <c r="EVW165" s="21"/>
      <c r="EVX165" s="7"/>
      <c r="EVY165" s="7"/>
      <c r="EVZ165" s="21"/>
      <c r="EWA165" s="20"/>
      <c r="EWB165" s="20"/>
      <c r="EWC165" s="20"/>
      <c r="EWD165" s="21"/>
      <c r="EWE165" s="21"/>
      <c r="EWF165" s="21"/>
      <c r="EWG165" s="21"/>
      <c r="EWH165" s="21"/>
      <c r="EWI165" s="20"/>
      <c r="EWJ165" s="20"/>
      <c r="EWK165" s="20"/>
      <c r="EWL165" s="20"/>
      <c r="EWM165" s="21"/>
      <c r="EWN165" s="21"/>
      <c r="EWO165" s="7"/>
      <c r="EWP165" s="7"/>
      <c r="EWQ165" s="21"/>
      <c r="EWR165" s="20"/>
      <c r="EWS165" s="20"/>
      <c r="EWT165" s="20"/>
      <c r="EWU165" s="21"/>
      <c r="EWV165" s="21"/>
      <c r="EWW165" s="21"/>
      <c r="EWX165" s="21"/>
      <c r="EWY165" s="21"/>
      <c r="EWZ165" s="20"/>
      <c r="EXA165" s="20"/>
      <c r="EXB165" s="20"/>
      <c r="EXC165" s="20"/>
      <c r="EXD165" s="21"/>
      <c r="EXE165" s="21"/>
      <c r="EXF165" s="7"/>
      <c r="EXG165" s="7"/>
      <c r="EXH165" s="21"/>
      <c r="EXI165" s="20"/>
      <c r="EXJ165" s="20"/>
      <c r="EXK165" s="20"/>
      <c r="EXL165" s="21"/>
      <c r="EXM165" s="21"/>
      <c r="EXN165" s="21"/>
      <c r="EXO165" s="21"/>
      <c r="EXP165" s="21"/>
      <c r="EXQ165" s="20"/>
      <c r="EXR165" s="20"/>
      <c r="EXS165" s="20"/>
      <c r="EXT165" s="20"/>
      <c r="EXU165" s="21"/>
      <c r="EXV165" s="21"/>
      <c r="EXW165" s="7"/>
      <c r="EXX165" s="7"/>
      <c r="EXY165" s="21"/>
      <c r="EXZ165" s="20"/>
      <c r="EYA165" s="20"/>
      <c r="EYB165" s="20"/>
      <c r="EYC165" s="21"/>
      <c r="EYD165" s="21"/>
      <c r="EYE165" s="21"/>
      <c r="EYF165" s="21"/>
      <c r="EYG165" s="21"/>
      <c r="EYH165" s="20"/>
      <c r="EYI165" s="20"/>
      <c r="EYJ165" s="20"/>
      <c r="EYK165" s="20"/>
      <c r="EYL165" s="21"/>
      <c r="EYM165" s="21"/>
      <c r="EYN165" s="7"/>
      <c r="EYO165" s="7"/>
      <c r="EYP165" s="21"/>
      <c r="EYQ165" s="20"/>
      <c r="EYR165" s="20"/>
      <c r="EYS165" s="20"/>
      <c r="EYT165" s="21"/>
      <c r="EYU165" s="21"/>
      <c r="EYV165" s="21"/>
      <c r="EYW165" s="21"/>
      <c r="EYX165" s="21"/>
      <c r="EYY165" s="20"/>
      <c r="EYZ165" s="20"/>
      <c r="EZA165" s="20"/>
      <c r="EZB165" s="20"/>
      <c r="EZC165" s="21"/>
      <c r="EZD165" s="21"/>
      <c r="EZE165" s="7"/>
      <c r="EZF165" s="7"/>
      <c r="EZG165" s="21"/>
      <c r="EZH165" s="20"/>
      <c r="EZI165" s="20"/>
      <c r="EZJ165" s="20"/>
      <c r="EZK165" s="21"/>
      <c r="EZL165" s="21"/>
      <c r="EZM165" s="21"/>
      <c r="EZN165" s="21"/>
      <c r="EZO165" s="21"/>
      <c r="EZP165" s="20"/>
      <c r="EZQ165" s="20"/>
      <c r="EZR165" s="20"/>
      <c r="EZS165" s="20"/>
      <c r="EZT165" s="21"/>
      <c r="EZU165" s="21"/>
      <c r="EZV165" s="7"/>
      <c r="EZW165" s="7"/>
      <c r="EZX165" s="21"/>
      <c r="EZY165" s="20"/>
      <c r="EZZ165" s="20"/>
      <c r="FAA165" s="20"/>
      <c r="FAB165" s="21"/>
      <c r="FAC165" s="21"/>
      <c r="FAD165" s="21"/>
      <c r="FAE165" s="21"/>
      <c r="FAF165" s="21"/>
      <c r="FAG165" s="20"/>
      <c r="FAH165" s="20"/>
      <c r="FAI165" s="20"/>
      <c r="FAJ165" s="20"/>
      <c r="FAK165" s="21"/>
      <c r="FAL165" s="21"/>
      <c r="FAM165" s="7"/>
      <c r="FAN165" s="7"/>
      <c r="FAO165" s="21"/>
      <c r="FAP165" s="20"/>
      <c r="FAQ165" s="20"/>
      <c r="FAR165" s="20"/>
      <c r="FAS165" s="21"/>
      <c r="FAT165" s="21"/>
      <c r="FAU165" s="21"/>
      <c r="FAV165" s="21"/>
      <c r="FAW165" s="21"/>
      <c r="FAX165" s="20"/>
      <c r="FAY165" s="20"/>
      <c r="FAZ165" s="20"/>
      <c r="FBA165" s="20"/>
      <c r="FBB165" s="21"/>
      <c r="FBC165" s="21"/>
      <c r="FBD165" s="7"/>
      <c r="FBE165" s="7"/>
      <c r="FBF165" s="21"/>
      <c r="FBG165" s="20"/>
      <c r="FBH165" s="20"/>
      <c r="FBI165" s="20"/>
      <c r="FBJ165" s="21"/>
      <c r="FBK165" s="21"/>
      <c r="FBL165" s="21"/>
      <c r="FBM165" s="21"/>
      <c r="FBN165" s="21"/>
      <c r="FBO165" s="20"/>
      <c r="FBP165" s="20"/>
      <c r="FBQ165" s="20"/>
      <c r="FBR165" s="20"/>
      <c r="FBS165" s="21"/>
      <c r="FBT165" s="21"/>
      <c r="FBU165" s="7"/>
      <c r="FBV165" s="7"/>
      <c r="FBW165" s="21"/>
      <c r="FBX165" s="20"/>
      <c r="FBY165" s="20"/>
      <c r="FBZ165" s="20"/>
      <c r="FCA165" s="21"/>
      <c r="FCB165" s="21"/>
      <c r="FCC165" s="21"/>
      <c r="FCD165" s="21"/>
      <c r="FCE165" s="21"/>
      <c r="FCF165" s="20"/>
      <c r="FCG165" s="20"/>
      <c r="FCH165" s="20"/>
      <c r="FCI165" s="20"/>
      <c r="FCJ165" s="21"/>
      <c r="FCK165" s="21"/>
      <c r="FCL165" s="7"/>
      <c r="FCM165" s="7"/>
      <c r="FCN165" s="21"/>
      <c r="FCO165" s="20"/>
      <c r="FCP165" s="20"/>
      <c r="FCQ165" s="20"/>
      <c r="FCR165" s="21"/>
      <c r="FCS165" s="21"/>
      <c r="FCT165" s="21"/>
      <c r="FCU165" s="21"/>
      <c r="FCV165" s="21"/>
      <c r="FCW165" s="20"/>
      <c r="FCX165" s="20"/>
      <c r="FCY165" s="20"/>
      <c r="FCZ165" s="20"/>
      <c r="FDA165" s="21"/>
      <c r="FDB165" s="21"/>
      <c r="FDC165" s="7"/>
      <c r="FDD165" s="7"/>
      <c r="FDE165" s="21"/>
      <c r="FDF165" s="20"/>
      <c r="FDG165" s="20"/>
      <c r="FDH165" s="20"/>
      <c r="FDI165" s="21"/>
      <c r="FDJ165" s="21"/>
      <c r="FDK165" s="21"/>
      <c r="FDL165" s="21"/>
      <c r="FDM165" s="21"/>
      <c r="FDN165" s="20"/>
      <c r="FDO165" s="20"/>
      <c r="FDP165" s="20"/>
      <c r="FDQ165" s="20"/>
      <c r="FDR165" s="21"/>
      <c r="FDS165" s="21"/>
      <c r="FDT165" s="7"/>
      <c r="FDU165" s="7"/>
      <c r="FDV165" s="21"/>
      <c r="FDW165" s="20"/>
      <c r="FDX165" s="20"/>
      <c r="FDY165" s="20"/>
      <c r="FDZ165" s="21"/>
      <c r="FEA165" s="21"/>
      <c r="FEB165" s="21"/>
      <c r="FEC165" s="21"/>
      <c r="FED165" s="21"/>
      <c r="FEE165" s="20"/>
      <c r="FEF165" s="20"/>
      <c r="FEG165" s="20"/>
      <c r="FEH165" s="20"/>
      <c r="FEI165" s="21"/>
      <c r="FEJ165" s="21"/>
      <c r="FEK165" s="7"/>
      <c r="FEL165" s="7"/>
      <c r="FEM165" s="21"/>
      <c r="FEN165" s="20"/>
      <c r="FEO165" s="20"/>
      <c r="FEP165" s="20"/>
      <c r="FEQ165" s="21"/>
      <c r="FER165" s="21"/>
      <c r="FES165" s="21"/>
      <c r="FET165" s="21"/>
      <c r="FEU165" s="21"/>
      <c r="FEV165" s="20"/>
      <c r="FEW165" s="20"/>
      <c r="FEX165" s="20"/>
      <c r="FEY165" s="20"/>
      <c r="FEZ165" s="21"/>
      <c r="FFA165" s="21"/>
      <c r="FFB165" s="7"/>
      <c r="FFC165" s="7"/>
      <c r="FFD165" s="21"/>
      <c r="FFE165" s="20"/>
      <c r="FFF165" s="20"/>
      <c r="FFG165" s="20"/>
      <c r="FFH165" s="21"/>
      <c r="FFI165" s="21"/>
      <c r="FFJ165" s="21"/>
      <c r="FFK165" s="21"/>
      <c r="FFL165" s="21"/>
      <c r="FFM165" s="20"/>
      <c r="FFN165" s="20"/>
      <c r="FFO165" s="20"/>
      <c r="FFP165" s="20"/>
      <c r="FFQ165" s="21"/>
      <c r="FFR165" s="21"/>
      <c r="FFS165" s="7"/>
      <c r="FFT165" s="7"/>
      <c r="FFU165" s="21"/>
      <c r="FFV165" s="20"/>
      <c r="FFW165" s="20"/>
      <c r="FFX165" s="20"/>
      <c r="FFY165" s="21"/>
      <c r="FFZ165" s="21"/>
      <c r="FGA165" s="21"/>
      <c r="FGB165" s="21"/>
      <c r="FGC165" s="21"/>
      <c r="FGD165" s="20"/>
      <c r="FGE165" s="20"/>
      <c r="FGF165" s="20"/>
      <c r="FGG165" s="20"/>
      <c r="FGH165" s="21"/>
      <c r="FGI165" s="21"/>
      <c r="FGJ165" s="7"/>
      <c r="FGK165" s="7"/>
      <c r="FGL165" s="21"/>
      <c r="FGM165" s="20"/>
      <c r="FGN165" s="20"/>
      <c r="FGO165" s="20"/>
      <c r="FGP165" s="21"/>
      <c r="FGQ165" s="21"/>
      <c r="FGR165" s="21"/>
      <c r="FGS165" s="21"/>
      <c r="FGT165" s="21"/>
      <c r="FGU165" s="20"/>
      <c r="FGV165" s="20"/>
      <c r="FGW165" s="20"/>
      <c r="FGX165" s="20"/>
      <c r="FGY165" s="21"/>
      <c r="FGZ165" s="21"/>
      <c r="FHA165" s="7"/>
      <c r="FHB165" s="7"/>
      <c r="FHC165" s="21"/>
      <c r="FHD165" s="20"/>
      <c r="FHE165" s="20"/>
      <c r="FHF165" s="20"/>
      <c r="FHG165" s="21"/>
      <c r="FHH165" s="21"/>
      <c r="FHI165" s="21"/>
      <c r="FHJ165" s="21"/>
      <c r="FHK165" s="21"/>
      <c r="FHL165" s="20"/>
      <c r="FHM165" s="20"/>
      <c r="FHN165" s="20"/>
      <c r="FHO165" s="20"/>
      <c r="FHP165" s="21"/>
      <c r="FHQ165" s="21"/>
      <c r="FHR165" s="7"/>
      <c r="FHS165" s="7"/>
      <c r="FHT165" s="21"/>
      <c r="FHU165" s="20"/>
      <c r="FHV165" s="20"/>
      <c r="FHW165" s="20"/>
      <c r="FHX165" s="21"/>
      <c r="FHY165" s="21"/>
      <c r="FHZ165" s="21"/>
      <c r="FIA165" s="21"/>
      <c r="FIB165" s="21"/>
      <c r="FIC165" s="20"/>
      <c r="FID165" s="20"/>
      <c r="FIE165" s="20"/>
      <c r="FIF165" s="20"/>
      <c r="FIG165" s="21"/>
      <c r="FIH165" s="21"/>
      <c r="FII165" s="7"/>
      <c r="FIJ165" s="7"/>
      <c r="FIK165" s="21"/>
      <c r="FIL165" s="20"/>
      <c r="FIM165" s="20"/>
      <c r="FIN165" s="20"/>
      <c r="FIO165" s="21"/>
      <c r="FIP165" s="21"/>
      <c r="FIQ165" s="21"/>
      <c r="FIR165" s="21"/>
      <c r="FIS165" s="21"/>
      <c r="FIT165" s="20"/>
      <c r="FIU165" s="20"/>
      <c r="FIV165" s="20"/>
      <c r="FIW165" s="20"/>
      <c r="FIX165" s="21"/>
      <c r="FIY165" s="21"/>
      <c r="FIZ165" s="7"/>
      <c r="FJA165" s="7"/>
      <c r="FJB165" s="21"/>
      <c r="FJC165" s="20"/>
      <c r="FJD165" s="20"/>
      <c r="FJE165" s="20"/>
      <c r="FJF165" s="21"/>
      <c r="FJG165" s="21"/>
      <c r="FJH165" s="21"/>
      <c r="FJI165" s="21"/>
      <c r="FJJ165" s="21"/>
      <c r="FJK165" s="20"/>
      <c r="FJL165" s="20"/>
      <c r="FJM165" s="20"/>
      <c r="FJN165" s="20"/>
      <c r="FJO165" s="21"/>
      <c r="FJP165" s="21"/>
      <c r="FJQ165" s="7"/>
      <c r="FJR165" s="7"/>
      <c r="FJS165" s="21"/>
      <c r="FJT165" s="20"/>
      <c r="FJU165" s="20"/>
      <c r="FJV165" s="20"/>
      <c r="FJW165" s="21"/>
      <c r="FJX165" s="21"/>
      <c r="FJY165" s="21"/>
      <c r="FJZ165" s="21"/>
      <c r="FKA165" s="21"/>
      <c r="FKB165" s="20"/>
      <c r="FKC165" s="20"/>
      <c r="FKD165" s="20"/>
      <c r="FKE165" s="20"/>
      <c r="FKF165" s="21"/>
      <c r="FKG165" s="21"/>
      <c r="FKH165" s="7"/>
      <c r="FKI165" s="7"/>
      <c r="FKJ165" s="21"/>
      <c r="FKK165" s="20"/>
      <c r="FKL165" s="20"/>
      <c r="FKM165" s="20"/>
      <c r="FKN165" s="21"/>
      <c r="FKO165" s="21"/>
      <c r="FKP165" s="21"/>
      <c r="FKQ165" s="21"/>
      <c r="FKR165" s="21"/>
      <c r="FKS165" s="20"/>
      <c r="FKT165" s="20"/>
      <c r="FKU165" s="20"/>
      <c r="FKV165" s="20"/>
      <c r="FKW165" s="21"/>
      <c r="FKX165" s="21"/>
      <c r="FKY165" s="7"/>
      <c r="FKZ165" s="7"/>
      <c r="FLA165" s="21"/>
      <c r="FLB165" s="20"/>
      <c r="FLC165" s="20"/>
      <c r="FLD165" s="20"/>
      <c r="FLE165" s="21"/>
      <c r="FLF165" s="21"/>
      <c r="FLG165" s="21"/>
      <c r="FLH165" s="21"/>
      <c r="FLI165" s="21"/>
      <c r="FLJ165" s="20"/>
      <c r="FLK165" s="20"/>
      <c r="FLL165" s="20"/>
      <c r="FLM165" s="20"/>
      <c r="FLN165" s="21"/>
      <c r="FLO165" s="21"/>
      <c r="FLP165" s="7"/>
      <c r="FLQ165" s="7"/>
      <c r="FLR165" s="21"/>
      <c r="FLS165" s="20"/>
      <c r="FLT165" s="20"/>
      <c r="FLU165" s="20"/>
      <c r="FLV165" s="21"/>
      <c r="FLW165" s="21"/>
      <c r="FLX165" s="21"/>
      <c r="FLY165" s="21"/>
      <c r="FLZ165" s="21"/>
      <c r="FMA165" s="20"/>
      <c r="FMB165" s="20"/>
      <c r="FMC165" s="20"/>
      <c r="FMD165" s="20"/>
      <c r="FME165" s="21"/>
      <c r="FMF165" s="21"/>
      <c r="FMG165" s="7"/>
      <c r="FMH165" s="7"/>
      <c r="FMI165" s="21"/>
      <c r="FMJ165" s="20"/>
      <c r="FMK165" s="20"/>
      <c r="FML165" s="20"/>
      <c r="FMM165" s="21"/>
      <c r="FMN165" s="21"/>
      <c r="FMO165" s="21"/>
      <c r="FMP165" s="21"/>
      <c r="FMQ165" s="21"/>
      <c r="FMR165" s="20"/>
      <c r="FMS165" s="20"/>
      <c r="FMT165" s="20"/>
      <c r="FMU165" s="20"/>
      <c r="FMV165" s="21"/>
      <c r="FMW165" s="21"/>
      <c r="FMX165" s="7"/>
      <c r="FMY165" s="7"/>
      <c r="FMZ165" s="21"/>
      <c r="FNA165" s="20"/>
      <c r="FNB165" s="20"/>
      <c r="FNC165" s="20"/>
      <c r="FND165" s="21"/>
      <c r="FNE165" s="21"/>
      <c r="FNF165" s="21"/>
      <c r="FNG165" s="21"/>
      <c r="FNH165" s="21"/>
      <c r="FNI165" s="20"/>
      <c r="FNJ165" s="20"/>
      <c r="FNK165" s="20"/>
      <c r="FNL165" s="20"/>
      <c r="FNM165" s="21"/>
      <c r="FNN165" s="21"/>
      <c r="FNO165" s="7"/>
      <c r="FNP165" s="7"/>
      <c r="FNQ165" s="21"/>
      <c r="FNR165" s="20"/>
      <c r="FNS165" s="20"/>
      <c r="FNT165" s="20"/>
      <c r="FNU165" s="21"/>
      <c r="FNV165" s="21"/>
      <c r="FNW165" s="21"/>
      <c r="FNX165" s="21"/>
      <c r="FNY165" s="21"/>
      <c r="FNZ165" s="20"/>
      <c r="FOA165" s="20"/>
      <c r="FOB165" s="20"/>
      <c r="FOC165" s="20"/>
      <c r="FOD165" s="21"/>
      <c r="FOE165" s="21"/>
      <c r="FOF165" s="7"/>
      <c r="FOG165" s="7"/>
      <c r="FOH165" s="21"/>
      <c r="FOI165" s="20"/>
      <c r="FOJ165" s="20"/>
      <c r="FOK165" s="20"/>
      <c r="FOL165" s="21"/>
      <c r="FOM165" s="21"/>
      <c r="FON165" s="21"/>
      <c r="FOO165" s="21"/>
      <c r="FOP165" s="21"/>
      <c r="FOQ165" s="20"/>
      <c r="FOR165" s="20"/>
      <c r="FOS165" s="20"/>
      <c r="FOT165" s="20"/>
      <c r="FOU165" s="21"/>
      <c r="FOV165" s="21"/>
      <c r="FOW165" s="7"/>
      <c r="FOX165" s="7"/>
      <c r="FOY165" s="21"/>
      <c r="FOZ165" s="20"/>
      <c r="FPA165" s="20"/>
      <c r="FPB165" s="20"/>
      <c r="FPC165" s="21"/>
      <c r="FPD165" s="21"/>
      <c r="FPE165" s="21"/>
      <c r="FPF165" s="21"/>
      <c r="FPG165" s="21"/>
      <c r="FPH165" s="20"/>
      <c r="FPI165" s="20"/>
      <c r="FPJ165" s="20"/>
      <c r="FPK165" s="20"/>
      <c r="FPL165" s="21"/>
      <c r="FPM165" s="21"/>
      <c r="FPN165" s="7"/>
      <c r="FPO165" s="7"/>
      <c r="FPP165" s="21"/>
      <c r="FPQ165" s="20"/>
      <c r="FPR165" s="20"/>
      <c r="FPS165" s="20"/>
      <c r="FPT165" s="21"/>
      <c r="FPU165" s="21"/>
      <c r="FPV165" s="21"/>
      <c r="FPW165" s="21"/>
      <c r="FPX165" s="21"/>
      <c r="FPY165" s="20"/>
      <c r="FPZ165" s="20"/>
      <c r="FQA165" s="20"/>
      <c r="FQB165" s="20"/>
      <c r="FQC165" s="21"/>
      <c r="FQD165" s="21"/>
      <c r="FQE165" s="7"/>
      <c r="FQF165" s="7"/>
      <c r="FQG165" s="21"/>
      <c r="FQH165" s="20"/>
      <c r="FQI165" s="20"/>
      <c r="FQJ165" s="20"/>
      <c r="FQK165" s="21"/>
      <c r="FQL165" s="21"/>
      <c r="FQM165" s="21"/>
      <c r="FQN165" s="21"/>
      <c r="FQO165" s="21"/>
      <c r="FQP165" s="20"/>
      <c r="FQQ165" s="20"/>
      <c r="FQR165" s="20"/>
      <c r="FQS165" s="20"/>
      <c r="FQT165" s="21"/>
      <c r="FQU165" s="21"/>
      <c r="FQV165" s="7"/>
      <c r="FQW165" s="7"/>
      <c r="FQX165" s="21"/>
      <c r="FQY165" s="20"/>
      <c r="FQZ165" s="20"/>
      <c r="FRA165" s="20"/>
      <c r="FRB165" s="21"/>
      <c r="FRC165" s="21"/>
      <c r="FRD165" s="21"/>
      <c r="FRE165" s="21"/>
      <c r="FRF165" s="21"/>
      <c r="FRG165" s="20"/>
      <c r="FRH165" s="20"/>
      <c r="FRI165" s="20"/>
      <c r="FRJ165" s="20"/>
      <c r="FRK165" s="21"/>
      <c r="FRL165" s="21"/>
      <c r="FRM165" s="7"/>
      <c r="FRN165" s="7"/>
      <c r="FRO165" s="21"/>
      <c r="FRP165" s="20"/>
      <c r="FRQ165" s="20"/>
      <c r="FRR165" s="20"/>
      <c r="FRS165" s="21"/>
      <c r="FRT165" s="21"/>
      <c r="FRU165" s="21"/>
      <c r="FRV165" s="21"/>
      <c r="FRW165" s="21"/>
      <c r="FRX165" s="20"/>
      <c r="FRY165" s="20"/>
      <c r="FRZ165" s="20"/>
      <c r="FSA165" s="20"/>
      <c r="FSB165" s="21"/>
      <c r="FSC165" s="21"/>
      <c r="FSD165" s="7"/>
      <c r="FSE165" s="7"/>
      <c r="FSF165" s="21"/>
      <c r="FSG165" s="20"/>
      <c r="FSH165" s="20"/>
      <c r="FSI165" s="20"/>
      <c r="FSJ165" s="21"/>
      <c r="FSK165" s="21"/>
      <c r="FSL165" s="21"/>
      <c r="FSM165" s="21"/>
      <c r="FSN165" s="21"/>
      <c r="FSO165" s="20"/>
      <c r="FSP165" s="20"/>
      <c r="FSQ165" s="20"/>
      <c r="FSR165" s="20"/>
      <c r="FSS165" s="21"/>
      <c r="FST165" s="21"/>
      <c r="FSU165" s="7"/>
      <c r="FSV165" s="7"/>
      <c r="FSW165" s="21"/>
      <c r="FSX165" s="20"/>
      <c r="FSY165" s="20"/>
      <c r="FSZ165" s="20"/>
      <c r="FTA165" s="21"/>
      <c r="FTB165" s="21"/>
      <c r="FTC165" s="21"/>
      <c r="FTD165" s="21"/>
      <c r="FTE165" s="21"/>
      <c r="FTF165" s="20"/>
      <c r="FTG165" s="20"/>
      <c r="FTH165" s="20"/>
      <c r="FTI165" s="20"/>
      <c r="FTJ165" s="21"/>
      <c r="FTK165" s="21"/>
      <c r="FTL165" s="7"/>
      <c r="FTM165" s="7"/>
      <c r="FTN165" s="21"/>
      <c r="FTO165" s="20"/>
      <c r="FTP165" s="20"/>
      <c r="FTQ165" s="20"/>
      <c r="FTR165" s="21"/>
      <c r="FTS165" s="21"/>
      <c r="FTT165" s="21"/>
      <c r="FTU165" s="21"/>
      <c r="FTV165" s="21"/>
      <c r="FTW165" s="20"/>
      <c r="FTX165" s="20"/>
      <c r="FTY165" s="20"/>
      <c r="FTZ165" s="20"/>
      <c r="FUA165" s="21"/>
      <c r="FUB165" s="21"/>
      <c r="FUC165" s="7"/>
      <c r="FUD165" s="7"/>
      <c r="FUE165" s="21"/>
      <c r="FUF165" s="20"/>
      <c r="FUG165" s="20"/>
      <c r="FUH165" s="20"/>
      <c r="FUI165" s="21"/>
      <c r="FUJ165" s="21"/>
      <c r="FUK165" s="21"/>
      <c r="FUL165" s="21"/>
      <c r="FUM165" s="21"/>
      <c r="FUN165" s="20"/>
      <c r="FUO165" s="20"/>
      <c r="FUP165" s="20"/>
      <c r="FUQ165" s="20"/>
      <c r="FUR165" s="21"/>
      <c r="FUS165" s="21"/>
      <c r="FUT165" s="7"/>
      <c r="FUU165" s="7"/>
      <c r="FUV165" s="21"/>
      <c r="FUW165" s="20"/>
      <c r="FUX165" s="20"/>
      <c r="FUY165" s="20"/>
      <c r="FUZ165" s="21"/>
      <c r="FVA165" s="21"/>
      <c r="FVB165" s="21"/>
      <c r="FVC165" s="21"/>
      <c r="FVD165" s="21"/>
      <c r="FVE165" s="20"/>
      <c r="FVF165" s="20"/>
      <c r="FVG165" s="20"/>
      <c r="FVH165" s="20"/>
      <c r="FVI165" s="21"/>
      <c r="FVJ165" s="21"/>
      <c r="FVK165" s="7"/>
      <c r="FVL165" s="7"/>
      <c r="FVM165" s="21"/>
      <c r="FVN165" s="20"/>
      <c r="FVO165" s="20"/>
      <c r="FVP165" s="20"/>
      <c r="FVQ165" s="21"/>
      <c r="FVR165" s="21"/>
      <c r="FVS165" s="21"/>
      <c r="FVT165" s="21"/>
      <c r="FVU165" s="21"/>
      <c r="FVV165" s="20"/>
      <c r="FVW165" s="20"/>
      <c r="FVX165" s="20"/>
      <c r="FVY165" s="20"/>
      <c r="FVZ165" s="21"/>
      <c r="FWA165" s="21"/>
      <c r="FWB165" s="7"/>
      <c r="FWC165" s="7"/>
      <c r="FWD165" s="21"/>
      <c r="FWE165" s="20"/>
      <c r="FWF165" s="20"/>
      <c r="FWG165" s="20"/>
      <c r="FWH165" s="21"/>
      <c r="FWI165" s="21"/>
      <c r="FWJ165" s="21"/>
      <c r="FWK165" s="21"/>
      <c r="FWL165" s="21"/>
      <c r="FWM165" s="20"/>
      <c r="FWN165" s="20"/>
      <c r="FWO165" s="20"/>
      <c r="FWP165" s="20"/>
      <c r="FWQ165" s="21"/>
      <c r="FWR165" s="21"/>
      <c r="FWS165" s="7"/>
      <c r="FWT165" s="7"/>
      <c r="FWU165" s="21"/>
      <c r="FWV165" s="20"/>
      <c r="FWW165" s="20"/>
      <c r="FWX165" s="20"/>
      <c r="FWY165" s="21"/>
      <c r="FWZ165" s="21"/>
      <c r="FXA165" s="21"/>
      <c r="FXB165" s="21"/>
      <c r="FXC165" s="21"/>
      <c r="FXD165" s="20"/>
      <c r="FXE165" s="20"/>
      <c r="FXF165" s="20"/>
      <c r="FXG165" s="20"/>
      <c r="FXH165" s="21"/>
      <c r="FXI165" s="21"/>
      <c r="FXJ165" s="7"/>
      <c r="FXK165" s="7"/>
      <c r="FXL165" s="21"/>
      <c r="FXM165" s="20"/>
      <c r="FXN165" s="20"/>
      <c r="FXO165" s="20"/>
      <c r="FXP165" s="21"/>
      <c r="FXQ165" s="21"/>
      <c r="FXR165" s="21"/>
      <c r="FXS165" s="21"/>
      <c r="FXT165" s="21"/>
      <c r="FXU165" s="20"/>
      <c r="FXV165" s="20"/>
      <c r="FXW165" s="20"/>
      <c r="FXX165" s="20"/>
      <c r="FXY165" s="21"/>
      <c r="FXZ165" s="21"/>
      <c r="FYA165" s="7"/>
      <c r="FYB165" s="7"/>
      <c r="FYC165" s="21"/>
      <c r="FYD165" s="20"/>
      <c r="FYE165" s="20"/>
      <c r="FYF165" s="20"/>
      <c r="FYG165" s="21"/>
      <c r="FYH165" s="21"/>
      <c r="FYI165" s="21"/>
      <c r="FYJ165" s="21"/>
      <c r="FYK165" s="21"/>
      <c r="FYL165" s="20"/>
      <c r="FYM165" s="20"/>
      <c r="FYN165" s="20"/>
      <c r="FYO165" s="20"/>
      <c r="FYP165" s="21"/>
      <c r="FYQ165" s="21"/>
      <c r="FYR165" s="7"/>
      <c r="FYS165" s="7"/>
      <c r="FYT165" s="21"/>
      <c r="FYU165" s="20"/>
      <c r="FYV165" s="20"/>
      <c r="FYW165" s="20"/>
      <c r="FYX165" s="21"/>
      <c r="FYY165" s="21"/>
      <c r="FYZ165" s="21"/>
      <c r="FZA165" s="21"/>
      <c r="FZB165" s="21"/>
      <c r="FZC165" s="20"/>
      <c r="FZD165" s="20"/>
      <c r="FZE165" s="20"/>
      <c r="FZF165" s="20"/>
      <c r="FZG165" s="21"/>
      <c r="FZH165" s="21"/>
      <c r="FZI165" s="7"/>
      <c r="FZJ165" s="7"/>
      <c r="FZK165" s="21"/>
      <c r="FZL165" s="20"/>
      <c r="FZM165" s="20"/>
      <c r="FZN165" s="20"/>
      <c r="FZO165" s="21"/>
      <c r="FZP165" s="21"/>
      <c r="FZQ165" s="21"/>
      <c r="FZR165" s="21"/>
      <c r="FZS165" s="21"/>
      <c r="FZT165" s="20"/>
      <c r="FZU165" s="20"/>
      <c r="FZV165" s="20"/>
      <c r="FZW165" s="20"/>
      <c r="FZX165" s="21"/>
      <c r="FZY165" s="21"/>
      <c r="FZZ165" s="7"/>
      <c r="GAA165" s="7"/>
      <c r="GAB165" s="21"/>
      <c r="GAC165" s="20"/>
      <c r="GAD165" s="20"/>
      <c r="GAE165" s="20"/>
      <c r="GAF165" s="21"/>
      <c r="GAG165" s="21"/>
      <c r="GAH165" s="21"/>
      <c r="GAI165" s="21"/>
      <c r="GAJ165" s="21"/>
      <c r="GAK165" s="20"/>
      <c r="GAL165" s="20"/>
      <c r="GAM165" s="20"/>
      <c r="GAN165" s="20"/>
      <c r="GAO165" s="21"/>
      <c r="GAP165" s="21"/>
      <c r="GAQ165" s="7"/>
      <c r="GAR165" s="7"/>
      <c r="GAS165" s="21"/>
      <c r="GAT165" s="20"/>
      <c r="GAU165" s="20"/>
      <c r="GAV165" s="20"/>
      <c r="GAW165" s="21"/>
      <c r="GAX165" s="21"/>
      <c r="GAY165" s="21"/>
      <c r="GAZ165" s="21"/>
      <c r="GBA165" s="21"/>
      <c r="GBB165" s="20"/>
      <c r="GBC165" s="20"/>
      <c r="GBD165" s="20"/>
      <c r="GBE165" s="20"/>
      <c r="GBF165" s="21"/>
      <c r="GBG165" s="21"/>
      <c r="GBH165" s="7"/>
      <c r="GBI165" s="7"/>
      <c r="GBJ165" s="21"/>
      <c r="GBK165" s="20"/>
      <c r="GBL165" s="20"/>
      <c r="GBM165" s="20"/>
      <c r="GBN165" s="21"/>
      <c r="GBO165" s="21"/>
      <c r="GBP165" s="21"/>
      <c r="GBQ165" s="21"/>
      <c r="GBR165" s="21"/>
      <c r="GBS165" s="20"/>
      <c r="GBT165" s="20"/>
      <c r="GBU165" s="20"/>
      <c r="GBV165" s="20"/>
      <c r="GBW165" s="21"/>
      <c r="GBX165" s="21"/>
      <c r="GBY165" s="7"/>
      <c r="GBZ165" s="7"/>
      <c r="GCA165" s="21"/>
      <c r="GCB165" s="20"/>
      <c r="GCC165" s="20"/>
      <c r="GCD165" s="20"/>
      <c r="GCE165" s="21"/>
      <c r="GCF165" s="21"/>
      <c r="GCG165" s="21"/>
      <c r="GCH165" s="21"/>
      <c r="GCI165" s="21"/>
      <c r="GCJ165" s="20"/>
      <c r="GCK165" s="20"/>
      <c r="GCL165" s="20"/>
      <c r="GCM165" s="20"/>
      <c r="GCN165" s="21"/>
      <c r="GCO165" s="21"/>
      <c r="GCP165" s="7"/>
      <c r="GCQ165" s="7"/>
      <c r="GCR165" s="21"/>
      <c r="GCS165" s="20"/>
      <c r="GCT165" s="20"/>
      <c r="GCU165" s="20"/>
      <c r="GCV165" s="21"/>
      <c r="GCW165" s="21"/>
      <c r="GCX165" s="21"/>
      <c r="GCY165" s="21"/>
      <c r="GCZ165" s="21"/>
      <c r="GDA165" s="20"/>
      <c r="GDB165" s="20"/>
      <c r="GDC165" s="20"/>
      <c r="GDD165" s="20"/>
      <c r="GDE165" s="21"/>
      <c r="GDF165" s="21"/>
      <c r="GDG165" s="7"/>
      <c r="GDH165" s="7"/>
      <c r="GDI165" s="21"/>
      <c r="GDJ165" s="20"/>
      <c r="GDK165" s="20"/>
      <c r="GDL165" s="20"/>
      <c r="GDM165" s="21"/>
      <c r="GDN165" s="21"/>
      <c r="GDO165" s="21"/>
      <c r="GDP165" s="21"/>
      <c r="GDQ165" s="21"/>
      <c r="GDR165" s="20"/>
      <c r="GDS165" s="20"/>
      <c r="GDT165" s="20"/>
      <c r="GDU165" s="20"/>
      <c r="GDV165" s="21"/>
      <c r="GDW165" s="21"/>
      <c r="GDX165" s="7"/>
      <c r="GDY165" s="7"/>
      <c r="GDZ165" s="21"/>
      <c r="GEA165" s="20"/>
      <c r="GEB165" s="20"/>
      <c r="GEC165" s="20"/>
      <c r="GED165" s="21"/>
      <c r="GEE165" s="21"/>
      <c r="GEF165" s="21"/>
      <c r="GEG165" s="21"/>
      <c r="GEH165" s="21"/>
      <c r="GEI165" s="20"/>
      <c r="GEJ165" s="20"/>
      <c r="GEK165" s="20"/>
      <c r="GEL165" s="20"/>
      <c r="GEM165" s="21"/>
      <c r="GEN165" s="21"/>
      <c r="GEO165" s="7"/>
      <c r="GEP165" s="7"/>
      <c r="GEQ165" s="21"/>
      <c r="GER165" s="20"/>
      <c r="GES165" s="20"/>
      <c r="GET165" s="20"/>
      <c r="GEU165" s="21"/>
      <c r="GEV165" s="21"/>
      <c r="GEW165" s="21"/>
      <c r="GEX165" s="21"/>
      <c r="GEY165" s="21"/>
      <c r="GEZ165" s="20"/>
      <c r="GFA165" s="20"/>
      <c r="GFB165" s="20"/>
      <c r="GFC165" s="20"/>
      <c r="GFD165" s="21"/>
      <c r="GFE165" s="21"/>
      <c r="GFF165" s="7"/>
      <c r="GFG165" s="7"/>
      <c r="GFH165" s="21"/>
      <c r="GFI165" s="20"/>
      <c r="GFJ165" s="20"/>
      <c r="GFK165" s="20"/>
      <c r="GFL165" s="21"/>
      <c r="GFM165" s="21"/>
      <c r="GFN165" s="21"/>
      <c r="GFO165" s="21"/>
      <c r="GFP165" s="21"/>
      <c r="GFQ165" s="20"/>
      <c r="GFR165" s="20"/>
      <c r="GFS165" s="20"/>
      <c r="GFT165" s="20"/>
      <c r="GFU165" s="21"/>
      <c r="GFV165" s="21"/>
      <c r="GFW165" s="7"/>
      <c r="GFX165" s="7"/>
      <c r="GFY165" s="21"/>
      <c r="GFZ165" s="20"/>
      <c r="GGA165" s="20"/>
      <c r="GGB165" s="20"/>
      <c r="GGC165" s="21"/>
      <c r="GGD165" s="21"/>
      <c r="GGE165" s="21"/>
      <c r="GGF165" s="21"/>
      <c r="GGG165" s="21"/>
      <c r="GGH165" s="20"/>
      <c r="GGI165" s="20"/>
      <c r="GGJ165" s="20"/>
      <c r="GGK165" s="20"/>
      <c r="GGL165" s="21"/>
      <c r="GGM165" s="21"/>
      <c r="GGN165" s="7"/>
      <c r="GGO165" s="7"/>
      <c r="GGP165" s="21"/>
      <c r="GGQ165" s="20"/>
      <c r="GGR165" s="20"/>
      <c r="GGS165" s="20"/>
      <c r="GGT165" s="21"/>
      <c r="GGU165" s="21"/>
      <c r="GGV165" s="21"/>
      <c r="GGW165" s="21"/>
      <c r="GGX165" s="21"/>
      <c r="GGY165" s="20"/>
      <c r="GGZ165" s="20"/>
      <c r="GHA165" s="20"/>
      <c r="GHB165" s="20"/>
      <c r="GHC165" s="21"/>
      <c r="GHD165" s="21"/>
      <c r="GHE165" s="7"/>
      <c r="GHF165" s="7"/>
      <c r="GHG165" s="21"/>
      <c r="GHH165" s="20"/>
      <c r="GHI165" s="20"/>
      <c r="GHJ165" s="20"/>
      <c r="GHK165" s="21"/>
      <c r="GHL165" s="21"/>
      <c r="GHM165" s="21"/>
      <c r="GHN165" s="21"/>
      <c r="GHO165" s="21"/>
      <c r="GHP165" s="20"/>
      <c r="GHQ165" s="20"/>
      <c r="GHR165" s="20"/>
      <c r="GHS165" s="20"/>
      <c r="GHT165" s="21"/>
      <c r="GHU165" s="21"/>
      <c r="GHV165" s="7"/>
      <c r="GHW165" s="7"/>
      <c r="GHX165" s="21"/>
      <c r="GHY165" s="20"/>
      <c r="GHZ165" s="20"/>
      <c r="GIA165" s="20"/>
      <c r="GIB165" s="21"/>
      <c r="GIC165" s="21"/>
      <c r="GID165" s="21"/>
      <c r="GIE165" s="21"/>
      <c r="GIF165" s="21"/>
      <c r="GIG165" s="20"/>
      <c r="GIH165" s="20"/>
      <c r="GII165" s="20"/>
      <c r="GIJ165" s="20"/>
      <c r="GIK165" s="21"/>
      <c r="GIL165" s="21"/>
      <c r="GIM165" s="7"/>
      <c r="GIN165" s="7"/>
      <c r="GIO165" s="21"/>
      <c r="GIP165" s="20"/>
      <c r="GIQ165" s="20"/>
      <c r="GIR165" s="20"/>
      <c r="GIS165" s="21"/>
      <c r="GIT165" s="21"/>
      <c r="GIU165" s="21"/>
      <c r="GIV165" s="21"/>
      <c r="GIW165" s="21"/>
      <c r="GIX165" s="20"/>
      <c r="GIY165" s="20"/>
      <c r="GIZ165" s="20"/>
      <c r="GJA165" s="20"/>
      <c r="GJB165" s="21"/>
      <c r="GJC165" s="21"/>
      <c r="GJD165" s="7"/>
      <c r="GJE165" s="7"/>
      <c r="GJF165" s="21"/>
      <c r="GJG165" s="20"/>
      <c r="GJH165" s="20"/>
      <c r="GJI165" s="20"/>
      <c r="GJJ165" s="21"/>
      <c r="GJK165" s="21"/>
      <c r="GJL165" s="21"/>
      <c r="GJM165" s="21"/>
      <c r="GJN165" s="21"/>
      <c r="GJO165" s="20"/>
      <c r="GJP165" s="20"/>
      <c r="GJQ165" s="20"/>
      <c r="GJR165" s="20"/>
      <c r="GJS165" s="21"/>
      <c r="GJT165" s="21"/>
      <c r="GJU165" s="7"/>
      <c r="GJV165" s="7"/>
      <c r="GJW165" s="21"/>
      <c r="GJX165" s="20"/>
      <c r="GJY165" s="20"/>
      <c r="GJZ165" s="20"/>
      <c r="GKA165" s="21"/>
      <c r="GKB165" s="21"/>
      <c r="GKC165" s="21"/>
      <c r="GKD165" s="21"/>
      <c r="GKE165" s="21"/>
      <c r="GKF165" s="20"/>
      <c r="GKG165" s="20"/>
      <c r="GKH165" s="20"/>
      <c r="GKI165" s="20"/>
      <c r="GKJ165" s="21"/>
      <c r="GKK165" s="21"/>
      <c r="GKL165" s="7"/>
      <c r="GKM165" s="7"/>
      <c r="GKN165" s="21"/>
      <c r="GKO165" s="20"/>
      <c r="GKP165" s="20"/>
      <c r="GKQ165" s="20"/>
      <c r="GKR165" s="21"/>
      <c r="GKS165" s="21"/>
      <c r="GKT165" s="21"/>
      <c r="GKU165" s="21"/>
      <c r="GKV165" s="21"/>
      <c r="GKW165" s="20"/>
      <c r="GKX165" s="20"/>
      <c r="GKY165" s="20"/>
      <c r="GKZ165" s="20"/>
      <c r="GLA165" s="21"/>
      <c r="GLB165" s="21"/>
      <c r="GLC165" s="7"/>
      <c r="GLD165" s="7"/>
      <c r="GLE165" s="21"/>
      <c r="GLF165" s="20"/>
      <c r="GLG165" s="20"/>
      <c r="GLH165" s="20"/>
      <c r="GLI165" s="21"/>
      <c r="GLJ165" s="21"/>
      <c r="GLK165" s="21"/>
      <c r="GLL165" s="21"/>
      <c r="GLM165" s="21"/>
      <c r="GLN165" s="20"/>
      <c r="GLO165" s="20"/>
      <c r="GLP165" s="20"/>
      <c r="GLQ165" s="20"/>
      <c r="GLR165" s="21"/>
      <c r="GLS165" s="21"/>
      <c r="GLT165" s="7"/>
      <c r="GLU165" s="7"/>
      <c r="GLV165" s="21"/>
      <c r="GLW165" s="20"/>
      <c r="GLX165" s="20"/>
      <c r="GLY165" s="20"/>
      <c r="GLZ165" s="21"/>
      <c r="GMA165" s="21"/>
      <c r="GMB165" s="21"/>
      <c r="GMC165" s="21"/>
      <c r="GMD165" s="21"/>
      <c r="GME165" s="20"/>
      <c r="GMF165" s="20"/>
      <c r="GMG165" s="20"/>
      <c r="GMH165" s="20"/>
      <c r="GMI165" s="21"/>
      <c r="GMJ165" s="21"/>
      <c r="GMK165" s="7"/>
      <c r="GML165" s="7"/>
      <c r="GMM165" s="21"/>
      <c r="GMN165" s="20"/>
      <c r="GMO165" s="20"/>
      <c r="GMP165" s="20"/>
      <c r="GMQ165" s="21"/>
      <c r="GMR165" s="21"/>
      <c r="GMS165" s="21"/>
      <c r="GMT165" s="21"/>
      <c r="GMU165" s="21"/>
      <c r="GMV165" s="20"/>
      <c r="GMW165" s="20"/>
      <c r="GMX165" s="20"/>
      <c r="GMY165" s="20"/>
      <c r="GMZ165" s="21"/>
      <c r="GNA165" s="21"/>
      <c r="GNB165" s="7"/>
      <c r="GNC165" s="7"/>
      <c r="GND165" s="21"/>
      <c r="GNE165" s="20"/>
      <c r="GNF165" s="20"/>
      <c r="GNG165" s="20"/>
      <c r="GNH165" s="21"/>
      <c r="GNI165" s="21"/>
      <c r="GNJ165" s="21"/>
      <c r="GNK165" s="21"/>
      <c r="GNL165" s="21"/>
      <c r="GNM165" s="20"/>
      <c r="GNN165" s="20"/>
      <c r="GNO165" s="20"/>
      <c r="GNP165" s="20"/>
      <c r="GNQ165" s="21"/>
      <c r="GNR165" s="21"/>
      <c r="GNS165" s="7"/>
      <c r="GNT165" s="7"/>
      <c r="GNU165" s="21"/>
      <c r="GNV165" s="20"/>
      <c r="GNW165" s="20"/>
      <c r="GNX165" s="20"/>
      <c r="GNY165" s="21"/>
      <c r="GNZ165" s="21"/>
      <c r="GOA165" s="21"/>
      <c r="GOB165" s="21"/>
      <c r="GOC165" s="21"/>
      <c r="GOD165" s="20"/>
      <c r="GOE165" s="20"/>
      <c r="GOF165" s="20"/>
      <c r="GOG165" s="20"/>
      <c r="GOH165" s="21"/>
      <c r="GOI165" s="21"/>
      <c r="GOJ165" s="7"/>
      <c r="GOK165" s="7"/>
      <c r="GOL165" s="21"/>
      <c r="GOM165" s="20"/>
      <c r="GON165" s="20"/>
      <c r="GOO165" s="20"/>
      <c r="GOP165" s="21"/>
      <c r="GOQ165" s="21"/>
      <c r="GOR165" s="21"/>
      <c r="GOS165" s="21"/>
      <c r="GOT165" s="21"/>
      <c r="GOU165" s="20"/>
      <c r="GOV165" s="20"/>
      <c r="GOW165" s="20"/>
      <c r="GOX165" s="20"/>
      <c r="GOY165" s="21"/>
      <c r="GOZ165" s="21"/>
      <c r="GPA165" s="7"/>
      <c r="GPB165" s="7"/>
      <c r="GPC165" s="21"/>
      <c r="GPD165" s="20"/>
      <c r="GPE165" s="20"/>
      <c r="GPF165" s="20"/>
      <c r="GPG165" s="21"/>
      <c r="GPH165" s="21"/>
      <c r="GPI165" s="21"/>
      <c r="GPJ165" s="21"/>
      <c r="GPK165" s="21"/>
      <c r="GPL165" s="20"/>
      <c r="GPM165" s="20"/>
      <c r="GPN165" s="20"/>
      <c r="GPO165" s="20"/>
      <c r="GPP165" s="21"/>
      <c r="GPQ165" s="21"/>
      <c r="GPR165" s="7"/>
      <c r="GPS165" s="7"/>
      <c r="GPT165" s="21"/>
      <c r="GPU165" s="20"/>
      <c r="GPV165" s="20"/>
      <c r="GPW165" s="20"/>
      <c r="GPX165" s="21"/>
      <c r="GPY165" s="21"/>
      <c r="GPZ165" s="21"/>
      <c r="GQA165" s="21"/>
      <c r="GQB165" s="21"/>
      <c r="GQC165" s="20"/>
      <c r="GQD165" s="20"/>
      <c r="GQE165" s="20"/>
      <c r="GQF165" s="20"/>
      <c r="GQG165" s="21"/>
      <c r="GQH165" s="21"/>
      <c r="GQI165" s="7"/>
      <c r="GQJ165" s="7"/>
      <c r="GQK165" s="21"/>
      <c r="GQL165" s="20"/>
      <c r="GQM165" s="20"/>
      <c r="GQN165" s="20"/>
      <c r="GQO165" s="21"/>
      <c r="GQP165" s="21"/>
      <c r="GQQ165" s="21"/>
      <c r="GQR165" s="21"/>
      <c r="GQS165" s="21"/>
      <c r="GQT165" s="20"/>
      <c r="GQU165" s="20"/>
      <c r="GQV165" s="20"/>
      <c r="GQW165" s="20"/>
      <c r="GQX165" s="21"/>
      <c r="GQY165" s="21"/>
      <c r="GQZ165" s="7"/>
      <c r="GRA165" s="7"/>
      <c r="GRB165" s="21"/>
      <c r="GRC165" s="20"/>
      <c r="GRD165" s="20"/>
      <c r="GRE165" s="20"/>
      <c r="GRF165" s="21"/>
      <c r="GRG165" s="21"/>
      <c r="GRH165" s="21"/>
      <c r="GRI165" s="21"/>
      <c r="GRJ165" s="21"/>
      <c r="GRK165" s="20"/>
      <c r="GRL165" s="20"/>
      <c r="GRM165" s="20"/>
      <c r="GRN165" s="20"/>
      <c r="GRO165" s="21"/>
      <c r="GRP165" s="21"/>
      <c r="GRQ165" s="7"/>
      <c r="GRR165" s="7"/>
      <c r="GRS165" s="21"/>
      <c r="GRT165" s="20"/>
      <c r="GRU165" s="20"/>
      <c r="GRV165" s="20"/>
      <c r="GRW165" s="21"/>
      <c r="GRX165" s="21"/>
      <c r="GRY165" s="21"/>
      <c r="GRZ165" s="21"/>
      <c r="GSA165" s="21"/>
      <c r="GSB165" s="20"/>
      <c r="GSC165" s="20"/>
      <c r="GSD165" s="20"/>
      <c r="GSE165" s="20"/>
      <c r="GSF165" s="21"/>
      <c r="GSG165" s="21"/>
      <c r="GSH165" s="7"/>
      <c r="GSI165" s="7"/>
      <c r="GSJ165" s="21"/>
      <c r="GSK165" s="20"/>
      <c r="GSL165" s="20"/>
      <c r="GSM165" s="20"/>
      <c r="GSN165" s="21"/>
      <c r="GSO165" s="21"/>
      <c r="GSP165" s="21"/>
      <c r="GSQ165" s="21"/>
      <c r="GSR165" s="21"/>
      <c r="GSS165" s="20"/>
      <c r="GST165" s="20"/>
      <c r="GSU165" s="20"/>
      <c r="GSV165" s="20"/>
      <c r="GSW165" s="21"/>
      <c r="GSX165" s="21"/>
      <c r="GSY165" s="7"/>
      <c r="GSZ165" s="7"/>
      <c r="GTA165" s="21"/>
      <c r="GTB165" s="20"/>
      <c r="GTC165" s="20"/>
      <c r="GTD165" s="20"/>
      <c r="GTE165" s="21"/>
      <c r="GTF165" s="21"/>
      <c r="GTG165" s="21"/>
      <c r="GTH165" s="21"/>
      <c r="GTI165" s="21"/>
      <c r="GTJ165" s="20"/>
      <c r="GTK165" s="20"/>
      <c r="GTL165" s="20"/>
      <c r="GTM165" s="20"/>
      <c r="GTN165" s="21"/>
      <c r="GTO165" s="21"/>
      <c r="GTP165" s="7"/>
      <c r="GTQ165" s="7"/>
      <c r="GTR165" s="21"/>
      <c r="GTS165" s="20"/>
      <c r="GTT165" s="20"/>
      <c r="GTU165" s="20"/>
      <c r="GTV165" s="21"/>
      <c r="GTW165" s="21"/>
      <c r="GTX165" s="21"/>
      <c r="GTY165" s="21"/>
      <c r="GTZ165" s="21"/>
      <c r="GUA165" s="20"/>
      <c r="GUB165" s="20"/>
      <c r="GUC165" s="20"/>
      <c r="GUD165" s="20"/>
      <c r="GUE165" s="21"/>
      <c r="GUF165" s="21"/>
      <c r="GUG165" s="7"/>
      <c r="GUH165" s="7"/>
      <c r="GUI165" s="21"/>
      <c r="GUJ165" s="20"/>
      <c r="GUK165" s="20"/>
      <c r="GUL165" s="20"/>
      <c r="GUM165" s="21"/>
      <c r="GUN165" s="21"/>
      <c r="GUO165" s="21"/>
      <c r="GUP165" s="21"/>
      <c r="GUQ165" s="21"/>
      <c r="GUR165" s="20"/>
      <c r="GUS165" s="20"/>
      <c r="GUT165" s="20"/>
      <c r="GUU165" s="20"/>
      <c r="GUV165" s="21"/>
      <c r="GUW165" s="21"/>
      <c r="GUX165" s="7"/>
      <c r="GUY165" s="7"/>
      <c r="GUZ165" s="21"/>
      <c r="GVA165" s="20"/>
      <c r="GVB165" s="20"/>
      <c r="GVC165" s="20"/>
      <c r="GVD165" s="21"/>
      <c r="GVE165" s="21"/>
      <c r="GVF165" s="21"/>
      <c r="GVG165" s="21"/>
      <c r="GVH165" s="21"/>
      <c r="GVI165" s="20"/>
      <c r="GVJ165" s="20"/>
      <c r="GVK165" s="20"/>
      <c r="GVL165" s="20"/>
      <c r="GVM165" s="21"/>
      <c r="GVN165" s="21"/>
      <c r="GVO165" s="7"/>
      <c r="GVP165" s="7"/>
      <c r="GVQ165" s="21"/>
      <c r="GVR165" s="20"/>
      <c r="GVS165" s="20"/>
      <c r="GVT165" s="20"/>
      <c r="GVU165" s="21"/>
      <c r="GVV165" s="21"/>
      <c r="GVW165" s="21"/>
      <c r="GVX165" s="21"/>
      <c r="GVY165" s="21"/>
      <c r="GVZ165" s="20"/>
      <c r="GWA165" s="20"/>
      <c r="GWB165" s="20"/>
      <c r="GWC165" s="20"/>
      <c r="GWD165" s="21"/>
      <c r="GWE165" s="21"/>
      <c r="GWF165" s="7"/>
      <c r="GWG165" s="7"/>
      <c r="GWH165" s="21"/>
      <c r="GWI165" s="20"/>
      <c r="GWJ165" s="20"/>
      <c r="GWK165" s="20"/>
      <c r="GWL165" s="21"/>
      <c r="GWM165" s="21"/>
      <c r="GWN165" s="21"/>
      <c r="GWO165" s="21"/>
      <c r="GWP165" s="21"/>
      <c r="GWQ165" s="20"/>
      <c r="GWR165" s="20"/>
      <c r="GWS165" s="20"/>
      <c r="GWT165" s="20"/>
      <c r="GWU165" s="21"/>
      <c r="GWV165" s="21"/>
      <c r="GWW165" s="7"/>
      <c r="GWX165" s="7"/>
      <c r="GWY165" s="21"/>
      <c r="GWZ165" s="20"/>
      <c r="GXA165" s="20"/>
      <c r="GXB165" s="20"/>
      <c r="GXC165" s="21"/>
      <c r="GXD165" s="21"/>
      <c r="GXE165" s="21"/>
      <c r="GXF165" s="21"/>
      <c r="GXG165" s="21"/>
      <c r="GXH165" s="20"/>
      <c r="GXI165" s="20"/>
      <c r="GXJ165" s="20"/>
      <c r="GXK165" s="20"/>
      <c r="GXL165" s="21"/>
      <c r="GXM165" s="21"/>
      <c r="GXN165" s="7"/>
      <c r="GXO165" s="7"/>
      <c r="GXP165" s="21"/>
      <c r="GXQ165" s="20"/>
      <c r="GXR165" s="20"/>
      <c r="GXS165" s="20"/>
      <c r="GXT165" s="21"/>
      <c r="GXU165" s="21"/>
      <c r="GXV165" s="21"/>
      <c r="GXW165" s="21"/>
      <c r="GXX165" s="21"/>
      <c r="GXY165" s="20"/>
      <c r="GXZ165" s="20"/>
      <c r="GYA165" s="20"/>
      <c r="GYB165" s="20"/>
      <c r="GYC165" s="21"/>
      <c r="GYD165" s="21"/>
      <c r="GYE165" s="7"/>
      <c r="GYF165" s="7"/>
      <c r="GYG165" s="21"/>
      <c r="GYH165" s="20"/>
      <c r="GYI165" s="20"/>
      <c r="GYJ165" s="20"/>
      <c r="GYK165" s="21"/>
      <c r="GYL165" s="21"/>
      <c r="GYM165" s="21"/>
      <c r="GYN165" s="21"/>
      <c r="GYO165" s="21"/>
      <c r="GYP165" s="20"/>
      <c r="GYQ165" s="20"/>
      <c r="GYR165" s="20"/>
      <c r="GYS165" s="20"/>
      <c r="GYT165" s="21"/>
      <c r="GYU165" s="21"/>
      <c r="GYV165" s="7"/>
      <c r="GYW165" s="7"/>
      <c r="GYX165" s="21"/>
      <c r="GYY165" s="20"/>
      <c r="GYZ165" s="20"/>
      <c r="GZA165" s="20"/>
      <c r="GZB165" s="21"/>
      <c r="GZC165" s="21"/>
      <c r="GZD165" s="21"/>
      <c r="GZE165" s="21"/>
      <c r="GZF165" s="21"/>
      <c r="GZG165" s="20"/>
      <c r="GZH165" s="20"/>
      <c r="GZI165" s="20"/>
      <c r="GZJ165" s="20"/>
      <c r="GZK165" s="21"/>
      <c r="GZL165" s="21"/>
      <c r="GZM165" s="7"/>
      <c r="GZN165" s="7"/>
      <c r="GZO165" s="21"/>
      <c r="GZP165" s="20"/>
      <c r="GZQ165" s="20"/>
      <c r="GZR165" s="20"/>
      <c r="GZS165" s="21"/>
      <c r="GZT165" s="21"/>
      <c r="GZU165" s="21"/>
      <c r="GZV165" s="21"/>
      <c r="GZW165" s="21"/>
      <c r="GZX165" s="20"/>
      <c r="GZY165" s="20"/>
      <c r="GZZ165" s="20"/>
      <c r="HAA165" s="20"/>
      <c r="HAB165" s="21"/>
      <c r="HAC165" s="21"/>
      <c r="HAD165" s="7"/>
      <c r="HAE165" s="7"/>
      <c r="HAF165" s="21"/>
      <c r="HAG165" s="20"/>
      <c r="HAH165" s="20"/>
      <c r="HAI165" s="20"/>
      <c r="HAJ165" s="21"/>
      <c r="HAK165" s="21"/>
      <c r="HAL165" s="21"/>
      <c r="HAM165" s="21"/>
      <c r="HAN165" s="21"/>
      <c r="HAO165" s="20"/>
      <c r="HAP165" s="20"/>
      <c r="HAQ165" s="20"/>
      <c r="HAR165" s="20"/>
      <c r="HAS165" s="21"/>
      <c r="HAT165" s="21"/>
      <c r="HAU165" s="7"/>
      <c r="HAV165" s="7"/>
      <c r="HAW165" s="21"/>
      <c r="HAX165" s="20"/>
      <c r="HAY165" s="20"/>
      <c r="HAZ165" s="20"/>
      <c r="HBA165" s="21"/>
      <c r="HBB165" s="21"/>
      <c r="HBC165" s="21"/>
      <c r="HBD165" s="21"/>
      <c r="HBE165" s="21"/>
      <c r="HBF165" s="20"/>
      <c r="HBG165" s="20"/>
      <c r="HBH165" s="20"/>
      <c r="HBI165" s="20"/>
      <c r="HBJ165" s="21"/>
      <c r="HBK165" s="21"/>
      <c r="HBL165" s="7"/>
      <c r="HBM165" s="7"/>
      <c r="HBN165" s="21"/>
      <c r="HBO165" s="20"/>
      <c r="HBP165" s="20"/>
      <c r="HBQ165" s="20"/>
      <c r="HBR165" s="21"/>
      <c r="HBS165" s="21"/>
      <c r="HBT165" s="21"/>
      <c r="HBU165" s="21"/>
      <c r="HBV165" s="21"/>
      <c r="HBW165" s="20"/>
      <c r="HBX165" s="20"/>
      <c r="HBY165" s="20"/>
      <c r="HBZ165" s="20"/>
      <c r="HCA165" s="21"/>
      <c r="HCB165" s="21"/>
      <c r="HCC165" s="7"/>
      <c r="HCD165" s="7"/>
      <c r="HCE165" s="21"/>
      <c r="HCF165" s="20"/>
      <c r="HCG165" s="20"/>
      <c r="HCH165" s="20"/>
      <c r="HCI165" s="21"/>
      <c r="HCJ165" s="21"/>
      <c r="HCK165" s="21"/>
      <c r="HCL165" s="21"/>
      <c r="HCM165" s="21"/>
      <c r="HCN165" s="20"/>
      <c r="HCO165" s="20"/>
      <c r="HCP165" s="20"/>
      <c r="HCQ165" s="20"/>
      <c r="HCR165" s="21"/>
      <c r="HCS165" s="21"/>
      <c r="HCT165" s="7"/>
      <c r="HCU165" s="7"/>
      <c r="HCV165" s="21"/>
      <c r="HCW165" s="20"/>
      <c r="HCX165" s="20"/>
      <c r="HCY165" s="20"/>
      <c r="HCZ165" s="21"/>
      <c r="HDA165" s="21"/>
      <c r="HDB165" s="21"/>
      <c r="HDC165" s="21"/>
      <c r="HDD165" s="21"/>
      <c r="HDE165" s="20"/>
      <c r="HDF165" s="20"/>
      <c r="HDG165" s="20"/>
      <c r="HDH165" s="20"/>
      <c r="HDI165" s="21"/>
      <c r="HDJ165" s="21"/>
      <c r="HDK165" s="7"/>
      <c r="HDL165" s="7"/>
      <c r="HDM165" s="21"/>
      <c r="HDN165" s="20"/>
      <c r="HDO165" s="20"/>
      <c r="HDP165" s="20"/>
      <c r="HDQ165" s="21"/>
      <c r="HDR165" s="21"/>
      <c r="HDS165" s="21"/>
      <c r="HDT165" s="21"/>
      <c r="HDU165" s="21"/>
      <c r="HDV165" s="20"/>
      <c r="HDW165" s="20"/>
      <c r="HDX165" s="20"/>
      <c r="HDY165" s="20"/>
      <c r="HDZ165" s="21"/>
      <c r="HEA165" s="21"/>
      <c r="HEB165" s="7"/>
      <c r="HEC165" s="7"/>
      <c r="HED165" s="21"/>
      <c r="HEE165" s="20"/>
      <c r="HEF165" s="20"/>
      <c r="HEG165" s="20"/>
      <c r="HEH165" s="21"/>
      <c r="HEI165" s="21"/>
      <c r="HEJ165" s="21"/>
      <c r="HEK165" s="21"/>
      <c r="HEL165" s="21"/>
      <c r="HEM165" s="20"/>
      <c r="HEN165" s="20"/>
      <c r="HEO165" s="20"/>
      <c r="HEP165" s="20"/>
      <c r="HEQ165" s="21"/>
      <c r="HER165" s="21"/>
      <c r="HES165" s="7"/>
      <c r="HET165" s="7"/>
      <c r="HEU165" s="21"/>
      <c r="HEV165" s="20"/>
      <c r="HEW165" s="20"/>
      <c r="HEX165" s="20"/>
      <c r="HEY165" s="21"/>
      <c r="HEZ165" s="21"/>
      <c r="HFA165" s="21"/>
      <c r="HFB165" s="21"/>
      <c r="HFC165" s="21"/>
      <c r="HFD165" s="20"/>
      <c r="HFE165" s="20"/>
      <c r="HFF165" s="20"/>
      <c r="HFG165" s="20"/>
      <c r="HFH165" s="21"/>
      <c r="HFI165" s="21"/>
      <c r="HFJ165" s="7"/>
      <c r="HFK165" s="7"/>
      <c r="HFL165" s="21"/>
      <c r="HFM165" s="20"/>
      <c r="HFN165" s="20"/>
      <c r="HFO165" s="20"/>
      <c r="HFP165" s="21"/>
      <c r="HFQ165" s="21"/>
      <c r="HFR165" s="21"/>
      <c r="HFS165" s="21"/>
      <c r="HFT165" s="21"/>
      <c r="HFU165" s="20"/>
      <c r="HFV165" s="20"/>
      <c r="HFW165" s="20"/>
      <c r="HFX165" s="20"/>
      <c r="HFY165" s="21"/>
      <c r="HFZ165" s="21"/>
      <c r="HGA165" s="7"/>
      <c r="HGB165" s="7"/>
      <c r="HGC165" s="21"/>
      <c r="HGD165" s="20"/>
      <c r="HGE165" s="20"/>
      <c r="HGF165" s="20"/>
      <c r="HGG165" s="21"/>
      <c r="HGH165" s="21"/>
      <c r="HGI165" s="21"/>
      <c r="HGJ165" s="21"/>
      <c r="HGK165" s="21"/>
      <c r="HGL165" s="20"/>
      <c r="HGM165" s="20"/>
      <c r="HGN165" s="20"/>
      <c r="HGO165" s="20"/>
      <c r="HGP165" s="21"/>
      <c r="HGQ165" s="21"/>
      <c r="HGR165" s="7"/>
      <c r="HGS165" s="7"/>
      <c r="HGT165" s="21"/>
      <c r="HGU165" s="20"/>
      <c r="HGV165" s="20"/>
      <c r="HGW165" s="20"/>
      <c r="HGX165" s="21"/>
      <c r="HGY165" s="21"/>
      <c r="HGZ165" s="21"/>
      <c r="HHA165" s="21"/>
      <c r="HHB165" s="21"/>
      <c r="HHC165" s="20"/>
      <c r="HHD165" s="20"/>
      <c r="HHE165" s="20"/>
      <c r="HHF165" s="20"/>
      <c r="HHG165" s="21"/>
      <c r="HHH165" s="21"/>
      <c r="HHI165" s="7"/>
      <c r="HHJ165" s="7"/>
      <c r="HHK165" s="21"/>
      <c r="HHL165" s="20"/>
      <c r="HHM165" s="20"/>
      <c r="HHN165" s="20"/>
      <c r="HHO165" s="21"/>
      <c r="HHP165" s="21"/>
      <c r="HHQ165" s="21"/>
      <c r="HHR165" s="21"/>
      <c r="HHS165" s="21"/>
      <c r="HHT165" s="20"/>
      <c r="HHU165" s="20"/>
      <c r="HHV165" s="20"/>
      <c r="HHW165" s="20"/>
      <c r="HHX165" s="21"/>
      <c r="HHY165" s="21"/>
      <c r="HHZ165" s="7"/>
      <c r="HIA165" s="7"/>
      <c r="HIB165" s="21"/>
      <c r="HIC165" s="20"/>
      <c r="HID165" s="20"/>
      <c r="HIE165" s="20"/>
      <c r="HIF165" s="21"/>
      <c r="HIG165" s="21"/>
      <c r="HIH165" s="21"/>
      <c r="HII165" s="21"/>
      <c r="HIJ165" s="21"/>
      <c r="HIK165" s="20"/>
      <c r="HIL165" s="20"/>
      <c r="HIM165" s="20"/>
      <c r="HIN165" s="20"/>
      <c r="HIO165" s="21"/>
      <c r="HIP165" s="21"/>
      <c r="HIQ165" s="7"/>
      <c r="HIR165" s="7"/>
      <c r="HIS165" s="21"/>
      <c r="HIT165" s="20"/>
      <c r="HIU165" s="20"/>
      <c r="HIV165" s="20"/>
      <c r="HIW165" s="21"/>
      <c r="HIX165" s="21"/>
      <c r="HIY165" s="21"/>
      <c r="HIZ165" s="21"/>
      <c r="HJA165" s="21"/>
      <c r="HJB165" s="20"/>
      <c r="HJC165" s="20"/>
      <c r="HJD165" s="20"/>
      <c r="HJE165" s="20"/>
      <c r="HJF165" s="21"/>
      <c r="HJG165" s="21"/>
      <c r="HJH165" s="7"/>
      <c r="HJI165" s="7"/>
      <c r="HJJ165" s="21"/>
      <c r="HJK165" s="20"/>
      <c r="HJL165" s="20"/>
      <c r="HJM165" s="20"/>
      <c r="HJN165" s="21"/>
      <c r="HJO165" s="21"/>
      <c r="HJP165" s="21"/>
      <c r="HJQ165" s="21"/>
      <c r="HJR165" s="21"/>
      <c r="HJS165" s="20"/>
      <c r="HJT165" s="20"/>
      <c r="HJU165" s="20"/>
      <c r="HJV165" s="20"/>
      <c r="HJW165" s="21"/>
      <c r="HJX165" s="21"/>
      <c r="HJY165" s="7"/>
      <c r="HJZ165" s="7"/>
      <c r="HKA165" s="21"/>
      <c r="HKB165" s="20"/>
      <c r="HKC165" s="20"/>
      <c r="HKD165" s="20"/>
      <c r="HKE165" s="21"/>
      <c r="HKF165" s="21"/>
      <c r="HKG165" s="21"/>
      <c r="HKH165" s="21"/>
      <c r="HKI165" s="21"/>
      <c r="HKJ165" s="20"/>
      <c r="HKK165" s="20"/>
      <c r="HKL165" s="20"/>
      <c r="HKM165" s="20"/>
      <c r="HKN165" s="21"/>
      <c r="HKO165" s="21"/>
      <c r="HKP165" s="7"/>
      <c r="HKQ165" s="7"/>
      <c r="HKR165" s="21"/>
      <c r="HKS165" s="20"/>
      <c r="HKT165" s="20"/>
      <c r="HKU165" s="20"/>
      <c r="HKV165" s="21"/>
      <c r="HKW165" s="21"/>
      <c r="HKX165" s="21"/>
      <c r="HKY165" s="21"/>
      <c r="HKZ165" s="21"/>
      <c r="HLA165" s="20"/>
      <c r="HLB165" s="20"/>
      <c r="HLC165" s="20"/>
      <c r="HLD165" s="20"/>
      <c r="HLE165" s="21"/>
      <c r="HLF165" s="21"/>
      <c r="HLG165" s="7"/>
      <c r="HLH165" s="7"/>
      <c r="HLI165" s="21"/>
      <c r="HLJ165" s="20"/>
      <c r="HLK165" s="20"/>
      <c r="HLL165" s="20"/>
      <c r="HLM165" s="21"/>
      <c r="HLN165" s="21"/>
      <c r="HLO165" s="21"/>
      <c r="HLP165" s="21"/>
      <c r="HLQ165" s="21"/>
      <c r="HLR165" s="20"/>
      <c r="HLS165" s="20"/>
      <c r="HLT165" s="20"/>
      <c r="HLU165" s="20"/>
      <c r="HLV165" s="21"/>
      <c r="HLW165" s="21"/>
      <c r="HLX165" s="7"/>
      <c r="HLY165" s="7"/>
      <c r="HLZ165" s="21"/>
      <c r="HMA165" s="20"/>
      <c r="HMB165" s="20"/>
      <c r="HMC165" s="20"/>
      <c r="HMD165" s="21"/>
      <c r="HME165" s="21"/>
      <c r="HMF165" s="21"/>
      <c r="HMG165" s="21"/>
      <c r="HMH165" s="21"/>
      <c r="HMI165" s="20"/>
      <c r="HMJ165" s="20"/>
      <c r="HMK165" s="20"/>
      <c r="HML165" s="20"/>
      <c r="HMM165" s="21"/>
      <c r="HMN165" s="21"/>
      <c r="HMO165" s="7"/>
      <c r="HMP165" s="7"/>
      <c r="HMQ165" s="21"/>
      <c r="HMR165" s="20"/>
      <c r="HMS165" s="20"/>
      <c r="HMT165" s="20"/>
      <c r="HMU165" s="21"/>
      <c r="HMV165" s="21"/>
      <c r="HMW165" s="21"/>
      <c r="HMX165" s="21"/>
      <c r="HMY165" s="21"/>
      <c r="HMZ165" s="20"/>
      <c r="HNA165" s="20"/>
      <c r="HNB165" s="20"/>
      <c r="HNC165" s="20"/>
      <c r="HND165" s="21"/>
      <c r="HNE165" s="21"/>
      <c r="HNF165" s="7"/>
      <c r="HNG165" s="7"/>
      <c r="HNH165" s="21"/>
      <c r="HNI165" s="20"/>
      <c r="HNJ165" s="20"/>
      <c r="HNK165" s="20"/>
      <c r="HNL165" s="21"/>
      <c r="HNM165" s="21"/>
      <c r="HNN165" s="21"/>
      <c r="HNO165" s="21"/>
      <c r="HNP165" s="21"/>
      <c r="HNQ165" s="20"/>
      <c r="HNR165" s="20"/>
      <c r="HNS165" s="20"/>
      <c r="HNT165" s="20"/>
      <c r="HNU165" s="21"/>
      <c r="HNV165" s="21"/>
      <c r="HNW165" s="7"/>
      <c r="HNX165" s="7"/>
      <c r="HNY165" s="21"/>
      <c r="HNZ165" s="20"/>
      <c r="HOA165" s="20"/>
      <c r="HOB165" s="20"/>
      <c r="HOC165" s="21"/>
      <c r="HOD165" s="21"/>
      <c r="HOE165" s="21"/>
      <c r="HOF165" s="21"/>
      <c r="HOG165" s="21"/>
      <c r="HOH165" s="20"/>
      <c r="HOI165" s="20"/>
      <c r="HOJ165" s="20"/>
      <c r="HOK165" s="20"/>
      <c r="HOL165" s="21"/>
      <c r="HOM165" s="21"/>
      <c r="HON165" s="7"/>
      <c r="HOO165" s="7"/>
      <c r="HOP165" s="21"/>
      <c r="HOQ165" s="20"/>
      <c r="HOR165" s="20"/>
      <c r="HOS165" s="20"/>
      <c r="HOT165" s="21"/>
      <c r="HOU165" s="21"/>
      <c r="HOV165" s="21"/>
      <c r="HOW165" s="21"/>
      <c r="HOX165" s="21"/>
      <c r="HOY165" s="20"/>
      <c r="HOZ165" s="20"/>
      <c r="HPA165" s="20"/>
      <c r="HPB165" s="20"/>
      <c r="HPC165" s="21"/>
      <c r="HPD165" s="21"/>
      <c r="HPE165" s="7"/>
      <c r="HPF165" s="7"/>
      <c r="HPG165" s="21"/>
      <c r="HPH165" s="20"/>
      <c r="HPI165" s="20"/>
      <c r="HPJ165" s="20"/>
      <c r="HPK165" s="21"/>
      <c r="HPL165" s="21"/>
      <c r="HPM165" s="21"/>
      <c r="HPN165" s="21"/>
      <c r="HPO165" s="21"/>
      <c r="HPP165" s="20"/>
      <c r="HPQ165" s="20"/>
      <c r="HPR165" s="20"/>
      <c r="HPS165" s="20"/>
      <c r="HPT165" s="21"/>
      <c r="HPU165" s="21"/>
      <c r="HPV165" s="7"/>
      <c r="HPW165" s="7"/>
      <c r="HPX165" s="21"/>
      <c r="HPY165" s="20"/>
      <c r="HPZ165" s="20"/>
      <c r="HQA165" s="20"/>
      <c r="HQB165" s="21"/>
      <c r="HQC165" s="21"/>
      <c r="HQD165" s="21"/>
      <c r="HQE165" s="21"/>
      <c r="HQF165" s="21"/>
      <c r="HQG165" s="20"/>
      <c r="HQH165" s="20"/>
      <c r="HQI165" s="20"/>
      <c r="HQJ165" s="20"/>
      <c r="HQK165" s="21"/>
      <c r="HQL165" s="21"/>
      <c r="HQM165" s="7"/>
      <c r="HQN165" s="7"/>
      <c r="HQO165" s="21"/>
      <c r="HQP165" s="20"/>
      <c r="HQQ165" s="20"/>
      <c r="HQR165" s="20"/>
      <c r="HQS165" s="21"/>
      <c r="HQT165" s="21"/>
      <c r="HQU165" s="21"/>
      <c r="HQV165" s="21"/>
      <c r="HQW165" s="21"/>
      <c r="HQX165" s="20"/>
      <c r="HQY165" s="20"/>
      <c r="HQZ165" s="20"/>
      <c r="HRA165" s="20"/>
      <c r="HRB165" s="21"/>
      <c r="HRC165" s="21"/>
      <c r="HRD165" s="7"/>
      <c r="HRE165" s="7"/>
      <c r="HRF165" s="21"/>
      <c r="HRG165" s="20"/>
      <c r="HRH165" s="20"/>
      <c r="HRI165" s="20"/>
      <c r="HRJ165" s="21"/>
      <c r="HRK165" s="21"/>
      <c r="HRL165" s="21"/>
      <c r="HRM165" s="21"/>
      <c r="HRN165" s="21"/>
      <c r="HRO165" s="20"/>
      <c r="HRP165" s="20"/>
      <c r="HRQ165" s="20"/>
      <c r="HRR165" s="20"/>
      <c r="HRS165" s="21"/>
      <c r="HRT165" s="21"/>
      <c r="HRU165" s="7"/>
      <c r="HRV165" s="7"/>
      <c r="HRW165" s="21"/>
      <c r="HRX165" s="20"/>
      <c r="HRY165" s="20"/>
      <c r="HRZ165" s="20"/>
      <c r="HSA165" s="21"/>
      <c r="HSB165" s="21"/>
      <c r="HSC165" s="21"/>
      <c r="HSD165" s="21"/>
      <c r="HSE165" s="21"/>
      <c r="HSF165" s="20"/>
      <c r="HSG165" s="20"/>
      <c r="HSH165" s="20"/>
      <c r="HSI165" s="20"/>
      <c r="HSJ165" s="21"/>
      <c r="HSK165" s="21"/>
      <c r="HSL165" s="7"/>
      <c r="HSM165" s="7"/>
      <c r="HSN165" s="21"/>
      <c r="HSO165" s="20"/>
      <c r="HSP165" s="20"/>
      <c r="HSQ165" s="20"/>
      <c r="HSR165" s="21"/>
      <c r="HSS165" s="21"/>
      <c r="HST165" s="21"/>
      <c r="HSU165" s="21"/>
      <c r="HSV165" s="21"/>
      <c r="HSW165" s="20"/>
      <c r="HSX165" s="20"/>
      <c r="HSY165" s="20"/>
      <c r="HSZ165" s="20"/>
      <c r="HTA165" s="21"/>
      <c r="HTB165" s="21"/>
      <c r="HTC165" s="7"/>
      <c r="HTD165" s="7"/>
      <c r="HTE165" s="21"/>
      <c r="HTF165" s="20"/>
      <c r="HTG165" s="20"/>
      <c r="HTH165" s="20"/>
      <c r="HTI165" s="21"/>
      <c r="HTJ165" s="21"/>
      <c r="HTK165" s="21"/>
      <c r="HTL165" s="21"/>
      <c r="HTM165" s="21"/>
      <c r="HTN165" s="20"/>
      <c r="HTO165" s="20"/>
      <c r="HTP165" s="20"/>
      <c r="HTQ165" s="20"/>
      <c r="HTR165" s="21"/>
      <c r="HTS165" s="21"/>
      <c r="HTT165" s="7"/>
      <c r="HTU165" s="7"/>
      <c r="HTV165" s="21"/>
      <c r="HTW165" s="20"/>
      <c r="HTX165" s="20"/>
      <c r="HTY165" s="20"/>
      <c r="HTZ165" s="21"/>
      <c r="HUA165" s="21"/>
      <c r="HUB165" s="21"/>
      <c r="HUC165" s="21"/>
      <c r="HUD165" s="21"/>
      <c r="HUE165" s="20"/>
      <c r="HUF165" s="20"/>
      <c r="HUG165" s="20"/>
      <c r="HUH165" s="20"/>
      <c r="HUI165" s="21"/>
      <c r="HUJ165" s="21"/>
      <c r="HUK165" s="7"/>
      <c r="HUL165" s="7"/>
      <c r="HUM165" s="21"/>
      <c r="HUN165" s="20"/>
      <c r="HUO165" s="20"/>
      <c r="HUP165" s="20"/>
      <c r="HUQ165" s="21"/>
      <c r="HUR165" s="21"/>
      <c r="HUS165" s="21"/>
      <c r="HUT165" s="21"/>
      <c r="HUU165" s="21"/>
      <c r="HUV165" s="20"/>
      <c r="HUW165" s="20"/>
      <c r="HUX165" s="20"/>
      <c r="HUY165" s="20"/>
      <c r="HUZ165" s="21"/>
      <c r="HVA165" s="21"/>
      <c r="HVB165" s="7"/>
      <c r="HVC165" s="7"/>
      <c r="HVD165" s="21"/>
      <c r="HVE165" s="20"/>
      <c r="HVF165" s="20"/>
      <c r="HVG165" s="20"/>
      <c r="HVH165" s="21"/>
      <c r="HVI165" s="21"/>
      <c r="HVJ165" s="21"/>
      <c r="HVK165" s="21"/>
      <c r="HVL165" s="21"/>
      <c r="HVM165" s="20"/>
      <c r="HVN165" s="20"/>
      <c r="HVO165" s="20"/>
      <c r="HVP165" s="20"/>
      <c r="HVQ165" s="21"/>
      <c r="HVR165" s="21"/>
      <c r="HVS165" s="7"/>
      <c r="HVT165" s="7"/>
      <c r="HVU165" s="21"/>
      <c r="HVV165" s="20"/>
      <c r="HVW165" s="20"/>
      <c r="HVX165" s="20"/>
      <c r="HVY165" s="21"/>
      <c r="HVZ165" s="21"/>
      <c r="HWA165" s="21"/>
      <c r="HWB165" s="21"/>
      <c r="HWC165" s="21"/>
      <c r="HWD165" s="20"/>
      <c r="HWE165" s="20"/>
      <c r="HWF165" s="20"/>
      <c r="HWG165" s="20"/>
      <c r="HWH165" s="21"/>
      <c r="HWI165" s="21"/>
      <c r="HWJ165" s="7"/>
      <c r="HWK165" s="7"/>
      <c r="HWL165" s="21"/>
      <c r="HWM165" s="20"/>
      <c r="HWN165" s="20"/>
      <c r="HWO165" s="20"/>
      <c r="HWP165" s="21"/>
      <c r="HWQ165" s="21"/>
      <c r="HWR165" s="21"/>
      <c r="HWS165" s="21"/>
      <c r="HWT165" s="21"/>
      <c r="HWU165" s="20"/>
      <c r="HWV165" s="20"/>
      <c r="HWW165" s="20"/>
      <c r="HWX165" s="20"/>
      <c r="HWY165" s="21"/>
      <c r="HWZ165" s="21"/>
      <c r="HXA165" s="7"/>
      <c r="HXB165" s="7"/>
      <c r="HXC165" s="21"/>
      <c r="HXD165" s="20"/>
      <c r="HXE165" s="20"/>
      <c r="HXF165" s="20"/>
      <c r="HXG165" s="21"/>
      <c r="HXH165" s="21"/>
      <c r="HXI165" s="21"/>
      <c r="HXJ165" s="21"/>
      <c r="HXK165" s="21"/>
      <c r="HXL165" s="20"/>
      <c r="HXM165" s="20"/>
      <c r="HXN165" s="20"/>
      <c r="HXO165" s="20"/>
      <c r="HXP165" s="21"/>
      <c r="HXQ165" s="21"/>
      <c r="HXR165" s="7"/>
      <c r="HXS165" s="7"/>
      <c r="HXT165" s="21"/>
      <c r="HXU165" s="20"/>
      <c r="HXV165" s="20"/>
      <c r="HXW165" s="20"/>
      <c r="HXX165" s="21"/>
      <c r="HXY165" s="21"/>
      <c r="HXZ165" s="21"/>
      <c r="HYA165" s="21"/>
      <c r="HYB165" s="21"/>
      <c r="HYC165" s="20"/>
      <c r="HYD165" s="20"/>
      <c r="HYE165" s="20"/>
      <c r="HYF165" s="20"/>
      <c r="HYG165" s="21"/>
      <c r="HYH165" s="21"/>
      <c r="HYI165" s="7"/>
      <c r="HYJ165" s="7"/>
      <c r="HYK165" s="21"/>
      <c r="HYL165" s="20"/>
      <c r="HYM165" s="20"/>
      <c r="HYN165" s="20"/>
      <c r="HYO165" s="21"/>
      <c r="HYP165" s="21"/>
      <c r="HYQ165" s="21"/>
      <c r="HYR165" s="21"/>
      <c r="HYS165" s="21"/>
      <c r="HYT165" s="20"/>
      <c r="HYU165" s="20"/>
      <c r="HYV165" s="20"/>
      <c r="HYW165" s="20"/>
      <c r="HYX165" s="21"/>
      <c r="HYY165" s="21"/>
      <c r="HYZ165" s="7"/>
      <c r="HZA165" s="7"/>
      <c r="HZB165" s="21"/>
      <c r="HZC165" s="20"/>
      <c r="HZD165" s="20"/>
      <c r="HZE165" s="20"/>
      <c r="HZF165" s="21"/>
      <c r="HZG165" s="21"/>
      <c r="HZH165" s="21"/>
      <c r="HZI165" s="21"/>
      <c r="HZJ165" s="21"/>
      <c r="HZK165" s="20"/>
      <c r="HZL165" s="20"/>
      <c r="HZM165" s="20"/>
      <c r="HZN165" s="20"/>
      <c r="HZO165" s="21"/>
      <c r="HZP165" s="21"/>
      <c r="HZQ165" s="7"/>
      <c r="HZR165" s="7"/>
      <c r="HZS165" s="21"/>
      <c r="HZT165" s="20"/>
      <c r="HZU165" s="20"/>
      <c r="HZV165" s="20"/>
      <c r="HZW165" s="21"/>
      <c r="HZX165" s="21"/>
      <c r="HZY165" s="21"/>
      <c r="HZZ165" s="21"/>
      <c r="IAA165" s="21"/>
      <c r="IAB165" s="20"/>
      <c r="IAC165" s="20"/>
      <c r="IAD165" s="20"/>
      <c r="IAE165" s="20"/>
      <c r="IAF165" s="21"/>
      <c r="IAG165" s="21"/>
      <c r="IAH165" s="7"/>
      <c r="IAI165" s="7"/>
      <c r="IAJ165" s="21"/>
      <c r="IAK165" s="20"/>
      <c r="IAL165" s="20"/>
      <c r="IAM165" s="20"/>
      <c r="IAN165" s="21"/>
      <c r="IAO165" s="21"/>
      <c r="IAP165" s="21"/>
      <c r="IAQ165" s="21"/>
      <c r="IAR165" s="21"/>
      <c r="IAS165" s="20"/>
      <c r="IAT165" s="20"/>
      <c r="IAU165" s="20"/>
      <c r="IAV165" s="20"/>
      <c r="IAW165" s="21"/>
      <c r="IAX165" s="21"/>
      <c r="IAY165" s="7"/>
      <c r="IAZ165" s="7"/>
      <c r="IBA165" s="21"/>
      <c r="IBB165" s="20"/>
      <c r="IBC165" s="20"/>
      <c r="IBD165" s="20"/>
      <c r="IBE165" s="21"/>
      <c r="IBF165" s="21"/>
      <c r="IBG165" s="21"/>
      <c r="IBH165" s="21"/>
      <c r="IBI165" s="21"/>
      <c r="IBJ165" s="20"/>
      <c r="IBK165" s="20"/>
      <c r="IBL165" s="20"/>
      <c r="IBM165" s="20"/>
      <c r="IBN165" s="21"/>
      <c r="IBO165" s="21"/>
      <c r="IBP165" s="7"/>
      <c r="IBQ165" s="7"/>
      <c r="IBR165" s="21"/>
      <c r="IBS165" s="20"/>
      <c r="IBT165" s="20"/>
      <c r="IBU165" s="20"/>
      <c r="IBV165" s="21"/>
      <c r="IBW165" s="21"/>
      <c r="IBX165" s="21"/>
      <c r="IBY165" s="21"/>
      <c r="IBZ165" s="21"/>
      <c r="ICA165" s="20"/>
      <c r="ICB165" s="20"/>
      <c r="ICC165" s="20"/>
      <c r="ICD165" s="20"/>
      <c r="ICE165" s="21"/>
      <c r="ICF165" s="21"/>
      <c r="ICG165" s="7"/>
      <c r="ICH165" s="7"/>
      <c r="ICI165" s="21"/>
      <c r="ICJ165" s="20"/>
      <c r="ICK165" s="20"/>
      <c r="ICL165" s="20"/>
      <c r="ICM165" s="21"/>
      <c r="ICN165" s="21"/>
      <c r="ICO165" s="21"/>
      <c r="ICP165" s="21"/>
      <c r="ICQ165" s="21"/>
      <c r="ICR165" s="20"/>
      <c r="ICS165" s="20"/>
      <c r="ICT165" s="20"/>
      <c r="ICU165" s="20"/>
      <c r="ICV165" s="21"/>
      <c r="ICW165" s="21"/>
      <c r="ICX165" s="7"/>
      <c r="ICY165" s="7"/>
      <c r="ICZ165" s="21"/>
      <c r="IDA165" s="20"/>
      <c r="IDB165" s="20"/>
      <c r="IDC165" s="20"/>
      <c r="IDD165" s="21"/>
      <c r="IDE165" s="21"/>
      <c r="IDF165" s="21"/>
      <c r="IDG165" s="21"/>
      <c r="IDH165" s="21"/>
      <c r="IDI165" s="20"/>
      <c r="IDJ165" s="20"/>
      <c r="IDK165" s="20"/>
      <c r="IDL165" s="20"/>
      <c r="IDM165" s="21"/>
      <c r="IDN165" s="21"/>
      <c r="IDO165" s="7"/>
      <c r="IDP165" s="7"/>
      <c r="IDQ165" s="21"/>
      <c r="IDR165" s="20"/>
      <c r="IDS165" s="20"/>
      <c r="IDT165" s="20"/>
      <c r="IDU165" s="21"/>
      <c r="IDV165" s="21"/>
      <c r="IDW165" s="21"/>
      <c r="IDX165" s="21"/>
      <c r="IDY165" s="21"/>
      <c r="IDZ165" s="20"/>
      <c r="IEA165" s="20"/>
      <c r="IEB165" s="20"/>
      <c r="IEC165" s="20"/>
      <c r="IED165" s="21"/>
      <c r="IEE165" s="21"/>
      <c r="IEF165" s="7"/>
      <c r="IEG165" s="7"/>
      <c r="IEH165" s="21"/>
      <c r="IEI165" s="20"/>
      <c r="IEJ165" s="20"/>
      <c r="IEK165" s="20"/>
      <c r="IEL165" s="21"/>
      <c r="IEM165" s="21"/>
      <c r="IEN165" s="21"/>
      <c r="IEO165" s="21"/>
      <c r="IEP165" s="21"/>
      <c r="IEQ165" s="20"/>
      <c r="IER165" s="20"/>
      <c r="IES165" s="20"/>
      <c r="IET165" s="20"/>
      <c r="IEU165" s="21"/>
      <c r="IEV165" s="21"/>
      <c r="IEW165" s="7"/>
      <c r="IEX165" s="7"/>
      <c r="IEY165" s="21"/>
      <c r="IEZ165" s="20"/>
      <c r="IFA165" s="20"/>
      <c r="IFB165" s="20"/>
      <c r="IFC165" s="21"/>
      <c r="IFD165" s="21"/>
      <c r="IFE165" s="21"/>
      <c r="IFF165" s="21"/>
      <c r="IFG165" s="21"/>
      <c r="IFH165" s="20"/>
      <c r="IFI165" s="20"/>
      <c r="IFJ165" s="20"/>
      <c r="IFK165" s="20"/>
      <c r="IFL165" s="21"/>
      <c r="IFM165" s="21"/>
      <c r="IFN165" s="7"/>
      <c r="IFO165" s="7"/>
      <c r="IFP165" s="21"/>
      <c r="IFQ165" s="20"/>
      <c r="IFR165" s="20"/>
      <c r="IFS165" s="20"/>
      <c r="IFT165" s="21"/>
      <c r="IFU165" s="21"/>
      <c r="IFV165" s="21"/>
      <c r="IFW165" s="21"/>
      <c r="IFX165" s="21"/>
      <c r="IFY165" s="20"/>
      <c r="IFZ165" s="20"/>
      <c r="IGA165" s="20"/>
      <c r="IGB165" s="20"/>
      <c r="IGC165" s="21"/>
      <c r="IGD165" s="21"/>
      <c r="IGE165" s="7"/>
      <c r="IGF165" s="7"/>
      <c r="IGG165" s="21"/>
      <c r="IGH165" s="20"/>
      <c r="IGI165" s="20"/>
      <c r="IGJ165" s="20"/>
      <c r="IGK165" s="21"/>
      <c r="IGL165" s="21"/>
      <c r="IGM165" s="21"/>
      <c r="IGN165" s="21"/>
      <c r="IGO165" s="21"/>
      <c r="IGP165" s="20"/>
      <c r="IGQ165" s="20"/>
      <c r="IGR165" s="20"/>
      <c r="IGS165" s="20"/>
      <c r="IGT165" s="21"/>
      <c r="IGU165" s="21"/>
      <c r="IGV165" s="7"/>
      <c r="IGW165" s="7"/>
      <c r="IGX165" s="21"/>
      <c r="IGY165" s="20"/>
      <c r="IGZ165" s="20"/>
      <c r="IHA165" s="20"/>
      <c r="IHB165" s="21"/>
      <c r="IHC165" s="21"/>
      <c r="IHD165" s="21"/>
      <c r="IHE165" s="21"/>
      <c r="IHF165" s="21"/>
      <c r="IHG165" s="20"/>
      <c r="IHH165" s="20"/>
      <c r="IHI165" s="20"/>
      <c r="IHJ165" s="20"/>
      <c r="IHK165" s="21"/>
      <c r="IHL165" s="21"/>
      <c r="IHM165" s="7"/>
      <c r="IHN165" s="7"/>
      <c r="IHO165" s="21"/>
      <c r="IHP165" s="20"/>
      <c r="IHQ165" s="20"/>
      <c r="IHR165" s="20"/>
      <c r="IHS165" s="21"/>
      <c r="IHT165" s="21"/>
      <c r="IHU165" s="21"/>
      <c r="IHV165" s="21"/>
      <c r="IHW165" s="21"/>
      <c r="IHX165" s="20"/>
      <c r="IHY165" s="20"/>
      <c r="IHZ165" s="20"/>
      <c r="IIA165" s="20"/>
      <c r="IIB165" s="21"/>
      <c r="IIC165" s="21"/>
      <c r="IID165" s="7"/>
      <c r="IIE165" s="7"/>
      <c r="IIF165" s="21"/>
      <c r="IIG165" s="20"/>
      <c r="IIH165" s="20"/>
      <c r="III165" s="20"/>
      <c r="IIJ165" s="21"/>
      <c r="IIK165" s="21"/>
      <c r="IIL165" s="21"/>
      <c r="IIM165" s="21"/>
      <c r="IIN165" s="21"/>
      <c r="IIO165" s="20"/>
      <c r="IIP165" s="20"/>
      <c r="IIQ165" s="20"/>
      <c r="IIR165" s="20"/>
      <c r="IIS165" s="21"/>
      <c r="IIT165" s="21"/>
      <c r="IIU165" s="7"/>
      <c r="IIV165" s="7"/>
      <c r="IIW165" s="21"/>
      <c r="IIX165" s="20"/>
      <c r="IIY165" s="20"/>
      <c r="IIZ165" s="20"/>
      <c r="IJA165" s="21"/>
      <c r="IJB165" s="21"/>
      <c r="IJC165" s="21"/>
      <c r="IJD165" s="21"/>
      <c r="IJE165" s="21"/>
      <c r="IJF165" s="20"/>
      <c r="IJG165" s="20"/>
      <c r="IJH165" s="20"/>
      <c r="IJI165" s="20"/>
      <c r="IJJ165" s="21"/>
      <c r="IJK165" s="21"/>
      <c r="IJL165" s="7"/>
      <c r="IJM165" s="7"/>
      <c r="IJN165" s="21"/>
      <c r="IJO165" s="20"/>
      <c r="IJP165" s="20"/>
      <c r="IJQ165" s="20"/>
      <c r="IJR165" s="21"/>
      <c r="IJS165" s="21"/>
      <c r="IJT165" s="21"/>
      <c r="IJU165" s="21"/>
      <c r="IJV165" s="21"/>
      <c r="IJW165" s="20"/>
      <c r="IJX165" s="20"/>
      <c r="IJY165" s="20"/>
      <c r="IJZ165" s="20"/>
      <c r="IKA165" s="21"/>
      <c r="IKB165" s="21"/>
      <c r="IKC165" s="7"/>
      <c r="IKD165" s="7"/>
      <c r="IKE165" s="21"/>
      <c r="IKF165" s="20"/>
      <c r="IKG165" s="20"/>
      <c r="IKH165" s="20"/>
      <c r="IKI165" s="21"/>
      <c r="IKJ165" s="21"/>
      <c r="IKK165" s="21"/>
      <c r="IKL165" s="21"/>
      <c r="IKM165" s="21"/>
      <c r="IKN165" s="20"/>
      <c r="IKO165" s="20"/>
      <c r="IKP165" s="20"/>
      <c r="IKQ165" s="20"/>
      <c r="IKR165" s="21"/>
      <c r="IKS165" s="21"/>
      <c r="IKT165" s="7"/>
      <c r="IKU165" s="7"/>
      <c r="IKV165" s="21"/>
      <c r="IKW165" s="20"/>
      <c r="IKX165" s="20"/>
      <c r="IKY165" s="20"/>
      <c r="IKZ165" s="21"/>
      <c r="ILA165" s="21"/>
      <c r="ILB165" s="21"/>
      <c r="ILC165" s="21"/>
      <c r="ILD165" s="21"/>
      <c r="ILE165" s="20"/>
      <c r="ILF165" s="20"/>
      <c r="ILG165" s="20"/>
      <c r="ILH165" s="20"/>
      <c r="ILI165" s="21"/>
      <c r="ILJ165" s="21"/>
      <c r="ILK165" s="7"/>
      <c r="ILL165" s="7"/>
      <c r="ILM165" s="21"/>
      <c r="ILN165" s="20"/>
      <c r="ILO165" s="20"/>
      <c r="ILP165" s="20"/>
      <c r="ILQ165" s="21"/>
      <c r="ILR165" s="21"/>
      <c r="ILS165" s="21"/>
      <c r="ILT165" s="21"/>
      <c r="ILU165" s="21"/>
      <c r="ILV165" s="20"/>
      <c r="ILW165" s="20"/>
      <c r="ILX165" s="20"/>
      <c r="ILY165" s="20"/>
      <c r="ILZ165" s="21"/>
      <c r="IMA165" s="21"/>
      <c r="IMB165" s="7"/>
      <c r="IMC165" s="7"/>
      <c r="IMD165" s="21"/>
      <c r="IME165" s="20"/>
      <c r="IMF165" s="20"/>
      <c r="IMG165" s="20"/>
      <c r="IMH165" s="21"/>
      <c r="IMI165" s="21"/>
      <c r="IMJ165" s="21"/>
      <c r="IMK165" s="21"/>
      <c r="IML165" s="21"/>
      <c r="IMM165" s="20"/>
      <c r="IMN165" s="20"/>
      <c r="IMO165" s="20"/>
      <c r="IMP165" s="20"/>
      <c r="IMQ165" s="21"/>
      <c r="IMR165" s="21"/>
      <c r="IMS165" s="7"/>
      <c r="IMT165" s="7"/>
      <c r="IMU165" s="21"/>
      <c r="IMV165" s="20"/>
      <c r="IMW165" s="20"/>
      <c r="IMX165" s="20"/>
      <c r="IMY165" s="21"/>
      <c r="IMZ165" s="21"/>
      <c r="INA165" s="21"/>
      <c r="INB165" s="21"/>
      <c r="INC165" s="21"/>
      <c r="IND165" s="20"/>
      <c r="INE165" s="20"/>
      <c r="INF165" s="20"/>
      <c r="ING165" s="20"/>
      <c r="INH165" s="21"/>
      <c r="INI165" s="21"/>
      <c r="INJ165" s="7"/>
      <c r="INK165" s="7"/>
      <c r="INL165" s="21"/>
      <c r="INM165" s="20"/>
      <c r="INN165" s="20"/>
      <c r="INO165" s="20"/>
      <c r="INP165" s="21"/>
      <c r="INQ165" s="21"/>
      <c r="INR165" s="21"/>
      <c r="INS165" s="21"/>
      <c r="INT165" s="21"/>
      <c r="INU165" s="20"/>
      <c r="INV165" s="20"/>
      <c r="INW165" s="20"/>
      <c r="INX165" s="20"/>
      <c r="INY165" s="21"/>
      <c r="INZ165" s="21"/>
      <c r="IOA165" s="7"/>
      <c r="IOB165" s="7"/>
      <c r="IOC165" s="21"/>
      <c r="IOD165" s="20"/>
      <c r="IOE165" s="20"/>
      <c r="IOF165" s="20"/>
      <c r="IOG165" s="21"/>
      <c r="IOH165" s="21"/>
      <c r="IOI165" s="21"/>
      <c r="IOJ165" s="21"/>
      <c r="IOK165" s="21"/>
      <c r="IOL165" s="20"/>
      <c r="IOM165" s="20"/>
      <c r="ION165" s="20"/>
      <c r="IOO165" s="20"/>
      <c r="IOP165" s="21"/>
      <c r="IOQ165" s="21"/>
      <c r="IOR165" s="7"/>
      <c r="IOS165" s="7"/>
      <c r="IOT165" s="21"/>
      <c r="IOU165" s="20"/>
      <c r="IOV165" s="20"/>
      <c r="IOW165" s="20"/>
      <c r="IOX165" s="21"/>
      <c r="IOY165" s="21"/>
      <c r="IOZ165" s="21"/>
      <c r="IPA165" s="21"/>
      <c r="IPB165" s="21"/>
      <c r="IPC165" s="20"/>
      <c r="IPD165" s="20"/>
      <c r="IPE165" s="20"/>
      <c r="IPF165" s="20"/>
      <c r="IPG165" s="21"/>
      <c r="IPH165" s="21"/>
      <c r="IPI165" s="7"/>
      <c r="IPJ165" s="7"/>
      <c r="IPK165" s="21"/>
      <c r="IPL165" s="20"/>
      <c r="IPM165" s="20"/>
      <c r="IPN165" s="20"/>
      <c r="IPO165" s="21"/>
      <c r="IPP165" s="21"/>
      <c r="IPQ165" s="21"/>
      <c r="IPR165" s="21"/>
      <c r="IPS165" s="21"/>
      <c r="IPT165" s="20"/>
      <c r="IPU165" s="20"/>
      <c r="IPV165" s="20"/>
      <c r="IPW165" s="20"/>
      <c r="IPX165" s="21"/>
      <c r="IPY165" s="21"/>
      <c r="IPZ165" s="7"/>
      <c r="IQA165" s="7"/>
      <c r="IQB165" s="21"/>
      <c r="IQC165" s="20"/>
      <c r="IQD165" s="20"/>
      <c r="IQE165" s="20"/>
      <c r="IQF165" s="21"/>
      <c r="IQG165" s="21"/>
      <c r="IQH165" s="21"/>
      <c r="IQI165" s="21"/>
      <c r="IQJ165" s="21"/>
      <c r="IQK165" s="20"/>
      <c r="IQL165" s="20"/>
      <c r="IQM165" s="20"/>
      <c r="IQN165" s="20"/>
      <c r="IQO165" s="21"/>
      <c r="IQP165" s="21"/>
      <c r="IQQ165" s="7"/>
      <c r="IQR165" s="7"/>
      <c r="IQS165" s="21"/>
      <c r="IQT165" s="20"/>
      <c r="IQU165" s="20"/>
      <c r="IQV165" s="20"/>
      <c r="IQW165" s="21"/>
      <c r="IQX165" s="21"/>
      <c r="IQY165" s="21"/>
      <c r="IQZ165" s="21"/>
      <c r="IRA165" s="21"/>
      <c r="IRB165" s="20"/>
      <c r="IRC165" s="20"/>
      <c r="IRD165" s="20"/>
      <c r="IRE165" s="20"/>
      <c r="IRF165" s="21"/>
      <c r="IRG165" s="21"/>
      <c r="IRH165" s="7"/>
      <c r="IRI165" s="7"/>
      <c r="IRJ165" s="21"/>
      <c r="IRK165" s="20"/>
      <c r="IRL165" s="20"/>
      <c r="IRM165" s="20"/>
      <c r="IRN165" s="21"/>
      <c r="IRO165" s="21"/>
      <c r="IRP165" s="21"/>
      <c r="IRQ165" s="21"/>
      <c r="IRR165" s="21"/>
      <c r="IRS165" s="20"/>
      <c r="IRT165" s="20"/>
      <c r="IRU165" s="20"/>
      <c r="IRV165" s="20"/>
      <c r="IRW165" s="21"/>
      <c r="IRX165" s="21"/>
      <c r="IRY165" s="7"/>
      <c r="IRZ165" s="7"/>
      <c r="ISA165" s="21"/>
      <c r="ISB165" s="20"/>
      <c r="ISC165" s="20"/>
      <c r="ISD165" s="20"/>
      <c r="ISE165" s="21"/>
      <c r="ISF165" s="21"/>
      <c r="ISG165" s="21"/>
      <c r="ISH165" s="21"/>
      <c r="ISI165" s="21"/>
      <c r="ISJ165" s="20"/>
      <c r="ISK165" s="20"/>
      <c r="ISL165" s="20"/>
      <c r="ISM165" s="20"/>
      <c r="ISN165" s="21"/>
      <c r="ISO165" s="21"/>
      <c r="ISP165" s="7"/>
      <c r="ISQ165" s="7"/>
      <c r="ISR165" s="21"/>
      <c r="ISS165" s="20"/>
      <c r="IST165" s="20"/>
      <c r="ISU165" s="20"/>
      <c r="ISV165" s="21"/>
      <c r="ISW165" s="21"/>
      <c r="ISX165" s="21"/>
      <c r="ISY165" s="21"/>
      <c r="ISZ165" s="21"/>
      <c r="ITA165" s="20"/>
      <c r="ITB165" s="20"/>
      <c r="ITC165" s="20"/>
      <c r="ITD165" s="20"/>
      <c r="ITE165" s="21"/>
      <c r="ITF165" s="21"/>
      <c r="ITG165" s="7"/>
      <c r="ITH165" s="7"/>
      <c r="ITI165" s="21"/>
      <c r="ITJ165" s="20"/>
      <c r="ITK165" s="20"/>
      <c r="ITL165" s="20"/>
      <c r="ITM165" s="21"/>
      <c r="ITN165" s="21"/>
      <c r="ITO165" s="21"/>
      <c r="ITP165" s="21"/>
      <c r="ITQ165" s="21"/>
      <c r="ITR165" s="20"/>
      <c r="ITS165" s="20"/>
      <c r="ITT165" s="20"/>
      <c r="ITU165" s="20"/>
      <c r="ITV165" s="21"/>
      <c r="ITW165" s="21"/>
      <c r="ITX165" s="7"/>
      <c r="ITY165" s="7"/>
      <c r="ITZ165" s="21"/>
      <c r="IUA165" s="20"/>
      <c r="IUB165" s="20"/>
      <c r="IUC165" s="20"/>
      <c r="IUD165" s="21"/>
      <c r="IUE165" s="21"/>
      <c r="IUF165" s="21"/>
      <c r="IUG165" s="21"/>
      <c r="IUH165" s="21"/>
      <c r="IUI165" s="20"/>
      <c r="IUJ165" s="20"/>
      <c r="IUK165" s="20"/>
      <c r="IUL165" s="20"/>
      <c r="IUM165" s="21"/>
      <c r="IUN165" s="21"/>
      <c r="IUO165" s="7"/>
      <c r="IUP165" s="7"/>
      <c r="IUQ165" s="21"/>
      <c r="IUR165" s="20"/>
      <c r="IUS165" s="20"/>
      <c r="IUT165" s="20"/>
      <c r="IUU165" s="21"/>
      <c r="IUV165" s="21"/>
      <c r="IUW165" s="21"/>
      <c r="IUX165" s="21"/>
      <c r="IUY165" s="21"/>
      <c r="IUZ165" s="20"/>
      <c r="IVA165" s="20"/>
      <c r="IVB165" s="20"/>
      <c r="IVC165" s="20"/>
      <c r="IVD165" s="21"/>
      <c r="IVE165" s="21"/>
      <c r="IVF165" s="7"/>
      <c r="IVG165" s="7"/>
      <c r="IVH165" s="21"/>
      <c r="IVI165" s="20"/>
      <c r="IVJ165" s="20"/>
      <c r="IVK165" s="20"/>
      <c r="IVL165" s="21"/>
      <c r="IVM165" s="21"/>
      <c r="IVN165" s="21"/>
      <c r="IVO165" s="21"/>
      <c r="IVP165" s="21"/>
      <c r="IVQ165" s="20"/>
      <c r="IVR165" s="20"/>
      <c r="IVS165" s="20"/>
      <c r="IVT165" s="20"/>
      <c r="IVU165" s="21"/>
      <c r="IVV165" s="21"/>
      <c r="IVW165" s="7"/>
      <c r="IVX165" s="7"/>
      <c r="IVY165" s="21"/>
      <c r="IVZ165" s="20"/>
      <c r="IWA165" s="20"/>
      <c r="IWB165" s="20"/>
      <c r="IWC165" s="21"/>
      <c r="IWD165" s="21"/>
      <c r="IWE165" s="21"/>
      <c r="IWF165" s="21"/>
      <c r="IWG165" s="21"/>
      <c r="IWH165" s="20"/>
      <c r="IWI165" s="20"/>
      <c r="IWJ165" s="20"/>
      <c r="IWK165" s="20"/>
      <c r="IWL165" s="21"/>
      <c r="IWM165" s="21"/>
      <c r="IWN165" s="7"/>
      <c r="IWO165" s="7"/>
      <c r="IWP165" s="21"/>
      <c r="IWQ165" s="20"/>
      <c r="IWR165" s="20"/>
      <c r="IWS165" s="20"/>
      <c r="IWT165" s="21"/>
      <c r="IWU165" s="21"/>
      <c r="IWV165" s="21"/>
      <c r="IWW165" s="21"/>
      <c r="IWX165" s="21"/>
      <c r="IWY165" s="20"/>
      <c r="IWZ165" s="20"/>
      <c r="IXA165" s="20"/>
      <c r="IXB165" s="20"/>
      <c r="IXC165" s="21"/>
      <c r="IXD165" s="21"/>
      <c r="IXE165" s="7"/>
      <c r="IXF165" s="7"/>
      <c r="IXG165" s="21"/>
      <c r="IXH165" s="20"/>
      <c r="IXI165" s="20"/>
      <c r="IXJ165" s="20"/>
      <c r="IXK165" s="21"/>
      <c r="IXL165" s="21"/>
      <c r="IXM165" s="21"/>
      <c r="IXN165" s="21"/>
      <c r="IXO165" s="21"/>
      <c r="IXP165" s="20"/>
      <c r="IXQ165" s="20"/>
      <c r="IXR165" s="20"/>
      <c r="IXS165" s="20"/>
      <c r="IXT165" s="21"/>
      <c r="IXU165" s="21"/>
      <c r="IXV165" s="7"/>
      <c r="IXW165" s="7"/>
      <c r="IXX165" s="21"/>
      <c r="IXY165" s="20"/>
      <c r="IXZ165" s="20"/>
      <c r="IYA165" s="20"/>
      <c r="IYB165" s="21"/>
      <c r="IYC165" s="21"/>
      <c r="IYD165" s="21"/>
      <c r="IYE165" s="21"/>
      <c r="IYF165" s="21"/>
      <c r="IYG165" s="20"/>
      <c r="IYH165" s="20"/>
      <c r="IYI165" s="20"/>
      <c r="IYJ165" s="20"/>
      <c r="IYK165" s="21"/>
      <c r="IYL165" s="21"/>
      <c r="IYM165" s="7"/>
      <c r="IYN165" s="7"/>
      <c r="IYO165" s="21"/>
      <c r="IYP165" s="20"/>
      <c r="IYQ165" s="20"/>
      <c r="IYR165" s="20"/>
      <c r="IYS165" s="21"/>
      <c r="IYT165" s="21"/>
      <c r="IYU165" s="21"/>
      <c r="IYV165" s="21"/>
      <c r="IYW165" s="21"/>
      <c r="IYX165" s="20"/>
      <c r="IYY165" s="20"/>
      <c r="IYZ165" s="20"/>
      <c r="IZA165" s="20"/>
      <c r="IZB165" s="21"/>
      <c r="IZC165" s="21"/>
      <c r="IZD165" s="7"/>
      <c r="IZE165" s="7"/>
      <c r="IZF165" s="21"/>
      <c r="IZG165" s="20"/>
      <c r="IZH165" s="20"/>
      <c r="IZI165" s="20"/>
      <c r="IZJ165" s="21"/>
      <c r="IZK165" s="21"/>
      <c r="IZL165" s="21"/>
      <c r="IZM165" s="21"/>
      <c r="IZN165" s="21"/>
      <c r="IZO165" s="20"/>
      <c r="IZP165" s="20"/>
      <c r="IZQ165" s="20"/>
      <c r="IZR165" s="20"/>
      <c r="IZS165" s="21"/>
      <c r="IZT165" s="21"/>
      <c r="IZU165" s="7"/>
      <c r="IZV165" s="7"/>
      <c r="IZW165" s="21"/>
      <c r="IZX165" s="20"/>
      <c r="IZY165" s="20"/>
      <c r="IZZ165" s="20"/>
      <c r="JAA165" s="21"/>
      <c r="JAB165" s="21"/>
      <c r="JAC165" s="21"/>
      <c r="JAD165" s="21"/>
      <c r="JAE165" s="21"/>
      <c r="JAF165" s="20"/>
      <c r="JAG165" s="20"/>
      <c r="JAH165" s="20"/>
      <c r="JAI165" s="20"/>
      <c r="JAJ165" s="21"/>
      <c r="JAK165" s="21"/>
      <c r="JAL165" s="7"/>
      <c r="JAM165" s="7"/>
      <c r="JAN165" s="21"/>
      <c r="JAO165" s="20"/>
      <c r="JAP165" s="20"/>
      <c r="JAQ165" s="20"/>
      <c r="JAR165" s="21"/>
      <c r="JAS165" s="21"/>
      <c r="JAT165" s="21"/>
      <c r="JAU165" s="21"/>
      <c r="JAV165" s="21"/>
      <c r="JAW165" s="20"/>
      <c r="JAX165" s="20"/>
      <c r="JAY165" s="20"/>
      <c r="JAZ165" s="20"/>
      <c r="JBA165" s="21"/>
      <c r="JBB165" s="21"/>
      <c r="JBC165" s="7"/>
      <c r="JBD165" s="7"/>
      <c r="JBE165" s="21"/>
      <c r="JBF165" s="20"/>
      <c r="JBG165" s="20"/>
      <c r="JBH165" s="20"/>
      <c r="JBI165" s="21"/>
      <c r="JBJ165" s="21"/>
      <c r="JBK165" s="21"/>
      <c r="JBL165" s="21"/>
      <c r="JBM165" s="21"/>
      <c r="JBN165" s="20"/>
      <c r="JBO165" s="20"/>
      <c r="JBP165" s="20"/>
      <c r="JBQ165" s="20"/>
      <c r="JBR165" s="21"/>
      <c r="JBS165" s="21"/>
      <c r="JBT165" s="7"/>
      <c r="JBU165" s="7"/>
      <c r="JBV165" s="21"/>
      <c r="JBW165" s="20"/>
      <c r="JBX165" s="20"/>
      <c r="JBY165" s="20"/>
      <c r="JBZ165" s="21"/>
      <c r="JCA165" s="21"/>
      <c r="JCB165" s="21"/>
      <c r="JCC165" s="21"/>
      <c r="JCD165" s="21"/>
      <c r="JCE165" s="20"/>
      <c r="JCF165" s="20"/>
      <c r="JCG165" s="20"/>
      <c r="JCH165" s="20"/>
      <c r="JCI165" s="21"/>
      <c r="JCJ165" s="21"/>
      <c r="JCK165" s="7"/>
      <c r="JCL165" s="7"/>
      <c r="JCM165" s="21"/>
      <c r="JCN165" s="20"/>
      <c r="JCO165" s="20"/>
      <c r="JCP165" s="20"/>
      <c r="JCQ165" s="21"/>
      <c r="JCR165" s="21"/>
      <c r="JCS165" s="21"/>
      <c r="JCT165" s="21"/>
      <c r="JCU165" s="21"/>
      <c r="JCV165" s="20"/>
      <c r="JCW165" s="20"/>
      <c r="JCX165" s="20"/>
      <c r="JCY165" s="20"/>
      <c r="JCZ165" s="21"/>
      <c r="JDA165" s="21"/>
      <c r="JDB165" s="7"/>
      <c r="JDC165" s="7"/>
      <c r="JDD165" s="21"/>
      <c r="JDE165" s="20"/>
      <c r="JDF165" s="20"/>
      <c r="JDG165" s="20"/>
      <c r="JDH165" s="21"/>
      <c r="JDI165" s="21"/>
      <c r="JDJ165" s="21"/>
      <c r="JDK165" s="21"/>
      <c r="JDL165" s="21"/>
      <c r="JDM165" s="20"/>
      <c r="JDN165" s="20"/>
      <c r="JDO165" s="20"/>
      <c r="JDP165" s="20"/>
      <c r="JDQ165" s="21"/>
      <c r="JDR165" s="21"/>
      <c r="JDS165" s="7"/>
      <c r="JDT165" s="7"/>
      <c r="JDU165" s="21"/>
      <c r="JDV165" s="20"/>
      <c r="JDW165" s="20"/>
      <c r="JDX165" s="20"/>
      <c r="JDY165" s="21"/>
      <c r="JDZ165" s="21"/>
      <c r="JEA165" s="21"/>
      <c r="JEB165" s="21"/>
      <c r="JEC165" s="21"/>
      <c r="JED165" s="20"/>
      <c r="JEE165" s="20"/>
      <c r="JEF165" s="20"/>
      <c r="JEG165" s="20"/>
      <c r="JEH165" s="21"/>
      <c r="JEI165" s="21"/>
      <c r="JEJ165" s="7"/>
      <c r="JEK165" s="7"/>
      <c r="JEL165" s="21"/>
      <c r="JEM165" s="20"/>
      <c r="JEN165" s="20"/>
      <c r="JEO165" s="20"/>
      <c r="JEP165" s="21"/>
      <c r="JEQ165" s="21"/>
      <c r="JER165" s="21"/>
      <c r="JES165" s="21"/>
      <c r="JET165" s="21"/>
      <c r="JEU165" s="20"/>
      <c r="JEV165" s="20"/>
      <c r="JEW165" s="20"/>
      <c r="JEX165" s="20"/>
      <c r="JEY165" s="21"/>
      <c r="JEZ165" s="21"/>
      <c r="JFA165" s="7"/>
      <c r="JFB165" s="7"/>
      <c r="JFC165" s="21"/>
      <c r="JFD165" s="20"/>
      <c r="JFE165" s="20"/>
      <c r="JFF165" s="20"/>
      <c r="JFG165" s="21"/>
      <c r="JFH165" s="21"/>
      <c r="JFI165" s="21"/>
      <c r="JFJ165" s="21"/>
      <c r="JFK165" s="21"/>
      <c r="JFL165" s="20"/>
      <c r="JFM165" s="20"/>
      <c r="JFN165" s="20"/>
      <c r="JFO165" s="20"/>
      <c r="JFP165" s="21"/>
      <c r="JFQ165" s="21"/>
      <c r="JFR165" s="7"/>
      <c r="JFS165" s="7"/>
      <c r="JFT165" s="21"/>
      <c r="JFU165" s="20"/>
      <c r="JFV165" s="20"/>
      <c r="JFW165" s="20"/>
      <c r="JFX165" s="21"/>
      <c r="JFY165" s="21"/>
      <c r="JFZ165" s="21"/>
      <c r="JGA165" s="21"/>
      <c r="JGB165" s="21"/>
      <c r="JGC165" s="20"/>
      <c r="JGD165" s="20"/>
      <c r="JGE165" s="20"/>
      <c r="JGF165" s="20"/>
      <c r="JGG165" s="21"/>
      <c r="JGH165" s="21"/>
      <c r="JGI165" s="7"/>
      <c r="JGJ165" s="7"/>
      <c r="JGK165" s="21"/>
      <c r="JGL165" s="20"/>
      <c r="JGM165" s="20"/>
      <c r="JGN165" s="20"/>
      <c r="JGO165" s="21"/>
      <c r="JGP165" s="21"/>
      <c r="JGQ165" s="21"/>
      <c r="JGR165" s="21"/>
      <c r="JGS165" s="21"/>
      <c r="JGT165" s="20"/>
      <c r="JGU165" s="20"/>
      <c r="JGV165" s="20"/>
      <c r="JGW165" s="20"/>
      <c r="JGX165" s="21"/>
      <c r="JGY165" s="21"/>
      <c r="JGZ165" s="7"/>
      <c r="JHA165" s="7"/>
      <c r="JHB165" s="21"/>
      <c r="JHC165" s="20"/>
      <c r="JHD165" s="20"/>
      <c r="JHE165" s="20"/>
      <c r="JHF165" s="21"/>
      <c r="JHG165" s="21"/>
      <c r="JHH165" s="21"/>
      <c r="JHI165" s="21"/>
      <c r="JHJ165" s="21"/>
      <c r="JHK165" s="20"/>
      <c r="JHL165" s="20"/>
      <c r="JHM165" s="20"/>
      <c r="JHN165" s="20"/>
      <c r="JHO165" s="21"/>
      <c r="JHP165" s="21"/>
      <c r="JHQ165" s="7"/>
      <c r="JHR165" s="7"/>
      <c r="JHS165" s="21"/>
      <c r="JHT165" s="20"/>
      <c r="JHU165" s="20"/>
      <c r="JHV165" s="20"/>
      <c r="JHW165" s="21"/>
      <c r="JHX165" s="21"/>
      <c r="JHY165" s="21"/>
      <c r="JHZ165" s="21"/>
      <c r="JIA165" s="21"/>
      <c r="JIB165" s="20"/>
      <c r="JIC165" s="20"/>
      <c r="JID165" s="20"/>
      <c r="JIE165" s="20"/>
      <c r="JIF165" s="21"/>
      <c r="JIG165" s="21"/>
      <c r="JIH165" s="7"/>
      <c r="JII165" s="7"/>
      <c r="JIJ165" s="21"/>
      <c r="JIK165" s="20"/>
      <c r="JIL165" s="20"/>
      <c r="JIM165" s="20"/>
      <c r="JIN165" s="21"/>
      <c r="JIO165" s="21"/>
      <c r="JIP165" s="21"/>
      <c r="JIQ165" s="21"/>
      <c r="JIR165" s="21"/>
      <c r="JIS165" s="20"/>
      <c r="JIT165" s="20"/>
      <c r="JIU165" s="20"/>
      <c r="JIV165" s="20"/>
      <c r="JIW165" s="21"/>
      <c r="JIX165" s="21"/>
      <c r="JIY165" s="7"/>
      <c r="JIZ165" s="7"/>
      <c r="JJA165" s="21"/>
      <c r="JJB165" s="20"/>
      <c r="JJC165" s="20"/>
      <c r="JJD165" s="20"/>
      <c r="JJE165" s="21"/>
      <c r="JJF165" s="21"/>
      <c r="JJG165" s="21"/>
      <c r="JJH165" s="21"/>
      <c r="JJI165" s="21"/>
      <c r="JJJ165" s="20"/>
      <c r="JJK165" s="20"/>
      <c r="JJL165" s="20"/>
      <c r="JJM165" s="20"/>
      <c r="JJN165" s="21"/>
      <c r="JJO165" s="21"/>
      <c r="JJP165" s="7"/>
      <c r="JJQ165" s="7"/>
      <c r="JJR165" s="21"/>
      <c r="JJS165" s="20"/>
      <c r="JJT165" s="20"/>
      <c r="JJU165" s="20"/>
      <c r="JJV165" s="21"/>
      <c r="JJW165" s="21"/>
      <c r="JJX165" s="21"/>
      <c r="JJY165" s="21"/>
      <c r="JJZ165" s="21"/>
      <c r="JKA165" s="20"/>
      <c r="JKB165" s="20"/>
      <c r="JKC165" s="20"/>
      <c r="JKD165" s="20"/>
      <c r="JKE165" s="21"/>
      <c r="JKF165" s="21"/>
      <c r="JKG165" s="7"/>
      <c r="JKH165" s="7"/>
      <c r="JKI165" s="21"/>
      <c r="JKJ165" s="20"/>
      <c r="JKK165" s="20"/>
      <c r="JKL165" s="20"/>
      <c r="JKM165" s="21"/>
      <c r="JKN165" s="21"/>
      <c r="JKO165" s="21"/>
      <c r="JKP165" s="21"/>
      <c r="JKQ165" s="21"/>
      <c r="JKR165" s="20"/>
      <c r="JKS165" s="20"/>
      <c r="JKT165" s="20"/>
      <c r="JKU165" s="20"/>
      <c r="JKV165" s="21"/>
      <c r="JKW165" s="21"/>
      <c r="JKX165" s="7"/>
      <c r="JKY165" s="7"/>
      <c r="JKZ165" s="21"/>
      <c r="JLA165" s="20"/>
      <c r="JLB165" s="20"/>
      <c r="JLC165" s="20"/>
      <c r="JLD165" s="21"/>
      <c r="JLE165" s="21"/>
      <c r="JLF165" s="21"/>
      <c r="JLG165" s="21"/>
      <c r="JLH165" s="21"/>
      <c r="JLI165" s="20"/>
      <c r="JLJ165" s="20"/>
      <c r="JLK165" s="20"/>
      <c r="JLL165" s="20"/>
      <c r="JLM165" s="21"/>
      <c r="JLN165" s="21"/>
      <c r="JLO165" s="7"/>
      <c r="JLP165" s="7"/>
      <c r="JLQ165" s="21"/>
      <c r="JLR165" s="20"/>
      <c r="JLS165" s="20"/>
      <c r="JLT165" s="20"/>
      <c r="JLU165" s="21"/>
      <c r="JLV165" s="21"/>
      <c r="JLW165" s="21"/>
      <c r="JLX165" s="21"/>
      <c r="JLY165" s="21"/>
      <c r="JLZ165" s="20"/>
      <c r="JMA165" s="20"/>
      <c r="JMB165" s="20"/>
      <c r="JMC165" s="20"/>
      <c r="JMD165" s="21"/>
      <c r="JME165" s="21"/>
      <c r="JMF165" s="7"/>
      <c r="JMG165" s="7"/>
      <c r="JMH165" s="21"/>
      <c r="JMI165" s="20"/>
      <c r="JMJ165" s="20"/>
      <c r="JMK165" s="20"/>
      <c r="JML165" s="21"/>
      <c r="JMM165" s="21"/>
      <c r="JMN165" s="21"/>
      <c r="JMO165" s="21"/>
      <c r="JMP165" s="21"/>
      <c r="JMQ165" s="20"/>
      <c r="JMR165" s="20"/>
      <c r="JMS165" s="20"/>
      <c r="JMT165" s="20"/>
      <c r="JMU165" s="21"/>
      <c r="JMV165" s="21"/>
      <c r="JMW165" s="7"/>
      <c r="JMX165" s="7"/>
      <c r="JMY165" s="21"/>
      <c r="JMZ165" s="20"/>
      <c r="JNA165" s="20"/>
      <c r="JNB165" s="20"/>
      <c r="JNC165" s="21"/>
      <c r="JND165" s="21"/>
      <c r="JNE165" s="21"/>
      <c r="JNF165" s="21"/>
      <c r="JNG165" s="21"/>
      <c r="JNH165" s="20"/>
      <c r="JNI165" s="20"/>
      <c r="JNJ165" s="20"/>
      <c r="JNK165" s="20"/>
      <c r="JNL165" s="21"/>
      <c r="JNM165" s="21"/>
      <c r="JNN165" s="7"/>
      <c r="JNO165" s="7"/>
      <c r="JNP165" s="21"/>
      <c r="JNQ165" s="20"/>
      <c r="JNR165" s="20"/>
      <c r="JNS165" s="20"/>
      <c r="JNT165" s="21"/>
      <c r="JNU165" s="21"/>
      <c r="JNV165" s="21"/>
      <c r="JNW165" s="21"/>
      <c r="JNX165" s="21"/>
      <c r="JNY165" s="20"/>
      <c r="JNZ165" s="20"/>
      <c r="JOA165" s="20"/>
      <c r="JOB165" s="20"/>
      <c r="JOC165" s="21"/>
      <c r="JOD165" s="21"/>
      <c r="JOE165" s="7"/>
      <c r="JOF165" s="7"/>
      <c r="JOG165" s="21"/>
      <c r="JOH165" s="20"/>
      <c r="JOI165" s="20"/>
      <c r="JOJ165" s="20"/>
      <c r="JOK165" s="21"/>
      <c r="JOL165" s="21"/>
      <c r="JOM165" s="21"/>
      <c r="JON165" s="21"/>
      <c r="JOO165" s="21"/>
      <c r="JOP165" s="20"/>
      <c r="JOQ165" s="20"/>
      <c r="JOR165" s="20"/>
      <c r="JOS165" s="20"/>
      <c r="JOT165" s="21"/>
      <c r="JOU165" s="21"/>
      <c r="JOV165" s="7"/>
      <c r="JOW165" s="7"/>
      <c r="JOX165" s="21"/>
      <c r="JOY165" s="20"/>
      <c r="JOZ165" s="20"/>
      <c r="JPA165" s="20"/>
      <c r="JPB165" s="21"/>
      <c r="JPC165" s="21"/>
      <c r="JPD165" s="21"/>
      <c r="JPE165" s="21"/>
      <c r="JPF165" s="21"/>
      <c r="JPG165" s="20"/>
      <c r="JPH165" s="20"/>
      <c r="JPI165" s="20"/>
      <c r="JPJ165" s="20"/>
      <c r="JPK165" s="21"/>
      <c r="JPL165" s="21"/>
      <c r="JPM165" s="7"/>
      <c r="JPN165" s="7"/>
      <c r="JPO165" s="21"/>
      <c r="JPP165" s="20"/>
      <c r="JPQ165" s="20"/>
      <c r="JPR165" s="20"/>
      <c r="JPS165" s="21"/>
      <c r="JPT165" s="21"/>
      <c r="JPU165" s="21"/>
      <c r="JPV165" s="21"/>
      <c r="JPW165" s="21"/>
      <c r="JPX165" s="20"/>
      <c r="JPY165" s="20"/>
      <c r="JPZ165" s="20"/>
      <c r="JQA165" s="20"/>
      <c r="JQB165" s="21"/>
      <c r="JQC165" s="21"/>
      <c r="JQD165" s="7"/>
      <c r="JQE165" s="7"/>
      <c r="JQF165" s="21"/>
      <c r="JQG165" s="20"/>
      <c r="JQH165" s="20"/>
      <c r="JQI165" s="20"/>
      <c r="JQJ165" s="21"/>
      <c r="JQK165" s="21"/>
      <c r="JQL165" s="21"/>
      <c r="JQM165" s="21"/>
      <c r="JQN165" s="21"/>
      <c r="JQO165" s="20"/>
      <c r="JQP165" s="20"/>
      <c r="JQQ165" s="20"/>
      <c r="JQR165" s="20"/>
      <c r="JQS165" s="21"/>
      <c r="JQT165" s="21"/>
      <c r="JQU165" s="7"/>
      <c r="JQV165" s="7"/>
      <c r="JQW165" s="21"/>
      <c r="JQX165" s="20"/>
      <c r="JQY165" s="20"/>
      <c r="JQZ165" s="20"/>
      <c r="JRA165" s="21"/>
      <c r="JRB165" s="21"/>
      <c r="JRC165" s="21"/>
      <c r="JRD165" s="21"/>
      <c r="JRE165" s="21"/>
      <c r="JRF165" s="20"/>
      <c r="JRG165" s="20"/>
      <c r="JRH165" s="20"/>
      <c r="JRI165" s="20"/>
      <c r="JRJ165" s="21"/>
      <c r="JRK165" s="21"/>
      <c r="JRL165" s="7"/>
      <c r="JRM165" s="7"/>
      <c r="JRN165" s="21"/>
      <c r="JRO165" s="20"/>
      <c r="JRP165" s="20"/>
      <c r="JRQ165" s="20"/>
      <c r="JRR165" s="21"/>
      <c r="JRS165" s="21"/>
      <c r="JRT165" s="21"/>
      <c r="JRU165" s="21"/>
      <c r="JRV165" s="21"/>
      <c r="JRW165" s="20"/>
      <c r="JRX165" s="20"/>
      <c r="JRY165" s="20"/>
      <c r="JRZ165" s="20"/>
      <c r="JSA165" s="21"/>
      <c r="JSB165" s="21"/>
      <c r="JSC165" s="7"/>
      <c r="JSD165" s="7"/>
      <c r="JSE165" s="21"/>
      <c r="JSF165" s="20"/>
      <c r="JSG165" s="20"/>
      <c r="JSH165" s="20"/>
      <c r="JSI165" s="21"/>
      <c r="JSJ165" s="21"/>
      <c r="JSK165" s="21"/>
      <c r="JSL165" s="21"/>
      <c r="JSM165" s="21"/>
      <c r="JSN165" s="20"/>
      <c r="JSO165" s="20"/>
      <c r="JSP165" s="20"/>
      <c r="JSQ165" s="20"/>
      <c r="JSR165" s="21"/>
      <c r="JSS165" s="21"/>
      <c r="JST165" s="7"/>
      <c r="JSU165" s="7"/>
      <c r="JSV165" s="21"/>
      <c r="JSW165" s="20"/>
      <c r="JSX165" s="20"/>
      <c r="JSY165" s="20"/>
      <c r="JSZ165" s="21"/>
      <c r="JTA165" s="21"/>
      <c r="JTB165" s="21"/>
      <c r="JTC165" s="21"/>
      <c r="JTD165" s="21"/>
      <c r="JTE165" s="20"/>
      <c r="JTF165" s="20"/>
      <c r="JTG165" s="20"/>
      <c r="JTH165" s="20"/>
      <c r="JTI165" s="21"/>
      <c r="JTJ165" s="21"/>
      <c r="JTK165" s="7"/>
      <c r="JTL165" s="7"/>
      <c r="JTM165" s="21"/>
      <c r="JTN165" s="20"/>
      <c r="JTO165" s="20"/>
      <c r="JTP165" s="20"/>
      <c r="JTQ165" s="21"/>
      <c r="JTR165" s="21"/>
      <c r="JTS165" s="21"/>
      <c r="JTT165" s="21"/>
      <c r="JTU165" s="21"/>
      <c r="JTV165" s="20"/>
      <c r="JTW165" s="20"/>
      <c r="JTX165" s="20"/>
      <c r="JTY165" s="20"/>
      <c r="JTZ165" s="21"/>
      <c r="JUA165" s="21"/>
      <c r="JUB165" s="7"/>
      <c r="JUC165" s="7"/>
      <c r="JUD165" s="21"/>
      <c r="JUE165" s="20"/>
      <c r="JUF165" s="20"/>
      <c r="JUG165" s="20"/>
      <c r="JUH165" s="21"/>
      <c r="JUI165" s="21"/>
      <c r="JUJ165" s="21"/>
      <c r="JUK165" s="21"/>
      <c r="JUL165" s="21"/>
      <c r="JUM165" s="20"/>
      <c r="JUN165" s="20"/>
      <c r="JUO165" s="20"/>
      <c r="JUP165" s="20"/>
      <c r="JUQ165" s="21"/>
      <c r="JUR165" s="21"/>
      <c r="JUS165" s="7"/>
      <c r="JUT165" s="7"/>
      <c r="JUU165" s="21"/>
      <c r="JUV165" s="20"/>
      <c r="JUW165" s="20"/>
      <c r="JUX165" s="20"/>
      <c r="JUY165" s="21"/>
      <c r="JUZ165" s="21"/>
      <c r="JVA165" s="21"/>
      <c r="JVB165" s="21"/>
      <c r="JVC165" s="21"/>
      <c r="JVD165" s="20"/>
      <c r="JVE165" s="20"/>
      <c r="JVF165" s="20"/>
      <c r="JVG165" s="20"/>
      <c r="JVH165" s="21"/>
      <c r="JVI165" s="21"/>
      <c r="JVJ165" s="7"/>
      <c r="JVK165" s="7"/>
      <c r="JVL165" s="21"/>
      <c r="JVM165" s="20"/>
      <c r="JVN165" s="20"/>
      <c r="JVO165" s="20"/>
      <c r="JVP165" s="21"/>
      <c r="JVQ165" s="21"/>
      <c r="JVR165" s="21"/>
      <c r="JVS165" s="21"/>
      <c r="JVT165" s="21"/>
      <c r="JVU165" s="20"/>
      <c r="JVV165" s="20"/>
      <c r="JVW165" s="20"/>
      <c r="JVX165" s="20"/>
      <c r="JVY165" s="21"/>
      <c r="JVZ165" s="21"/>
      <c r="JWA165" s="7"/>
      <c r="JWB165" s="7"/>
      <c r="JWC165" s="21"/>
      <c r="JWD165" s="20"/>
      <c r="JWE165" s="20"/>
      <c r="JWF165" s="20"/>
      <c r="JWG165" s="21"/>
      <c r="JWH165" s="21"/>
      <c r="JWI165" s="21"/>
      <c r="JWJ165" s="21"/>
      <c r="JWK165" s="21"/>
      <c r="JWL165" s="20"/>
      <c r="JWM165" s="20"/>
      <c r="JWN165" s="20"/>
      <c r="JWO165" s="20"/>
      <c r="JWP165" s="21"/>
      <c r="JWQ165" s="21"/>
      <c r="JWR165" s="7"/>
      <c r="JWS165" s="7"/>
      <c r="JWT165" s="21"/>
      <c r="JWU165" s="20"/>
      <c r="JWV165" s="20"/>
      <c r="JWW165" s="20"/>
      <c r="JWX165" s="21"/>
      <c r="JWY165" s="21"/>
      <c r="JWZ165" s="21"/>
      <c r="JXA165" s="21"/>
      <c r="JXB165" s="21"/>
      <c r="JXC165" s="20"/>
      <c r="JXD165" s="20"/>
      <c r="JXE165" s="20"/>
      <c r="JXF165" s="20"/>
      <c r="JXG165" s="21"/>
      <c r="JXH165" s="21"/>
      <c r="JXI165" s="7"/>
      <c r="JXJ165" s="7"/>
      <c r="JXK165" s="21"/>
      <c r="JXL165" s="20"/>
      <c r="JXM165" s="20"/>
      <c r="JXN165" s="20"/>
      <c r="JXO165" s="21"/>
      <c r="JXP165" s="21"/>
      <c r="JXQ165" s="21"/>
      <c r="JXR165" s="21"/>
      <c r="JXS165" s="21"/>
      <c r="JXT165" s="20"/>
      <c r="JXU165" s="20"/>
      <c r="JXV165" s="20"/>
      <c r="JXW165" s="20"/>
      <c r="JXX165" s="21"/>
      <c r="JXY165" s="21"/>
      <c r="JXZ165" s="7"/>
      <c r="JYA165" s="7"/>
      <c r="JYB165" s="21"/>
      <c r="JYC165" s="20"/>
      <c r="JYD165" s="20"/>
      <c r="JYE165" s="20"/>
      <c r="JYF165" s="21"/>
      <c r="JYG165" s="21"/>
      <c r="JYH165" s="21"/>
      <c r="JYI165" s="21"/>
      <c r="JYJ165" s="21"/>
      <c r="JYK165" s="20"/>
      <c r="JYL165" s="20"/>
      <c r="JYM165" s="20"/>
      <c r="JYN165" s="20"/>
      <c r="JYO165" s="21"/>
      <c r="JYP165" s="21"/>
      <c r="JYQ165" s="7"/>
      <c r="JYR165" s="7"/>
      <c r="JYS165" s="21"/>
      <c r="JYT165" s="20"/>
      <c r="JYU165" s="20"/>
      <c r="JYV165" s="20"/>
      <c r="JYW165" s="21"/>
      <c r="JYX165" s="21"/>
      <c r="JYY165" s="21"/>
      <c r="JYZ165" s="21"/>
      <c r="JZA165" s="21"/>
      <c r="JZB165" s="20"/>
      <c r="JZC165" s="20"/>
      <c r="JZD165" s="20"/>
      <c r="JZE165" s="20"/>
      <c r="JZF165" s="21"/>
      <c r="JZG165" s="21"/>
      <c r="JZH165" s="7"/>
      <c r="JZI165" s="7"/>
      <c r="JZJ165" s="21"/>
      <c r="JZK165" s="20"/>
      <c r="JZL165" s="20"/>
      <c r="JZM165" s="20"/>
      <c r="JZN165" s="21"/>
      <c r="JZO165" s="21"/>
      <c r="JZP165" s="21"/>
      <c r="JZQ165" s="21"/>
      <c r="JZR165" s="21"/>
      <c r="JZS165" s="20"/>
      <c r="JZT165" s="20"/>
      <c r="JZU165" s="20"/>
      <c r="JZV165" s="20"/>
      <c r="JZW165" s="21"/>
      <c r="JZX165" s="21"/>
      <c r="JZY165" s="7"/>
      <c r="JZZ165" s="7"/>
      <c r="KAA165" s="21"/>
      <c r="KAB165" s="20"/>
      <c r="KAC165" s="20"/>
      <c r="KAD165" s="20"/>
      <c r="KAE165" s="21"/>
      <c r="KAF165" s="21"/>
      <c r="KAG165" s="21"/>
      <c r="KAH165" s="21"/>
      <c r="KAI165" s="21"/>
      <c r="KAJ165" s="20"/>
      <c r="KAK165" s="20"/>
      <c r="KAL165" s="20"/>
      <c r="KAM165" s="20"/>
      <c r="KAN165" s="21"/>
      <c r="KAO165" s="21"/>
      <c r="KAP165" s="7"/>
      <c r="KAQ165" s="7"/>
      <c r="KAR165" s="21"/>
      <c r="KAS165" s="20"/>
      <c r="KAT165" s="20"/>
      <c r="KAU165" s="20"/>
      <c r="KAV165" s="21"/>
      <c r="KAW165" s="21"/>
      <c r="KAX165" s="21"/>
      <c r="KAY165" s="21"/>
      <c r="KAZ165" s="21"/>
      <c r="KBA165" s="20"/>
      <c r="KBB165" s="20"/>
      <c r="KBC165" s="20"/>
      <c r="KBD165" s="20"/>
      <c r="KBE165" s="21"/>
      <c r="KBF165" s="21"/>
      <c r="KBG165" s="7"/>
      <c r="KBH165" s="7"/>
      <c r="KBI165" s="21"/>
      <c r="KBJ165" s="20"/>
      <c r="KBK165" s="20"/>
      <c r="KBL165" s="20"/>
      <c r="KBM165" s="21"/>
      <c r="KBN165" s="21"/>
      <c r="KBO165" s="21"/>
      <c r="KBP165" s="21"/>
      <c r="KBQ165" s="21"/>
      <c r="KBR165" s="20"/>
      <c r="KBS165" s="20"/>
      <c r="KBT165" s="20"/>
      <c r="KBU165" s="20"/>
      <c r="KBV165" s="21"/>
      <c r="KBW165" s="21"/>
      <c r="KBX165" s="7"/>
      <c r="KBY165" s="7"/>
      <c r="KBZ165" s="21"/>
      <c r="KCA165" s="20"/>
      <c r="KCB165" s="20"/>
      <c r="KCC165" s="20"/>
      <c r="KCD165" s="21"/>
      <c r="KCE165" s="21"/>
      <c r="KCF165" s="21"/>
      <c r="KCG165" s="21"/>
      <c r="KCH165" s="21"/>
      <c r="KCI165" s="20"/>
      <c r="KCJ165" s="20"/>
      <c r="KCK165" s="20"/>
      <c r="KCL165" s="20"/>
      <c r="KCM165" s="21"/>
      <c r="KCN165" s="21"/>
      <c r="KCO165" s="7"/>
      <c r="KCP165" s="7"/>
      <c r="KCQ165" s="21"/>
      <c r="KCR165" s="20"/>
      <c r="KCS165" s="20"/>
      <c r="KCT165" s="20"/>
      <c r="KCU165" s="21"/>
      <c r="KCV165" s="21"/>
      <c r="KCW165" s="21"/>
      <c r="KCX165" s="21"/>
      <c r="KCY165" s="21"/>
      <c r="KCZ165" s="20"/>
      <c r="KDA165" s="20"/>
      <c r="KDB165" s="20"/>
      <c r="KDC165" s="20"/>
      <c r="KDD165" s="21"/>
      <c r="KDE165" s="21"/>
      <c r="KDF165" s="7"/>
      <c r="KDG165" s="7"/>
      <c r="KDH165" s="21"/>
      <c r="KDI165" s="20"/>
      <c r="KDJ165" s="20"/>
      <c r="KDK165" s="20"/>
      <c r="KDL165" s="21"/>
      <c r="KDM165" s="21"/>
      <c r="KDN165" s="21"/>
      <c r="KDO165" s="21"/>
      <c r="KDP165" s="21"/>
      <c r="KDQ165" s="20"/>
      <c r="KDR165" s="20"/>
      <c r="KDS165" s="20"/>
      <c r="KDT165" s="20"/>
      <c r="KDU165" s="21"/>
      <c r="KDV165" s="21"/>
      <c r="KDW165" s="7"/>
      <c r="KDX165" s="7"/>
      <c r="KDY165" s="21"/>
      <c r="KDZ165" s="20"/>
      <c r="KEA165" s="20"/>
      <c r="KEB165" s="20"/>
      <c r="KEC165" s="21"/>
      <c r="KED165" s="21"/>
      <c r="KEE165" s="21"/>
      <c r="KEF165" s="21"/>
      <c r="KEG165" s="21"/>
      <c r="KEH165" s="20"/>
      <c r="KEI165" s="20"/>
      <c r="KEJ165" s="20"/>
      <c r="KEK165" s="20"/>
      <c r="KEL165" s="21"/>
      <c r="KEM165" s="21"/>
      <c r="KEN165" s="7"/>
      <c r="KEO165" s="7"/>
      <c r="KEP165" s="21"/>
      <c r="KEQ165" s="20"/>
      <c r="KER165" s="20"/>
      <c r="KES165" s="20"/>
      <c r="KET165" s="21"/>
      <c r="KEU165" s="21"/>
      <c r="KEV165" s="21"/>
      <c r="KEW165" s="21"/>
      <c r="KEX165" s="21"/>
      <c r="KEY165" s="20"/>
      <c r="KEZ165" s="20"/>
      <c r="KFA165" s="20"/>
      <c r="KFB165" s="20"/>
      <c r="KFC165" s="21"/>
      <c r="KFD165" s="21"/>
      <c r="KFE165" s="7"/>
      <c r="KFF165" s="7"/>
      <c r="KFG165" s="21"/>
      <c r="KFH165" s="20"/>
      <c r="KFI165" s="20"/>
      <c r="KFJ165" s="20"/>
      <c r="KFK165" s="21"/>
      <c r="KFL165" s="21"/>
      <c r="KFM165" s="21"/>
      <c r="KFN165" s="21"/>
      <c r="KFO165" s="21"/>
      <c r="KFP165" s="20"/>
      <c r="KFQ165" s="20"/>
      <c r="KFR165" s="20"/>
      <c r="KFS165" s="20"/>
      <c r="KFT165" s="21"/>
      <c r="KFU165" s="21"/>
      <c r="KFV165" s="7"/>
      <c r="KFW165" s="7"/>
      <c r="KFX165" s="21"/>
      <c r="KFY165" s="20"/>
      <c r="KFZ165" s="20"/>
      <c r="KGA165" s="20"/>
      <c r="KGB165" s="21"/>
      <c r="KGC165" s="21"/>
      <c r="KGD165" s="21"/>
      <c r="KGE165" s="21"/>
      <c r="KGF165" s="21"/>
      <c r="KGG165" s="20"/>
      <c r="KGH165" s="20"/>
      <c r="KGI165" s="20"/>
      <c r="KGJ165" s="20"/>
      <c r="KGK165" s="21"/>
      <c r="KGL165" s="21"/>
      <c r="KGM165" s="7"/>
      <c r="KGN165" s="7"/>
      <c r="KGO165" s="21"/>
      <c r="KGP165" s="20"/>
      <c r="KGQ165" s="20"/>
      <c r="KGR165" s="20"/>
      <c r="KGS165" s="21"/>
      <c r="KGT165" s="21"/>
      <c r="KGU165" s="21"/>
      <c r="KGV165" s="21"/>
      <c r="KGW165" s="21"/>
      <c r="KGX165" s="20"/>
      <c r="KGY165" s="20"/>
      <c r="KGZ165" s="20"/>
      <c r="KHA165" s="20"/>
      <c r="KHB165" s="21"/>
      <c r="KHC165" s="21"/>
      <c r="KHD165" s="7"/>
      <c r="KHE165" s="7"/>
      <c r="KHF165" s="21"/>
      <c r="KHG165" s="20"/>
      <c r="KHH165" s="20"/>
      <c r="KHI165" s="20"/>
      <c r="KHJ165" s="21"/>
      <c r="KHK165" s="21"/>
      <c r="KHL165" s="21"/>
      <c r="KHM165" s="21"/>
      <c r="KHN165" s="21"/>
      <c r="KHO165" s="20"/>
      <c r="KHP165" s="20"/>
      <c r="KHQ165" s="20"/>
      <c r="KHR165" s="20"/>
      <c r="KHS165" s="21"/>
      <c r="KHT165" s="21"/>
      <c r="KHU165" s="7"/>
      <c r="KHV165" s="7"/>
      <c r="KHW165" s="21"/>
      <c r="KHX165" s="20"/>
      <c r="KHY165" s="20"/>
      <c r="KHZ165" s="20"/>
      <c r="KIA165" s="21"/>
      <c r="KIB165" s="21"/>
      <c r="KIC165" s="21"/>
      <c r="KID165" s="21"/>
      <c r="KIE165" s="21"/>
      <c r="KIF165" s="20"/>
      <c r="KIG165" s="20"/>
      <c r="KIH165" s="20"/>
      <c r="KII165" s="20"/>
      <c r="KIJ165" s="21"/>
      <c r="KIK165" s="21"/>
      <c r="KIL165" s="7"/>
      <c r="KIM165" s="7"/>
      <c r="KIN165" s="21"/>
      <c r="KIO165" s="20"/>
      <c r="KIP165" s="20"/>
      <c r="KIQ165" s="20"/>
      <c r="KIR165" s="21"/>
      <c r="KIS165" s="21"/>
      <c r="KIT165" s="21"/>
      <c r="KIU165" s="21"/>
      <c r="KIV165" s="21"/>
      <c r="KIW165" s="20"/>
      <c r="KIX165" s="20"/>
      <c r="KIY165" s="20"/>
      <c r="KIZ165" s="20"/>
      <c r="KJA165" s="21"/>
      <c r="KJB165" s="21"/>
      <c r="KJC165" s="7"/>
      <c r="KJD165" s="7"/>
      <c r="KJE165" s="21"/>
      <c r="KJF165" s="20"/>
      <c r="KJG165" s="20"/>
      <c r="KJH165" s="20"/>
      <c r="KJI165" s="21"/>
      <c r="KJJ165" s="21"/>
      <c r="KJK165" s="21"/>
      <c r="KJL165" s="21"/>
      <c r="KJM165" s="21"/>
      <c r="KJN165" s="20"/>
      <c r="KJO165" s="20"/>
      <c r="KJP165" s="20"/>
      <c r="KJQ165" s="20"/>
      <c r="KJR165" s="21"/>
      <c r="KJS165" s="21"/>
      <c r="KJT165" s="7"/>
      <c r="KJU165" s="7"/>
      <c r="KJV165" s="21"/>
      <c r="KJW165" s="20"/>
      <c r="KJX165" s="20"/>
      <c r="KJY165" s="20"/>
      <c r="KJZ165" s="21"/>
      <c r="KKA165" s="21"/>
      <c r="KKB165" s="21"/>
      <c r="KKC165" s="21"/>
      <c r="KKD165" s="21"/>
      <c r="KKE165" s="20"/>
      <c r="KKF165" s="20"/>
      <c r="KKG165" s="20"/>
      <c r="KKH165" s="20"/>
      <c r="KKI165" s="21"/>
      <c r="KKJ165" s="21"/>
      <c r="KKK165" s="7"/>
      <c r="KKL165" s="7"/>
      <c r="KKM165" s="21"/>
      <c r="KKN165" s="20"/>
      <c r="KKO165" s="20"/>
      <c r="KKP165" s="20"/>
      <c r="KKQ165" s="21"/>
      <c r="KKR165" s="21"/>
      <c r="KKS165" s="21"/>
      <c r="KKT165" s="21"/>
      <c r="KKU165" s="21"/>
      <c r="KKV165" s="20"/>
      <c r="KKW165" s="20"/>
      <c r="KKX165" s="20"/>
      <c r="KKY165" s="20"/>
      <c r="KKZ165" s="21"/>
      <c r="KLA165" s="21"/>
      <c r="KLB165" s="7"/>
      <c r="KLC165" s="7"/>
      <c r="KLD165" s="21"/>
      <c r="KLE165" s="20"/>
      <c r="KLF165" s="20"/>
      <c r="KLG165" s="20"/>
      <c r="KLH165" s="21"/>
      <c r="KLI165" s="21"/>
      <c r="KLJ165" s="21"/>
      <c r="KLK165" s="21"/>
      <c r="KLL165" s="21"/>
      <c r="KLM165" s="20"/>
      <c r="KLN165" s="20"/>
      <c r="KLO165" s="20"/>
      <c r="KLP165" s="20"/>
      <c r="KLQ165" s="21"/>
      <c r="KLR165" s="21"/>
      <c r="KLS165" s="7"/>
      <c r="KLT165" s="7"/>
      <c r="KLU165" s="21"/>
      <c r="KLV165" s="20"/>
      <c r="KLW165" s="20"/>
      <c r="KLX165" s="20"/>
      <c r="KLY165" s="21"/>
      <c r="KLZ165" s="21"/>
      <c r="KMA165" s="21"/>
      <c r="KMB165" s="21"/>
      <c r="KMC165" s="21"/>
      <c r="KMD165" s="20"/>
      <c r="KME165" s="20"/>
      <c r="KMF165" s="20"/>
      <c r="KMG165" s="20"/>
      <c r="KMH165" s="21"/>
      <c r="KMI165" s="21"/>
      <c r="KMJ165" s="7"/>
      <c r="KMK165" s="7"/>
      <c r="KML165" s="21"/>
      <c r="KMM165" s="20"/>
      <c r="KMN165" s="20"/>
      <c r="KMO165" s="20"/>
      <c r="KMP165" s="21"/>
      <c r="KMQ165" s="21"/>
      <c r="KMR165" s="21"/>
      <c r="KMS165" s="21"/>
      <c r="KMT165" s="21"/>
      <c r="KMU165" s="20"/>
      <c r="KMV165" s="20"/>
      <c r="KMW165" s="20"/>
      <c r="KMX165" s="20"/>
      <c r="KMY165" s="21"/>
      <c r="KMZ165" s="21"/>
      <c r="KNA165" s="7"/>
      <c r="KNB165" s="7"/>
      <c r="KNC165" s="21"/>
      <c r="KND165" s="20"/>
      <c r="KNE165" s="20"/>
      <c r="KNF165" s="20"/>
      <c r="KNG165" s="21"/>
      <c r="KNH165" s="21"/>
      <c r="KNI165" s="21"/>
      <c r="KNJ165" s="21"/>
      <c r="KNK165" s="21"/>
      <c r="KNL165" s="20"/>
      <c r="KNM165" s="20"/>
      <c r="KNN165" s="20"/>
      <c r="KNO165" s="20"/>
      <c r="KNP165" s="21"/>
      <c r="KNQ165" s="21"/>
      <c r="KNR165" s="7"/>
      <c r="KNS165" s="7"/>
      <c r="KNT165" s="21"/>
      <c r="KNU165" s="20"/>
      <c r="KNV165" s="20"/>
      <c r="KNW165" s="20"/>
      <c r="KNX165" s="21"/>
      <c r="KNY165" s="21"/>
      <c r="KNZ165" s="21"/>
      <c r="KOA165" s="21"/>
      <c r="KOB165" s="21"/>
      <c r="KOC165" s="20"/>
      <c r="KOD165" s="20"/>
      <c r="KOE165" s="20"/>
      <c r="KOF165" s="20"/>
      <c r="KOG165" s="21"/>
      <c r="KOH165" s="21"/>
      <c r="KOI165" s="7"/>
      <c r="KOJ165" s="7"/>
      <c r="KOK165" s="21"/>
      <c r="KOL165" s="20"/>
      <c r="KOM165" s="20"/>
      <c r="KON165" s="20"/>
      <c r="KOO165" s="21"/>
      <c r="KOP165" s="21"/>
      <c r="KOQ165" s="21"/>
      <c r="KOR165" s="21"/>
      <c r="KOS165" s="21"/>
      <c r="KOT165" s="20"/>
      <c r="KOU165" s="20"/>
      <c r="KOV165" s="20"/>
      <c r="KOW165" s="20"/>
      <c r="KOX165" s="21"/>
      <c r="KOY165" s="21"/>
      <c r="KOZ165" s="7"/>
      <c r="KPA165" s="7"/>
      <c r="KPB165" s="21"/>
      <c r="KPC165" s="20"/>
      <c r="KPD165" s="20"/>
      <c r="KPE165" s="20"/>
      <c r="KPF165" s="21"/>
      <c r="KPG165" s="21"/>
      <c r="KPH165" s="21"/>
      <c r="KPI165" s="21"/>
      <c r="KPJ165" s="21"/>
      <c r="KPK165" s="20"/>
      <c r="KPL165" s="20"/>
      <c r="KPM165" s="20"/>
      <c r="KPN165" s="20"/>
      <c r="KPO165" s="21"/>
      <c r="KPP165" s="21"/>
      <c r="KPQ165" s="7"/>
      <c r="KPR165" s="7"/>
      <c r="KPS165" s="21"/>
      <c r="KPT165" s="20"/>
      <c r="KPU165" s="20"/>
      <c r="KPV165" s="20"/>
      <c r="KPW165" s="21"/>
      <c r="KPX165" s="21"/>
      <c r="KPY165" s="21"/>
      <c r="KPZ165" s="21"/>
      <c r="KQA165" s="21"/>
      <c r="KQB165" s="20"/>
      <c r="KQC165" s="20"/>
      <c r="KQD165" s="20"/>
      <c r="KQE165" s="20"/>
      <c r="KQF165" s="21"/>
      <c r="KQG165" s="21"/>
      <c r="KQH165" s="7"/>
      <c r="KQI165" s="7"/>
      <c r="KQJ165" s="21"/>
      <c r="KQK165" s="20"/>
      <c r="KQL165" s="20"/>
      <c r="KQM165" s="20"/>
      <c r="KQN165" s="21"/>
      <c r="KQO165" s="21"/>
      <c r="KQP165" s="21"/>
      <c r="KQQ165" s="21"/>
      <c r="KQR165" s="21"/>
      <c r="KQS165" s="20"/>
      <c r="KQT165" s="20"/>
      <c r="KQU165" s="20"/>
      <c r="KQV165" s="20"/>
      <c r="KQW165" s="21"/>
      <c r="KQX165" s="21"/>
      <c r="KQY165" s="7"/>
      <c r="KQZ165" s="7"/>
      <c r="KRA165" s="21"/>
      <c r="KRB165" s="20"/>
      <c r="KRC165" s="20"/>
      <c r="KRD165" s="20"/>
      <c r="KRE165" s="21"/>
      <c r="KRF165" s="21"/>
      <c r="KRG165" s="21"/>
      <c r="KRH165" s="21"/>
      <c r="KRI165" s="21"/>
      <c r="KRJ165" s="20"/>
      <c r="KRK165" s="20"/>
      <c r="KRL165" s="20"/>
      <c r="KRM165" s="20"/>
      <c r="KRN165" s="21"/>
      <c r="KRO165" s="21"/>
      <c r="KRP165" s="7"/>
      <c r="KRQ165" s="7"/>
      <c r="KRR165" s="21"/>
      <c r="KRS165" s="20"/>
      <c r="KRT165" s="20"/>
      <c r="KRU165" s="20"/>
      <c r="KRV165" s="21"/>
      <c r="KRW165" s="21"/>
      <c r="KRX165" s="21"/>
      <c r="KRY165" s="21"/>
      <c r="KRZ165" s="21"/>
      <c r="KSA165" s="20"/>
      <c r="KSB165" s="20"/>
      <c r="KSC165" s="20"/>
      <c r="KSD165" s="20"/>
      <c r="KSE165" s="21"/>
      <c r="KSF165" s="21"/>
      <c r="KSG165" s="7"/>
      <c r="KSH165" s="7"/>
      <c r="KSI165" s="21"/>
      <c r="KSJ165" s="20"/>
      <c r="KSK165" s="20"/>
      <c r="KSL165" s="20"/>
      <c r="KSM165" s="21"/>
      <c r="KSN165" s="21"/>
      <c r="KSO165" s="21"/>
      <c r="KSP165" s="21"/>
      <c r="KSQ165" s="21"/>
      <c r="KSR165" s="20"/>
      <c r="KSS165" s="20"/>
      <c r="KST165" s="20"/>
      <c r="KSU165" s="20"/>
      <c r="KSV165" s="21"/>
      <c r="KSW165" s="21"/>
      <c r="KSX165" s="7"/>
      <c r="KSY165" s="7"/>
      <c r="KSZ165" s="21"/>
      <c r="KTA165" s="20"/>
      <c r="KTB165" s="20"/>
      <c r="KTC165" s="20"/>
      <c r="KTD165" s="21"/>
      <c r="KTE165" s="21"/>
      <c r="KTF165" s="21"/>
      <c r="KTG165" s="21"/>
      <c r="KTH165" s="21"/>
      <c r="KTI165" s="20"/>
      <c r="KTJ165" s="20"/>
      <c r="KTK165" s="20"/>
      <c r="KTL165" s="20"/>
      <c r="KTM165" s="21"/>
      <c r="KTN165" s="21"/>
      <c r="KTO165" s="7"/>
      <c r="KTP165" s="7"/>
      <c r="KTQ165" s="21"/>
      <c r="KTR165" s="20"/>
      <c r="KTS165" s="20"/>
      <c r="KTT165" s="20"/>
      <c r="KTU165" s="21"/>
      <c r="KTV165" s="21"/>
      <c r="KTW165" s="21"/>
      <c r="KTX165" s="21"/>
      <c r="KTY165" s="21"/>
      <c r="KTZ165" s="20"/>
      <c r="KUA165" s="20"/>
      <c r="KUB165" s="20"/>
      <c r="KUC165" s="20"/>
      <c r="KUD165" s="21"/>
      <c r="KUE165" s="21"/>
      <c r="KUF165" s="7"/>
      <c r="KUG165" s="7"/>
      <c r="KUH165" s="21"/>
      <c r="KUI165" s="20"/>
      <c r="KUJ165" s="20"/>
      <c r="KUK165" s="20"/>
      <c r="KUL165" s="21"/>
      <c r="KUM165" s="21"/>
      <c r="KUN165" s="21"/>
      <c r="KUO165" s="21"/>
      <c r="KUP165" s="21"/>
      <c r="KUQ165" s="20"/>
      <c r="KUR165" s="20"/>
      <c r="KUS165" s="20"/>
      <c r="KUT165" s="20"/>
      <c r="KUU165" s="21"/>
      <c r="KUV165" s="21"/>
      <c r="KUW165" s="7"/>
      <c r="KUX165" s="7"/>
      <c r="KUY165" s="21"/>
      <c r="KUZ165" s="20"/>
      <c r="KVA165" s="20"/>
      <c r="KVB165" s="20"/>
      <c r="KVC165" s="21"/>
      <c r="KVD165" s="21"/>
      <c r="KVE165" s="21"/>
      <c r="KVF165" s="21"/>
      <c r="KVG165" s="21"/>
      <c r="KVH165" s="20"/>
      <c r="KVI165" s="20"/>
      <c r="KVJ165" s="20"/>
      <c r="KVK165" s="20"/>
      <c r="KVL165" s="21"/>
      <c r="KVM165" s="21"/>
      <c r="KVN165" s="7"/>
      <c r="KVO165" s="7"/>
      <c r="KVP165" s="21"/>
      <c r="KVQ165" s="20"/>
      <c r="KVR165" s="20"/>
      <c r="KVS165" s="20"/>
      <c r="KVT165" s="21"/>
      <c r="KVU165" s="21"/>
      <c r="KVV165" s="21"/>
      <c r="KVW165" s="21"/>
      <c r="KVX165" s="21"/>
      <c r="KVY165" s="20"/>
      <c r="KVZ165" s="20"/>
      <c r="KWA165" s="20"/>
      <c r="KWB165" s="20"/>
      <c r="KWC165" s="21"/>
      <c r="KWD165" s="21"/>
      <c r="KWE165" s="7"/>
      <c r="KWF165" s="7"/>
      <c r="KWG165" s="21"/>
      <c r="KWH165" s="20"/>
      <c r="KWI165" s="20"/>
      <c r="KWJ165" s="20"/>
      <c r="KWK165" s="21"/>
      <c r="KWL165" s="21"/>
      <c r="KWM165" s="21"/>
      <c r="KWN165" s="21"/>
      <c r="KWO165" s="21"/>
      <c r="KWP165" s="20"/>
      <c r="KWQ165" s="20"/>
      <c r="KWR165" s="20"/>
      <c r="KWS165" s="20"/>
      <c r="KWT165" s="21"/>
      <c r="KWU165" s="21"/>
      <c r="KWV165" s="7"/>
      <c r="KWW165" s="7"/>
      <c r="KWX165" s="21"/>
      <c r="KWY165" s="20"/>
      <c r="KWZ165" s="20"/>
      <c r="KXA165" s="20"/>
      <c r="KXB165" s="21"/>
      <c r="KXC165" s="21"/>
      <c r="KXD165" s="21"/>
      <c r="KXE165" s="21"/>
      <c r="KXF165" s="21"/>
      <c r="KXG165" s="20"/>
      <c r="KXH165" s="20"/>
      <c r="KXI165" s="20"/>
      <c r="KXJ165" s="20"/>
      <c r="KXK165" s="21"/>
      <c r="KXL165" s="21"/>
      <c r="KXM165" s="7"/>
      <c r="KXN165" s="7"/>
      <c r="KXO165" s="21"/>
      <c r="KXP165" s="20"/>
      <c r="KXQ165" s="20"/>
      <c r="KXR165" s="20"/>
      <c r="KXS165" s="21"/>
      <c r="KXT165" s="21"/>
      <c r="KXU165" s="21"/>
      <c r="KXV165" s="21"/>
      <c r="KXW165" s="21"/>
      <c r="KXX165" s="20"/>
      <c r="KXY165" s="20"/>
      <c r="KXZ165" s="20"/>
      <c r="KYA165" s="20"/>
      <c r="KYB165" s="21"/>
      <c r="KYC165" s="21"/>
      <c r="KYD165" s="7"/>
      <c r="KYE165" s="7"/>
      <c r="KYF165" s="21"/>
      <c r="KYG165" s="20"/>
      <c r="KYH165" s="20"/>
      <c r="KYI165" s="20"/>
      <c r="KYJ165" s="21"/>
      <c r="KYK165" s="21"/>
      <c r="KYL165" s="21"/>
      <c r="KYM165" s="21"/>
      <c r="KYN165" s="21"/>
      <c r="KYO165" s="20"/>
      <c r="KYP165" s="20"/>
      <c r="KYQ165" s="20"/>
      <c r="KYR165" s="20"/>
      <c r="KYS165" s="21"/>
      <c r="KYT165" s="21"/>
      <c r="KYU165" s="7"/>
      <c r="KYV165" s="7"/>
      <c r="KYW165" s="21"/>
      <c r="KYX165" s="20"/>
      <c r="KYY165" s="20"/>
      <c r="KYZ165" s="20"/>
      <c r="KZA165" s="21"/>
      <c r="KZB165" s="21"/>
      <c r="KZC165" s="21"/>
      <c r="KZD165" s="21"/>
      <c r="KZE165" s="21"/>
      <c r="KZF165" s="20"/>
      <c r="KZG165" s="20"/>
      <c r="KZH165" s="20"/>
      <c r="KZI165" s="20"/>
      <c r="KZJ165" s="21"/>
      <c r="KZK165" s="21"/>
      <c r="KZL165" s="7"/>
      <c r="KZM165" s="7"/>
      <c r="KZN165" s="21"/>
      <c r="KZO165" s="20"/>
      <c r="KZP165" s="20"/>
      <c r="KZQ165" s="20"/>
      <c r="KZR165" s="21"/>
      <c r="KZS165" s="21"/>
      <c r="KZT165" s="21"/>
      <c r="KZU165" s="21"/>
      <c r="KZV165" s="21"/>
      <c r="KZW165" s="20"/>
      <c r="KZX165" s="20"/>
      <c r="KZY165" s="20"/>
      <c r="KZZ165" s="20"/>
      <c r="LAA165" s="21"/>
      <c r="LAB165" s="21"/>
      <c r="LAC165" s="7"/>
      <c r="LAD165" s="7"/>
      <c r="LAE165" s="21"/>
      <c r="LAF165" s="20"/>
      <c r="LAG165" s="20"/>
      <c r="LAH165" s="20"/>
      <c r="LAI165" s="21"/>
      <c r="LAJ165" s="21"/>
      <c r="LAK165" s="21"/>
      <c r="LAL165" s="21"/>
      <c r="LAM165" s="21"/>
      <c r="LAN165" s="20"/>
      <c r="LAO165" s="20"/>
      <c r="LAP165" s="20"/>
      <c r="LAQ165" s="20"/>
      <c r="LAR165" s="21"/>
      <c r="LAS165" s="21"/>
      <c r="LAT165" s="7"/>
      <c r="LAU165" s="7"/>
      <c r="LAV165" s="21"/>
      <c r="LAW165" s="20"/>
      <c r="LAX165" s="20"/>
      <c r="LAY165" s="20"/>
      <c r="LAZ165" s="21"/>
      <c r="LBA165" s="21"/>
      <c r="LBB165" s="21"/>
      <c r="LBC165" s="21"/>
      <c r="LBD165" s="21"/>
      <c r="LBE165" s="20"/>
      <c r="LBF165" s="20"/>
      <c r="LBG165" s="20"/>
      <c r="LBH165" s="20"/>
      <c r="LBI165" s="21"/>
      <c r="LBJ165" s="21"/>
      <c r="LBK165" s="7"/>
      <c r="LBL165" s="7"/>
      <c r="LBM165" s="21"/>
      <c r="LBN165" s="20"/>
      <c r="LBO165" s="20"/>
      <c r="LBP165" s="20"/>
      <c r="LBQ165" s="21"/>
      <c r="LBR165" s="21"/>
      <c r="LBS165" s="21"/>
      <c r="LBT165" s="21"/>
      <c r="LBU165" s="21"/>
      <c r="LBV165" s="20"/>
      <c r="LBW165" s="20"/>
      <c r="LBX165" s="20"/>
      <c r="LBY165" s="20"/>
      <c r="LBZ165" s="21"/>
      <c r="LCA165" s="21"/>
      <c r="LCB165" s="7"/>
      <c r="LCC165" s="7"/>
      <c r="LCD165" s="21"/>
      <c r="LCE165" s="20"/>
      <c r="LCF165" s="20"/>
      <c r="LCG165" s="20"/>
      <c r="LCH165" s="21"/>
      <c r="LCI165" s="21"/>
      <c r="LCJ165" s="21"/>
      <c r="LCK165" s="21"/>
      <c r="LCL165" s="21"/>
      <c r="LCM165" s="20"/>
      <c r="LCN165" s="20"/>
      <c r="LCO165" s="20"/>
      <c r="LCP165" s="20"/>
      <c r="LCQ165" s="21"/>
      <c r="LCR165" s="21"/>
      <c r="LCS165" s="7"/>
      <c r="LCT165" s="7"/>
      <c r="LCU165" s="21"/>
      <c r="LCV165" s="20"/>
      <c r="LCW165" s="20"/>
      <c r="LCX165" s="20"/>
      <c r="LCY165" s="21"/>
      <c r="LCZ165" s="21"/>
      <c r="LDA165" s="21"/>
      <c r="LDB165" s="21"/>
      <c r="LDC165" s="21"/>
      <c r="LDD165" s="20"/>
      <c r="LDE165" s="20"/>
      <c r="LDF165" s="20"/>
      <c r="LDG165" s="20"/>
      <c r="LDH165" s="21"/>
      <c r="LDI165" s="21"/>
      <c r="LDJ165" s="7"/>
      <c r="LDK165" s="7"/>
      <c r="LDL165" s="21"/>
      <c r="LDM165" s="20"/>
      <c r="LDN165" s="20"/>
      <c r="LDO165" s="20"/>
      <c r="LDP165" s="21"/>
      <c r="LDQ165" s="21"/>
      <c r="LDR165" s="21"/>
      <c r="LDS165" s="21"/>
      <c r="LDT165" s="21"/>
      <c r="LDU165" s="20"/>
      <c r="LDV165" s="20"/>
      <c r="LDW165" s="20"/>
      <c r="LDX165" s="20"/>
      <c r="LDY165" s="21"/>
      <c r="LDZ165" s="21"/>
      <c r="LEA165" s="7"/>
      <c r="LEB165" s="7"/>
      <c r="LEC165" s="21"/>
      <c r="LED165" s="20"/>
      <c r="LEE165" s="20"/>
      <c r="LEF165" s="20"/>
      <c r="LEG165" s="21"/>
      <c r="LEH165" s="21"/>
      <c r="LEI165" s="21"/>
      <c r="LEJ165" s="21"/>
      <c r="LEK165" s="21"/>
      <c r="LEL165" s="20"/>
      <c r="LEM165" s="20"/>
      <c r="LEN165" s="20"/>
      <c r="LEO165" s="20"/>
      <c r="LEP165" s="21"/>
      <c r="LEQ165" s="21"/>
      <c r="LER165" s="7"/>
      <c r="LES165" s="7"/>
      <c r="LET165" s="21"/>
      <c r="LEU165" s="20"/>
      <c r="LEV165" s="20"/>
      <c r="LEW165" s="20"/>
      <c r="LEX165" s="21"/>
      <c r="LEY165" s="21"/>
      <c r="LEZ165" s="21"/>
      <c r="LFA165" s="21"/>
      <c r="LFB165" s="21"/>
      <c r="LFC165" s="20"/>
      <c r="LFD165" s="20"/>
      <c r="LFE165" s="20"/>
      <c r="LFF165" s="20"/>
      <c r="LFG165" s="21"/>
      <c r="LFH165" s="21"/>
      <c r="LFI165" s="7"/>
      <c r="LFJ165" s="7"/>
      <c r="LFK165" s="21"/>
      <c r="LFL165" s="20"/>
      <c r="LFM165" s="20"/>
      <c r="LFN165" s="20"/>
      <c r="LFO165" s="21"/>
      <c r="LFP165" s="21"/>
      <c r="LFQ165" s="21"/>
      <c r="LFR165" s="21"/>
      <c r="LFS165" s="21"/>
      <c r="LFT165" s="20"/>
      <c r="LFU165" s="20"/>
      <c r="LFV165" s="20"/>
      <c r="LFW165" s="20"/>
      <c r="LFX165" s="21"/>
      <c r="LFY165" s="21"/>
      <c r="LFZ165" s="7"/>
      <c r="LGA165" s="7"/>
      <c r="LGB165" s="21"/>
      <c r="LGC165" s="20"/>
      <c r="LGD165" s="20"/>
      <c r="LGE165" s="20"/>
      <c r="LGF165" s="21"/>
      <c r="LGG165" s="21"/>
      <c r="LGH165" s="21"/>
      <c r="LGI165" s="21"/>
      <c r="LGJ165" s="21"/>
      <c r="LGK165" s="20"/>
      <c r="LGL165" s="20"/>
      <c r="LGM165" s="20"/>
      <c r="LGN165" s="20"/>
      <c r="LGO165" s="21"/>
      <c r="LGP165" s="21"/>
      <c r="LGQ165" s="7"/>
      <c r="LGR165" s="7"/>
      <c r="LGS165" s="21"/>
      <c r="LGT165" s="20"/>
      <c r="LGU165" s="20"/>
      <c r="LGV165" s="20"/>
      <c r="LGW165" s="21"/>
      <c r="LGX165" s="21"/>
      <c r="LGY165" s="21"/>
      <c r="LGZ165" s="21"/>
      <c r="LHA165" s="21"/>
      <c r="LHB165" s="20"/>
      <c r="LHC165" s="20"/>
      <c r="LHD165" s="20"/>
      <c r="LHE165" s="20"/>
      <c r="LHF165" s="21"/>
      <c r="LHG165" s="21"/>
      <c r="LHH165" s="7"/>
      <c r="LHI165" s="7"/>
      <c r="LHJ165" s="21"/>
      <c r="LHK165" s="20"/>
      <c r="LHL165" s="20"/>
      <c r="LHM165" s="20"/>
      <c r="LHN165" s="21"/>
      <c r="LHO165" s="21"/>
      <c r="LHP165" s="21"/>
      <c r="LHQ165" s="21"/>
      <c r="LHR165" s="21"/>
      <c r="LHS165" s="20"/>
      <c r="LHT165" s="20"/>
      <c r="LHU165" s="20"/>
      <c r="LHV165" s="20"/>
      <c r="LHW165" s="21"/>
      <c r="LHX165" s="21"/>
      <c r="LHY165" s="7"/>
      <c r="LHZ165" s="7"/>
      <c r="LIA165" s="21"/>
      <c r="LIB165" s="20"/>
      <c r="LIC165" s="20"/>
      <c r="LID165" s="20"/>
      <c r="LIE165" s="21"/>
      <c r="LIF165" s="21"/>
      <c r="LIG165" s="21"/>
      <c r="LIH165" s="21"/>
      <c r="LII165" s="21"/>
      <c r="LIJ165" s="20"/>
      <c r="LIK165" s="20"/>
      <c r="LIL165" s="20"/>
      <c r="LIM165" s="20"/>
      <c r="LIN165" s="21"/>
      <c r="LIO165" s="21"/>
      <c r="LIP165" s="7"/>
      <c r="LIQ165" s="7"/>
      <c r="LIR165" s="21"/>
      <c r="LIS165" s="20"/>
      <c r="LIT165" s="20"/>
      <c r="LIU165" s="20"/>
      <c r="LIV165" s="21"/>
      <c r="LIW165" s="21"/>
      <c r="LIX165" s="21"/>
      <c r="LIY165" s="21"/>
      <c r="LIZ165" s="21"/>
      <c r="LJA165" s="20"/>
      <c r="LJB165" s="20"/>
      <c r="LJC165" s="20"/>
      <c r="LJD165" s="20"/>
      <c r="LJE165" s="21"/>
      <c r="LJF165" s="21"/>
      <c r="LJG165" s="7"/>
      <c r="LJH165" s="7"/>
      <c r="LJI165" s="21"/>
      <c r="LJJ165" s="20"/>
      <c r="LJK165" s="20"/>
      <c r="LJL165" s="20"/>
      <c r="LJM165" s="21"/>
      <c r="LJN165" s="21"/>
      <c r="LJO165" s="21"/>
      <c r="LJP165" s="21"/>
      <c r="LJQ165" s="21"/>
      <c r="LJR165" s="20"/>
      <c r="LJS165" s="20"/>
      <c r="LJT165" s="20"/>
      <c r="LJU165" s="20"/>
      <c r="LJV165" s="21"/>
      <c r="LJW165" s="21"/>
      <c r="LJX165" s="7"/>
      <c r="LJY165" s="7"/>
      <c r="LJZ165" s="21"/>
      <c r="LKA165" s="20"/>
      <c r="LKB165" s="20"/>
      <c r="LKC165" s="20"/>
      <c r="LKD165" s="21"/>
      <c r="LKE165" s="21"/>
      <c r="LKF165" s="21"/>
      <c r="LKG165" s="21"/>
      <c r="LKH165" s="21"/>
      <c r="LKI165" s="20"/>
      <c r="LKJ165" s="20"/>
      <c r="LKK165" s="20"/>
      <c r="LKL165" s="20"/>
      <c r="LKM165" s="21"/>
      <c r="LKN165" s="21"/>
      <c r="LKO165" s="7"/>
      <c r="LKP165" s="7"/>
      <c r="LKQ165" s="21"/>
      <c r="LKR165" s="20"/>
      <c r="LKS165" s="20"/>
      <c r="LKT165" s="20"/>
      <c r="LKU165" s="21"/>
      <c r="LKV165" s="21"/>
      <c r="LKW165" s="21"/>
      <c r="LKX165" s="21"/>
      <c r="LKY165" s="21"/>
      <c r="LKZ165" s="20"/>
      <c r="LLA165" s="20"/>
      <c r="LLB165" s="20"/>
      <c r="LLC165" s="20"/>
      <c r="LLD165" s="21"/>
      <c r="LLE165" s="21"/>
      <c r="LLF165" s="7"/>
      <c r="LLG165" s="7"/>
      <c r="LLH165" s="21"/>
      <c r="LLI165" s="20"/>
      <c r="LLJ165" s="20"/>
      <c r="LLK165" s="20"/>
      <c r="LLL165" s="21"/>
      <c r="LLM165" s="21"/>
      <c r="LLN165" s="21"/>
      <c r="LLO165" s="21"/>
      <c r="LLP165" s="21"/>
      <c r="LLQ165" s="20"/>
      <c r="LLR165" s="20"/>
      <c r="LLS165" s="20"/>
      <c r="LLT165" s="20"/>
      <c r="LLU165" s="21"/>
      <c r="LLV165" s="21"/>
      <c r="LLW165" s="7"/>
      <c r="LLX165" s="7"/>
      <c r="LLY165" s="21"/>
      <c r="LLZ165" s="20"/>
      <c r="LMA165" s="20"/>
      <c r="LMB165" s="20"/>
      <c r="LMC165" s="21"/>
      <c r="LMD165" s="21"/>
      <c r="LME165" s="21"/>
      <c r="LMF165" s="21"/>
      <c r="LMG165" s="21"/>
      <c r="LMH165" s="20"/>
      <c r="LMI165" s="20"/>
      <c r="LMJ165" s="20"/>
      <c r="LMK165" s="20"/>
      <c r="LML165" s="21"/>
      <c r="LMM165" s="21"/>
      <c r="LMN165" s="7"/>
      <c r="LMO165" s="7"/>
      <c r="LMP165" s="21"/>
      <c r="LMQ165" s="20"/>
      <c r="LMR165" s="20"/>
      <c r="LMS165" s="20"/>
      <c r="LMT165" s="21"/>
      <c r="LMU165" s="21"/>
      <c r="LMV165" s="21"/>
      <c r="LMW165" s="21"/>
      <c r="LMX165" s="21"/>
      <c r="LMY165" s="20"/>
      <c r="LMZ165" s="20"/>
      <c r="LNA165" s="20"/>
      <c r="LNB165" s="20"/>
      <c r="LNC165" s="21"/>
      <c r="LND165" s="21"/>
      <c r="LNE165" s="7"/>
      <c r="LNF165" s="7"/>
      <c r="LNG165" s="21"/>
      <c r="LNH165" s="20"/>
      <c r="LNI165" s="20"/>
      <c r="LNJ165" s="20"/>
      <c r="LNK165" s="21"/>
      <c r="LNL165" s="21"/>
      <c r="LNM165" s="21"/>
      <c r="LNN165" s="21"/>
      <c r="LNO165" s="21"/>
      <c r="LNP165" s="20"/>
      <c r="LNQ165" s="20"/>
      <c r="LNR165" s="20"/>
      <c r="LNS165" s="20"/>
      <c r="LNT165" s="21"/>
      <c r="LNU165" s="21"/>
      <c r="LNV165" s="7"/>
      <c r="LNW165" s="7"/>
      <c r="LNX165" s="21"/>
      <c r="LNY165" s="20"/>
      <c r="LNZ165" s="20"/>
      <c r="LOA165" s="20"/>
      <c r="LOB165" s="21"/>
      <c r="LOC165" s="21"/>
      <c r="LOD165" s="21"/>
      <c r="LOE165" s="21"/>
      <c r="LOF165" s="21"/>
      <c r="LOG165" s="20"/>
      <c r="LOH165" s="20"/>
      <c r="LOI165" s="20"/>
      <c r="LOJ165" s="20"/>
      <c r="LOK165" s="21"/>
      <c r="LOL165" s="21"/>
      <c r="LOM165" s="7"/>
      <c r="LON165" s="7"/>
      <c r="LOO165" s="21"/>
      <c r="LOP165" s="20"/>
      <c r="LOQ165" s="20"/>
      <c r="LOR165" s="20"/>
      <c r="LOS165" s="21"/>
      <c r="LOT165" s="21"/>
      <c r="LOU165" s="21"/>
      <c r="LOV165" s="21"/>
      <c r="LOW165" s="21"/>
      <c r="LOX165" s="20"/>
      <c r="LOY165" s="20"/>
      <c r="LOZ165" s="20"/>
      <c r="LPA165" s="20"/>
      <c r="LPB165" s="21"/>
      <c r="LPC165" s="21"/>
      <c r="LPD165" s="7"/>
      <c r="LPE165" s="7"/>
      <c r="LPF165" s="21"/>
      <c r="LPG165" s="20"/>
      <c r="LPH165" s="20"/>
      <c r="LPI165" s="20"/>
      <c r="LPJ165" s="21"/>
      <c r="LPK165" s="21"/>
      <c r="LPL165" s="21"/>
      <c r="LPM165" s="21"/>
      <c r="LPN165" s="21"/>
      <c r="LPO165" s="20"/>
      <c r="LPP165" s="20"/>
      <c r="LPQ165" s="20"/>
      <c r="LPR165" s="20"/>
      <c r="LPS165" s="21"/>
      <c r="LPT165" s="21"/>
      <c r="LPU165" s="7"/>
      <c r="LPV165" s="7"/>
      <c r="LPW165" s="21"/>
      <c r="LPX165" s="20"/>
      <c r="LPY165" s="20"/>
      <c r="LPZ165" s="20"/>
      <c r="LQA165" s="21"/>
      <c r="LQB165" s="21"/>
      <c r="LQC165" s="21"/>
      <c r="LQD165" s="21"/>
      <c r="LQE165" s="21"/>
      <c r="LQF165" s="20"/>
      <c r="LQG165" s="20"/>
      <c r="LQH165" s="20"/>
      <c r="LQI165" s="20"/>
      <c r="LQJ165" s="21"/>
      <c r="LQK165" s="21"/>
      <c r="LQL165" s="7"/>
      <c r="LQM165" s="7"/>
      <c r="LQN165" s="21"/>
      <c r="LQO165" s="20"/>
      <c r="LQP165" s="20"/>
      <c r="LQQ165" s="20"/>
      <c r="LQR165" s="21"/>
      <c r="LQS165" s="21"/>
      <c r="LQT165" s="21"/>
      <c r="LQU165" s="21"/>
      <c r="LQV165" s="21"/>
      <c r="LQW165" s="20"/>
      <c r="LQX165" s="20"/>
      <c r="LQY165" s="20"/>
      <c r="LQZ165" s="20"/>
      <c r="LRA165" s="21"/>
      <c r="LRB165" s="21"/>
      <c r="LRC165" s="7"/>
      <c r="LRD165" s="7"/>
      <c r="LRE165" s="21"/>
      <c r="LRF165" s="20"/>
      <c r="LRG165" s="20"/>
      <c r="LRH165" s="20"/>
      <c r="LRI165" s="21"/>
      <c r="LRJ165" s="21"/>
      <c r="LRK165" s="21"/>
      <c r="LRL165" s="21"/>
      <c r="LRM165" s="21"/>
      <c r="LRN165" s="20"/>
      <c r="LRO165" s="20"/>
      <c r="LRP165" s="20"/>
      <c r="LRQ165" s="20"/>
      <c r="LRR165" s="21"/>
      <c r="LRS165" s="21"/>
      <c r="LRT165" s="7"/>
      <c r="LRU165" s="7"/>
      <c r="LRV165" s="21"/>
      <c r="LRW165" s="20"/>
      <c r="LRX165" s="20"/>
      <c r="LRY165" s="20"/>
      <c r="LRZ165" s="21"/>
      <c r="LSA165" s="21"/>
      <c r="LSB165" s="21"/>
      <c r="LSC165" s="21"/>
      <c r="LSD165" s="21"/>
      <c r="LSE165" s="20"/>
      <c r="LSF165" s="20"/>
      <c r="LSG165" s="20"/>
      <c r="LSH165" s="20"/>
      <c r="LSI165" s="21"/>
      <c r="LSJ165" s="21"/>
      <c r="LSK165" s="7"/>
      <c r="LSL165" s="7"/>
      <c r="LSM165" s="21"/>
      <c r="LSN165" s="20"/>
      <c r="LSO165" s="20"/>
      <c r="LSP165" s="20"/>
      <c r="LSQ165" s="21"/>
      <c r="LSR165" s="21"/>
      <c r="LSS165" s="21"/>
      <c r="LST165" s="21"/>
      <c r="LSU165" s="21"/>
      <c r="LSV165" s="20"/>
      <c r="LSW165" s="20"/>
      <c r="LSX165" s="20"/>
      <c r="LSY165" s="20"/>
      <c r="LSZ165" s="21"/>
      <c r="LTA165" s="21"/>
      <c r="LTB165" s="7"/>
      <c r="LTC165" s="7"/>
      <c r="LTD165" s="21"/>
      <c r="LTE165" s="20"/>
      <c r="LTF165" s="20"/>
      <c r="LTG165" s="20"/>
      <c r="LTH165" s="21"/>
      <c r="LTI165" s="21"/>
      <c r="LTJ165" s="21"/>
      <c r="LTK165" s="21"/>
      <c r="LTL165" s="21"/>
      <c r="LTM165" s="20"/>
      <c r="LTN165" s="20"/>
      <c r="LTO165" s="20"/>
      <c r="LTP165" s="20"/>
      <c r="LTQ165" s="21"/>
      <c r="LTR165" s="21"/>
      <c r="LTS165" s="7"/>
      <c r="LTT165" s="7"/>
      <c r="LTU165" s="21"/>
      <c r="LTV165" s="20"/>
      <c r="LTW165" s="20"/>
      <c r="LTX165" s="20"/>
      <c r="LTY165" s="21"/>
      <c r="LTZ165" s="21"/>
      <c r="LUA165" s="21"/>
      <c r="LUB165" s="21"/>
      <c r="LUC165" s="21"/>
      <c r="LUD165" s="20"/>
      <c r="LUE165" s="20"/>
      <c r="LUF165" s="20"/>
      <c r="LUG165" s="20"/>
      <c r="LUH165" s="21"/>
      <c r="LUI165" s="21"/>
      <c r="LUJ165" s="7"/>
      <c r="LUK165" s="7"/>
      <c r="LUL165" s="21"/>
      <c r="LUM165" s="20"/>
      <c r="LUN165" s="20"/>
      <c r="LUO165" s="20"/>
      <c r="LUP165" s="21"/>
      <c r="LUQ165" s="21"/>
      <c r="LUR165" s="21"/>
      <c r="LUS165" s="21"/>
      <c r="LUT165" s="21"/>
      <c r="LUU165" s="20"/>
      <c r="LUV165" s="20"/>
      <c r="LUW165" s="20"/>
      <c r="LUX165" s="20"/>
      <c r="LUY165" s="21"/>
      <c r="LUZ165" s="21"/>
      <c r="LVA165" s="7"/>
      <c r="LVB165" s="7"/>
      <c r="LVC165" s="21"/>
      <c r="LVD165" s="20"/>
      <c r="LVE165" s="20"/>
      <c r="LVF165" s="20"/>
      <c r="LVG165" s="21"/>
      <c r="LVH165" s="21"/>
      <c r="LVI165" s="21"/>
      <c r="LVJ165" s="21"/>
      <c r="LVK165" s="21"/>
      <c r="LVL165" s="20"/>
      <c r="LVM165" s="20"/>
      <c r="LVN165" s="20"/>
      <c r="LVO165" s="20"/>
      <c r="LVP165" s="21"/>
      <c r="LVQ165" s="21"/>
      <c r="LVR165" s="7"/>
      <c r="LVS165" s="7"/>
      <c r="LVT165" s="21"/>
      <c r="LVU165" s="20"/>
      <c r="LVV165" s="20"/>
      <c r="LVW165" s="20"/>
      <c r="LVX165" s="21"/>
      <c r="LVY165" s="21"/>
      <c r="LVZ165" s="21"/>
      <c r="LWA165" s="21"/>
      <c r="LWB165" s="21"/>
      <c r="LWC165" s="20"/>
      <c r="LWD165" s="20"/>
      <c r="LWE165" s="20"/>
      <c r="LWF165" s="20"/>
      <c r="LWG165" s="21"/>
      <c r="LWH165" s="21"/>
      <c r="LWI165" s="7"/>
      <c r="LWJ165" s="7"/>
      <c r="LWK165" s="21"/>
      <c r="LWL165" s="20"/>
      <c r="LWM165" s="20"/>
      <c r="LWN165" s="20"/>
      <c r="LWO165" s="21"/>
      <c r="LWP165" s="21"/>
      <c r="LWQ165" s="21"/>
      <c r="LWR165" s="21"/>
      <c r="LWS165" s="21"/>
      <c r="LWT165" s="20"/>
      <c r="LWU165" s="20"/>
      <c r="LWV165" s="20"/>
      <c r="LWW165" s="20"/>
      <c r="LWX165" s="21"/>
      <c r="LWY165" s="21"/>
      <c r="LWZ165" s="7"/>
      <c r="LXA165" s="7"/>
      <c r="LXB165" s="21"/>
      <c r="LXC165" s="20"/>
      <c r="LXD165" s="20"/>
      <c r="LXE165" s="20"/>
      <c r="LXF165" s="21"/>
      <c r="LXG165" s="21"/>
      <c r="LXH165" s="21"/>
      <c r="LXI165" s="21"/>
      <c r="LXJ165" s="21"/>
      <c r="LXK165" s="20"/>
      <c r="LXL165" s="20"/>
      <c r="LXM165" s="20"/>
      <c r="LXN165" s="20"/>
      <c r="LXO165" s="21"/>
      <c r="LXP165" s="21"/>
      <c r="LXQ165" s="7"/>
      <c r="LXR165" s="7"/>
      <c r="LXS165" s="21"/>
      <c r="LXT165" s="20"/>
      <c r="LXU165" s="20"/>
      <c r="LXV165" s="20"/>
      <c r="LXW165" s="21"/>
      <c r="LXX165" s="21"/>
      <c r="LXY165" s="21"/>
      <c r="LXZ165" s="21"/>
      <c r="LYA165" s="21"/>
      <c r="LYB165" s="20"/>
      <c r="LYC165" s="20"/>
      <c r="LYD165" s="20"/>
      <c r="LYE165" s="20"/>
      <c r="LYF165" s="21"/>
      <c r="LYG165" s="21"/>
      <c r="LYH165" s="7"/>
      <c r="LYI165" s="7"/>
      <c r="LYJ165" s="21"/>
      <c r="LYK165" s="20"/>
      <c r="LYL165" s="20"/>
      <c r="LYM165" s="20"/>
      <c r="LYN165" s="21"/>
      <c r="LYO165" s="21"/>
      <c r="LYP165" s="21"/>
      <c r="LYQ165" s="21"/>
      <c r="LYR165" s="21"/>
      <c r="LYS165" s="20"/>
      <c r="LYT165" s="20"/>
      <c r="LYU165" s="20"/>
      <c r="LYV165" s="20"/>
      <c r="LYW165" s="21"/>
      <c r="LYX165" s="21"/>
      <c r="LYY165" s="7"/>
      <c r="LYZ165" s="7"/>
      <c r="LZA165" s="21"/>
      <c r="LZB165" s="20"/>
      <c r="LZC165" s="20"/>
      <c r="LZD165" s="20"/>
      <c r="LZE165" s="21"/>
      <c r="LZF165" s="21"/>
      <c r="LZG165" s="21"/>
      <c r="LZH165" s="21"/>
      <c r="LZI165" s="21"/>
      <c r="LZJ165" s="20"/>
      <c r="LZK165" s="20"/>
      <c r="LZL165" s="20"/>
      <c r="LZM165" s="20"/>
      <c r="LZN165" s="21"/>
      <c r="LZO165" s="21"/>
      <c r="LZP165" s="7"/>
      <c r="LZQ165" s="7"/>
      <c r="LZR165" s="21"/>
      <c r="LZS165" s="20"/>
      <c r="LZT165" s="20"/>
      <c r="LZU165" s="20"/>
      <c r="LZV165" s="21"/>
      <c r="LZW165" s="21"/>
      <c r="LZX165" s="21"/>
      <c r="LZY165" s="21"/>
      <c r="LZZ165" s="21"/>
      <c r="MAA165" s="20"/>
      <c r="MAB165" s="20"/>
      <c r="MAC165" s="20"/>
      <c r="MAD165" s="20"/>
      <c r="MAE165" s="21"/>
      <c r="MAF165" s="21"/>
      <c r="MAG165" s="7"/>
      <c r="MAH165" s="7"/>
      <c r="MAI165" s="21"/>
      <c r="MAJ165" s="20"/>
      <c r="MAK165" s="20"/>
      <c r="MAL165" s="20"/>
      <c r="MAM165" s="21"/>
      <c r="MAN165" s="21"/>
      <c r="MAO165" s="21"/>
      <c r="MAP165" s="21"/>
      <c r="MAQ165" s="21"/>
      <c r="MAR165" s="20"/>
      <c r="MAS165" s="20"/>
      <c r="MAT165" s="20"/>
      <c r="MAU165" s="20"/>
      <c r="MAV165" s="21"/>
      <c r="MAW165" s="21"/>
      <c r="MAX165" s="7"/>
      <c r="MAY165" s="7"/>
      <c r="MAZ165" s="21"/>
      <c r="MBA165" s="20"/>
      <c r="MBB165" s="20"/>
      <c r="MBC165" s="20"/>
      <c r="MBD165" s="21"/>
      <c r="MBE165" s="21"/>
      <c r="MBF165" s="21"/>
      <c r="MBG165" s="21"/>
      <c r="MBH165" s="21"/>
      <c r="MBI165" s="20"/>
      <c r="MBJ165" s="20"/>
      <c r="MBK165" s="20"/>
      <c r="MBL165" s="20"/>
      <c r="MBM165" s="21"/>
      <c r="MBN165" s="21"/>
      <c r="MBO165" s="7"/>
      <c r="MBP165" s="7"/>
      <c r="MBQ165" s="21"/>
      <c r="MBR165" s="20"/>
      <c r="MBS165" s="20"/>
      <c r="MBT165" s="20"/>
      <c r="MBU165" s="21"/>
      <c r="MBV165" s="21"/>
      <c r="MBW165" s="21"/>
      <c r="MBX165" s="21"/>
      <c r="MBY165" s="21"/>
      <c r="MBZ165" s="20"/>
      <c r="MCA165" s="20"/>
      <c r="MCB165" s="20"/>
      <c r="MCC165" s="20"/>
      <c r="MCD165" s="21"/>
      <c r="MCE165" s="21"/>
      <c r="MCF165" s="7"/>
      <c r="MCG165" s="7"/>
      <c r="MCH165" s="21"/>
      <c r="MCI165" s="20"/>
      <c r="MCJ165" s="20"/>
      <c r="MCK165" s="20"/>
      <c r="MCL165" s="21"/>
      <c r="MCM165" s="21"/>
      <c r="MCN165" s="21"/>
      <c r="MCO165" s="21"/>
      <c r="MCP165" s="21"/>
      <c r="MCQ165" s="20"/>
      <c r="MCR165" s="20"/>
      <c r="MCS165" s="20"/>
      <c r="MCT165" s="20"/>
      <c r="MCU165" s="21"/>
      <c r="MCV165" s="21"/>
      <c r="MCW165" s="7"/>
      <c r="MCX165" s="7"/>
      <c r="MCY165" s="21"/>
      <c r="MCZ165" s="20"/>
      <c r="MDA165" s="20"/>
      <c r="MDB165" s="20"/>
      <c r="MDC165" s="21"/>
      <c r="MDD165" s="21"/>
      <c r="MDE165" s="21"/>
      <c r="MDF165" s="21"/>
      <c r="MDG165" s="21"/>
      <c r="MDH165" s="20"/>
      <c r="MDI165" s="20"/>
      <c r="MDJ165" s="20"/>
      <c r="MDK165" s="20"/>
      <c r="MDL165" s="21"/>
      <c r="MDM165" s="21"/>
      <c r="MDN165" s="7"/>
      <c r="MDO165" s="7"/>
      <c r="MDP165" s="21"/>
      <c r="MDQ165" s="20"/>
      <c r="MDR165" s="20"/>
      <c r="MDS165" s="20"/>
      <c r="MDT165" s="21"/>
      <c r="MDU165" s="21"/>
      <c r="MDV165" s="21"/>
      <c r="MDW165" s="21"/>
      <c r="MDX165" s="21"/>
      <c r="MDY165" s="20"/>
      <c r="MDZ165" s="20"/>
      <c r="MEA165" s="20"/>
      <c r="MEB165" s="20"/>
      <c r="MEC165" s="21"/>
      <c r="MED165" s="21"/>
      <c r="MEE165" s="7"/>
      <c r="MEF165" s="7"/>
      <c r="MEG165" s="21"/>
      <c r="MEH165" s="20"/>
      <c r="MEI165" s="20"/>
      <c r="MEJ165" s="20"/>
      <c r="MEK165" s="21"/>
      <c r="MEL165" s="21"/>
      <c r="MEM165" s="21"/>
      <c r="MEN165" s="21"/>
      <c r="MEO165" s="21"/>
      <c r="MEP165" s="20"/>
      <c r="MEQ165" s="20"/>
      <c r="MER165" s="20"/>
      <c r="MES165" s="20"/>
      <c r="MET165" s="21"/>
      <c r="MEU165" s="21"/>
      <c r="MEV165" s="7"/>
      <c r="MEW165" s="7"/>
      <c r="MEX165" s="21"/>
      <c r="MEY165" s="20"/>
      <c r="MEZ165" s="20"/>
      <c r="MFA165" s="20"/>
      <c r="MFB165" s="21"/>
      <c r="MFC165" s="21"/>
      <c r="MFD165" s="21"/>
      <c r="MFE165" s="21"/>
      <c r="MFF165" s="21"/>
      <c r="MFG165" s="20"/>
      <c r="MFH165" s="20"/>
      <c r="MFI165" s="20"/>
      <c r="MFJ165" s="20"/>
      <c r="MFK165" s="21"/>
      <c r="MFL165" s="21"/>
      <c r="MFM165" s="7"/>
      <c r="MFN165" s="7"/>
      <c r="MFO165" s="21"/>
      <c r="MFP165" s="20"/>
      <c r="MFQ165" s="20"/>
      <c r="MFR165" s="20"/>
      <c r="MFS165" s="21"/>
      <c r="MFT165" s="21"/>
      <c r="MFU165" s="21"/>
      <c r="MFV165" s="21"/>
      <c r="MFW165" s="21"/>
      <c r="MFX165" s="20"/>
      <c r="MFY165" s="20"/>
      <c r="MFZ165" s="20"/>
      <c r="MGA165" s="20"/>
      <c r="MGB165" s="21"/>
      <c r="MGC165" s="21"/>
      <c r="MGD165" s="7"/>
      <c r="MGE165" s="7"/>
      <c r="MGF165" s="21"/>
      <c r="MGG165" s="20"/>
      <c r="MGH165" s="20"/>
      <c r="MGI165" s="20"/>
      <c r="MGJ165" s="21"/>
      <c r="MGK165" s="21"/>
      <c r="MGL165" s="21"/>
      <c r="MGM165" s="21"/>
      <c r="MGN165" s="21"/>
      <c r="MGO165" s="20"/>
      <c r="MGP165" s="20"/>
      <c r="MGQ165" s="20"/>
      <c r="MGR165" s="20"/>
      <c r="MGS165" s="21"/>
      <c r="MGT165" s="21"/>
      <c r="MGU165" s="7"/>
      <c r="MGV165" s="7"/>
      <c r="MGW165" s="21"/>
      <c r="MGX165" s="20"/>
      <c r="MGY165" s="20"/>
      <c r="MGZ165" s="20"/>
      <c r="MHA165" s="21"/>
      <c r="MHB165" s="21"/>
      <c r="MHC165" s="21"/>
      <c r="MHD165" s="21"/>
      <c r="MHE165" s="21"/>
      <c r="MHF165" s="20"/>
      <c r="MHG165" s="20"/>
      <c r="MHH165" s="20"/>
      <c r="MHI165" s="20"/>
      <c r="MHJ165" s="21"/>
      <c r="MHK165" s="21"/>
      <c r="MHL165" s="7"/>
      <c r="MHM165" s="7"/>
      <c r="MHN165" s="21"/>
      <c r="MHO165" s="20"/>
      <c r="MHP165" s="20"/>
      <c r="MHQ165" s="20"/>
      <c r="MHR165" s="21"/>
      <c r="MHS165" s="21"/>
      <c r="MHT165" s="21"/>
      <c r="MHU165" s="21"/>
      <c r="MHV165" s="21"/>
      <c r="MHW165" s="20"/>
      <c r="MHX165" s="20"/>
      <c r="MHY165" s="20"/>
      <c r="MHZ165" s="20"/>
      <c r="MIA165" s="21"/>
      <c r="MIB165" s="21"/>
      <c r="MIC165" s="7"/>
      <c r="MID165" s="7"/>
      <c r="MIE165" s="21"/>
      <c r="MIF165" s="20"/>
      <c r="MIG165" s="20"/>
      <c r="MIH165" s="20"/>
      <c r="MII165" s="21"/>
      <c r="MIJ165" s="21"/>
      <c r="MIK165" s="21"/>
      <c r="MIL165" s="21"/>
      <c r="MIM165" s="21"/>
      <c r="MIN165" s="20"/>
      <c r="MIO165" s="20"/>
      <c r="MIP165" s="20"/>
      <c r="MIQ165" s="20"/>
      <c r="MIR165" s="21"/>
      <c r="MIS165" s="21"/>
      <c r="MIT165" s="7"/>
      <c r="MIU165" s="7"/>
      <c r="MIV165" s="21"/>
      <c r="MIW165" s="20"/>
      <c r="MIX165" s="20"/>
      <c r="MIY165" s="20"/>
      <c r="MIZ165" s="21"/>
      <c r="MJA165" s="21"/>
      <c r="MJB165" s="21"/>
      <c r="MJC165" s="21"/>
      <c r="MJD165" s="21"/>
      <c r="MJE165" s="20"/>
      <c r="MJF165" s="20"/>
      <c r="MJG165" s="20"/>
      <c r="MJH165" s="20"/>
      <c r="MJI165" s="21"/>
      <c r="MJJ165" s="21"/>
      <c r="MJK165" s="7"/>
      <c r="MJL165" s="7"/>
      <c r="MJM165" s="21"/>
      <c r="MJN165" s="20"/>
      <c r="MJO165" s="20"/>
      <c r="MJP165" s="20"/>
      <c r="MJQ165" s="21"/>
      <c r="MJR165" s="21"/>
      <c r="MJS165" s="21"/>
      <c r="MJT165" s="21"/>
      <c r="MJU165" s="21"/>
      <c r="MJV165" s="20"/>
      <c r="MJW165" s="20"/>
      <c r="MJX165" s="20"/>
      <c r="MJY165" s="20"/>
      <c r="MJZ165" s="21"/>
      <c r="MKA165" s="21"/>
      <c r="MKB165" s="7"/>
      <c r="MKC165" s="7"/>
      <c r="MKD165" s="21"/>
      <c r="MKE165" s="20"/>
      <c r="MKF165" s="20"/>
      <c r="MKG165" s="20"/>
      <c r="MKH165" s="21"/>
      <c r="MKI165" s="21"/>
      <c r="MKJ165" s="21"/>
      <c r="MKK165" s="21"/>
      <c r="MKL165" s="21"/>
      <c r="MKM165" s="20"/>
      <c r="MKN165" s="20"/>
      <c r="MKO165" s="20"/>
      <c r="MKP165" s="20"/>
      <c r="MKQ165" s="21"/>
      <c r="MKR165" s="21"/>
      <c r="MKS165" s="7"/>
      <c r="MKT165" s="7"/>
      <c r="MKU165" s="21"/>
      <c r="MKV165" s="20"/>
      <c r="MKW165" s="20"/>
      <c r="MKX165" s="20"/>
      <c r="MKY165" s="21"/>
      <c r="MKZ165" s="21"/>
      <c r="MLA165" s="21"/>
      <c r="MLB165" s="21"/>
      <c r="MLC165" s="21"/>
      <c r="MLD165" s="20"/>
      <c r="MLE165" s="20"/>
      <c r="MLF165" s="20"/>
      <c r="MLG165" s="20"/>
      <c r="MLH165" s="21"/>
      <c r="MLI165" s="21"/>
      <c r="MLJ165" s="7"/>
      <c r="MLK165" s="7"/>
      <c r="MLL165" s="21"/>
      <c r="MLM165" s="20"/>
      <c r="MLN165" s="20"/>
      <c r="MLO165" s="20"/>
      <c r="MLP165" s="21"/>
      <c r="MLQ165" s="21"/>
      <c r="MLR165" s="21"/>
      <c r="MLS165" s="21"/>
      <c r="MLT165" s="21"/>
      <c r="MLU165" s="20"/>
      <c r="MLV165" s="20"/>
      <c r="MLW165" s="20"/>
      <c r="MLX165" s="20"/>
      <c r="MLY165" s="21"/>
      <c r="MLZ165" s="21"/>
      <c r="MMA165" s="7"/>
      <c r="MMB165" s="7"/>
      <c r="MMC165" s="21"/>
      <c r="MMD165" s="20"/>
      <c r="MME165" s="20"/>
      <c r="MMF165" s="20"/>
      <c r="MMG165" s="21"/>
      <c r="MMH165" s="21"/>
      <c r="MMI165" s="21"/>
      <c r="MMJ165" s="21"/>
      <c r="MMK165" s="21"/>
      <c r="MML165" s="20"/>
      <c r="MMM165" s="20"/>
      <c r="MMN165" s="20"/>
      <c r="MMO165" s="20"/>
      <c r="MMP165" s="21"/>
      <c r="MMQ165" s="21"/>
      <c r="MMR165" s="7"/>
      <c r="MMS165" s="7"/>
      <c r="MMT165" s="21"/>
      <c r="MMU165" s="20"/>
      <c r="MMV165" s="20"/>
      <c r="MMW165" s="20"/>
      <c r="MMX165" s="21"/>
      <c r="MMY165" s="21"/>
      <c r="MMZ165" s="21"/>
      <c r="MNA165" s="21"/>
      <c r="MNB165" s="21"/>
      <c r="MNC165" s="20"/>
      <c r="MND165" s="20"/>
      <c r="MNE165" s="20"/>
      <c r="MNF165" s="20"/>
      <c r="MNG165" s="21"/>
      <c r="MNH165" s="21"/>
      <c r="MNI165" s="7"/>
      <c r="MNJ165" s="7"/>
      <c r="MNK165" s="21"/>
      <c r="MNL165" s="20"/>
      <c r="MNM165" s="20"/>
      <c r="MNN165" s="20"/>
      <c r="MNO165" s="21"/>
      <c r="MNP165" s="21"/>
      <c r="MNQ165" s="21"/>
      <c r="MNR165" s="21"/>
      <c r="MNS165" s="21"/>
      <c r="MNT165" s="20"/>
      <c r="MNU165" s="20"/>
      <c r="MNV165" s="20"/>
      <c r="MNW165" s="20"/>
      <c r="MNX165" s="21"/>
      <c r="MNY165" s="21"/>
      <c r="MNZ165" s="7"/>
      <c r="MOA165" s="7"/>
      <c r="MOB165" s="21"/>
      <c r="MOC165" s="20"/>
      <c r="MOD165" s="20"/>
      <c r="MOE165" s="20"/>
      <c r="MOF165" s="21"/>
      <c r="MOG165" s="21"/>
      <c r="MOH165" s="21"/>
      <c r="MOI165" s="21"/>
      <c r="MOJ165" s="21"/>
      <c r="MOK165" s="20"/>
      <c r="MOL165" s="20"/>
      <c r="MOM165" s="20"/>
      <c r="MON165" s="20"/>
      <c r="MOO165" s="21"/>
      <c r="MOP165" s="21"/>
      <c r="MOQ165" s="7"/>
      <c r="MOR165" s="7"/>
      <c r="MOS165" s="21"/>
      <c r="MOT165" s="20"/>
      <c r="MOU165" s="20"/>
      <c r="MOV165" s="20"/>
      <c r="MOW165" s="21"/>
      <c r="MOX165" s="21"/>
      <c r="MOY165" s="21"/>
      <c r="MOZ165" s="21"/>
      <c r="MPA165" s="21"/>
      <c r="MPB165" s="20"/>
      <c r="MPC165" s="20"/>
      <c r="MPD165" s="20"/>
      <c r="MPE165" s="20"/>
      <c r="MPF165" s="21"/>
      <c r="MPG165" s="21"/>
      <c r="MPH165" s="7"/>
      <c r="MPI165" s="7"/>
      <c r="MPJ165" s="21"/>
      <c r="MPK165" s="20"/>
      <c r="MPL165" s="20"/>
      <c r="MPM165" s="20"/>
      <c r="MPN165" s="21"/>
      <c r="MPO165" s="21"/>
      <c r="MPP165" s="21"/>
      <c r="MPQ165" s="21"/>
      <c r="MPR165" s="21"/>
      <c r="MPS165" s="20"/>
      <c r="MPT165" s="20"/>
      <c r="MPU165" s="20"/>
      <c r="MPV165" s="20"/>
      <c r="MPW165" s="21"/>
      <c r="MPX165" s="21"/>
      <c r="MPY165" s="7"/>
      <c r="MPZ165" s="7"/>
      <c r="MQA165" s="21"/>
      <c r="MQB165" s="20"/>
      <c r="MQC165" s="20"/>
      <c r="MQD165" s="20"/>
      <c r="MQE165" s="21"/>
      <c r="MQF165" s="21"/>
      <c r="MQG165" s="21"/>
      <c r="MQH165" s="21"/>
      <c r="MQI165" s="21"/>
      <c r="MQJ165" s="20"/>
      <c r="MQK165" s="20"/>
      <c r="MQL165" s="20"/>
      <c r="MQM165" s="20"/>
      <c r="MQN165" s="21"/>
      <c r="MQO165" s="21"/>
      <c r="MQP165" s="7"/>
      <c r="MQQ165" s="7"/>
      <c r="MQR165" s="21"/>
      <c r="MQS165" s="20"/>
      <c r="MQT165" s="20"/>
      <c r="MQU165" s="20"/>
      <c r="MQV165" s="21"/>
      <c r="MQW165" s="21"/>
      <c r="MQX165" s="21"/>
      <c r="MQY165" s="21"/>
      <c r="MQZ165" s="21"/>
      <c r="MRA165" s="20"/>
      <c r="MRB165" s="20"/>
      <c r="MRC165" s="20"/>
      <c r="MRD165" s="20"/>
      <c r="MRE165" s="21"/>
      <c r="MRF165" s="21"/>
      <c r="MRG165" s="7"/>
      <c r="MRH165" s="7"/>
      <c r="MRI165" s="21"/>
      <c r="MRJ165" s="20"/>
      <c r="MRK165" s="20"/>
      <c r="MRL165" s="20"/>
      <c r="MRM165" s="21"/>
      <c r="MRN165" s="21"/>
      <c r="MRO165" s="21"/>
      <c r="MRP165" s="21"/>
      <c r="MRQ165" s="21"/>
      <c r="MRR165" s="20"/>
      <c r="MRS165" s="20"/>
      <c r="MRT165" s="20"/>
      <c r="MRU165" s="20"/>
      <c r="MRV165" s="21"/>
      <c r="MRW165" s="21"/>
      <c r="MRX165" s="7"/>
      <c r="MRY165" s="7"/>
      <c r="MRZ165" s="21"/>
      <c r="MSA165" s="20"/>
      <c r="MSB165" s="20"/>
      <c r="MSC165" s="20"/>
      <c r="MSD165" s="21"/>
      <c r="MSE165" s="21"/>
      <c r="MSF165" s="21"/>
      <c r="MSG165" s="21"/>
      <c r="MSH165" s="21"/>
      <c r="MSI165" s="20"/>
      <c r="MSJ165" s="20"/>
      <c r="MSK165" s="20"/>
      <c r="MSL165" s="20"/>
      <c r="MSM165" s="21"/>
      <c r="MSN165" s="21"/>
      <c r="MSO165" s="7"/>
      <c r="MSP165" s="7"/>
      <c r="MSQ165" s="21"/>
      <c r="MSR165" s="20"/>
      <c r="MSS165" s="20"/>
      <c r="MST165" s="20"/>
      <c r="MSU165" s="21"/>
      <c r="MSV165" s="21"/>
      <c r="MSW165" s="21"/>
      <c r="MSX165" s="21"/>
      <c r="MSY165" s="21"/>
      <c r="MSZ165" s="20"/>
      <c r="MTA165" s="20"/>
      <c r="MTB165" s="20"/>
      <c r="MTC165" s="20"/>
      <c r="MTD165" s="21"/>
      <c r="MTE165" s="21"/>
      <c r="MTF165" s="7"/>
      <c r="MTG165" s="7"/>
      <c r="MTH165" s="21"/>
      <c r="MTI165" s="20"/>
      <c r="MTJ165" s="20"/>
      <c r="MTK165" s="20"/>
      <c r="MTL165" s="21"/>
      <c r="MTM165" s="21"/>
      <c r="MTN165" s="21"/>
      <c r="MTO165" s="21"/>
      <c r="MTP165" s="21"/>
      <c r="MTQ165" s="20"/>
      <c r="MTR165" s="20"/>
      <c r="MTS165" s="20"/>
      <c r="MTT165" s="20"/>
      <c r="MTU165" s="21"/>
      <c r="MTV165" s="21"/>
      <c r="MTW165" s="7"/>
      <c r="MTX165" s="7"/>
      <c r="MTY165" s="21"/>
      <c r="MTZ165" s="20"/>
      <c r="MUA165" s="20"/>
      <c r="MUB165" s="20"/>
      <c r="MUC165" s="21"/>
      <c r="MUD165" s="21"/>
      <c r="MUE165" s="21"/>
      <c r="MUF165" s="21"/>
      <c r="MUG165" s="21"/>
      <c r="MUH165" s="20"/>
      <c r="MUI165" s="20"/>
      <c r="MUJ165" s="20"/>
      <c r="MUK165" s="20"/>
      <c r="MUL165" s="21"/>
      <c r="MUM165" s="21"/>
      <c r="MUN165" s="7"/>
      <c r="MUO165" s="7"/>
      <c r="MUP165" s="21"/>
      <c r="MUQ165" s="20"/>
      <c r="MUR165" s="20"/>
      <c r="MUS165" s="20"/>
      <c r="MUT165" s="21"/>
      <c r="MUU165" s="21"/>
      <c r="MUV165" s="21"/>
      <c r="MUW165" s="21"/>
      <c r="MUX165" s="21"/>
      <c r="MUY165" s="20"/>
      <c r="MUZ165" s="20"/>
      <c r="MVA165" s="20"/>
      <c r="MVB165" s="20"/>
      <c r="MVC165" s="21"/>
      <c r="MVD165" s="21"/>
      <c r="MVE165" s="7"/>
      <c r="MVF165" s="7"/>
      <c r="MVG165" s="21"/>
      <c r="MVH165" s="20"/>
      <c r="MVI165" s="20"/>
      <c r="MVJ165" s="20"/>
      <c r="MVK165" s="21"/>
      <c r="MVL165" s="21"/>
      <c r="MVM165" s="21"/>
      <c r="MVN165" s="21"/>
      <c r="MVO165" s="21"/>
      <c r="MVP165" s="20"/>
      <c r="MVQ165" s="20"/>
      <c r="MVR165" s="20"/>
      <c r="MVS165" s="20"/>
      <c r="MVT165" s="21"/>
      <c r="MVU165" s="21"/>
      <c r="MVV165" s="7"/>
      <c r="MVW165" s="7"/>
      <c r="MVX165" s="21"/>
      <c r="MVY165" s="20"/>
      <c r="MVZ165" s="20"/>
      <c r="MWA165" s="20"/>
      <c r="MWB165" s="21"/>
      <c r="MWC165" s="21"/>
      <c r="MWD165" s="21"/>
      <c r="MWE165" s="21"/>
      <c r="MWF165" s="21"/>
      <c r="MWG165" s="20"/>
      <c r="MWH165" s="20"/>
      <c r="MWI165" s="20"/>
      <c r="MWJ165" s="20"/>
      <c r="MWK165" s="21"/>
      <c r="MWL165" s="21"/>
      <c r="MWM165" s="7"/>
      <c r="MWN165" s="7"/>
      <c r="MWO165" s="21"/>
      <c r="MWP165" s="20"/>
      <c r="MWQ165" s="20"/>
      <c r="MWR165" s="20"/>
      <c r="MWS165" s="21"/>
      <c r="MWT165" s="21"/>
      <c r="MWU165" s="21"/>
      <c r="MWV165" s="21"/>
      <c r="MWW165" s="21"/>
      <c r="MWX165" s="20"/>
      <c r="MWY165" s="20"/>
      <c r="MWZ165" s="20"/>
      <c r="MXA165" s="20"/>
      <c r="MXB165" s="21"/>
      <c r="MXC165" s="21"/>
      <c r="MXD165" s="7"/>
      <c r="MXE165" s="7"/>
      <c r="MXF165" s="21"/>
      <c r="MXG165" s="20"/>
      <c r="MXH165" s="20"/>
      <c r="MXI165" s="20"/>
      <c r="MXJ165" s="21"/>
      <c r="MXK165" s="21"/>
      <c r="MXL165" s="21"/>
      <c r="MXM165" s="21"/>
      <c r="MXN165" s="21"/>
      <c r="MXO165" s="20"/>
      <c r="MXP165" s="20"/>
      <c r="MXQ165" s="20"/>
      <c r="MXR165" s="20"/>
      <c r="MXS165" s="21"/>
      <c r="MXT165" s="21"/>
      <c r="MXU165" s="7"/>
      <c r="MXV165" s="7"/>
      <c r="MXW165" s="21"/>
      <c r="MXX165" s="20"/>
      <c r="MXY165" s="20"/>
      <c r="MXZ165" s="20"/>
      <c r="MYA165" s="21"/>
      <c r="MYB165" s="21"/>
      <c r="MYC165" s="21"/>
      <c r="MYD165" s="21"/>
      <c r="MYE165" s="21"/>
      <c r="MYF165" s="20"/>
      <c r="MYG165" s="20"/>
      <c r="MYH165" s="20"/>
      <c r="MYI165" s="20"/>
      <c r="MYJ165" s="21"/>
      <c r="MYK165" s="21"/>
      <c r="MYL165" s="7"/>
      <c r="MYM165" s="7"/>
      <c r="MYN165" s="21"/>
      <c r="MYO165" s="20"/>
      <c r="MYP165" s="20"/>
      <c r="MYQ165" s="20"/>
      <c r="MYR165" s="21"/>
      <c r="MYS165" s="21"/>
      <c r="MYT165" s="21"/>
      <c r="MYU165" s="21"/>
      <c r="MYV165" s="21"/>
      <c r="MYW165" s="20"/>
      <c r="MYX165" s="20"/>
      <c r="MYY165" s="20"/>
      <c r="MYZ165" s="20"/>
      <c r="MZA165" s="21"/>
      <c r="MZB165" s="21"/>
      <c r="MZC165" s="7"/>
      <c r="MZD165" s="7"/>
      <c r="MZE165" s="21"/>
      <c r="MZF165" s="20"/>
      <c r="MZG165" s="20"/>
      <c r="MZH165" s="20"/>
      <c r="MZI165" s="21"/>
      <c r="MZJ165" s="21"/>
      <c r="MZK165" s="21"/>
      <c r="MZL165" s="21"/>
      <c r="MZM165" s="21"/>
      <c r="MZN165" s="20"/>
      <c r="MZO165" s="20"/>
      <c r="MZP165" s="20"/>
      <c r="MZQ165" s="20"/>
      <c r="MZR165" s="21"/>
      <c r="MZS165" s="21"/>
      <c r="MZT165" s="7"/>
      <c r="MZU165" s="7"/>
      <c r="MZV165" s="21"/>
      <c r="MZW165" s="20"/>
      <c r="MZX165" s="20"/>
      <c r="MZY165" s="20"/>
      <c r="MZZ165" s="21"/>
      <c r="NAA165" s="21"/>
      <c r="NAB165" s="21"/>
      <c r="NAC165" s="21"/>
      <c r="NAD165" s="21"/>
      <c r="NAE165" s="20"/>
      <c r="NAF165" s="20"/>
      <c r="NAG165" s="20"/>
      <c r="NAH165" s="20"/>
      <c r="NAI165" s="21"/>
      <c r="NAJ165" s="21"/>
      <c r="NAK165" s="7"/>
      <c r="NAL165" s="7"/>
      <c r="NAM165" s="21"/>
      <c r="NAN165" s="20"/>
      <c r="NAO165" s="20"/>
      <c r="NAP165" s="20"/>
      <c r="NAQ165" s="21"/>
      <c r="NAR165" s="21"/>
      <c r="NAS165" s="21"/>
      <c r="NAT165" s="21"/>
      <c r="NAU165" s="21"/>
      <c r="NAV165" s="20"/>
      <c r="NAW165" s="20"/>
      <c r="NAX165" s="20"/>
      <c r="NAY165" s="20"/>
      <c r="NAZ165" s="21"/>
      <c r="NBA165" s="21"/>
      <c r="NBB165" s="7"/>
      <c r="NBC165" s="7"/>
      <c r="NBD165" s="21"/>
      <c r="NBE165" s="20"/>
      <c r="NBF165" s="20"/>
      <c r="NBG165" s="20"/>
      <c r="NBH165" s="21"/>
      <c r="NBI165" s="21"/>
      <c r="NBJ165" s="21"/>
      <c r="NBK165" s="21"/>
      <c r="NBL165" s="21"/>
      <c r="NBM165" s="20"/>
      <c r="NBN165" s="20"/>
      <c r="NBO165" s="20"/>
      <c r="NBP165" s="20"/>
      <c r="NBQ165" s="21"/>
      <c r="NBR165" s="21"/>
      <c r="NBS165" s="7"/>
      <c r="NBT165" s="7"/>
      <c r="NBU165" s="21"/>
      <c r="NBV165" s="20"/>
      <c r="NBW165" s="20"/>
      <c r="NBX165" s="20"/>
      <c r="NBY165" s="21"/>
      <c r="NBZ165" s="21"/>
      <c r="NCA165" s="21"/>
      <c r="NCB165" s="21"/>
      <c r="NCC165" s="21"/>
      <c r="NCD165" s="20"/>
      <c r="NCE165" s="20"/>
      <c r="NCF165" s="20"/>
      <c r="NCG165" s="20"/>
      <c r="NCH165" s="21"/>
      <c r="NCI165" s="21"/>
      <c r="NCJ165" s="7"/>
      <c r="NCK165" s="7"/>
      <c r="NCL165" s="21"/>
      <c r="NCM165" s="20"/>
      <c r="NCN165" s="20"/>
      <c r="NCO165" s="20"/>
      <c r="NCP165" s="21"/>
      <c r="NCQ165" s="21"/>
      <c r="NCR165" s="21"/>
      <c r="NCS165" s="21"/>
      <c r="NCT165" s="21"/>
      <c r="NCU165" s="20"/>
      <c r="NCV165" s="20"/>
      <c r="NCW165" s="20"/>
      <c r="NCX165" s="20"/>
      <c r="NCY165" s="21"/>
      <c r="NCZ165" s="21"/>
      <c r="NDA165" s="7"/>
      <c r="NDB165" s="7"/>
      <c r="NDC165" s="21"/>
      <c r="NDD165" s="20"/>
      <c r="NDE165" s="20"/>
      <c r="NDF165" s="20"/>
      <c r="NDG165" s="21"/>
      <c r="NDH165" s="21"/>
      <c r="NDI165" s="21"/>
      <c r="NDJ165" s="21"/>
      <c r="NDK165" s="21"/>
      <c r="NDL165" s="20"/>
      <c r="NDM165" s="20"/>
      <c r="NDN165" s="20"/>
      <c r="NDO165" s="20"/>
      <c r="NDP165" s="21"/>
      <c r="NDQ165" s="21"/>
      <c r="NDR165" s="7"/>
      <c r="NDS165" s="7"/>
      <c r="NDT165" s="21"/>
      <c r="NDU165" s="20"/>
      <c r="NDV165" s="20"/>
      <c r="NDW165" s="20"/>
      <c r="NDX165" s="21"/>
      <c r="NDY165" s="21"/>
      <c r="NDZ165" s="21"/>
      <c r="NEA165" s="21"/>
      <c r="NEB165" s="21"/>
      <c r="NEC165" s="20"/>
      <c r="NED165" s="20"/>
      <c r="NEE165" s="20"/>
      <c r="NEF165" s="20"/>
      <c r="NEG165" s="21"/>
      <c r="NEH165" s="21"/>
      <c r="NEI165" s="7"/>
      <c r="NEJ165" s="7"/>
      <c r="NEK165" s="21"/>
      <c r="NEL165" s="20"/>
      <c r="NEM165" s="20"/>
      <c r="NEN165" s="20"/>
      <c r="NEO165" s="21"/>
      <c r="NEP165" s="21"/>
      <c r="NEQ165" s="21"/>
      <c r="NER165" s="21"/>
      <c r="NES165" s="21"/>
      <c r="NET165" s="20"/>
      <c r="NEU165" s="20"/>
      <c r="NEV165" s="20"/>
      <c r="NEW165" s="20"/>
      <c r="NEX165" s="21"/>
      <c r="NEY165" s="21"/>
      <c r="NEZ165" s="7"/>
      <c r="NFA165" s="7"/>
      <c r="NFB165" s="21"/>
      <c r="NFC165" s="20"/>
      <c r="NFD165" s="20"/>
      <c r="NFE165" s="20"/>
      <c r="NFF165" s="21"/>
      <c r="NFG165" s="21"/>
      <c r="NFH165" s="21"/>
      <c r="NFI165" s="21"/>
      <c r="NFJ165" s="21"/>
      <c r="NFK165" s="20"/>
      <c r="NFL165" s="20"/>
      <c r="NFM165" s="20"/>
      <c r="NFN165" s="20"/>
      <c r="NFO165" s="21"/>
      <c r="NFP165" s="21"/>
      <c r="NFQ165" s="7"/>
      <c r="NFR165" s="7"/>
      <c r="NFS165" s="21"/>
      <c r="NFT165" s="20"/>
      <c r="NFU165" s="20"/>
      <c r="NFV165" s="20"/>
      <c r="NFW165" s="21"/>
      <c r="NFX165" s="21"/>
      <c r="NFY165" s="21"/>
      <c r="NFZ165" s="21"/>
      <c r="NGA165" s="21"/>
      <c r="NGB165" s="20"/>
      <c r="NGC165" s="20"/>
      <c r="NGD165" s="20"/>
      <c r="NGE165" s="20"/>
      <c r="NGF165" s="21"/>
      <c r="NGG165" s="21"/>
      <c r="NGH165" s="7"/>
      <c r="NGI165" s="7"/>
      <c r="NGJ165" s="21"/>
      <c r="NGK165" s="20"/>
      <c r="NGL165" s="20"/>
      <c r="NGM165" s="20"/>
      <c r="NGN165" s="21"/>
      <c r="NGO165" s="21"/>
      <c r="NGP165" s="21"/>
      <c r="NGQ165" s="21"/>
      <c r="NGR165" s="21"/>
      <c r="NGS165" s="20"/>
      <c r="NGT165" s="20"/>
      <c r="NGU165" s="20"/>
      <c r="NGV165" s="20"/>
      <c r="NGW165" s="21"/>
      <c r="NGX165" s="21"/>
      <c r="NGY165" s="7"/>
      <c r="NGZ165" s="7"/>
      <c r="NHA165" s="21"/>
      <c r="NHB165" s="20"/>
      <c r="NHC165" s="20"/>
      <c r="NHD165" s="20"/>
      <c r="NHE165" s="21"/>
      <c r="NHF165" s="21"/>
      <c r="NHG165" s="21"/>
      <c r="NHH165" s="21"/>
      <c r="NHI165" s="21"/>
      <c r="NHJ165" s="20"/>
      <c r="NHK165" s="20"/>
      <c r="NHL165" s="20"/>
      <c r="NHM165" s="20"/>
      <c r="NHN165" s="21"/>
      <c r="NHO165" s="21"/>
      <c r="NHP165" s="7"/>
      <c r="NHQ165" s="7"/>
      <c r="NHR165" s="21"/>
      <c r="NHS165" s="20"/>
      <c r="NHT165" s="20"/>
      <c r="NHU165" s="20"/>
      <c r="NHV165" s="21"/>
      <c r="NHW165" s="21"/>
      <c r="NHX165" s="21"/>
      <c r="NHY165" s="21"/>
      <c r="NHZ165" s="21"/>
      <c r="NIA165" s="20"/>
      <c r="NIB165" s="20"/>
      <c r="NIC165" s="20"/>
      <c r="NID165" s="20"/>
      <c r="NIE165" s="21"/>
      <c r="NIF165" s="21"/>
      <c r="NIG165" s="7"/>
      <c r="NIH165" s="7"/>
      <c r="NII165" s="21"/>
      <c r="NIJ165" s="20"/>
      <c r="NIK165" s="20"/>
      <c r="NIL165" s="20"/>
      <c r="NIM165" s="21"/>
      <c r="NIN165" s="21"/>
      <c r="NIO165" s="21"/>
      <c r="NIP165" s="21"/>
      <c r="NIQ165" s="21"/>
      <c r="NIR165" s="20"/>
      <c r="NIS165" s="20"/>
      <c r="NIT165" s="20"/>
      <c r="NIU165" s="20"/>
      <c r="NIV165" s="21"/>
      <c r="NIW165" s="21"/>
      <c r="NIX165" s="7"/>
      <c r="NIY165" s="7"/>
      <c r="NIZ165" s="21"/>
      <c r="NJA165" s="20"/>
      <c r="NJB165" s="20"/>
      <c r="NJC165" s="20"/>
      <c r="NJD165" s="21"/>
      <c r="NJE165" s="21"/>
      <c r="NJF165" s="21"/>
      <c r="NJG165" s="21"/>
      <c r="NJH165" s="21"/>
      <c r="NJI165" s="20"/>
      <c r="NJJ165" s="20"/>
      <c r="NJK165" s="20"/>
      <c r="NJL165" s="20"/>
      <c r="NJM165" s="21"/>
      <c r="NJN165" s="21"/>
      <c r="NJO165" s="7"/>
      <c r="NJP165" s="7"/>
      <c r="NJQ165" s="21"/>
      <c r="NJR165" s="20"/>
      <c r="NJS165" s="20"/>
      <c r="NJT165" s="20"/>
      <c r="NJU165" s="21"/>
      <c r="NJV165" s="21"/>
      <c r="NJW165" s="21"/>
      <c r="NJX165" s="21"/>
      <c r="NJY165" s="21"/>
      <c r="NJZ165" s="20"/>
      <c r="NKA165" s="20"/>
      <c r="NKB165" s="20"/>
      <c r="NKC165" s="20"/>
      <c r="NKD165" s="21"/>
      <c r="NKE165" s="21"/>
      <c r="NKF165" s="7"/>
      <c r="NKG165" s="7"/>
      <c r="NKH165" s="21"/>
      <c r="NKI165" s="20"/>
      <c r="NKJ165" s="20"/>
      <c r="NKK165" s="20"/>
      <c r="NKL165" s="21"/>
      <c r="NKM165" s="21"/>
      <c r="NKN165" s="21"/>
      <c r="NKO165" s="21"/>
      <c r="NKP165" s="21"/>
      <c r="NKQ165" s="20"/>
      <c r="NKR165" s="20"/>
      <c r="NKS165" s="20"/>
      <c r="NKT165" s="20"/>
      <c r="NKU165" s="21"/>
      <c r="NKV165" s="21"/>
      <c r="NKW165" s="7"/>
      <c r="NKX165" s="7"/>
      <c r="NKY165" s="21"/>
      <c r="NKZ165" s="20"/>
      <c r="NLA165" s="20"/>
      <c r="NLB165" s="20"/>
      <c r="NLC165" s="21"/>
      <c r="NLD165" s="21"/>
      <c r="NLE165" s="21"/>
      <c r="NLF165" s="21"/>
      <c r="NLG165" s="21"/>
      <c r="NLH165" s="20"/>
      <c r="NLI165" s="20"/>
      <c r="NLJ165" s="20"/>
      <c r="NLK165" s="20"/>
      <c r="NLL165" s="21"/>
      <c r="NLM165" s="21"/>
      <c r="NLN165" s="7"/>
      <c r="NLO165" s="7"/>
      <c r="NLP165" s="21"/>
      <c r="NLQ165" s="20"/>
      <c r="NLR165" s="20"/>
      <c r="NLS165" s="20"/>
      <c r="NLT165" s="21"/>
      <c r="NLU165" s="21"/>
      <c r="NLV165" s="21"/>
      <c r="NLW165" s="21"/>
      <c r="NLX165" s="21"/>
      <c r="NLY165" s="20"/>
      <c r="NLZ165" s="20"/>
      <c r="NMA165" s="20"/>
      <c r="NMB165" s="20"/>
      <c r="NMC165" s="21"/>
      <c r="NMD165" s="21"/>
      <c r="NME165" s="7"/>
      <c r="NMF165" s="7"/>
      <c r="NMG165" s="21"/>
      <c r="NMH165" s="20"/>
      <c r="NMI165" s="20"/>
      <c r="NMJ165" s="20"/>
      <c r="NMK165" s="21"/>
      <c r="NML165" s="21"/>
      <c r="NMM165" s="21"/>
      <c r="NMN165" s="21"/>
      <c r="NMO165" s="21"/>
      <c r="NMP165" s="20"/>
      <c r="NMQ165" s="20"/>
      <c r="NMR165" s="20"/>
      <c r="NMS165" s="20"/>
      <c r="NMT165" s="21"/>
      <c r="NMU165" s="21"/>
      <c r="NMV165" s="7"/>
      <c r="NMW165" s="7"/>
      <c r="NMX165" s="21"/>
      <c r="NMY165" s="20"/>
      <c r="NMZ165" s="20"/>
      <c r="NNA165" s="20"/>
      <c r="NNB165" s="21"/>
      <c r="NNC165" s="21"/>
      <c r="NND165" s="21"/>
      <c r="NNE165" s="21"/>
      <c r="NNF165" s="21"/>
      <c r="NNG165" s="20"/>
      <c r="NNH165" s="20"/>
      <c r="NNI165" s="20"/>
      <c r="NNJ165" s="20"/>
      <c r="NNK165" s="21"/>
      <c r="NNL165" s="21"/>
      <c r="NNM165" s="7"/>
      <c r="NNN165" s="7"/>
      <c r="NNO165" s="21"/>
      <c r="NNP165" s="20"/>
      <c r="NNQ165" s="20"/>
      <c r="NNR165" s="20"/>
      <c r="NNS165" s="21"/>
      <c r="NNT165" s="21"/>
      <c r="NNU165" s="21"/>
      <c r="NNV165" s="21"/>
      <c r="NNW165" s="21"/>
      <c r="NNX165" s="20"/>
      <c r="NNY165" s="20"/>
      <c r="NNZ165" s="20"/>
      <c r="NOA165" s="20"/>
      <c r="NOB165" s="21"/>
      <c r="NOC165" s="21"/>
      <c r="NOD165" s="7"/>
      <c r="NOE165" s="7"/>
      <c r="NOF165" s="21"/>
      <c r="NOG165" s="20"/>
      <c r="NOH165" s="20"/>
      <c r="NOI165" s="20"/>
      <c r="NOJ165" s="21"/>
      <c r="NOK165" s="21"/>
      <c r="NOL165" s="21"/>
      <c r="NOM165" s="21"/>
      <c r="NON165" s="21"/>
      <c r="NOO165" s="20"/>
      <c r="NOP165" s="20"/>
      <c r="NOQ165" s="20"/>
      <c r="NOR165" s="20"/>
      <c r="NOS165" s="21"/>
      <c r="NOT165" s="21"/>
      <c r="NOU165" s="7"/>
      <c r="NOV165" s="7"/>
      <c r="NOW165" s="21"/>
      <c r="NOX165" s="20"/>
      <c r="NOY165" s="20"/>
      <c r="NOZ165" s="20"/>
      <c r="NPA165" s="21"/>
      <c r="NPB165" s="21"/>
      <c r="NPC165" s="21"/>
      <c r="NPD165" s="21"/>
      <c r="NPE165" s="21"/>
      <c r="NPF165" s="20"/>
      <c r="NPG165" s="20"/>
      <c r="NPH165" s="20"/>
      <c r="NPI165" s="20"/>
      <c r="NPJ165" s="21"/>
      <c r="NPK165" s="21"/>
      <c r="NPL165" s="7"/>
      <c r="NPM165" s="7"/>
      <c r="NPN165" s="21"/>
      <c r="NPO165" s="20"/>
      <c r="NPP165" s="20"/>
      <c r="NPQ165" s="20"/>
      <c r="NPR165" s="21"/>
      <c r="NPS165" s="21"/>
      <c r="NPT165" s="21"/>
      <c r="NPU165" s="21"/>
      <c r="NPV165" s="21"/>
      <c r="NPW165" s="20"/>
      <c r="NPX165" s="20"/>
      <c r="NPY165" s="20"/>
      <c r="NPZ165" s="20"/>
      <c r="NQA165" s="21"/>
      <c r="NQB165" s="21"/>
      <c r="NQC165" s="7"/>
      <c r="NQD165" s="7"/>
      <c r="NQE165" s="21"/>
      <c r="NQF165" s="20"/>
      <c r="NQG165" s="20"/>
      <c r="NQH165" s="20"/>
      <c r="NQI165" s="21"/>
      <c r="NQJ165" s="21"/>
      <c r="NQK165" s="21"/>
      <c r="NQL165" s="21"/>
      <c r="NQM165" s="21"/>
      <c r="NQN165" s="20"/>
      <c r="NQO165" s="20"/>
      <c r="NQP165" s="20"/>
      <c r="NQQ165" s="20"/>
      <c r="NQR165" s="21"/>
      <c r="NQS165" s="21"/>
      <c r="NQT165" s="7"/>
      <c r="NQU165" s="7"/>
      <c r="NQV165" s="21"/>
      <c r="NQW165" s="20"/>
      <c r="NQX165" s="20"/>
      <c r="NQY165" s="20"/>
      <c r="NQZ165" s="21"/>
      <c r="NRA165" s="21"/>
      <c r="NRB165" s="21"/>
      <c r="NRC165" s="21"/>
      <c r="NRD165" s="21"/>
      <c r="NRE165" s="20"/>
      <c r="NRF165" s="20"/>
      <c r="NRG165" s="20"/>
      <c r="NRH165" s="20"/>
      <c r="NRI165" s="21"/>
      <c r="NRJ165" s="21"/>
      <c r="NRK165" s="7"/>
      <c r="NRL165" s="7"/>
      <c r="NRM165" s="21"/>
      <c r="NRN165" s="20"/>
      <c r="NRO165" s="20"/>
      <c r="NRP165" s="20"/>
      <c r="NRQ165" s="21"/>
      <c r="NRR165" s="21"/>
      <c r="NRS165" s="21"/>
      <c r="NRT165" s="21"/>
      <c r="NRU165" s="21"/>
      <c r="NRV165" s="20"/>
      <c r="NRW165" s="20"/>
      <c r="NRX165" s="20"/>
      <c r="NRY165" s="20"/>
      <c r="NRZ165" s="21"/>
      <c r="NSA165" s="21"/>
      <c r="NSB165" s="7"/>
      <c r="NSC165" s="7"/>
      <c r="NSD165" s="21"/>
      <c r="NSE165" s="20"/>
      <c r="NSF165" s="20"/>
      <c r="NSG165" s="20"/>
      <c r="NSH165" s="21"/>
      <c r="NSI165" s="21"/>
      <c r="NSJ165" s="21"/>
      <c r="NSK165" s="21"/>
      <c r="NSL165" s="21"/>
      <c r="NSM165" s="20"/>
      <c r="NSN165" s="20"/>
      <c r="NSO165" s="20"/>
      <c r="NSP165" s="20"/>
      <c r="NSQ165" s="21"/>
      <c r="NSR165" s="21"/>
      <c r="NSS165" s="7"/>
      <c r="NST165" s="7"/>
      <c r="NSU165" s="21"/>
      <c r="NSV165" s="20"/>
      <c r="NSW165" s="20"/>
      <c r="NSX165" s="20"/>
      <c r="NSY165" s="21"/>
      <c r="NSZ165" s="21"/>
      <c r="NTA165" s="21"/>
      <c r="NTB165" s="21"/>
      <c r="NTC165" s="21"/>
      <c r="NTD165" s="20"/>
      <c r="NTE165" s="20"/>
      <c r="NTF165" s="20"/>
      <c r="NTG165" s="20"/>
      <c r="NTH165" s="21"/>
      <c r="NTI165" s="21"/>
      <c r="NTJ165" s="7"/>
      <c r="NTK165" s="7"/>
      <c r="NTL165" s="21"/>
      <c r="NTM165" s="20"/>
      <c r="NTN165" s="20"/>
      <c r="NTO165" s="20"/>
      <c r="NTP165" s="21"/>
      <c r="NTQ165" s="21"/>
      <c r="NTR165" s="21"/>
      <c r="NTS165" s="21"/>
      <c r="NTT165" s="21"/>
      <c r="NTU165" s="20"/>
      <c r="NTV165" s="20"/>
      <c r="NTW165" s="20"/>
      <c r="NTX165" s="20"/>
      <c r="NTY165" s="21"/>
      <c r="NTZ165" s="21"/>
      <c r="NUA165" s="7"/>
      <c r="NUB165" s="7"/>
      <c r="NUC165" s="21"/>
      <c r="NUD165" s="20"/>
      <c r="NUE165" s="20"/>
      <c r="NUF165" s="20"/>
      <c r="NUG165" s="21"/>
      <c r="NUH165" s="21"/>
      <c r="NUI165" s="21"/>
      <c r="NUJ165" s="21"/>
      <c r="NUK165" s="21"/>
      <c r="NUL165" s="20"/>
      <c r="NUM165" s="20"/>
      <c r="NUN165" s="20"/>
      <c r="NUO165" s="20"/>
      <c r="NUP165" s="21"/>
      <c r="NUQ165" s="21"/>
      <c r="NUR165" s="7"/>
      <c r="NUS165" s="7"/>
      <c r="NUT165" s="21"/>
      <c r="NUU165" s="20"/>
      <c r="NUV165" s="20"/>
      <c r="NUW165" s="20"/>
      <c r="NUX165" s="21"/>
      <c r="NUY165" s="21"/>
      <c r="NUZ165" s="21"/>
      <c r="NVA165" s="21"/>
      <c r="NVB165" s="21"/>
      <c r="NVC165" s="20"/>
      <c r="NVD165" s="20"/>
      <c r="NVE165" s="20"/>
      <c r="NVF165" s="20"/>
      <c r="NVG165" s="21"/>
      <c r="NVH165" s="21"/>
      <c r="NVI165" s="7"/>
      <c r="NVJ165" s="7"/>
      <c r="NVK165" s="21"/>
      <c r="NVL165" s="20"/>
      <c r="NVM165" s="20"/>
      <c r="NVN165" s="20"/>
      <c r="NVO165" s="21"/>
      <c r="NVP165" s="21"/>
      <c r="NVQ165" s="21"/>
      <c r="NVR165" s="21"/>
      <c r="NVS165" s="21"/>
      <c r="NVT165" s="20"/>
      <c r="NVU165" s="20"/>
      <c r="NVV165" s="20"/>
      <c r="NVW165" s="20"/>
      <c r="NVX165" s="21"/>
      <c r="NVY165" s="21"/>
      <c r="NVZ165" s="7"/>
      <c r="NWA165" s="7"/>
      <c r="NWB165" s="21"/>
      <c r="NWC165" s="20"/>
      <c r="NWD165" s="20"/>
      <c r="NWE165" s="20"/>
      <c r="NWF165" s="21"/>
      <c r="NWG165" s="21"/>
      <c r="NWH165" s="21"/>
      <c r="NWI165" s="21"/>
      <c r="NWJ165" s="21"/>
      <c r="NWK165" s="20"/>
      <c r="NWL165" s="20"/>
      <c r="NWM165" s="20"/>
      <c r="NWN165" s="20"/>
      <c r="NWO165" s="21"/>
      <c r="NWP165" s="21"/>
      <c r="NWQ165" s="7"/>
      <c r="NWR165" s="7"/>
      <c r="NWS165" s="21"/>
      <c r="NWT165" s="20"/>
      <c r="NWU165" s="20"/>
      <c r="NWV165" s="20"/>
      <c r="NWW165" s="21"/>
      <c r="NWX165" s="21"/>
      <c r="NWY165" s="21"/>
      <c r="NWZ165" s="21"/>
      <c r="NXA165" s="21"/>
      <c r="NXB165" s="20"/>
      <c r="NXC165" s="20"/>
      <c r="NXD165" s="20"/>
      <c r="NXE165" s="20"/>
      <c r="NXF165" s="21"/>
      <c r="NXG165" s="21"/>
      <c r="NXH165" s="7"/>
      <c r="NXI165" s="7"/>
      <c r="NXJ165" s="21"/>
      <c r="NXK165" s="20"/>
      <c r="NXL165" s="20"/>
      <c r="NXM165" s="20"/>
      <c r="NXN165" s="21"/>
      <c r="NXO165" s="21"/>
      <c r="NXP165" s="21"/>
      <c r="NXQ165" s="21"/>
      <c r="NXR165" s="21"/>
      <c r="NXS165" s="20"/>
      <c r="NXT165" s="20"/>
      <c r="NXU165" s="20"/>
      <c r="NXV165" s="20"/>
      <c r="NXW165" s="21"/>
      <c r="NXX165" s="21"/>
      <c r="NXY165" s="7"/>
      <c r="NXZ165" s="7"/>
      <c r="NYA165" s="21"/>
      <c r="NYB165" s="20"/>
      <c r="NYC165" s="20"/>
      <c r="NYD165" s="20"/>
      <c r="NYE165" s="21"/>
      <c r="NYF165" s="21"/>
      <c r="NYG165" s="21"/>
      <c r="NYH165" s="21"/>
      <c r="NYI165" s="21"/>
      <c r="NYJ165" s="20"/>
      <c r="NYK165" s="20"/>
      <c r="NYL165" s="20"/>
      <c r="NYM165" s="20"/>
      <c r="NYN165" s="21"/>
      <c r="NYO165" s="21"/>
      <c r="NYP165" s="7"/>
      <c r="NYQ165" s="7"/>
      <c r="NYR165" s="21"/>
      <c r="NYS165" s="20"/>
      <c r="NYT165" s="20"/>
      <c r="NYU165" s="20"/>
      <c r="NYV165" s="21"/>
      <c r="NYW165" s="21"/>
      <c r="NYX165" s="21"/>
      <c r="NYY165" s="21"/>
      <c r="NYZ165" s="21"/>
      <c r="NZA165" s="20"/>
      <c r="NZB165" s="20"/>
      <c r="NZC165" s="20"/>
      <c r="NZD165" s="20"/>
      <c r="NZE165" s="21"/>
      <c r="NZF165" s="21"/>
      <c r="NZG165" s="7"/>
      <c r="NZH165" s="7"/>
      <c r="NZI165" s="21"/>
      <c r="NZJ165" s="20"/>
      <c r="NZK165" s="20"/>
      <c r="NZL165" s="20"/>
      <c r="NZM165" s="21"/>
      <c r="NZN165" s="21"/>
      <c r="NZO165" s="21"/>
      <c r="NZP165" s="21"/>
      <c r="NZQ165" s="21"/>
      <c r="NZR165" s="20"/>
      <c r="NZS165" s="20"/>
      <c r="NZT165" s="20"/>
      <c r="NZU165" s="20"/>
      <c r="NZV165" s="21"/>
      <c r="NZW165" s="21"/>
      <c r="NZX165" s="7"/>
      <c r="NZY165" s="7"/>
      <c r="NZZ165" s="21"/>
      <c r="OAA165" s="20"/>
      <c r="OAB165" s="20"/>
      <c r="OAC165" s="20"/>
      <c r="OAD165" s="21"/>
      <c r="OAE165" s="21"/>
      <c r="OAF165" s="21"/>
      <c r="OAG165" s="21"/>
      <c r="OAH165" s="21"/>
      <c r="OAI165" s="20"/>
      <c r="OAJ165" s="20"/>
      <c r="OAK165" s="20"/>
      <c r="OAL165" s="20"/>
      <c r="OAM165" s="21"/>
      <c r="OAN165" s="21"/>
      <c r="OAO165" s="7"/>
      <c r="OAP165" s="7"/>
      <c r="OAQ165" s="21"/>
      <c r="OAR165" s="20"/>
      <c r="OAS165" s="20"/>
      <c r="OAT165" s="20"/>
      <c r="OAU165" s="21"/>
      <c r="OAV165" s="21"/>
      <c r="OAW165" s="21"/>
      <c r="OAX165" s="21"/>
      <c r="OAY165" s="21"/>
      <c r="OAZ165" s="20"/>
      <c r="OBA165" s="20"/>
      <c r="OBB165" s="20"/>
      <c r="OBC165" s="20"/>
      <c r="OBD165" s="21"/>
      <c r="OBE165" s="21"/>
      <c r="OBF165" s="7"/>
      <c r="OBG165" s="7"/>
      <c r="OBH165" s="21"/>
      <c r="OBI165" s="20"/>
      <c r="OBJ165" s="20"/>
      <c r="OBK165" s="20"/>
      <c r="OBL165" s="21"/>
      <c r="OBM165" s="21"/>
      <c r="OBN165" s="21"/>
      <c r="OBO165" s="21"/>
      <c r="OBP165" s="21"/>
      <c r="OBQ165" s="20"/>
      <c r="OBR165" s="20"/>
      <c r="OBS165" s="20"/>
      <c r="OBT165" s="20"/>
      <c r="OBU165" s="21"/>
      <c r="OBV165" s="21"/>
      <c r="OBW165" s="7"/>
      <c r="OBX165" s="7"/>
      <c r="OBY165" s="21"/>
      <c r="OBZ165" s="20"/>
      <c r="OCA165" s="20"/>
      <c r="OCB165" s="20"/>
      <c r="OCC165" s="21"/>
      <c r="OCD165" s="21"/>
      <c r="OCE165" s="21"/>
      <c r="OCF165" s="21"/>
      <c r="OCG165" s="21"/>
      <c r="OCH165" s="20"/>
      <c r="OCI165" s="20"/>
      <c r="OCJ165" s="20"/>
      <c r="OCK165" s="20"/>
      <c r="OCL165" s="21"/>
      <c r="OCM165" s="21"/>
      <c r="OCN165" s="7"/>
      <c r="OCO165" s="7"/>
      <c r="OCP165" s="21"/>
      <c r="OCQ165" s="20"/>
      <c r="OCR165" s="20"/>
      <c r="OCS165" s="20"/>
      <c r="OCT165" s="21"/>
      <c r="OCU165" s="21"/>
      <c r="OCV165" s="21"/>
      <c r="OCW165" s="21"/>
      <c r="OCX165" s="21"/>
      <c r="OCY165" s="20"/>
      <c r="OCZ165" s="20"/>
      <c r="ODA165" s="20"/>
      <c r="ODB165" s="20"/>
      <c r="ODC165" s="21"/>
      <c r="ODD165" s="21"/>
      <c r="ODE165" s="7"/>
      <c r="ODF165" s="7"/>
      <c r="ODG165" s="21"/>
      <c r="ODH165" s="20"/>
      <c r="ODI165" s="20"/>
      <c r="ODJ165" s="20"/>
      <c r="ODK165" s="21"/>
      <c r="ODL165" s="21"/>
      <c r="ODM165" s="21"/>
      <c r="ODN165" s="21"/>
      <c r="ODO165" s="21"/>
      <c r="ODP165" s="20"/>
      <c r="ODQ165" s="20"/>
      <c r="ODR165" s="20"/>
      <c r="ODS165" s="20"/>
      <c r="ODT165" s="21"/>
      <c r="ODU165" s="21"/>
      <c r="ODV165" s="7"/>
      <c r="ODW165" s="7"/>
      <c r="ODX165" s="21"/>
      <c r="ODY165" s="20"/>
      <c r="ODZ165" s="20"/>
      <c r="OEA165" s="20"/>
      <c r="OEB165" s="21"/>
      <c r="OEC165" s="21"/>
      <c r="OED165" s="21"/>
      <c r="OEE165" s="21"/>
      <c r="OEF165" s="21"/>
      <c r="OEG165" s="20"/>
      <c r="OEH165" s="20"/>
      <c r="OEI165" s="20"/>
      <c r="OEJ165" s="20"/>
      <c r="OEK165" s="21"/>
      <c r="OEL165" s="21"/>
      <c r="OEM165" s="7"/>
      <c r="OEN165" s="7"/>
      <c r="OEO165" s="21"/>
      <c r="OEP165" s="20"/>
      <c r="OEQ165" s="20"/>
      <c r="OER165" s="20"/>
      <c r="OES165" s="21"/>
      <c r="OET165" s="21"/>
      <c r="OEU165" s="21"/>
      <c r="OEV165" s="21"/>
      <c r="OEW165" s="21"/>
      <c r="OEX165" s="20"/>
      <c r="OEY165" s="20"/>
      <c r="OEZ165" s="20"/>
      <c r="OFA165" s="20"/>
      <c r="OFB165" s="21"/>
      <c r="OFC165" s="21"/>
      <c r="OFD165" s="7"/>
      <c r="OFE165" s="7"/>
      <c r="OFF165" s="21"/>
      <c r="OFG165" s="20"/>
      <c r="OFH165" s="20"/>
      <c r="OFI165" s="20"/>
      <c r="OFJ165" s="21"/>
      <c r="OFK165" s="21"/>
      <c r="OFL165" s="21"/>
      <c r="OFM165" s="21"/>
      <c r="OFN165" s="21"/>
      <c r="OFO165" s="20"/>
      <c r="OFP165" s="20"/>
      <c r="OFQ165" s="20"/>
      <c r="OFR165" s="20"/>
      <c r="OFS165" s="21"/>
      <c r="OFT165" s="21"/>
      <c r="OFU165" s="7"/>
      <c r="OFV165" s="7"/>
      <c r="OFW165" s="21"/>
      <c r="OFX165" s="20"/>
      <c r="OFY165" s="20"/>
      <c r="OFZ165" s="20"/>
      <c r="OGA165" s="21"/>
      <c r="OGB165" s="21"/>
      <c r="OGC165" s="21"/>
      <c r="OGD165" s="21"/>
      <c r="OGE165" s="21"/>
      <c r="OGF165" s="20"/>
      <c r="OGG165" s="20"/>
      <c r="OGH165" s="20"/>
      <c r="OGI165" s="20"/>
      <c r="OGJ165" s="21"/>
      <c r="OGK165" s="21"/>
      <c r="OGL165" s="7"/>
      <c r="OGM165" s="7"/>
      <c r="OGN165" s="21"/>
      <c r="OGO165" s="20"/>
      <c r="OGP165" s="20"/>
      <c r="OGQ165" s="20"/>
      <c r="OGR165" s="21"/>
      <c r="OGS165" s="21"/>
      <c r="OGT165" s="21"/>
      <c r="OGU165" s="21"/>
      <c r="OGV165" s="21"/>
      <c r="OGW165" s="20"/>
      <c r="OGX165" s="20"/>
      <c r="OGY165" s="20"/>
      <c r="OGZ165" s="20"/>
      <c r="OHA165" s="21"/>
      <c r="OHB165" s="21"/>
      <c r="OHC165" s="7"/>
      <c r="OHD165" s="7"/>
      <c r="OHE165" s="21"/>
      <c r="OHF165" s="20"/>
      <c r="OHG165" s="20"/>
      <c r="OHH165" s="20"/>
      <c r="OHI165" s="21"/>
      <c r="OHJ165" s="21"/>
      <c r="OHK165" s="21"/>
      <c r="OHL165" s="21"/>
      <c r="OHM165" s="21"/>
      <c r="OHN165" s="20"/>
      <c r="OHO165" s="20"/>
      <c r="OHP165" s="20"/>
      <c r="OHQ165" s="20"/>
      <c r="OHR165" s="21"/>
      <c r="OHS165" s="21"/>
      <c r="OHT165" s="7"/>
      <c r="OHU165" s="7"/>
      <c r="OHV165" s="21"/>
      <c r="OHW165" s="20"/>
      <c r="OHX165" s="20"/>
      <c r="OHY165" s="20"/>
      <c r="OHZ165" s="21"/>
      <c r="OIA165" s="21"/>
      <c r="OIB165" s="21"/>
      <c r="OIC165" s="21"/>
      <c r="OID165" s="21"/>
      <c r="OIE165" s="20"/>
      <c r="OIF165" s="20"/>
      <c r="OIG165" s="20"/>
      <c r="OIH165" s="20"/>
      <c r="OII165" s="21"/>
      <c r="OIJ165" s="21"/>
      <c r="OIK165" s="7"/>
      <c r="OIL165" s="7"/>
      <c r="OIM165" s="21"/>
      <c r="OIN165" s="20"/>
      <c r="OIO165" s="20"/>
      <c r="OIP165" s="20"/>
      <c r="OIQ165" s="21"/>
      <c r="OIR165" s="21"/>
      <c r="OIS165" s="21"/>
      <c r="OIT165" s="21"/>
      <c r="OIU165" s="21"/>
      <c r="OIV165" s="20"/>
      <c r="OIW165" s="20"/>
      <c r="OIX165" s="20"/>
      <c r="OIY165" s="20"/>
      <c r="OIZ165" s="21"/>
      <c r="OJA165" s="21"/>
      <c r="OJB165" s="7"/>
      <c r="OJC165" s="7"/>
      <c r="OJD165" s="21"/>
      <c r="OJE165" s="20"/>
      <c r="OJF165" s="20"/>
      <c r="OJG165" s="20"/>
      <c r="OJH165" s="21"/>
      <c r="OJI165" s="21"/>
      <c r="OJJ165" s="21"/>
      <c r="OJK165" s="21"/>
      <c r="OJL165" s="21"/>
      <c r="OJM165" s="20"/>
      <c r="OJN165" s="20"/>
      <c r="OJO165" s="20"/>
      <c r="OJP165" s="20"/>
      <c r="OJQ165" s="21"/>
      <c r="OJR165" s="21"/>
      <c r="OJS165" s="7"/>
      <c r="OJT165" s="7"/>
      <c r="OJU165" s="21"/>
      <c r="OJV165" s="20"/>
      <c r="OJW165" s="20"/>
      <c r="OJX165" s="20"/>
      <c r="OJY165" s="21"/>
      <c r="OJZ165" s="21"/>
      <c r="OKA165" s="21"/>
      <c r="OKB165" s="21"/>
      <c r="OKC165" s="21"/>
      <c r="OKD165" s="20"/>
      <c r="OKE165" s="20"/>
      <c r="OKF165" s="20"/>
      <c r="OKG165" s="20"/>
      <c r="OKH165" s="21"/>
      <c r="OKI165" s="21"/>
      <c r="OKJ165" s="7"/>
      <c r="OKK165" s="7"/>
      <c r="OKL165" s="21"/>
      <c r="OKM165" s="20"/>
      <c r="OKN165" s="20"/>
      <c r="OKO165" s="20"/>
      <c r="OKP165" s="21"/>
      <c r="OKQ165" s="21"/>
      <c r="OKR165" s="21"/>
      <c r="OKS165" s="21"/>
      <c r="OKT165" s="21"/>
      <c r="OKU165" s="20"/>
      <c r="OKV165" s="20"/>
      <c r="OKW165" s="20"/>
      <c r="OKX165" s="20"/>
      <c r="OKY165" s="21"/>
      <c r="OKZ165" s="21"/>
      <c r="OLA165" s="7"/>
      <c r="OLB165" s="7"/>
      <c r="OLC165" s="21"/>
      <c r="OLD165" s="20"/>
      <c r="OLE165" s="20"/>
      <c r="OLF165" s="20"/>
      <c r="OLG165" s="21"/>
      <c r="OLH165" s="21"/>
      <c r="OLI165" s="21"/>
      <c r="OLJ165" s="21"/>
      <c r="OLK165" s="21"/>
      <c r="OLL165" s="20"/>
      <c r="OLM165" s="20"/>
      <c r="OLN165" s="20"/>
      <c r="OLO165" s="20"/>
      <c r="OLP165" s="21"/>
      <c r="OLQ165" s="21"/>
      <c r="OLR165" s="7"/>
      <c r="OLS165" s="7"/>
      <c r="OLT165" s="21"/>
      <c r="OLU165" s="20"/>
      <c r="OLV165" s="20"/>
      <c r="OLW165" s="20"/>
      <c r="OLX165" s="21"/>
      <c r="OLY165" s="21"/>
      <c r="OLZ165" s="21"/>
      <c r="OMA165" s="21"/>
      <c r="OMB165" s="21"/>
      <c r="OMC165" s="20"/>
      <c r="OMD165" s="20"/>
      <c r="OME165" s="20"/>
      <c r="OMF165" s="20"/>
      <c r="OMG165" s="21"/>
      <c r="OMH165" s="21"/>
      <c r="OMI165" s="7"/>
      <c r="OMJ165" s="7"/>
      <c r="OMK165" s="21"/>
      <c r="OML165" s="20"/>
      <c r="OMM165" s="20"/>
      <c r="OMN165" s="20"/>
      <c r="OMO165" s="21"/>
      <c r="OMP165" s="21"/>
      <c r="OMQ165" s="21"/>
      <c r="OMR165" s="21"/>
      <c r="OMS165" s="21"/>
      <c r="OMT165" s="20"/>
      <c r="OMU165" s="20"/>
      <c r="OMV165" s="20"/>
      <c r="OMW165" s="20"/>
      <c r="OMX165" s="21"/>
      <c r="OMY165" s="21"/>
      <c r="OMZ165" s="7"/>
      <c r="ONA165" s="7"/>
      <c r="ONB165" s="21"/>
      <c r="ONC165" s="20"/>
      <c r="OND165" s="20"/>
      <c r="ONE165" s="20"/>
      <c r="ONF165" s="21"/>
      <c r="ONG165" s="21"/>
      <c r="ONH165" s="21"/>
      <c r="ONI165" s="21"/>
      <c r="ONJ165" s="21"/>
      <c r="ONK165" s="20"/>
      <c r="ONL165" s="20"/>
      <c r="ONM165" s="20"/>
      <c r="ONN165" s="20"/>
      <c r="ONO165" s="21"/>
      <c r="ONP165" s="21"/>
      <c r="ONQ165" s="7"/>
      <c r="ONR165" s="7"/>
      <c r="ONS165" s="21"/>
      <c r="ONT165" s="20"/>
      <c r="ONU165" s="20"/>
      <c r="ONV165" s="20"/>
      <c r="ONW165" s="21"/>
      <c r="ONX165" s="21"/>
      <c r="ONY165" s="21"/>
      <c r="ONZ165" s="21"/>
      <c r="OOA165" s="21"/>
      <c r="OOB165" s="20"/>
      <c r="OOC165" s="20"/>
      <c r="OOD165" s="20"/>
      <c r="OOE165" s="20"/>
      <c r="OOF165" s="21"/>
      <c r="OOG165" s="21"/>
      <c r="OOH165" s="7"/>
      <c r="OOI165" s="7"/>
      <c r="OOJ165" s="21"/>
      <c r="OOK165" s="20"/>
      <c r="OOL165" s="20"/>
      <c r="OOM165" s="20"/>
      <c r="OON165" s="21"/>
      <c r="OOO165" s="21"/>
      <c r="OOP165" s="21"/>
      <c r="OOQ165" s="21"/>
      <c r="OOR165" s="21"/>
      <c r="OOS165" s="20"/>
      <c r="OOT165" s="20"/>
      <c r="OOU165" s="20"/>
      <c r="OOV165" s="20"/>
      <c r="OOW165" s="21"/>
      <c r="OOX165" s="21"/>
      <c r="OOY165" s="7"/>
      <c r="OOZ165" s="7"/>
      <c r="OPA165" s="21"/>
      <c r="OPB165" s="20"/>
      <c r="OPC165" s="20"/>
      <c r="OPD165" s="20"/>
      <c r="OPE165" s="21"/>
      <c r="OPF165" s="21"/>
      <c r="OPG165" s="21"/>
      <c r="OPH165" s="21"/>
      <c r="OPI165" s="21"/>
      <c r="OPJ165" s="20"/>
      <c r="OPK165" s="20"/>
      <c r="OPL165" s="20"/>
      <c r="OPM165" s="20"/>
      <c r="OPN165" s="21"/>
      <c r="OPO165" s="21"/>
      <c r="OPP165" s="7"/>
      <c r="OPQ165" s="7"/>
      <c r="OPR165" s="21"/>
      <c r="OPS165" s="20"/>
      <c r="OPT165" s="20"/>
      <c r="OPU165" s="20"/>
      <c r="OPV165" s="21"/>
      <c r="OPW165" s="21"/>
      <c r="OPX165" s="21"/>
      <c r="OPY165" s="21"/>
      <c r="OPZ165" s="21"/>
      <c r="OQA165" s="20"/>
      <c r="OQB165" s="20"/>
      <c r="OQC165" s="20"/>
      <c r="OQD165" s="20"/>
      <c r="OQE165" s="21"/>
      <c r="OQF165" s="21"/>
      <c r="OQG165" s="7"/>
      <c r="OQH165" s="7"/>
      <c r="OQI165" s="21"/>
      <c r="OQJ165" s="20"/>
      <c r="OQK165" s="20"/>
      <c r="OQL165" s="20"/>
      <c r="OQM165" s="21"/>
      <c r="OQN165" s="21"/>
      <c r="OQO165" s="21"/>
      <c r="OQP165" s="21"/>
      <c r="OQQ165" s="21"/>
      <c r="OQR165" s="20"/>
      <c r="OQS165" s="20"/>
      <c r="OQT165" s="20"/>
      <c r="OQU165" s="20"/>
      <c r="OQV165" s="21"/>
      <c r="OQW165" s="21"/>
      <c r="OQX165" s="7"/>
      <c r="OQY165" s="7"/>
      <c r="OQZ165" s="21"/>
      <c r="ORA165" s="20"/>
      <c r="ORB165" s="20"/>
      <c r="ORC165" s="20"/>
      <c r="ORD165" s="21"/>
      <c r="ORE165" s="21"/>
      <c r="ORF165" s="21"/>
      <c r="ORG165" s="21"/>
      <c r="ORH165" s="21"/>
      <c r="ORI165" s="20"/>
      <c r="ORJ165" s="20"/>
      <c r="ORK165" s="20"/>
      <c r="ORL165" s="20"/>
      <c r="ORM165" s="21"/>
      <c r="ORN165" s="21"/>
      <c r="ORO165" s="7"/>
      <c r="ORP165" s="7"/>
      <c r="ORQ165" s="21"/>
      <c r="ORR165" s="20"/>
      <c r="ORS165" s="20"/>
      <c r="ORT165" s="20"/>
      <c r="ORU165" s="21"/>
      <c r="ORV165" s="21"/>
      <c r="ORW165" s="21"/>
      <c r="ORX165" s="21"/>
      <c r="ORY165" s="21"/>
      <c r="ORZ165" s="20"/>
      <c r="OSA165" s="20"/>
      <c r="OSB165" s="20"/>
      <c r="OSC165" s="20"/>
      <c r="OSD165" s="21"/>
      <c r="OSE165" s="21"/>
      <c r="OSF165" s="7"/>
      <c r="OSG165" s="7"/>
      <c r="OSH165" s="21"/>
      <c r="OSI165" s="20"/>
      <c r="OSJ165" s="20"/>
      <c r="OSK165" s="20"/>
      <c r="OSL165" s="21"/>
      <c r="OSM165" s="21"/>
      <c r="OSN165" s="21"/>
      <c r="OSO165" s="21"/>
      <c r="OSP165" s="21"/>
      <c r="OSQ165" s="20"/>
      <c r="OSR165" s="20"/>
      <c r="OSS165" s="20"/>
      <c r="OST165" s="20"/>
      <c r="OSU165" s="21"/>
      <c r="OSV165" s="21"/>
      <c r="OSW165" s="7"/>
      <c r="OSX165" s="7"/>
      <c r="OSY165" s="21"/>
      <c r="OSZ165" s="20"/>
      <c r="OTA165" s="20"/>
      <c r="OTB165" s="20"/>
      <c r="OTC165" s="21"/>
      <c r="OTD165" s="21"/>
      <c r="OTE165" s="21"/>
      <c r="OTF165" s="21"/>
      <c r="OTG165" s="21"/>
      <c r="OTH165" s="20"/>
      <c r="OTI165" s="20"/>
      <c r="OTJ165" s="20"/>
      <c r="OTK165" s="20"/>
      <c r="OTL165" s="21"/>
      <c r="OTM165" s="21"/>
      <c r="OTN165" s="7"/>
      <c r="OTO165" s="7"/>
      <c r="OTP165" s="21"/>
      <c r="OTQ165" s="20"/>
      <c r="OTR165" s="20"/>
      <c r="OTS165" s="20"/>
      <c r="OTT165" s="21"/>
      <c r="OTU165" s="21"/>
      <c r="OTV165" s="21"/>
      <c r="OTW165" s="21"/>
      <c r="OTX165" s="21"/>
      <c r="OTY165" s="20"/>
      <c r="OTZ165" s="20"/>
      <c r="OUA165" s="20"/>
      <c r="OUB165" s="20"/>
      <c r="OUC165" s="21"/>
      <c r="OUD165" s="21"/>
      <c r="OUE165" s="7"/>
      <c r="OUF165" s="7"/>
      <c r="OUG165" s="21"/>
      <c r="OUH165" s="20"/>
      <c r="OUI165" s="20"/>
      <c r="OUJ165" s="20"/>
      <c r="OUK165" s="21"/>
      <c r="OUL165" s="21"/>
      <c r="OUM165" s="21"/>
      <c r="OUN165" s="21"/>
      <c r="OUO165" s="21"/>
      <c r="OUP165" s="20"/>
      <c r="OUQ165" s="20"/>
      <c r="OUR165" s="20"/>
      <c r="OUS165" s="20"/>
      <c r="OUT165" s="21"/>
      <c r="OUU165" s="21"/>
      <c r="OUV165" s="7"/>
      <c r="OUW165" s="7"/>
      <c r="OUX165" s="21"/>
      <c r="OUY165" s="20"/>
      <c r="OUZ165" s="20"/>
      <c r="OVA165" s="20"/>
      <c r="OVB165" s="21"/>
      <c r="OVC165" s="21"/>
      <c r="OVD165" s="21"/>
      <c r="OVE165" s="21"/>
      <c r="OVF165" s="21"/>
      <c r="OVG165" s="20"/>
      <c r="OVH165" s="20"/>
      <c r="OVI165" s="20"/>
      <c r="OVJ165" s="20"/>
      <c r="OVK165" s="21"/>
      <c r="OVL165" s="21"/>
      <c r="OVM165" s="7"/>
      <c r="OVN165" s="7"/>
      <c r="OVO165" s="21"/>
      <c r="OVP165" s="20"/>
      <c r="OVQ165" s="20"/>
      <c r="OVR165" s="20"/>
      <c r="OVS165" s="21"/>
      <c r="OVT165" s="21"/>
      <c r="OVU165" s="21"/>
      <c r="OVV165" s="21"/>
      <c r="OVW165" s="21"/>
      <c r="OVX165" s="20"/>
      <c r="OVY165" s="20"/>
      <c r="OVZ165" s="20"/>
      <c r="OWA165" s="20"/>
      <c r="OWB165" s="21"/>
      <c r="OWC165" s="21"/>
      <c r="OWD165" s="7"/>
      <c r="OWE165" s="7"/>
      <c r="OWF165" s="21"/>
      <c r="OWG165" s="20"/>
      <c r="OWH165" s="20"/>
      <c r="OWI165" s="20"/>
      <c r="OWJ165" s="21"/>
      <c r="OWK165" s="21"/>
      <c r="OWL165" s="21"/>
      <c r="OWM165" s="21"/>
      <c r="OWN165" s="21"/>
      <c r="OWO165" s="20"/>
      <c r="OWP165" s="20"/>
      <c r="OWQ165" s="20"/>
      <c r="OWR165" s="20"/>
      <c r="OWS165" s="21"/>
      <c r="OWT165" s="21"/>
      <c r="OWU165" s="7"/>
      <c r="OWV165" s="7"/>
      <c r="OWW165" s="21"/>
      <c r="OWX165" s="20"/>
      <c r="OWY165" s="20"/>
      <c r="OWZ165" s="20"/>
      <c r="OXA165" s="21"/>
      <c r="OXB165" s="21"/>
      <c r="OXC165" s="21"/>
      <c r="OXD165" s="21"/>
      <c r="OXE165" s="21"/>
      <c r="OXF165" s="20"/>
      <c r="OXG165" s="20"/>
      <c r="OXH165" s="20"/>
      <c r="OXI165" s="20"/>
      <c r="OXJ165" s="21"/>
      <c r="OXK165" s="21"/>
      <c r="OXL165" s="7"/>
      <c r="OXM165" s="7"/>
      <c r="OXN165" s="21"/>
      <c r="OXO165" s="20"/>
      <c r="OXP165" s="20"/>
      <c r="OXQ165" s="20"/>
      <c r="OXR165" s="21"/>
      <c r="OXS165" s="21"/>
      <c r="OXT165" s="21"/>
      <c r="OXU165" s="21"/>
      <c r="OXV165" s="21"/>
      <c r="OXW165" s="20"/>
      <c r="OXX165" s="20"/>
      <c r="OXY165" s="20"/>
      <c r="OXZ165" s="20"/>
      <c r="OYA165" s="21"/>
      <c r="OYB165" s="21"/>
      <c r="OYC165" s="7"/>
      <c r="OYD165" s="7"/>
      <c r="OYE165" s="21"/>
      <c r="OYF165" s="20"/>
      <c r="OYG165" s="20"/>
      <c r="OYH165" s="20"/>
      <c r="OYI165" s="21"/>
      <c r="OYJ165" s="21"/>
      <c r="OYK165" s="21"/>
      <c r="OYL165" s="21"/>
      <c r="OYM165" s="21"/>
      <c r="OYN165" s="20"/>
      <c r="OYO165" s="20"/>
      <c r="OYP165" s="20"/>
      <c r="OYQ165" s="20"/>
      <c r="OYR165" s="21"/>
      <c r="OYS165" s="21"/>
      <c r="OYT165" s="7"/>
      <c r="OYU165" s="7"/>
      <c r="OYV165" s="21"/>
      <c r="OYW165" s="20"/>
      <c r="OYX165" s="20"/>
      <c r="OYY165" s="20"/>
      <c r="OYZ165" s="21"/>
      <c r="OZA165" s="21"/>
      <c r="OZB165" s="21"/>
      <c r="OZC165" s="21"/>
      <c r="OZD165" s="21"/>
      <c r="OZE165" s="20"/>
      <c r="OZF165" s="20"/>
      <c r="OZG165" s="20"/>
      <c r="OZH165" s="20"/>
      <c r="OZI165" s="21"/>
      <c r="OZJ165" s="21"/>
      <c r="OZK165" s="7"/>
      <c r="OZL165" s="7"/>
      <c r="OZM165" s="21"/>
      <c r="OZN165" s="20"/>
      <c r="OZO165" s="20"/>
      <c r="OZP165" s="20"/>
      <c r="OZQ165" s="21"/>
      <c r="OZR165" s="21"/>
      <c r="OZS165" s="21"/>
      <c r="OZT165" s="21"/>
      <c r="OZU165" s="21"/>
      <c r="OZV165" s="20"/>
      <c r="OZW165" s="20"/>
      <c r="OZX165" s="20"/>
      <c r="OZY165" s="20"/>
      <c r="OZZ165" s="21"/>
      <c r="PAA165" s="21"/>
      <c r="PAB165" s="7"/>
      <c r="PAC165" s="7"/>
      <c r="PAD165" s="21"/>
      <c r="PAE165" s="20"/>
      <c r="PAF165" s="20"/>
      <c r="PAG165" s="20"/>
      <c r="PAH165" s="21"/>
      <c r="PAI165" s="21"/>
      <c r="PAJ165" s="21"/>
      <c r="PAK165" s="21"/>
      <c r="PAL165" s="21"/>
      <c r="PAM165" s="20"/>
      <c r="PAN165" s="20"/>
      <c r="PAO165" s="20"/>
      <c r="PAP165" s="20"/>
      <c r="PAQ165" s="21"/>
      <c r="PAR165" s="21"/>
      <c r="PAS165" s="7"/>
      <c r="PAT165" s="7"/>
      <c r="PAU165" s="21"/>
      <c r="PAV165" s="20"/>
      <c r="PAW165" s="20"/>
      <c r="PAX165" s="20"/>
      <c r="PAY165" s="21"/>
      <c r="PAZ165" s="21"/>
      <c r="PBA165" s="21"/>
      <c r="PBB165" s="21"/>
      <c r="PBC165" s="21"/>
      <c r="PBD165" s="20"/>
      <c r="PBE165" s="20"/>
      <c r="PBF165" s="20"/>
      <c r="PBG165" s="20"/>
      <c r="PBH165" s="21"/>
      <c r="PBI165" s="21"/>
      <c r="PBJ165" s="7"/>
      <c r="PBK165" s="7"/>
      <c r="PBL165" s="21"/>
      <c r="PBM165" s="20"/>
      <c r="PBN165" s="20"/>
      <c r="PBO165" s="20"/>
      <c r="PBP165" s="21"/>
      <c r="PBQ165" s="21"/>
      <c r="PBR165" s="21"/>
      <c r="PBS165" s="21"/>
      <c r="PBT165" s="21"/>
      <c r="PBU165" s="20"/>
      <c r="PBV165" s="20"/>
      <c r="PBW165" s="20"/>
      <c r="PBX165" s="20"/>
      <c r="PBY165" s="21"/>
      <c r="PBZ165" s="21"/>
      <c r="PCA165" s="7"/>
      <c r="PCB165" s="7"/>
      <c r="PCC165" s="21"/>
      <c r="PCD165" s="20"/>
      <c r="PCE165" s="20"/>
      <c r="PCF165" s="20"/>
      <c r="PCG165" s="21"/>
      <c r="PCH165" s="21"/>
      <c r="PCI165" s="21"/>
      <c r="PCJ165" s="21"/>
      <c r="PCK165" s="21"/>
      <c r="PCL165" s="20"/>
      <c r="PCM165" s="20"/>
      <c r="PCN165" s="20"/>
      <c r="PCO165" s="20"/>
      <c r="PCP165" s="21"/>
      <c r="PCQ165" s="21"/>
      <c r="PCR165" s="7"/>
      <c r="PCS165" s="7"/>
      <c r="PCT165" s="21"/>
      <c r="PCU165" s="20"/>
      <c r="PCV165" s="20"/>
      <c r="PCW165" s="20"/>
      <c r="PCX165" s="21"/>
      <c r="PCY165" s="21"/>
      <c r="PCZ165" s="21"/>
      <c r="PDA165" s="21"/>
      <c r="PDB165" s="21"/>
      <c r="PDC165" s="20"/>
      <c r="PDD165" s="20"/>
      <c r="PDE165" s="20"/>
      <c r="PDF165" s="20"/>
      <c r="PDG165" s="21"/>
      <c r="PDH165" s="21"/>
      <c r="PDI165" s="7"/>
      <c r="PDJ165" s="7"/>
      <c r="PDK165" s="21"/>
      <c r="PDL165" s="20"/>
      <c r="PDM165" s="20"/>
      <c r="PDN165" s="20"/>
      <c r="PDO165" s="21"/>
      <c r="PDP165" s="21"/>
      <c r="PDQ165" s="21"/>
      <c r="PDR165" s="21"/>
      <c r="PDS165" s="21"/>
      <c r="PDT165" s="20"/>
      <c r="PDU165" s="20"/>
      <c r="PDV165" s="20"/>
      <c r="PDW165" s="20"/>
      <c r="PDX165" s="21"/>
      <c r="PDY165" s="21"/>
      <c r="PDZ165" s="7"/>
      <c r="PEA165" s="7"/>
      <c r="PEB165" s="21"/>
      <c r="PEC165" s="20"/>
      <c r="PED165" s="20"/>
      <c r="PEE165" s="20"/>
      <c r="PEF165" s="21"/>
      <c r="PEG165" s="21"/>
      <c r="PEH165" s="21"/>
      <c r="PEI165" s="21"/>
      <c r="PEJ165" s="21"/>
      <c r="PEK165" s="20"/>
      <c r="PEL165" s="20"/>
      <c r="PEM165" s="20"/>
      <c r="PEN165" s="20"/>
      <c r="PEO165" s="21"/>
      <c r="PEP165" s="21"/>
      <c r="PEQ165" s="7"/>
      <c r="PER165" s="7"/>
      <c r="PES165" s="21"/>
      <c r="PET165" s="20"/>
      <c r="PEU165" s="20"/>
      <c r="PEV165" s="20"/>
      <c r="PEW165" s="21"/>
      <c r="PEX165" s="21"/>
      <c r="PEY165" s="21"/>
      <c r="PEZ165" s="21"/>
      <c r="PFA165" s="21"/>
      <c r="PFB165" s="20"/>
      <c r="PFC165" s="20"/>
      <c r="PFD165" s="20"/>
      <c r="PFE165" s="20"/>
      <c r="PFF165" s="21"/>
      <c r="PFG165" s="21"/>
      <c r="PFH165" s="7"/>
      <c r="PFI165" s="7"/>
      <c r="PFJ165" s="21"/>
      <c r="PFK165" s="20"/>
      <c r="PFL165" s="20"/>
      <c r="PFM165" s="20"/>
      <c r="PFN165" s="21"/>
      <c r="PFO165" s="21"/>
      <c r="PFP165" s="21"/>
      <c r="PFQ165" s="21"/>
      <c r="PFR165" s="21"/>
      <c r="PFS165" s="20"/>
      <c r="PFT165" s="20"/>
      <c r="PFU165" s="20"/>
      <c r="PFV165" s="20"/>
      <c r="PFW165" s="21"/>
      <c r="PFX165" s="21"/>
      <c r="PFY165" s="7"/>
      <c r="PFZ165" s="7"/>
      <c r="PGA165" s="21"/>
      <c r="PGB165" s="20"/>
      <c r="PGC165" s="20"/>
      <c r="PGD165" s="20"/>
      <c r="PGE165" s="21"/>
      <c r="PGF165" s="21"/>
      <c r="PGG165" s="21"/>
      <c r="PGH165" s="21"/>
      <c r="PGI165" s="21"/>
      <c r="PGJ165" s="20"/>
      <c r="PGK165" s="20"/>
      <c r="PGL165" s="20"/>
      <c r="PGM165" s="20"/>
      <c r="PGN165" s="21"/>
      <c r="PGO165" s="21"/>
      <c r="PGP165" s="7"/>
      <c r="PGQ165" s="7"/>
      <c r="PGR165" s="21"/>
      <c r="PGS165" s="20"/>
      <c r="PGT165" s="20"/>
      <c r="PGU165" s="20"/>
      <c r="PGV165" s="21"/>
      <c r="PGW165" s="21"/>
      <c r="PGX165" s="21"/>
      <c r="PGY165" s="21"/>
      <c r="PGZ165" s="21"/>
      <c r="PHA165" s="20"/>
      <c r="PHB165" s="20"/>
      <c r="PHC165" s="20"/>
      <c r="PHD165" s="20"/>
      <c r="PHE165" s="21"/>
      <c r="PHF165" s="21"/>
      <c r="PHG165" s="7"/>
      <c r="PHH165" s="7"/>
      <c r="PHI165" s="21"/>
      <c r="PHJ165" s="20"/>
      <c r="PHK165" s="20"/>
      <c r="PHL165" s="20"/>
      <c r="PHM165" s="21"/>
      <c r="PHN165" s="21"/>
      <c r="PHO165" s="21"/>
      <c r="PHP165" s="21"/>
      <c r="PHQ165" s="21"/>
      <c r="PHR165" s="20"/>
      <c r="PHS165" s="20"/>
      <c r="PHT165" s="20"/>
      <c r="PHU165" s="20"/>
      <c r="PHV165" s="21"/>
      <c r="PHW165" s="21"/>
      <c r="PHX165" s="7"/>
      <c r="PHY165" s="7"/>
      <c r="PHZ165" s="21"/>
      <c r="PIA165" s="20"/>
      <c r="PIB165" s="20"/>
      <c r="PIC165" s="20"/>
      <c r="PID165" s="21"/>
      <c r="PIE165" s="21"/>
      <c r="PIF165" s="21"/>
      <c r="PIG165" s="21"/>
      <c r="PIH165" s="21"/>
      <c r="PII165" s="20"/>
      <c r="PIJ165" s="20"/>
      <c r="PIK165" s="20"/>
      <c r="PIL165" s="20"/>
      <c r="PIM165" s="21"/>
      <c r="PIN165" s="21"/>
      <c r="PIO165" s="7"/>
      <c r="PIP165" s="7"/>
      <c r="PIQ165" s="21"/>
      <c r="PIR165" s="20"/>
      <c r="PIS165" s="20"/>
      <c r="PIT165" s="20"/>
      <c r="PIU165" s="21"/>
      <c r="PIV165" s="21"/>
      <c r="PIW165" s="21"/>
      <c r="PIX165" s="21"/>
      <c r="PIY165" s="21"/>
      <c r="PIZ165" s="20"/>
      <c r="PJA165" s="20"/>
      <c r="PJB165" s="20"/>
      <c r="PJC165" s="20"/>
      <c r="PJD165" s="21"/>
      <c r="PJE165" s="21"/>
      <c r="PJF165" s="7"/>
      <c r="PJG165" s="7"/>
      <c r="PJH165" s="21"/>
      <c r="PJI165" s="20"/>
      <c r="PJJ165" s="20"/>
      <c r="PJK165" s="20"/>
      <c r="PJL165" s="21"/>
      <c r="PJM165" s="21"/>
      <c r="PJN165" s="21"/>
      <c r="PJO165" s="21"/>
      <c r="PJP165" s="21"/>
      <c r="PJQ165" s="20"/>
      <c r="PJR165" s="20"/>
      <c r="PJS165" s="20"/>
      <c r="PJT165" s="20"/>
      <c r="PJU165" s="21"/>
      <c r="PJV165" s="21"/>
      <c r="PJW165" s="7"/>
      <c r="PJX165" s="7"/>
      <c r="PJY165" s="21"/>
      <c r="PJZ165" s="20"/>
      <c r="PKA165" s="20"/>
      <c r="PKB165" s="20"/>
      <c r="PKC165" s="21"/>
      <c r="PKD165" s="21"/>
      <c r="PKE165" s="21"/>
      <c r="PKF165" s="21"/>
      <c r="PKG165" s="21"/>
      <c r="PKH165" s="20"/>
      <c r="PKI165" s="20"/>
      <c r="PKJ165" s="20"/>
      <c r="PKK165" s="20"/>
      <c r="PKL165" s="21"/>
      <c r="PKM165" s="21"/>
      <c r="PKN165" s="7"/>
      <c r="PKO165" s="7"/>
      <c r="PKP165" s="21"/>
      <c r="PKQ165" s="20"/>
      <c r="PKR165" s="20"/>
      <c r="PKS165" s="20"/>
      <c r="PKT165" s="21"/>
      <c r="PKU165" s="21"/>
      <c r="PKV165" s="21"/>
      <c r="PKW165" s="21"/>
      <c r="PKX165" s="21"/>
      <c r="PKY165" s="20"/>
      <c r="PKZ165" s="20"/>
      <c r="PLA165" s="20"/>
      <c r="PLB165" s="20"/>
      <c r="PLC165" s="21"/>
      <c r="PLD165" s="21"/>
      <c r="PLE165" s="7"/>
      <c r="PLF165" s="7"/>
      <c r="PLG165" s="21"/>
      <c r="PLH165" s="20"/>
      <c r="PLI165" s="20"/>
      <c r="PLJ165" s="20"/>
      <c r="PLK165" s="21"/>
      <c r="PLL165" s="21"/>
      <c r="PLM165" s="21"/>
      <c r="PLN165" s="21"/>
      <c r="PLO165" s="21"/>
      <c r="PLP165" s="20"/>
      <c r="PLQ165" s="20"/>
      <c r="PLR165" s="20"/>
      <c r="PLS165" s="20"/>
      <c r="PLT165" s="21"/>
      <c r="PLU165" s="21"/>
      <c r="PLV165" s="7"/>
      <c r="PLW165" s="7"/>
      <c r="PLX165" s="21"/>
      <c r="PLY165" s="20"/>
      <c r="PLZ165" s="20"/>
      <c r="PMA165" s="20"/>
      <c r="PMB165" s="21"/>
      <c r="PMC165" s="21"/>
      <c r="PMD165" s="21"/>
      <c r="PME165" s="21"/>
      <c r="PMF165" s="21"/>
      <c r="PMG165" s="20"/>
      <c r="PMH165" s="20"/>
      <c r="PMI165" s="20"/>
      <c r="PMJ165" s="20"/>
      <c r="PMK165" s="21"/>
      <c r="PML165" s="21"/>
      <c r="PMM165" s="7"/>
      <c r="PMN165" s="7"/>
      <c r="PMO165" s="21"/>
      <c r="PMP165" s="20"/>
      <c r="PMQ165" s="20"/>
      <c r="PMR165" s="20"/>
      <c r="PMS165" s="21"/>
      <c r="PMT165" s="21"/>
      <c r="PMU165" s="21"/>
      <c r="PMV165" s="21"/>
      <c r="PMW165" s="21"/>
      <c r="PMX165" s="20"/>
      <c r="PMY165" s="20"/>
      <c r="PMZ165" s="20"/>
      <c r="PNA165" s="20"/>
      <c r="PNB165" s="21"/>
      <c r="PNC165" s="21"/>
      <c r="PND165" s="7"/>
      <c r="PNE165" s="7"/>
      <c r="PNF165" s="21"/>
      <c r="PNG165" s="20"/>
      <c r="PNH165" s="20"/>
      <c r="PNI165" s="20"/>
      <c r="PNJ165" s="21"/>
      <c r="PNK165" s="21"/>
      <c r="PNL165" s="21"/>
      <c r="PNM165" s="21"/>
      <c r="PNN165" s="21"/>
      <c r="PNO165" s="20"/>
      <c r="PNP165" s="20"/>
      <c r="PNQ165" s="20"/>
      <c r="PNR165" s="20"/>
      <c r="PNS165" s="21"/>
      <c r="PNT165" s="21"/>
      <c r="PNU165" s="7"/>
      <c r="PNV165" s="7"/>
      <c r="PNW165" s="21"/>
      <c r="PNX165" s="20"/>
      <c r="PNY165" s="20"/>
      <c r="PNZ165" s="20"/>
      <c r="POA165" s="21"/>
      <c r="POB165" s="21"/>
      <c r="POC165" s="21"/>
      <c r="POD165" s="21"/>
      <c r="POE165" s="21"/>
      <c r="POF165" s="20"/>
      <c r="POG165" s="20"/>
      <c r="POH165" s="20"/>
      <c r="POI165" s="20"/>
      <c r="POJ165" s="21"/>
      <c r="POK165" s="21"/>
      <c r="POL165" s="7"/>
      <c r="POM165" s="7"/>
      <c r="PON165" s="21"/>
      <c r="POO165" s="20"/>
      <c r="POP165" s="20"/>
      <c r="POQ165" s="20"/>
      <c r="POR165" s="21"/>
      <c r="POS165" s="21"/>
      <c r="POT165" s="21"/>
      <c r="POU165" s="21"/>
      <c r="POV165" s="21"/>
      <c r="POW165" s="20"/>
      <c r="POX165" s="20"/>
      <c r="POY165" s="20"/>
      <c r="POZ165" s="20"/>
      <c r="PPA165" s="21"/>
      <c r="PPB165" s="21"/>
      <c r="PPC165" s="7"/>
      <c r="PPD165" s="7"/>
      <c r="PPE165" s="21"/>
      <c r="PPF165" s="20"/>
      <c r="PPG165" s="20"/>
      <c r="PPH165" s="20"/>
      <c r="PPI165" s="21"/>
      <c r="PPJ165" s="21"/>
      <c r="PPK165" s="21"/>
      <c r="PPL165" s="21"/>
      <c r="PPM165" s="21"/>
      <c r="PPN165" s="20"/>
      <c r="PPO165" s="20"/>
      <c r="PPP165" s="20"/>
      <c r="PPQ165" s="20"/>
      <c r="PPR165" s="21"/>
      <c r="PPS165" s="21"/>
      <c r="PPT165" s="7"/>
      <c r="PPU165" s="7"/>
      <c r="PPV165" s="21"/>
      <c r="PPW165" s="20"/>
      <c r="PPX165" s="20"/>
      <c r="PPY165" s="20"/>
      <c r="PPZ165" s="21"/>
      <c r="PQA165" s="21"/>
      <c r="PQB165" s="21"/>
      <c r="PQC165" s="21"/>
      <c r="PQD165" s="21"/>
      <c r="PQE165" s="20"/>
      <c r="PQF165" s="20"/>
      <c r="PQG165" s="20"/>
      <c r="PQH165" s="20"/>
      <c r="PQI165" s="21"/>
      <c r="PQJ165" s="21"/>
      <c r="PQK165" s="7"/>
      <c r="PQL165" s="7"/>
      <c r="PQM165" s="21"/>
      <c r="PQN165" s="20"/>
      <c r="PQO165" s="20"/>
      <c r="PQP165" s="20"/>
      <c r="PQQ165" s="21"/>
      <c r="PQR165" s="21"/>
      <c r="PQS165" s="21"/>
      <c r="PQT165" s="21"/>
      <c r="PQU165" s="21"/>
      <c r="PQV165" s="20"/>
      <c r="PQW165" s="20"/>
      <c r="PQX165" s="20"/>
      <c r="PQY165" s="20"/>
      <c r="PQZ165" s="21"/>
      <c r="PRA165" s="21"/>
      <c r="PRB165" s="7"/>
      <c r="PRC165" s="7"/>
      <c r="PRD165" s="21"/>
      <c r="PRE165" s="20"/>
      <c r="PRF165" s="20"/>
      <c r="PRG165" s="20"/>
      <c r="PRH165" s="21"/>
      <c r="PRI165" s="21"/>
      <c r="PRJ165" s="21"/>
      <c r="PRK165" s="21"/>
      <c r="PRL165" s="21"/>
      <c r="PRM165" s="20"/>
      <c r="PRN165" s="20"/>
      <c r="PRO165" s="20"/>
      <c r="PRP165" s="20"/>
      <c r="PRQ165" s="21"/>
      <c r="PRR165" s="21"/>
      <c r="PRS165" s="7"/>
      <c r="PRT165" s="7"/>
      <c r="PRU165" s="21"/>
      <c r="PRV165" s="20"/>
      <c r="PRW165" s="20"/>
      <c r="PRX165" s="20"/>
      <c r="PRY165" s="21"/>
      <c r="PRZ165" s="21"/>
      <c r="PSA165" s="21"/>
      <c r="PSB165" s="21"/>
      <c r="PSC165" s="21"/>
      <c r="PSD165" s="20"/>
      <c r="PSE165" s="20"/>
      <c r="PSF165" s="20"/>
      <c r="PSG165" s="20"/>
      <c r="PSH165" s="21"/>
      <c r="PSI165" s="21"/>
      <c r="PSJ165" s="7"/>
      <c r="PSK165" s="7"/>
      <c r="PSL165" s="21"/>
      <c r="PSM165" s="20"/>
      <c r="PSN165" s="20"/>
      <c r="PSO165" s="20"/>
      <c r="PSP165" s="21"/>
      <c r="PSQ165" s="21"/>
      <c r="PSR165" s="21"/>
      <c r="PSS165" s="21"/>
      <c r="PST165" s="21"/>
      <c r="PSU165" s="20"/>
      <c r="PSV165" s="20"/>
      <c r="PSW165" s="20"/>
      <c r="PSX165" s="20"/>
      <c r="PSY165" s="21"/>
      <c r="PSZ165" s="21"/>
      <c r="PTA165" s="7"/>
      <c r="PTB165" s="7"/>
      <c r="PTC165" s="21"/>
      <c r="PTD165" s="20"/>
      <c r="PTE165" s="20"/>
      <c r="PTF165" s="20"/>
      <c r="PTG165" s="21"/>
      <c r="PTH165" s="21"/>
      <c r="PTI165" s="21"/>
      <c r="PTJ165" s="21"/>
      <c r="PTK165" s="21"/>
      <c r="PTL165" s="20"/>
      <c r="PTM165" s="20"/>
      <c r="PTN165" s="20"/>
      <c r="PTO165" s="20"/>
      <c r="PTP165" s="21"/>
      <c r="PTQ165" s="21"/>
      <c r="PTR165" s="7"/>
      <c r="PTS165" s="7"/>
      <c r="PTT165" s="21"/>
      <c r="PTU165" s="20"/>
      <c r="PTV165" s="20"/>
      <c r="PTW165" s="20"/>
      <c r="PTX165" s="21"/>
      <c r="PTY165" s="21"/>
      <c r="PTZ165" s="21"/>
      <c r="PUA165" s="21"/>
      <c r="PUB165" s="21"/>
      <c r="PUC165" s="20"/>
      <c r="PUD165" s="20"/>
      <c r="PUE165" s="20"/>
      <c r="PUF165" s="20"/>
      <c r="PUG165" s="21"/>
      <c r="PUH165" s="21"/>
      <c r="PUI165" s="7"/>
      <c r="PUJ165" s="7"/>
      <c r="PUK165" s="21"/>
      <c r="PUL165" s="20"/>
      <c r="PUM165" s="20"/>
      <c r="PUN165" s="20"/>
      <c r="PUO165" s="21"/>
      <c r="PUP165" s="21"/>
      <c r="PUQ165" s="21"/>
      <c r="PUR165" s="21"/>
      <c r="PUS165" s="21"/>
      <c r="PUT165" s="20"/>
      <c r="PUU165" s="20"/>
      <c r="PUV165" s="20"/>
      <c r="PUW165" s="20"/>
      <c r="PUX165" s="21"/>
      <c r="PUY165" s="21"/>
      <c r="PUZ165" s="7"/>
      <c r="PVA165" s="7"/>
      <c r="PVB165" s="21"/>
      <c r="PVC165" s="20"/>
      <c r="PVD165" s="20"/>
      <c r="PVE165" s="20"/>
      <c r="PVF165" s="21"/>
      <c r="PVG165" s="21"/>
      <c r="PVH165" s="21"/>
      <c r="PVI165" s="21"/>
      <c r="PVJ165" s="21"/>
      <c r="PVK165" s="20"/>
      <c r="PVL165" s="20"/>
      <c r="PVM165" s="20"/>
      <c r="PVN165" s="20"/>
      <c r="PVO165" s="21"/>
      <c r="PVP165" s="21"/>
      <c r="PVQ165" s="7"/>
      <c r="PVR165" s="7"/>
      <c r="PVS165" s="21"/>
      <c r="PVT165" s="20"/>
      <c r="PVU165" s="20"/>
      <c r="PVV165" s="20"/>
      <c r="PVW165" s="21"/>
      <c r="PVX165" s="21"/>
      <c r="PVY165" s="21"/>
      <c r="PVZ165" s="21"/>
      <c r="PWA165" s="21"/>
      <c r="PWB165" s="20"/>
      <c r="PWC165" s="20"/>
      <c r="PWD165" s="20"/>
      <c r="PWE165" s="20"/>
      <c r="PWF165" s="21"/>
      <c r="PWG165" s="21"/>
      <c r="PWH165" s="7"/>
      <c r="PWI165" s="7"/>
      <c r="PWJ165" s="21"/>
      <c r="PWK165" s="20"/>
      <c r="PWL165" s="20"/>
      <c r="PWM165" s="20"/>
      <c r="PWN165" s="21"/>
      <c r="PWO165" s="21"/>
      <c r="PWP165" s="21"/>
      <c r="PWQ165" s="21"/>
      <c r="PWR165" s="21"/>
      <c r="PWS165" s="20"/>
      <c r="PWT165" s="20"/>
      <c r="PWU165" s="20"/>
      <c r="PWV165" s="20"/>
      <c r="PWW165" s="21"/>
      <c r="PWX165" s="21"/>
      <c r="PWY165" s="7"/>
      <c r="PWZ165" s="7"/>
      <c r="PXA165" s="21"/>
      <c r="PXB165" s="20"/>
      <c r="PXC165" s="20"/>
      <c r="PXD165" s="20"/>
      <c r="PXE165" s="21"/>
      <c r="PXF165" s="21"/>
      <c r="PXG165" s="21"/>
      <c r="PXH165" s="21"/>
      <c r="PXI165" s="21"/>
      <c r="PXJ165" s="20"/>
      <c r="PXK165" s="20"/>
      <c r="PXL165" s="20"/>
      <c r="PXM165" s="20"/>
      <c r="PXN165" s="21"/>
      <c r="PXO165" s="21"/>
      <c r="PXP165" s="7"/>
      <c r="PXQ165" s="7"/>
      <c r="PXR165" s="21"/>
      <c r="PXS165" s="20"/>
      <c r="PXT165" s="20"/>
      <c r="PXU165" s="20"/>
      <c r="PXV165" s="21"/>
      <c r="PXW165" s="21"/>
      <c r="PXX165" s="21"/>
      <c r="PXY165" s="21"/>
      <c r="PXZ165" s="21"/>
      <c r="PYA165" s="20"/>
      <c r="PYB165" s="20"/>
      <c r="PYC165" s="20"/>
      <c r="PYD165" s="20"/>
      <c r="PYE165" s="21"/>
      <c r="PYF165" s="21"/>
      <c r="PYG165" s="7"/>
      <c r="PYH165" s="7"/>
      <c r="PYI165" s="21"/>
      <c r="PYJ165" s="20"/>
      <c r="PYK165" s="20"/>
      <c r="PYL165" s="20"/>
      <c r="PYM165" s="21"/>
      <c r="PYN165" s="21"/>
      <c r="PYO165" s="21"/>
      <c r="PYP165" s="21"/>
      <c r="PYQ165" s="21"/>
      <c r="PYR165" s="20"/>
      <c r="PYS165" s="20"/>
      <c r="PYT165" s="20"/>
      <c r="PYU165" s="20"/>
      <c r="PYV165" s="21"/>
      <c r="PYW165" s="21"/>
      <c r="PYX165" s="7"/>
      <c r="PYY165" s="7"/>
      <c r="PYZ165" s="21"/>
      <c r="PZA165" s="20"/>
      <c r="PZB165" s="20"/>
      <c r="PZC165" s="20"/>
      <c r="PZD165" s="21"/>
      <c r="PZE165" s="21"/>
      <c r="PZF165" s="21"/>
      <c r="PZG165" s="21"/>
      <c r="PZH165" s="21"/>
      <c r="PZI165" s="20"/>
      <c r="PZJ165" s="20"/>
      <c r="PZK165" s="20"/>
      <c r="PZL165" s="20"/>
      <c r="PZM165" s="21"/>
      <c r="PZN165" s="21"/>
      <c r="PZO165" s="7"/>
      <c r="PZP165" s="7"/>
      <c r="PZQ165" s="21"/>
      <c r="PZR165" s="20"/>
      <c r="PZS165" s="20"/>
      <c r="PZT165" s="20"/>
      <c r="PZU165" s="21"/>
      <c r="PZV165" s="21"/>
      <c r="PZW165" s="21"/>
      <c r="PZX165" s="21"/>
      <c r="PZY165" s="21"/>
      <c r="PZZ165" s="20"/>
      <c r="QAA165" s="20"/>
      <c r="QAB165" s="20"/>
      <c r="QAC165" s="20"/>
      <c r="QAD165" s="21"/>
      <c r="QAE165" s="21"/>
      <c r="QAF165" s="7"/>
      <c r="QAG165" s="7"/>
      <c r="QAH165" s="21"/>
      <c r="QAI165" s="20"/>
      <c r="QAJ165" s="20"/>
      <c r="QAK165" s="20"/>
      <c r="QAL165" s="21"/>
      <c r="QAM165" s="21"/>
      <c r="QAN165" s="21"/>
      <c r="QAO165" s="21"/>
      <c r="QAP165" s="21"/>
      <c r="QAQ165" s="20"/>
      <c r="QAR165" s="20"/>
      <c r="QAS165" s="20"/>
      <c r="QAT165" s="20"/>
      <c r="QAU165" s="21"/>
      <c r="QAV165" s="21"/>
      <c r="QAW165" s="7"/>
      <c r="QAX165" s="7"/>
      <c r="QAY165" s="21"/>
      <c r="QAZ165" s="20"/>
      <c r="QBA165" s="20"/>
      <c r="QBB165" s="20"/>
      <c r="QBC165" s="21"/>
      <c r="QBD165" s="21"/>
      <c r="QBE165" s="21"/>
      <c r="QBF165" s="21"/>
      <c r="QBG165" s="21"/>
      <c r="QBH165" s="20"/>
      <c r="QBI165" s="20"/>
      <c r="QBJ165" s="20"/>
      <c r="QBK165" s="20"/>
      <c r="QBL165" s="21"/>
      <c r="QBM165" s="21"/>
      <c r="QBN165" s="7"/>
      <c r="QBO165" s="7"/>
      <c r="QBP165" s="21"/>
      <c r="QBQ165" s="20"/>
      <c r="QBR165" s="20"/>
      <c r="QBS165" s="20"/>
      <c r="QBT165" s="21"/>
      <c r="QBU165" s="21"/>
      <c r="QBV165" s="21"/>
      <c r="QBW165" s="21"/>
      <c r="QBX165" s="21"/>
      <c r="QBY165" s="20"/>
      <c r="QBZ165" s="20"/>
      <c r="QCA165" s="20"/>
      <c r="QCB165" s="20"/>
      <c r="QCC165" s="21"/>
      <c r="QCD165" s="21"/>
      <c r="QCE165" s="7"/>
      <c r="QCF165" s="7"/>
      <c r="QCG165" s="21"/>
      <c r="QCH165" s="20"/>
      <c r="QCI165" s="20"/>
      <c r="QCJ165" s="20"/>
      <c r="QCK165" s="21"/>
      <c r="QCL165" s="21"/>
      <c r="QCM165" s="21"/>
      <c r="QCN165" s="21"/>
      <c r="QCO165" s="21"/>
      <c r="QCP165" s="20"/>
      <c r="QCQ165" s="20"/>
      <c r="QCR165" s="20"/>
      <c r="QCS165" s="20"/>
      <c r="QCT165" s="21"/>
      <c r="QCU165" s="21"/>
      <c r="QCV165" s="7"/>
      <c r="QCW165" s="7"/>
      <c r="QCX165" s="21"/>
      <c r="QCY165" s="20"/>
      <c r="QCZ165" s="20"/>
      <c r="QDA165" s="20"/>
      <c r="QDB165" s="21"/>
      <c r="QDC165" s="21"/>
      <c r="QDD165" s="21"/>
      <c r="QDE165" s="21"/>
      <c r="QDF165" s="21"/>
      <c r="QDG165" s="20"/>
      <c r="QDH165" s="20"/>
      <c r="QDI165" s="20"/>
      <c r="QDJ165" s="20"/>
      <c r="QDK165" s="21"/>
      <c r="QDL165" s="21"/>
      <c r="QDM165" s="7"/>
      <c r="QDN165" s="7"/>
      <c r="QDO165" s="21"/>
      <c r="QDP165" s="20"/>
      <c r="QDQ165" s="20"/>
      <c r="QDR165" s="20"/>
      <c r="QDS165" s="21"/>
      <c r="QDT165" s="21"/>
      <c r="QDU165" s="21"/>
      <c r="QDV165" s="21"/>
      <c r="QDW165" s="21"/>
      <c r="QDX165" s="20"/>
      <c r="QDY165" s="20"/>
      <c r="QDZ165" s="20"/>
      <c r="QEA165" s="20"/>
      <c r="QEB165" s="21"/>
      <c r="QEC165" s="21"/>
      <c r="QED165" s="7"/>
      <c r="QEE165" s="7"/>
      <c r="QEF165" s="21"/>
      <c r="QEG165" s="20"/>
      <c r="QEH165" s="20"/>
      <c r="QEI165" s="20"/>
      <c r="QEJ165" s="21"/>
      <c r="QEK165" s="21"/>
      <c r="QEL165" s="21"/>
      <c r="QEM165" s="21"/>
      <c r="QEN165" s="21"/>
      <c r="QEO165" s="20"/>
      <c r="QEP165" s="20"/>
      <c r="QEQ165" s="20"/>
      <c r="QER165" s="20"/>
      <c r="QES165" s="21"/>
      <c r="QET165" s="21"/>
      <c r="QEU165" s="7"/>
      <c r="QEV165" s="7"/>
      <c r="QEW165" s="21"/>
      <c r="QEX165" s="20"/>
      <c r="QEY165" s="20"/>
      <c r="QEZ165" s="20"/>
      <c r="QFA165" s="21"/>
      <c r="QFB165" s="21"/>
      <c r="QFC165" s="21"/>
      <c r="QFD165" s="21"/>
      <c r="QFE165" s="21"/>
      <c r="QFF165" s="20"/>
      <c r="QFG165" s="20"/>
      <c r="QFH165" s="20"/>
      <c r="QFI165" s="20"/>
      <c r="QFJ165" s="21"/>
      <c r="QFK165" s="21"/>
      <c r="QFL165" s="7"/>
      <c r="QFM165" s="7"/>
      <c r="QFN165" s="21"/>
      <c r="QFO165" s="20"/>
      <c r="QFP165" s="20"/>
      <c r="QFQ165" s="20"/>
      <c r="QFR165" s="21"/>
      <c r="QFS165" s="21"/>
      <c r="QFT165" s="21"/>
      <c r="QFU165" s="21"/>
      <c r="QFV165" s="21"/>
      <c r="QFW165" s="20"/>
      <c r="QFX165" s="20"/>
      <c r="QFY165" s="20"/>
      <c r="QFZ165" s="20"/>
      <c r="QGA165" s="21"/>
      <c r="QGB165" s="21"/>
      <c r="QGC165" s="7"/>
      <c r="QGD165" s="7"/>
      <c r="QGE165" s="21"/>
      <c r="QGF165" s="20"/>
      <c r="QGG165" s="20"/>
      <c r="QGH165" s="20"/>
      <c r="QGI165" s="21"/>
      <c r="QGJ165" s="21"/>
      <c r="QGK165" s="21"/>
      <c r="QGL165" s="21"/>
      <c r="QGM165" s="21"/>
      <c r="QGN165" s="20"/>
      <c r="QGO165" s="20"/>
      <c r="QGP165" s="20"/>
      <c r="QGQ165" s="20"/>
      <c r="QGR165" s="21"/>
      <c r="QGS165" s="21"/>
      <c r="QGT165" s="7"/>
      <c r="QGU165" s="7"/>
      <c r="QGV165" s="21"/>
      <c r="QGW165" s="20"/>
      <c r="QGX165" s="20"/>
      <c r="QGY165" s="20"/>
      <c r="QGZ165" s="21"/>
      <c r="QHA165" s="21"/>
      <c r="QHB165" s="21"/>
      <c r="QHC165" s="21"/>
      <c r="QHD165" s="21"/>
      <c r="QHE165" s="20"/>
      <c r="QHF165" s="20"/>
      <c r="QHG165" s="20"/>
      <c r="QHH165" s="20"/>
      <c r="QHI165" s="21"/>
      <c r="QHJ165" s="21"/>
      <c r="QHK165" s="7"/>
      <c r="QHL165" s="7"/>
      <c r="QHM165" s="21"/>
      <c r="QHN165" s="20"/>
      <c r="QHO165" s="20"/>
      <c r="QHP165" s="20"/>
      <c r="QHQ165" s="21"/>
      <c r="QHR165" s="21"/>
      <c r="QHS165" s="21"/>
      <c r="QHT165" s="21"/>
      <c r="QHU165" s="21"/>
      <c r="QHV165" s="20"/>
      <c r="QHW165" s="20"/>
      <c r="QHX165" s="20"/>
      <c r="QHY165" s="20"/>
      <c r="QHZ165" s="21"/>
      <c r="QIA165" s="21"/>
      <c r="QIB165" s="7"/>
      <c r="QIC165" s="7"/>
      <c r="QID165" s="21"/>
      <c r="QIE165" s="20"/>
      <c r="QIF165" s="20"/>
      <c r="QIG165" s="20"/>
      <c r="QIH165" s="21"/>
      <c r="QII165" s="21"/>
      <c r="QIJ165" s="21"/>
      <c r="QIK165" s="21"/>
      <c r="QIL165" s="21"/>
      <c r="QIM165" s="20"/>
      <c r="QIN165" s="20"/>
      <c r="QIO165" s="20"/>
      <c r="QIP165" s="20"/>
      <c r="QIQ165" s="21"/>
      <c r="QIR165" s="21"/>
      <c r="QIS165" s="7"/>
      <c r="QIT165" s="7"/>
      <c r="QIU165" s="21"/>
      <c r="QIV165" s="20"/>
      <c r="QIW165" s="20"/>
      <c r="QIX165" s="20"/>
      <c r="QIY165" s="21"/>
      <c r="QIZ165" s="21"/>
      <c r="QJA165" s="21"/>
      <c r="QJB165" s="21"/>
      <c r="QJC165" s="21"/>
      <c r="QJD165" s="20"/>
      <c r="QJE165" s="20"/>
      <c r="QJF165" s="20"/>
      <c r="QJG165" s="20"/>
      <c r="QJH165" s="21"/>
      <c r="QJI165" s="21"/>
      <c r="QJJ165" s="7"/>
      <c r="QJK165" s="7"/>
      <c r="QJL165" s="21"/>
      <c r="QJM165" s="20"/>
      <c r="QJN165" s="20"/>
      <c r="QJO165" s="20"/>
      <c r="QJP165" s="21"/>
      <c r="QJQ165" s="21"/>
      <c r="QJR165" s="21"/>
      <c r="QJS165" s="21"/>
      <c r="QJT165" s="21"/>
      <c r="QJU165" s="20"/>
      <c r="QJV165" s="20"/>
      <c r="QJW165" s="20"/>
      <c r="QJX165" s="20"/>
      <c r="QJY165" s="21"/>
      <c r="QJZ165" s="21"/>
      <c r="QKA165" s="7"/>
      <c r="QKB165" s="7"/>
      <c r="QKC165" s="21"/>
      <c r="QKD165" s="20"/>
      <c r="QKE165" s="20"/>
      <c r="QKF165" s="20"/>
      <c r="QKG165" s="21"/>
      <c r="QKH165" s="21"/>
      <c r="QKI165" s="21"/>
      <c r="QKJ165" s="21"/>
      <c r="QKK165" s="21"/>
      <c r="QKL165" s="20"/>
      <c r="QKM165" s="20"/>
      <c r="QKN165" s="20"/>
      <c r="QKO165" s="20"/>
      <c r="QKP165" s="21"/>
      <c r="QKQ165" s="21"/>
      <c r="QKR165" s="7"/>
      <c r="QKS165" s="7"/>
      <c r="QKT165" s="21"/>
      <c r="QKU165" s="20"/>
      <c r="QKV165" s="20"/>
      <c r="QKW165" s="20"/>
      <c r="QKX165" s="21"/>
      <c r="QKY165" s="21"/>
      <c r="QKZ165" s="21"/>
      <c r="QLA165" s="21"/>
      <c r="QLB165" s="21"/>
      <c r="QLC165" s="20"/>
      <c r="QLD165" s="20"/>
      <c r="QLE165" s="20"/>
      <c r="QLF165" s="20"/>
      <c r="QLG165" s="21"/>
      <c r="QLH165" s="21"/>
      <c r="QLI165" s="7"/>
      <c r="QLJ165" s="7"/>
      <c r="QLK165" s="21"/>
      <c r="QLL165" s="20"/>
      <c r="QLM165" s="20"/>
      <c r="QLN165" s="20"/>
      <c r="QLO165" s="21"/>
      <c r="QLP165" s="21"/>
      <c r="QLQ165" s="21"/>
      <c r="QLR165" s="21"/>
      <c r="QLS165" s="21"/>
      <c r="QLT165" s="20"/>
      <c r="QLU165" s="20"/>
      <c r="QLV165" s="20"/>
      <c r="QLW165" s="20"/>
      <c r="QLX165" s="21"/>
      <c r="QLY165" s="21"/>
      <c r="QLZ165" s="7"/>
      <c r="QMA165" s="7"/>
      <c r="QMB165" s="21"/>
      <c r="QMC165" s="20"/>
      <c r="QMD165" s="20"/>
      <c r="QME165" s="20"/>
      <c r="QMF165" s="21"/>
      <c r="QMG165" s="21"/>
      <c r="QMH165" s="21"/>
      <c r="QMI165" s="21"/>
      <c r="QMJ165" s="21"/>
      <c r="QMK165" s="20"/>
      <c r="QML165" s="20"/>
      <c r="QMM165" s="20"/>
      <c r="QMN165" s="20"/>
      <c r="QMO165" s="21"/>
      <c r="QMP165" s="21"/>
      <c r="QMQ165" s="7"/>
      <c r="QMR165" s="7"/>
      <c r="QMS165" s="21"/>
      <c r="QMT165" s="20"/>
      <c r="QMU165" s="20"/>
      <c r="QMV165" s="20"/>
      <c r="QMW165" s="21"/>
      <c r="QMX165" s="21"/>
      <c r="QMY165" s="21"/>
      <c r="QMZ165" s="21"/>
      <c r="QNA165" s="21"/>
      <c r="QNB165" s="20"/>
      <c r="QNC165" s="20"/>
      <c r="QND165" s="20"/>
      <c r="QNE165" s="20"/>
      <c r="QNF165" s="21"/>
      <c r="QNG165" s="21"/>
      <c r="QNH165" s="7"/>
      <c r="QNI165" s="7"/>
      <c r="QNJ165" s="21"/>
      <c r="QNK165" s="20"/>
      <c r="QNL165" s="20"/>
      <c r="QNM165" s="20"/>
      <c r="QNN165" s="21"/>
      <c r="QNO165" s="21"/>
      <c r="QNP165" s="21"/>
      <c r="QNQ165" s="21"/>
      <c r="QNR165" s="21"/>
      <c r="QNS165" s="20"/>
      <c r="QNT165" s="20"/>
      <c r="QNU165" s="20"/>
      <c r="QNV165" s="20"/>
      <c r="QNW165" s="21"/>
      <c r="QNX165" s="21"/>
      <c r="QNY165" s="7"/>
      <c r="QNZ165" s="7"/>
      <c r="QOA165" s="21"/>
      <c r="QOB165" s="20"/>
      <c r="QOC165" s="20"/>
      <c r="QOD165" s="20"/>
      <c r="QOE165" s="21"/>
      <c r="QOF165" s="21"/>
      <c r="QOG165" s="21"/>
      <c r="QOH165" s="21"/>
      <c r="QOI165" s="21"/>
      <c r="QOJ165" s="20"/>
      <c r="QOK165" s="20"/>
      <c r="QOL165" s="20"/>
      <c r="QOM165" s="20"/>
      <c r="QON165" s="21"/>
      <c r="QOO165" s="21"/>
      <c r="QOP165" s="7"/>
      <c r="QOQ165" s="7"/>
      <c r="QOR165" s="21"/>
      <c r="QOS165" s="20"/>
      <c r="QOT165" s="20"/>
      <c r="QOU165" s="20"/>
      <c r="QOV165" s="21"/>
      <c r="QOW165" s="21"/>
      <c r="QOX165" s="21"/>
      <c r="QOY165" s="21"/>
      <c r="QOZ165" s="21"/>
      <c r="QPA165" s="20"/>
      <c r="QPB165" s="20"/>
      <c r="QPC165" s="20"/>
      <c r="QPD165" s="20"/>
      <c r="QPE165" s="21"/>
      <c r="QPF165" s="21"/>
      <c r="QPG165" s="7"/>
      <c r="QPH165" s="7"/>
      <c r="QPI165" s="21"/>
      <c r="QPJ165" s="20"/>
      <c r="QPK165" s="20"/>
      <c r="QPL165" s="20"/>
      <c r="QPM165" s="21"/>
      <c r="QPN165" s="21"/>
      <c r="QPO165" s="21"/>
      <c r="QPP165" s="21"/>
      <c r="QPQ165" s="21"/>
      <c r="QPR165" s="20"/>
      <c r="QPS165" s="20"/>
      <c r="QPT165" s="20"/>
      <c r="QPU165" s="20"/>
      <c r="QPV165" s="21"/>
      <c r="QPW165" s="21"/>
      <c r="QPX165" s="7"/>
      <c r="QPY165" s="7"/>
      <c r="QPZ165" s="21"/>
      <c r="QQA165" s="20"/>
      <c r="QQB165" s="20"/>
      <c r="QQC165" s="20"/>
      <c r="QQD165" s="21"/>
      <c r="QQE165" s="21"/>
      <c r="QQF165" s="21"/>
      <c r="QQG165" s="21"/>
      <c r="QQH165" s="21"/>
      <c r="QQI165" s="20"/>
      <c r="QQJ165" s="20"/>
      <c r="QQK165" s="20"/>
      <c r="QQL165" s="20"/>
      <c r="QQM165" s="21"/>
      <c r="QQN165" s="21"/>
      <c r="QQO165" s="7"/>
      <c r="QQP165" s="7"/>
      <c r="QQQ165" s="21"/>
      <c r="QQR165" s="20"/>
      <c r="QQS165" s="20"/>
      <c r="QQT165" s="20"/>
      <c r="QQU165" s="21"/>
      <c r="QQV165" s="21"/>
      <c r="QQW165" s="21"/>
      <c r="QQX165" s="21"/>
      <c r="QQY165" s="21"/>
      <c r="QQZ165" s="20"/>
      <c r="QRA165" s="20"/>
      <c r="QRB165" s="20"/>
      <c r="QRC165" s="20"/>
      <c r="QRD165" s="21"/>
      <c r="QRE165" s="21"/>
      <c r="QRF165" s="7"/>
      <c r="QRG165" s="7"/>
      <c r="QRH165" s="21"/>
      <c r="QRI165" s="20"/>
      <c r="QRJ165" s="20"/>
      <c r="QRK165" s="20"/>
      <c r="QRL165" s="21"/>
      <c r="QRM165" s="21"/>
      <c r="QRN165" s="21"/>
      <c r="QRO165" s="21"/>
      <c r="QRP165" s="21"/>
      <c r="QRQ165" s="20"/>
      <c r="QRR165" s="20"/>
      <c r="QRS165" s="20"/>
      <c r="QRT165" s="20"/>
      <c r="QRU165" s="21"/>
      <c r="QRV165" s="21"/>
      <c r="QRW165" s="7"/>
      <c r="QRX165" s="7"/>
      <c r="QRY165" s="21"/>
      <c r="QRZ165" s="20"/>
      <c r="QSA165" s="20"/>
      <c r="QSB165" s="20"/>
      <c r="QSC165" s="21"/>
      <c r="QSD165" s="21"/>
      <c r="QSE165" s="21"/>
      <c r="QSF165" s="21"/>
      <c r="QSG165" s="21"/>
      <c r="QSH165" s="20"/>
      <c r="QSI165" s="20"/>
      <c r="QSJ165" s="20"/>
      <c r="QSK165" s="20"/>
      <c r="QSL165" s="21"/>
      <c r="QSM165" s="21"/>
      <c r="QSN165" s="7"/>
      <c r="QSO165" s="7"/>
      <c r="QSP165" s="21"/>
      <c r="QSQ165" s="20"/>
      <c r="QSR165" s="20"/>
      <c r="QSS165" s="20"/>
      <c r="QST165" s="21"/>
      <c r="QSU165" s="21"/>
      <c r="QSV165" s="21"/>
      <c r="QSW165" s="21"/>
      <c r="QSX165" s="21"/>
      <c r="QSY165" s="20"/>
      <c r="QSZ165" s="20"/>
      <c r="QTA165" s="20"/>
      <c r="QTB165" s="20"/>
      <c r="QTC165" s="21"/>
      <c r="QTD165" s="21"/>
      <c r="QTE165" s="7"/>
      <c r="QTF165" s="7"/>
      <c r="QTG165" s="21"/>
      <c r="QTH165" s="20"/>
      <c r="QTI165" s="20"/>
      <c r="QTJ165" s="20"/>
      <c r="QTK165" s="21"/>
      <c r="QTL165" s="21"/>
      <c r="QTM165" s="21"/>
      <c r="QTN165" s="21"/>
      <c r="QTO165" s="21"/>
      <c r="QTP165" s="20"/>
      <c r="QTQ165" s="20"/>
      <c r="QTR165" s="20"/>
      <c r="QTS165" s="20"/>
      <c r="QTT165" s="21"/>
      <c r="QTU165" s="21"/>
      <c r="QTV165" s="7"/>
      <c r="QTW165" s="7"/>
      <c r="QTX165" s="21"/>
      <c r="QTY165" s="20"/>
      <c r="QTZ165" s="20"/>
      <c r="QUA165" s="20"/>
      <c r="QUB165" s="21"/>
      <c r="QUC165" s="21"/>
      <c r="QUD165" s="21"/>
      <c r="QUE165" s="21"/>
      <c r="QUF165" s="21"/>
      <c r="QUG165" s="20"/>
      <c r="QUH165" s="20"/>
      <c r="QUI165" s="20"/>
      <c r="QUJ165" s="20"/>
      <c r="QUK165" s="21"/>
      <c r="QUL165" s="21"/>
      <c r="QUM165" s="7"/>
      <c r="QUN165" s="7"/>
      <c r="QUO165" s="21"/>
      <c r="QUP165" s="20"/>
      <c r="QUQ165" s="20"/>
      <c r="QUR165" s="20"/>
      <c r="QUS165" s="21"/>
      <c r="QUT165" s="21"/>
      <c r="QUU165" s="21"/>
      <c r="QUV165" s="21"/>
      <c r="QUW165" s="21"/>
      <c r="QUX165" s="20"/>
      <c r="QUY165" s="20"/>
      <c r="QUZ165" s="20"/>
      <c r="QVA165" s="20"/>
      <c r="QVB165" s="21"/>
      <c r="QVC165" s="21"/>
      <c r="QVD165" s="7"/>
      <c r="QVE165" s="7"/>
      <c r="QVF165" s="21"/>
      <c r="QVG165" s="20"/>
      <c r="QVH165" s="20"/>
      <c r="QVI165" s="20"/>
      <c r="QVJ165" s="21"/>
      <c r="QVK165" s="21"/>
      <c r="QVL165" s="21"/>
      <c r="QVM165" s="21"/>
      <c r="QVN165" s="21"/>
      <c r="QVO165" s="20"/>
      <c r="QVP165" s="20"/>
      <c r="QVQ165" s="20"/>
      <c r="QVR165" s="20"/>
      <c r="QVS165" s="21"/>
      <c r="QVT165" s="21"/>
      <c r="QVU165" s="7"/>
      <c r="QVV165" s="7"/>
      <c r="QVW165" s="21"/>
      <c r="QVX165" s="20"/>
      <c r="QVY165" s="20"/>
      <c r="QVZ165" s="20"/>
      <c r="QWA165" s="21"/>
      <c r="QWB165" s="21"/>
      <c r="QWC165" s="21"/>
      <c r="QWD165" s="21"/>
      <c r="QWE165" s="21"/>
      <c r="QWF165" s="20"/>
      <c r="QWG165" s="20"/>
      <c r="QWH165" s="20"/>
      <c r="QWI165" s="20"/>
      <c r="QWJ165" s="21"/>
      <c r="QWK165" s="21"/>
      <c r="QWL165" s="7"/>
      <c r="QWM165" s="7"/>
      <c r="QWN165" s="21"/>
      <c r="QWO165" s="20"/>
      <c r="QWP165" s="20"/>
      <c r="QWQ165" s="20"/>
      <c r="QWR165" s="21"/>
      <c r="QWS165" s="21"/>
      <c r="QWT165" s="21"/>
      <c r="QWU165" s="21"/>
      <c r="QWV165" s="21"/>
      <c r="QWW165" s="20"/>
      <c r="QWX165" s="20"/>
      <c r="QWY165" s="20"/>
      <c r="QWZ165" s="20"/>
      <c r="QXA165" s="21"/>
      <c r="QXB165" s="21"/>
      <c r="QXC165" s="7"/>
      <c r="QXD165" s="7"/>
      <c r="QXE165" s="21"/>
      <c r="QXF165" s="20"/>
      <c r="QXG165" s="20"/>
      <c r="QXH165" s="20"/>
      <c r="QXI165" s="21"/>
      <c r="QXJ165" s="21"/>
      <c r="QXK165" s="21"/>
      <c r="QXL165" s="21"/>
      <c r="QXM165" s="21"/>
      <c r="QXN165" s="20"/>
      <c r="QXO165" s="20"/>
      <c r="QXP165" s="20"/>
      <c r="QXQ165" s="20"/>
      <c r="QXR165" s="21"/>
      <c r="QXS165" s="21"/>
      <c r="QXT165" s="7"/>
      <c r="QXU165" s="7"/>
      <c r="QXV165" s="21"/>
      <c r="QXW165" s="20"/>
      <c r="QXX165" s="20"/>
      <c r="QXY165" s="20"/>
      <c r="QXZ165" s="21"/>
      <c r="QYA165" s="21"/>
      <c r="QYB165" s="21"/>
      <c r="QYC165" s="21"/>
      <c r="QYD165" s="21"/>
      <c r="QYE165" s="20"/>
      <c r="QYF165" s="20"/>
      <c r="QYG165" s="20"/>
      <c r="QYH165" s="20"/>
      <c r="QYI165" s="21"/>
      <c r="QYJ165" s="21"/>
      <c r="QYK165" s="7"/>
      <c r="QYL165" s="7"/>
      <c r="QYM165" s="21"/>
      <c r="QYN165" s="20"/>
      <c r="QYO165" s="20"/>
      <c r="QYP165" s="20"/>
      <c r="QYQ165" s="21"/>
      <c r="QYR165" s="21"/>
      <c r="QYS165" s="21"/>
      <c r="QYT165" s="21"/>
      <c r="QYU165" s="21"/>
      <c r="QYV165" s="20"/>
      <c r="QYW165" s="20"/>
      <c r="QYX165" s="20"/>
      <c r="QYY165" s="20"/>
      <c r="QYZ165" s="21"/>
      <c r="QZA165" s="21"/>
      <c r="QZB165" s="7"/>
      <c r="QZC165" s="7"/>
      <c r="QZD165" s="21"/>
      <c r="QZE165" s="20"/>
      <c r="QZF165" s="20"/>
      <c r="QZG165" s="20"/>
      <c r="QZH165" s="21"/>
      <c r="QZI165" s="21"/>
      <c r="QZJ165" s="21"/>
      <c r="QZK165" s="21"/>
      <c r="QZL165" s="21"/>
      <c r="QZM165" s="20"/>
      <c r="QZN165" s="20"/>
      <c r="QZO165" s="20"/>
      <c r="QZP165" s="20"/>
      <c r="QZQ165" s="21"/>
      <c r="QZR165" s="21"/>
      <c r="QZS165" s="7"/>
      <c r="QZT165" s="7"/>
      <c r="QZU165" s="21"/>
      <c r="QZV165" s="20"/>
      <c r="QZW165" s="20"/>
      <c r="QZX165" s="20"/>
      <c r="QZY165" s="21"/>
      <c r="QZZ165" s="21"/>
      <c r="RAA165" s="21"/>
      <c r="RAB165" s="21"/>
      <c r="RAC165" s="21"/>
      <c r="RAD165" s="20"/>
      <c r="RAE165" s="20"/>
      <c r="RAF165" s="20"/>
      <c r="RAG165" s="20"/>
      <c r="RAH165" s="21"/>
      <c r="RAI165" s="21"/>
      <c r="RAJ165" s="7"/>
      <c r="RAK165" s="7"/>
      <c r="RAL165" s="21"/>
      <c r="RAM165" s="20"/>
      <c r="RAN165" s="20"/>
      <c r="RAO165" s="20"/>
      <c r="RAP165" s="21"/>
      <c r="RAQ165" s="21"/>
      <c r="RAR165" s="21"/>
      <c r="RAS165" s="21"/>
      <c r="RAT165" s="21"/>
      <c r="RAU165" s="20"/>
      <c r="RAV165" s="20"/>
      <c r="RAW165" s="20"/>
      <c r="RAX165" s="20"/>
      <c r="RAY165" s="21"/>
      <c r="RAZ165" s="21"/>
      <c r="RBA165" s="7"/>
      <c r="RBB165" s="7"/>
      <c r="RBC165" s="21"/>
      <c r="RBD165" s="20"/>
      <c r="RBE165" s="20"/>
      <c r="RBF165" s="20"/>
      <c r="RBG165" s="21"/>
      <c r="RBH165" s="21"/>
      <c r="RBI165" s="21"/>
      <c r="RBJ165" s="21"/>
      <c r="RBK165" s="21"/>
      <c r="RBL165" s="20"/>
      <c r="RBM165" s="20"/>
      <c r="RBN165" s="20"/>
      <c r="RBO165" s="20"/>
      <c r="RBP165" s="21"/>
      <c r="RBQ165" s="21"/>
      <c r="RBR165" s="7"/>
      <c r="RBS165" s="7"/>
      <c r="RBT165" s="21"/>
      <c r="RBU165" s="20"/>
      <c r="RBV165" s="20"/>
      <c r="RBW165" s="20"/>
      <c r="RBX165" s="21"/>
      <c r="RBY165" s="21"/>
      <c r="RBZ165" s="21"/>
      <c r="RCA165" s="21"/>
      <c r="RCB165" s="21"/>
      <c r="RCC165" s="20"/>
      <c r="RCD165" s="20"/>
      <c r="RCE165" s="20"/>
      <c r="RCF165" s="20"/>
      <c r="RCG165" s="21"/>
      <c r="RCH165" s="21"/>
      <c r="RCI165" s="7"/>
      <c r="RCJ165" s="7"/>
      <c r="RCK165" s="21"/>
      <c r="RCL165" s="20"/>
      <c r="RCM165" s="20"/>
      <c r="RCN165" s="20"/>
      <c r="RCO165" s="21"/>
      <c r="RCP165" s="21"/>
      <c r="RCQ165" s="21"/>
      <c r="RCR165" s="21"/>
      <c r="RCS165" s="21"/>
      <c r="RCT165" s="20"/>
      <c r="RCU165" s="20"/>
      <c r="RCV165" s="20"/>
      <c r="RCW165" s="20"/>
      <c r="RCX165" s="21"/>
      <c r="RCY165" s="21"/>
      <c r="RCZ165" s="7"/>
      <c r="RDA165" s="7"/>
      <c r="RDB165" s="21"/>
      <c r="RDC165" s="20"/>
      <c r="RDD165" s="20"/>
      <c r="RDE165" s="20"/>
      <c r="RDF165" s="21"/>
      <c r="RDG165" s="21"/>
      <c r="RDH165" s="21"/>
      <c r="RDI165" s="21"/>
      <c r="RDJ165" s="21"/>
      <c r="RDK165" s="20"/>
      <c r="RDL165" s="20"/>
      <c r="RDM165" s="20"/>
      <c r="RDN165" s="20"/>
      <c r="RDO165" s="21"/>
      <c r="RDP165" s="21"/>
      <c r="RDQ165" s="7"/>
      <c r="RDR165" s="7"/>
      <c r="RDS165" s="21"/>
      <c r="RDT165" s="20"/>
      <c r="RDU165" s="20"/>
      <c r="RDV165" s="20"/>
      <c r="RDW165" s="21"/>
      <c r="RDX165" s="21"/>
      <c r="RDY165" s="21"/>
      <c r="RDZ165" s="21"/>
      <c r="REA165" s="21"/>
      <c r="REB165" s="20"/>
      <c r="REC165" s="20"/>
      <c r="RED165" s="20"/>
      <c r="REE165" s="20"/>
      <c r="REF165" s="21"/>
      <c r="REG165" s="21"/>
      <c r="REH165" s="7"/>
      <c r="REI165" s="7"/>
      <c r="REJ165" s="21"/>
      <c r="REK165" s="20"/>
      <c r="REL165" s="20"/>
      <c r="REM165" s="20"/>
      <c r="REN165" s="21"/>
      <c r="REO165" s="21"/>
      <c r="REP165" s="21"/>
      <c r="REQ165" s="21"/>
      <c r="RER165" s="21"/>
      <c r="RES165" s="20"/>
      <c r="RET165" s="20"/>
      <c r="REU165" s="20"/>
      <c r="REV165" s="20"/>
      <c r="REW165" s="21"/>
      <c r="REX165" s="21"/>
      <c r="REY165" s="7"/>
      <c r="REZ165" s="7"/>
      <c r="RFA165" s="21"/>
      <c r="RFB165" s="20"/>
      <c r="RFC165" s="20"/>
      <c r="RFD165" s="20"/>
      <c r="RFE165" s="21"/>
      <c r="RFF165" s="21"/>
      <c r="RFG165" s="21"/>
      <c r="RFH165" s="21"/>
      <c r="RFI165" s="21"/>
      <c r="RFJ165" s="20"/>
      <c r="RFK165" s="20"/>
      <c r="RFL165" s="20"/>
      <c r="RFM165" s="20"/>
      <c r="RFN165" s="21"/>
      <c r="RFO165" s="21"/>
      <c r="RFP165" s="7"/>
      <c r="RFQ165" s="7"/>
      <c r="RFR165" s="21"/>
      <c r="RFS165" s="20"/>
      <c r="RFT165" s="20"/>
      <c r="RFU165" s="20"/>
      <c r="RFV165" s="21"/>
      <c r="RFW165" s="21"/>
      <c r="RFX165" s="21"/>
      <c r="RFY165" s="21"/>
      <c r="RFZ165" s="21"/>
      <c r="RGA165" s="20"/>
      <c r="RGB165" s="20"/>
      <c r="RGC165" s="20"/>
      <c r="RGD165" s="20"/>
      <c r="RGE165" s="21"/>
      <c r="RGF165" s="21"/>
      <c r="RGG165" s="7"/>
      <c r="RGH165" s="7"/>
      <c r="RGI165" s="21"/>
      <c r="RGJ165" s="20"/>
      <c r="RGK165" s="20"/>
      <c r="RGL165" s="20"/>
      <c r="RGM165" s="21"/>
      <c r="RGN165" s="21"/>
      <c r="RGO165" s="21"/>
      <c r="RGP165" s="21"/>
      <c r="RGQ165" s="21"/>
      <c r="RGR165" s="20"/>
      <c r="RGS165" s="20"/>
      <c r="RGT165" s="20"/>
      <c r="RGU165" s="20"/>
      <c r="RGV165" s="21"/>
      <c r="RGW165" s="21"/>
      <c r="RGX165" s="7"/>
      <c r="RGY165" s="7"/>
      <c r="RGZ165" s="21"/>
      <c r="RHA165" s="20"/>
      <c r="RHB165" s="20"/>
      <c r="RHC165" s="20"/>
      <c r="RHD165" s="21"/>
      <c r="RHE165" s="21"/>
      <c r="RHF165" s="21"/>
      <c r="RHG165" s="21"/>
      <c r="RHH165" s="21"/>
      <c r="RHI165" s="20"/>
      <c r="RHJ165" s="20"/>
      <c r="RHK165" s="20"/>
      <c r="RHL165" s="20"/>
      <c r="RHM165" s="21"/>
      <c r="RHN165" s="21"/>
      <c r="RHO165" s="7"/>
      <c r="RHP165" s="7"/>
      <c r="RHQ165" s="21"/>
      <c r="RHR165" s="20"/>
      <c r="RHS165" s="20"/>
      <c r="RHT165" s="20"/>
      <c r="RHU165" s="21"/>
      <c r="RHV165" s="21"/>
      <c r="RHW165" s="21"/>
      <c r="RHX165" s="21"/>
      <c r="RHY165" s="21"/>
      <c r="RHZ165" s="20"/>
      <c r="RIA165" s="20"/>
      <c r="RIB165" s="20"/>
      <c r="RIC165" s="20"/>
      <c r="RID165" s="21"/>
      <c r="RIE165" s="21"/>
      <c r="RIF165" s="7"/>
      <c r="RIG165" s="7"/>
      <c r="RIH165" s="21"/>
      <c r="RII165" s="20"/>
      <c r="RIJ165" s="20"/>
      <c r="RIK165" s="20"/>
      <c r="RIL165" s="21"/>
      <c r="RIM165" s="21"/>
      <c r="RIN165" s="21"/>
      <c r="RIO165" s="21"/>
      <c r="RIP165" s="21"/>
      <c r="RIQ165" s="20"/>
      <c r="RIR165" s="20"/>
      <c r="RIS165" s="20"/>
      <c r="RIT165" s="20"/>
      <c r="RIU165" s="21"/>
      <c r="RIV165" s="21"/>
      <c r="RIW165" s="7"/>
      <c r="RIX165" s="7"/>
      <c r="RIY165" s="21"/>
      <c r="RIZ165" s="20"/>
      <c r="RJA165" s="20"/>
      <c r="RJB165" s="20"/>
      <c r="RJC165" s="21"/>
      <c r="RJD165" s="21"/>
      <c r="RJE165" s="21"/>
      <c r="RJF165" s="21"/>
      <c r="RJG165" s="21"/>
      <c r="RJH165" s="20"/>
      <c r="RJI165" s="20"/>
      <c r="RJJ165" s="20"/>
      <c r="RJK165" s="20"/>
      <c r="RJL165" s="21"/>
      <c r="RJM165" s="21"/>
      <c r="RJN165" s="7"/>
      <c r="RJO165" s="7"/>
      <c r="RJP165" s="21"/>
      <c r="RJQ165" s="20"/>
      <c r="RJR165" s="20"/>
      <c r="RJS165" s="20"/>
      <c r="RJT165" s="21"/>
      <c r="RJU165" s="21"/>
      <c r="RJV165" s="21"/>
      <c r="RJW165" s="21"/>
      <c r="RJX165" s="21"/>
      <c r="RJY165" s="20"/>
      <c r="RJZ165" s="20"/>
      <c r="RKA165" s="20"/>
      <c r="RKB165" s="20"/>
      <c r="RKC165" s="21"/>
      <c r="RKD165" s="21"/>
      <c r="RKE165" s="7"/>
      <c r="RKF165" s="7"/>
      <c r="RKG165" s="21"/>
      <c r="RKH165" s="20"/>
      <c r="RKI165" s="20"/>
      <c r="RKJ165" s="20"/>
      <c r="RKK165" s="21"/>
      <c r="RKL165" s="21"/>
      <c r="RKM165" s="21"/>
      <c r="RKN165" s="21"/>
      <c r="RKO165" s="21"/>
      <c r="RKP165" s="20"/>
      <c r="RKQ165" s="20"/>
      <c r="RKR165" s="20"/>
      <c r="RKS165" s="20"/>
      <c r="RKT165" s="21"/>
      <c r="RKU165" s="21"/>
      <c r="RKV165" s="7"/>
      <c r="RKW165" s="7"/>
      <c r="RKX165" s="21"/>
      <c r="RKY165" s="20"/>
      <c r="RKZ165" s="20"/>
      <c r="RLA165" s="20"/>
      <c r="RLB165" s="21"/>
      <c r="RLC165" s="21"/>
      <c r="RLD165" s="21"/>
      <c r="RLE165" s="21"/>
      <c r="RLF165" s="21"/>
      <c r="RLG165" s="20"/>
      <c r="RLH165" s="20"/>
      <c r="RLI165" s="20"/>
      <c r="RLJ165" s="20"/>
      <c r="RLK165" s="21"/>
      <c r="RLL165" s="21"/>
      <c r="RLM165" s="7"/>
      <c r="RLN165" s="7"/>
      <c r="RLO165" s="21"/>
      <c r="RLP165" s="20"/>
      <c r="RLQ165" s="20"/>
      <c r="RLR165" s="20"/>
      <c r="RLS165" s="21"/>
      <c r="RLT165" s="21"/>
      <c r="RLU165" s="21"/>
      <c r="RLV165" s="21"/>
      <c r="RLW165" s="21"/>
      <c r="RLX165" s="20"/>
      <c r="RLY165" s="20"/>
      <c r="RLZ165" s="20"/>
      <c r="RMA165" s="20"/>
      <c r="RMB165" s="21"/>
      <c r="RMC165" s="21"/>
      <c r="RMD165" s="7"/>
      <c r="RME165" s="7"/>
      <c r="RMF165" s="21"/>
      <c r="RMG165" s="20"/>
      <c r="RMH165" s="20"/>
      <c r="RMI165" s="20"/>
      <c r="RMJ165" s="21"/>
      <c r="RMK165" s="21"/>
      <c r="RML165" s="21"/>
      <c r="RMM165" s="21"/>
      <c r="RMN165" s="21"/>
      <c r="RMO165" s="20"/>
      <c r="RMP165" s="20"/>
      <c r="RMQ165" s="20"/>
      <c r="RMR165" s="20"/>
      <c r="RMS165" s="21"/>
      <c r="RMT165" s="21"/>
      <c r="RMU165" s="7"/>
      <c r="RMV165" s="7"/>
      <c r="RMW165" s="21"/>
      <c r="RMX165" s="20"/>
      <c r="RMY165" s="20"/>
      <c r="RMZ165" s="20"/>
      <c r="RNA165" s="21"/>
      <c r="RNB165" s="21"/>
      <c r="RNC165" s="21"/>
      <c r="RND165" s="21"/>
      <c r="RNE165" s="21"/>
      <c r="RNF165" s="20"/>
      <c r="RNG165" s="20"/>
      <c r="RNH165" s="20"/>
      <c r="RNI165" s="20"/>
      <c r="RNJ165" s="21"/>
      <c r="RNK165" s="21"/>
      <c r="RNL165" s="7"/>
      <c r="RNM165" s="7"/>
      <c r="RNN165" s="21"/>
      <c r="RNO165" s="20"/>
      <c r="RNP165" s="20"/>
      <c r="RNQ165" s="20"/>
      <c r="RNR165" s="21"/>
      <c r="RNS165" s="21"/>
      <c r="RNT165" s="21"/>
      <c r="RNU165" s="21"/>
      <c r="RNV165" s="21"/>
      <c r="RNW165" s="20"/>
      <c r="RNX165" s="20"/>
      <c r="RNY165" s="20"/>
      <c r="RNZ165" s="20"/>
      <c r="ROA165" s="21"/>
      <c r="ROB165" s="21"/>
      <c r="ROC165" s="7"/>
      <c r="ROD165" s="7"/>
      <c r="ROE165" s="21"/>
      <c r="ROF165" s="20"/>
      <c r="ROG165" s="20"/>
      <c r="ROH165" s="20"/>
      <c r="ROI165" s="21"/>
      <c r="ROJ165" s="21"/>
      <c r="ROK165" s="21"/>
      <c r="ROL165" s="21"/>
      <c r="ROM165" s="21"/>
      <c r="RON165" s="20"/>
      <c r="ROO165" s="20"/>
      <c r="ROP165" s="20"/>
      <c r="ROQ165" s="20"/>
      <c r="ROR165" s="21"/>
      <c r="ROS165" s="21"/>
      <c r="ROT165" s="7"/>
      <c r="ROU165" s="7"/>
      <c r="ROV165" s="21"/>
      <c r="ROW165" s="20"/>
      <c r="ROX165" s="20"/>
      <c r="ROY165" s="20"/>
      <c r="ROZ165" s="21"/>
      <c r="RPA165" s="21"/>
      <c r="RPB165" s="21"/>
      <c r="RPC165" s="21"/>
      <c r="RPD165" s="21"/>
      <c r="RPE165" s="20"/>
      <c r="RPF165" s="20"/>
      <c r="RPG165" s="20"/>
      <c r="RPH165" s="20"/>
      <c r="RPI165" s="21"/>
      <c r="RPJ165" s="21"/>
      <c r="RPK165" s="7"/>
      <c r="RPL165" s="7"/>
      <c r="RPM165" s="21"/>
      <c r="RPN165" s="20"/>
      <c r="RPO165" s="20"/>
      <c r="RPP165" s="20"/>
      <c r="RPQ165" s="21"/>
      <c r="RPR165" s="21"/>
      <c r="RPS165" s="21"/>
      <c r="RPT165" s="21"/>
      <c r="RPU165" s="21"/>
      <c r="RPV165" s="20"/>
      <c r="RPW165" s="20"/>
      <c r="RPX165" s="20"/>
      <c r="RPY165" s="20"/>
      <c r="RPZ165" s="21"/>
      <c r="RQA165" s="21"/>
      <c r="RQB165" s="7"/>
      <c r="RQC165" s="7"/>
      <c r="RQD165" s="21"/>
      <c r="RQE165" s="20"/>
      <c r="RQF165" s="20"/>
      <c r="RQG165" s="20"/>
      <c r="RQH165" s="21"/>
      <c r="RQI165" s="21"/>
      <c r="RQJ165" s="21"/>
      <c r="RQK165" s="21"/>
      <c r="RQL165" s="21"/>
      <c r="RQM165" s="20"/>
      <c r="RQN165" s="20"/>
      <c r="RQO165" s="20"/>
      <c r="RQP165" s="20"/>
      <c r="RQQ165" s="21"/>
      <c r="RQR165" s="21"/>
      <c r="RQS165" s="7"/>
      <c r="RQT165" s="7"/>
      <c r="RQU165" s="21"/>
      <c r="RQV165" s="20"/>
      <c r="RQW165" s="20"/>
      <c r="RQX165" s="20"/>
      <c r="RQY165" s="21"/>
      <c r="RQZ165" s="21"/>
      <c r="RRA165" s="21"/>
      <c r="RRB165" s="21"/>
      <c r="RRC165" s="21"/>
      <c r="RRD165" s="20"/>
      <c r="RRE165" s="20"/>
      <c r="RRF165" s="20"/>
      <c r="RRG165" s="20"/>
      <c r="RRH165" s="21"/>
      <c r="RRI165" s="21"/>
      <c r="RRJ165" s="7"/>
      <c r="RRK165" s="7"/>
      <c r="RRL165" s="21"/>
      <c r="RRM165" s="20"/>
      <c r="RRN165" s="20"/>
      <c r="RRO165" s="20"/>
      <c r="RRP165" s="21"/>
      <c r="RRQ165" s="21"/>
      <c r="RRR165" s="21"/>
      <c r="RRS165" s="21"/>
      <c r="RRT165" s="21"/>
      <c r="RRU165" s="20"/>
      <c r="RRV165" s="20"/>
      <c r="RRW165" s="20"/>
      <c r="RRX165" s="20"/>
      <c r="RRY165" s="21"/>
      <c r="RRZ165" s="21"/>
      <c r="RSA165" s="7"/>
      <c r="RSB165" s="7"/>
      <c r="RSC165" s="21"/>
      <c r="RSD165" s="20"/>
      <c r="RSE165" s="20"/>
      <c r="RSF165" s="20"/>
      <c r="RSG165" s="21"/>
      <c r="RSH165" s="21"/>
      <c r="RSI165" s="21"/>
      <c r="RSJ165" s="21"/>
      <c r="RSK165" s="21"/>
      <c r="RSL165" s="20"/>
      <c r="RSM165" s="20"/>
      <c r="RSN165" s="20"/>
      <c r="RSO165" s="20"/>
      <c r="RSP165" s="21"/>
      <c r="RSQ165" s="21"/>
      <c r="RSR165" s="7"/>
      <c r="RSS165" s="7"/>
      <c r="RST165" s="21"/>
      <c r="RSU165" s="20"/>
      <c r="RSV165" s="20"/>
      <c r="RSW165" s="20"/>
      <c r="RSX165" s="21"/>
      <c r="RSY165" s="21"/>
      <c r="RSZ165" s="21"/>
      <c r="RTA165" s="21"/>
      <c r="RTB165" s="21"/>
      <c r="RTC165" s="20"/>
      <c r="RTD165" s="20"/>
      <c r="RTE165" s="20"/>
      <c r="RTF165" s="20"/>
      <c r="RTG165" s="21"/>
      <c r="RTH165" s="21"/>
      <c r="RTI165" s="7"/>
      <c r="RTJ165" s="7"/>
      <c r="RTK165" s="21"/>
      <c r="RTL165" s="20"/>
      <c r="RTM165" s="20"/>
      <c r="RTN165" s="20"/>
      <c r="RTO165" s="21"/>
      <c r="RTP165" s="21"/>
      <c r="RTQ165" s="21"/>
      <c r="RTR165" s="21"/>
      <c r="RTS165" s="21"/>
      <c r="RTT165" s="20"/>
      <c r="RTU165" s="20"/>
      <c r="RTV165" s="20"/>
      <c r="RTW165" s="20"/>
      <c r="RTX165" s="21"/>
      <c r="RTY165" s="21"/>
      <c r="RTZ165" s="7"/>
      <c r="RUA165" s="7"/>
      <c r="RUB165" s="21"/>
      <c r="RUC165" s="20"/>
      <c r="RUD165" s="20"/>
      <c r="RUE165" s="20"/>
      <c r="RUF165" s="21"/>
      <c r="RUG165" s="21"/>
      <c r="RUH165" s="21"/>
      <c r="RUI165" s="21"/>
      <c r="RUJ165" s="21"/>
      <c r="RUK165" s="20"/>
      <c r="RUL165" s="20"/>
      <c r="RUM165" s="20"/>
      <c r="RUN165" s="20"/>
      <c r="RUO165" s="21"/>
      <c r="RUP165" s="21"/>
      <c r="RUQ165" s="7"/>
      <c r="RUR165" s="7"/>
      <c r="RUS165" s="21"/>
      <c r="RUT165" s="20"/>
      <c r="RUU165" s="20"/>
      <c r="RUV165" s="20"/>
      <c r="RUW165" s="21"/>
      <c r="RUX165" s="21"/>
      <c r="RUY165" s="21"/>
      <c r="RUZ165" s="21"/>
      <c r="RVA165" s="21"/>
      <c r="RVB165" s="20"/>
      <c r="RVC165" s="20"/>
      <c r="RVD165" s="20"/>
      <c r="RVE165" s="20"/>
      <c r="RVF165" s="21"/>
      <c r="RVG165" s="21"/>
      <c r="RVH165" s="7"/>
      <c r="RVI165" s="7"/>
      <c r="RVJ165" s="21"/>
      <c r="RVK165" s="20"/>
      <c r="RVL165" s="20"/>
      <c r="RVM165" s="20"/>
      <c r="RVN165" s="21"/>
      <c r="RVO165" s="21"/>
      <c r="RVP165" s="21"/>
      <c r="RVQ165" s="21"/>
      <c r="RVR165" s="21"/>
      <c r="RVS165" s="20"/>
      <c r="RVT165" s="20"/>
      <c r="RVU165" s="20"/>
      <c r="RVV165" s="20"/>
      <c r="RVW165" s="21"/>
      <c r="RVX165" s="21"/>
      <c r="RVY165" s="7"/>
      <c r="RVZ165" s="7"/>
      <c r="RWA165" s="21"/>
      <c r="RWB165" s="20"/>
      <c r="RWC165" s="20"/>
      <c r="RWD165" s="20"/>
      <c r="RWE165" s="21"/>
      <c r="RWF165" s="21"/>
      <c r="RWG165" s="21"/>
      <c r="RWH165" s="21"/>
      <c r="RWI165" s="21"/>
      <c r="RWJ165" s="20"/>
      <c r="RWK165" s="20"/>
      <c r="RWL165" s="20"/>
      <c r="RWM165" s="20"/>
      <c r="RWN165" s="21"/>
      <c r="RWO165" s="21"/>
      <c r="RWP165" s="7"/>
      <c r="RWQ165" s="7"/>
      <c r="RWR165" s="21"/>
      <c r="RWS165" s="20"/>
      <c r="RWT165" s="20"/>
      <c r="RWU165" s="20"/>
      <c r="RWV165" s="21"/>
      <c r="RWW165" s="21"/>
      <c r="RWX165" s="21"/>
      <c r="RWY165" s="21"/>
      <c r="RWZ165" s="21"/>
      <c r="RXA165" s="20"/>
      <c r="RXB165" s="20"/>
      <c r="RXC165" s="20"/>
      <c r="RXD165" s="20"/>
      <c r="RXE165" s="21"/>
      <c r="RXF165" s="21"/>
      <c r="RXG165" s="7"/>
      <c r="RXH165" s="7"/>
      <c r="RXI165" s="21"/>
      <c r="RXJ165" s="20"/>
      <c r="RXK165" s="20"/>
      <c r="RXL165" s="20"/>
      <c r="RXM165" s="21"/>
      <c r="RXN165" s="21"/>
      <c r="RXO165" s="21"/>
      <c r="RXP165" s="21"/>
      <c r="RXQ165" s="21"/>
      <c r="RXR165" s="20"/>
      <c r="RXS165" s="20"/>
      <c r="RXT165" s="20"/>
      <c r="RXU165" s="20"/>
      <c r="RXV165" s="21"/>
      <c r="RXW165" s="21"/>
      <c r="RXX165" s="7"/>
      <c r="RXY165" s="7"/>
      <c r="RXZ165" s="21"/>
      <c r="RYA165" s="20"/>
      <c r="RYB165" s="20"/>
      <c r="RYC165" s="20"/>
      <c r="RYD165" s="21"/>
      <c r="RYE165" s="21"/>
      <c r="RYF165" s="21"/>
      <c r="RYG165" s="21"/>
      <c r="RYH165" s="21"/>
      <c r="RYI165" s="20"/>
      <c r="RYJ165" s="20"/>
      <c r="RYK165" s="20"/>
      <c r="RYL165" s="20"/>
      <c r="RYM165" s="21"/>
      <c r="RYN165" s="21"/>
      <c r="RYO165" s="7"/>
      <c r="RYP165" s="7"/>
      <c r="RYQ165" s="21"/>
      <c r="RYR165" s="20"/>
      <c r="RYS165" s="20"/>
      <c r="RYT165" s="20"/>
      <c r="RYU165" s="21"/>
      <c r="RYV165" s="21"/>
      <c r="RYW165" s="21"/>
      <c r="RYX165" s="21"/>
      <c r="RYY165" s="21"/>
      <c r="RYZ165" s="20"/>
      <c r="RZA165" s="20"/>
      <c r="RZB165" s="20"/>
      <c r="RZC165" s="20"/>
      <c r="RZD165" s="21"/>
      <c r="RZE165" s="21"/>
      <c r="RZF165" s="7"/>
      <c r="RZG165" s="7"/>
      <c r="RZH165" s="21"/>
      <c r="RZI165" s="20"/>
      <c r="RZJ165" s="20"/>
      <c r="RZK165" s="20"/>
      <c r="RZL165" s="21"/>
      <c r="RZM165" s="21"/>
      <c r="RZN165" s="21"/>
      <c r="RZO165" s="21"/>
      <c r="RZP165" s="21"/>
      <c r="RZQ165" s="20"/>
      <c r="RZR165" s="20"/>
      <c r="RZS165" s="20"/>
      <c r="RZT165" s="20"/>
      <c r="RZU165" s="21"/>
      <c r="RZV165" s="21"/>
      <c r="RZW165" s="7"/>
      <c r="RZX165" s="7"/>
      <c r="RZY165" s="21"/>
      <c r="RZZ165" s="20"/>
      <c r="SAA165" s="20"/>
      <c r="SAB165" s="20"/>
      <c r="SAC165" s="21"/>
      <c r="SAD165" s="21"/>
      <c r="SAE165" s="21"/>
      <c r="SAF165" s="21"/>
      <c r="SAG165" s="21"/>
      <c r="SAH165" s="20"/>
      <c r="SAI165" s="20"/>
      <c r="SAJ165" s="20"/>
      <c r="SAK165" s="20"/>
      <c r="SAL165" s="21"/>
      <c r="SAM165" s="21"/>
      <c r="SAN165" s="7"/>
      <c r="SAO165" s="7"/>
      <c r="SAP165" s="21"/>
      <c r="SAQ165" s="20"/>
      <c r="SAR165" s="20"/>
      <c r="SAS165" s="20"/>
      <c r="SAT165" s="21"/>
      <c r="SAU165" s="21"/>
      <c r="SAV165" s="21"/>
      <c r="SAW165" s="21"/>
      <c r="SAX165" s="21"/>
      <c r="SAY165" s="20"/>
      <c r="SAZ165" s="20"/>
      <c r="SBA165" s="20"/>
      <c r="SBB165" s="20"/>
      <c r="SBC165" s="21"/>
      <c r="SBD165" s="21"/>
      <c r="SBE165" s="7"/>
      <c r="SBF165" s="7"/>
      <c r="SBG165" s="21"/>
      <c r="SBH165" s="20"/>
      <c r="SBI165" s="20"/>
      <c r="SBJ165" s="20"/>
      <c r="SBK165" s="21"/>
      <c r="SBL165" s="21"/>
      <c r="SBM165" s="21"/>
      <c r="SBN165" s="21"/>
      <c r="SBO165" s="21"/>
      <c r="SBP165" s="20"/>
      <c r="SBQ165" s="20"/>
      <c r="SBR165" s="20"/>
      <c r="SBS165" s="20"/>
      <c r="SBT165" s="21"/>
      <c r="SBU165" s="21"/>
      <c r="SBV165" s="7"/>
      <c r="SBW165" s="7"/>
      <c r="SBX165" s="21"/>
      <c r="SBY165" s="20"/>
      <c r="SBZ165" s="20"/>
      <c r="SCA165" s="20"/>
      <c r="SCB165" s="21"/>
      <c r="SCC165" s="21"/>
      <c r="SCD165" s="21"/>
      <c r="SCE165" s="21"/>
      <c r="SCF165" s="21"/>
      <c r="SCG165" s="20"/>
      <c r="SCH165" s="20"/>
      <c r="SCI165" s="20"/>
      <c r="SCJ165" s="20"/>
      <c r="SCK165" s="21"/>
      <c r="SCL165" s="21"/>
      <c r="SCM165" s="7"/>
      <c r="SCN165" s="7"/>
      <c r="SCO165" s="21"/>
      <c r="SCP165" s="20"/>
      <c r="SCQ165" s="20"/>
      <c r="SCR165" s="20"/>
      <c r="SCS165" s="21"/>
      <c r="SCT165" s="21"/>
      <c r="SCU165" s="21"/>
      <c r="SCV165" s="21"/>
      <c r="SCW165" s="21"/>
      <c r="SCX165" s="20"/>
      <c r="SCY165" s="20"/>
      <c r="SCZ165" s="20"/>
      <c r="SDA165" s="20"/>
      <c r="SDB165" s="21"/>
      <c r="SDC165" s="21"/>
      <c r="SDD165" s="7"/>
      <c r="SDE165" s="7"/>
      <c r="SDF165" s="21"/>
      <c r="SDG165" s="20"/>
      <c r="SDH165" s="20"/>
      <c r="SDI165" s="20"/>
      <c r="SDJ165" s="21"/>
      <c r="SDK165" s="21"/>
      <c r="SDL165" s="21"/>
      <c r="SDM165" s="21"/>
      <c r="SDN165" s="21"/>
      <c r="SDO165" s="20"/>
      <c r="SDP165" s="20"/>
      <c r="SDQ165" s="20"/>
      <c r="SDR165" s="20"/>
      <c r="SDS165" s="21"/>
      <c r="SDT165" s="21"/>
      <c r="SDU165" s="7"/>
      <c r="SDV165" s="7"/>
      <c r="SDW165" s="21"/>
      <c r="SDX165" s="20"/>
      <c r="SDY165" s="20"/>
      <c r="SDZ165" s="20"/>
      <c r="SEA165" s="21"/>
      <c r="SEB165" s="21"/>
      <c r="SEC165" s="21"/>
      <c r="SED165" s="21"/>
      <c r="SEE165" s="21"/>
      <c r="SEF165" s="20"/>
      <c r="SEG165" s="20"/>
      <c r="SEH165" s="20"/>
      <c r="SEI165" s="20"/>
      <c r="SEJ165" s="21"/>
      <c r="SEK165" s="21"/>
      <c r="SEL165" s="7"/>
      <c r="SEM165" s="7"/>
      <c r="SEN165" s="21"/>
      <c r="SEO165" s="20"/>
      <c r="SEP165" s="20"/>
      <c r="SEQ165" s="20"/>
      <c r="SER165" s="21"/>
      <c r="SES165" s="21"/>
      <c r="SET165" s="21"/>
      <c r="SEU165" s="21"/>
      <c r="SEV165" s="21"/>
      <c r="SEW165" s="20"/>
      <c r="SEX165" s="20"/>
      <c r="SEY165" s="20"/>
      <c r="SEZ165" s="20"/>
      <c r="SFA165" s="21"/>
      <c r="SFB165" s="21"/>
      <c r="SFC165" s="7"/>
      <c r="SFD165" s="7"/>
      <c r="SFE165" s="21"/>
      <c r="SFF165" s="20"/>
      <c r="SFG165" s="20"/>
      <c r="SFH165" s="20"/>
      <c r="SFI165" s="21"/>
      <c r="SFJ165" s="21"/>
      <c r="SFK165" s="21"/>
      <c r="SFL165" s="21"/>
      <c r="SFM165" s="21"/>
      <c r="SFN165" s="20"/>
      <c r="SFO165" s="20"/>
      <c r="SFP165" s="20"/>
      <c r="SFQ165" s="20"/>
      <c r="SFR165" s="21"/>
      <c r="SFS165" s="21"/>
      <c r="SFT165" s="7"/>
      <c r="SFU165" s="7"/>
      <c r="SFV165" s="21"/>
      <c r="SFW165" s="20"/>
      <c r="SFX165" s="20"/>
      <c r="SFY165" s="20"/>
      <c r="SFZ165" s="21"/>
      <c r="SGA165" s="21"/>
      <c r="SGB165" s="21"/>
      <c r="SGC165" s="21"/>
      <c r="SGD165" s="21"/>
      <c r="SGE165" s="20"/>
      <c r="SGF165" s="20"/>
      <c r="SGG165" s="20"/>
      <c r="SGH165" s="20"/>
      <c r="SGI165" s="21"/>
      <c r="SGJ165" s="21"/>
      <c r="SGK165" s="7"/>
      <c r="SGL165" s="7"/>
      <c r="SGM165" s="21"/>
      <c r="SGN165" s="20"/>
      <c r="SGO165" s="20"/>
      <c r="SGP165" s="20"/>
      <c r="SGQ165" s="21"/>
      <c r="SGR165" s="21"/>
      <c r="SGS165" s="21"/>
      <c r="SGT165" s="21"/>
      <c r="SGU165" s="21"/>
      <c r="SGV165" s="20"/>
      <c r="SGW165" s="20"/>
      <c r="SGX165" s="20"/>
      <c r="SGY165" s="20"/>
      <c r="SGZ165" s="21"/>
      <c r="SHA165" s="21"/>
      <c r="SHB165" s="7"/>
      <c r="SHC165" s="7"/>
      <c r="SHD165" s="21"/>
      <c r="SHE165" s="20"/>
      <c r="SHF165" s="20"/>
      <c r="SHG165" s="20"/>
      <c r="SHH165" s="21"/>
      <c r="SHI165" s="21"/>
      <c r="SHJ165" s="21"/>
      <c r="SHK165" s="21"/>
      <c r="SHL165" s="21"/>
      <c r="SHM165" s="20"/>
      <c r="SHN165" s="20"/>
      <c r="SHO165" s="20"/>
      <c r="SHP165" s="20"/>
      <c r="SHQ165" s="21"/>
      <c r="SHR165" s="21"/>
      <c r="SHS165" s="7"/>
      <c r="SHT165" s="7"/>
      <c r="SHU165" s="21"/>
      <c r="SHV165" s="20"/>
      <c r="SHW165" s="20"/>
      <c r="SHX165" s="20"/>
      <c r="SHY165" s="21"/>
      <c r="SHZ165" s="21"/>
      <c r="SIA165" s="21"/>
      <c r="SIB165" s="21"/>
      <c r="SIC165" s="21"/>
      <c r="SID165" s="20"/>
      <c r="SIE165" s="20"/>
      <c r="SIF165" s="20"/>
      <c r="SIG165" s="20"/>
      <c r="SIH165" s="21"/>
      <c r="SII165" s="21"/>
      <c r="SIJ165" s="7"/>
      <c r="SIK165" s="7"/>
      <c r="SIL165" s="21"/>
      <c r="SIM165" s="20"/>
      <c r="SIN165" s="20"/>
      <c r="SIO165" s="20"/>
      <c r="SIP165" s="21"/>
      <c r="SIQ165" s="21"/>
      <c r="SIR165" s="21"/>
      <c r="SIS165" s="21"/>
      <c r="SIT165" s="21"/>
      <c r="SIU165" s="20"/>
      <c r="SIV165" s="20"/>
      <c r="SIW165" s="20"/>
      <c r="SIX165" s="20"/>
      <c r="SIY165" s="21"/>
      <c r="SIZ165" s="21"/>
      <c r="SJA165" s="7"/>
      <c r="SJB165" s="7"/>
      <c r="SJC165" s="21"/>
      <c r="SJD165" s="20"/>
      <c r="SJE165" s="20"/>
      <c r="SJF165" s="20"/>
      <c r="SJG165" s="21"/>
      <c r="SJH165" s="21"/>
      <c r="SJI165" s="21"/>
      <c r="SJJ165" s="21"/>
      <c r="SJK165" s="21"/>
      <c r="SJL165" s="20"/>
      <c r="SJM165" s="20"/>
      <c r="SJN165" s="20"/>
      <c r="SJO165" s="20"/>
      <c r="SJP165" s="21"/>
      <c r="SJQ165" s="21"/>
      <c r="SJR165" s="7"/>
      <c r="SJS165" s="7"/>
      <c r="SJT165" s="21"/>
      <c r="SJU165" s="20"/>
      <c r="SJV165" s="20"/>
      <c r="SJW165" s="20"/>
      <c r="SJX165" s="21"/>
      <c r="SJY165" s="21"/>
      <c r="SJZ165" s="21"/>
      <c r="SKA165" s="21"/>
      <c r="SKB165" s="21"/>
      <c r="SKC165" s="20"/>
      <c r="SKD165" s="20"/>
      <c r="SKE165" s="20"/>
      <c r="SKF165" s="20"/>
      <c r="SKG165" s="21"/>
      <c r="SKH165" s="21"/>
      <c r="SKI165" s="7"/>
      <c r="SKJ165" s="7"/>
      <c r="SKK165" s="21"/>
      <c r="SKL165" s="20"/>
      <c r="SKM165" s="20"/>
      <c r="SKN165" s="20"/>
      <c r="SKO165" s="21"/>
      <c r="SKP165" s="21"/>
      <c r="SKQ165" s="21"/>
      <c r="SKR165" s="21"/>
      <c r="SKS165" s="21"/>
      <c r="SKT165" s="20"/>
      <c r="SKU165" s="20"/>
      <c r="SKV165" s="20"/>
      <c r="SKW165" s="20"/>
      <c r="SKX165" s="21"/>
      <c r="SKY165" s="21"/>
      <c r="SKZ165" s="7"/>
      <c r="SLA165" s="7"/>
      <c r="SLB165" s="21"/>
      <c r="SLC165" s="20"/>
      <c r="SLD165" s="20"/>
      <c r="SLE165" s="20"/>
      <c r="SLF165" s="21"/>
      <c r="SLG165" s="21"/>
      <c r="SLH165" s="21"/>
      <c r="SLI165" s="21"/>
      <c r="SLJ165" s="21"/>
      <c r="SLK165" s="20"/>
      <c r="SLL165" s="20"/>
      <c r="SLM165" s="20"/>
      <c r="SLN165" s="20"/>
      <c r="SLO165" s="21"/>
      <c r="SLP165" s="21"/>
      <c r="SLQ165" s="7"/>
      <c r="SLR165" s="7"/>
      <c r="SLS165" s="21"/>
      <c r="SLT165" s="20"/>
      <c r="SLU165" s="20"/>
      <c r="SLV165" s="20"/>
      <c r="SLW165" s="21"/>
      <c r="SLX165" s="21"/>
      <c r="SLY165" s="21"/>
      <c r="SLZ165" s="21"/>
      <c r="SMA165" s="21"/>
      <c r="SMB165" s="20"/>
      <c r="SMC165" s="20"/>
      <c r="SMD165" s="20"/>
      <c r="SME165" s="20"/>
      <c r="SMF165" s="21"/>
      <c r="SMG165" s="21"/>
      <c r="SMH165" s="7"/>
      <c r="SMI165" s="7"/>
      <c r="SMJ165" s="21"/>
      <c r="SMK165" s="20"/>
      <c r="SML165" s="20"/>
      <c r="SMM165" s="20"/>
      <c r="SMN165" s="21"/>
      <c r="SMO165" s="21"/>
      <c r="SMP165" s="21"/>
      <c r="SMQ165" s="21"/>
      <c r="SMR165" s="21"/>
      <c r="SMS165" s="20"/>
      <c r="SMT165" s="20"/>
      <c r="SMU165" s="20"/>
      <c r="SMV165" s="20"/>
      <c r="SMW165" s="21"/>
      <c r="SMX165" s="21"/>
      <c r="SMY165" s="7"/>
      <c r="SMZ165" s="7"/>
      <c r="SNA165" s="21"/>
      <c r="SNB165" s="20"/>
      <c r="SNC165" s="20"/>
      <c r="SND165" s="20"/>
      <c r="SNE165" s="21"/>
      <c r="SNF165" s="21"/>
      <c r="SNG165" s="21"/>
      <c r="SNH165" s="21"/>
      <c r="SNI165" s="21"/>
      <c r="SNJ165" s="20"/>
      <c r="SNK165" s="20"/>
      <c r="SNL165" s="20"/>
      <c r="SNM165" s="20"/>
      <c r="SNN165" s="21"/>
      <c r="SNO165" s="21"/>
      <c r="SNP165" s="7"/>
      <c r="SNQ165" s="7"/>
      <c r="SNR165" s="21"/>
      <c r="SNS165" s="20"/>
      <c r="SNT165" s="20"/>
      <c r="SNU165" s="20"/>
      <c r="SNV165" s="21"/>
      <c r="SNW165" s="21"/>
      <c r="SNX165" s="21"/>
      <c r="SNY165" s="21"/>
      <c r="SNZ165" s="21"/>
      <c r="SOA165" s="20"/>
      <c r="SOB165" s="20"/>
      <c r="SOC165" s="20"/>
      <c r="SOD165" s="20"/>
      <c r="SOE165" s="21"/>
      <c r="SOF165" s="21"/>
      <c r="SOG165" s="7"/>
      <c r="SOH165" s="7"/>
      <c r="SOI165" s="21"/>
      <c r="SOJ165" s="20"/>
      <c r="SOK165" s="20"/>
      <c r="SOL165" s="20"/>
      <c r="SOM165" s="21"/>
      <c r="SON165" s="21"/>
      <c r="SOO165" s="21"/>
      <c r="SOP165" s="21"/>
      <c r="SOQ165" s="21"/>
      <c r="SOR165" s="20"/>
      <c r="SOS165" s="20"/>
      <c r="SOT165" s="20"/>
      <c r="SOU165" s="20"/>
      <c r="SOV165" s="21"/>
      <c r="SOW165" s="21"/>
      <c r="SOX165" s="7"/>
      <c r="SOY165" s="7"/>
      <c r="SOZ165" s="21"/>
      <c r="SPA165" s="20"/>
      <c r="SPB165" s="20"/>
      <c r="SPC165" s="20"/>
      <c r="SPD165" s="21"/>
      <c r="SPE165" s="21"/>
      <c r="SPF165" s="21"/>
      <c r="SPG165" s="21"/>
      <c r="SPH165" s="21"/>
      <c r="SPI165" s="20"/>
      <c r="SPJ165" s="20"/>
      <c r="SPK165" s="20"/>
      <c r="SPL165" s="20"/>
      <c r="SPM165" s="21"/>
      <c r="SPN165" s="21"/>
      <c r="SPO165" s="7"/>
      <c r="SPP165" s="7"/>
      <c r="SPQ165" s="21"/>
      <c r="SPR165" s="20"/>
      <c r="SPS165" s="20"/>
      <c r="SPT165" s="20"/>
      <c r="SPU165" s="21"/>
      <c r="SPV165" s="21"/>
      <c r="SPW165" s="21"/>
      <c r="SPX165" s="21"/>
      <c r="SPY165" s="21"/>
      <c r="SPZ165" s="20"/>
      <c r="SQA165" s="20"/>
      <c r="SQB165" s="20"/>
      <c r="SQC165" s="20"/>
      <c r="SQD165" s="21"/>
      <c r="SQE165" s="21"/>
      <c r="SQF165" s="7"/>
      <c r="SQG165" s="7"/>
      <c r="SQH165" s="21"/>
      <c r="SQI165" s="20"/>
      <c r="SQJ165" s="20"/>
      <c r="SQK165" s="20"/>
      <c r="SQL165" s="21"/>
      <c r="SQM165" s="21"/>
      <c r="SQN165" s="21"/>
      <c r="SQO165" s="21"/>
      <c r="SQP165" s="21"/>
      <c r="SQQ165" s="20"/>
      <c r="SQR165" s="20"/>
      <c r="SQS165" s="20"/>
      <c r="SQT165" s="20"/>
      <c r="SQU165" s="21"/>
      <c r="SQV165" s="21"/>
      <c r="SQW165" s="7"/>
      <c r="SQX165" s="7"/>
      <c r="SQY165" s="21"/>
      <c r="SQZ165" s="20"/>
      <c r="SRA165" s="20"/>
      <c r="SRB165" s="20"/>
      <c r="SRC165" s="21"/>
      <c r="SRD165" s="21"/>
      <c r="SRE165" s="21"/>
      <c r="SRF165" s="21"/>
      <c r="SRG165" s="21"/>
      <c r="SRH165" s="20"/>
      <c r="SRI165" s="20"/>
      <c r="SRJ165" s="20"/>
      <c r="SRK165" s="20"/>
      <c r="SRL165" s="21"/>
      <c r="SRM165" s="21"/>
      <c r="SRN165" s="7"/>
      <c r="SRO165" s="7"/>
      <c r="SRP165" s="21"/>
      <c r="SRQ165" s="20"/>
      <c r="SRR165" s="20"/>
      <c r="SRS165" s="20"/>
      <c r="SRT165" s="21"/>
      <c r="SRU165" s="21"/>
      <c r="SRV165" s="21"/>
      <c r="SRW165" s="21"/>
      <c r="SRX165" s="21"/>
      <c r="SRY165" s="20"/>
      <c r="SRZ165" s="20"/>
      <c r="SSA165" s="20"/>
      <c r="SSB165" s="20"/>
      <c r="SSC165" s="21"/>
      <c r="SSD165" s="21"/>
      <c r="SSE165" s="7"/>
      <c r="SSF165" s="7"/>
      <c r="SSG165" s="21"/>
      <c r="SSH165" s="20"/>
      <c r="SSI165" s="20"/>
      <c r="SSJ165" s="20"/>
      <c r="SSK165" s="21"/>
      <c r="SSL165" s="21"/>
      <c r="SSM165" s="21"/>
      <c r="SSN165" s="21"/>
      <c r="SSO165" s="21"/>
      <c r="SSP165" s="20"/>
      <c r="SSQ165" s="20"/>
      <c r="SSR165" s="20"/>
      <c r="SSS165" s="20"/>
      <c r="SST165" s="21"/>
      <c r="SSU165" s="21"/>
      <c r="SSV165" s="7"/>
      <c r="SSW165" s="7"/>
      <c r="SSX165" s="21"/>
      <c r="SSY165" s="20"/>
      <c r="SSZ165" s="20"/>
      <c r="STA165" s="20"/>
      <c r="STB165" s="21"/>
      <c r="STC165" s="21"/>
      <c r="STD165" s="21"/>
      <c r="STE165" s="21"/>
      <c r="STF165" s="21"/>
      <c r="STG165" s="20"/>
      <c r="STH165" s="20"/>
      <c r="STI165" s="20"/>
      <c r="STJ165" s="20"/>
      <c r="STK165" s="21"/>
      <c r="STL165" s="21"/>
      <c r="STM165" s="7"/>
      <c r="STN165" s="7"/>
      <c r="STO165" s="21"/>
      <c r="STP165" s="20"/>
      <c r="STQ165" s="20"/>
      <c r="STR165" s="20"/>
      <c r="STS165" s="21"/>
      <c r="STT165" s="21"/>
      <c r="STU165" s="21"/>
      <c r="STV165" s="21"/>
      <c r="STW165" s="21"/>
      <c r="STX165" s="20"/>
      <c r="STY165" s="20"/>
      <c r="STZ165" s="20"/>
      <c r="SUA165" s="20"/>
      <c r="SUB165" s="21"/>
      <c r="SUC165" s="21"/>
      <c r="SUD165" s="7"/>
      <c r="SUE165" s="7"/>
      <c r="SUF165" s="21"/>
      <c r="SUG165" s="20"/>
      <c r="SUH165" s="20"/>
      <c r="SUI165" s="20"/>
      <c r="SUJ165" s="21"/>
      <c r="SUK165" s="21"/>
      <c r="SUL165" s="21"/>
      <c r="SUM165" s="21"/>
      <c r="SUN165" s="21"/>
      <c r="SUO165" s="20"/>
      <c r="SUP165" s="20"/>
      <c r="SUQ165" s="20"/>
      <c r="SUR165" s="20"/>
      <c r="SUS165" s="21"/>
      <c r="SUT165" s="21"/>
      <c r="SUU165" s="7"/>
      <c r="SUV165" s="7"/>
      <c r="SUW165" s="21"/>
      <c r="SUX165" s="20"/>
      <c r="SUY165" s="20"/>
      <c r="SUZ165" s="20"/>
      <c r="SVA165" s="21"/>
      <c r="SVB165" s="21"/>
      <c r="SVC165" s="21"/>
      <c r="SVD165" s="21"/>
      <c r="SVE165" s="21"/>
      <c r="SVF165" s="20"/>
      <c r="SVG165" s="20"/>
      <c r="SVH165" s="20"/>
      <c r="SVI165" s="20"/>
      <c r="SVJ165" s="21"/>
      <c r="SVK165" s="21"/>
      <c r="SVL165" s="7"/>
      <c r="SVM165" s="7"/>
      <c r="SVN165" s="21"/>
      <c r="SVO165" s="20"/>
      <c r="SVP165" s="20"/>
      <c r="SVQ165" s="20"/>
      <c r="SVR165" s="21"/>
      <c r="SVS165" s="21"/>
      <c r="SVT165" s="21"/>
      <c r="SVU165" s="21"/>
      <c r="SVV165" s="21"/>
      <c r="SVW165" s="20"/>
      <c r="SVX165" s="20"/>
      <c r="SVY165" s="20"/>
      <c r="SVZ165" s="20"/>
      <c r="SWA165" s="21"/>
      <c r="SWB165" s="21"/>
      <c r="SWC165" s="7"/>
      <c r="SWD165" s="7"/>
      <c r="SWE165" s="21"/>
      <c r="SWF165" s="20"/>
      <c r="SWG165" s="20"/>
      <c r="SWH165" s="20"/>
      <c r="SWI165" s="21"/>
      <c r="SWJ165" s="21"/>
      <c r="SWK165" s="21"/>
      <c r="SWL165" s="21"/>
      <c r="SWM165" s="21"/>
      <c r="SWN165" s="20"/>
      <c r="SWO165" s="20"/>
      <c r="SWP165" s="20"/>
      <c r="SWQ165" s="20"/>
      <c r="SWR165" s="21"/>
      <c r="SWS165" s="21"/>
      <c r="SWT165" s="7"/>
      <c r="SWU165" s="7"/>
      <c r="SWV165" s="21"/>
      <c r="SWW165" s="20"/>
      <c r="SWX165" s="20"/>
      <c r="SWY165" s="20"/>
      <c r="SWZ165" s="21"/>
      <c r="SXA165" s="21"/>
      <c r="SXB165" s="21"/>
      <c r="SXC165" s="21"/>
      <c r="SXD165" s="21"/>
      <c r="SXE165" s="20"/>
      <c r="SXF165" s="20"/>
      <c r="SXG165" s="20"/>
      <c r="SXH165" s="20"/>
      <c r="SXI165" s="21"/>
      <c r="SXJ165" s="21"/>
      <c r="SXK165" s="7"/>
      <c r="SXL165" s="7"/>
      <c r="SXM165" s="21"/>
      <c r="SXN165" s="20"/>
      <c r="SXO165" s="20"/>
      <c r="SXP165" s="20"/>
      <c r="SXQ165" s="21"/>
      <c r="SXR165" s="21"/>
      <c r="SXS165" s="21"/>
      <c r="SXT165" s="21"/>
      <c r="SXU165" s="21"/>
      <c r="SXV165" s="20"/>
      <c r="SXW165" s="20"/>
      <c r="SXX165" s="20"/>
      <c r="SXY165" s="20"/>
      <c r="SXZ165" s="21"/>
      <c r="SYA165" s="21"/>
      <c r="SYB165" s="7"/>
      <c r="SYC165" s="7"/>
      <c r="SYD165" s="21"/>
      <c r="SYE165" s="20"/>
      <c r="SYF165" s="20"/>
      <c r="SYG165" s="20"/>
      <c r="SYH165" s="21"/>
      <c r="SYI165" s="21"/>
      <c r="SYJ165" s="21"/>
      <c r="SYK165" s="21"/>
      <c r="SYL165" s="21"/>
      <c r="SYM165" s="20"/>
      <c r="SYN165" s="20"/>
      <c r="SYO165" s="20"/>
      <c r="SYP165" s="20"/>
      <c r="SYQ165" s="21"/>
      <c r="SYR165" s="21"/>
      <c r="SYS165" s="7"/>
      <c r="SYT165" s="7"/>
      <c r="SYU165" s="21"/>
      <c r="SYV165" s="20"/>
      <c r="SYW165" s="20"/>
      <c r="SYX165" s="20"/>
      <c r="SYY165" s="21"/>
      <c r="SYZ165" s="21"/>
      <c r="SZA165" s="21"/>
      <c r="SZB165" s="21"/>
      <c r="SZC165" s="21"/>
      <c r="SZD165" s="20"/>
      <c r="SZE165" s="20"/>
      <c r="SZF165" s="20"/>
      <c r="SZG165" s="20"/>
      <c r="SZH165" s="21"/>
      <c r="SZI165" s="21"/>
      <c r="SZJ165" s="7"/>
      <c r="SZK165" s="7"/>
      <c r="SZL165" s="21"/>
      <c r="SZM165" s="20"/>
      <c r="SZN165" s="20"/>
      <c r="SZO165" s="20"/>
      <c r="SZP165" s="21"/>
      <c r="SZQ165" s="21"/>
      <c r="SZR165" s="21"/>
      <c r="SZS165" s="21"/>
      <c r="SZT165" s="21"/>
      <c r="SZU165" s="20"/>
      <c r="SZV165" s="20"/>
      <c r="SZW165" s="20"/>
      <c r="SZX165" s="20"/>
      <c r="SZY165" s="21"/>
      <c r="SZZ165" s="21"/>
      <c r="TAA165" s="7"/>
      <c r="TAB165" s="7"/>
      <c r="TAC165" s="21"/>
      <c r="TAD165" s="20"/>
      <c r="TAE165" s="20"/>
      <c r="TAF165" s="20"/>
      <c r="TAG165" s="21"/>
      <c r="TAH165" s="21"/>
      <c r="TAI165" s="21"/>
      <c r="TAJ165" s="21"/>
      <c r="TAK165" s="21"/>
      <c r="TAL165" s="20"/>
      <c r="TAM165" s="20"/>
      <c r="TAN165" s="20"/>
      <c r="TAO165" s="20"/>
      <c r="TAP165" s="21"/>
      <c r="TAQ165" s="21"/>
      <c r="TAR165" s="7"/>
      <c r="TAS165" s="7"/>
      <c r="TAT165" s="21"/>
      <c r="TAU165" s="20"/>
      <c r="TAV165" s="20"/>
      <c r="TAW165" s="20"/>
      <c r="TAX165" s="21"/>
      <c r="TAY165" s="21"/>
      <c r="TAZ165" s="21"/>
      <c r="TBA165" s="21"/>
      <c r="TBB165" s="21"/>
      <c r="TBC165" s="20"/>
      <c r="TBD165" s="20"/>
      <c r="TBE165" s="20"/>
      <c r="TBF165" s="20"/>
      <c r="TBG165" s="21"/>
      <c r="TBH165" s="21"/>
      <c r="TBI165" s="7"/>
      <c r="TBJ165" s="7"/>
      <c r="TBK165" s="21"/>
      <c r="TBL165" s="20"/>
      <c r="TBM165" s="20"/>
      <c r="TBN165" s="20"/>
      <c r="TBO165" s="21"/>
      <c r="TBP165" s="21"/>
      <c r="TBQ165" s="21"/>
      <c r="TBR165" s="21"/>
      <c r="TBS165" s="21"/>
      <c r="TBT165" s="20"/>
      <c r="TBU165" s="20"/>
      <c r="TBV165" s="20"/>
      <c r="TBW165" s="20"/>
      <c r="TBX165" s="21"/>
      <c r="TBY165" s="21"/>
      <c r="TBZ165" s="7"/>
      <c r="TCA165" s="7"/>
      <c r="TCB165" s="21"/>
      <c r="TCC165" s="20"/>
      <c r="TCD165" s="20"/>
      <c r="TCE165" s="20"/>
      <c r="TCF165" s="21"/>
      <c r="TCG165" s="21"/>
      <c r="TCH165" s="21"/>
      <c r="TCI165" s="21"/>
      <c r="TCJ165" s="21"/>
      <c r="TCK165" s="20"/>
      <c r="TCL165" s="20"/>
      <c r="TCM165" s="20"/>
      <c r="TCN165" s="20"/>
      <c r="TCO165" s="21"/>
      <c r="TCP165" s="21"/>
      <c r="TCQ165" s="7"/>
      <c r="TCR165" s="7"/>
      <c r="TCS165" s="21"/>
      <c r="TCT165" s="20"/>
      <c r="TCU165" s="20"/>
      <c r="TCV165" s="20"/>
      <c r="TCW165" s="21"/>
      <c r="TCX165" s="21"/>
      <c r="TCY165" s="21"/>
      <c r="TCZ165" s="21"/>
      <c r="TDA165" s="21"/>
      <c r="TDB165" s="20"/>
      <c r="TDC165" s="20"/>
      <c r="TDD165" s="20"/>
      <c r="TDE165" s="20"/>
      <c r="TDF165" s="21"/>
      <c r="TDG165" s="21"/>
      <c r="TDH165" s="7"/>
      <c r="TDI165" s="7"/>
      <c r="TDJ165" s="21"/>
      <c r="TDK165" s="20"/>
      <c r="TDL165" s="20"/>
      <c r="TDM165" s="20"/>
      <c r="TDN165" s="21"/>
      <c r="TDO165" s="21"/>
      <c r="TDP165" s="21"/>
      <c r="TDQ165" s="21"/>
      <c r="TDR165" s="21"/>
      <c r="TDS165" s="20"/>
      <c r="TDT165" s="20"/>
      <c r="TDU165" s="20"/>
      <c r="TDV165" s="20"/>
      <c r="TDW165" s="21"/>
      <c r="TDX165" s="21"/>
      <c r="TDY165" s="7"/>
      <c r="TDZ165" s="7"/>
      <c r="TEA165" s="21"/>
      <c r="TEB165" s="20"/>
      <c r="TEC165" s="20"/>
      <c r="TED165" s="20"/>
      <c r="TEE165" s="21"/>
      <c r="TEF165" s="21"/>
      <c r="TEG165" s="21"/>
      <c r="TEH165" s="21"/>
      <c r="TEI165" s="21"/>
      <c r="TEJ165" s="20"/>
      <c r="TEK165" s="20"/>
      <c r="TEL165" s="20"/>
      <c r="TEM165" s="20"/>
      <c r="TEN165" s="21"/>
      <c r="TEO165" s="21"/>
      <c r="TEP165" s="7"/>
      <c r="TEQ165" s="7"/>
      <c r="TER165" s="21"/>
      <c r="TES165" s="20"/>
      <c r="TET165" s="20"/>
      <c r="TEU165" s="20"/>
      <c r="TEV165" s="21"/>
      <c r="TEW165" s="21"/>
      <c r="TEX165" s="21"/>
      <c r="TEY165" s="21"/>
      <c r="TEZ165" s="21"/>
      <c r="TFA165" s="20"/>
      <c r="TFB165" s="20"/>
      <c r="TFC165" s="20"/>
      <c r="TFD165" s="20"/>
      <c r="TFE165" s="21"/>
      <c r="TFF165" s="21"/>
      <c r="TFG165" s="7"/>
      <c r="TFH165" s="7"/>
      <c r="TFI165" s="21"/>
      <c r="TFJ165" s="20"/>
      <c r="TFK165" s="20"/>
      <c r="TFL165" s="20"/>
      <c r="TFM165" s="21"/>
      <c r="TFN165" s="21"/>
      <c r="TFO165" s="21"/>
      <c r="TFP165" s="21"/>
      <c r="TFQ165" s="21"/>
      <c r="TFR165" s="20"/>
      <c r="TFS165" s="20"/>
      <c r="TFT165" s="20"/>
      <c r="TFU165" s="20"/>
      <c r="TFV165" s="21"/>
      <c r="TFW165" s="21"/>
      <c r="TFX165" s="7"/>
      <c r="TFY165" s="7"/>
      <c r="TFZ165" s="21"/>
      <c r="TGA165" s="20"/>
      <c r="TGB165" s="20"/>
      <c r="TGC165" s="20"/>
      <c r="TGD165" s="21"/>
      <c r="TGE165" s="21"/>
      <c r="TGF165" s="21"/>
      <c r="TGG165" s="21"/>
      <c r="TGH165" s="21"/>
      <c r="TGI165" s="20"/>
      <c r="TGJ165" s="20"/>
      <c r="TGK165" s="20"/>
      <c r="TGL165" s="20"/>
      <c r="TGM165" s="21"/>
      <c r="TGN165" s="21"/>
      <c r="TGO165" s="7"/>
      <c r="TGP165" s="7"/>
      <c r="TGQ165" s="21"/>
      <c r="TGR165" s="20"/>
      <c r="TGS165" s="20"/>
      <c r="TGT165" s="20"/>
      <c r="TGU165" s="21"/>
      <c r="TGV165" s="21"/>
      <c r="TGW165" s="21"/>
      <c r="TGX165" s="21"/>
      <c r="TGY165" s="21"/>
      <c r="TGZ165" s="20"/>
      <c r="THA165" s="20"/>
      <c r="THB165" s="20"/>
      <c r="THC165" s="20"/>
      <c r="THD165" s="21"/>
      <c r="THE165" s="21"/>
      <c r="THF165" s="7"/>
      <c r="THG165" s="7"/>
      <c r="THH165" s="21"/>
      <c r="THI165" s="20"/>
      <c r="THJ165" s="20"/>
      <c r="THK165" s="20"/>
      <c r="THL165" s="21"/>
      <c r="THM165" s="21"/>
      <c r="THN165" s="21"/>
      <c r="THO165" s="21"/>
      <c r="THP165" s="21"/>
      <c r="THQ165" s="20"/>
      <c r="THR165" s="20"/>
      <c r="THS165" s="20"/>
      <c r="THT165" s="20"/>
      <c r="THU165" s="21"/>
      <c r="THV165" s="21"/>
      <c r="THW165" s="7"/>
      <c r="THX165" s="7"/>
      <c r="THY165" s="21"/>
      <c r="THZ165" s="20"/>
      <c r="TIA165" s="20"/>
      <c r="TIB165" s="20"/>
      <c r="TIC165" s="21"/>
      <c r="TID165" s="21"/>
      <c r="TIE165" s="21"/>
      <c r="TIF165" s="21"/>
      <c r="TIG165" s="21"/>
      <c r="TIH165" s="20"/>
      <c r="TII165" s="20"/>
      <c r="TIJ165" s="20"/>
      <c r="TIK165" s="20"/>
      <c r="TIL165" s="21"/>
      <c r="TIM165" s="21"/>
      <c r="TIN165" s="7"/>
      <c r="TIO165" s="7"/>
      <c r="TIP165" s="21"/>
      <c r="TIQ165" s="20"/>
      <c r="TIR165" s="20"/>
      <c r="TIS165" s="20"/>
      <c r="TIT165" s="21"/>
      <c r="TIU165" s="21"/>
      <c r="TIV165" s="21"/>
      <c r="TIW165" s="21"/>
      <c r="TIX165" s="21"/>
      <c r="TIY165" s="20"/>
      <c r="TIZ165" s="20"/>
      <c r="TJA165" s="20"/>
      <c r="TJB165" s="20"/>
      <c r="TJC165" s="21"/>
      <c r="TJD165" s="21"/>
      <c r="TJE165" s="7"/>
      <c r="TJF165" s="7"/>
      <c r="TJG165" s="21"/>
      <c r="TJH165" s="20"/>
      <c r="TJI165" s="20"/>
      <c r="TJJ165" s="20"/>
      <c r="TJK165" s="21"/>
      <c r="TJL165" s="21"/>
      <c r="TJM165" s="21"/>
      <c r="TJN165" s="21"/>
      <c r="TJO165" s="21"/>
      <c r="TJP165" s="20"/>
      <c r="TJQ165" s="20"/>
      <c r="TJR165" s="20"/>
      <c r="TJS165" s="20"/>
      <c r="TJT165" s="21"/>
      <c r="TJU165" s="21"/>
      <c r="TJV165" s="7"/>
      <c r="TJW165" s="7"/>
      <c r="TJX165" s="21"/>
      <c r="TJY165" s="20"/>
      <c r="TJZ165" s="20"/>
      <c r="TKA165" s="20"/>
      <c r="TKB165" s="21"/>
      <c r="TKC165" s="21"/>
      <c r="TKD165" s="21"/>
      <c r="TKE165" s="21"/>
      <c r="TKF165" s="21"/>
      <c r="TKG165" s="20"/>
      <c r="TKH165" s="20"/>
      <c r="TKI165" s="20"/>
      <c r="TKJ165" s="20"/>
      <c r="TKK165" s="21"/>
      <c r="TKL165" s="21"/>
      <c r="TKM165" s="7"/>
      <c r="TKN165" s="7"/>
      <c r="TKO165" s="21"/>
      <c r="TKP165" s="20"/>
      <c r="TKQ165" s="20"/>
      <c r="TKR165" s="20"/>
      <c r="TKS165" s="21"/>
      <c r="TKT165" s="21"/>
      <c r="TKU165" s="21"/>
      <c r="TKV165" s="21"/>
      <c r="TKW165" s="21"/>
      <c r="TKX165" s="20"/>
      <c r="TKY165" s="20"/>
      <c r="TKZ165" s="20"/>
      <c r="TLA165" s="20"/>
      <c r="TLB165" s="21"/>
      <c r="TLC165" s="21"/>
      <c r="TLD165" s="7"/>
      <c r="TLE165" s="7"/>
      <c r="TLF165" s="21"/>
      <c r="TLG165" s="20"/>
      <c r="TLH165" s="20"/>
      <c r="TLI165" s="20"/>
      <c r="TLJ165" s="21"/>
      <c r="TLK165" s="21"/>
      <c r="TLL165" s="21"/>
      <c r="TLM165" s="21"/>
      <c r="TLN165" s="21"/>
      <c r="TLO165" s="20"/>
      <c r="TLP165" s="20"/>
      <c r="TLQ165" s="20"/>
      <c r="TLR165" s="20"/>
      <c r="TLS165" s="21"/>
      <c r="TLT165" s="21"/>
      <c r="TLU165" s="7"/>
      <c r="TLV165" s="7"/>
      <c r="TLW165" s="21"/>
      <c r="TLX165" s="20"/>
      <c r="TLY165" s="20"/>
      <c r="TLZ165" s="20"/>
      <c r="TMA165" s="21"/>
      <c r="TMB165" s="21"/>
      <c r="TMC165" s="21"/>
      <c r="TMD165" s="21"/>
      <c r="TME165" s="21"/>
      <c r="TMF165" s="20"/>
      <c r="TMG165" s="20"/>
      <c r="TMH165" s="20"/>
      <c r="TMI165" s="20"/>
      <c r="TMJ165" s="21"/>
      <c r="TMK165" s="21"/>
      <c r="TML165" s="7"/>
      <c r="TMM165" s="7"/>
      <c r="TMN165" s="21"/>
      <c r="TMO165" s="20"/>
      <c r="TMP165" s="20"/>
      <c r="TMQ165" s="20"/>
      <c r="TMR165" s="21"/>
      <c r="TMS165" s="21"/>
      <c r="TMT165" s="21"/>
      <c r="TMU165" s="21"/>
      <c r="TMV165" s="21"/>
      <c r="TMW165" s="20"/>
      <c r="TMX165" s="20"/>
      <c r="TMY165" s="20"/>
      <c r="TMZ165" s="20"/>
      <c r="TNA165" s="21"/>
      <c r="TNB165" s="21"/>
      <c r="TNC165" s="7"/>
      <c r="TND165" s="7"/>
      <c r="TNE165" s="21"/>
      <c r="TNF165" s="20"/>
      <c r="TNG165" s="20"/>
      <c r="TNH165" s="20"/>
      <c r="TNI165" s="21"/>
      <c r="TNJ165" s="21"/>
      <c r="TNK165" s="21"/>
      <c r="TNL165" s="21"/>
      <c r="TNM165" s="21"/>
      <c r="TNN165" s="20"/>
      <c r="TNO165" s="20"/>
      <c r="TNP165" s="20"/>
      <c r="TNQ165" s="20"/>
      <c r="TNR165" s="21"/>
      <c r="TNS165" s="21"/>
      <c r="TNT165" s="7"/>
      <c r="TNU165" s="7"/>
      <c r="TNV165" s="21"/>
      <c r="TNW165" s="20"/>
      <c r="TNX165" s="20"/>
      <c r="TNY165" s="20"/>
      <c r="TNZ165" s="21"/>
      <c r="TOA165" s="21"/>
      <c r="TOB165" s="21"/>
      <c r="TOC165" s="21"/>
      <c r="TOD165" s="21"/>
      <c r="TOE165" s="20"/>
      <c r="TOF165" s="20"/>
      <c r="TOG165" s="20"/>
      <c r="TOH165" s="20"/>
      <c r="TOI165" s="21"/>
      <c r="TOJ165" s="21"/>
      <c r="TOK165" s="7"/>
      <c r="TOL165" s="7"/>
      <c r="TOM165" s="21"/>
      <c r="TON165" s="20"/>
      <c r="TOO165" s="20"/>
      <c r="TOP165" s="20"/>
      <c r="TOQ165" s="21"/>
      <c r="TOR165" s="21"/>
      <c r="TOS165" s="21"/>
      <c r="TOT165" s="21"/>
      <c r="TOU165" s="21"/>
      <c r="TOV165" s="20"/>
      <c r="TOW165" s="20"/>
      <c r="TOX165" s="20"/>
      <c r="TOY165" s="20"/>
      <c r="TOZ165" s="21"/>
      <c r="TPA165" s="21"/>
      <c r="TPB165" s="7"/>
      <c r="TPC165" s="7"/>
      <c r="TPD165" s="21"/>
      <c r="TPE165" s="20"/>
      <c r="TPF165" s="20"/>
      <c r="TPG165" s="20"/>
      <c r="TPH165" s="21"/>
      <c r="TPI165" s="21"/>
      <c r="TPJ165" s="21"/>
      <c r="TPK165" s="21"/>
      <c r="TPL165" s="21"/>
      <c r="TPM165" s="20"/>
      <c r="TPN165" s="20"/>
      <c r="TPO165" s="20"/>
      <c r="TPP165" s="20"/>
      <c r="TPQ165" s="21"/>
      <c r="TPR165" s="21"/>
      <c r="TPS165" s="7"/>
      <c r="TPT165" s="7"/>
      <c r="TPU165" s="21"/>
      <c r="TPV165" s="20"/>
      <c r="TPW165" s="20"/>
      <c r="TPX165" s="20"/>
      <c r="TPY165" s="21"/>
      <c r="TPZ165" s="21"/>
      <c r="TQA165" s="21"/>
      <c r="TQB165" s="21"/>
      <c r="TQC165" s="21"/>
      <c r="TQD165" s="20"/>
      <c r="TQE165" s="20"/>
      <c r="TQF165" s="20"/>
      <c r="TQG165" s="20"/>
      <c r="TQH165" s="21"/>
      <c r="TQI165" s="21"/>
      <c r="TQJ165" s="7"/>
      <c r="TQK165" s="7"/>
      <c r="TQL165" s="21"/>
      <c r="TQM165" s="20"/>
      <c r="TQN165" s="20"/>
      <c r="TQO165" s="20"/>
      <c r="TQP165" s="21"/>
      <c r="TQQ165" s="21"/>
      <c r="TQR165" s="21"/>
      <c r="TQS165" s="21"/>
      <c r="TQT165" s="21"/>
      <c r="TQU165" s="20"/>
      <c r="TQV165" s="20"/>
      <c r="TQW165" s="20"/>
      <c r="TQX165" s="20"/>
      <c r="TQY165" s="21"/>
      <c r="TQZ165" s="21"/>
      <c r="TRA165" s="7"/>
      <c r="TRB165" s="7"/>
      <c r="TRC165" s="21"/>
      <c r="TRD165" s="20"/>
      <c r="TRE165" s="20"/>
      <c r="TRF165" s="20"/>
      <c r="TRG165" s="21"/>
      <c r="TRH165" s="21"/>
      <c r="TRI165" s="21"/>
      <c r="TRJ165" s="21"/>
      <c r="TRK165" s="21"/>
      <c r="TRL165" s="20"/>
      <c r="TRM165" s="20"/>
      <c r="TRN165" s="20"/>
      <c r="TRO165" s="20"/>
      <c r="TRP165" s="21"/>
      <c r="TRQ165" s="21"/>
      <c r="TRR165" s="7"/>
      <c r="TRS165" s="7"/>
      <c r="TRT165" s="21"/>
      <c r="TRU165" s="20"/>
      <c r="TRV165" s="20"/>
      <c r="TRW165" s="20"/>
      <c r="TRX165" s="21"/>
      <c r="TRY165" s="21"/>
      <c r="TRZ165" s="21"/>
      <c r="TSA165" s="21"/>
      <c r="TSB165" s="21"/>
      <c r="TSC165" s="20"/>
      <c r="TSD165" s="20"/>
      <c r="TSE165" s="20"/>
      <c r="TSF165" s="20"/>
      <c r="TSG165" s="21"/>
      <c r="TSH165" s="21"/>
      <c r="TSI165" s="7"/>
      <c r="TSJ165" s="7"/>
      <c r="TSK165" s="21"/>
      <c r="TSL165" s="20"/>
      <c r="TSM165" s="20"/>
      <c r="TSN165" s="20"/>
      <c r="TSO165" s="21"/>
      <c r="TSP165" s="21"/>
      <c r="TSQ165" s="21"/>
      <c r="TSR165" s="21"/>
      <c r="TSS165" s="21"/>
      <c r="TST165" s="20"/>
      <c r="TSU165" s="20"/>
      <c r="TSV165" s="20"/>
      <c r="TSW165" s="20"/>
      <c r="TSX165" s="21"/>
      <c r="TSY165" s="21"/>
      <c r="TSZ165" s="7"/>
      <c r="TTA165" s="7"/>
      <c r="TTB165" s="21"/>
      <c r="TTC165" s="20"/>
      <c r="TTD165" s="20"/>
      <c r="TTE165" s="20"/>
      <c r="TTF165" s="21"/>
      <c r="TTG165" s="21"/>
      <c r="TTH165" s="21"/>
      <c r="TTI165" s="21"/>
      <c r="TTJ165" s="21"/>
      <c r="TTK165" s="20"/>
      <c r="TTL165" s="20"/>
      <c r="TTM165" s="20"/>
      <c r="TTN165" s="20"/>
      <c r="TTO165" s="21"/>
      <c r="TTP165" s="21"/>
      <c r="TTQ165" s="7"/>
      <c r="TTR165" s="7"/>
      <c r="TTS165" s="21"/>
      <c r="TTT165" s="20"/>
      <c r="TTU165" s="20"/>
      <c r="TTV165" s="20"/>
      <c r="TTW165" s="21"/>
      <c r="TTX165" s="21"/>
      <c r="TTY165" s="21"/>
      <c r="TTZ165" s="21"/>
      <c r="TUA165" s="21"/>
      <c r="TUB165" s="20"/>
      <c r="TUC165" s="20"/>
      <c r="TUD165" s="20"/>
      <c r="TUE165" s="20"/>
      <c r="TUF165" s="21"/>
      <c r="TUG165" s="21"/>
      <c r="TUH165" s="7"/>
      <c r="TUI165" s="7"/>
      <c r="TUJ165" s="21"/>
      <c r="TUK165" s="20"/>
      <c r="TUL165" s="20"/>
      <c r="TUM165" s="20"/>
      <c r="TUN165" s="21"/>
      <c r="TUO165" s="21"/>
      <c r="TUP165" s="21"/>
      <c r="TUQ165" s="21"/>
      <c r="TUR165" s="21"/>
      <c r="TUS165" s="20"/>
      <c r="TUT165" s="20"/>
      <c r="TUU165" s="20"/>
      <c r="TUV165" s="20"/>
      <c r="TUW165" s="21"/>
      <c r="TUX165" s="21"/>
      <c r="TUY165" s="7"/>
      <c r="TUZ165" s="7"/>
      <c r="TVA165" s="21"/>
      <c r="TVB165" s="20"/>
      <c r="TVC165" s="20"/>
      <c r="TVD165" s="20"/>
      <c r="TVE165" s="21"/>
      <c r="TVF165" s="21"/>
      <c r="TVG165" s="21"/>
      <c r="TVH165" s="21"/>
      <c r="TVI165" s="21"/>
      <c r="TVJ165" s="20"/>
      <c r="TVK165" s="20"/>
      <c r="TVL165" s="20"/>
      <c r="TVM165" s="20"/>
      <c r="TVN165" s="21"/>
      <c r="TVO165" s="21"/>
      <c r="TVP165" s="7"/>
      <c r="TVQ165" s="7"/>
      <c r="TVR165" s="21"/>
      <c r="TVS165" s="20"/>
      <c r="TVT165" s="20"/>
      <c r="TVU165" s="20"/>
      <c r="TVV165" s="21"/>
      <c r="TVW165" s="21"/>
      <c r="TVX165" s="21"/>
      <c r="TVY165" s="21"/>
      <c r="TVZ165" s="21"/>
      <c r="TWA165" s="20"/>
      <c r="TWB165" s="20"/>
      <c r="TWC165" s="20"/>
      <c r="TWD165" s="20"/>
      <c r="TWE165" s="21"/>
      <c r="TWF165" s="21"/>
      <c r="TWG165" s="7"/>
      <c r="TWH165" s="7"/>
      <c r="TWI165" s="21"/>
      <c r="TWJ165" s="20"/>
      <c r="TWK165" s="20"/>
      <c r="TWL165" s="20"/>
      <c r="TWM165" s="21"/>
      <c r="TWN165" s="21"/>
      <c r="TWO165" s="21"/>
      <c r="TWP165" s="21"/>
      <c r="TWQ165" s="21"/>
      <c r="TWR165" s="20"/>
      <c r="TWS165" s="20"/>
      <c r="TWT165" s="20"/>
      <c r="TWU165" s="20"/>
      <c r="TWV165" s="21"/>
      <c r="TWW165" s="21"/>
      <c r="TWX165" s="7"/>
      <c r="TWY165" s="7"/>
      <c r="TWZ165" s="21"/>
      <c r="TXA165" s="20"/>
      <c r="TXB165" s="20"/>
      <c r="TXC165" s="20"/>
      <c r="TXD165" s="21"/>
      <c r="TXE165" s="21"/>
      <c r="TXF165" s="21"/>
      <c r="TXG165" s="21"/>
      <c r="TXH165" s="21"/>
      <c r="TXI165" s="20"/>
      <c r="TXJ165" s="20"/>
      <c r="TXK165" s="20"/>
      <c r="TXL165" s="20"/>
      <c r="TXM165" s="21"/>
      <c r="TXN165" s="21"/>
      <c r="TXO165" s="7"/>
      <c r="TXP165" s="7"/>
      <c r="TXQ165" s="21"/>
      <c r="TXR165" s="20"/>
      <c r="TXS165" s="20"/>
      <c r="TXT165" s="20"/>
      <c r="TXU165" s="21"/>
      <c r="TXV165" s="21"/>
      <c r="TXW165" s="21"/>
      <c r="TXX165" s="21"/>
      <c r="TXY165" s="21"/>
      <c r="TXZ165" s="20"/>
      <c r="TYA165" s="20"/>
      <c r="TYB165" s="20"/>
      <c r="TYC165" s="20"/>
      <c r="TYD165" s="21"/>
      <c r="TYE165" s="21"/>
      <c r="TYF165" s="7"/>
      <c r="TYG165" s="7"/>
      <c r="TYH165" s="21"/>
      <c r="TYI165" s="20"/>
      <c r="TYJ165" s="20"/>
      <c r="TYK165" s="20"/>
      <c r="TYL165" s="21"/>
      <c r="TYM165" s="21"/>
      <c r="TYN165" s="21"/>
      <c r="TYO165" s="21"/>
      <c r="TYP165" s="21"/>
      <c r="TYQ165" s="20"/>
      <c r="TYR165" s="20"/>
      <c r="TYS165" s="20"/>
      <c r="TYT165" s="20"/>
      <c r="TYU165" s="21"/>
      <c r="TYV165" s="21"/>
      <c r="TYW165" s="7"/>
      <c r="TYX165" s="7"/>
      <c r="TYY165" s="21"/>
      <c r="TYZ165" s="20"/>
      <c r="TZA165" s="20"/>
      <c r="TZB165" s="20"/>
      <c r="TZC165" s="21"/>
      <c r="TZD165" s="21"/>
      <c r="TZE165" s="21"/>
      <c r="TZF165" s="21"/>
      <c r="TZG165" s="21"/>
      <c r="TZH165" s="20"/>
      <c r="TZI165" s="20"/>
      <c r="TZJ165" s="20"/>
      <c r="TZK165" s="20"/>
      <c r="TZL165" s="21"/>
      <c r="TZM165" s="21"/>
      <c r="TZN165" s="7"/>
      <c r="TZO165" s="7"/>
      <c r="TZP165" s="21"/>
      <c r="TZQ165" s="20"/>
      <c r="TZR165" s="20"/>
      <c r="TZS165" s="20"/>
      <c r="TZT165" s="21"/>
      <c r="TZU165" s="21"/>
      <c r="TZV165" s="21"/>
      <c r="TZW165" s="21"/>
      <c r="TZX165" s="21"/>
      <c r="TZY165" s="20"/>
      <c r="TZZ165" s="20"/>
      <c r="UAA165" s="20"/>
      <c r="UAB165" s="20"/>
      <c r="UAC165" s="21"/>
      <c r="UAD165" s="21"/>
      <c r="UAE165" s="7"/>
      <c r="UAF165" s="7"/>
      <c r="UAG165" s="21"/>
      <c r="UAH165" s="20"/>
      <c r="UAI165" s="20"/>
      <c r="UAJ165" s="20"/>
      <c r="UAK165" s="21"/>
      <c r="UAL165" s="21"/>
      <c r="UAM165" s="21"/>
      <c r="UAN165" s="21"/>
      <c r="UAO165" s="21"/>
      <c r="UAP165" s="20"/>
      <c r="UAQ165" s="20"/>
      <c r="UAR165" s="20"/>
      <c r="UAS165" s="20"/>
      <c r="UAT165" s="21"/>
      <c r="UAU165" s="21"/>
      <c r="UAV165" s="7"/>
      <c r="UAW165" s="7"/>
      <c r="UAX165" s="21"/>
      <c r="UAY165" s="20"/>
      <c r="UAZ165" s="20"/>
      <c r="UBA165" s="20"/>
      <c r="UBB165" s="21"/>
      <c r="UBC165" s="21"/>
      <c r="UBD165" s="21"/>
      <c r="UBE165" s="21"/>
      <c r="UBF165" s="21"/>
      <c r="UBG165" s="20"/>
      <c r="UBH165" s="20"/>
      <c r="UBI165" s="20"/>
      <c r="UBJ165" s="20"/>
      <c r="UBK165" s="21"/>
      <c r="UBL165" s="21"/>
      <c r="UBM165" s="7"/>
      <c r="UBN165" s="7"/>
      <c r="UBO165" s="21"/>
      <c r="UBP165" s="20"/>
      <c r="UBQ165" s="20"/>
      <c r="UBR165" s="20"/>
      <c r="UBS165" s="21"/>
      <c r="UBT165" s="21"/>
      <c r="UBU165" s="21"/>
      <c r="UBV165" s="21"/>
      <c r="UBW165" s="21"/>
      <c r="UBX165" s="20"/>
      <c r="UBY165" s="20"/>
      <c r="UBZ165" s="20"/>
      <c r="UCA165" s="20"/>
      <c r="UCB165" s="21"/>
      <c r="UCC165" s="21"/>
      <c r="UCD165" s="7"/>
      <c r="UCE165" s="7"/>
      <c r="UCF165" s="21"/>
      <c r="UCG165" s="20"/>
      <c r="UCH165" s="20"/>
      <c r="UCI165" s="20"/>
      <c r="UCJ165" s="21"/>
      <c r="UCK165" s="21"/>
      <c r="UCL165" s="21"/>
      <c r="UCM165" s="21"/>
      <c r="UCN165" s="21"/>
      <c r="UCO165" s="20"/>
      <c r="UCP165" s="20"/>
      <c r="UCQ165" s="20"/>
      <c r="UCR165" s="20"/>
      <c r="UCS165" s="21"/>
      <c r="UCT165" s="21"/>
      <c r="UCU165" s="7"/>
      <c r="UCV165" s="7"/>
      <c r="UCW165" s="21"/>
      <c r="UCX165" s="20"/>
      <c r="UCY165" s="20"/>
      <c r="UCZ165" s="20"/>
      <c r="UDA165" s="21"/>
      <c r="UDB165" s="21"/>
      <c r="UDC165" s="21"/>
      <c r="UDD165" s="21"/>
      <c r="UDE165" s="21"/>
      <c r="UDF165" s="20"/>
      <c r="UDG165" s="20"/>
      <c r="UDH165" s="20"/>
      <c r="UDI165" s="20"/>
      <c r="UDJ165" s="21"/>
      <c r="UDK165" s="21"/>
      <c r="UDL165" s="7"/>
      <c r="UDM165" s="7"/>
      <c r="UDN165" s="21"/>
      <c r="UDO165" s="20"/>
      <c r="UDP165" s="20"/>
      <c r="UDQ165" s="20"/>
      <c r="UDR165" s="21"/>
      <c r="UDS165" s="21"/>
      <c r="UDT165" s="21"/>
      <c r="UDU165" s="21"/>
      <c r="UDV165" s="21"/>
      <c r="UDW165" s="20"/>
      <c r="UDX165" s="20"/>
      <c r="UDY165" s="20"/>
      <c r="UDZ165" s="20"/>
      <c r="UEA165" s="21"/>
      <c r="UEB165" s="21"/>
      <c r="UEC165" s="7"/>
      <c r="UED165" s="7"/>
      <c r="UEE165" s="21"/>
      <c r="UEF165" s="20"/>
      <c r="UEG165" s="20"/>
      <c r="UEH165" s="20"/>
      <c r="UEI165" s="21"/>
      <c r="UEJ165" s="21"/>
      <c r="UEK165" s="21"/>
      <c r="UEL165" s="21"/>
      <c r="UEM165" s="21"/>
      <c r="UEN165" s="20"/>
      <c r="UEO165" s="20"/>
      <c r="UEP165" s="20"/>
      <c r="UEQ165" s="20"/>
      <c r="UER165" s="21"/>
      <c r="UES165" s="21"/>
      <c r="UET165" s="7"/>
      <c r="UEU165" s="7"/>
      <c r="UEV165" s="21"/>
      <c r="UEW165" s="20"/>
      <c r="UEX165" s="20"/>
      <c r="UEY165" s="20"/>
      <c r="UEZ165" s="21"/>
      <c r="UFA165" s="21"/>
      <c r="UFB165" s="21"/>
      <c r="UFC165" s="21"/>
      <c r="UFD165" s="21"/>
      <c r="UFE165" s="20"/>
      <c r="UFF165" s="20"/>
      <c r="UFG165" s="20"/>
      <c r="UFH165" s="20"/>
      <c r="UFI165" s="21"/>
      <c r="UFJ165" s="21"/>
      <c r="UFK165" s="7"/>
      <c r="UFL165" s="7"/>
      <c r="UFM165" s="21"/>
      <c r="UFN165" s="20"/>
      <c r="UFO165" s="20"/>
      <c r="UFP165" s="20"/>
      <c r="UFQ165" s="21"/>
      <c r="UFR165" s="21"/>
      <c r="UFS165" s="21"/>
      <c r="UFT165" s="21"/>
      <c r="UFU165" s="21"/>
      <c r="UFV165" s="20"/>
      <c r="UFW165" s="20"/>
      <c r="UFX165" s="20"/>
      <c r="UFY165" s="20"/>
      <c r="UFZ165" s="21"/>
      <c r="UGA165" s="21"/>
      <c r="UGB165" s="7"/>
      <c r="UGC165" s="7"/>
      <c r="UGD165" s="21"/>
      <c r="UGE165" s="20"/>
      <c r="UGF165" s="20"/>
      <c r="UGG165" s="20"/>
      <c r="UGH165" s="21"/>
      <c r="UGI165" s="21"/>
      <c r="UGJ165" s="21"/>
      <c r="UGK165" s="21"/>
      <c r="UGL165" s="21"/>
      <c r="UGM165" s="20"/>
      <c r="UGN165" s="20"/>
      <c r="UGO165" s="20"/>
      <c r="UGP165" s="20"/>
      <c r="UGQ165" s="21"/>
      <c r="UGR165" s="21"/>
      <c r="UGS165" s="7"/>
      <c r="UGT165" s="7"/>
      <c r="UGU165" s="21"/>
      <c r="UGV165" s="20"/>
      <c r="UGW165" s="20"/>
      <c r="UGX165" s="20"/>
      <c r="UGY165" s="21"/>
      <c r="UGZ165" s="21"/>
      <c r="UHA165" s="21"/>
      <c r="UHB165" s="21"/>
      <c r="UHC165" s="21"/>
      <c r="UHD165" s="20"/>
      <c r="UHE165" s="20"/>
      <c r="UHF165" s="20"/>
      <c r="UHG165" s="20"/>
      <c r="UHH165" s="21"/>
      <c r="UHI165" s="21"/>
      <c r="UHJ165" s="7"/>
      <c r="UHK165" s="7"/>
      <c r="UHL165" s="21"/>
      <c r="UHM165" s="20"/>
      <c r="UHN165" s="20"/>
      <c r="UHO165" s="20"/>
      <c r="UHP165" s="21"/>
      <c r="UHQ165" s="21"/>
      <c r="UHR165" s="21"/>
      <c r="UHS165" s="21"/>
      <c r="UHT165" s="21"/>
      <c r="UHU165" s="20"/>
      <c r="UHV165" s="20"/>
      <c r="UHW165" s="20"/>
      <c r="UHX165" s="20"/>
      <c r="UHY165" s="21"/>
      <c r="UHZ165" s="21"/>
      <c r="UIA165" s="7"/>
      <c r="UIB165" s="7"/>
      <c r="UIC165" s="21"/>
      <c r="UID165" s="20"/>
      <c r="UIE165" s="20"/>
      <c r="UIF165" s="20"/>
      <c r="UIG165" s="21"/>
      <c r="UIH165" s="21"/>
      <c r="UII165" s="21"/>
      <c r="UIJ165" s="21"/>
      <c r="UIK165" s="21"/>
      <c r="UIL165" s="20"/>
      <c r="UIM165" s="20"/>
      <c r="UIN165" s="20"/>
      <c r="UIO165" s="20"/>
      <c r="UIP165" s="21"/>
      <c r="UIQ165" s="21"/>
      <c r="UIR165" s="7"/>
      <c r="UIS165" s="7"/>
      <c r="UIT165" s="21"/>
      <c r="UIU165" s="20"/>
      <c r="UIV165" s="20"/>
      <c r="UIW165" s="20"/>
      <c r="UIX165" s="21"/>
      <c r="UIY165" s="21"/>
      <c r="UIZ165" s="21"/>
      <c r="UJA165" s="21"/>
      <c r="UJB165" s="21"/>
      <c r="UJC165" s="20"/>
      <c r="UJD165" s="20"/>
      <c r="UJE165" s="20"/>
      <c r="UJF165" s="20"/>
      <c r="UJG165" s="21"/>
      <c r="UJH165" s="21"/>
      <c r="UJI165" s="7"/>
      <c r="UJJ165" s="7"/>
      <c r="UJK165" s="21"/>
      <c r="UJL165" s="20"/>
      <c r="UJM165" s="20"/>
      <c r="UJN165" s="20"/>
      <c r="UJO165" s="21"/>
      <c r="UJP165" s="21"/>
      <c r="UJQ165" s="21"/>
      <c r="UJR165" s="21"/>
      <c r="UJS165" s="21"/>
      <c r="UJT165" s="20"/>
      <c r="UJU165" s="20"/>
      <c r="UJV165" s="20"/>
      <c r="UJW165" s="20"/>
      <c r="UJX165" s="21"/>
      <c r="UJY165" s="21"/>
      <c r="UJZ165" s="7"/>
      <c r="UKA165" s="7"/>
      <c r="UKB165" s="21"/>
      <c r="UKC165" s="20"/>
      <c r="UKD165" s="20"/>
      <c r="UKE165" s="20"/>
      <c r="UKF165" s="21"/>
      <c r="UKG165" s="21"/>
      <c r="UKH165" s="21"/>
      <c r="UKI165" s="21"/>
      <c r="UKJ165" s="21"/>
      <c r="UKK165" s="20"/>
      <c r="UKL165" s="20"/>
      <c r="UKM165" s="20"/>
      <c r="UKN165" s="20"/>
      <c r="UKO165" s="21"/>
      <c r="UKP165" s="21"/>
      <c r="UKQ165" s="7"/>
      <c r="UKR165" s="7"/>
      <c r="UKS165" s="21"/>
      <c r="UKT165" s="20"/>
      <c r="UKU165" s="20"/>
      <c r="UKV165" s="20"/>
      <c r="UKW165" s="21"/>
      <c r="UKX165" s="21"/>
      <c r="UKY165" s="21"/>
      <c r="UKZ165" s="21"/>
      <c r="ULA165" s="21"/>
      <c r="ULB165" s="20"/>
      <c r="ULC165" s="20"/>
      <c r="ULD165" s="20"/>
      <c r="ULE165" s="20"/>
      <c r="ULF165" s="21"/>
      <c r="ULG165" s="21"/>
      <c r="ULH165" s="7"/>
      <c r="ULI165" s="7"/>
      <c r="ULJ165" s="21"/>
      <c r="ULK165" s="20"/>
      <c r="ULL165" s="20"/>
      <c r="ULM165" s="20"/>
      <c r="ULN165" s="21"/>
      <c r="ULO165" s="21"/>
      <c r="ULP165" s="21"/>
      <c r="ULQ165" s="21"/>
      <c r="ULR165" s="21"/>
      <c r="ULS165" s="20"/>
      <c r="ULT165" s="20"/>
      <c r="ULU165" s="20"/>
      <c r="ULV165" s="20"/>
      <c r="ULW165" s="21"/>
      <c r="ULX165" s="21"/>
      <c r="ULY165" s="7"/>
      <c r="ULZ165" s="7"/>
      <c r="UMA165" s="21"/>
      <c r="UMB165" s="20"/>
      <c r="UMC165" s="20"/>
      <c r="UMD165" s="20"/>
      <c r="UME165" s="21"/>
      <c r="UMF165" s="21"/>
      <c r="UMG165" s="21"/>
      <c r="UMH165" s="21"/>
      <c r="UMI165" s="21"/>
      <c r="UMJ165" s="20"/>
      <c r="UMK165" s="20"/>
      <c r="UML165" s="20"/>
      <c r="UMM165" s="20"/>
      <c r="UMN165" s="21"/>
      <c r="UMO165" s="21"/>
      <c r="UMP165" s="7"/>
      <c r="UMQ165" s="7"/>
      <c r="UMR165" s="21"/>
      <c r="UMS165" s="20"/>
      <c r="UMT165" s="20"/>
      <c r="UMU165" s="20"/>
      <c r="UMV165" s="21"/>
      <c r="UMW165" s="21"/>
      <c r="UMX165" s="21"/>
      <c r="UMY165" s="21"/>
      <c r="UMZ165" s="21"/>
      <c r="UNA165" s="20"/>
      <c r="UNB165" s="20"/>
      <c r="UNC165" s="20"/>
      <c r="UND165" s="20"/>
      <c r="UNE165" s="21"/>
      <c r="UNF165" s="21"/>
      <c r="UNG165" s="7"/>
      <c r="UNH165" s="7"/>
      <c r="UNI165" s="21"/>
      <c r="UNJ165" s="20"/>
      <c r="UNK165" s="20"/>
      <c r="UNL165" s="20"/>
      <c r="UNM165" s="21"/>
      <c r="UNN165" s="21"/>
      <c r="UNO165" s="21"/>
      <c r="UNP165" s="21"/>
      <c r="UNQ165" s="21"/>
      <c r="UNR165" s="20"/>
      <c r="UNS165" s="20"/>
      <c r="UNT165" s="20"/>
      <c r="UNU165" s="20"/>
      <c r="UNV165" s="21"/>
      <c r="UNW165" s="21"/>
      <c r="UNX165" s="7"/>
      <c r="UNY165" s="7"/>
      <c r="UNZ165" s="21"/>
      <c r="UOA165" s="20"/>
      <c r="UOB165" s="20"/>
      <c r="UOC165" s="20"/>
      <c r="UOD165" s="21"/>
      <c r="UOE165" s="21"/>
      <c r="UOF165" s="21"/>
      <c r="UOG165" s="21"/>
      <c r="UOH165" s="21"/>
      <c r="UOI165" s="20"/>
      <c r="UOJ165" s="20"/>
      <c r="UOK165" s="20"/>
      <c r="UOL165" s="20"/>
      <c r="UOM165" s="21"/>
      <c r="UON165" s="21"/>
      <c r="UOO165" s="7"/>
      <c r="UOP165" s="7"/>
      <c r="UOQ165" s="21"/>
      <c r="UOR165" s="20"/>
      <c r="UOS165" s="20"/>
      <c r="UOT165" s="20"/>
      <c r="UOU165" s="21"/>
      <c r="UOV165" s="21"/>
      <c r="UOW165" s="21"/>
      <c r="UOX165" s="21"/>
      <c r="UOY165" s="21"/>
      <c r="UOZ165" s="20"/>
      <c r="UPA165" s="20"/>
      <c r="UPB165" s="20"/>
      <c r="UPC165" s="20"/>
      <c r="UPD165" s="21"/>
      <c r="UPE165" s="21"/>
      <c r="UPF165" s="7"/>
      <c r="UPG165" s="7"/>
      <c r="UPH165" s="21"/>
      <c r="UPI165" s="20"/>
      <c r="UPJ165" s="20"/>
      <c r="UPK165" s="20"/>
      <c r="UPL165" s="21"/>
      <c r="UPM165" s="21"/>
      <c r="UPN165" s="21"/>
      <c r="UPO165" s="21"/>
      <c r="UPP165" s="21"/>
      <c r="UPQ165" s="20"/>
      <c r="UPR165" s="20"/>
      <c r="UPS165" s="20"/>
      <c r="UPT165" s="20"/>
      <c r="UPU165" s="21"/>
      <c r="UPV165" s="21"/>
      <c r="UPW165" s="7"/>
      <c r="UPX165" s="7"/>
      <c r="UPY165" s="21"/>
      <c r="UPZ165" s="20"/>
      <c r="UQA165" s="20"/>
      <c r="UQB165" s="20"/>
      <c r="UQC165" s="21"/>
      <c r="UQD165" s="21"/>
      <c r="UQE165" s="21"/>
      <c r="UQF165" s="21"/>
      <c r="UQG165" s="21"/>
      <c r="UQH165" s="20"/>
      <c r="UQI165" s="20"/>
      <c r="UQJ165" s="20"/>
      <c r="UQK165" s="20"/>
      <c r="UQL165" s="21"/>
      <c r="UQM165" s="21"/>
      <c r="UQN165" s="7"/>
      <c r="UQO165" s="7"/>
      <c r="UQP165" s="21"/>
      <c r="UQQ165" s="20"/>
      <c r="UQR165" s="20"/>
      <c r="UQS165" s="20"/>
      <c r="UQT165" s="21"/>
      <c r="UQU165" s="21"/>
      <c r="UQV165" s="21"/>
      <c r="UQW165" s="21"/>
      <c r="UQX165" s="21"/>
      <c r="UQY165" s="20"/>
      <c r="UQZ165" s="20"/>
      <c r="URA165" s="20"/>
      <c r="URB165" s="20"/>
      <c r="URC165" s="21"/>
      <c r="URD165" s="21"/>
      <c r="URE165" s="7"/>
      <c r="URF165" s="7"/>
      <c r="URG165" s="21"/>
      <c r="URH165" s="20"/>
      <c r="URI165" s="20"/>
      <c r="URJ165" s="20"/>
      <c r="URK165" s="21"/>
      <c r="URL165" s="21"/>
      <c r="URM165" s="21"/>
      <c r="URN165" s="21"/>
      <c r="URO165" s="21"/>
      <c r="URP165" s="20"/>
      <c r="URQ165" s="20"/>
      <c r="URR165" s="20"/>
      <c r="URS165" s="20"/>
      <c r="URT165" s="21"/>
      <c r="URU165" s="21"/>
      <c r="URV165" s="7"/>
      <c r="URW165" s="7"/>
      <c r="URX165" s="21"/>
      <c r="URY165" s="20"/>
      <c r="URZ165" s="20"/>
      <c r="USA165" s="20"/>
      <c r="USB165" s="21"/>
      <c r="USC165" s="21"/>
      <c r="USD165" s="21"/>
      <c r="USE165" s="21"/>
      <c r="USF165" s="21"/>
      <c r="USG165" s="20"/>
      <c r="USH165" s="20"/>
      <c r="USI165" s="20"/>
      <c r="USJ165" s="20"/>
      <c r="USK165" s="21"/>
      <c r="USL165" s="21"/>
      <c r="USM165" s="7"/>
      <c r="USN165" s="7"/>
      <c r="USO165" s="21"/>
      <c r="USP165" s="20"/>
      <c r="USQ165" s="20"/>
      <c r="USR165" s="20"/>
      <c r="USS165" s="21"/>
      <c r="UST165" s="21"/>
      <c r="USU165" s="21"/>
      <c r="USV165" s="21"/>
      <c r="USW165" s="21"/>
      <c r="USX165" s="20"/>
      <c r="USY165" s="20"/>
      <c r="USZ165" s="20"/>
      <c r="UTA165" s="20"/>
      <c r="UTB165" s="21"/>
      <c r="UTC165" s="21"/>
      <c r="UTD165" s="7"/>
      <c r="UTE165" s="7"/>
      <c r="UTF165" s="21"/>
      <c r="UTG165" s="20"/>
      <c r="UTH165" s="20"/>
      <c r="UTI165" s="20"/>
      <c r="UTJ165" s="21"/>
      <c r="UTK165" s="21"/>
      <c r="UTL165" s="21"/>
      <c r="UTM165" s="21"/>
      <c r="UTN165" s="21"/>
      <c r="UTO165" s="20"/>
      <c r="UTP165" s="20"/>
      <c r="UTQ165" s="20"/>
      <c r="UTR165" s="20"/>
      <c r="UTS165" s="21"/>
      <c r="UTT165" s="21"/>
      <c r="UTU165" s="7"/>
      <c r="UTV165" s="7"/>
      <c r="UTW165" s="21"/>
      <c r="UTX165" s="20"/>
      <c r="UTY165" s="20"/>
      <c r="UTZ165" s="20"/>
      <c r="UUA165" s="21"/>
      <c r="UUB165" s="21"/>
      <c r="UUC165" s="21"/>
      <c r="UUD165" s="21"/>
      <c r="UUE165" s="21"/>
      <c r="UUF165" s="20"/>
      <c r="UUG165" s="20"/>
      <c r="UUH165" s="20"/>
      <c r="UUI165" s="20"/>
      <c r="UUJ165" s="21"/>
      <c r="UUK165" s="21"/>
      <c r="UUL165" s="7"/>
      <c r="UUM165" s="7"/>
      <c r="UUN165" s="21"/>
      <c r="UUO165" s="20"/>
      <c r="UUP165" s="20"/>
      <c r="UUQ165" s="20"/>
      <c r="UUR165" s="21"/>
      <c r="UUS165" s="21"/>
      <c r="UUT165" s="21"/>
      <c r="UUU165" s="21"/>
      <c r="UUV165" s="21"/>
      <c r="UUW165" s="20"/>
      <c r="UUX165" s="20"/>
      <c r="UUY165" s="20"/>
      <c r="UUZ165" s="20"/>
      <c r="UVA165" s="21"/>
      <c r="UVB165" s="21"/>
      <c r="UVC165" s="7"/>
      <c r="UVD165" s="7"/>
      <c r="UVE165" s="21"/>
      <c r="UVF165" s="20"/>
      <c r="UVG165" s="20"/>
      <c r="UVH165" s="20"/>
      <c r="UVI165" s="21"/>
      <c r="UVJ165" s="21"/>
      <c r="UVK165" s="21"/>
      <c r="UVL165" s="21"/>
      <c r="UVM165" s="21"/>
      <c r="UVN165" s="20"/>
      <c r="UVO165" s="20"/>
      <c r="UVP165" s="20"/>
      <c r="UVQ165" s="20"/>
      <c r="UVR165" s="21"/>
      <c r="UVS165" s="21"/>
      <c r="UVT165" s="7"/>
      <c r="UVU165" s="7"/>
      <c r="UVV165" s="21"/>
      <c r="UVW165" s="20"/>
      <c r="UVX165" s="20"/>
      <c r="UVY165" s="20"/>
      <c r="UVZ165" s="21"/>
      <c r="UWA165" s="21"/>
      <c r="UWB165" s="21"/>
      <c r="UWC165" s="21"/>
      <c r="UWD165" s="21"/>
      <c r="UWE165" s="20"/>
      <c r="UWF165" s="20"/>
      <c r="UWG165" s="20"/>
      <c r="UWH165" s="20"/>
      <c r="UWI165" s="21"/>
      <c r="UWJ165" s="21"/>
      <c r="UWK165" s="7"/>
      <c r="UWL165" s="7"/>
      <c r="UWM165" s="21"/>
      <c r="UWN165" s="20"/>
      <c r="UWO165" s="20"/>
      <c r="UWP165" s="20"/>
      <c r="UWQ165" s="21"/>
      <c r="UWR165" s="21"/>
      <c r="UWS165" s="21"/>
      <c r="UWT165" s="21"/>
      <c r="UWU165" s="21"/>
      <c r="UWV165" s="20"/>
      <c r="UWW165" s="20"/>
      <c r="UWX165" s="20"/>
      <c r="UWY165" s="20"/>
      <c r="UWZ165" s="21"/>
      <c r="UXA165" s="21"/>
      <c r="UXB165" s="7"/>
      <c r="UXC165" s="7"/>
      <c r="UXD165" s="21"/>
      <c r="UXE165" s="20"/>
      <c r="UXF165" s="20"/>
      <c r="UXG165" s="20"/>
      <c r="UXH165" s="21"/>
      <c r="UXI165" s="21"/>
      <c r="UXJ165" s="21"/>
      <c r="UXK165" s="21"/>
      <c r="UXL165" s="21"/>
      <c r="UXM165" s="20"/>
      <c r="UXN165" s="20"/>
      <c r="UXO165" s="20"/>
      <c r="UXP165" s="20"/>
      <c r="UXQ165" s="21"/>
      <c r="UXR165" s="21"/>
      <c r="UXS165" s="7"/>
      <c r="UXT165" s="7"/>
      <c r="UXU165" s="21"/>
      <c r="UXV165" s="20"/>
      <c r="UXW165" s="20"/>
      <c r="UXX165" s="20"/>
      <c r="UXY165" s="21"/>
      <c r="UXZ165" s="21"/>
      <c r="UYA165" s="21"/>
      <c r="UYB165" s="21"/>
      <c r="UYC165" s="21"/>
      <c r="UYD165" s="20"/>
      <c r="UYE165" s="20"/>
      <c r="UYF165" s="20"/>
      <c r="UYG165" s="20"/>
      <c r="UYH165" s="21"/>
      <c r="UYI165" s="21"/>
      <c r="UYJ165" s="7"/>
      <c r="UYK165" s="7"/>
      <c r="UYL165" s="21"/>
      <c r="UYM165" s="20"/>
      <c r="UYN165" s="20"/>
      <c r="UYO165" s="20"/>
      <c r="UYP165" s="21"/>
      <c r="UYQ165" s="21"/>
      <c r="UYR165" s="21"/>
      <c r="UYS165" s="21"/>
      <c r="UYT165" s="21"/>
      <c r="UYU165" s="20"/>
      <c r="UYV165" s="20"/>
      <c r="UYW165" s="20"/>
      <c r="UYX165" s="20"/>
      <c r="UYY165" s="21"/>
      <c r="UYZ165" s="21"/>
      <c r="UZA165" s="7"/>
      <c r="UZB165" s="7"/>
      <c r="UZC165" s="21"/>
      <c r="UZD165" s="20"/>
      <c r="UZE165" s="20"/>
      <c r="UZF165" s="20"/>
      <c r="UZG165" s="21"/>
      <c r="UZH165" s="21"/>
      <c r="UZI165" s="21"/>
      <c r="UZJ165" s="21"/>
      <c r="UZK165" s="21"/>
      <c r="UZL165" s="20"/>
      <c r="UZM165" s="20"/>
      <c r="UZN165" s="20"/>
      <c r="UZO165" s="20"/>
      <c r="UZP165" s="21"/>
      <c r="UZQ165" s="21"/>
      <c r="UZR165" s="7"/>
      <c r="UZS165" s="7"/>
      <c r="UZT165" s="21"/>
      <c r="UZU165" s="20"/>
      <c r="UZV165" s="20"/>
      <c r="UZW165" s="20"/>
      <c r="UZX165" s="21"/>
      <c r="UZY165" s="21"/>
      <c r="UZZ165" s="21"/>
      <c r="VAA165" s="21"/>
      <c r="VAB165" s="21"/>
      <c r="VAC165" s="20"/>
      <c r="VAD165" s="20"/>
      <c r="VAE165" s="20"/>
      <c r="VAF165" s="20"/>
      <c r="VAG165" s="21"/>
      <c r="VAH165" s="21"/>
      <c r="VAI165" s="7"/>
      <c r="VAJ165" s="7"/>
      <c r="VAK165" s="21"/>
      <c r="VAL165" s="20"/>
      <c r="VAM165" s="20"/>
      <c r="VAN165" s="20"/>
      <c r="VAO165" s="21"/>
      <c r="VAP165" s="21"/>
      <c r="VAQ165" s="21"/>
      <c r="VAR165" s="21"/>
      <c r="VAS165" s="21"/>
      <c r="VAT165" s="20"/>
      <c r="VAU165" s="20"/>
      <c r="VAV165" s="20"/>
      <c r="VAW165" s="20"/>
      <c r="VAX165" s="21"/>
      <c r="VAY165" s="21"/>
      <c r="VAZ165" s="7"/>
      <c r="VBA165" s="7"/>
      <c r="VBB165" s="21"/>
      <c r="VBC165" s="20"/>
      <c r="VBD165" s="20"/>
      <c r="VBE165" s="20"/>
      <c r="VBF165" s="21"/>
      <c r="VBG165" s="21"/>
      <c r="VBH165" s="21"/>
      <c r="VBI165" s="21"/>
      <c r="VBJ165" s="21"/>
      <c r="VBK165" s="20"/>
      <c r="VBL165" s="20"/>
      <c r="VBM165" s="20"/>
      <c r="VBN165" s="20"/>
      <c r="VBO165" s="21"/>
      <c r="VBP165" s="21"/>
      <c r="VBQ165" s="7"/>
      <c r="VBR165" s="7"/>
      <c r="VBS165" s="21"/>
      <c r="VBT165" s="20"/>
      <c r="VBU165" s="20"/>
      <c r="VBV165" s="20"/>
      <c r="VBW165" s="21"/>
      <c r="VBX165" s="21"/>
      <c r="VBY165" s="21"/>
      <c r="VBZ165" s="21"/>
      <c r="VCA165" s="21"/>
      <c r="VCB165" s="20"/>
      <c r="VCC165" s="20"/>
      <c r="VCD165" s="20"/>
      <c r="VCE165" s="20"/>
      <c r="VCF165" s="21"/>
      <c r="VCG165" s="21"/>
      <c r="VCH165" s="7"/>
      <c r="VCI165" s="7"/>
      <c r="VCJ165" s="21"/>
      <c r="VCK165" s="20"/>
      <c r="VCL165" s="20"/>
      <c r="VCM165" s="20"/>
      <c r="VCN165" s="21"/>
      <c r="VCO165" s="21"/>
      <c r="VCP165" s="21"/>
      <c r="VCQ165" s="21"/>
      <c r="VCR165" s="21"/>
      <c r="VCS165" s="20"/>
      <c r="VCT165" s="20"/>
      <c r="VCU165" s="20"/>
      <c r="VCV165" s="20"/>
      <c r="VCW165" s="21"/>
      <c r="VCX165" s="21"/>
      <c r="VCY165" s="7"/>
      <c r="VCZ165" s="7"/>
      <c r="VDA165" s="21"/>
      <c r="VDB165" s="20"/>
      <c r="VDC165" s="20"/>
      <c r="VDD165" s="20"/>
      <c r="VDE165" s="21"/>
      <c r="VDF165" s="21"/>
      <c r="VDG165" s="21"/>
      <c r="VDH165" s="21"/>
      <c r="VDI165" s="21"/>
      <c r="VDJ165" s="20"/>
      <c r="VDK165" s="20"/>
      <c r="VDL165" s="20"/>
      <c r="VDM165" s="20"/>
      <c r="VDN165" s="21"/>
      <c r="VDO165" s="21"/>
      <c r="VDP165" s="7"/>
      <c r="VDQ165" s="7"/>
      <c r="VDR165" s="21"/>
      <c r="VDS165" s="20"/>
      <c r="VDT165" s="20"/>
      <c r="VDU165" s="20"/>
      <c r="VDV165" s="21"/>
      <c r="VDW165" s="21"/>
      <c r="VDX165" s="21"/>
      <c r="VDY165" s="21"/>
      <c r="VDZ165" s="21"/>
      <c r="VEA165" s="20"/>
      <c r="VEB165" s="20"/>
      <c r="VEC165" s="20"/>
      <c r="VED165" s="20"/>
      <c r="VEE165" s="21"/>
      <c r="VEF165" s="21"/>
      <c r="VEG165" s="7"/>
      <c r="VEH165" s="7"/>
      <c r="VEI165" s="21"/>
      <c r="VEJ165" s="20"/>
      <c r="VEK165" s="20"/>
      <c r="VEL165" s="20"/>
      <c r="VEM165" s="21"/>
      <c r="VEN165" s="21"/>
      <c r="VEO165" s="21"/>
      <c r="VEP165" s="21"/>
      <c r="VEQ165" s="21"/>
      <c r="VER165" s="20"/>
      <c r="VES165" s="20"/>
      <c r="VET165" s="20"/>
      <c r="VEU165" s="20"/>
      <c r="VEV165" s="21"/>
      <c r="VEW165" s="21"/>
      <c r="VEX165" s="7"/>
      <c r="VEY165" s="7"/>
      <c r="VEZ165" s="21"/>
      <c r="VFA165" s="20"/>
      <c r="VFB165" s="20"/>
      <c r="VFC165" s="20"/>
      <c r="VFD165" s="21"/>
      <c r="VFE165" s="21"/>
      <c r="VFF165" s="21"/>
      <c r="VFG165" s="21"/>
      <c r="VFH165" s="21"/>
      <c r="VFI165" s="20"/>
      <c r="VFJ165" s="20"/>
      <c r="VFK165" s="20"/>
      <c r="VFL165" s="20"/>
      <c r="VFM165" s="21"/>
      <c r="VFN165" s="21"/>
      <c r="VFO165" s="7"/>
      <c r="VFP165" s="7"/>
      <c r="VFQ165" s="21"/>
      <c r="VFR165" s="20"/>
      <c r="VFS165" s="20"/>
      <c r="VFT165" s="20"/>
      <c r="VFU165" s="21"/>
      <c r="VFV165" s="21"/>
      <c r="VFW165" s="21"/>
      <c r="VFX165" s="21"/>
      <c r="VFY165" s="21"/>
      <c r="VFZ165" s="20"/>
      <c r="VGA165" s="20"/>
      <c r="VGB165" s="20"/>
      <c r="VGC165" s="20"/>
      <c r="VGD165" s="21"/>
      <c r="VGE165" s="21"/>
      <c r="VGF165" s="7"/>
      <c r="VGG165" s="7"/>
      <c r="VGH165" s="21"/>
      <c r="VGI165" s="20"/>
      <c r="VGJ165" s="20"/>
      <c r="VGK165" s="20"/>
      <c r="VGL165" s="21"/>
      <c r="VGM165" s="21"/>
      <c r="VGN165" s="21"/>
      <c r="VGO165" s="21"/>
      <c r="VGP165" s="21"/>
      <c r="VGQ165" s="20"/>
      <c r="VGR165" s="20"/>
      <c r="VGS165" s="20"/>
      <c r="VGT165" s="20"/>
      <c r="VGU165" s="21"/>
      <c r="VGV165" s="21"/>
      <c r="VGW165" s="7"/>
      <c r="VGX165" s="7"/>
      <c r="VGY165" s="21"/>
      <c r="VGZ165" s="20"/>
      <c r="VHA165" s="20"/>
      <c r="VHB165" s="20"/>
      <c r="VHC165" s="21"/>
      <c r="VHD165" s="21"/>
      <c r="VHE165" s="21"/>
      <c r="VHF165" s="21"/>
      <c r="VHG165" s="21"/>
      <c r="VHH165" s="20"/>
      <c r="VHI165" s="20"/>
      <c r="VHJ165" s="20"/>
      <c r="VHK165" s="20"/>
      <c r="VHL165" s="21"/>
      <c r="VHM165" s="21"/>
      <c r="VHN165" s="7"/>
      <c r="VHO165" s="7"/>
      <c r="VHP165" s="21"/>
      <c r="VHQ165" s="20"/>
      <c r="VHR165" s="20"/>
      <c r="VHS165" s="20"/>
      <c r="VHT165" s="21"/>
      <c r="VHU165" s="21"/>
      <c r="VHV165" s="21"/>
      <c r="VHW165" s="21"/>
      <c r="VHX165" s="21"/>
      <c r="VHY165" s="20"/>
      <c r="VHZ165" s="20"/>
      <c r="VIA165" s="20"/>
      <c r="VIB165" s="20"/>
      <c r="VIC165" s="21"/>
      <c r="VID165" s="21"/>
      <c r="VIE165" s="7"/>
      <c r="VIF165" s="7"/>
      <c r="VIG165" s="21"/>
      <c r="VIH165" s="20"/>
      <c r="VII165" s="20"/>
      <c r="VIJ165" s="20"/>
      <c r="VIK165" s="21"/>
      <c r="VIL165" s="21"/>
      <c r="VIM165" s="21"/>
      <c r="VIN165" s="21"/>
      <c r="VIO165" s="21"/>
      <c r="VIP165" s="20"/>
      <c r="VIQ165" s="20"/>
      <c r="VIR165" s="20"/>
      <c r="VIS165" s="20"/>
      <c r="VIT165" s="21"/>
      <c r="VIU165" s="21"/>
      <c r="VIV165" s="7"/>
      <c r="VIW165" s="7"/>
      <c r="VIX165" s="21"/>
      <c r="VIY165" s="20"/>
      <c r="VIZ165" s="20"/>
      <c r="VJA165" s="20"/>
      <c r="VJB165" s="21"/>
      <c r="VJC165" s="21"/>
      <c r="VJD165" s="21"/>
      <c r="VJE165" s="21"/>
      <c r="VJF165" s="21"/>
      <c r="VJG165" s="20"/>
      <c r="VJH165" s="20"/>
      <c r="VJI165" s="20"/>
      <c r="VJJ165" s="20"/>
      <c r="VJK165" s="21"/>
      <c r="VJL165" s="21"/>
      <c r="VJM165" s="7"/>
      <c r="VJN165" s="7"/>
      <c r="VJO165" s="21"/>
      <c r="VJP165" s="20"/>
      <c r="VJQ165" s="20"/>
      <c r="VJR165" s="20"/>
      <c r="VJS165" s="21"/>
      <c r="VJT165" s="21"/>
      <c r="VJU165" s="21"/>
      <c r="VJV165" s="21"/>
      <c r="VJW165" s="21"/>
      <c r="VJX165" s="20"/>
      <c r="VJY165" s="20"/>
      <c r="VJZ165" s="20"/>
      <c r="VKA165" s="20"/>
      <c r="VKB165" s="21"/>
      <c r="VKC165" s="21"/>
      <c r="VKD165" s="7"/>
      <c r="VKE165" s="7"/>
      <c r="VKF165" s="21"/>
      <c r="VKG165" s="20"/>
      <c r="VKH165" s="20"/>
      <c r="VKI165" s="20"/>
      <c r="VKJ165" s="21"/>
      <c r="VKK165" s="21"/>
      <c r="VKL165" s="21"/>
      <c r="VKM165" s="21"/>
      <c r="VKN165" s="21"/>
      <c r="VKO165" s="20"/>
      <c r="VKP165" s="20"/>
      <c r="VKQ165" s="20"/>
      <c r="VKR165" s="20"/>
      <c r="VKS165" s="21"/>
      <c r="VKT165" s="21"/>
      <c r="VKU165" s="7"/>
      <c r="VKV165" s="7"/>
      <c r="VKW165" s="21"/>
      <c r="VKX165" s="20"/>
      <c r="VKY165" s="20"/>
      <c r="VKZ165" s="20"/>
      <c r="VLA165" s="21"/>
      <c r="VLB165" s="21"/>
      <c r="VLC165" s="21"/>
      <c r="VLD165" s="21"/>
      <c r="VLE165" s="21"/>
      <c r="VLF165" s="20"/>
      <c r="VLG165" s="20"/>
      <c r="VLH165" s="20"/>
      <c r="VLI165" s="20"/>
      <c r="VLJ165" s="21"/>
      <c r="VLK165" s="21"/>
      <c r="VLL165" s="7"/>
      <c r="VLM165" s="7"/>
      <c r="VLN165" s="21"/>
      <c r="VLO165" s="20"/>
      <c r="VLP165" s="20"/>
      <c r="VLQ165" s="20"/>
      <c r="VLR165" s="21"/>
      <c r="VLS165" s="21"/>
      <c r="VLT165" s="21"/>
      <c r="VLU165" s="21"/>
      <c r="VLV165" s="21"/>
      <c r="VLW165" s="20"/>
      <c r="VLX165" s="20"/>
      <c r="VLY165" s="20"/>
      <c r="VLZ165" s="20"/>
      <c r="VMA165" s="21"/>
      <c r="VMB165" s="21"/>
      <c r="VMC165" s="7"/>
      <c r="VMD165" s="7"/>
      <c r="VME165" s="21"/>
      <c r="VMF165" s="20"/>
      <c r="VMG165" s="20"/>
      <c r="VMH165" s="20"/>
      <c r="VMI165" s="21"/>
      <c r="VMJ165" s="21"/>
      <c r="VMK165" s="21"/>
      <c r="VML165" s="21"/>
      <c r="VMM165" s="21"/>
      <c r="VMN165" s="20"/>
      <c r="VMO165" s="20"/>
      <c r="VMP165" s="20"/>
      <c r="VMQ165" s="20"/>
      <c r="VMR165" s="21"/>
      <c r="VMS165" s="21"/>
      <c r="VMT165" s="7"/>
      <c r="VMU165" s="7"/>
      <c r="VMV165" s="21"/>
      <c r="VMW165" s="20"/>
      <c r="VMX165" s="20"/>
      <c r="VMY165" s="20"/>
      <c r="VMZ165" s="21"/>
      <c r="VNA165" s="21"/>
      <c r="VNB165" s="21"/>
      <c r="VNC165" s="21"/>
      <c r="VND165" s="21"/>
      <c r="VNE165" s="20"/>
      <c r="VNF165" s="20"/>
      <c r="VNG165" s="20"/>
      <c r="VNH165" s="20"/>
      <c r="VNI165" s="21"/>
      <c r="VNJ165" s="21"/>
      <c r="VNK165" s="7"/>
      <c r="VNL165" s="7"/>
      <c r="VNM165" s="21"/>
      <c r="VNN165" s="20"/>
      <c r="VNO165" s="20"/>
      <c r="VNP165" s="20"/>
      <c r="VNQ165" s="21"/>
      <c r="VNR165" s="21"/>
      <c r="VNS165" s="21"/>
      <c r="VNT165" s="21"/>
      <c r="VNU165" s="21"/>
      <c r="VNV165" s="20"/>
      <c r="VNW165" s="20"/>
      <c r="VNX165" s="20"/>
      <c r="VNY165" s="20"/>
      <c r="VNZ165" s="21"/>
      <c r="VOA165" s="21"/>
      <c r="VOB165" s="7"/>
      <c r="VOC165" s="7"/>
      <c r="VOD165" s="21"/>
      <c r="VOE165" s="20"/>
      <c r="VOF165" s="20"/>
      <c r="VOG165" s="20"/>
      <c r="VOH165" s="21"/>
      <c r="VOI165" s="21"/>
      <c r="VOJ165" s="21"/>
      <c r="VOK165" s="21"/>
      <c r="VOL165" s="21"/>
      <c r="VOM165" s="20"/>
      <c r="VON165" s="20"/>
      <c r="VOO165" s="20"/>
      <c r="VOP165" s="20"/>
      <c r="VOQ165" s="21"/>
      <c r="VOR165" s="21"/>
      <c r="VOS165" s="7"/>
      <c r="VOT165" s="7"/>
      <c r="VOU165" s="21"/>
      <c r="VOV165" s="20"/>
      <c r="VOW165" s="20"/>
      <c r="VOX165" s="20"/>
      <c r="VOY165" s="21"/>
      <c r="VOZ165" s="21"/>
      <c r="VPA165" s="21"/>
      <c r="VPB165" s="21"/>
      <c r="VPC165" s="21"/>
      <c r="VPD165" s="20"/>
      <c r="VPE165" s="20"/>
      <c r="VPF165" s="20"/>
      <c r="VPG165" s="20"/>
      <c r="VPH165" s="21"/>
      <c r="VPI165" s="21"/>
      <c r="VPJ165" s="7"/>
      <c r="VPK165" s="7"/>
      <c r="VPL165" s="21"/>
      <c r="VPM165" s="20"/>
      <c r="VPN165" s="20"/>
      <c r="VPO165" s="20"/>
      <c r="VPP165" s="21"/>
      <c r="VPQ165" s="21"/>
      <c r="VPR165" s="21"/>
      <c r="VPS165" s="21"/>
      <c r="VPT165" s="21"/>
      <c r="VPU165" s="20"/>
      <c r="VPV165" s="20"/>
      <c r="VPW165" s="20"/>
      <c r="VPX165" s="20"/>
      <c r="VPY165" s="21"/>
      <c r="VPZ165" s="21"/>
      <c r="VQA165" s="7"/>
      <c r="VQB165" s="7"/>
      <c r="VQC165" s="21"/>
      <c r="VQD165" s="20"/>
      <c r="VQE165" s="20"/>
      <c r="VQF165" s="20"/>
      <c r="VQG165" s="21"/>
      <c r="VQH165" s="21"/>
      <c r="VQI165" s="21"/>
      <c r="VQJ165" s="21"/>
      <c r="VQK165" s="21"/>
      <c r="VQL165" s="20"/>
      <c r="VQM165" s="20"/>
      <c r="VQN165" s="20"/>
      <c r="VQO165" s="20"/>
      <c r="VQP165" s="21"/>
      <c r="VQQ165" s="21"/>
      <c r="VQR165" s="7"/>
      <c r="VQS165" s="7"/>
      <c r="VQT165" s="21"/>
      <c r="VQU165" s="20"/>
      <c r="VQV165" s="20"/>
      <c r="VQW165" s="20"/>
      <c r="VQX165" s="21"/>
      <c r="VQY165" s="21"/>
      <c r="VQZ165" s="21"/>
      <c r="VRA165" s="21"/>
      <c r="VRB165" s="21"/>
      <c r="VRC165" s="20"/>
      <c r="VRD165" s="20"/>
      <c r="VRE165" s="20"/>
      <c r="VRF165" s="20"/>
      <c r="VRG165" s="21"/>
      <c r="VRH165" s="21"/>
      <c r="VRI165" s="7"/>
      <c r="VRJ165" s="7"/>
      <c r="VRK165" s="21"/>
      <c r="VRL165" s="20"/>
      <c r="VRM165" s="20"/>
      <c r="VRN165" s="20"/>
      <c r="VRO165" s="21"/>
      <c r="VRP165" s="21"/>
      <c r="VRQ165" s="21"/>
      <c r="VRR165" s="21"/>
      <c r="VRS165" s="21"/>
      <c r="VRT165" s="20"/>
      <c r="VRU165" s="20"/>
      <c r="VRV165" s="20"/>
      <c r="VRW165" s="20"/>
      <c r="VRX165" s="21"/>
      <c r="VRY165" s="21"/>
      <c r="VRZ165" s="7"/>
      <c r="VSA165" s="7"/>
      <c r="VSB165" s="21"/>
      <c r="VSC165" s="20"/>
      <c r="VSD165" s="20"/>
      <c r="VSE165" s="20"/>
      <c r="VSF165" s="21"/>
      <c r="VSG165" s="21"/>
      <c r="VSH165" s="21"/>
      <c r="VSI165" s="21"/>
      <c r="VSJ165" s="21"/>
      <c r="VSK165" s="20"/>
      <c r="VSL165" s="20"/>
      <c r="VSM165" s="20"/>
      <c r="VSN165" s="20"/>
      <c r="VSO165" s="21"/>
      <c r="VSP165" s="21"/>
      <c r="VSQ165" s="7"/>
      <c r="VSR165" s="7"/>
      <c r="VSS165" s="21"/>
      <c r="VST165" s="20"/>
      <c r="VSU165" s="20"/>
      <c r="VSV165" s="20"/>
      <c r="VSW165" s="21"/>
      <c r="VSX165" s="21"/>
      <c r="VSY165" s="21"/>
      <c r="VSZ165" s="21"/>
      <c r="VTA165" s="21"/>
      <c r="VTB165" s="20"/>
      <c r="VTC165" s="20"/>
      <c r="VTD165" s="20"/>
      <c r="VTE165" s="20"/>
      <c r="VTF165" s="21"/>
      <c r="VTG165" s="21"/>
      <c r="VTH165" s="7"/>
      <c r="VTI165" s="7"/>
      <c r="VTJ165" s="21"/>
      <c r="VTK165" s="20"/>
      <c r="VTL165" s="20"/>
      <c r="VTM165" s="20"/>
      <c r="VTN165" s="21"/>
      <c r="VTO165" s="21"/>
      <c r="VTP165" s="21"/>
      <c r="VTQ165" s="21"/>
      <c r="VTR165" s="21"/>
      <c r="VTS165" s="20"/>
      <c r="VTT165" s="20"/>
      <c r="VTU165" s="20"/>
      <c r="VTV165" s="20"/>
      <c r="VTW165" s="21"/>
      <c r="VTX165" s="21"/>
      <c r="VTY165" s="7"/>
      <c r="VTZ165" s="7"/>
      <c r="VUA165" s="21"/>
      <c r="VUB165" s="20"/>
      <c r="VUC165" s="20"/>
      <c r="VUD165" s="20"/>
      <c r="VUE165" s="21"/>
      <c r="VUF165" s="21"/>
      <c r="VUG165" s="21"/>
      <c r="VUH165" s="21"/>
      <c r="VUI165" s="21"/>
      <c r="VUJ165" s="20"/>
      <c r="VUK165" s="20"/>
      <c r="VUL165" s="20"/>
      <c r="VUM165" s="20"/>
      <c r="VUN165" s="21"/>
      <c r="VUO165" s="21"/>
      <c r="VUP165" s="7"/>
      <c r="VUQ165" s="7"/>
      <c r="VUR165" s="21"/>
      <c r="VUS165" s="20"/>
      <c r="VUT165" s="20"/>
      <c r="VUU165" s="20"/>
      <c r="VUV165" s="21"/>
      <c r="VUW165" s="21"/>
      <c r="VUX165" s="21"/>
      <c r="VUY165" s="21"/>
      <c r="VUZ165" s="21"/>
      <c r="VVA165" s="20"/>
      <c r="VVB165" s="20"/>
      <c r="VVC165" s="20"/>
      <c r="VVD165" s="20"/>
      <c r="VVE165" s="21"/>
      <c r="VVF165" s="21"/>
      <c r="VVG165" s="7"/>
      <c r="VVH165" s="7"/>
      <c r="VVI165" s="21"/>
      <c r="VVJ165" s="20"/>
      <c r="VVK165" s="20"/>
      <c r="VVL165" s="20"/>
      <c r="VVM165" s="21"/>
      <c r="VVN165" s="21"/>
      <c r="VVO165" s="21"/>
      <c r="VVP165" s="21"/>
      <c r="VVQ165" s="21"/>
      <c r="VVR165" s="20"/>
      <c r="VVS165" s="20"/>
      <c r="VVT165" s="20"/>
      <c r="VVU165" s="20"/>
      <c r="VVV165" s="21"/>
      <c r="VVW165" s="21"/>
      <c r="VVX165" s="7"/>
      <c r="VVY165" s="7"/>
      <c r="VVZ165" s="21"/>
      <c r="VWA165" s="20"/>
      <c r="VWB165" s="20"/>
      <c r="VWC165" s="20"/>
      <c r="VWD165" s="21"/>
      <c r="VWE165" s="21"/>
      <c r="VWF165" s="21"/>
      <c r="VWG165" s="21"/>
      <c r="VWH165" s="21"/>
      <c r="VWI165" s="20"/>
      <c r="VWJ165" s="20"/>
      <c r="VWK165" s="20"/>
      <c r="VWL165" s="20"/>
      <c r="VWM165" s="21"/>
      <c r="VWN165" s="21"/>
      <c r="VWO165" s="7"/>
      <c r="VWP165" s="7"/>
      <c r="VWQ165" s="21"/>
      <c r="VWR165" s="20"/>
      <c r="VWS165" s="20"/>
      <c r="VWT165" s="20"/>
      <c r="VWU165" s="21"/>
      <c r="VWV165" s="21"/>
      <c r="VWW165" s="21"/>
      <c r="VWX165" s="21"/>
      <c r="VWY165" s="21"/>
      <c r="VWZ165" s="20"/>
      <c r="VXA165" s="20"/>
      <c r="VXB165" s="20"/>
      <c r="VXC165" s="20"/>
      <c r="VXD165" s="21"/>
      <c r="VXE165" s="21"/>
      <c r="VXF165" s="7"/>
      <c r="VXG165" s="7"/>
      <c r="VXH165" s="21"/>
      <c r="VXI165" s="20"/>
      <c r="VXJ165" s="20"/>
      <c r="VXK165" s="20"/>
      <c r="VXL165" s="21"/>
      <c r="VXM165" s="21"/>
      <c r="VXN165" s="21"/>
      <c r="VXO165" s="21"/>
      <c r="VXP165" s="21"/>
      <c r="VXQ165" s="20"/>
      <c r="VXR165" s="20"/>
      <c r="VXS165" s="20"/>
      <c r="VXT165" s="20"/>
      <c r="VXU165" s="21"/>
      <c r="VXV165" s="21"/>
      <c r="VXW165" s="7"/>
      <c r="VXX165" s="7"/>
      <c r="VXY165" s="21"/>
      <c r="VXZ165" s="20"/>
      <c r="VYA165" s="20"/>
      <c r="VYB165" s="20"/>
      <c r="VYC165" s="21"/>
      <c r="VYD165" s="21"/>
      <c r="VYE165" s="21"/>
      <c r="VYF165" s="21"/>
      <c r="VYG165" s="21"/>
      <c r="VYH165" s="20"/>
      <c r="VYI165" s="20"/>
      <c r="VYJ165" s="20"/>
      <c r="VYK165" s="20"/>
      <c r="VYL165" s="21"/>
      <c r="VYM165" s="21"/>
      <c r="VYN165" s="7"/>
      <c r="VYO165" s="7"/>
      <c r="VYP165" s="21"/>
      <c r="VYQ165" s="20"/>
      <c r="VYR165" s="20"/>
      <c r="VYS165" s="20"/>
      <c r="VYT165" s="21"/>
      <c r="VYU165" s="21"/>
      <c r="VYV165" s="21"/>
      <c r="VYW165" s="21"/>
      <c r="VYX165" s="21"/>
      <c r="VYY165" s="20"/>
      <c r="VYZ165" s="20"/>
      <c r="VZA165" s="20"/>
      <c r="VZB165" s="20"/>
      <c r="VZC165" s="21"/>
      <c r="VZD165" s="21"/>
      <c r="VZE165" s="7"/>
      <c r="VZF165" s="7"/>
      <c r="VZG165" s="21"/>
      <c r="VZH165" s="20"/>
      <c r="VZI165" s="20"/>
      <c r="VZJ165" s="20"/>
      <c r="VZK165" s="21"/>
      <c r="VZL165" s="21"/>
      <c r="VZM165" s="21"/>
      <c r="VZN165" s="21"/>
      <c r="VZO165" s="21"/>
      <c r="VZP165" s="20"/>
      <c r="VZQ165" s="20"/>
      <c r="VZR165" s="20"/>
      <c r="VZS165" s="20"/>
      <c r="VZT165" s="21"/>
      <c r="VZU165" s="21"/>
      <c r="VZV165" s="7"/>
      <c r="VZW165" s="7"/>
      <c r="VZX165" s="21"/>
      <c r="VZY165" s="20"/>
      <c r="VZZ165" s="20"/>
      <c r="WAA165" s="20"/>
      <c r="WAB165" s="21"/>
      <c r="WAC165" s="21"/>
      <c r="WAD165" s="21"/>
      <c r="WAE165" s="21"/>
      <c r="WAF165" s="21"/>
      <c r="WAG165" s="20"/>
      <c r="WAH165" s="20"/>
      <c r="WAI165" s="20"/>
      <c r="WAJ165" s="20"/>
      <c r="WAK165" s="21"/>
      <c r="WAL165" s="21"/>
      <c r="WAM165" s="7"/>
      <c r="WAN165" s="7"/>
      <c r="WAO165" s="21"/>
      <c r="WAP165" s="20"/>
      <c r="WAQ165" s="20"/>
      <c r="WAR165" s="20"/>
      <c r="WAS165" s="21"/>
      <c r="WAT165" s="21"/>
      <c r="WAU165" s="21"/>
      <c r="WAV165" s="21"/>
      <c r="WAW165" s="21"/>
      <c r="WAX165" s="20"/>
      <c r="WAY165" s="20"/>
      <c r="WAZ165" s="20"/>
      <c r="WBA165" s="20"/>
      <c r="WBB165" s="21"/>
      <c r="WBC165" s="21"/>
      <c r="WBD165" s="7"/>
      <c r="WBE165" s="7"/>
      <c r="WBF165" s="21"/>
      <c r="WBG165" s="20"/>
      <c r="WBH165" s="20"/>
      <c r="WBI165" s="20"/>
      <c r="WBJ165" s="21"/>
      <c r="WBK165" s="21"/>
      <c r="WBL165" s="21"/>
      <c r="WBM165" s="21"/>
      <c r="WBN165" s="21"/>
      <c r="WBO165" s="20"/>
      <c r="WBP165" s="20"/>
      <c r="WBQ165" s="20"/>
      <c r="WBR165" s="20"/>
      <c r="WBS165" s="21"/>
      <c r="WBT165" s="21"/>
      <c r="WBU165" s="7"/>
      <c r="WBV165" s="7"/>
      <c r="WBW165" s="21"/>
      <c r="WBX165" s="20"/>
      <c r="WBY165" s="20"/>
      <c r="WBZ165" s="20"/>
      <c r="WCA165" s="21"/>
      <c r="WCB165" s="21"/>
      <c r="WCC165" s="21"/>
      <c r="WCD165" s="21"/>
      <c r="WCE165" s="21"/>
      <c r="WCF165" s="20"/>
      <c r="WCG165" s="20"/>
      <c r="WCH165" s="20"/>
      <c r="WCI165" s="20"/>
      <c r="WCJ165" s="21"/>
      <c r="WCK165" s="21"/>
      <c r="WCL165" s="7"/>
      <c r="WCM165" s="7"/>
      <c r="WCN165" s="21"/>
      <c r="WCO165" s="20"/>
      <c r="WCP165" s="20"/>
      <c r="WCQ165" s="20"/>
      <c r="WCR165" s="21"/>
      <c r="WCS165" s="21"/>
      <c r="WCT165" s="21"/>
      <c r="WCU165" s="21"/>
      <c r="WCV165" s="21"/>
      <c r="WCW165" s="20"/>
      <c r="WCX165" s="20"/>
      <c r="WCY165" s="20"/>
      <c r="WCZ165" s="20"/>
      <c r="WDA165" s="21"/>
      <c r="WDB165" s="21"/>
      <c r="WDC165" s="7"/>
      <c r="WDD165" s="7"/>
      <c r="WDE165" s="21"/>
      <c r="WDF165" s="20"/>
      <c r="WDG165" s="20"/>
      <c r="WDH165" s="20"/>
      <c r="WDI165" s="21"/>
      <c r="WDJ165" s="21"/>
      <c r="WDK165" s="21"/>
      <c r="WDL165" s="21"/>
      <c r="WDM165" s="21"/>
      <c r="WDN165" s="20"/>
      <c r="WDO165" s="20"/>
      <c r="WDP165" s="20"/>
      <c r="WDQ165" s="20"/>
      <c r="WDR165" s="21"/>
      <c r="WDS165" s="21"/>
      <c r="WDT165" s="7"/>
      <c r="WDU165" s="7"/>
      <c r="WDV165" s="21"/>
      <c r="WDW165" s="20"/>
      <c r="WDX165" s="20"/>
      <c r="WDY165" s="20"/>
      <c r="WDZ165" s="21"/>
      <c r="WEA165" s="21"/>
      <c r="WEB165" s="21"/>
      <c r="WEC165" s="21"/>
      <c r="WED165" s="21"/>
      <c r="WEE165" s="20"/>
      <c r="WEF165" s="20"/>
      <c r="WEG165" s="20"/>
      <c r="WEH165" s="20"/>
      <c r="WEI165" s="21"/>
      <c r="WEJ165" s="21"/>
      <c r="WEK165" s="7"/>
      <c r="WEL165" s="7"/>
      <c r="WEM165" s="21"/>
      <c r="WEN165" s="20"/>
      <c r="WEO165" s="20"/>
      <c r="WEP165" s="20"/>
      <c r="WEQ165" s="21"/>
      <c r="WER165" s="21"/>
      <c r="WES165" s="21"/>
      <c r="WET165" s="21"/>
      <c r="WEU165" s="21"/>
      <c r="WEV165" s="20"/>
      <c r="WEW165" s="20"/>
      <c r="WEX165" s="20"/>
      <c r="WEY165" s="20"/>
      <c r="WEZ165" s="21"/>
      <c r="WFA165" s="21"/>
      <c r="WFB165" s="7"/>
      <c r="WFC165" s="7"/>
      <c r="WFD165" s="21"/>
      <c r="WFE165" s="20"/>
      <c r="WFF165" s="20"/>
      <c r="WFG165" s="20"/>
      <c r="WFH165" s="21"/>
      <c r="WFI165" s="21"/>
      <c r="WFJ165" s="21"/>
      <c r="WFK165" s="21"/>
      <c r="WFL165" s="21"/>
      <c r="WFM165" s="20"/>
      <c r="WFN165" s="20"/>
      <c r="WFO165" s="20"/>
      <c r="WFP165" s="20"/>
      <c r="WFQ165" s="21"/>
      <c r="WFR165" s="21"/>
      <c r="WFS165" s="7"/>
      <c r="WFT165" s="7"/>
      <c r="WFU165" s="21"/>
      <c r="WFV165" s="20"/>
      <c r="WFW165" s="20"/>
      <c r="WFX165" s="20"/>
      <c r="WFY165" s="21"/>
      <c r="WFZ165" s="21"/>
      <c r="WGA165" s="21"/>
      <c r="WGB165" s="21"/>
      <c r="WGC165" s="21"/>
      <c r="WGD165" s="20"/>
      <c r="WGE165" s="20"/>
      <c r="WGF165" s="20"/>
      <c r="WGG165" s="20"/>
      <c r="WGH165" s="21"/>
      <c r="WGI165" s="21"/>
      <c r="WGJ165" s="7"/>
      <c r="WGK165" s="7"/>
      <c r="WGL165" s="21"/>
      <c r="WGM165" s="20"/>
      <c r="WGN165" s="20"/>
      <c r="WGO165" s="20"/>
      <c r="WGP165" s="21"/>
      <c r="WGQ165" s="21"/>
      <c r="WGR165" s="21"/>
      <c r="WGS165" s="21"/>
      <c r="WGT165" s="21"/>
      <c r="WGU165" s="20"/>
      <c r="WGV165" s="20"/>
      <c r="WGW165" s="20"/>
      <c r="WGX165" s="20"/>
      <c r="WGY165" s="21"/>
      <c r="WGZ165" s="21"/>
      <c r="WHA165" s="7"/>
      <c r="WHB165" s="7"/>
      <c r="WHC165" s="21"/>
      <c r="WHD165" s="20"/>
      <c r="WHE165" s="20"/>
      <c r="WHF165" s="20"/>
      <c r="WHG165" s="21"/>
      <c r="WHH165" s="21"/>
      <c r="WHI165" s="21"/>
      <c r="WHJ165" s="21"/>
      <c r="WHK165" s="21"/>
      <c r="WHL165" s="20"/>
      <c r="WHM165" s="20"/>
      <c r="WHN165" s="20"/>
      <c r="WHO165" s="20"/>
      <c r="WHP165" s="21"/>
      <c r="WHQ165" s="21"/>
      <c r="WHR165" s="7"/>
      <c r="WHS165" s="7"/>
      <c r="WHT165" s="21"/>
      <c r="WHU165" s="20"/>
      <c r="WHV165" s="20"/>
      <c r="WHW165" s="20"/>
      <c r="WHX165" s="21"/>
      <c r="WHY165" s="21"/>
      <c r="WHZ165" s="21"/>
      <c r="WIA165" s="21"/>
      <c r="WIB165" s="21"/>
      <c r="WIC165" s="20"/>
      <c r="WID165" s="20"/>
      <c r="WIE165" s="20"/>
      <c r="WIF165" s="20"/>
      <c r="WIG165" s="21"/>
      <c r="WIH165" s="21"/>
      <c r="WII165" s="7"/>
      <c r="WIJ165" s="7"/>
      <c r="WIK165" s="21"/>
      <c r="WIL165" s="20"/>
      <c r="WIM165" s="20"/>
      <c r="WIN165" s="20"/>
      <c r="WIO165" s="21"/>
      <c r="WIP165" s="21"/>
      <c r="WIQ165" s="21"/>
      <c r="WIR165" s="21"/>
      <c r="WIS165" s="21"/>
      <c r="WIT165" s="20"/>
      <c r="WIU165" s="20"/>
      <c r="WIV165" s="20"/>
      <c r="WIW165" s="20"/>
      <c r="WIX165" s="21"/>
      <c r="WIY165" s="21"/>
      <c r="WIZ165" s="7"/>
      <c r="WJA165" s="7"/>
      <c r="WJB165" s="21"/>
      <c r="WJC165" s="20"/>
      <c r="WJD165" s="20"/>
      <c r="WJE165" s="20"/>
      <c r="WJF165" s="21"/>
      <c r="WJG165" s="21"/>
      <c r="WJH165" s="21"/>
      <c r="WJI165" s="21"/>
      <c r="WJJ165" s="21"/>
      <c r="WJK165" s="20"/>
      <c r="WJL165" s="20"/>
      <c r="WJM165" s="20"/>
      <c r="WJN165" s="20"/>
      <c r="WJO165" s="21"/>
      <c r="WJP165" s="21"/>
      <c r="WJQ165" s="7"/>
      <c r="WJR165" s="7"/>
      <c r="WJS165" s="21"/>
      <c r="WJT165" s="20"/>
      <c r="WJU165" s="20"/>
      <c r="WJV165" s="20"/>
      <c r="WJW165" s="21"/>
      <c r="WJX165" s="21"/>
      <c r="WJY165" s="21"/>
      <c r="WJZ165" s="21"/>
      <c r="WKA165" s="21"/>
      <c r="WKB165" s="20"/>
      <c r="WKC165" s="20"/>
      <c r="WKD165" s="20"/>
      <c r="WKE165" s="20"/>
      <c r="WKF165" s="21"/>
      <c r="WKG165" s="21"/>
      <c r="WKH165" s="7"/>
      <c r="WKI165" s="7"/>
      <c r="WKJ165" s="21"/>
      <c r="WKK165" s="20"/>
      <c r="WKL165" s="20"/>
      <c r="WKM165" s="20"/>
      <c r="WKN165" s="21"/>
      <c r="WKO165" s="21"/>
      <c r="WKP165" s="21"/>
      <c r="WKQ165" s="21"/>
      <c r="WKR165" s="21"/>
      <c r="WKS165" s="20"/>
      <c r="WKT165" s="20"/>
      <c r="WKU165" s="20"/>
      <c r="WKV165" s="20"/>
      <c r="WKW165" s="21"/>
      <c r="WKX165" s="21"/>
      <c r="WKY165" s="7"/>
      <c r="WKZ165" s="7"/>
      <c r="WLA165" s="21"/>
      <c r="WLB165" s="20"/>
      <c r="WLC165" s="20"/>
      <c r="WLD165" s="20"/>
      <c r="WLE165" s="21"/>
      <c r="WLF165" s="21"/>
      <c r="WLG165" s="21"/>
      <c r="WLH165" s="21"/>
      <c r="WLI165" s="21"/>
      <c r="WLJ165" s="20"/>
      <c r="WLK165" s="20"/>
      <c r="WLL165" s="20"/>
      <c r="WLM165" s="20"/>
      <c r="WLN165" s="21"/>
      <c r="WLO165" s="21"/>
      <c r="WLP165" s="7"/>
      <c r="WLQ165" s="7"/>
      <c r="WLR165" s="21"/>
      <c r="WLS165" s="20"/>
      <c r="WLT165" s="20"/>
      <c r="WLU165" s="20"/>
      <c r="WLV165" s="21"/>
      <c r="WLW165" s="21"/>
      <c r="WLX165" s="21"/>
      <c r="WLY165" s="21"/>
      <c r="WLZ165" s="21"/>
      <c r="WMA165" s="20"/>
      <c r="WMB165" s="20"/>
      <c r="WMC165" s="20"/>
      <c r="WMD165" s="20"/>
      <c r="WME165" s="21"/>
      <c r="WMF165" s="21"/>
      <c r="WMG165" s="7"/>
      <c r="WMH165" s="7"/>
      <c r="WMI165" s="21"/>
      <c r="WMJ165" s="20"/>
      <c r="WMK165" s="20"/>
      <c r="WML165" s="20"/>
      <c r="WMM165" s="21"/>
      <c r="WMN165" s="21"/>
      <c r="WMO165" s="21"/>
      <c r="WMP165" s="21"/>
      <c r="WMQ165" s="21"/>
      <c r="WMR165" s="20"/>
      <c r="WMS165" s="20"/>
      <c r="WMT165" s="20"/>
      <c r="WMU165" s="20"/>
      <c r="WMV165" s="21"/>
      <c r="WMW165" s="21"/>
      <c r="WMX165" s="7"/>
      <c r="WMY165" s="7"/>
      <c r="WMZ165" s="21"/>
      <c r="WNA165" s="20"/>
      <c r="WNB165" s="20"/>
      <c r="WNC165" s="20"/>
      <c r="WND165" s="21"/>
      <c r="WNE165" s="21"/>
      <c r="WNF165" s="21"/>
      <c r="WNG165" s="21"/>
      <c r="WNH165" s="21"/>
      <c r="WNI165" s="20"/>
      <c r="WNJ165" s="20"/>
      <c r="WNK165" s="20"/>
      <c r="WNL165" s="20"/>
      <c r="WNM165" s="21"/>
      <c r="WNN165" s="21"/>
      <c r="WNO165" s="7"/>
      <c r="WNP165" s="7"/>
      <c r="WNQ165" s="21"/>
      <c r="WNR165" s="20"/>
      <c r="WNS165" s="20"/>
      <c r="WNT165" s="20"/>
      <c r="WNU165" s="21"/>
      <c r="WNV165" s="21"/>
      <c r="WNW165" s="21"/>
      <c r="WNX165" s="21"/>
      <c r="WNY165" s="21"/>
      <c r="WNZ165" s="20"/>
      <c r="WOA165" s="20"/>
      <c r="WOB165" s="20"/>
      <c r="WOC165" s="20"/>
      <c r="WOD165" s="21"/>
      <c r="WOE165" s="21"/>
      <c r="WOF165" s="7"/>
      <c r="WOG165" s="7"/>
      <c r="WOH165" s="21"/>
      <c r="WOI165" s="20"/>
      <c r="WOJ165" s="20"/>
      <c r="WOK165" s="20"/>
      <c r="WOL165" s="21"/>
      <c r="WOM165" s="21"/>
      <c r="WON165" s="21"/>
      <c r="WOO165" s="21"/>
      <c r="WOP165" s="21"/>
      <c r="WOQ165" s="20"/>
      <c r="WOR165" s="20"/>
      <c r="WOS165" s="20"/>
      <c r="WOT165" s="20"/>
      <c r="WOU165" s="21"/>
      <c r="WOV165" s="21"/>
      <c r="WOW165" s="7"/>
      <c r="WOX165" s="7"/>
      <c r="WOY165" s="21"/>
      <c r="WOZ165" s="20"/>
      <c r="WPA165" s="20"/>
      <c r="WPB165" s="20"/>
      <c r="WPC165" s="21"/>
      <c r="WPD165" s="21"/>
      <c r="WPE165" s="21"/>
      <c r="WPF165" s="21"/>
      <c r="WPG165" s="21"/>
      <c r="WPH165" s="20"/>
      <c r="WPI165" s="20"/>
      <c r="WPJ165" s="20"/>
      <c r="WPK165" s="20"/>
      <c r="WPL165" s="21"/>
      <c r="WPM165" s="21"/>
      <c r="WPN165" s="7"/>
      <c r="WPO165" s="7"/>
      <c r="WPP165" s="21"/>
      <c r="WPQ165" s="20"/>
      <c r="WPR165" s="20"/>
      <c r="WPS165" s="20"/>
      <c r="WPT165" s="21"/>
      <c r="WPU165" s="21"/>
      <c r="WPV165" s="21"/>
      <c r="WPW165" s="21"/>
      <c r="WPX165" s="21"/>
      <c r="WPY165" s="20"/>
      <c r="WPZ165" s="20"/>
      <c r="WQA165" s="20"/>
      <c r="WQB165" s="20"/>
      <c r="WQC165" s="21"/>
      <c r="WQD165" s="21"/>
      <c r="WQE165" s="7"/>
      <c r="WQF165" s="7"/>
      <c r="WQG165" s="21"/>
      <c r="WQH165" s="20"/>
      <c r="WQI165" s="20"/>
      <c r="WQJ165" s="20"/>
      <c r="WQK165" s="21"/>
      <c r="WQL165" s="21"/>
      <c r="WQM165" s="21"/>
      <c r="WQN165" s="21"/>
      <c r="WQO165" s="21"/>
      <c r="WQP165" s="20"/>
      <c r="WQQ165" s="20"/>
      <c r="WQR165" s="20"/>
      <c r="WQS165" s="20"/>
      <c r="WQT165" s="21"/>
      <c r="WQU165" s="21"/>
      <c r="WQV165" s="7"/>
      <c r="WQW165" s="7"/>
      <c r="WQX165" s="21"/>
      <c r="WQY165" s="20"/>
      <c r="WQZ165" s="20"/>
      <c r="WRA165" s="20"/>
      <c r="WRB165" s="21"/>
      <c r="WRC165" s="21"/>
      <c r="WRD165" s="21"/>
      <c r="WRE165" s="21"/>
      <c r="WRF165" s="21"/>
      <c r="WRG165" s="20"/>
      <c r="WRH165" s="20"/>
      <c r="WRI165" s="20"/>
      <c r="WRJ165" s="20"/>
      <c r="WRK165" s="21"/>
      <c r="WRL165" s="21"/>
      <c r="WRM165" s="7"/>
      <c r="WRN165" s="7"/>
      <c r="WRO165" s="21"/>
      <c r="WRP165" s="20"/>
      <c r="WRQ165" s="20"/>
      <c r="WRR165" s="20"/>
      <c r="WRS165" s="21"/>
      <c r="WRT165" s="21"/>
      <c r="WRU165" s="21"/>
      <c r="WRV165" s="21"/>
      <c r="WRW165" s="21"/>
      <c r="WRX165" s="20"/>
      <c r="WRY165" s="20"/>
      <c r="WRZ165" s="20"/>
      <c r="WSA165" s="20"/>
      <c r="WSB165" s="21"/>
      <c r="WSC165" s="21"/>
      <c r="WSD165" s="7"/>
      <c r="WSE165" s="7"/>
      <c r="WSF165" s="21"/>
      <c r="WSG165" s="20"/>
      <c r="WSH165" s="20"/>
      <c r="WSI165" s="20"/>
      <c r="WSJ165" s="21"/>
      <c r="WSK165" s="21"/>
      <c r="WSL165" s="21"/>
      <c r="WSM165" s="21"/>
      <c r="WSN165" s="21"/>
      <c r="WSO165" s="20"/>
      <c r="WSP165" s="20"/>
      <c r="WSQ165" s="20"/>
      <c r="WSR165" s="20"/>
      <c r="WSS165" s="21"/>
      <c r="WST165" s="21"/>
      <c r="WSU165" s="7"/>
      <c r="WSV165" s="7"/>
      <c r="WSW165" s="21"/>
      <c r="WSX165" s="20"/>
      <c r="WSY165" s="20"/>
      <c r="WSZ165" s="20"/>
      <c r="WTA165" s="21"/>
      <c r="WTB165" s="21"/>
      <c r="WTC165" s="21"/>
      <c r="WTD165" s="21"/>
      <c r="WTE165" s="21"/>
      <c r="WTF165" s="20"/>
      <c r="WTG165" s="20"/>
      <c r="WTH165" s="20"/>
      <c r="WTI165" s="20"/>
      <c r="WTJ165" s="21"/>
      <c r="WTK165" s="21"/>
      <c r="WTL165" s="7"/>
      <c r="WTM165" s="7"/>
      <c r="WTN165" s="21"/>
      <c r="WTO165" s="20"/>
      <c r="WTP165" s="20"/>
      <c r="WTQ165" s="20"/>
      <c r="WTR165" s="21"/>
      <c r="WTS165" s="21"/>
      <c r="WTT165" s="21"/>
      <c r="WTU165" s="21"/>
      <c r="WTV165" s="21"/>
      <c r="WTW165" s="20"/>
      <c r="WTX165" s="20"/>
      <c r="WTY165" s="20"/>
      <c r="WTZ165" s="20"/>
      <c r="WUA165" s="21"/>
      <c r="WUB165" s="21"/>
      <c r="WUC165" s="7"/>
      <c r="WUD165" s="7"/>
      <c r="WUE165" s="21"/>
      <c r="WUF165" s="20"/>
      <c r="WUG165" s="20"/>
      <c r="WUH165" s="20"/>
      <c r="WUI165" s="21"/>
      <c r="WUJ165" s="21"/>
      <c r="WUK165" s="21"/>
      <c r="WUL165" s="21"/>
      <c r="WUM165" s="21"/>
      <c r="WUN165" s="20"/>
      <c r="WUO165" s="20"/>
      <c r="WUP165" s="20"/>
      <c r="WUQ165" s="20"/>
      <c r="WUR165" s="21"/>
      <c r="WUS165" s="21"/>
      <c r="WUT165" s="7"/>
      <c r="WUU165" s="7"/>
      <c r="WUV165" s="21"/>
      <c r="WUW165" s="20"/>
      <c r="WUX165" s="20"/>
      <c r="WUY165" s="20"/>
      <c r="WUZ165" s="21"/>
      <c r="WVA165" s="21"/>
      <c r="WVB165" s="21"/>
      <c r="WVC165" s="21"/>
      <c r="WVD165" s="21"/>
      <c r="WVE165" s="20"/>
      <c r="WVF165" s="20"/>
      <c r="WVG165" s="20"/>
      <c r="WVH165" s="20"/>
      <c r="WVI165" s="21"/>
      <c r="WVJ165" s="21"/>
      <c r="WVK165" s="7"/>
      <c r="WVL165" s="7"/>
      <c r="WVM165" s="21"/>
      <c r="WVN165" s="20"/>
      <c r="WVO165" s="20"/>
      <c r="WVP165" s="20"/>
      <c r="WVQ165" s="21"/>
      <c r="WVR165" s="21"/>
      <c r="WVS165" s="21"/>
      <c r="WVT165" s="21"/>
      <c r="WVU165" s="21"/>
      <c r="WVV165" s="20"/>
      <c r="WVW165" s="20"/>
      <c r="WVX165" s="20"/>
      <c r="WVY165" s="20"/>
      <c r="WVZ165" s="21"/>
      <c r="WWA165" s="21"/>
      <c r="WWB165" s="7"/>
      <c r="WWC165" s="7"/>
      <c r="WWD165" s="21"/>
      <c r="WWE165" s="20"/>
      <c r="WWF165" s="20"/>
      <c r="WWG165" s="20"/>
      <c r="WWH165" s="21"/>
      <c r="WWI165" s="21"/>
      <c r="WWJ165" s="21"/>
      <c r="WWK165" s="21"/>
      <c r="WWL165" s="21"/>
      <c r="WWM165" s="20"/>
      <c r="WWN165" s="20"/>
      <c r="WWO165" s="20"/>
      <c r="WWP165" s="20"/>
      <c r="WWQ165" s="21"/>
      <c r="WWR165" s="21"/>
      <c r="WWS165" s="7"/>
      <c r="WWT165" s="7"/>
      <c r="WWU165" s="21"/>
      <c r="WWV165" s="20"/>
      <c r="WWW165" s="20"/>
      <c r="WWX165" s="20"/>
      <c r="WWY165" s="21"/>
      <c r="WWZ165" s="21"/>
      <c r="WXA165" s="21"/>
      <c r="WXB165" s="21"/>
      <c r="WXC165" s="21"/>
      <c r="WXD165" s="20"/>
      <c r="WXE165" s="20"/>
      <c r="WXF165" s="20"/>
      <c r="WXG165" s="20"/>
      <c r="WXH165" s="21"/>
      <c r="WXI165" s="21"/>
      <c r="WXJ165" s="7"/>
      <c r="WXK165" s="7"/>
      <c r="WXL165" s="21"/>
      <c r="WXM165" s="20"/>
      <c r="WXN165" s="20"/>
      <c r="WXO165" s="20"/>
      <c r="WXP165" s="21"/>
      <c r="WXQ165" s="21"/>
      <c r="WXR165" s="21"/>
      <c r="WXS165" s="21"/>
      <c r="WXT165" s="21"/>
      <c r="WXU165" s="20"/>
      <c r="WXV165" s="20"/>
      <c r="WXW165" s="20"/>
      <c r="WXX165" s="20"/>
      <c r="WXY165" s="21"/>
      <c r="WXZ165" s="21"/>
      <c r="WYA165" s="7"/>
      <c r="WYB165" s="7"/>
      <c r="WYC165" s="21"/>
      <c r="WYD165" s="20"/>
      <c r="WYE165" s="20"/>
      <c r="WYF165" s="20"/>
      <c r="WYG165" s="21"/>
      <c r="WYH165" s="21"/>
      <c r="WYI165" s="21"/>
      <c r="WYJ165" s="21"/>
      <c r="WYK165" s="21"/>
      <c r="WYL165" s="20"/>
      <c r="WYM165" s="20"/>
      <c r="WYN165" s="20"/>
      <c r="WYO165" s="20"/>
      <c r="WYP165" s="21"/>
      <c r="WYQ165" s="21"/>
      <c r="WYR165" s="7"/>
      <c r="WYS165" s="7"/>
      <c r="WYT165" s="21"/>
      <c r="WYU165" s="20"/>
      <c r="WYV165" s="20"/>
      <c r="WYW165" s="20"/>
      <c r="WYX165" s="21"/>
      <c r="WYY165" s="21"/>
      <c r="WYZ165" s="21"/>
      <c r="WZA165" s="21"/>
      <c r="WZB165" s="21"/>
      <c r="WZC165" s="20"/>
      <c r="WZD165" s="20"/>
      <c r="WZE165" s="20"/>
      <c r="WZF165" s="20"/>
      <c r="WZG165" s="21"/>
      <c r="WZH165" s="21"/>
      <c r="WZI165" s="7"/>
      <c r="WZJ165" s="7"/>
      <c r="WZK165" s="21"/>
      <c r="WZL165" s="20"/>
      <c r="WZM165" s="20"/>
      <c r="WZN165" s="20"/>
      <c r="WZO165" s="21"/>
      <c r="WZP165" s="21"/>
      <c r="WZQ165" s="21"/>
      <c r="WZR165" s="21"/>
      <c r="WZS165" s="21"/>
      <c r="WZT165" s="20"/>
      <c r="WZU165" s="20"/>
      <c r="WZV165" s="20"/>
      <c r="WZW165" s="20"/>
      <c r="WZX165" s="21"/>
      <c r="WZY165" s="21"/>
      <c r="WZZ165" s="7"/>
      <c r="XAA165" s="7"/>
      <c r="XAB165" s="21"/>
      <c r="XAC165" s="20"/>
      <c r="XAD165" s="20"/>
      <c r="XAE165" s="20"/>
      <c r="XAF165" s="21"/>
      <c r="XAG165" s="21"/>
      <c r="XAH165" s="21"/>
      <c r="XAI165" s="21"/>
      <c r="XAJ165" s="21"/>
      <c r="XAK165" s="20"/>
      <c r="XAL165" s="20"/>
      <c r="XAM165" s="20"/>
      <c r="XAN165" s="20"/>
      <c r="XAO165" s="21"/>
      <c r="XAP165" s="21"/>
      <c r="XAQ165" s="7"/>
      <c r="XAR165" s="7"/>
      <c r="XAS165" s="21"/>
      <c r="XAT165" s="20"/>
      <c r="XAU165" s="20"/>
      <c r="XAV165" s="20"/>
      <c r="XAW165" s="21"/>
      <c r="XAX165" s="21"/>
      <c r="XAY165" s="21"/>
      <c r="XAZ165" s="21"/>
      <c r="XBA165" s="21"/>
      <c r="XBB165" s="20"/>
      <c r="XBC165" s="20"/>
      <c r="XBD165" s="20"/>
      <c r="XBE165" s="20"/>
      <c r="XBF165" s="21"/>
      <c r="XBG165" s="21"/>
      <c r="XBH165" s="7"/>
      <c r="XBI165" s="7"/>
      <c r="XBJ165" s="21"/>
      <c r="XBK165" s="20"/>
      <c r="XBL165" s="20"/>
      <c r="XBM165" s="20"/>
      <c r="XBN165" s="21"/>
      <c r="XBO165" s="21"/>
      <c r="XBP165" s="21"/>
      <c r="XBQ165" s="21"/>
      <c r="XBR165" s="21"/>
      <c r="XBS165" s="20"/>
      <c r="XBT165" s="20"/>
      <c r="XBU165" s="20"/>
      <c r="XBV165" s="20"/>
      <c r="XBW165" s="21"/>
      <c r="XBX165" s="21"/>
      <c r="XBY165" s="7"/>
      <c r="XBZ165" s="7"/>
      <c r="XCA165" s="21"/>
      <c r="XCB165" s="20"/>
      <c r="XCC165" s="20"/>
      <c r="XCD165" s="20"/>
      <c r="XCE165" s="21"/>
      <c r="XCF165" s="21"/>
      <c r="XCG165" s="21"/>
      <c r="XCH165" s="21"/>
      <c r="XCI165" s="21"/>
      <c r="XCJ165" s="20"/>
      <c r="XCK165" s="20"/>
      <c r="XCL165" s="20"/>
      <c r="XCM165" s="20"/>
      <c r="XCN165" s="21"/>
      <c r="XCO165" s="21"/>
      <c r="XCP165" s="7"/>
      <c r="XCQ165" s="7"/>
      <c r="XCR165" s="21"/>
      <c r="XCS165" s="20"/>
      <c r="XCT165" s="20"/>
      <c r="XCU165" s="20"/>
      <c r="XCV165" s="21"/>
      <c r="XCW165" s="21"/>
      <c r="XCX165" s="21"/>
      <c r="XCY165" s="21"/>
      <c r="XCZ165" s="21"/>
      <c r="XDA165" s="20"/>
      <c r="XDB165" s="20"/>
      <c r="XDC165" s="20"/>
      <c r="XDD165" s="20"/>
      <c r="XDE165" s="21"/>
      <c r="XDF165" s="21"/>
      <c r="XDG165" s="7"/>
      <c r="XDH165" s="7"/>
      <c r="XDI165" s="21"/>
      <c r="XDJ165" s="20"/>
      <c r="XDK165" s="20"/>
      <c r="XDL165" s="20"/>
      <c r="XDM165" s="21"/>
      <c r="XDN165" s="21"/>
      <c r="XDO165" s="21"/>
      <c r="XDP165" s="21"/>
      <c r="XDQ165" s="21"/>
      <c r="XDR165" s="20"/>
      <c r="XDS165" s="20"/>
      <c r="XDT165" s="20"/>
      <c r="XDU165" s="20"/>
      <c r="XDV165" s="21"/>
      <c r="XDW165" s="21"/>
      <c r="XDX165" s="7"/>
      <c r="XDY165" s="7"/>
      <c r="XDZ165" s="21"/>
      <c r="XEA165" s="20"/>
      <c r="XEB165" s="20"/>
      <c r="XEC165" s="20"/>
      <c r="XED165" s="21"/>
      <c r="XEE165" s="21"/>
      <c r="XEF165" s="21"/>
      <c r="XEG165" s="21"/>
      <c r="XEH165" s="21"/>
      <c r="XEI165" s="20"/>
      <c r="XEJ165" s="20"/>
      <c r="XEK165" s="20"/>
      <c r="XEL165" s="20"/>
      <c r="XEM165" s="21"/>
      <c r="XEN165" s="21"/>
      <c r="XEO165" s="7"/>
      <c r="XEP165" s="7"/>
      <c r="XEQ165" s="21"/>
      <c r="XER165" s="20"/>
      <c r="XES165" s="20"/>
      <c r="XET165" s="20"/>
      <c r="XEU165" s="21"/>
      <c r="XEV165" s="21"/>
      <c r="XEW165" s="21"/>
      <c r="XEX165" s="21"/>
      <c r="XEY165" s="21"/>
      <c r="XEZ165" s="20"/>
      <c r="XFA165" s="20"/>
      <c r="XFB165" s="20"/>
      <c r="XFC165" s="20"/>
      <c r="XFD165" s="21"/>
    </row>
    <row r="166" spans="1:16384" s="3" customFormat="1" ht="14.25" customHeight="1" x14ac:dyDescent="0.25">
      <c r="A166" s="29">
        <v>0</v>
      </c>
      <c r="B166" s="29">
        <v>2</v>
      </c>
      <c r="C166" s="29">
        <v>2</v>
      </c>
      <c r="D166" s="30" t="s">
        <v>974</v>
      </c>
      <c r="E166" s="30" t="s">
        <v>971</v>
      </c>
      <c r="F166" s="30" t="s">
        <v>972</v>
      </c>
      <c r="G166" s="30" t="s">
        <v>137</v>
      </c>
      <c r="H166" s="30" t="s">
        <v>165</v>
      </c>
      <c r="I166" s="29" t="s">
        <v>973</v>
      </c>
      <c r="J166" s="29">
        <v>1</v>
      </c>
      <c r="K166" s="29" t="s">
        <v>376</v>
      </c>
      <c r="L166" s="29"/>
      <c r="M166" s="30"/>
      <c r="N166" s="30" t="s">
        <v>880</v>
      </c>
      <c r="O166" s="31">
        <v>1</v>
      </c>
      <c r="P166" s="31">
        <v>1</v>
      </c>
      <c r="Q166" s="30" t="s">
        <v>975</v>
      </c>
      <c r="R166" s="2"/>
      <c r="S166" s="2">
        <f t="shared" si="87"/>
        <v>1</v>
      </c>
      <c r="T166" s="2">
        <f t="shared" si="88"/>
        <v>0</v>
      </c>
      <c r="U166" s="2">
        <f t="shared" si="89"/>
        <v>0</v>
      </c>
      <c r="V166" s="2">
        <f t="shared" si="90"/>
        <v>0</v>
      </c>
      <c r="W166" s="2">
        <f t="shared" si="91"/>
        <v>0</v>
      </c>
      <c r="X166" s="2">
        <f t="shared" si="92"/>
        <v>0</v>
      </c>
      <c r="Y166" s="2">
        <f t="shared" si="93"/>
        <v>0</v>
      </c>
      <c r="Z166" s="2">
        <f t="shared" si="94"/>
        <v>0</v>
      </c>
      <c r="AA166" s="2">
        <f t="shared" si="95"/>
        <v>0</v>
      </c>
      <c r="AB166" s="2">
        <f t="shared" si="96"/>
        <v>0</v>
      </c>
      <c r="AC166" s="2"/>
      <c r="AD166" s="2">
        <f t="shared" si="97"/>
        <v>1</v>
      </c>
      <c r="AE166" s="2">
        <f t="shared" si="98"/>
        <v>0</v>
      </c>
      <c r="AF166" s="2">
        <f t="shared" si="99"/>
        <v>1</v>
      </c>
      <c r="AG166" s="2">
        <f t="shared" si="100"/>
        <v>0</v>
      </c>
      <c r="AH166" s="2">
        <f t="shared" si="101"/>
        <v>1</v>
      </c>
      <c r="AI166" s="2">
        <f t="shared" si="102"/>
        <v>0</v>
      </c>
    </row>
    <row r="167" spans="1:16384" s="3" customFormat="1" ht="14.25" customHeight="1" x14ac:dyDescent="0.25">
      <c r="A167" s="29">
        <v>0</v>
      </c>
      <c r="B167" s="29">
        <v>2</v>
      </c>
      <c r="C167" s="29">
        <v>2</v>
      </c>
      <c r="D167" s="30" t="s">
        <v>922</v>
      </c>
      <c r="E167" s="30" t="s">
        <v>468</v>
      </c>
      <c r="F167" s="30" t="s">
        <v>923</v>
      </c>
      <c r="G167" s="30" t="s">
        <v>96</v>
      </c>
      <c r="H167" s="30" t="s">
        <v>165</v>
      </c>
      <c r="I167" s="29" t="s">
        <v>924</v>
      </c>
      <c r="J167" s="29"/>
      <c r="K167" s="29" t="s">
        <v>376</v>
      </c>
      <c r="L167" s="29"/>
      <c r="M167" s="30"/>
      <c r="N167" s="30" t="s">
        <v>880</v>
      </c>
      <c r="O167" s="31">
        <v>1</v>
      </c>
      <c r="P167" s="31">
        <v>1</v>
      </c>
      <c r="Q167" s="30" t="s">
        <v>977</v>
      </c>
      <c r="R167" s="20"/>
      <c r="S167" s="2">
        <f t="shared" si="87"/>
        <v>0</v>
      </c>
      <c r="T167" s="2">
        <f t="shared" si="88"/>
        <v>0</v>
      </c>
      <c r="U167" s="2">
        <f t="shared" si="89"/>
        <v>0</v>
      </c>
      <c r="V167" s="2">
        <f t="shared" si="90"/>
        <v>0</v>
      </c>
      <c r="W167" s="2">
        <f t="shared" si="91"/>
        <v>0</v>
      </c>
      <c r="X167" s="2">
        <f t="shared" si="92"/>
        <v>0</v>
      </c>
      <c r="Y167" s="2">
        <f t="shared" si="93"/>
        <v>0</v>
      </c>
      <c r="Z167" s="2">
        <f t="shared" si="94"/>
        <v>0</v>
      </c>
      <c r="AA167" s="2">
        <f t="shared" si="95"/>
        <v>0</v>
      </c>
      <c r="AB167" s="2">
        <f t="shared" si="96"/>
        <v>0</v>
      </c>
      <c r="AC167" s="2"/>
      <c r="AD167" s="2">
        <f t="shared" si="97"/>
        <v>1</v>
      </c>
      <c r="AE167" s="2">
        <f t="shared" si="98"/>
        <v>0</v>
      </c>
      <c r="AF167" s="2">
        <f t="shared" si="99"/>
        <v>1</v>
      </c>
      <c r="AG167" s="2">
        <f t="shared" si="100"/>
        <v>0</v>
      </c>
      <c r="AH167" s="2">
        <f t="shared" si="101"/>
        <v>1</v>
      </c>
      <c r="AI167" s="2">
        <f t="shared" si="102"/>
        <v>0</v>
      </c>
      <c r="AJ167" s="20"/>
      <c r="AK167" s="20"/>
      <c r="AL167" s="21"/>
      <c r="AM167" s="21"/>
      <c r="AN167" s="21"/>
      <c r="AO167" s="21"/>
      <c r="AP167" s="21"/>
      <c r="AQ167" s="20"/>
      <c r="AR167" s="20"/>
      <c r="AS167" s="20"/>
      <c r="AT167" s="20"/>
      <c r="AU167" s="21"/>
      <c r="AV167" s="21"/>
      <c r="AW167" s="7"/>
      <c r="AX167" s="7"/>
      <c r="AY167" s="21"/>
      <c r="AZ167" s="20"/>
      <c r="BA167" s="20"/>
      <c r="BB167" s="20"/>
      <c r="BC167" s="21"/>
      <c r="BD167" s="21"/>
      <c r="BE167" s="21"/>
      <c r="BF167" s="21"/>
      <c r="BG167" s="21"/>
      <c r="BH167" s="20"/>
      <c r="BI167" s="20"/>
      <c r="BJ167" s="20"/>
      <c r="BK167" s="20"/>
      <c r="BL167" s="21"/>
      <c r="BM167" s="21"/>
      <c r="BN167" s="7"/>
      <c r="BO167" s="7"/>
      <c r="BP167" s="21"/>
      <c r="BQ167" s="20"/>
      <c r="BR167" s="20"/>
      <c r="BS167" s="20"/>
      <c r="BT167" s="21"/>
      <c r="BU167" s="21"/>
      <c r="BV167" s="21"/>
      <c r="BW167" s="21"/>
      <c r="BX167" s="21"/>
      <c r="BY167" s="20"/>
      <c r="BZ167" s="20"/>
      <c r="CA167" s="20"/>
      <c r="CB167" s="20"/>
      <c r="CC167" s="21"/>
      <c r="CD167" s="21"/>
      <c r="CE167" s="7"/>
      <c r="CF167" s="7"/>
      <c r="CG167" s="21"/>
      <c r="CH167" s="20"/>
      <c r="CI167" s="20"/>
      <c r="CJ167" s="20"/>
      <c r="CK167" s="21"/>
      <c r="CL167" s="21"/>
      <c r="CM167" s="21"/>
      <c r="CN167" s="21"/>
      <c r="CO167" s="21"/>
      <c r="CP167" s="20"/>
      <c r="CQ167" s="20"/>
      <c r="CR167" s="20"/>
      <c r="CS167" s="20"/>
      <c r="CT167" s="21"/>
      <c r="CU167" s="21"/>
      <c r="CV167" s="7"/>
      <c r="CW167" s="7"/>
      <c r="CX167" s="21"/>
      <c r="CY167" s="20"/>
      <c r="CZ167" s="20"/>
      <c r="DA167" s="20"/>
      <c r="DB167" s="21"/>
      <c r="DC167" s="21"/>
      <c r="DD167" s="21"/>
      <c r="DE167" s="21"/>
      <c r="DF167" s="21"/>
      <c r="DG167" s="20"/>
      <c r="DH167" s="20"/>
      <c r="DI167" s="20"/>
      <c r="DJ167" s="20"/>
      <c r="DK167" s="21"/>
      <c r="DL167" s="21"/>
      <c r="DM167" s="7"/>
      <c r="DN167" s="7"/>
      <c r="DO167" s="21"/>
      <c r="DP167" s="20"/>
      <c r="DQ167" s="20"/>
      <c r="DR167" s="20"/>
      <c r="DS167" s="21"/>
      <c r="DT167" s="21"/>
      <c r="DU167" s="21"/>
      <c r="DV167" s="21"/>
      <c r="DW167" s="21"/>
      <c r="DX167" s="20"/>
      <c r="DY167" s="20"/>
      <c r="DZ167" s="20"/>
      <c r="EA167" s="20"/>
      <c r="EB167" s="21"/>
      <c r="EC167" s="21"/>
      <c r="ED167" s="7"/>
      <c r="EE167" s="7"/>
      <c r="EF167" s="21"/>
      <c r="EG167" s="20"/>
      <c r="EH167" s="20"/>
      <c r="EI167" s="20"/>
      <c r="EJ167" s="21"/>
      <c r="EK167" s="21"/>
      <c r="EL167" s="21"/>
      <c r="EM167" s="21"/>
      <c r="EN167" s="21"/>
      <c r="EO167" s="20"/>
      <c r="EP167" s="20"/>
      <c r="EQ167" s="20"/>
      <c r="ER167" s="20"/>
      <c r="ES167" s="21"/>
      <c r="ET167" s="21"/>
      <c r="EU167" s="7"/>
      <c r="EV167" s="7"/>
      <c r="EW167" s="21"/>
      <c r="EX167" s="20"/>
      <c r="EY167" s="20"/>
      <c r="EZ167" s="20"/>
      <c r="FA167" s="21"/>
      <c r="FB167" s="21"/>
      <c r="FC167" s="21"/>
      <c r="FD167" s="21"/>
      <c r="FE167" s="21"/>
      <c r="FF167" s="20"/>
      <c r="FG167" s="20"/>
      <c r="FH167" s="20"/>
      <c r="FI167" s="20"/>
      <c r="FJ167" s="21"/>
      <c r="FK167" s="21"/>
      <c r="FL167" s="7"/>
      <c r="FM167" s="7"/>
      <c r="FN167" s="21"/>
      <c r="FO167" s="20"/>
      <c r="FP167" s="20"/>
      <c r="FQ167" s="20"/>
      <c r="FR167" s="21"/>
      <c r="FS167" s="21"/>
      <c r="FT167" s="21"/>
      <c r="FU167" s="21"/>
      <c r="FV167" s="21"/>
      <c r="FW167" s="20"/>
      <c r="FX167" s="20"/>
      <c r="FY167" s="20"/>
      <c r="FZ167" s="20"/>
      <c r="GA167" s="21"/>
      <c r="GB167" s="21"/>
      <c r="GC167" s="7"/>
      <c r="GD167" s="7"/>
      <c r="GE167" s="21"/>
      <c r="GF167" s="20"/>
      <c r="GG167" s="20"/>
      <c r="GH167" s="20"/>
      <c r="GI167" s="21"/>
      <c r="GJ167" s="21"/>
      <c r="GK167" s="21"/>
      <c r="GL167" s="21"/>
      <c r="GM167" s="21"/>
      <c r="GN167" s="20"/>
      <c r="GO167" s="20"/>
      <c r="GP167" s="20"/>
      <c r="GQ167" s="20"/>
      <c r="GR167" s="21"/>
      <c r="GS167" s="21"/>
      <c r="GT167" s="7"/>
      <c r="GU167" s="7"/>
      <c r="GV167" s="21"/>
      <c r="GW167" s="20"/>
      <c r="GX167" s="20"/>
      <c r="GY167" s="20"/>
      <c r="GZ167" s="21"/>
      <c r="HA167" s="21"/>
      <c r="HB167" s="21"/>
      <c r="HC167" s="21"/>
      <c r="HD167" s="21"/>
      <c r="HE167" s="20"/>
      <c r="HF167" s="20"/>
      <c r="HG167" s="20"/>
      <c r="HH167" s="20"/>
      <c r="HI167" s="21"/>
      <c r="HJ167" s="21"/>
      <c r="HK167" s="7"/>
      <c r="HL167" s="7"/>
      <c r="HM167" s="21"/>
      <c r="HN167" s="20"/>
      <c r="HO167" s="20"/>
      <c r="HP167" s="20"/>
      <c r="HQ167" s="21"/>
      <c r="HR167" s="21"/>
      <c r="HS167" s="21"/>
      <c r="HT167" s="21"/>
      <c r="HU167" s="21"/>
      <c r="HV167" s="20"/>
      <c r="HW167" s="20"/>
      <c r="HX167" s="20"/>
      <c r="HY167" s="20"/>
      <c r="HZ167" s="21"/>
      <c r="IA167" s="21"/>
      <c r="IB167" s="7"/>
      <c r="IC167" s="7"/>
      <c r="ID167" s="21"/>
      <c r="IE167" s="20"/>
      <c r="IF167" s="20"/>
      <c r="IG167" s="20"/>
      <c r="IH167" s="21"/>
      <c r="II167" s="21"/>
      <c r="IJ167" s="21"/>
      <c r="IK167" s="21"/>
      <c r="IL167" s="21"/>
      <c r="IM167" s="20"/>
      <c r="IN167" s="20"/>
      <c r="IO167" s="20"/>
      <c r="IP167" s="20"/>
      <c r="IQ167" s="21"/>
      <c r="IR167" s="21"/>
      <c r="IS167" s="7"/>
      <c r="IT167" s="7"/>
      <c r="IU167" s="21"/>
      <c r="IV167" s="20"/>
      <c r="IW167" s="20"/>
      <c r="IX167" s="20"/>
      <c r="IY167" s="21"/>
      <c r="IZ167" s="21"/>
      <c r="JA167" s="21"/>
      <c r="JB167" s="21"/>
      <c r="JC167" s="21"/>
      <c r="JD167" s="20"/>
      <c r="JE167" s="20"/>
      <c r="JF167" s="20"/>
      <c r="JG167" s="20"/>
      <c r="JH167" s="21"/>
      <c r="JI167" s="21"/>
      <c r="JJ167" s="7"/>
      <c r="JK167" s="7"/>
      <c r="JL167" s="21"/>
      <c r="JM167" s="20"/>
      <c r="JN167" s="20"/>
      <c r="JO167" s="20"/>
      <c r="JP167" s="21"/>
      <c r="JQ167" s="21"/>
      <c r="JR167" s="21"/>
      <c r="JS167" s="21"/>
      <c r="JT167" s="21"/>
      <c r="JU167" s="20"/>
      <c r="JV167" s="20"/>
      <c r="JW167" s="20"/>
      <c r="JX167" s="20"/>
      <c r="JY167" s="21"/>
      <c r="JZ167" s="21"/>
      <c r="KA167" s="7"/>
      <c r="KB167" s="7"/>
      <c r="KC167" s="21"/>
      <c r="KD167" s="20"/>
      <c r="KE167" s="20"/>
      <c r="KF167" s="20"/>
      <c r="KG167" s="21"/>
      <c r="KH167" s="21"/>
      <c r="KI167" s="21"/>
      <c r="KJ167" s="21"/>
      <c r="KK167" s="21"/>
      <c r="KL167" s="20"/>
      <c r="KM167" s="20"/>
      <c r="KN167" s="20"/>
      <c r="KO167" s="20"/>
      <c r="KP167" s="21"/>
      <c r="KQ167" s="21"/>
      <c r="KR167" s="7"/>
      <c r="KS167" s="7"/>
      <c r="KT167" s="21"/>
      <c r="KU167" s="20"/>
      <c r="KV167" s="20"/>
      <c r="KW167" s="20"/>
      <c r="KX167" s="21"/>
      <c r="KY167" s="21"/>
      <c r="KZ167" s="21"/>
      <c r="LA167" s="21"/>
      <c r="LB167" s="21"/>
      <c r="LC167" s="20"/>
      <c r="LD167" s="20"/>
      <c r="LE167" s="20"/>
      <c r="LF167" s="20"/>
      <c r="LG167" s="21"/>
      <c r="LH167" s="21"/>
      <c r="LI167" s="7"/>
      <c r="LJ167" s="7"/>
      <c r="LK167" s="21"/>
      <c r="LL167" s="20"/>
      <c r="LM167" s="20"/>
      <c r="LN167" s="20"/>
      <c r="LO167" s="21"/>
      <c r="LP167" s="21"/>
      <c r="LQ167" s="21"/>
      <c r="LR167" s="21"/>
      <c r="LS167" s="21"/>
      <c r="LT167" s="20"/>
      <c r="LU167" s="20"/>
      <c r="LV167" s="20"/>
      <c r="LW167" s="20"/>
      <c r="LX167" s="21"/>
      <c r="LY167" s="21"/>
      <c r="LZ167" s="7"/>
      <c r="MA167" s="7"/>
      <c r="MB167" s="21"/>
      <c r="MC167" s="20"/>
      <c r="MD167" s="20"/>
      <c r="ME167" s="20"/>
      <c r="MF167" s="21"/>
      <c r="MG167" s="21"/>
      <c r="MH167" s="21"/>
      <c r="MI167" s="21"/>
      <c r="MJ167" s="21"/>
      <c r="MK167" s="20"/>
      <c r="ML167" s="20"/>
      <c r="MM167" s="20"/>
      <c r="MN167" s="20"/>
      <c r="MO167" s="21"/>
      <c r="MP167" s="21"/>
      <c r="MQ167" s="7"/>
      <c r="MR167" s="7"/>
      <c r="MS167" s="21"/>
      <c r="MT167" s="20"/>
      <c r="MU167" s="20"/>
      <c r="MV167" s="20"/>
      <c r="MW167" s="21"/>
      <c r="MX167" s="21"/>
      <c r="MY167" s="21"/>
      <c r="MZ167" s="21"/>
      <c r="NA167" s="21"/>
      <c r="NB167" s="20"/>
      <c r="NC167" s="20"/>
      <c r="ND167" s="20"/>
      <c r="NE167" s="20"/>
      <c r="NF167" s="21"/>
      <c r="NG167" s="21"/>
      <c r="NH167" s="7"/>
      <c r="NI167" s="7"/>
      <c r="NJ167" s="21"/>
      <c r="NK167" s="20"/>
      <c r="NL167" s="20"/>
      <c r="NM167" s="20"/>
      <c r="NN167" s="21"/>
      <c r="NO167" s="21"/>
      <c r="NP167" s="21"/>
      <c r="NQ167" s="21"/>
      <c r="NR167" s="21"/>
      <c r="NS167" s="20"/>
      <c r="NT167" s="20"/>
      <c r="NU167" s="20"/>
      <c r="NV167" s="20"/>
      <c r="NW167" s="21"/>
      <c r="NX167" s="21"/>
      <c r="NY167" s="7"/>
      <c r="NZ167" s="7"/>
      <c r="OA167" s="21"/>
      <c r="OB167" s="20"/>
      <c r="OC167" s="20"/>
      <c r="OD167" s="20"/>
      <c r="OE167" s="21"/>
      <c r="OF167" s="21"/>
      <c r="OG167" s="21"/>
      <c r="OH167" s="21"/>
      <c r="OI167" s="21"/>
      <c r="OJ167" s="20"/>
      <c r="OK167" s="20"/>
      <c r="OL167" s="20"/>
      <c r="OM167" s="20"/>
      <c r="ON167" s="21"/>
      <c r="OO167" s="21"/>
      <c r="OP167" s="7"/>
      <c r="OQ167" s="7"/>
      <c r="OR167" s="21"/>
      <c r="OS167" s="20"/>
      <c r="OT167" s="20"/>
      <c r="OU167" s="20"/>
      <c r="OV167" s="21"/>
      <c r="OW167" s="21"/>
      <c r="OX167" s="21"/>
      <c r="OY167" s="21"/>
      <c r="OZ167" s="21"/>
      <c r="PA167" s="20"/>
      <c r="PB167" s="20"/>
      <c r="PC167" s="20"/>
      <c r="PD167" s="20"/>
      <c r="PE167" s="21"/>
      <c r="PF167" s="21"/>
      <c r="PG167" s="7"/>
      <c r="PH167" s="7"/>
      <c r="PI167" s="21"/>
      <c r="PJ167" s="20"/>
      <c r="PK167" s="20"/>
      <c r="PL167" s="20"/>
      <c r="PM167" s="21"/>
      <c r="PN167" s="21"/>
      <c r="PO167" s="21"/>
      <c r="PP167" s="21"/>
      <c r="PQ167" s="21"/>
      <c r="PR167" s="20"/>
      <c r="PS167" s="20"/>
      <c r="PT167" s="20"/>
      <c r="PU167" s="20"/>
      <c r="PV167" s="21"/>
      <c r="PW167" s="21"/>
      <c r="PX167" s="7"/>
      <c r="PY167" s="7"/>
      <c r="PZ167" s="21"/>
      <c r="QA167" s="20"/>
      <c r="QB167" s="20"/>
      <c r="QC167" s="20"/>
      <c r="QD167" s="21"/>
      <c r="QE167" s="21"/>
      <c r="QF167" s="21"/>
      <c r="QG167" s="21"/>
      <c r="QH167" s="21"/>
      <c r="QI167" s="20"/>
      <c r="QJ167" s="20"/>
      <c r="QK167" s="20"/>
      <c r="QL167" s="20"/>
      <c r="QM167" s="21"/>
      <c r="QN167" s="21"/>
      <c r="QO167" s="7"/>
      <c r="QP167" s="7"/>
      <c r="QQ167" s="21"/>
      <c r="QR167" s="20"/>
      <c r="QS167" s="20"/>
      <c r="QT167" s="20"/>
      <c r="QU167" s="21"/>
      <c r="QV167" s="21"/>
      <c r="QW167" s="21"/>
      <c r="QX167" s="21"/>
      <c r="QY167" s="21"/>
      <c r="QZ167" s="20"/>
      <c r="RA167" s="20"/>
      <c r="RB167" s="20"/>
      <c r="RC167" s="20"/>
      <c r="RD167" s="21"/>
      <c r="RE167" s="21"/>
      <c r="RF167" s="7"/>
      <c r="RG167" s="7"/>
      <c r="RH167" s="21"/>
      <c r="RI167" s="20"/>
      <c r="RJ167" s="20"/>
      <c r="RK167" s="20"/>
      <c r="RL167" s="21"/>
      <c r="RM167" s="21"/>
      <c r="RN167" s="21"/>
      <c r="RO167" s="21"/>
      <c r="RP167" s="21"/>
      <c r="RQ167" s="20"/>
      <c r="RR167" s="20"/>
      <c r="RS167" s="20"/>
      <c r="RT167" s="20"/>
      <c r="RU167" s="21"/>
      <c r="RV167" s="21"/>
      <c r="RW167" s="7"/>
      <c r="RX167" s="7"/>
      <c r="RY167" s="21"/>
      <c r="RZ167" s="20"/>
      <c r="SA167" s="20"/>
      <c r="SB167" s="20"/>
      <c r="SC167" s="21"/>
      <c r="SD167" s="21"/>
      <c r="SE167" s="21"/>
      <c r="SF167" s="21"/>
      <c r="SG167" s="21"/>
      <c r="SH167" s="20"/>
      <c r="SI167" s="20"/>
      <c r="SJ167" s="20"/>
      <c r="SK167" s="20"/>
      <c r="SL167" s="21"/>
      <c r="SM167" s="21"/>
      <c r="SN167" s="7"/>
      <c r="SO167" s="7"/>
      <c r="SP167" s="21"/>
      <c r="SQ167" s="20"/>
      <c r="SR167" s="20"/>
      <c r="SS167" s="20"/>
      <c r="ST167" s="21"/>
      <c r="SU167" s="21"/>
      <c r="SV167" s="21"/>
      <c r="SW167" s="21"/>
      <c r="SX167" s="21"/>
      <c r="SY167" s="20"/>
      <c r="SZ167" s="20"/>
      <c r="TA167" s="20"/>
      <c r="TB167" s="20"/>
      <c r="TC167" s="21"/>
      <c r="TD167" s="21"/>
      <c r="TE167" s="7"/>
      <c r="TF167" s="7"/>
      <c r="TG167" s="21"/>
      <c r="TH167" s="20"/>
      <c r="TI167" s="20"/>
      <c r="TJ167" s="20"/>
      <c r="TK167" s="21"/>
      <c r="TL167" s="21"/>
      <c r="TM167" s="21"/>
      <c r="TN167" s="21"/>
      <c r="TO167" s="21"/>
      <c r="TP167" s="20"/>
      <c r="TQ167" s="20"/>
      <c r="TR167" s="20"/>
      <c r="TS167" s="20"/>
      <c r="TT167" s="21"/>
      <c r="TU167" s="21"/>
      <c r="TV167" s="7"/>
      <c r="TW167" s="7"/>
      <c r="TX167" s="21"/>
      <c r="TY167" s="20"/>
      <c r="TZ167" s="20"/>
      <c r="UA167" s="20"/>
      <c r="UB167" s="21"/>
      <c r="UC167" s="21"/>
      <c r="UD167" s="21"/>
      <c r="UE167" s="21"/>
      <c r="UF167" s="21"/>
      <c r="UG167" s="20"/>
      <c r="UH167" s="20"/>
      <c r="UI167" s="20"/>
      <c r="UJ167" s="20"/>
      <c r="UK167" s="21"/>
      <c r="UL167" s="21"/>
      <c r="UM167" s="7"/>
      <c r="UN167" s="7"/>
      <c r="UO167" s="21"/>
      <c r="UP167" s="20"/>
      <c r="UQ167" s="20"/>
      <c r="UR167" s="20"/>
      <c r="US167" s="21"/>
      <c r="UT167" s="21"/>
      <c r="UU167" s="21"/>
      <c r="UV167" s="21"/>
      <c r="UW167" s="21"/>
      <c r="UX167" s="20"/>
      <c r="UY167" s="20"/>
      <c r="UZ167" s="20"/>
      <c r="VA167" s="20"/>
      <c r="VB167" s="21"/>
      <c r="VC167" s="21"/>
      <c r="VD167" s="7"/>
      <c r="VE167" s="7"/>
      <c r="VF167" s="21"/>
      <c r="VG167" s="20"/>
      <c r="VH167" s="20"/>
      <c r="VI167" s="20"/>
      <c r="VJ167" s="21"/>
      <c r="VK167" s="21"/>
      <c r="VL167" s="21"/>
      <c r="VM167" s="21"/>
      <c r="VN167" s="21"/>
      <c r="VO167" s="20"/>
      <c r="VP167" s="20"/>
      <c r="VQ167" s="20"/>
      <c r="VR167" s="20"/>
      <c r="VS167" s="21"/>
      <c r="VT167" s="21"/>
      <c r="VU167" s="7"/>
      <c r="VV167" s="7"/>
      <c r="VW167" s="21"/>
      <c r="VX167" s="20"/>
      <c r="VY167" s="20"/>
      <c r="VZ167" s="20"/>
      <c r="WA167" s="21"/>
      <c r="WB167" s="21"/>
      <c r="WC167" s="21"/>
      <c r="WD167" s="21"/>
      <c r="WE167" s="21"/>
      <c r="WF167" s="20"/>
      <c r="WG167" s="20"/>
      <c r="WH167" s="20"/>
      <c r="WI167" s="20"/>
      <c r="WJ167" s="21"/>
      <c r="WK167" s="21"/>
      <c r="WL167" s="7"/>
      <c r="WM167" s="7"/>
      <c r="WN167" s="21"/>
      <c r="WO167" s="20"/>
      <c r="WP167" s="20"/>
      <c r="WQ167" s="20"/>
      <c r="WR167" s="21"/>
      <c r="WS167" s="21"/>
      <c r="WT167" s="21"/>
      <c r="WU167" s="21"/>
      <c r="WV167" s="21"/>
      <c r="WW167" s="20"/>
      <c r="WX167" s="20"/>
      <c r="WY167" s="20"/>
      <c r="WZ167" s="20"/>
      <c r="XA167" s="21"/>
      <c r="XB167" s="21"/>
      <c r="XC167" s="7"/>
      <c r="XD167" s="7"/>
      <c r="XE167" s="21"/>
      <c r="XF167" s="20"/>
      <c r="XG167" s="20"/>
      <c r="XH167" s="20"/>
      <c r="XI167" s="21"/>
      <c r="XJ167" s="21"/>
      <c r="XK167" s="21"/>
      <c r="XL167" s="21"/>
      <c r="XM167" s="21"/>
      <c r="XN167" s="20"/>
      <c r="XO167" s="20"/>
      <c r="XP167" s="20"/>
      <c r="XQ167" s="20"/>
      <c r="XR167" s="21"/>
      <c r="XS167" s="21"/>
      <c r="XT167" s="7"/>
      <c r="XU167" s="7"/>
      <c r="XV167" s="21"/>
      <c r="XW167" s="20"/>
      <c r="XX167" s="20"/>
      <c r="XY167" s="20"/>
      <c r="XZ167" s="21"/>
      <c r="YA167" s="21"/>
      <c r="YB167" s="21"/>
      <c r="YC167" s="21"/>
      <c r="YD167" s="21"/>
      <c r="YE167" s="20"/>
      <c r="YF167" s="20"/>
      <c r="YG167" s="20"/>
      <c r="YH167" s="20"/>
      <c r="YI167" s="21"/>
      <c r="YJ167" s="21"/>
      <c r="YK167" s="7"/>
      <c r="YL167" s="7"/>
      <c r="YM167" s="21"/>
      <c r="YN167" s="20"/>
      <c r="YO167" s="20"/>
      <c r="YP167" s="20"/>
      <c r="YQ167" s="21"/>
      <c r="YR167" s="21"/>
      <c r="YS167" s="21"/>
      <c r="YT167" s="21"/>
      <c r="YU167" s="21"/>
      <c r="YV167" s="20"/>
      <c r="YW167" s="20"/>
      <c r="YX167" s="20"/>
      <c r="YY167" s="20"/>
      <c r="YZ167" s="21"/>
      <c r="ZA167" s="21"/>
      <c r="ZB167" s="7"/>
      <c r="ZC167" s="7"/>
      <c r="ZD167" s="21"/>
      <c r="ZE167" s="20"/>
      <c r="ZF167" s="20"/>
      <c r="ZG167" s="20"/>
      <c r="ZH167" s="21"/>
      <c r="ZI167" s="21"/>
      <c r="ZJ167" s="21"/>
      <c r="ZK167" s="21"/>
      <c r="ZL167" s="21"/>
      <c r="ZM167" s="20"/>
      <c r="ZN167" s="20"/>
      <c r="ZO167" s="20"/>
      <c r="ZP167" s="20"/>
      <c r="ZQ167" s="21"/>
      <c r="ZR167" s="21"/>
      <c r="ZS167" s="7"/>
      <c r="ZT167" s="7"/>
      <c r="ZU167" s="21"/>
      <c r="ZV167" s="20"/>
      <c r="ZW167" s="20"/>
      <c r="ZX167" s="20"/>
      <c r="ZY167" s="21"/>
      <c r="ZZ167" s="21"/>
      <c r="AAA167" s="21"/>
      <c r="AAB167" s="21"/>
      <c r="AAC167" s="21"/>
      <c r="AAD167" s="20"/>
      <c r="AAE167" s="20"/>
      <c r="AAF167" s="20"/>
      <c r="AAG167" s="20"/>
      <c r="AAH167" s="21"/>
      <c r="AAI167" s="21"/>
      <c r="AAJ167" s="7"/>
      <c r="AAK167" s="7"/>
      <c r="AAL167" s="21"/>
      <c r="AAM167" s="20"/>
      <c r="AAN167" s="20"/>
      <c r="AAO167" s="20"/>
      <c r="AAP167" s="21"/>
      <c r="AAQ167" s="21"/>
      <c r="AAR167" s="21"/>
      <c r="AAS167" s="21"/>
      <c r="AAT167" s="21"/>
      <c r="AAU167" s="20"/>
      <c r="AAV167" s="20"/>
      <c r="AAW167" s="20"/>
      <c r="AAX167" s="20"/>
      <c r="AAY167" s="21"/>
      <c r="AAZ167" s="21"/>
      <c r="ABA167" s="7"/>
      <c r="ABB167" s="7"/>
      <c r="ABC167" s="21"/>
      <c r="ABD167" s="20"/>
      <c r="ABE167" s="20"/>
      <c r="ABF167" s="20"/>
      <c r="ABG167" s="21"/>
      <c r="ABH167" s="21"/>
      <c r="ABI167" s="21"/>
      <c r="ABJ167" s="21"/>
      <c r="ABK167" s="21"/>
      <c r="ABL167" s="20"/>
      <c r="ABM167" s="20"/>
      <c r="ABN167" s="20"/>
      <c r="ABO167" s="20"/>
      <c r="ABP167" s="21"/>
      <c r="ABQ167" s="21"/>
      <c r="ABR167" s="7"/>
      <c r="ABS167" s="7"/>
      <c r="ABT167" s="21"/>
      <c r="ABU167" s="20"/>
      <c r="ABV167" s="20"/>
      <c r="ABW167" s="20"/>
      <c r="ABX167" s="21"/>
      <c r="ABY167" s="21"/>
      <c r="ABZ167" s="21"/>
      <c r="ACA167" s="21"/>
      <c r="ACB167" s="21"/>
      <c r="ACC167" s="20"/>
      <c r="ACD167" s="20"/>
      <c r="ACE167" s="20"/>
      <c r="ACF167" s="20"/>
      <c r="ACG167" s="21"/>
      <c r="ACH167" s="21"/>
      <c r="ACI167" s="7"/>
      <c r="ACJ167" s="7"/>
      <c r="ACK167" s="21"/>
      <c r="ACL167" s="20"/>
      <c r="ACM167" s="20"/>
      <c r="ACN167" s="20"/>
      <c r="ACO167" s="21"/>
      <c r="ACP167" s="21"/>
      <c r="ACQ167" s="21"/>
      <c r="ACR167" s="21"/>
      <c r="ACS167" s="21"/>
      <c r="ACT167" s="20"/>
      <c r="ACU167" s="20"/>
      <c r="ACV167" s="20"/>
      <c r="ACW167" s="20"/>
      <c r="ACX167" s="21"/>
      <c r="ACY167" s="21"/>
      <c r="ACZ167" s="7"/>
      <c r="ADA167" s="7"/>
      <c r="ADB167" s="21"/>
      <c r="ADC167" s="20"/>
      <c r="ADD167" s="20"/>
      <c r="ADE167" s="20"/>
      <c r="ADF167" s="21"/>
      <c r="ADG167" s="21"/>
      <c r="ADH167" s="21"/>
      <c r="ADI167" s="21"/>
      <c r="ADJ167" s="21"/>
      <c r="ADK167" s="20"/>
      <c r="ADL167" s="20"/>
      <c r="ADM167" s="20"/>
      <c r="ADN167" s="20"/>
      <c r="ADO167" s="21"/>
      <c r="ADP167" s="21"/>
      <c r="ADQ167" s="7"/>
      <c r="ADR167" s="7"/>
      <c r="ADS167" s="21"/>
      <c r="ADT167" s="20"/>
      <c r="ADU167" s="20"/>
      <c r="ADV167" s="20"/>
      <c r="ADW167" s="21"/>
      <c r="ADX167" s="21"/>
      <c r="ADY167" s="21"/>
      <c r="ADZ167" s="21"/>
      <c r="AEA167" s="21"/>
      <c r="AEB167" s="20"/>
      <c r="AEC167" s="20"/>
      <c r="AED167" s="20"/>
      <c r="AEE167" s="20"/>
      <c r="AEF167" s="21"/>
      <c r="AEG167" s="21"/>
      <c r="AEH167" s="7"/>
      <c r="AEI167" s="7"/>
      <c r="AEJ167" s="21"/>
      <c r="AEK167" s="20"/>
      <c r="AEL167" s="20"/>
      <c r="AEM167" s="20"/>
      <c r="AEN167" s="21"/>
      <c r="AEO167" s="21"/>
      <c r="AEP167" s="21"/>
      <c r="AEQ167" s="21"/>
      <c r="AER167" s="21"/>
      <c r="AES167" s="20"/>
      <c r="AET167" s="20"/>
      <c r="AEU167" s="20"/>
      <c r="AEV167" s="20"/>
      <c r="AEW167" s="21"/>
      <c r="AEX167" s="21"/>
      <c r="AEY167" s="7"/>
      <c r="AEZ167" s="7"/>
      <c r="AFA167" s="21"/>
      <c r="AFB167" s="20"/>
      <c r="AFC167" s="20"/>
      <c r="AFD167" s="20"/>
      <c r="AFE167" s="21"/>
      <c r="AFF167" s="21"/>
      <c r="AFG167" s="21"/>
      <c r="AFH167" s="21"/>
      <c r="AFI167" s="21"/>
      <c r="AFJ167" s="20"/>
      <c r="AFK167" s="20"/>
      <c r="AFL167" s="20"/>
      <c r="AFM167" s="20"/>
      <c r="AFN167" s="21"/>
      <c r="AFO167" s="21"/>
      <c r="AFP167" s="7"/>
      <c r="AFQ167" s="7"/>
      <c r="AFR167" s="21"/>
      <c r="AFS167" s="20"/>
      <c r="AFT167" s="20"/>
      <c r="AFU167" s="20"/>
      <c r="AFV167" s="21"/>
      <c r="AFW167" s="21"/>
      <c r="AFX167" s="21"/>
      <c r="AFY167" s="21"/>
      <c r="AFZ167" s="21"/>
      <c r="AGA167" s="20"/>
      <c r="AGB167" s="20"/>
      <c r="AGC167" s="20"/>
      <c r="AGD167" s="20"/>
      <c r="AGE167" s="21"/>
      <c r="AGF167" s="21"/>
      <c r="AGG167" s="7"/>
      <c r="AGH167" s="7"/>
      <c r="AGI167" s="21"/>
      <c r="AGJ167" s="20"/>
      <c r="AGK167" s="20"/>
      <c r="AGL167" s="20"/>
      <c r="AGM167" s="21"/>
      <c r="AGN167" s="21"/>
      <c r="AGO167" s="21"/>
      <c r="AGP167" s="21"/>
      <c r="AGQ167" s="21"/>
      <c r="AGR167" s="20"/>
      <c r="AGS167" s="20"/>
      <c r="AGT167" s="20"/>
      <c r="AGU167" s="20"/>
      <c r="AGV167" s="21"/>
      <c r="AGW167" s="21"/>
      <c r="AGX167" s="7"/>
      <c r="AGY167" s="7"/>
      <c r="AGZ167" s="21"/>
      <c r="AHA167" s="20"/>
      <c r="AHB167" s="20"/>
      <c r="AHC167" s="20"/>
      <c r="AHD167" s="21"/>
      <c r="AHE167" s="21"/>
      <c r="AHF167" s="21"/>
      <c r="AHG167" s="21"/>
      <c r="AHH167" s="21"/>
      <c r="AHI167" s="20"/>
      <c r="AHJ167" s="20"/>
      <c r="AHK167" s="20"/>
      <c r="AHL167" s="20"/>
      <c r="AHM167" s="21"/>
      <c r="AHN167" s="21"/>
      <c r="AHO167" s="7"/>
      <c r="AHP167" s="7"/>
      <c r="AHQ167" s="21"/>
      <c r="AHR167" s="20"/>
      <c r="AHS167" s="20"/>
      <c r="AHT167" s="20"/>
      <c r="AHU167" s="21"/>
      <c r="AHV167" s="21"/>
      <c r="AHW167" s="21"/>
      <c r="AHX167" s="21"/>
      <c r="AHY167" s="21"/>
      <c r="AHZ167" s="20"/>
      <c r="AIA167" s="20"/>
      <c r="AIB167" s="20"/>
      <c r="AIC167" s="20"/>
      <c r="AID167" s="21"/>
      <c r="AIE167" s="21"/>
      <c r="AIF167" s="7"/>
      <c r="AIG167" s="7"/>
      <c r="AIH167" s="21"/>
      <c r="AII167" s="20"/>
      <c r="AIJ167" s="20"/>
      <c r="AIK167" s="20"/>
      <c r="AIL167" s="21"/>
      <c r="AIM167" s="21"/>
      <c r="AIN167" s="21"/>
      <c r="AIO167" s="21"/>
      <c r="AIP167" s="21"/>
      <c r="AIQ167" s="20"/>
      <c r="AIR167" s="20"/>
      <c r="AIS167" s="20"/>
      <c r="AIT167" s="20"/>
      <c r="AIU167" s="21"/>
      <c r="AIV167" s="21"/>
      <c r="AIW167" s="7"/>
      <c r="AIX167" s="7"/>
      <c r="AIY167" s="21"/>
      <c r="AIZ167" s="20"/>
      <c r="AJA167" s="20"/>
      <c r="AJB167" s="20"/>
      <c r="AJC167" s="21"/>
      <c r="AJD167" s="21"/>
      <c r="AJE167" s="21"/>
      <c r="AJF167" s="21"/>
      <c r="AJG167" s="21"/>
      <c r="AJH167" s="20"/>
      <c r="AJI167" s="20"/>
      <c r="AJJ167" s="20"/>
      <c r="AJK167" s="20"/>
      <c r="AJL167" s="21"/>
      <c r="AJM167" s="21"/>
      <c r="AJN167" s="7"/>
      <c r="AJO167" s="7"/>
      <c r="AJP167" s="21"/>
      <c r="AJQ167" s="20"/>
      <c r="AJR167" s="20"/>
      <c r="AJS167" s="20"/>
      <c r="AJT167" s="21"/>
      <c r="AJU167" s="21"/>
      <c r="AJV167" s="21"/>
      <c r="AJW167" s="21"/>
      <c r="AJX167" s="21"/>
      <c r="AJY167" s="20"/>
      <c r="AJZ167" s="20"/>
      <c r="AKA167" s="20"/>
      <c r="AKB167" s="20"/>
      <c r="AKC167" s="21"/>
      <c r="AKD167" s="21"/>
      <c r="AKE167" s="7"/>
      <c r="AKF167" s="7"/>
      <c r="AKG167" s="21"/>
      <c r="AKH167" s="20"/>
      <c r="AKI167" s="20"/>
      <c r="AKJ167" s="20"/>
      <c r="AKK167" s="21"/>
      <c r="AKL167" s="21"/>
      <c r="AKM167" s="21"/>
      <c r="AKN167" s="21"/>
      <c r="AKO167" s="21"/>
      <c r="AKP167" s="20"/>
      <c r="AKQ167" s="20"/>
      <c r="AKR167" s="20"/>
      <c r="AKS167" s="20"/>
      <c r="AKT167" s="21"/>
      <c r="AKU167" s="21"/>
      <c r="AKV167" s="7"/>
      <c r="AKW167" s="7"/>
      <c r="AKX167" s="21"/>
      <c r="AKY167" s="20"/>
      <c r="AKZ167" s="20"/>
      <c r="ALA167" s="20"/>
      <c r="ALB167" s="21"/>
      <c r="ALC167" s="21"/>
      <c r="ALD167" s="21"/>
      <c r="ALE167" s="21"/>
      <c r="ALF167" s="21"/>
      <c r="ALG167" s="20"/>
      <c r="ALH167" s="20"/>
      <c r="ALI167" s="20"/>
      <c r="ALJ167" s="20"/>
      <c r="ALK167" s="21"/>
      <c r="ALL167" s="21"/>
      <c r="ALM167" s="7"/>
      <c r="ALN167" s="7"/>
      <c r="ALO167" s="21"/>
      <c r="ALP167" s="20"/>
      <c r="ALQ167" s="20"/>
      <c r="ALR167" s="20"/>
      <c r="ALS167" s="21"/>
      <c r="ALT167" s="21"/>
      <c r="ALU167" s="21"/>
      <c r="ALV167" s="21"/>
      <c r="ALW167" s="21"/>
      <c r="ALX167" s="20"/>
      <c r="ALY167" s="20"/>
      <c r="ALZ167" s="20"/>
      <c r="AMA167" s="20"/>
      <c r="AMB167" s="21"/>
      <c r="AMC167" s="21"/>
      <c r="AMD167" s="7"/>
      <c r="AME167" s="7"/>
      <c r="AMF167" s="21"/>
      <c r="AMG167" s="20"/>
      <c r="AMH167" s="20"/>
      <c r="AMI167" s="20"/>
      <c r="AMJ167" s="21"/>
      <c r="AMK167" s="21"/>
      <c r="AML167" s="21"/>
      <c r="AMM167" s="21"/>
      <c r="AMN167" s="21"/>
      <c r="AMO167" s="20"/>
      <c r="AMP167" s="20"/>
      <c r="AMQ167" s="20"/>
      <c r="AMR167" s="20"/>
      <c r="AMS167" s="21"/>
      <c r="AMT167" s="21"/>
      <c r="AMU167" s="7"/>
      <c r="AMV167" s="7"/>
      <c r="AMW167" s="21"/>
      <c r="AMX167" s="20"/>
      <c r="AMY167" s="20"/>
      <c r="AMZ167" s="20"/>
      <c r="ANA167" s="21"/>
      <c r="ANB167" s="21"/>
      <c r="ANC167" s="21"/>
      <c r="AND167" s="21"/>
      <c r="ANE167" s="21"/>
      <c r="ANF167" s="20"/>
      <c r="ANG167" s="20"/>
      <c r="ANH167" s="20"/>
      <c r="ANI167" s="20"/>
      <c r="ANJ167" s="21"/>
      <c r="ANK167" s="21"/>
      <c r="ANL167" s="7"/>
      <c r="ANM167" s="7"/>
      <c r="ANN167" s="21"/>
      <c r="ANO167" s="20"/>
      <c r="ANP167" s="20"/>
      <c r="ANQ167" s="20"/>
      <c r="ANR167" s="21"/>
      <c r="ANS167" s="21"/>
      <c r="ANT167" s="21"/>
      <c r="ANU167" s="21"/>
      <c r="ANV167" s="21"/>
      <c r="ANW167" s="20"/>
      <c r="ANX167" s="20"/>
      <c r="ANY167" s="20"/>
      <c r="ANZ167" s="20"/>
      <c r="AOA167" s="21"/>
      <c r="AOB167" s="21"/>
      <c r="AOC167" s="7"/>
      <c r="AOD167" s="7"/>
      <c r="AOE167" s="21"/>
      <c r="AOF167" s="20"/>
      <c r="AOG167" s="20"/>
      <c r="AOH167" s="20"/>
      <c r="AOI167" s="21"/>
      <c r="AOJ167" s="21"/>
      <c r="AOK167" s="21"/>
      <c r="AOL167" s="21"/>
      <c r="AOM167" s="21"/>
      <c r="AON167" s="20"/>
      <c r="AOO167" s="20"/>
      <c r="AOP167" s="20"/>
      <c r="AOQ167" s="20"/>
      <c r="AOR167" s="21"/>
      <c r="AOS167" s="21"/>
      <c r="AOT167" s="7"/>
      <c r="AOU167" s="7"/>
      <c r="AOV167" s="21"/>
      <c r="AOW167" s="20"/>
      <c r="AOX167" s="20"/>
      <c r="AOY167" s="20"/>
      <c r="AOZ167" s="21"/>
      <c r="APA167" s="21"/>
      <c r="APB167" s="21"/>
      <c r="APC167" s="21"/>
      <c r="APD167" s="21"/>
      <c r="APE167" s="20"/>
      <c r="APF167" s="20"/>
      <c r="APG167" s="20"/>
      <c r="APH167" s="20"/>
      <c r="API167" s="21"/>
      <c r="APJ167" s="21"/>
      <c r="APK167" s="7"/>
      <c r="APL167" s="7"/>
      <c r="APM167" s="21"/>
      <c r="APN167" s="20"/>
      <c r="APO167" s="20"/>
      <c r="APP167" s="20"/>
      <c r="APQ167" s="21"/>
      <c r="APR167" s="21"/>
      <c r="APS167" s="21"/>
      <c r="APT167" s="21"/>
      <c r="APU167" s="21"/>
      <c r="APV167" s="20"/>
      <c r="APW167" s="20"/>
      <c r="APX167" s="20"/>
      <c r="APY167" s="20"/>
      <c r="APZ167" s="21"/>
      <c r="AQA167" s="21"/>
      <c r="AQB167" s="7"/>
      <c r="AQC167" s="7"/>
      <c r="AQD167" s="21"/>
      <c r="AQE167" s="20"/>
      <c r="AQF167" s="20"/>
      <c r="AQG167" s="20"/>
      <c r="AQH167" s="21"/>
      <c r="AQI167" s="21"/>
      <c r="AQJ167" s="21"/>
      <c r="AQK167" s="21"/>
      <c r="AQL167" s="21"/>
      <c r="AQM167" s="20"/>
      <c r="AQN167" s="20"/>
      <c r="AQO167" s="20"/>
      <c r="AQP167" s="20"/>
      <c r="AQQ167" s="21"/>
      <c r="AQR167" s="21"/>
      <c r="AQS167" s="7"/>
      <c r="AQT167" s="7"/>
      <c r="AQU167" s="21"/>
      <c r="AQV167" s="20"/>
      <c r="AQW167" s="20"/>
      <c r="AQX167" s="20"/>
      <c r="AQY167" s="21"/>
      <c r="AQZ167" s="21"/>
      <c r="ARA167" s="21"/>
      <c r="ARB167" s="21"/>
      <c r="ARC167" s="21"/>
      <c r="ARD167" s="20"/>
      <c r="ARE167" s="20"/>
      <c r="ARF167" s="20"/>
      <c r="ARG167" s="20"/>
      <c r="ARH167" s="21"/>
      <c r="ARI167" s="21"/>
      <c r="ARJ167" s="7"/>
      <c r="ARK167" s="7"/>
      <c r="ARL167" s="21"/>
      <c r="ARM167" s="20"/>
      <c r="ARN167" s="20"/>
      <c r="ARO167" s="20"/>
      <c r="ARP167" s="21"/>
      <c r="ARQ167" s="21"/>
      <c r="ARR167" s="21"/>
      <c r="ARS167" s="21"/>
      <c r="ART167" s="21"/>
      <c r="ARU167" s="20"/>
      <c r="ARV167" s="20"/>
      <c r="ARW167" s="20"/>
      <c r="ARX167" s="20"/>
      <c r="ARY167" s="21"/>
      <c r="ARZ167" s="21"/>
      <c r="ASA167" s="7"/>
      <c r="ASB167" s="7"/>
      <c r="ASC167" s="21"/>
      <c r="ASD167" s="20"/>
      <c r="ASE167" s="20"/>
      <c r="ASF167" s="20"/>
      <c r="ASG167" s="21"/>
      <c r="ASH167" s="21"/>
      <c r="ASI167" s="21"/>
      <c r="ASJ167" s="21"/>
      <c r="ASK167" s="21"/>
      <c r="ASL167" s="20"/>
      <c r="ASM167" s="20"/>
      <c r="ASN167" s="20"/>
      <c r="ASO167" s="20"/>
      <c r="ASP167" s="21"/>
      <c r="ASQ167" s="21"/>
      <c r="ASR167" s="7"/>
      <c r="ASS167" s="7"/>
      <c r="AST167" s="21"/>
      <c r="ASU167" s="20"/>
      <c r="ASV167" s="20"/>
      <c r="ASW167" s="20"/>
      <c r="ASX167" s="21"/>
      <c r="ASY167" s="21"/>
      <c r="ASZ167" s="21"/>
      <c r="ATA167" s="21"/>
      <c r="ATB167" s="21"/>
      <c r="ATC167" s="20"/>
      <c r="ATD167" s="20"/>
      <c r="ATE167" s="20"/>
      <c r="ATF167" s="20"/>
      <c r="ATG167" s="21"/>
      <c r="ATH167" s="21"/>
      <c r="ATI167" s="7"/>
      <c r="ATJ167" s="7"/>
      <c r="ATK167" s="21"/>
      <c r="ATL167" s="20"/>
      <c r="ATM167" s="20"/>
      <c r="ATN167" s="20"/>
      <c r="ATO167" s="21"/>
      <c r="ATP167" s="21"/>
      <c r="ATQ167" s="21"/>
      <c r="ATR167" s="21"/>
      <c r="ATS167" s="21"/>
      <c r="ATT167" s="20"/>
      <c r="ATU167" s="20"/>
      <c r="ATV167" s="20"/>
      <c r="ATW167" s="20"/>
      <c r="ATX167" s="21"/>
      <c r="ATY167" s="21"/>
      <c r="ATZ167" s="7"/>
      <c r="AUA167" s="7"/>
      <c r="AUB167" s="21"/>
      <c r="AUC167" s="20"/>
      <c r="AUD167" s="20"/>
      <c r="AUE167" s="20"/>
      <c r="AUF167" s="21"/>
      <c r="AUG167" s="21"/>
      <c r="AUH167" s="21"/>
      <c r="AUI167" s="21"/>
      <c r="AUJ167" s="21"/>
      <c r="AUK167" s="20"/>
      <c r="AUL167" s="20"/>
      <c r="AUM167" s="20"/>
      <c r="AUN167" s="20"/>
      <c r="AUO167" s="21"/>
      <c r="AUP167" s="21"/>
      <c r="AUQ167" s="7"/>
      <c r="AUR167" s="7"/>
      <c r="AUS167" s="21"/>
      <c r="AUT167" s="20"/>
      <c r="AUU167" s="20"/>
      <c r="AUV167" s="20"/>
      <c r="AUW167" s="21"/>
      <c r="AUX167" s="21"/>
      <c r="AUY167" s="21"/>
      <c r="AUZ167" s="21"/>
      <c r="AVA167" s="21"/>
      <c r="AVB167" s="20"/>
      <c r="AVC167" s="20"/>
      <c r="AVD167" s="20"/>
      <c r="AVE167" s="20"/>
      <c r="AVF167" s="21"/>
      <c r="AVG167" s="21"/>
      <c r="AVH167" s="7"/>
      <c r="AVI167" s="7"/>
      <c r="AVJ167" s="21"/>
      <c r="AVK167" s="20"/>
      <c r="AVL167" s="20"/>
      <c r="AVM167" s="20"/>
      <c r="AVN167" s="21"/>
      <c r="AVO167" s="21"/>
      <c r="AVP167" s="21"/>
      <c r="AVQ167" s="21"/>
      <c r="AVR167" s="21"/>
      <c r="AVS167" s="20"/>
      <c r="AVT167" s="20"/>
      <c r="AVU167" s="20"/>
      <c r="AVV167" s="20"/>
      <c r="AVW167" s="21"/>
      <c r="AVX167" s="21"/>
      <c r="AVY167" s="7"/>
      <c r="AVZ167" s="7"/>
      <c r="AWA167" s="21"/>
      <c r="AWB167" s="20"/>
      <c r="AWC167" s="20"/>
      <c r="AWD167" s="20"/>
      <c r="AWE167" s="21"/>
      <c r="AWF167" s="21"/>
      <c r="AWG167" s="21"/>
      <c r="AWH167" s="21"/>
      <c r="AWI167" s="21"/>
      <c r="AWJ167" s="20"/>
      <c r="AWK167" s="20"/>
      <c r="AWL167" s="20"/>
      <c r="AWM167" s="20"/>
      <c r="AWN167" s="21"/>
      <c r="AWO167" s="21"/>
      <c r="AWP167" s="7"/>
      <c r="AWQ167" s="7"/>
      <c r="AWR167" s="21"/>
      <c r="AWS167" s="20"/>
      <c r="AWT167" s="20"/>
      <c r="AWU167" s="20"/>
      <c r="AWV167" s="21"/>
      <c r="AWW167" s="21"/>
      <c r="AWX167" s="21"/>
      <c r="AWY167" s="21"/>
      <c r="AWZ167" s="21"/>
      <c r="AXA167" s="20"/>
      <c r="AXB167" s="20"/>
      <c r="AXC167" s="20"/>
      <c r="AXD167" s="20"/>
      <c r="AXE167" s="21"/>
      <c r="AXF167" s="21"/>
      <c r="AXG167" s="7"/>
      <c r="AXH167" s="7"/>
      <c r="AXI167" s="21"/>
      <c r="AXJ167" s="20"/>
      <c r="AXK167" s="20"/>
      <c r="AXL167" s="20"/>
      <c r="AXM167" s="21"/>
      <c r="AXN167" s="21"/>
      <c r="AXO167" s="21"/>
      <c r="AXP167" s="21"/>
      <c r="AXQ167" s="21"/>
      <c r="AXR167" s="20"/>
      <c r="AXS167" s="20"/>
      <c r="AXT167" s="20"/>
      <c r="AXU167" s="20"/>
      <c r="AXV167" s="21"/>
      <c r="AXW167" s="21"/>
      <c r="AXX167" s="7"/>
      <c r="AXY167" s="7"/>
      <c r="AXZ167" s="21"/>
      <c r="AYA167" s="20"/>
      <c r="AYB167" s="20"/>
      <c r="AYC167" s="20"/>
      <c r="AYD167" s="21"/>
      <c r="AYE167" s="21"/>
      <c r="AYF167" s="21"/>
      <c r="AYG167" s="21"/>
      <c r="AYH167" s="21"/>
      <c r="AYI167" s="20"/>
      <c r="AYJ167" s="20"/>
      <c r="AYK167" s="20"/>
      <c r="AYL167" s="20"/>
      <c r="AYM167" s="21"/>
      <c r="AYN167" s="21"/>
      <c r="AYO167" s="7"/>
      <c r="AYP167" s="7"/>
      <c r="AYQ167" s="21"/>
      <c r="AYR167" s="20"/>
      <c r="AYS167" s="20"/>
      <c r="AYT167" s="20"/>
      <c r="AYU167" s="21"/>
      <c r="AYV167" s="21"/>
      <c r="AYW167" s="21"/>
      <c r="AYX167" s="21"/>
      <c r="AYY167" s="21"/>
      <c r="AYZ167" s="20"/>
      <c r="AZA167" s="20"/>
      <c r="AZB167" s="20"/>
      <c r="AZC167" s="20"/>
      <c r="AZD167" s="21"/>
      <c r="AZE167" s="21"/>
      <c r="AZF167" s="7"/>
      <c r="AZG167" s="7"/>
      <c r="AZH167" s="21"/>
      <c r="AZI167" s="20"/>
      <c r="AZJ167" s="20"/>
      <c r="AZK167" s="20"/>
      <c r="AZL167" s="21"/>
      <c r="AZM167" s="21"/>
      <c r="AZN167" s="21"/>
      <c r="AZO167" s="21"/>
      <c r="AZP167" s="21"/>
      <c r="AZQ167" s="20"/>
      <c r="AZR167" s="20"/>
      <c r="AZS167" s="20"/>
      <c r="AZT167" s="20"/>
      <c r="AZU167" s="21"/>
      <c r="AZV167" s="21"/>
      <c r="AZW167" s="7"/>
      <c r="AZX167" s="7"/>
      <c r="AZY167" s="21"/>
      <c r="AZZ167" s="20"/>
      <c r="BAA167" s="20"/>
      <c r="BAB167" s="20"/>
      <c r="BAC167" s="21"/>
      <c r="BAD167" s="21"/>
      <c r="BAE167" s="21"/>
      <c r="BAF167" s="21"/>
      <c r="BAG167" s="21"/>
      <c r="BAH167" s="20"/>
      <c r="BAI167" s="20"/>
      <c r="BAJ167" s="20"/>
      <c r="BAK167" s="20"/>
      <c r="BAL167" s="21"/>
      <c r="BAM167" s="21"/>
      <c r="BAN167" s="7"/>
      <c r="BAO167" s="7"/>
      <c r="BAP167" s="21"/>
      <c r="BAQ167" s="20"/>
      <c r="BAR167" s="20"/>
      <c r="BAS167" s="20"/>
      <c r="BAT167" s="21"/>
      <c r="BAU167" s="21"/>
      <c r="BAV167" s="21"/>
      <c r="BAW167" s="21"/>
      <c r="BAX167" s="21"/>
      <c r="BAY167" s="20"/>
      <c r="BAZ167" s="20"/>
      <c r="BBA167" s="20"/>
      <c r="BBB167" s="20"/>
      <c r="BBC167" s="21"/>
      <c r="BBD167" s="21"/>
      <c r="BBE167" s="7"/>
      <c r="BBF167" s="7"/>
      <c r="BBG167" s="21"/>
      <c r="BBH167" s="20"/>
      <c r="BBI167" s="20"/>
      <c r="BBJ167" s="20"/>
      <c r="BBK167" s="21"/>
      <c r="BBL167" s="21"/>
      <c r="BBM167" s="21"/>
      <c r="BBN167" s="21"/>
      <c r="BBO167" s="21"/>
      <c r="BBP167" s="20"/>
      <c r="BBQ167" s="20"/>
      <c r="BBR167" s="20"/>
      <c r="BBS167" s="20"/>
      <c r="BBT167" s="21"/>
      <c r="BBU167" s="21"/>
      <c r="BBV167" s="7"/>
      <c r="BBW167" s="7"/>
      <c r="BBX167" s="21"/>
      <c r="BBY167" s="20"/>
      <c r="BBZ167" s="20"/>
      <c r="BCA167" s="20"/>
      <c r="BCB167" s="21"/>
      <c r="BCC167" s="21"/>
      <c r="BCD167" s="21"/>
      <c r="BCE167" s="21"/>
      <c r="BCF167" s="21"/>
      <c r="BCG167" s="20"/>
      <c r="BCH167" s="20"/>
      <c r="BCI167" s="20"/>
      <c r="BCJ167" s="20"/>
      <c r="BCK167" s="21"/>
      <c r="BCL167" s="21"/>
      <c r="BCM167" s="7"/>
      <c r="BCN167" s="7"/>
      <c r="BCO167" s="21"/>
      <c r="BCP167" s="20"/>
      <c r="BCQ167" s="20"/>
      <c r="BCR167" s="20"/>
      <c r="BCS167" s="21"/>
      <c r="BCT167" s="21"/>
      <c r="BCU167" s="21"/>
      <c r="BCV167" s="21"/>
      <c r="BCW167" s="21"/>
      <c r="BCX167" s="20"/>
      <c r="BCY167" s="20"/>
      <c r="BCZ167" s="20"/>
      <c r="BDA167" s="20"/>
      <c r="BDB167" s="21"/>
      <c r="BDC167" s="21"/>
      <c r="BDD167" s="7"/>
      <c r="BDE167" s="7"/>
      <c r="BDF167" s="21"/>
      <c r="BDG167" s="20"/>
      <c r="BDH167" s="20"/>
      <c r="BDI167" s="20"/>
      <c r="BDJ167" s="21"/>
      <c r="BDK167" s="21"/>
      <c r="BDL167" s="21"/>
      <c r="BDM167" s="21"/>
      <c r="BDN167" s="21"/>
      <c r="BDO167" s="20"/>
      <c r="BDP167" s="20"/>
      <c r="BDQ167" s="20"/>
      <c r="BDR167" s="20"/>
      <c r="BDS167" s="21"/>
      <c r="BDT167" s="21"/>
      <c r="BDU167" s="7"/>
      <c r="BDV167" s="7"/>
      <c r="BDW167" s="21"/>
      <c r="BDX167" s="20"/>
      <c r="BDY167" s="20"/>
      <c r="BDZ167" s="20"/>
      <c r="BEA167" s="21"/>
      <c r="BEB167" s="21"/>
      <c r="BEC167" s="21"/>
      <c r="BED167" s="21"/>
      <c r="BEE167" s="21"/>
      <c r="BEF167" s="20"/>
      <c r="BEG167" s="20"/>
      <c r="BEH167" s="20"/>
      <c r="BEI167" s="20"/>
      <c r="BEJ167" s="21"/>
      <c r="BEK167" s="21"/>
      <c r="BEL167" s="7"/>
      <c r="BEM167" s="7"/>
      <c r="BEN167" s="21"/>
      <c r="BEO167" s="20"/>
      <c r="BEP167" s="20"/>
      <c r="BEQ167" s="20"/>
      <c r="BER167" s="21"/>
      <c r="BES167" s="21"/>
      <c r="BET167" s="21"/>
      <c r="BEU167" s="21"/>
      <c r="BEV167" s="21"/>
      <c r="BEW167" s="20"/>
      <c r="BEX167" s="20"/>
      <c r="BEY167" s="20"/>
      <c r="BEZ167" s="20"/>
      <c r="BFA167" s="21"/>
      <c r="BFB167" s="21"/>
      <c r="BFC167" s="7"/>
      <c r="BFD167" s="7"/>
      <c r="BFE167" s="21"/>
      <c r="BFF167" s="20"/>
      <c r="BFG167" s="20"/>
      <c r="BFH167" s="20"/>
      <c r="BFI167" s="21"/>
      <c r="BFJ167" s="21"/>
      <c r="BFK167" s="21"/>
      <c r="BFL167" s="21"/>
      <c r="BFM167" s="21"/>
      <c r="BFN167" s="20"/>
      <c r="BFO167" s="20"/>
      <c r="BFP167" s="20"/>
      <c r="BFQ167" s="20"/>
      <c r="BFR167" s="21"/>
      <c r="BFS167" s="21"/>
      <c r="BFT167" s="7"/>
      <c r="BFU167" s="7"/>
      <c r="BFV167" s="21"/>
      <c r="BFW167" s="20"/>
      <c r="BFX167" s="20"/>
      <c r="BFY167" s="20"/>
      <c r="BFZ167" s="21"/>
      <c r="BGA167" s="21"/>
      <c r="BGB167" s="21"/>
      <c r="BGC167" s="21"/>
      <c r="BGD167" s="21"/>
      <c r="BGE167" s="20"/>
      <c r="BGF167" s="20"/>
      <c r="BGG167" s="20"/>
      <c r="BGH167" s="20"/>
      <c r="BGI167" s="21"/>
      <c r="BGJ167" s="21"/>
      <c r="BGK167" s="7"/>
      <c r="BGL167" s="7"/>
      <c r="BGM167" s="21"/>
      <c r="BGN167" s="20"/>
      <c r="BGO167" s="20"/>
      <c r="BGP167" s="20"/>
      <c r="BGQ167" s="21"/>
      <c r="BGR167" s="21"/>
      <c r="BGS167" s="21"/>
      <c r="BGT167" s="21"/>
      <c r="BGU167" s="21"/>
      <c r="BGV167" s="20"/>
      <c r="BGW167" s="20"/>
      <c r="BGX167" s="20"/>
      <c r="BGY167" s="20"/>
      <c r="BGZ167" s="21"/>
      <c r="BHA167" s="21"/>
      <c r="BHB167" s="7"/>
      <c r="BHC167" s="7"/>
      <c r="BHD167" s="21"/>
      <c r="BHE167" s="20"/>
      <c r="BHF167" s="20"/>
      <c r="BHG167" s="20"/>
      <c r="BHH167" s="21"/>
      <c r="BHI167" s="21"/>
      <c r="BHJ167" s="21"/>
      <c r="BHK167" s="21"/>
      <c r="BHL167" s="21"/>
      <c r="BHM167" s="20"/>
      <c r="BHN167" s="20"/>
      <c r="BHO167" s="20"/>
      <c r="BHP167" s="20"/>
      <c r="BHQ167" s="21"/>
      <c r="BHR167" s="21"/>
      <c r="BHS167" s="7"/>
      <c r="BHT167" s="7"/>
      <c r="BHU167" s="21"/>
      <c r="BHV167" s="20"/>
      <c r="BHW167" s="20"/>
      <c r="BHX167" s="20"/>
      <c r="BHY167" s="21"/>
      <c r="BHZ167" s="21"/>
      <c r="BIA167" s="21"/>
      <c r="BIB167" s="21"/>
      <c r="BIC167" s="21"/>
      <c r="BID167" s="20"/>
      <c r="BIE167" s="20"/>
      <c r="BIF167" s="20"/>
      <c r="BIG167" s="20"/>
      <c r="BIH167" s="21"/>
      <c r="BII167" s="21"/>
      <c r="BIJ167" s="7"/>
      <c r="BIK167" s="7"/>
      <c r="BIL167" s="21"/>
      <c r="BIM167" s="20"/>
      <c r="BIN167" s="20"/>
      <c r="BIO167" s="20"/>
      <c r="BIP167" s="21"/>
      <c r="BIQ167" s="21"/>
      <c r="BIR167" s="21"/>
      <c r="BIS167" s="21"/>
      <c r="BIT167" s="21"/>
      <c r="BIU167" s="20"/>
      <c r="BIV167" s="20"/>
      <c r="BIW167" s="20"/>
      <c r="BIX167" s="20"/>
      <c r="BIY167" s="21"/>
      <c r="BIZ167" s="21"/>
      <c r="BJA167" s="7"/>
      <c r="BJB167" s="7"/>
      <c r="BJC167" s="21"/>
      <c r="BJD167" s="20"/>
      <c r="BJE167" s="20"/>
      <c r="BJF167" s="20"/>
      <c r="BJG167" s="21"/>
      <c r="BJH167" s="21"/>
      <c r="BJI167" s="21"/>
      <c r="BJJ167" s="21"/>
      <c r="BJK167" s="21"/>
      <c r="BJL167" s="20"/>
      <c r="BJM167" s="20"/>
      <c r="BJN167" s="20"/>
      <c r="BJO167" s="20"/>
      <c r="BJP167" s="21"/>
      <c r="BJQ167" s="21"/>
      <c r="BJR167" s="7"/>
      <c r="BJS167" s="7"/>
      <c r="BJT167" s="21"/>
      <c r="BJU167" s="20"/>
      <c r="BJV167" s="20"/>
      <c r="BJW167" s="20"/>
      <c r="BJX167" s="21"/>
      <c r="BJY167" s="21"/>
      <c r="BJZ167" s="21"/>
      <c r="BKA167" s="21"/>
      <c r="BKB167" s="21"/>
      <c r="BKC167" s="20"/>
      <c r="BKD167" s="20"/>
      <c r="BKE167" s="20"/>
      <c r="BKF167" s="20"/>
      <c r="BKG167" s="21"/>
      <c r="BKH167" s="21"/>
      <c r="BKI167" s="7"/>
      <c r="BKJ167" s="7"/>
      <c r="BKK167" s="21"/>
      <c r="BKL167" s="20"/>
      <c r="BKM167" s="20"/>
      <c r="BKN167" s="20"/>
      <c r="BKO167" s="21"/>
      <c r="BKP167" s="21"/>
      <c r="BKQ167" s="21"/>
      <c r="BKR167" s="21"/>
      <c r="BKS167" s="21"/>
      <c r="BKT167" s="20"/>
      <c r="BKU167" s="20"/>
      <c r="BKV167" s="20"/>
      <c r="BKW167" s="20"/>
      <c r="BKX167" s="21"/>
      <c r="BKY167" s="21"/>
      <c r="BKZ167" s="7"/>
      <c r="BLA167" s="7"/>
      <c r="BLB167" s="21"/>
      <c r="BLC167" s="20"/>
      <c r="BLD167" s="20"/>
      <c r="BLE167" s="20"/>
      <c r="BLF167" s="21"/>
      <c r="BLG167" s="21"/>
      <c r="BLH167" s="21"/>
      <c r="BLI167" s="21"/>
      <c r="BLJ167" s="21"/>
      <c r="BLK167" s="20"/>
      <c r="BLL167" s="20"/>
      <c r="BLM167" s="20"/>
      <c r="BLN167" s="20"/>
      <c r="BLO167" s="21"/>
      <c r="BLP167" s="21"/>
      <c r="BLQ167" s="7"/>
      <c r="BLR167" s="7"/>
      <c r="BLS167" s="21"/>
      <c r="BLT167" s="20"/>
      <c r="BLU167" s="20"/>
      <c r="BLV167" s="20"/>
      <c r="BLW167" s="21"/>
      <c r="BLX167" s="21"/>
      <c r="BLY167" s="21"/>
      <c r="BLZ167" s="21"/>
      <c r="BMA167" s="21"/>
      <c r="BMB167" s="20"/>
      <c r="BMC167" s="20"/>
      <c r="BMD167" s="20"/>
      <c r="BME167" s="20"/>
      <c r="BMF167" s="21"/>
      <c r="BMG167" s="21"/>
      <c r="BMH167" s="7"/>
      <c r="BMI167" s="7"/>
      <c r="BMJ167" s="21"/>
      <c r="BMK167" s="20"/>
      <c r="BML167" s="20"/>
      <c r="BMM167" s="20"/>
      <c r="BMN167" s="21"/>
      <c r="BMO167" s="21"/>
      <c r="BMP167" s="21"/>
      <c r="BMQ167" s="21"/>
      <c r="BMR167" s="21"/>
      <c r="BMS167" s="20"/>
      <c r="BMT167" s="20"/>
      <c r="BMU167" s="20"/>
      <c r="BMV167" s="20"/>
      <c r="BMW167" s="21"/>
      <c r="BMX167" s="21"/>
      <c r="BMY167" s="7"/>
      <c r="BMZ167" s="7"/>
      <c r="BNA167" s="21"/>
      <c r="BNB167" s="20"/>
      <c r="BNC167" s="20"/>
      <c r="BND167" s="20"/>
      <c r="BNE167" s="21"/>
      <c r="BNF167" s="21"/>
      <c r="BNG167" s="21"/>
      <c r="BNH167" s="21"/>
      <c r="BNI167" s="21"/>
      <c r="BNJ167" s="20"/>
      <c r="BNK167" s="20"/>
      <c r="BNL167" s="20"/>
      <c r="BNM167" s="20"/>
      <c r="BNN167" s="21"/>
      <c r="BNO167" s="21"/>
      <c r="BNP167" s="7"/>
      <c r="BNQ167" s="7"/>
      <c r="BNR167" s="21"/>
      <c r="BNS167" s="20"/>
      <c r="BNT167" s="20"/>
      <c r="BNU167" s="20"/>
      <c r="BNV167" s="21"/>
      <c r="BNW167" s="21"/>
      <c r="BNX167" s="21"/>
      <c r="BNY167" s="21"/>
      <c r="BNZ167" s="21"/>
      <c r="BOA167" s="20"/>
      <c r="BOB167" s="20"/>
      <c r="BOC167" s="20"/>
      <c r="BOD167" s="20"/>
      <c r="BOE167" s="21"/>
      <c r="BOF167" s="21"/>
      <c r="BOG167" s="7"/>
      <c r="BOH167" s="7"/>
      <c r="BOI167" s="21"/>
      <c r="BOJ167" s="20"/>
      <c r="BOK167" s="20"/>
      <c r="BOL167" s="20"/>
      <c r="BOM167" s="21"/>
      <c r="BON167" s="21"/>
      <c r="BOO167" s="21"/>
      <c r="BOP167" s="21"/>
      <c r="BOQ167" s="21"/>
      <c r="BOR167" s="20"/>
      <c r="BOS167" s="20"/>
      <c r="BOT167" s="20"/>
      <c r="BOU167" s="20"/>
      <c r="BOV167" s="21"/>
      <c r="BOW167" s="21"/>
      <c r="BOX167" s="7"/>
      <c r="BOY167" s="7"/>
      <c r="BOZ167" s="21"/>
      <c r="BPA167" s="20"/>
      <c r="BPB167" s="20"/>
      <c r="BPC167" s="20"/>
      <c r="BPD167" s="21"/>
      <c r="BPE167" s="21"/>
      <c r="BPF167" s="21"/>
      <c r="BPG167" s="21"/>
      <c r="BPH167" s="21"/>
      <c r="BPI167" s="20"/>
      <c r="BPJ167" s="20"/>
      <c r="BPK167" s="20"/>
      <c r="BPL167" s="20"/>
      <c r="BPM167" s="21"/>
      <c r="BPN167" s="21"/>
      <c r="BPO167" s="7"/>
      <c r="BPP167" s="7"/>
      <c r="BPQ167" s="21"/>
      <c r="BPR167" s="20"/>
      <c r="BPS167" s="20"/>
      <c r="BPT167" s="20"/>
      <c r="BPU167" s="21"/>
      <c r="BPV167" s="21"/>
      <c r="BPW167" s="21"/>
      <c r="BPX167" s="21"/>
      <c r="BPY167" s="21"/>
      <c r="BPZ167" s="20"/>
      <c r="BQA167" s="20"/>
      <c r="BQB167" s="20"/>
      <c r="BQC167" s="20"/>
      <c r="BQD167" s="21"/>
      <c r="BQE167" s="21"/>
      <c r="BQF167" s="7"/>
      <c r="BQG167" s="7"/>
      <c r="BQH167" s="21"/>
      <c r="BQI167" s="20"/>
      <c r="BQJ167" s="20"/>
      <c r="BQK167" s="20"/>
      <c r="BQL167" s="21"/>
      <c r="BQM167" s="21"/>
      <c r="BQN167" s="21"/>
      <c r="BQO167" s="21"/>
      <c r="BQP167" s="21"/>
      <c r="BQQ167" s="20"/>
      <c r="BQR167" s="20"/>
      <c r="BQS167" s="20"/>
      <c r="BQT167" s="20"/>
      <c r="BQU167" s="21"/>
      <c r="BQV167" s="21"/>
      <c r="BQW167" s="7"/>
      <c r="BQX167" s="7"/>
      <c r="BQY167" s="21"/>
      <c r="BQZ167" s="20"/>
      <c r="BRA167" s="20"/>
      <c r="BRB167" s="20"/>
      <c r="BRC167" s="21"/>
      <c r="BRD167" s="21"/>
      <c r="BRE167" s="21"/>
      <c r="BRF167" s="21"/>
      <c r="BRG167" s="21"/>
      <c r="BRH167" s="20"/>
      <c r="BRI167" s="20"/>
      <c r="BRJ167" s="20"/>
      <c r="BRK167" s="20"/>
      <c r="BRL167" s="21"/>
      <c r="BRM167" s="21"/>
      <c r="BRN167" s="7"/>
      <c r="BRO167" s="7"/>
      <c r="BRP167" s="21"/>
      <c r="BRQ167" s="20"/>
      <c r="BRR167" s="20"/>
      <c r="BRS167" s="20"/>
      <c r="BRT167" s="21"/>
      <c r="BRU167" s="21"/>
      <c r="BRV167" s="21"/>
      <c r="BRW167" s="21"/>
      <c r="BRX167" s="21"/>
      <c r="BRY167" s="20"/>
      <c r="BRZ167" s="20"/>
      <c r="BSA167" s="20"/>
      <c r="BSB167" s="20"/>
      <c r="BSC167" s="21"/>
      <c r="BSD167" s="21"/>
      <c r="BSE167" s="7"/>
      <c r="BSF167" s="7"/>
      <c r="BSG167" s="21"/>
      <c r="BSH167" s="20"/>
      <c r="BSI167" s="20"/>
      <c r="BSJ167" s="20"/>
      <c r="BSK167" s="21"/>
      <c r="BSL167" s="21"/>
      <c r="BSM167" s="21"/>
      <c r="BSN167" s="21"/>
      <c r="BSO167" s="21"/>
      <c r="BSP167" s="20"/>
      <c r="BSQ167" s="20"/>
      <c r="BSR167" s="20"/>
      <c r="BSS167" s="20"/>
      <c r="BST167" s="21"/>
      <c r="BSU167" s="21"/>
      <c r="BSV167" s="7"/>
      <c r="BSW167" s="7"/>
      <c r="BSX167" s="21"/>
      <c r="BSY167" s="20"/>
      <c r="BSZ167" s="20"/>
      <c r="BTA167" s="20"/>
      <c r="BTB167" s="21"/>
      <c r="BTC167" s="21"/>
      <c r="BTD167" s="21"/>
      <c r="BTE167" s="21"/>
      <c r="BTF167" s="21"/>
      <c r="BTG167" s="20"/>
      <c r="BTH167" s="20"/>
      <c r="BTI167" s="20"/>
      <c r="BTJ167" s="20"/>
      <c r="BTK167" s="21"/>
      <c r="BTL167" s="21"/>
      <c r="BTM167" s="7"/>
      <c r="BTN167" s="7"/>
      <c r="BTO167" s="21"/>
      <c r="BTP167" s="20"/>
      <c r="BTQ167" s="20"/>
      <c r="BTR167" s="20"/>
      <c r="BTS167" s="21"/>
      <c r="BTT167" s="21"/>
      <c r="BTU167" s="21"/>
      <c r="BTV167" s="21"/>
      <c r="BTW167" s="21"/>
      <c r="BTX167" s="20"/>
      <c r="BTY167" s="20"/>
      <c r="BTZ167" s="20"/>
      <c r="BUA167" s="20"/>
      <c r="BUB167" s="21"/>
      <c r="BUC167" s="21"/>
      <c r="BUD167" s="7"/>
      <c r="BUE167" s="7"/>
      <c r="BUF167" s="21"/>
      <c r="BUG167" s="20"/>
      <c r="BUH167" s="20"/>
      <c r="BUI167" s="20"/>
      <c r="BUJ167" s="21"/>
      <c r="BUK167" s="21"/>
      <c r="BUL167" s="21"/>
      <c r="BUM167" s="21"/>
      <c r="BUN167" s="21"/>
      <c r="BUO167" s="20"/>
      <c r="BUP167" s="20"/>
      <c r="BUQ167" s="20"/>
      <c r="BUR167" s="20"/>
      <c r="BUS167" s="21"/>
      <c r="BUT167" s="21"/>
      <c r="BUU167" s="7"/>
      <c r="BUV167" s="7"/>
      <c r="BUW167" s="21"/>
      <c r="BUX167" s="20"/>
      <c r="BUY167" s="20"/>
      <c r="BUZ167" s="20"/>
      <c r="BVA167" s="21"/>
      <c r="BVB167" s="21"/>
      <c r="BVC167" s="21"/>
      <c r="BVD167" s="21"/>
      <c r="BVE167" s="21"/>
      <c r="BVF167" s="20"/>
      <c r="BVG167" s="20"/>
      <c r="BVH167" s="20"/>
      <c r="BVI167" s="20"/>
      <c r="BVJ167" s="21"/>
      <c r="BVK167" s="21"/>
      <c r="BVL167" s="7"/>
      <c r="BVM167" s="7"/>
      <c r="BVN167" s="21"/>
      <c r="BVO167" s="20"/>
      <c r="BVP167" s="20"/>
      <c r="BVQ167" s="20"/>
      <c r="BVR167" s="21"/>
      <c r="BVS167" s="21"/>
      <c r="BVT167" s="21"/>
      <c r="BVU167" s="21"/>
      <c r="BVV167" s="21"/>
      <c r="BVW167" s="20"/>
      <c r="BVX167" s="20"/>
      <c r="BVY167" s="20"/>
      <c r="BVZ167" s="20"/>
      <c r="BWA167" s="21"/>
      <c r="BWB167" s="21"/>
      <c r="BWC167" s="7"/>
      <c r="BWD167" s="7"/>
      <c r="BWE167" s="21"/>
      <c r="BWF167" s="20"/>
      <c r="BWG167" s="20"/>
      <c r="BWH167" s="20"/>
      <c r="BWI167" s="21"/>
      <c r="BWJ167" s="21"/>
      <c r="BWK167" s="21"/>
      <c r="BWL167" s="21"/>
      <c r="BWM167" s="21"/>
      <c r="BWN167" s="20"/>
      <c r="BWO167" s="20"/>
      <c r="BWP167" s="20"/>
      <c r="BWQ167" s="20"/>
      <c r="BWR167" s="21"/>
      <c r="BWS167" s="21"/>
      <c r="BWT167" s="7"/>
      <c r="BWU167" s="7"/>
      <c r="BWV167" s="21"/>
      <c r="BWW167" s="20"/>
      <c r="BWX167" s="20"/>
      <c r="BWY167" s="20"/>
      <c r="BWZ167" s="21"/>
      <c r="BXA167" s="21"/>
      <c r="BXB167" s="21"/>
      <c r="BXC167" s="21"/>
      <c r="BXD167" s="21"/>
      <c r="BXE167" s="20"/>
      <c r="BXF167" s="20"/>
      <c r="BXG167" s="20"/>
      <c r="BXH167" s="20"/>
      <c r="BXI167" s="21"/>
      <c r="BXJ167" s="21"/>
      <c r="BXK167" s="7"/>
      <c r="BXL167" s="7"/>
      <c r="BXM167" s="21"/>
      <c r="BXN167" s="20"/>
      <c r="BXO167" s="20"/>
      <c r="BXP167" s="20"/>
      <c r="BXQ167" s="21"/>
      <c r="BXR167" s="21"/>
      <c r="BXS167" s="21"/>
      <c r="BXT167" s="21"/>
      <c r="BXU167" s="21"/>
      <c r="BXV167" s="20"/>
      <c r="BXW167" s="20"/>
      <c r="BXX167" s="20"/>
      <c r="BXY167" s="20"/>
      <c r="BXZ167" s="21"/>
      <c r="BYA167" s="21"/>
      <c r="BYB167" s="7"/>
      <c r="BYC167" s="7"/>
      <c r="BYD167" s="21"/>
      <c r="BYE167" s="20"/>
      <c r="BYF167" s="20"/>
      <c r="BYG167" s="20"/>
      <c r="BYH167" s="21"/>
      <c r="BYI167" s="21"/>
      <c r="BYJ167" s="21"/>
      <c r="BYK167" s="21"/>
      <c r="BYL167" s="21"/>
      <c r="BYM167" s="20"/>
      <c r="BYN167" s="20"/>
      <c r="BYO167" s="20"/>
      <c r="BYP167" s="20"/>
      <c r="BYQ167" s="21"/>
      <c r="BYR167" s="21"/>
      <c r="BYS167" s="7"/>
      <c r="BYT167" s="7"/>
      <c r="BYU167" s="21"/>
      <c r="BYV167" s="20"/>
      <c r="BYW167" s="20"/>
      <c r="BYX167" s="20"/>
      <c r="BYY167" s="21"/>
      <c r="BYZ167" s="21"/>
      <c r="BZA167" s="21"/>
      <c r="BZB167" s="21"/>
      <c r="BZC167" s="21"/>
      <c r="BZD167" s="20"/>
      <c r="BZE167" s="20"/>
      <c r="BZF167" s="20"/>
      <c r="BZG167" s="20"/>
      <c r="BZH167" s="21"/>
      <c r="BZI167" s="21"/>
      <c r="BZJ167" s="7"/>
      <c r="BZK167" s="7"/>
      <c r="BZL167" s="21"/>
      <c r="BZM167" s="20"/>
      <c r="BZN167" s="20"/>
      <c r="BZO167" s="20"/>
      <c r="BZP167" s="21"/>
      <c r="BZQ167" s="21"/>
      <c r="BZR167" s="21"/>
      <c r="BZS167" s="21"/>
      <c r="BZT167" s="21"/>
      <c r="BZU167" s="20"/>
      <c r="BZV167" s="20"/>
      <c r="BZW167" s="20"/>
      <c r="BZX167" s="20"/>
      <c r="BZY167" s="21"/>
      <c r="BZZ167" s="21"/>
      <c r="CAA167" s="7"/>
      <c r="CAB167" s="7"/>
      <c r="CAC167" s="21"/>
      <c r="CAD167" s="20"/>
      <c r="CAE167" s="20"/>
      <c r="CAF167" s="20"/>
      <c r="CAG167" s="21"/>
      <c r="CAH167" s="21"/>
      <c r="CAI167" s="21"/>
      <c r="CAJ167" s="21"/>
      <c r="CAK167" s="21"/>
      <c r="CAL167" s="20"/>
      <c r="CAM167" s="20"/>
      <c r="CAN167" s="20"/>
      <c r="CAO167" s="20"/>
      <c r="CAP167" s="21"/>
      <c r="CAQ167" s="21"/>
      <c r="CAR167" s="7"/>
      <c r="CAS167" s="7"/>
      <c r="CAT167" s="21"/>
      <c r="CAU167" s="20"/>
      <c r="CAV167" s="20"/>
      <c r="CAW167" s="20"/>
      <c r="CAX167" s="21"/>
      <c r="CAY167" s="21"/>
      <c r="CAZ167" s="21"/>
      <c r="CBA167" s="21"/>
      <c r="CBB167" s="21"/>
      <c r="CBC167" s="20"/>
      <c r="CBD167" s="20"/>
      <c r="CBE167" s="20"/>
      <c r="CBF167" s="20"/>
      <c r="CBG167" s="21"/>
      <c r="CBH167" s="21"/>
      <c r="CBI167" s="7"/>
      <c r="CBJ167" s="7"/>
      <c r="CBK167" s="21"/>
      <c r="CBL167" s="20"/>
      <c r="CBM167" s="20"/>
      <c r="CBN167" s="20"/>
      <c r="CBO167" s="21"/>
      <c r="CBP167" s="21"/>
      <c r="CBQ167" s="21"/>
      <c r="CBR167" s="21"/>
      <c r="CBS167" s="21"/>
      <c r="CBT167" s="20"/>
      <c r="CBU167" s="20"/>
      <c r="CBV167" s="20"/>
      <c r="CBW167" s="20"/>
      <c r="CBX167" s="21"/>
      <c r="CBY167" s="21"/>
      <c r="CBZ167" s="7"/>
      <c r="CCA167" s="7"/>
      <c r="CCB167" s="21"/>
      <c r="CCC167" s="20"/>
      <c r="CCD167" s="20"/>
      <c r="CCE167" s="20"/>
      <c r="CCF167" s="21"/>
      <c r="CCG167" s="21"/>
      <c r="CCH167" s="21"/>
      <c r="CCI167" s="21"/>
      <c r="CCJ167" s="21"/>
      <c r="CCK167" s="20"/>
      <c r="CCL167" s="20"/>
      <c r="CCM167" s="20"/>
      <c r="CCN167" s="20"/>
      <c r="CCO167" s="21"/>
      <c r="CCP167" s="21"/>
      <c r="CCQ167" s="7"/>
      <c r="CCR167" s="7"/>
      <c r="CCS167" s="21"/>
      <c r="CCT167" s="20"/>
      <c r="CCU167" s="20"/>
      <c r="CCV167" s="20"/>
      <c r="CCW167" s="21"/>
      <c r="CCX167" s="21"/>
      <c r="CCY167" s="21"/>
      <c r="CCZ167" s="21"/>
      <c r="CDA167" s="21"/>
      <c r="CDB167" s="20"/>
      <c r="CDC167" s="20"/>
      <c r="CDD167" s="20"/>
      <c r="CDE167" s="20"/>
      <c r="CDF167" s="21"/>
      <c r="CDG167" s="21"/>
      <c r="CDH167" s="7"/>
      <c r="CDI167" s="7"/>
      <c r="CDJ167" s="21"/>
      <c r="CDK167" s="20"/>
      <c r="CDL167" s="20"/>
      <c r="CDM167" s="20"/>
      <c r="CDN167" s="21"/>
      <c r="CDO167" s="21"/>
      <c r="CDP167" s="21"/>
      <c r="CDQ167" s="21"/>
      <c r="CDR167" s="21"/>
      <c r="CDS167" s="20"/>
      <c r="CDT167" s="20"/>
      <c r="CDU167" s="20"/>
      <c r="CDV167" s="20"/>
      <c r="CDW167" s="21"/>
      <c r="CDX167" s="21"/>
      <c r="CDY167" s="7"/>
      <c r="CDZ167" s="7"/>
      <c r="CEA167" s="21"/>
      <c r="CEB167" s="20"/>
      <c r="CEC167" s="20"/>
      <c r="CED167" s="20"/>
      <c r="CEE167" s="21"/>
      <c r="CEF167" s="21"/>
      <c r="CEG167" s="21"/>
      <c r="CEH167" s="21"/>
      <c r="CEI167" s="21"/>
      <c r="CEJ167" s="20"/>
      <c r="CEK167" s="20"/>
      <c r="CEL167" s="20"/>
      <c r="CEM167" s="20"/>
      <c r="CEN167" s="21"/>
      <c r="CEO167" s="21"/>
      <c r="CEP167" s="7"/>
      <c r="CEQ167" s="7"/>
      <c r="CER167" s="21"/>
      <c r="CES167" s="20"/>
      <c r="CET167" s="20"/>
      <c r="CEU167" s="20"/>
      <c r="CEV167" s="21"/>
      <c r="CEW167" s="21"/>
      <c r="CEX167" s="21"/>
      <c r="CEY167" s="21"/>
      <c r="CEZ167" s="21"/>
      <c r="CFA167" s="20"/>
      <c r="CFB167" s="20"/>
      <c r="CFC167" s="20"/>
      <c r="CFD167" s="20"/>
      <c r="CFE167" s="21"/>
      <c r="CFF167" s="21"/>
      <c r="CFG167" s="7"/>
      <c r="CFH167" s="7"/>
      <c r="CFI167" s="21"/>
      <c r="CFJ167" s="20"/>
      <c r="CFK167" s="20"/>
      <c r="CFL167" s="20"/>
      <c r="CFM167" s="21"/>
      <c r="CFN167" s="21"/>
      <c r="CFO167" s="21"/>
      <c r="CFP167" s="21"/>
      <c r="CFQ167" s="21"/>
      <c r="CFR167" s="20"/>
      <c r="CFS167" s="20"/>
      <c r="CFT167" s="20"/>
      <c r="CFU167" s="20"/>
      <c r="CFV167" s="21"/>
      <c r="CFW167" s="21"/>
      <c r="CFX167" s="7"/>
      <c r="CFY167" s="7"/>
      <c r="CFZ167" s="21"/>
      <c r="CGA167" s="20"/>
      <c r="CGB167" s="20"/>
      <c r="CGC167" s="20"/>
      <c r="CGD167" s="21"/>
      <c r="CGE167" s="21"/>
      <c r="CGF167" s="21"/>
      <c r="CGG167" s="21"/>
      <c r="CGH167" s="21"/>
      <c r="CGI167" s="20"/>
      <c r="CGJ167" s="20"/>
      <c r="CGK167" s="20"/>
      <c r="CGL167" s="20"/>
      <c r="CGM167" s="21"/>
      <c r="CGN167" s="21"/>
      <c r="CGO167" s="7"/>
      <c r="CGP167" s="7"/>
      <c r="CGQ167" s="21"/>
      <c r="CGR167" s="20"/>
      <c r="CGS167" s="20"/>
      <c r="CGT167" s="20"/>
      <c r="CGU167" s="21"/>
      <c r="CGV167" s="21"/>
      <c r="CGW167" s="21"/>
      <c r="CGX167" s="21"/>
      <c r="CGY167" s="21"/>
      <c r="CGZ167" s="20"/>
      <c r="CHA167" s="20"/>
      <c r="CHB167" s="20"/>
      <c r="CHC167" s="20"/>
      <c r="CHD167" s="21"/>
      <c r="CHE167" s="21"/>
      <c r="CHF167" s="7"/>
      <c r="CHG167" s="7"/>
      <c r="CHH167" s="21"/>
      <c r="CHI167" s="20"/>
      <c r="CHJ167" s="20"/>
      <c r="CHK167" s="20"/>
      <c r="CHL167" s="21"/>
      <c r="CHM167" s="21"/>
      <c r="CHN167" s="21"/>
      <c r="CHO167" s="21"/>
      <c r="CHP167" s="21"/>
      <c r="CHQ167" s="20"/>
      <c r="CHR167" s="20"/>
      <c r="CHS167" s="20"/>
      <c r="CHT167" s="20"/>
      <c r="CHU167" s="21"/>
      <c r="CHV167" s="21"/>
      <c r="CHW167" s="7"/>
      <c r="CHX167" s="7"/>
      <c r="CHY167" s="21"/>
      <c r="CHZ167" s="20"/>
      <c r="CIA167" s="20"/>
      <c r="CIB167" s="20"/>
      <c r="CIC167" s="21"/>
      <c r="CID167" s="21"/>
      <c r="CIE167" s="21"/>
      <c r="CIF167" s="21"/>
      <c r="CIG167" s="21"/>
      <c r="CIH167" s="20"/>
      <c r="CII167" s="20"/>
      <c r="CIJ167" s="20"/>
      <c r="CIK167" s="20"/>
      <c r="CIL167" s="21"/>
      <c r="CIM167" s="21"/>
      <c r="CIN167" s="7"/>
      <c r="CIO167" s="7"/>
      <c r="CIP167" s="21"/>
      <c r="CIQ167" s="20"/>
      <c r="CIR167" s="20"/>
      <c r="CIS167" s="20"/>
      <c r="CIT167" s="21"/>
      <c r="CIU167" s="21"/>
      <c r="CIV167" s="21"/>
      <c r="CIW167" s="21"/>
      <c r="CIX167" s="21"/>
      <c r="CIY167" s="20"/>
      <c r="CIZ167" s="20"/>
      <c r="CJA167" s="20"/>
      <c r="CJB167" s="20"/>
      <c r="CJC167" s="21"/>
      <c r="CJD167" s="21"/>
      <c r="CJE167" s="7"/>
      <c r="CJF167" s="7"/>
      <c r="CJG167" s="21"/>
      <c r="CJH167" s="20"/>
      <c r="CJI167" s="20"/>
      <c r="CJJ167" s="20"/>
      <c r="CJK167" s="21"/>
      <c r="CJL167" s="21"/>
      <c r="CJM167" s="21"/>
      <c r="CJN167" s="21"/>
      <c r="CJO167" s="21"/>
      <c r="CJP167" s="20"/>
      <c r="CJQ167" s="20"/>
      <c r="CJR167" s="20"/>
      <c r="CJS167" s="20"/>
      <c r="CJT167" s="21"/>
      <c r="CJU167" s="21"/>
      <c r="CJV167" s="7"/>
      <c r="CJW167" s="7"/>
      <c r="CJX167" s="21"/>
      <c r="CJY167" s="20"/>
      <c r="CJZ167" s="20"/>
      <c r="CKA167" s="20"/>
      <c r="CKB167" s="21"/>
      <c r="CKC167" s="21"/>
      <c r="CKD167" s="21"/>
      <c r="CKE167" s="21"/>
      <c r="CKF167" s="21"/>
      <c r="CKG167" s="20"/>
      <c r="CKH167" s="20"/>
      <c r="CKI167" s="20"/>
      <c r="CKJ167" s="20"/>
      <c r="CKK167" s="21"/>
      <c r="CKL167" s="21"/>
      <c r="CKM167" s="7"/>
      <c r="CKN167" s="7"/>
      <c r="CKO167" s="21"/>
      <c r="CKP167" s="20"/>
      <c r="CKQ167" s="20"/>
      <c r="CKR167" s="20"/>
      <c r="CKS167" s="21"/>
      <c r="CKT167" s="21"/>
      <c r="CKU167" s="21"/>
      <c r="CKV167" s="21"/>
      <c r="CKW167" s="21"/>
      <c r="CKX167" s="20"/>
      <c r="CKY167" s="20"/>
      <c r="CKZ167" s="20"/>
      <c r="CLA167" s="20"/>
      <c r="CLB167" s="21"/>
      <c r="CLC167" s="21"/>
      <c r="CLD167" s="7"/>
      <c r="CLE167" s="7"/>
      <c r="CLF167" s="21"/>
      <c r="CLG167" s="20"/>
      <c r="CLH167" s="20"/>
      <c r="CLI167" s="20"/>
      <c r="CLJ167" s="21"/>
      <c r="CLK167" s="21"/>
      <c r="CLL167" s="21"/>
      <c r="CLM167" s="21"/>
      <c r="CLN167" s="21"/>
      <c r="CLO167" s="20"/>
      <c r="CLP167" s="20"/>
      <c r="CLQ167" s="20"/>
      <c r="CLR167" s="20"/>
      <c r="CLS167" s="21"/>
      <c r="CLT167" s="21"/>
      <c r="CLU167" s="7"/>
      <c r="CLV167" s="7"/>
      <c r="CLW167" s="21"/>
      <c r="CLX167" s="20"/>
      <c r="CLY167" s="20"/>
      <c r="CLZ167" s="20"/>
      <c r="CMA167" s="21"/>
      <c r="CMB167" s="21"/>
      <c r="CMC167" s="21"/>
      <c r="CMD167" s="21"/>
      <c r="CME167" s="21"/>
      <c r="CMF167" s="20"/>
      <c r="CMG167" s="20"/>
      <c r="CMH167" s="20"/>
      <c r="CMI167" s="20"/>
      <c r="CMJ167" s="21"/>
      <c r="CMK167" s="21"/>
      <c r="CML167" s="7"/>
      <c r="CMM167" s="7"/>
      <c r="CMN167" s="21"/>
      <c r="CMO167" s="20"/>
      <c r="CMP167" s="20"/>
      <c r="CMQ167" s="20"/>
      <c r="CMR167" s="21"/>
      <c r="CMS167" s="21"/>
      <c r="CMT167" s="21"/>
      <c r="CMU167" s="21"/>
      <c r="CMV167" s="21"/>
      <c r="CMW167" s="20"/>
      <c r="CMX167" s="20"/>
      <c r="CMY167" s="20"/>
      <c r="CMZ167" s="20"/>
      <c r="CNA167" s="21"/>
      <c r="CNB167" s="21"/>
      <c r="CNC167" s="7"/>
      <c r="CND167" s="7"/>
      <c r="CNE167" s="21"/>
      <c r="CNF167" s="20"/>
      <c r="CNG167" s="20"/>
      <c r="CNH167" s="20"/>
      <c r="CNI167" s="21"/>
      <c r="CNJ167" s="21"/>
      <c r="CNK167" s="21"/>
      <c r="CNL167" s="21"/>
      <c r="CNM167" s="21"/>
      <c r="CNN167" s="20"/>
      <c r="CNO167" s="20"/>
      <c r="CNP167" s="20"/>
      <c r="CNQ167" s="20"/>
      <c r="CNR167" s="21"/>
      <c r="CNS167" s="21"/>
      <c r="CNT167" s="7"/>
      <c r="CNU167" s="7"/>
      <c r="CNV167" s="21"/>
      <c r="CNW167" s="20"/>
      <c r="CNX167" s="20"/>
      <c r="CNY167" s="20"/>
      <c r="CNZ167" s="21"/>
      <c r="COA167" s="21"/>
      <c r="COB167" s="21"/>
      <c r="COC167" s="21"/>
      <c r="COD167" s="21"/>
      <c r="COE167" s="20"/>
      <c r="COF167" s="20"/>
      <c r="COG167" s="20"/>
      <c r="COH167" s="20"/>
      <c r="COI167" s="21"/>
      <c r="COJ167" s="21"/>
      <c r="COK167" s="7"/>
      <c r="COL167" s="7"/>
      <c r="COM167" s="21"/>
      <c r="CON167" s="20"/>
      <c r="COO167" s="20"/>
      <c r="COP167" s="20"/>
      <c r="COQ167" s="21"/>
      <c r="COR167" s="21"/>
      <c r="COS167" s="21"/>
      <c r="COT167" s="21"/>
      <c r="COU167" s="21"/>
      <c r="COV167" s="20"/>
      <c r="COW167" s="20"/>
      <c r="COX167" s="20"/>
      <c r="COY167" s="20"/>
      <c r="COZ167" s="21"/>
      <c r="CPA167" s="21"/>
      <c r="CPB167" s="7"/>
      <c r="CPC167" s="7"/>
      <c r="CPD167" s="21"/>
      <c r="CPE167" s="20"/>
      <c r="CPF167" s="20"/>
      <c r="CPG167" s="20"/>
      <c r="CPH167" s="21"/>
      <c r="CPI167" s="21"/>
      <c r="CPJ167" s="21"/>
      <c r="CPK167" s="21"/>
      <c r="CPL167" s="21"/>
      <c r="CPM167" s="20"/>
      <c r="CPN167" s="20"/>
      <c r="CPO167" s="20"/>
      <c r="CPP167" s="20"/>
      <c r="CPQ167" s="21"/>
      <c r="CPR167" s="21"/>
      <c r="CPS167" s="7"/>
      <c r="CPT167" s="7"/>
      <c r="CPU167" s="21"/>
      <c r="CPV167" s="20"/>
      <c r="CPW167" s="20"/>
      <c r="CPX167" s="20"/>
      <c r="CPY167" s="21"/>
      <c r="CPZ167" s="21"/>
      <c r="CQA167" s="21"/>
      <c r="CQB167" s="21"/>
      <c r="CQC167" s="21"/>
      <c r="CQD167" s="20"/>
      <c r="CQE167" s="20"/>
      <c r="CQF167" s="20"/>
      <c r="CQG167" s="20"/>
      <c r="CQH167" s="21"/>
      <c r="CQI167" s="21"/>
      <c r="CQJ167" s="7"/>
      <c r="CQK167" s="7"/>
      <c r="CQL167" s="21"/>
      <c r="CQM167" s="20"/>
      <c r="CQN167" s="20"/>
      <c r="CQO167" s="20"/>
      <c r="CQP167" s="21"/>
      <c r="CQQ167" s="21"/>
      <c r="CQR167" s="21"/>
      <c r="CQS167" s="21"/>
      <c r="CQT167" s="21"/>
      <c r="CQU167" s="20"/>
      <c r="CQV167" s="20"/>
      <c r="CQW167" s="20"/>
      <c r="CQX167" s="20"/>
      <c r="CQY167" s="21"/>
      <c r="CQZ167" s="21"/>
      <c r="CRA167" s="7"/>
      <c r="CRB167" s="7"/>
      <c r="CRC167" s="21"/>
      <c r="CRD167" s="20"/>
      <c r="CRE167" s="20"/>
      <c r="CRF167" s="20"/>
      <c r="CRG167" s="21"/>
      <c r="CRH167" s="21"/>
      <c r="CRI167" s="21"/>
      <c r="CRJ167" s="21"/>
      <c r="CRK167" s="21"/>
      <c r="CRL167" s="20"/>
      <c r="CRM167" s="20"/>
      <c r="CRN167" s="20"/>
      <c r="CRO167" s="20"/>
      <c r="CRP167" s="21"/>
      <c r="CRQ167" s="21"/>
      <c r="CRR167" s="7"/>
      <c r="CRS167" s="7"/>
      <c r="CRT167" s="21"/>
      <c r="CRU167" s="20"/>
      <c r="CRV167" s="20"/>
      <c r="CRW167" s="20"/>
      <c r="CRX167" s="21"/>
      <c r="CRY167" s="21"/>
      <c r="CRZ167" s="21"/>
      <c r="CSA167" s="21"/>
      <c r="CSB167" s="21"/>
      <c r="CSC167" s="20"/>
      <c r="CSD167" s="20"/>
      <c r="CSE167" s="20"/>
      <c r="CSF167" s="20"/>
      <c r="CSG167" s="21"/>
      <c r="CSH167" s="21"/>
      <c r="CSI167" s="7"/>
      <c r="CSJ167" s="7"/>
      <c r="CSK167" s="21"/>
      <c r="CSL167" s="20"/>
      <c r="CSM167" s="20"/>
      <c r="CSN167" s="20"/>
      <c r="CSO167" s="21"/>
      <c r="CSP167" s="21"/>
      <c r="CSQ167" s="21"/>
      <c r="CSR167" s="21"/>
      <c r="CSS167" s="21"/>
      <c r="CST167" s="20"/>
      <c r="CSU167" s="20"/>
      <c r="CSV167" s="20"/>
      <c r="CSW167" s="20"/>
      <c r="CSX167" s="21"/>
      <c r="CSY167" s="21"/>
      <c r="CSZ167" s="7"/>
      <c r="CTA167" s="7"/>
      <c r="CTB167" s="21"/>
      <c r="CTC167" s="20"/>
      <c r="CTD167" s="20"/>
      <c r="CTE167" s="20"/>
      <c r="CTF167" s="21"/>
      <c r="CTG167" s="21"/>
      <c r="CTH167" s="21"/>
      <c r="CTI167" s="21"/>
      <c r="CTJ167" s="21"/>
      <c r="CTK167" s="20"/>
      <c r="CTL167" s="20"/>
      <c r="CTM167" s="20"/>
      <c r="CTN167" s="20"/>
      <c r="CTO167" s="21"/>
      <c r="CTP167" s="21"/>
      <c r="CTQ167" s="7"/>
      <c r="CTR167" s="7"/>
      <c r="CTS167" s="21"/>
      <c r="CTT167" s="20"/>
      <c r="CTU167" s="20"/>
      <c r="CTV167" s="20"/>
      <c r="CTW167" s="21"/>
      <c r="CTX167" s="21"/>
      <c r="CTY167" s="21"/>
      <c r="CTZ167" s="21"/>
      <c r="CUA167" s="21"/>
      <c r="CUB167" s="20"/>
      <c r="CUC167" s="20"/>
      <c r="CUD167" s="20"/>
      <c r="CUE167" s="20"/>
      <c r="CUF167" s="21"/>
      <c r="CUG167" s="21"/>
      <c r="CUH167" s="7"/>
      <c r="CUI167" s="7"/>
      <c r="CUJ167" s="21"/>
      <c r="CUK167" s="20"/>
      <c r="CUL167" s="20"/>
      <c r="CUM167" s="20"/>
      <c r="CUN167" s="21"/>
      <c r="CUO167" s="21"/>
      <c r="CUP167" s="21"/>
      <c r="CUQ167" s="21"/>
      <c r="CUR167" s="21"/>
      <c r="CUS167" s="20"/>
      <c r="CUT167" s="20"/>
      <c r="CUU167" s="20"/>
      <c r="CUV167" s="20"/>
      <c r="CUW167" s="21"/>
      <c r="CUX167" s="21"/>
      <c r="CUY167" s="7"/>
      <c r="CUZ167" s="7"/>
      <c r="CVA167" s="21"/>
      <c r="CVB167" s="20"/>
      <c r="CVC167" s="20"/>
      <c r="CVD167" s="20"/>
      <c r="CVE167" s="21"/>
      <c r="CVF167" s="21"/>
      <c r="CVG167" s="21"/>
      <c r="CVH167" s="21"/>
      <c r="CVI167" s="21"/>
      <c r="CVJ167" s="20"/>
      <c r="CVK167" s="20"/>
      <c r="CVL167" s="20"/>
      <c r="CVM167" s="20"/>
      <c r="CVN167" s="21"/>
      <c r="CVO167" s="21"/>
      <c r="CVP167" s="7"/>
      <c r="CVQ167" s="7"/>
      <c r="CVR167" s="21"/>
      <c r="CVS167" s="20"/>
      <c r="CVT167" s="20"/>
      <c r="CVU167" s="20"/>
      <c r="CVV167" s="21"/>
      <c r="CVW167" s="21"/>
      <c r="CVX167" s="21"/>
      <c r="CVY167" s="21"/>
      <c r="CVZ167" s="21"/>
      <c r="CWA167" s="20"/>
      <c r="CWB167" s="20"/>
      <c r="CWC167" s="20"/>
      <c r="CWD167" s="20"/>
      <c r="CWE167" s="21"/>
      <c r="CWF167" s="21"/>
      <c r="CWG167" s="7"/>
      <c r="CWH167" s="7"/>
      <c r="CWI167" s="21"/>
      <c r="CWJ167" s="20"/>
      <c r="CWK167" s="20"/>
      <c r="CWL167" s="20"/>
      <c r="CWM167" s="21"/>
      <c r="CWN167" s="21"/>
      <c r="CWO167" s="21"/>
      <c r="CWP167" s="21"/>
      <c r="CWQ167" s="21"/>
      <c r="CWR167" s="20"/>
      <c r="CWS167" s="20"/>
      <c r="CWT167" s="20"/>
      <c r="CWU167" s="20"/>
      <c r="CWV167" s="21"/>
      <c r="CWW167" s="21"/>
      <c r="CWX167" s="7"/>
      <c r="CWY167" s="7"/>
      <c r="CWZ167" s="21"/>
      <c r="CXA167" s="20"/>
      <c r="CXB167" s="20"/>
      <c r="CXC167" s="20"/>
      <c r="CXD167" s="21"/>
      <c r="CXE167" s="21"/>
      <c r="CXF167" s="21"/>
      <c r="CXG167" s="21"/>
      <c r="CXH167" s="21"/>
      <c r="CXI167" s="20"/>
      <c r="CXJ167" s="20"/>
      <c r="CXK167" s="20"/>
      <c r="CXL167" s="20"/>
      <c r="CXM167" s="21"/>
      <c r="CXN167" s="21"/>
      <c r="CXO167" s="7"/>
      <c r="CXP167" s="7"/>
      <c r="CXQ167" s="21"/>
      <c r="CXR167" s="20"/>
      <c r="CXS167" s="20"/>
      <c r="CXT167" s="20"/>
      <c r="CXU167" s="21"/>
      <c r="CXV167" s="21"/>
      <c r="CXW167" s="21"/>
      <c r="CXX167" s="21"/>
      <c r="CXY167" s="21"/>
      <c r="CXZ167" s="20"/>
      <c r="CYA167" s="20"/>
      <c r="CYB167" s="20"/>
      <c r="CYC167" s="20"/>
      <c r="CYD167" s="21"/>
      <c r="CYE167" s="21"/>
      <c r="CYF167" s="7"/>
      <c r="CYG167" s="7"/>
      <c r="CYH167" s="21"/>
      <c r="CYI167" s="20"/>
      <c r="CYJ167" s="20"/>
      <c r="CYK167" s="20"/>
      <c r="CYL167" s="21"/>
      <c r="CYM167" s="21"/>
      <c r="CYN167" s="21"/>
      <c r="CYO167" s="21"/>
      <c r="CYP167" s="21"/>
      <c r="CYQ167" s="20"/>
      <c r="CYR167" s="20"/>
      <c r="CYS167" s="20"/>
      <c r="CYT167" s="20"/>
      <c r="CYU167" s="21"/>
      <c r="CYV167" s="21"/>
      <c r="CYW167" s="7"/>
      <c r="CYX167" s="7"/>
      <c r="CYY167" s="21"/>
      <c r="CYZ167" s="20"/>
      <c r="CZA167" s="20"/>
      <c r="CZB167" s="20"/>
      <c r="CZC167" s="21"/>
      <c r="CZD167" s="21"/>
      <c r="CZE167" s="21"/>
      <c r="CZF167" s="21"/>
      <c r="CZG167" s="21"/>
      <c r="CZH167" s="20"/>
      <c r="CZI167" s="20"/>
      <c r="CZJ167" s="20"/>
      <c r="CZK167" s="20"/>
      <c r="CZL167" s="21"/>
      <c r="CZM167" s="21"/>
      <c r="CZN167" s="7"/>
      <c r="CZO167" s="7"/>
      <c r="CZP167" s="21"/>
      <c r="CZQ167" s="20"/>
      <c r="CZR167" s="20"/>
      <c r="CZS167" s="20"/>
      <c r="CZT167" s="21"/>
      <c r="CZU167" s="21"/>
      <c r="CZV167" s="21"/>
      <c r="CZW167" s="21"/>
      <c r="CZX167" s="21"/>
      <c r="CZY167" s="20"/>
      <c r="CZZ167" s="20"/>
      <c r="DAA167" s="20"/>
      <c r="DAB167" s="20"/>
      <c r="DAC167" s="21"/>
      <c r="DAD167" s="21"/>
      <c r="DAE167" s="7"/>
      <c r="DAF167" s="7"/>
      <c r="DAG167" s="21"/>
      <c r="DAH167" s="20"/>
      <c r="DAI167" s="20"/>
      <c r="DAJ167" s="20"/>
      <c r="DAK167" s="21"/>
      <c r="DAL167" s="21"/>
      <c r="DAM167" s="21"/>
      <c r="DAN167" s="21"/>
      <c r="DAO167" s="21"/>
      <c r="DAP167" s="20"/>
      <c r="DAQ167" s="20"/>
      <c r="DAR167" s="20"/>
      <c r="DAS167" s="20"/>
      <c r="DAT167" s="21"/>
      <c r="DAU167" s="21"/>
      <c r="DAV167" s="7"/>
      <c r="DAW167" s="7"/>
      <c r="DAX167" s="21"/>
      <c r="DAY167" s="20"/>
      <c r="DAZ167" s="20"/>
      <c r="DBA167" s="20"/>
      <c r="DBB167" s="21"/>
      <c r="DBC167" s="21"/>
      <c r="DBD167" s="21"/>
      <c r="DBE167" s="21"/>
      <c r="DBF167" s="21"/>
      <c r="DBG167" s="20"/>
      <c r="DBH167" s="20"/>
      <c r="DBI167" s="20"/>
      <c r="DBJ167" s="20"/>
      <c r="DBK167" s="21"/>
      <c r="DBL167" s="21"/>
      <c r="DBM167" s="7"/>
      <c r="DBN167" s="7"/>
      <c r="DBO167" s="21"/>
      <c r="DBP167" s="20"/>
      <c r="DBQ167" s="20"/>
      <c r="DBR167" s="20"/>
      <c r="DBS167" s="21"/>
      <c r="DBT167" s="21"/>
      <c r="DBU167" s="21"/>
      <c r="DBV167" s="21"/>
      <c r="DBW167" s="21"/>
      <c r="DBX167" s="20"/>
      <c r="DBY167" s="20"/>
      <c r="DBZ167" s="20"/>
      <c r="DCA167" s="20"/>
      <c r="DCB167" s="21"/>
      <c r="DCC167" s="21"/>
      <c r="DCD167" s="7"/>
      <c r="DCE167" s="7"/>
      <c r="DCF167" s="21"/>
      <c r="DCG167" s="20"/>
      <c r="DCH167" s="20"/>
      <c r="DCI167" s="20"/>
      <c r="DCJ167" s="21"/>
      <c r="DCK167" s="21"/>
      <c r="DCL167" s="21"/>
      <c r="DCM167" s="21"/>
      <c r="DCN167" s="21"/>
      <c r="DCO167" s="20"/>
      <c r="DCP167" s="20"/>
      <c r="DCQ167" s="20"/>
      <c r="DCR167" s="20"/>
      <c r="DCS167" s="21"/>
      <c r="DCT167" s="21"/>
      <c r="DCU167" s="7"/>
      <c r="DCV167" s="7"/>
      <c r="DCW167" s="21"/>
      <c r="DCX167" s="20"/>
      <c r="DCY167" s="20"/>
      <c r="DCZ167" s="20"/>
      <c r="DDA167" s="21"/>
      <c r="DDB167" s="21"/>
      <c r="DDC167" s="21"/>
      <c r="DDD167" s="21"/>
      <c r="DDE167" s="21"/>
      <c r="DDF167" s="20"/>
      <c r="DDG167" s="20"/>
      <c r="DDH167" s="20"/>
      <c r="DDI167" s="20"/>
      <c r="DDJ167" s="21"/>
      <c r="DDK167" s="21"/>
      <c r="DDL167" s="7"/>
      <c r="DDM167" s="7"/>
      <c r="DDN167" s="21"/>
      <c r="DDO167" s="20"/>
      <c r="DDP167" s="20"/>
      <c r="DDQ167" s="20"/>
      <c r="DDR167" s="21"/>
      <c r="DDS167" s="21"/>
      <c r="DDT167" s="21"/>
      <c r="DDU167" s="21"/>
      <c r="DDV167" s="21"/>
      <c r="DDW167" s="20"/>
      <c r="DDX167" s="20"/>
      <c r="DDY167" s="20"/>
      <c r="DDZ167" s="20"/>
      <c r="DEA167" s="21"/>
      <c r="DEB167" s="21"/>
      <c r="DEC167" s="7"/>
      <c r="DED167" s="7"/>
      <c r="DEE167" s="21"/>
      <c r="DEF167" s="20"/>
      <c r="DEG167" s="20"/>
      <c r="DEH167" s="20"/>
      <c r="DEI167" s="21"/>
      <c r="DEJ167" s="21"/>
      <c r="DEK167" s="21"/>
      <c r="DEL167" s="21"/>
      <c r="DEM167" s="21"/>
      <c r="DEN167" s="20"/>
      <c r="DEO167" s="20"/>
      <c r="DEP167" s="20"/>
      <c r="DEQ167" s="20"/>
      <c r="DER167" s="21"/>
      <c r="DES167" s="21"/>
      <c r="DET167" s="7"/>
      <c r="DEU167" s="7"/>
      <c r="DEV167" s="21"/>
      <c r="DEW167" s="20"/>
      <c r="DEX167" s="20"/>
      <c r="DEY167" s="20"/>
      <c r="DEZ167" s="21"/>
      <c r="DFA167" s="21"/>
      <c r="DFB167" s="21"/>
      <c r="DFC167" s="21"/>
      <c r="DFD167" s="21"/>
      <c r="DFE167" s="20"/>
      <c r="DFF167" s="20"/>
      <c r="DFG167" s="20"/>
      <c r="DFH167" s="20"/>
      <c r="DFI167" s="21"/>
      <c r="DFJ167" s="21"/>
      <c r="DFK167" s="7"/>
      <c r="DFL167" s="7"/>
      <c r="DFM167" s="21"/>
      <c r="DFN167" s="20"/>
      <c r="DFO167" s="20"/>
      <c r="DFP167" s="20"/>
      <c r="DFQ167" s="21"/>
      <c r="DFR167" s="21"/>
      <c r="DFS167" s="21"/>
      <c r="DFT167" s="21"/>
      <c r="DFU167" s="21"/>
      <c r="DFV167" s="20"/>
      <c r="DFW167" s="20"/>
      <c r="DFX167" s="20"/>
      <c r="DFY167" s="20"/>
      <c r="DFZ167" s="21"/>
      <c r="DGA167" s="21"/>
      <c r="DGB167" s="7"/>
      <c r="DGC167" s="7"/>
      <c r="DGD167" s="21"/>
      <c r="DGE167" s="20"/>
      <c r="DGF167" s="20"/>
      <c r="DGG167" s="20"/>
      <c r="DGH167" s="21"/>
      <c r="DGI167" s="21"/>
      <c r="DGJ167" s="21"/>
      <c r="DGK167" s="21"/>
      <c r="DGL167" s="21"/>
      <c r="DGM167" s="20"/>
      <c r="DGN167" s="20"/>
      <c r="DGO167" s="20"/>
      <c r="DGP167" s="20"/>
      <c r="DGQ167" s="21"/>
      <c r="DGR167" s="21"/>
      <c r="DGS167" s="7"/>
      <c r="DGT167" s="7"/>
      <c r="DGU167" s="21"/>
      <c r="DGV167" s="20"/>
      <c r="DGW167" s="20"/>
      <c r="DGX167" s="20"/>
      <c r="DGY167" s="21"/>
      <c r="DGZ167" s="21"/>
      <c r="DHA167" s="21"/>
      <c r="DHB167" s="21"/>
      <c r="DHC167" s="21"/>
      <c r="DHD167" s="20"/>
      <c r="DHE167" s="20"/>
      <c r="DHF167" s="20"/>
      <c r="DHG167" s="20"/>
      <c r="DHH167" s="21"/>
      <c r="DHI167" s="21"/>
      <c r="DHJ167" s="7"/>
      <c r="DHK167" s="7"/>
      <c r="DHL167" s="21"/>
      <c r="DHM167" s="20"/>
      <c r="DHN167" s="20"/>
      <c r="DHO167" s="20"/>
      <c r="DHP167" s="21"/>
      <c r="DHQ167" s="21"/>
      <c r="DHR167" s="21"/>
      <c r="DHS167" s="21"/>
      <c r="DHT167" s="21"/>
      <c r="DHU167" s="20"/>
      <c r="DHV167" s="20"/>
      <c r="DHW167" s="20"/>
      <c r="DHX167" s="20"/>
      <c r="DHY167" s="21"/>
      <c r="DHZ167" s="21"/>
      <c r="DIA167" s="7"/>
      <c r="DIB167" s="7"/>
      <c r="DIC167" s="21"/>
      <c r="DID167" s="20"/>
      <c r="DIE167" s="20"/>
      <c r="DIF167" s="20"/>
      <c r="DIG167" s="21"/>
      <c r="DIH167" s="21"/>
      <c r="DII167" s="21"/>
      <c r="DIJ167" s="21"/>
      <c r="DIK167" s="21"/>
      <c r="DIL167" s="20"/>
      <c r="DIM167" s="20"/>
      <c r="DIN167" s="20"/>
      <c r="DIO167" s="20"/>
      <c r="DIP167" s="21"/>
      <c r="DIQ167" s="21"/>
      <c r="DIR167" s="7"/>
      <c r="DIS167" s="7"/>
      <c r="DIT167" s="21"/>
      <c r="DIU167" s="20"/>
      <c r="DIV167" s="20"/>
      <c r="DIW167" s="20"/>
      <c r="DIX167" s="21"/>
      <c r="DIY167" s="21"/>
      <c r="DIZ167" s="21"/>
      <c r="DJA167" s="21"/>
      <c r="DJB167" s="21"/>
      <c r="DJC167" s="20"/>
      <c r="DJD167" s="20"/>
      <c r="DJE167" s="20"/>
      <c r="DJF167" s="20"/>
      <c r="DJG167" s="21"/>
      <c r="DJH167" s="21"/>
      <c r="DJI167" s="7"/>
      <c r="DJJ167" s="7"/>
      <c r="DJK167" s="21"/>
      <c r="DJL167" s="20"/>
      <c r="DJM167" s="20"/>
      <c r="DJN167" s="20"/>
      <c r="DJO167" s="21"/>
      <c r="DJP167" s="21"/>
      <c r="DJQ167" s="21"/>
      <c r="DJR167" s="21"/>
      <c r="DJS167" s="21"/>
      <c r="DJT167" s="20"/>
      <c r="DJU167" s="20"/>
      <c r="DJV167" s="20"/>
      <c r="DJW167" s="20"/>
      <c r="DJX167" s="21"/>
      <c r="DJY167" s="21"/>
      <c r="DJZ167" s="7"/>
      <c r="DKA167" s="7"/>
      <c r="DKB167" s="21"/>
      <c r="DKC167" s="20"/>
      <c r="DKD167" s="20"/>
      <c r="DKE167" s="20"/>
      <c r="DKF167" s="21"/>
      <c r="DKG167" s="21"/>
      <c r="DKH167" s="21"/>
      <c r="DKI167" s="21"/>
      <c r="DKJ167" s="21"/>
      <c r="DKK167" s="20"/>
      <c r="DKL167" s="20"/>
      <c r="DKM167" s="20"/>
      <c r="DKN167" s="20"/>
      <c r="DKO167" s="21"/>
      <c r="DKP167" s="21"/>
      <c r="DKQ167" s="7"/>
      <c r="DKR167" s="7"/>
      <c r="DKS167" s="21"/>
      <c r="DKT167" s="20"/>
      <c r="DKU167" s="20"/>
      <c r="DKV167" s="20"/>
      <c r="DKW167" s="21"/>
      <c r="DKX167" s="21"/>
      <c r="DKY167" s="21"/>
      <c r="DKZ167" s="21"/>
      <c r="DLA167" s="21"/>
      <c r="DLB167" s="20"/>
      <c r="DLC167" s="20"/>
      <c r="DLD167" s="20"/>
      <c r="DLE167" s="20"/>
      <c r="DLF167" s="21"/>
      <c r="DLG167" s="21"/>
      <c r="DLH167" s="7"/>
      <c r="DLI167" s="7"/>
      <c r="DLJ167" s="21"/>
      <c r="DLK167" s="20"/>
      <c r="DLL167" s="20"/>
      <c r="DLM167" s="20"/>
      <c r="DLN167" s="21"/>
      <c r="DLO167" s="21"/>
      <c r="DLP167" s="21"/>
      <c r="DLQ167" s="21"/>
      <c r="DLR167" s="21"/>
      <c r="DLS167" s="20"/>
      <c r="DLT167" s="20"/>
      <c r="DLU167" s="20"/>
      <c r="DLV167" s="20"/>
      <c r="DLW167" s="21"/>
      <c r="DLX167" s="21"/>
      <c r="DLY167" s="7"/>
      <c r="DLZ167" s="7"/>
      <c r="DMA167" s="21"/>
      <c r="DMB167" s="20"/>
      <c r="DMC167" s="20"/>
      <c r="DMD167" s="20"/>
      <c r="DME167" s="21"/>
      <c r="DMF167" s="21"/>
      <c r="DMG167" s="21"/>
      <c r="DMH167" s="21"/>
      <c r="DMI167" s="21"/>
      <c r="DMJ167" s="20"/>
      <c r="DMK167" s="20"/>
      <c r="DML167" s="20"/>
      <c r="DMM167" s="20"/>
      <c r="DMN167" s="21"/>
      <c r="DMO167" s="21"/>
      <c r="DMP167" s="7"/>
      <c r="DMQ167" s="7"/>
      <c r="DMR167" s="21"/>
      <c r="DMS167" s="20"/>
      <c r="DMT167" s="20"/>
      <c r="DMU167" s="20"/>
      <c r="DMV167" s="21"/>
      <c r="DMW167" s="21"/>
      <c r="DMX167" s="21"/>
      <c r="DMY167" s="21"/>
      <c r="DMZ167" s="21"/>
      <c r="DNA167" s="20"/>
      <c r="DNB167" s="20"/>
      <c r="DNC167" s="20"/>
      <c r="DND167" s="20"/>
      <c r="DNE167" s="21"/>
      <c r="DNF167" s="21"/>
      <c r="DNG167" s="7"/>
      <c r="DNH167" s="7"/>
      <c r="DNI167" s="21"/>
      <c r="DNJ167" s="20"/>
      <c r="DNK167" s="20"/>
      <c r="DNL167" s="20"/>
      <c r="DNM167" s="21"/>
      <c r="DNN167" s="21"/>
      <c r="DNO167" s="21"/>
      <c r="DNP167" s="21"/>
      <c r="DNQ167" s="21"/>
      <c r="DNR167" s="20"/>
      <c r="DNS167" s="20"/>
      <c r="DNT167" s="20"/>
      <c r="DNU167" s="20"/>
      <c r="DNV167" s="21"/>
      <c r="DNW167" s="21"/>
      <c r="DNX167" s="7"/>
      <c r="DNY167" s="7"/>
      <c r="DNZ167" s="21"/>
      <c r="DOA167" s="20"/>
      <c r="DOB167" s="20"/>
      <c r="DOC167" s="20"/>
      <c r="DOD167" s="21"/>
      <c r="DOE167" s="21"/>
      <c r="DOF167" s="21"/>
      <c r="DOG167" s="21"/>
      <c r="DOH167" s="21"/>
      <c r="DOI167" s="20"/>
      <c r="DOJ167" s="20"/>
      <c r="DOK167" s="20"/>
      <c r="DOL167" s="20"/>
      <c r="DOM167" s="21"/>
      <c r="DON167" s="21"/>
      <c r="DOO167" s="7"/>
      <c r="DOP167" s="7"/>
      <c r="DOQ167" s="21"/>
      <c r="DOR167" s="20"/>
      <c r="DOS167" s="20"/>
      <c r="DOT167" s="20"/>
      <c r="DOU167" s="21"/>
      <c r="DOV167" s="21"/>
      <c r="DOW167" s="21"/>
      <c r="DOX167" s="21"/>
      <c r="DOY167" s="21"/>
      <c r="DOZ167" s="20"/>
      <c r="DPA167" s="20"/>
      <c r="DPB167" s="20"/>
      <c r="DPC167" s="20"/>
      <c r="DPD167" s="21"/>
      <c r="DPE167" s="21"/>
      <c r="DPF167" s="7"/>
      <c r="DPG167" s="7"/>
      <c r="DPH167" s="21"/>
      <c r="DPI167" s="20"/>
      <c r="DPJ167" s="20"/>
      <c r="DPK167" s="20"/>
      <c r="DPL167" s="21"/>
      <c r="DPM167" s="21"/>
      <c r="DPN167" s="21"/>
      <c r="DPO167" s="21"/>
      <c r="DPP167" s="21"/>
      <c r="DPQ167" s="20"/>
      <c r="DPR167" s="20"/>
      <c r="DPS167" s="20"/>
      <c r="DPT167" s="20"/>
      <c r="DPU167" s="21"/>
      <c r="DPV167" s="21"/>
      <c r="DPW167" s="7"/>
      <c r="DPX167" s="7"/>
      <c r="DPY167" s="21"/>
      <c r="DPZ167" s="20"/>
      <c r="DQA167" s="20"/>
      <c r="DQB167" s="20"/>
      <c r="DQC167" s="21"/>
      <c r="DQD167" s="21"/>
      <c r="DQE167" s="21"/>
      <c r="DQF167" s="21"/>
      <c r="DQG167" s="21"/>
      <c r="DQH167" s="20"/>
      <c r="DQI167" s="20"/>
      <c r="DQJ167" s="20"/>
      <c r="DQK167" s="20"/>
      <c r="DQL167" s="21"/>
      <c r="DQM167" s="21"/>
      <c r="DQN167" s="7"/>
      <c r="DQO167" s="7"/>
      <c r="DQP167" s="21"/>
      <c r="DQQ167" s="20"/>
      <c r="DQR167" s="20"/>
      <c r="DQS167" s="20"/>
      <c r="DQT167" s="21"/>
      <c r="DQU167" s="21"/>
      <c r="DQV167" s="21"/>
      <c r="DQW167" s="21"/>
      <c r="DQX167" s="21"/>
      <c r="DQY167" s="20"/>
      <c r="DQZ167" s="20"/>
      <c r="DRA167" s="20"/>
      <c r="DRB167" s="20"/>
      <c r="DRC167" s="21"/>
      <c r="DRD167" s="21"/>
      <c r="DRE167" s="7"/>
      <c r="DRF167" s="7"/>
      <c r="DRG167" s="21"/>
      <c r="DRH167" s="20"/>
      <c r="DRI167" s="20"/>
      <c r="DRJ167" s="20"/>
      <c r="DRK167" s="21"/>
      <c r="DRL167" s="21"/>
      <c r="DRM167" s="21"/>
      <c r="DRN167" s="21"/>
      <c r="DRO167" s="21"/>
      <c r="DRP167" s="20"/>
      <c r="DRQ167" s="20"/>
      <c r="DRR167" s="20"/>
      <c r="DRS167" s="20"/>
      <c r="DRT167" s="21"/>
      <c r="DRU167" s="21"/>
      <c r="DRV167" s="7"/>
      <c r="DRW167" s="7"/>
      <c r="DRX167" s="21"/>
      <c r="DRY167" s="20"/>
      <c r="DRZ167" s="20"/>
      <c r="DSA167" s="20"/>
      <c r="DSB167" s="21"/>
      <c r="DSC167" s="21"/>
      <c r="DSD167" s="21"/>
      <c r="DSE167" s="21"/>
      <c r="DSF167" s="21"/>
      <c r="DSG167" s="20"/>
      <c r="DSH167" s="20"/>
      <c r="DSI167" s="20"/>
      <c r="DSJ167" s="20"/>
      <c r="DSK167" s="21"/>
      <c r="DSL167" s="21"/>
      <c r="DSM167" s="7"/>
      <c r="DSN167" s="7"/>
      <c r="DSO167" s="21"/>
      <c r="DSP167" s="20"/>
      <c r="DSQ167" s="20"/>
      <c r="DSR167" s="20"/>
      <c r="DSS167" s="21"/>
      <c r="DST167" s="21"/>
      <c r="DSU167" s="21"/>
      <c r="DSV167" s="21"/>
      <c r="DSW167" s="21"/>
      <c r="DSX167" s="20"/>
      <c r="DSY167" s="20"/>
      <c r="DSZ167" s="20"/>
      <c r="DTA167" s="20"/>
      <c r="DTB167" s="21"/>
      <c r="DTC167" s="21"/>
      <c r="DTD167" s="7"/>
      <c r="DTE167" s="7"/>
      <c r="DTF167" s="21"/>
      <c r="DTG167" s="20"/>
      <c r="DTH167" s="20"/>
      <c r="DTI167" s="20"/>
      <c r="DTJ167" s="21"/>
      <c r="DTK167" s="21"/>
      <c r="DTL167" s="21"/>
      <c r="DTM167" s="21"/>
      <c r="DTN167" s="21"/>
      <c r="DTO167" s="20"/>
      <c r="DTP167" s="20"/>
      <c r="DTQ167" s="20"/>
      <c r="DTR167" s="20"/>
      <c r="DTS167" s="21"/>
      <c r="DTT167" s="21"/>
      <c r="DTU167" s="7"/>
      <c r="DTV167" s="7"/>
      <c r="DTW167" s="21"/>
      <c r="DTX167" s="20"/>
      <c r="DTY167" s="20"/>
      <c r="DTZ167" s="20"/>
      <c r="DUA167" s="21"/>
      <c r="DUB167" s="21"/>
      <c r="DUC167" s="21"/>
      <c r="DUD167" s="21"/>
      <c r="DUE167" s="21"/>
      <c r="DUF167" s="20"/>
      <c r="DUG167" s="20"/>
      <c r="DUH167" s="20"/>
      <c r="DUI167" s="20"/>
      <c r="DUJ167" s="21"/>
      <c r="DUK167" s="21"/>
      <c r="DUL167" s="7"/>
      <c r="DUM167" s="7"/>
      <c r="DUN167" s="21"/>
      <c r="DUO167" s="20"/>
      <c r="DUP167" s="20"/>
      <c r="DUQ167" s="20"/>
      <c r="DUR167" s="21"/>
      <c r="DUS167" s="21"/>
      <c r="DUT167" s="21"/>
      <c r="DUU167" s="21"/>
      <c r="DUV167" s="21"/>
      <c r="DUW167" s="20"/>
      <c r="DUX167" s="20"/>
      <c r="DUY167" s="20"/>
      <c r="DUZ167" s="20"/>
      <c r="DVA167" s="21"/>
      <c r="DVB167" s="21"/>
      <c r="DVC167" s="7"/>
      <c r="DVD167" s="7"/>
      <c r="DVE167" s="21"/>
      <c r="DVF167" s="20"/>
      <c r="DVG167" s="20"/>
      <c r="DVH167" s="20"/>
      <c r="DVI167" s="21"/>
      <c r="DVJ167" s="21"/>
      <c r="DVK167" s="21"/>
      <c r="DVL167" s="21"/>
      <c r="DVM167" s="21"/>
      <c r="DVN167" s="20"/>
      <c r="DVO167" s="20"/>
      <c r="DVP167" s="20"/>
      <c r="DVQ167" s="20"/>
      <c r="DVR167" s="21"/>
      <c r="DVS167" s="21"/>
      <c r="DVT167" s="7"/>
      <c r="DVU167" s="7"/>
      <c r="DVV167" s="21"/>
      <c r="DVW167" s="20"/>
      <c r="DVX167" s="20"/>
      <c r="DVY167" s="20"/>
      <c r="DVZ167" s="21"/>
      <c r="DWA167" s="21"/>
      <c r="DWB167" s="21"/>
      <c r="DWC167" s="21"/>
      <c r="DWD167" s="21"/>
      <c r="DWE167" s="20"/>
      <c r="DWF167" s="20"/>
      <c r="DWG167" s="20"/>
      <c r="DWH167" s="20"/>
      <c r="DWI167" s="21"/>
      <c r="DWJ167" s="21"/>
      <c r="DWK167" s="7"/>
      <c r="DWL167" s="7"/>
      <c r="DWM167" s="21"/>
      <c r="DWN167" s="20"/>
      <c r="DWO167" s="20"/>
      <c r="DWP167" s="20"/>
      <c r="DWQ167" s="21"/>
      <c r="DWR167" s="21"/>
      <c r="DWS167" s="21"/>
      <c r="DWT167" s="21"/>
      <c r="DWU167" s="21"/>
      <c r="DWV167" s="20"/>
      <c r="DWW167" s="20"/>
      <c r="DWX167" s="20"/>
      <c r="DWY167" s="20"/>
      <c r="DWZ167" s="21"/>
      <c r="DXA167" s="21"/>
      <c r="DXB167" s="7"/>
      <c r="DXC167" s="7"/>
      <c r="DXD167" s="21"/>
      <c r="DXE167" s="20"/>
      <c r="DXF167" s="20"/>
      <c r="DXG167" s="20"/>
      <c r="DXH167" s="21"/>
      <c r="DXI167" s="21"/>
      <c r="DXJ167" s="21"/>
      <c r="DXK167" s="21"/>
      <c r="DXL167" s="21"/>
      <c r="DXM167" s="20"/>
      <c r="DXN167" s="20"/>
      <c r="DXO167" s="20"/>
      <c r="DXP167" s="20"/>
      <c r="DXQ167" s="21"/>
      <c r="DXR167" s="21"/>
      <c r="DXS167" s="7"/>
      <c r="DXT167" s="7"/>
      <c r="DXU167" s="21"/>
      <c r="DXV167" s="20"/>
      <c r="DXW167" s="20"/>
      <c r="DXX167" s="20"/>
      <c r="DXY167" s="21"/>
      <c r="DXZ167" s="21"/>
      <c r="DYA167" s="21"/>
      <c r="DYB167" s="21"/>
      <c r="DYC167" s="21"/>
      <c r="DYD167" s="20"/>
      <c r="DYE167" s="20"/>
      <c r="DYF167" s="20"/>
      <c r="DYG167" s="20"/>
      <c r="DYH167" s="21"/>
      <c r="DYI167" s="21"/>
      <c r="DYJ167" s="7"/>
      <c r="DYK167" s="7"/>
      <c r="DYL167" s="21"/>
      <c r="DYM167" s="20"/>
      <c r="DYN167" s="20"/>
      <c r="DYO167" s="20"/>
      <c r="DYP167" s="21"/>
      <c r="DYQ167" s="21"/>
      <c r="DYR167" s="21"/>
      <c r="DYS167" s="21"/>
      <c r="DYT167" s="21"/>
      <c r="DYU167" s="20"/>
      <c r="DYV167" s="20"/>
      <c r="DYW167" s="20"/>
      <c r="DYX167" s="20"/>
      <c r="DYY167" s="21"/>
      <c r="DYZ167" s="21"/>
      <c r="DZA167" s="7"/>
      <c r="DZB167" s="7"/>
      <c r="DZC167" s="21"/>
      <c r="DZD167" s="20"/>
      <c r="DZE167" s="20"/>
      <c r="DZF167" s="20"/>
      <c r="DZG167" s="21"/>
      <c r="DZH167" s="21"/>
      <c r="DZI167" s="21"/>
      <c r="DZJ167" s="21"/>
      <c r="DZK167" s="21"/>
      <c r="DZL167" s="20"/>
      <c r="DZM167" s="20"/>
      <c r="DZN167" s="20"/>
      <c r="DZO167" s="20"/>
      <c r="DZP167" s="21"/>
      <c r="DZQ167" s="21"/>
      <c r="DZR167" s="7"/>
      <c r="DZS167" s="7"/>
      <c r="DZT167" s="21"/>
      <c r="DZU167" s="20"/>
      <c r="DZV167" s="20"/>
      <c r="DZW167" s="20"/>
      <c r="DZX167" s="21"/>
      <c r="DZY167" s="21"/>
      <c r="DZZ167" s="21"/>
      <c r="EAA167" s="21"/>
      <c r="EAB167" s="21"/>
      <c r="EAC167" s="20"/>
      <c r="EAD167" s="20"/>
      <c r="EAE167" s="20"/>
      <c r="EAF167" s="20"/>
      <c r="EAG167" s="21"/>
      <c r="EAH167" s="21"/>
      <c r="EAI167" s="7"/>
      <c r="EAJ167" s="7"/>
      <c r="EAK167" s="21"/>
      <c r="EAL167" s="20"/>
      <c r="EAM167" s="20"/>
      <c r="EAN167" s="20"/>
      <c r="EAO167" s="21"/>
      <c r="EAP167" s="21"/>
      <c r="EAQ167" s="21"/>
      <c r="EAR167" s="21"/>
      <c r="EAS167" s="21"/>
      <c r="EAT167" s="20"/>
      <c r="EAU167" s="20"/>
      <c r="EAV167" s="20"/>
      <c r="EAW167" s="20"/>
      <c r="EAX167" s="21"/>
      <c r="EAY167" s="21"/>
      <c r="EAZ167" s="7"/>
      <c r="EBA167" s="7"/>
      <c r="EBB167" s="21"/>
      <c r="EBC167" s="20"/>
      <c r="EBD167" s="20"/>
      <c r="EBE167" s="20"/>
      <c r="EBF167" s="21"/>
      <c r="EBG167" s="21"/>
      <c r="EBH167" s="21"/>
      <c r="EBI167" s="21"/>
      <c r="EBJ167" s="21"/>
      <c r="EBK167" s="20"/>
      <c r="EBL167" s="20"/>
      <c r="EBM167" s="20"/>
      <c r="EBN167" s="20"/>
      <c r="EBO167" s="21"/>
      <c r="EBP167" s="21"/>
      <c r="EBQ167" s="7"/>
      <c r="EBR167" s="7"/>
      <c r="EBS167" s="21"/>
      <c r="EBT167" s="20"/>
      <c r="EBU167" s="20"/>
      <c r="EBV167" s="20"/>
      <c r="EBW167" s="21"/>
      <c r="EBX167" s="21"/>
      <c r="EBY167" s="21"/>
      <c r="EBZ167" s="21"/>
      <c r="ECA167" s="21"/>
      <c r="ECB167" s="20"/>
      <c r="ECC167" s="20"/>
      <c r="ECD167" s="20"/>
      <c r="ECE167" s="20"/>
      <c r="ECF167" s="21"/>
      <c r="ECG167" s="21"/>
      <c r="ECH167" s="7"/>
      <c r="ECI167" s="7"/>
      <c r="ECJ167" s="21"/>
      <c r="ECK167" s="20"/>
      <c r="ECL167" s="20"/>
      <c r="ECM167" s="20"/>
      <c r="ECN167" s="21"/>
      <c r="ECO167" s="21"/>
      <c r="ECP167" s="21"/>
      <c r="ECQ167" s="21"/>
      <c r="ECR167" s="21"/>
      <c r="ECS167" s="20"/>
      <c r="ECT167" s="20"/>
      <c r="ECU167" s="20"/>
      <c r="ECV167" s="20"/>
      <c r="ECW167" s="21"/>
      <c r="ECX167" s="21"/>
      <c r="ECY167" s="7"/>
      <c r="ECZ167" s="7"/>
      <c r="EDA167" s="21"/>
      <c r="EDB167" s="20"/>
      <c r="EDC167" s="20"/>
      <c r="EDD167" s="20"/>
      <c r="EDE167" s="21"/>
      <c r="EDF167" s="21"/>
      <c r="EDG167" s="21"/>
      <c r="EDH167" s="21"/>
      <c r="EDI167" s="21"/>
      <c r="EDJ167" s="20"/>
      <c r="EDK167" s="20"/>
      <c r="EDL167" s="20"/>
      <c r="EDM167" s="20"/>
      <c r="EDN167" s="21"/>
      <c r="EDO167" s="21"/>
      <c r="EDP167" s="7"/>
      <c r="EDQ167" s="7"/>
      <c r="EDR167" s="21"/>
      <c r="EDS167" s="20"/>
      <c r="EDT167" s="20"/>
      <c r="EDU167" s="20"/>
      <c r="EDV167" s="21"/>
      <c r="EDW167" s="21"/>
      <c r="EDX167" s="21"/>
      <c r="EDY167" s="21"/>
      <c r="EDZ167" s="21"/>
      <c r="EEA167" s="20"/>
      <c r="EEB167" s="20"/>
      <c r="EEC167" s="20"/>
      <c r="EED167" s="20"/>
      <c r="EEE167" s="21"/>
      <c r="EEF167" s="21"/>
      <c r="EEG167" s="7"/>
      <c r="EEH167" s="7"/>
      <c r="EEI167" s="21"/>
      <c r="EEJ167" s="20"/>
      <c r="EEK167" s="20"/>
      <c r="EEL167" s="20"/>
      <c r="EEM167" s="21"/>
      <c r="EEN167" s="21"/>
      <c r="EEO167" s="21"/>
      <c r="EEP167" s="21"/>
      <c r="EEQ167" s="21"/>
      <c r="EER167" s="20"/>
      <c r="EES167" s="20"/>
      <c r="EET167" s="20"/>
      <c r="EEU167" s="20"/>
      <c r="EEV167" s="21"/>
      <c r="EEW167" s="21"/>
      <c r="EEX167" s="7"/>
      <c r="EEY167" s="7"/>
      <c r="EEZ167" s="21"/>
      <c r="EFA167" s="20"/>
      <c r="EFB167" s="20"/>
      <c r="EFC167" s="20"/>
      <c r="EFD167" s="21"/>
      <c r="EFE167" s="21"/>
      <c r="EFF167" s="21"/>
      <c r="EFG167" s="21"/>
      <c r="EFH167" s="21"/>
      <c r="EFI167" s="20"/>
      <c r="EFJ167" s="20"/>
      <c r="EFK167" s="20"/>
      <c r="EFL167" s="20"/>
      <c r="EFM167" s="21"/>
      <c r="EFN167" s="21"/>
      <c r="EFO167" s="7"/>
      <c r="EFP167" s="7"/>
      <c r="EFQ167" s="21"/>
      <c r="EFR167" s="20"/>
      <c r="EFS167" s="20"/>
      <c r="EFT167" s="20"/>
      <c r="EFU167" s="21"/>
      <c r="EFV167" s="21"/>
      <c r="EFW167" s="21"/>
      <c r="EFX167" s="21"/>
      <c r="EFY167" s="21"/>
      <c r="EFZ167" s="20"/>
      <c r="EGA167" s="20"/>
      <c r="EGB167" s="20"/>
      <c r="EGC167" s="20"/>
      <c r="EGD167" s="21"/>
      <c r="EGE167" s="21"/>
      <c r="EGF167" s="7"/>
      <c r="EGG167" s="7"/>
      <c r="EGH167" s="21"/>
      <c r="EGI167" s="20"/>
      <c r="EGJ167" s="20"/>
      <c r="EGK167" s="20"/>
      <c r="EGL167" s="21"/>
      <c r="EGM167" s="21"/>
      <c r="EGN167" s="21"/>
      <c r="EGO167" s="21"/>
      <c r="EGP167" s="21"/>
      <c r="EGQ167" s="20"/>
      <c r="EGR167" s="20"/>
      <c r="EGS167" s="20"/>
      <c r="EGT167" s="20"/>
      <c r="EGU167" s="21"/>
      <c r="EGV167" s="21"/>
      <c r="EGW167" s="7"/>
      <c r="EGX167" s="7"/>
      <c r="EGY167" s="21"/>
      <c r="EGZ167" s="20"/>
      <c r="EHA167" s="20"/>
      <c r="EHB167" s="20"/>
      <c r="EHC167" s="21"/>
      <c r="EHD167" s="21"/>
      <c r="EHE167" s="21"/>
      <c r="EHF167" s="21"/>
      <c r="EHG167" s="21"/>
      <c r="EHH167" s="20"/>
      <c r="EHI167" s="20"/>
      <c r="EHJ167" s="20"/>
      <c r="EHK167" s="20"/>
      <c r="EHL167" s="21"/>
      <c r="EHM167" s="21"/>
      <c r="EHN167" s="7"/>
      <c r="EHO167" s="7"/>
      <c r="EHP167" s="21"/>
      <c r="EHQ167" s="20"/>
      <c r="EHR167" s="20"/>
      <c r="EHS167" s="20"/>
      <c r="EHT167" s="21"/>
      <c r="EHU167" s="21"/>
      <c r="EHV167" s="21"/>
      <c r="EHW167" s="21"/>
      <c r="EHX167" s="21"/>
      <c r="EHY167" s="20"/>
      <c r="EHZ167" s="20"/>
      <c r="EIA167" s="20"/>
      <c r="EIB167" s="20"/>
      <c r="EIC167" s="21"/>
      <c r="EID167" s="21"/>
      <c r="EIE167" s="7"/>
      <c r="EIF167" s="7"/>
      <c r="EIG167" s="21"/>
      <c r="EIH167" s="20"/>
      <c r="EII167" s="20"/>
      <c r="EIJ167" s="20"/>
      <c r="EIK167" s="21"/>
      <c r="EIL167" s="21"/>
      <c r="EIM167" s="21"/>
      <c r="EIN167" s="21"/>
      <c r="EIO167" s="21"/>
      <c r="EIP167" s="20"/>
      <c r="EIQ167" s="20"/>
      <c r="EIR167" s="20"/>
      <c r="EIS167" s="20"/>
      <c r="EIT167" s="21"/>
      <c r="EIU167" s="21"/>
      <c r="EIV167" s="7"/>
      <c r="EIW167" s="7"/>
      <c r="EIX167" s="21"/>
      <c r="EIY167" s="20"/>
      <c r="EIZ167" s="20"/>
      <c r="EJA167" s="20"/>
      <c r="EJB167" s="21"/>
      <c r="EJC167" s="21"/>
      <c r="EJD167" s="21"/>
      <c r="EJE167" s="21"/>
      <c r="EJF167" s="21"/>
      <c r="EJG167" s="20"/>
      <c r="EJH167" s="20"/>
      <c r="EJI167" s="20"/>
      <c r="EJJ167" s="20"/>
      <c r="EJK167" s="21"/>
      <c r="EJL167" s="21"/>
      <c r="EJM167" s="7"/>
      <c r="EJN167" s="7"/>
      <c r="EJO167" s="21"/>
      <c r="EJP167" s="20"/>
      <c r="EJQ167" s="20"/>
      <c r="EJR167" s="20"/>
      <c r="EJS167" s="21"/>
      <c r="EJT167" s="21"/>
      <c r="EJU167" s="21"/>
      <c r="EJV167" s="21"/>
      <c r="EJW167" s="21"/>
      <c r="EJX167" s="20"/>
      <c r="EJY167" s="20"/>
      <c r="EJZ167" s="20"/>
      <c r="EKA167" s="20"/>
      <c r="EKB167" s="21"/>
      <c r="EKC167" s="21"/>
      <c r="EKD167" s="7"/>
      <c r="EKE167" s="7"/>
      <c r="EKF167" s="21"/>
      <c r="EKG167" s="20"/>
      <c r="EKH167" s="20"/>
      <c r="EKI167" s="20"/>
      <c r="EKJ167" s="21"/>
      <c r="EKK167" s="21"/>
      <c r="EKL167" s="21"/>
      <c r="EKM167" s="21"/>
      <c r="EKN167" s="21"/>
      <c r="EKO167" s="20"/>
      <c r="EKP167" s="20"/>
      <c r="EKQ167" s="20"/>
      <c r="EKR167" s="20"/>
      <c r="EKS167" s="21"/>
      <c r="EKT167" s="21"/>
      <c r="EKU167" s="7"/>
      <c r="EKV167" s="7"/>
      <c r="EKW167" s="21"/>
      <c r="EKX167" s="20"/>
      <c r="EKY167" s="20"/>
      <c r="EKZ167" s="20"/>
      <c r="ELA167" s="21"/>
      <c r="ELB167" s="21"/>
      <c r="ELC167" s="21"/>
      <c r="ELD167" s="21"/>
      <c r="ELE167" s="21"/>
      <c r="ELF167" s="20"/>
      <c r="ELG167" s="20"/>
      <c r="ELH167" s="20"/>
      <c r="ELI167" s="20"/>
      <c r="ELJ167" s="21"/>
      <c r="ELK167" s="21"/>
      <c r="ELL167" s="7"/>
      <c r="ELM167" s="7"/>
      <c r="ELN167" s="21"/>
      <c r="ELO167" s="20"/>
      <c r="ELP167" s="20"/>
      <c r="ELQ167" s="20"/>
      <c r="ELR167" s="21"/>
      <c r="ELS167" s="21"/>
      <c r="ELT167" s="21"/>
      <c r="ELU167" s="21"/>
      <c r="ELV167" s="21"/>
      <c r="ELW167" s="20"/>
      <c r="ELX167" s="20"/>
      <c r="ELY167" s="20"/>
      <c r="ELZ167" s="20"/>
      <c r="EMA167" s="21"/>
      <c r="EMB167" s="21"/>
      <c r="EMC167" s="7"/>
      <c r="EMD167" s="7"/>
      <c r="EME167" s="21"/>
      <c r="EMF167" s="20"/>
      <c r="EMG167" s="20"/>
      <c r="EMH167" s="20"/>
      <c r="EMI167" s="21"/>
      <c r="EMJ167" s="21"/>
      <c r="EMK167" s="21"/>
      <c r="EML167" s="21"/>
      <c r="EMM167" s="21"/>
      <c r="EMN167" s="20"/>
      <c r="EMO167" s="20"/>
      <c r="EMP167" s="20"/>
      <c r="EMQ167" s="20"/>
      <c r="EMR167" s="21"/>
      <c r="EMS167" s="21"/>
      <c r="EMT167" s="7"/>
      <c r="EMU167" s="7"/>
      <c r="EMV167" s="21"/>
      <c r="EMW167" s="20"/>
      <c r="EMX167" s="20"/>
      <c r="EMY167" s="20"/>
      <c r="EMZ167" s="21"/>
      <c r="ENA167" s="21"/>
      <c r="ENB167" s="21"/>
      <c r="ENC167" s="21"/>
      <c r="END167" s="21"/>
      <c r="ENE167" s="20"/>
      <c r="ENF167" s="20"/>
      <c r="ENG167" s="20"/>
      <c r="ENH167" s="20"/>
      <c r="ENI167" s="21"/>
      <c r="ENJ167" s="21"/>
      <c r="ENK167" s="7"/>
      <c r="ENL167" s="7"/>
      <c r="ENM167" s="21"/>
      <c r="ENN167" s="20"/>
      <c r="ENO167" s="20"/>
      <c r="ENP167" s="20"/>
      <c r="ENQ167" s="21"/>
      <c r="ENR167" s="21"/>
      <c r="ENS167" s="21"/>
      <c r="ENT167" s="21"/>
      <c r="ENU167" s="21"/>
      <c r="ENV167" s="20"/>
      <c r="ENW167" s="20"/>
      <c r="ENX167" s="20"/>
      <c r="ENY167" s="20"/>
      <c r="ENZ167" s="21"/>
      <c r="EOA167" s="21"/>
      <c r="EOB167" s="7"/>
      <c r="EOC167" s="7"/>
      <c r="EOD167" s="21"/>
      <c r="EOE167" s="20"/>
      <c r="EOF167" s="20"/>
      <c r="EOG167" s="20"/>
      <c r="EOH167" s="21"/>
      <c r="EOI167" s="21"/>
      <c r="EOJ167" s="21"/>
      <c r="EOK167" s="21"/>
      <c r="EOL167" s="21"/>
      <c r="EOM167" s="20"/>
      <c r="EON167" s="20"/>
      <c r="EOO167" s="20"/>
      <c r="EOP167" s="20"/>
      <c r="EOQ167" s="21"/>
      <c r="EOR167" s="21"/>
      <c r="EOS167" s="7"/>
      <c r="EOT167" s="7"/>
      <c r="EOU167" s="21"/>
      <c r="EOV167" s="20"/>
      <c r="EOW167" s="20"/>
      <c r="EOX167" s="20"/>
      <c r="EOY167" s="21"/>
      <c r="EOZ167" s="21"/>
      <c r="EPA167" s="21"/>
      <c r="EPB167" s="21"/>
      <c r="EPC167" s="21"/>
      <c r="EPD167" s="20"/>
      <c r="EPE167" s="20"/>
      <c r="EPF167" s="20"/>
      <c r="EPG167" s="20"/>
      <c r="EPH167" s="21"/>
      <c r="EPI167" s="21"/>
      <c r="EPJ167" s="7"/>
      <c r="EPK167" s="7"/>
      <c r="EPL167" s="21"/>
      <c r="EPM167" s="20"/>
      <c r="EPN167" s="20"/>
      <c r="EPO167" s="20"/>
      <c r="EPP167" s="21"/>
      <c r="EPQ167" s="21"/>
      <c r="EPR167" s="21"/>
      <c r="EPS167" s="21"/>
      <c r="EPT167" s="21"/>
      <c r="EPU167" s="20"/>
      <c r="EPV167" s="20"/>
      <c r="EPW167" s="20"/>
      <c r="EPX167" s="20"/>
      <c r="EPY167" s="21"/>
      <c r="EPZ167" s="21"/>
      <c r="EQA167" s="7"/>
      <c r="EQB167" s="7"/>
      <c r="EQC167" s="21"/>
      <c r="EQD167" s="20"/>
      <c r="EQE167" s="20"/>
      <c r="EQF167" s="20"/>
      <c r="EQG167" s="21"/>
      <c r="EQH167" s="21"/>
      <c r="EQI167" s="21"/>
      <c r="EQJ167" s="21"/>
      <c r="EQK167" s="21"/>
      <c r="EQL167" s="20"/>
      <c r="EQM167" s="20"/>
      <c r="EQN167" s="20"/>
      <c r="EQO167" s="20"/>
      <c r="EQP167" s="21"/>
      <c r="EQQ167" s="21"/>
      <c r="EQR167" s="7"/>
      <c r="EQS167" s="7"/>
      <c r="EQT167" s="21"/>
      <c r="EQU167" s="20"/>
      <c r="EQV167" s="20"/>
      <c r="EQW167" s="20"/>
      <c r="EQX167" s="21"/>
      <c r="EQY167" s="21"/>
      <c r="EQZ167" s="21"/>
      <c r="ERA167" s="21"/>
      <c r="ERB167" s="21"/>
      <c r="ERC167" s="20"/>
      <c r="ERD167" s="20"/>
      <c r="ERE167" s="20"/>
      <c r="ERF167" s="20"/>
      <c r="ERG167" s="21"/>
      <c r="ERH167" s="21"/>
      <c r="ERI167" s="7"/>
      <c r="ERJ167" s="7"/>
      <c r="ERK167" s="21"/>
      <c r="ERL167" s="20"/>
      <c r="ERM167" s="20"/>
      <c r="ERN167" s="20"/>
      <c r="ERO167" s="21"/>
      <c r="ERP167" s="21"/>
      <c r="ERQ167" s="21"/>
      <c r="ERR167" s="21"/>
      <c r="ERS167" s="21"/>
      <c r="ERT167" s="20"/>
      <c r="ERU167" s="20"/>
      <c r="ERV167" s="20"/>
      <c r="ERW167" s="20"/>
      <c r="ERX167" s="21"/>
      <c r="ERY167" s="21"/>
      <c r="ERZ167" s="7"/>
      <c r="ESA167" s="7"/>
      <c r="ESB167" s="21"/>
      <c r="ESC167" s="20"/>
      <c r="ESD167" s="20"/>
      <c r="ESE167" s="20"/>
      <c r="ESF167" s="21"/>
      <c r="ESG167" s="21"/>
      <c r="ESH167" s="21"/>
      <c r="ESI167" s="21"/>
      <c r="ESJ167" s="21"/>
      <c r="ESK167" s="20"/>
      <c r="ESL167" s="20"/>
      <c r="ESM167" s="20"/>
      <c r="ESN167" s="20"/>
      <c r="ESO167" s="21"/>
      <c r="ESP167" s="21"/>
      <c r="ESQ167" s="7"/>
      <c r="ESR167" s="7"/>
      <c r="ESS167" s="21"/>
      <c r="EST167" s="20"/>
      <c r="ESU167" s="20"/>
      <c r="ESV167" s="20"/>
      <c r="ESW167" s="21"/>
      <c r="ESX167" s="21"/>
      <c r="ESY167" s="21"/>
      <c r="ESZ167" s="21"/>
      <c r="ETA167" s="21"/>
      <c r="ETB167" s="20"/>
      <c r="ETC167" s="20"/>
      <c r="ETD167" s="20"/>
      <c r="ETE167" s="20"/>
      <c r="ETF167" s="21"/>
      <c r="ETG167" s="21"/>
      <c r="ETH167" s="7"/>
      <c r="ETI167" s="7"/>
      <c r="ETJ167" s="21"/>
      <c r="ETK167" s="20"/>
      <c r="ETL167" s="20"/>
      <c r="ETM167" s="20"/>
      <c r="ETN167" s="21"/>
      <c r="ETO167" s="21"/>
      <c r="ETP167" s="21"/>
      <c r="ETQ167" s="21"/>
      <c r="ETR167" s="21"/>
      <c r="ETS167" s="20"/>
      <c r="ETT167" s="20"/>
      <c r="ETU167" s="20"/>
      <c r="ETV167" s="20"/>
      <c r="ETW167" s="21"/>
      <c r="ETX167" s="21"/>
      <c r="ETY167" s="7"/>
      <c r="ETZ167" s="7"/>
      <c r="EUA167" s="21"/>
      <c r="EUB167" s="20"/>
      <c r="EUC167" s="20"/>
      <c r="EUD167" s="20"/>
      <c r="EUE167" s="21"/>
      <c r="EUF167" s="21"/>
      <c r="EUG167" s="21"/>
      <c r="EUH167" s="21"/>
      <c r="EUI167" s="21"/>
      <c r="EUJ167" s="20"/>
      <c r="EUK167" s="20"/>
      <c r="EUL167" s="20"/>
      <c r="EUM167" s="20"/>
      <c r="EUN167" s="21"/>
      <c r="EUO167" s="21"/>
      <c r="EUP167" s="7"/>
      <c r="EUQ167" s="7"/>
      <c r="EUR167" s="21"/>
      <c r="EUS167" s="20"/>
      <c r="EUT167" s="20"/>
      <c r="EUU167" s="20"/>
      <c r="EUV167" s="21"/>
      <c r="EUW167" s="21"/>
      <c r="EUX167" s="21"/>
      <c r="EUY167" s="21"/>
      <c r="EUZ167" s="21"/>
      <c r="EVA167" s="20"/>
      <c r="EVB167" s="20"/>
      <c r="EVC167" s="20"/>
      <c r="EVD167" s="20"/>
      <c r="EVE167" s="21"/>
      <c r="EVF167" s="21"/>
      <c r="EVG167" s="7"/>
      <c r="EVH167" s="7"/>
      <c r="EVI167" s="21"/>
      <c r="EVJ167" s="20"/>
      <c r="EVK167" s="20"/>
      <c r="EVL167" s="20"/>
      <c r="EVM167" s="21"/>
      <c r="EVN167" s="21"/>
      <c r="EVO167" s="21"/>
      <c r="EVP167" s="21"/>
      <c r="EVQ167" s="21"/>
      <c r="EVR167" s="20"/>
      <c r="EVS167" s="20"/>
      <c r="EVT167" s="20"/>
      <c r="EVU167" s="20"/>
      <c r="EVV167" s="21"/>
      <c r="EVW167" s="21"/>
      <c r="EVX167" s="7"/>
      <c r="EVY167" s="7"/>
      <c r="EVZ167" s="21"/>
      <c r="EWA167" s="20"/>
      <c r="EWB167" s="20"/>
      <c r="EWC167" s="20"/>
      <c r="EWD167" s="21"/>
      <c r="EWE167" s="21"/>
      <c r="EWF167" s="21"/>
      <c r="EWG167" s="21"/>
      <c r="EWH167" s="21"/>
      <c r="EWI167" s="20"/>
      <c r="EWJ167" s="20"/>
      <c r="EWK167" s="20"/>
      <c r="EWL167" s="20"/>
      <c r="EWM167" s="21"/>
      <c r="EWN167" s="21"/>
      <c r="EWO167" s="7"/>
      <c r="EWP167" s="7"/>
      <c r="EWQ167" s="21"/>
      <c r="EWR167" s="20"/>
      <c r="EWS167" s="20"/>
      <c r="EWT167" s="20"/>
      <c r="EWU167" s="21"/>
      <c r="EWV167" s="21"/>
      <c r="EWW167" s="21"/>
      <c r="EWX167" s="21"/>
      <c r="EWY167" s="21"/>
      <c r="EWZ167" s="20"/>
      <c r="EXA167" s="20"/>
      <c r="EXB167" s="20"/>
      <c r="EXC167" s="20"/>
      <c r="EXD167" s="21"/>
      <c r="EXE167" s="21"/>
      <c r="EXF167" s="7"/>
      <c r="EXG167" s="7"/>
      <c r="EXH167" s="21"/>
      <c r="EXI167" s="20"/>
      <c r="EXJ167" s="20"/>
      <c r="EXK167" s="20"/>
      <c r="EXL167" s="21"/>
      <c r="EXM167" s="21"/>
      <c r="EXN167" s="21"/>
      <c r="EXO167" s="21"/>
      <c r="EXP167" s="21"/>
      <c r="EXQ167" s="20"/>
      <c r="EXR167" s="20"/>
      <c r="EXS167" s="20"/>
      <c r="EXT167" s="20"/>
      <c r="EXU167" s="21"/>
      <c r="EXV167" s="21"/>
      <c r="EXW167" s="7"/>
      <c r="EXX167" s="7"/>
      <c r="EXY167" s="21"/>
      <c r="EXZ167" s="20"/>
      <c r="EYA167" s="20"/>
      <c r="EYB167" s="20"/>
      <c r="EYC167" s="21"/>
      <c r="EYD167" s="21"/>
      <c r="EYE167" s="21"/>
      <c r="EYF167" s="21"/>
      <c r="EYG167" s="21"/>
      <c r="EYH167" s="20"/>
      <c r="EYI167" s="20"/>
      <c r="EYJ167" s="20"/>
      <c r="EYK167" s="20"/>
      <c r="EYL167" s="21"/>
      <c r="EYM167" s="21"/>
      <c r="EYN167" s="7"/>
      <c r="EYO167" s="7"/>
      <c r="EYP167" s="21"/>
      <c r="EYQ167" s="20"/>
      <c r="EYR167" s="20"/>
      <c r="EYS167" s="20"/>
      <c r="EYT167" s="21"/>
      <c r="EYU167" s="21"/>
      <c r="EYV167" s="21"/>
      <c r="EYW167" s="21"/>
      <c r="EYX167" s="21"/>
      <c r="EYY167" s="20"/>
      <c r="EYZ167" s="20"/>
      <c r="EZA167" s="20"/>
      <c r="EZB167" s="20"/>
      <c r="EZC167" s="21"/>
      <c r="EZD167" s="21"/>
      <c r="EZE167" s="7"/>
      <c r="EZF167" s="7"/>
      <c r="EZG167" s="21"/>
      <c r="EZH167" s="20"/>
      <c r="EZI167" s="20"/>
      <c r="EZJ167" s="20"/>
      <c r="EZK167" s="21"/>
      <c r="EZL167" s="21"/>
      <c r="EZM167" s="21"/>
      <c r="EZN167" s="21"/>
      <c r="EZO167" s="21"/>
      <c r="EZP167" s="20"/>
      <c r="EZQ167" s="20"/>
      <c r="EZR167" s="20"/>
      <c r="EZS167" s="20"/>
      <c r="EZT167" s="21"/>
      <c r="EZU167" s="21"/>
      <c r="EZV167" s="7"/>
      <c r="EZW167" s="7"/>
      <c r="EZX167" s="21"/>
      <c r="EZY167" s="20"/>
      <c r="EZZ167" s="20"/>
      <c r="FAA167" s="20"/>
      <c r="FAB167" s="21"/>
      <c r="FAC167" s="21"/>
      <c r="FAD167" s="21"/>
      <c r="FAE167" s="21"/>
      <c r="FAF167" s="21"/>
      <c r="FAG167" s="20"/>
      <c r="FAH167" s="20"/>
      <c r="FAI167" s="20"/>
      <c r="FAJ167" s="20"/>
      <c r="FAK167" s="21"/>
      <c r="FAL167" s="21"/>
      <c r="FAM167" s="7"/>
      <c r="FAN167" s="7"/>
      <c r="FAO167" s="21"/>
      <c r="FAP167" s="20"/>
      <c r="FAQ167" s="20"/>
      <c r="FAR167" s="20"/>
      <c r="FAS167" s="21"/>
      <c r="FAT167" s="21"/>
      <c r="FAU167" s="21"/>
      <c r="FAV167" s="21"/>
      <c r="FAW167" s="21"/>
      <c r="FAX167" s="20"/>
      <c r="FAY167" s="20"/>
      <c r="FAZ167" s="20"/>
      <c r="FBA167" s="20"/>
      <c r="FBB167" s="21"/>
      <c r="FBC167" s="21"/>
      <c r="FBD167" s="7"/>
      <c r="FBE167" s="7"/>
      <c r="FBF167" s="21"/>
      <c r="FBG167" s="20"/>
      <c r="FBH167" s="20"/>
      <c r="FBI167" s="20"/>
      <c r="FBJ167" s="21"/>
      <c r="FBK167" s="21"/>
      <c r="FBL167" s="21"/>
      <c r="FBM167" s="21"/>
      <c r="FBN167" s="21"/>
      <c r="FBO167" s="20"/>
      <c r="FBP167" s="20"/>
      <c r="FBQ167" s="20"/>
      <c r="FBR167" s="20"/>
      <c r="FBS167" s="21"/>
      <c r="FBT167" s="21"/>
      <c r="FBU167" s="7"/>
      <c r="FBV167" s="7"/>
      <c r="FBW167" s="21"/>
      <c r="FBX167" s="20"/>
      <c r="FBY167" s="20"/>
      <c r="FBZ167" s="20"/>
      <c r="FCA167" s="21"/>
      <c r="FCB167" s="21"/>
      <c r="FCC167" s="21"/>
      <c r="FCD167" s="21"/>
      <c r="FCE167" s="21"/>
      <c r="FCF167" s="20"/>
      <c r="FCG167" s="20"/>
      <c r="FCH167" s="20"/>
      <c r="FCI167" s="20"/>
      <c r="FCJ167" s="21"/>
      <c r="FCK167" s="21"/>
      <c r="FCL167" s="7"/>
      <c r="FCM167" s="7"/>
      <c r="FCN167" s="21"/>
      <c r="FCO167" s="20"/>
      <c r="FCP167" s="20"/>
      <c r="FCQ167" s="20"/>
      <c r="FCR167" s="21"/>
      <c r="FCS167" s="21"/>
      <c r="FCT167" s="21"/>
      <c r="FCU167" s="21"/>
      <c r="FCV167" s="21"/>
      <c r="FCW167" s="20"/>
      <c r="FCX167" s="20"/>
      <c r="FCY167" s="20"/>
      <c r="FCZ167" s="20"/>
      <c r="FDA167" s="21"/>
      <c r="FDB167" s="21"/>
      <c r="FDC167" s="7"/>
      <c r="FDD167" s="7"/>
      <c r="FDE167" s="21"/>
      <c r="FDF167" s="20"/>
      <c r="FDG167" s="20"/>
      <c r="FDH167" s="20"/>
      <c r="FDI167" s="21"/>
      <c r="FDJ167" s="21"/>
      <c r="FDK167" s="21"/>
      <c r="FDL167" s="21"/>
      <c r="FDM167" s="21"/>
      <c r="FDN167" s="20"/>
      <c r="FDO167" s="20"/>
      <c r="FDP167" s="20"/>
      <c r="FDQ167" s="20"/>
      <c r="FDR167" s="21"/>
      <c r="FDS167" s="21"/>
      <c r="FDT167" s="7"/>
      <c r="FDU167" s="7"/>
      <c r="FDV167" s="21"/>
      <c r="FDW167" s="20"/>
      <c r="FDX167" s="20"/>
      <c r="FDY167" s="20"/>
      <c r="FDZ167" s="21"/>
      <c r="FEA167" s="21"/>
      <c r="FEB167" s="21"/>
      <c r="FEC167" s="21"/>
      <c r="FED167" s="21"/>
      <c r="FEE167" s="20"/>
      <c r="FEF167" s="20"/>
      <c r="FEG167" s="20"/>
      <c r="FEH167" s="20"/>
      <c r="FEI167" s="21"/>
      <c r="FEJ167" s="21"/>
      <c r="FEK167" s="7"/>
      <c r="FEL167" s="7"/>
      <c r="FEM167" s="21"/>
      <c r="FEN167" s="20"/>
      <c r="FEO167" s="20"/>
      <c r="FEP167" s="20"/>
      <c r="FEQ167" s="21"/>
      <c r="FER167" s="21"/>
      <c r="FES167" s="21"/>
      <c r="FET167" s="21"/>
      <c r="FEU167" s="21"/>
      <c r="FEV167" s="20"/>
      <c r="FEW167" s="20"/>
      <c r="FEX167" s="20"/>
      <c r="FEY167" s="20"/>
      <c r="FEZ167" s="21"/>
      <c r="FFA167" s="21"/>
      <c r="FFB167" s="7"/>
      <c r="FFC167" s="7"/>
      <c r="FFD167" s="21"/>
      <c r="FFE167" s="20"/>
      <c r="FFF167" s="20"/>
      <c r="FFG167" s="20"/>
      <c r="FFH167" s="21"/>
      <c r="FFI167" s="21"/>
      <c r="FFJ167" s="21"/>
      <c r="FFK167" s="21"/>
      <c r="FFL167" s="21"/>
      <c r="FFM167" s="20"/>
      <c r="FFN167" s="20"/>
      <c r="FFO167" s="20"/>
      <c r="FFP167" s="20"/>
      <c r="FFQ167" s="21"/>
      <c r="FFR167" s="21"/>
      <c r="FFS167" s="7"/>
      <c r="FFT167" s="7"/>
      <c r="FFU167" s="21"/>
      <c r="FFV167" s="20"/>
      <c r="FFW167" s="20"/>
      <c r="FFX167" s="20"/>
      <c r="FFY167" s="21"/>
      <c r="FFZ167" s="21"/>
      <c r="FGA167" s="21"/>
      <c r="FGB167" s="21"/>
      <c r="FGC167" s="21"/>
      <c r="FGD167" s="20"/>
      <c r="FGE167" s="20"/>
      <c r="FGF167" s="20"/>
      <c r="FGG167" s="20"/>
      <c r="FGH167" s="21"/>
      <c r="FGI167" s="21"/>
      <c r="FGJ167" s="7"/>
      <c r="FGK167" s="7"/>
      <c r="FGL167" s="21"/>
      <c r="FGM167" s="20"/>
      <c r="FGN167" s="20"/>
      <c r="FGO167" s="20"/>
      <c r="FGP167" s="21"/>
      <c r="FGQ167" s="21"/>
      <c r="FGR167" s="21"/>
      <c r="FGS167" s="21"/>
      <c r="FGT167" s="21"/>
      <c r="FGU167" s="20"/>
      <c r="FGV167" s="20"/>
      <c r="FGW167" s="20"/>
      <c r="FGX167" s="20"/>
      <c r="FGY167" s="21"/>
      <c r="FGZ167" s="21"/>
      <c r="FHA167" s="7"/>
      <c r="FHB167" s="7"/>
      <c r="FHC167" s="21"/>
      <c r="FHD167" s="20"/>
      <c r="FHE167" s="20"/>
      <c r="FHF167" s="20"/>
      <c r="FHG167" s="21"/>
      <c r="FHH167" s="21"/>
      <c r="FHI167" s="21"/>
      <c r="FHJ167" s="21"/>
      <c r="FHK167" s="21"/>
      <c r="FHL167" s="20"/>
      <c r="FHM167" s="20"/>
      <c r="FHN167" s="20"/>
      <c r="FHO167" s="20"/>
      <c r="FHP167" s="21"/>
      <c r="FHQ167" s="21"/>
      <c r="FHR167" s="7"/>
      <c r="FHS167" s="7"/>
      <c r="FHT167" s="21"/>
      <c r="FHU167" s="20"/>
      <c r="FHV167" s="20"/>
      <c r="FHW167" s="20"/>
      <c r="FHX167" s="21"/>
      <c r="FHY167" s="21"/>
      <c r="FHZ167" s="21"/>
      <c r="FIA167" s="21"/>
      <c r="FIB167" s="21"/>
      <c r="FIC167" s="20"/>
      <c r="FID167" s="20"/>
      <c r="FIE167" s="20"/>
      <c r="FIF167" s="20"/>
      <c r="FIG167" s="21"/>
      <c r="FIH167" s="21"/>
      <c r="FII167" s="7"/>
      <c r="FIJ167" s="7"/>
      <c r="FIK167" s="21"/>
      <c r="FIL167" s="20"/>
      <c r="FIM167" s="20"/>
      <c r="FIN167" s="20"/>
      <c r="FIO167" s="21"/>
      <c r="FIP167" s="21"/>
      <c r="FIQ167" s="21"/>
      <c r="FIR167" s="21"/>
      <c r="FIS167" s="21"/>
      <c r="FIT167" s="20"/>
      <c r="FIU167" s="20"/>
      <c r="FIV167" s="20"/>
      <c r="FIW167" s="20"/>
      <c r="FIX167" s="21"/>
      <c r="FIY167" s="21"/>
      <c r="FIZ167" s="7"/>
      <c r="FJA167" s="7"/>
      <c r="FJB167" s="21"/>
      <c r="FJC167" s="20"/>
      <c r="FJD167" s="20"/>
      <c r="FJE167" s="20"/>
      <c r="FJF167" s="21"/>
      <c r="FJG167" s="21"/>
      <c r="FJH167" s="21"/>
      <c r="FJI167" s="21"/>
      <c r="FJJ167" s="21"/>
      <c r="FJK167" s="20"/>
      <c r="FJL167" s="20"/>
      <c r="FJM167" s="20"/>
      <c r="FJN167" s="20"/>
      <c r="FJO167" s="21"/>
      <c r="FJP167" s="21"/>
      <c r="FJQ167" s="7"/>
      <c r="FJR167" s="7"/>
      <c r="FJS167" s="21"/>
      <c r="FJT167" s="20"/>
      <c r="FJU167" s="20"/>
      <c r="FJV167" s="20"/>
      <c r="FJW167" s="21"/>
      <c r="FJX167" s="21"/>
      <c r="FJY167" s="21"/>
      <c r="FJZ167" s="21"/>
      <c r="FKA167" s="21"/>
      <c r="FKB167" s="20"/>
      <c r="FKC167" s="20"/>
      <c r="FKD167" s="20"/>
      <c r="FKE167" s="20"/>
      <c r="FKF167" s="21"/>
      <c r="FKG167" s="21"/>
      <c r="FKH167" s="7"/>
      <c r="FKI167" s="7"/>
      <c r="FKJ167" s="21"/>
      <c r="FKK167" s="20"/>
      <c r="FKL167" s="20"/>
      <c r="FKM167" s="20"/>
      <c r="FKN167" s="21"/>
      <c r="FKO167" s="21"/>
      <c r="FKP167" s="21"/>
      <c r="FKQ167" s="21"/>
      <c r="FKR167" s="21"/>
      <c r="FKS167" s="20"/>
      <c r="FKT167" s="20"/>
      <c r="FKU167" s="20"/>
      <c r="FKV167" s="20"/>
      <c r="FKW167" s="21"/>
      <c r="FKX167" s="21"/>
      <c r="FKY167" s="7"/>
      <c r="FKZ167" s="7"/>
      <c r="FLA167" s="21"/>
      <c r="FLB167" s="20"/>
      <c r="FLC167" s="20"/>
      <c r="FLD167" s="20"/>
      <c r="FLE167" s="21"/>
      <c r="FLF167" s="21"/>
      <c r="FLG167" s="21"/>
      <c r="FLH167" s="21"/>
      <c r="FLI167" s="21"/>
      <c r="FLJ167" s="20"/>
      <c r="FLK167" s="20"/>
      <c r="FLL167" s="20"/>
      <c r="FLM167" s="20"/>
      <c r="FLN167" s="21"/>
      <c r="FLO167" s="21"/>
      <c r="FLP167" s="7"/>
      <c r="FLQ167" s="7"/>
      <c r="FLR167" s="21"/>
      <c r="FLS167" s="20"/>
      <c r="FLT167" s="20"/>
      <c r="FLU167" s="20"/>
      <c r="FLV167" s="21"/>
      <c r="FLW167" s="21"/>
      <c r="FLX167" s="21"/>
      <c r="FLY167" s="21"/>
      <c r="FLZ167" s="21"/>
      <c r="FMA167" s="20"/>
      <c r="FMB167" s="20"/>
      <c r="FMC167" s="20"/>
      <c r="FMD167" s="20"/>
      <c r="FME167" s="21"/>
      <c r="FMF167" s="21"/>
      <c r="FMG167" s="7"/>
      <c r="FMH167" s="7"/>
      <c r="FMI167" s="21"/>
      <c r="FMJ167" s="20"/>
      <c r="FMK167" s="20"/>
      <c r="FML167" s="20"/>
      <c r="FMM167" s="21"/>
      <c r="FMN167" s="21"/>
      <c r="FMO167" s="21"/>
      <c r="FMP167" s="21"/>
      <c r="FMQ167" s="21"/>
      <c r="FMR167" s="20"/>
      <c r="FMS167" s="20"/>
      <c r="FMT167" s="20"/>
      <c r="FMU167" s="20"/>
      <c r="FMV167" s="21"/>
      <c r="FMW167" s="21"/>
      <c r="FMX167" s="7"/>
      <c r="FMY167" s="7"/>
      <c r="FMZ167" s="21"/>
      <c r="FNA167" s="20"/>
      <c r="FNB167" s="20"/>
      <c r="FNC167" s="20"/>
      <c r="FND167" s="21"/>
      <c r="FNE167" s="21"/>
      <c r="FNF167" s="21"/>
      <c r="FNG167" s="21"/>
      <c r="FNH167" s="21"/>
      <c r="FNI167" s="20"/>
      <c r="FNJ167" s="20"/>
      <c r="FNK167" s="20"/>
      <c r="FNL167" s="20"/>
      <c r="FNM167" s="21"/>
      <c r="FNN167" s="21"/>
      <c r="FNO167" s="7"/>
      <c r="FNP167" s="7"/>
      <c r="FNQ167" s="21"/>
      <c r="FNR167" s="20"/>
      <c r="FNS167" s="20"/>
      <c r="FNT167" s="20"/>
      <c r="FNU167" s="21"/>
      <c r="FNV167" s="21"/>
      <c r="FNW167" s="21"/>
      <c r="FNX167" s="21"/>
      <c r="FNY167" s="21"/>
      <c r="FNZ167" s="20"/>
      <c r="FOA167" s="20"/>
      <c r="FOB167" s="20"/>
      <c r="FOC167" s="20"/>
      <c r="FOD167" s="21"/>
      <c r="FOE167" s="21"/>
      <c r="FOF167" s="7"/>
      <c r="FOG167" s="7"/>
      <c r="FOH167" s="21"/>
      <c r="FOI167" s="20"/>
      <c r="FOJ167" s="20"/>
      <c r="FOK167" s="20"/>
      <c r="FOL167" s="21"/>
      <c r="FOM167" s="21"/>
      <c r="FON167" s="21"/>
      <c r="FOO167" s="21"/>
      <c r="FOP167" s="21"/>
      <c r="FOQ167" s="20"/>
      <c r="FOR167" s="20"/>
      <c r="FOS167" s="20"/>
      <c r="FOT167" s="20"/>
      <c r="FOU167" s="21"/>
      <c r="FOV167" s="21"/>
      <c r="FOW167" s="7"/>
      <c r="FOX167" s="7"/>
      <c r="FOY167" s="21"/>
      <c r="FOZ167" s="20"/>
      <c r="FPA167" s="20"/>
      <c r="FPB167" s="20"/>
      <c r="FPC167" s="21"/>
      <c r="FPD167" s="21"/>
      <c r="FPE167" s="21"/>
      <c r="FPF167" s="21"/>
      <c r="FPG167" s="21"/>
      <c r="FPH167" s="20"/>
      <c r="FPI167" s="20"/>
      <c r="FPJ167" s="20"/>
      <c r="FPK167" s="20"/>
      <c r="FPL167" s="21"/>
      <c r="FPM167" s="21"/>
      <c r="FPN167" s="7"/>
      <c r="FPO167" s="7"/>
      <c r="FPP167" s="21"/>
      <c r="FPQ167" s="20"/>
      <c r="FPR167" s="20"/>
      <c r="FPS167" s="20"/>
      <c r="FPT167" s="21"/>
      <c r="FPU167" s="21"/>
      <c r="FPV167" s="21"/>
      <c r="FPW167" s="21"/>
      <c r="FPX167" s="21"/>
      <c r="FPY167" s="20"/>
      <c r="FPZ167" s="20"/>
      <c r="FQA167" s="20"/>
      <c r="FQB167" s="20"/>
      <c r="FQC167" s="21"/>
      <c r="FQD167" s="21"/>
      <c r="FQE167" s="7"/>
      <c r="FQF167" s="7"/>
      <c r="FQG167" s="21"/>
      <c r="FQH167" s="20"/>
      <c r="FQI167" s="20"/>
      <c r="FQJ167" s="20"/>
      <c r="FQK167" s="21"/>
      <c r="FQL167" s="21"/>
      <c r="FQM167" s="21"/>
      <c r="FQN167" s="21"/>
      <c r="FQO167" s="21"/>
      <c r="FQP167" s="20"/>
      <c r="FQQ167" s="20"/>
      <c r="FQR167" s="20"/>
      <c r="FQS167" s="20"/>
      <c r="FQT167" s="21"/>
      <c r="FQU167" s="21"/>
      <c r="FQV167" s="7"/>
      <c r="FQW167" s="7"/>
      <c r="FQX167" s="21"/>
      <c r="FQY167" s="20"/>
      <c r="FQZ167" s="20"/>
      <c r="FRA167" s="20"/>
      <c r="FRB167" s="21"/>
      <c r="FRC167" s="21"/>
      <c r="FRD167" s="21"/>
      <c r="FRE167" s="21"/>
      <c r="FRF167" s="21"/>
      <c r="FRG167" s="20"/>
      <c r="FRH167" s="20"/>
      <c r="FRI167" s="20"/>
      <c r="FRJ167" s="20"/>
      <c r="FRK167" s="21"/>
      <c r="FRL167" s="21"/>
      <c r="FRM167" s="7"/>
      <c r="FRN167" s="7"/>
      <c r="FRO167" s="21"/>
      <c r="FRP167" s="20"/>
      <c r="FRQ167" s="20"/>
      <c r="FRR167" s="20"/>
      <c r="FRS167" s="21"/>
      <c r="FRT167" s="21"/>
      <c r="FRU167" s="21"/>
      <c r="FRV167" s="21"/>
      <c r="FRW167" s="21"/>
      <c r="FRX167" s="20"/>
      <c r="FRY167" s="20"/>
      <c r="FRZ167" s="20"/>
      <c r="FSA167" s="20"/>
      <c r="FSB167" s="21"/>
      <c r="FSC167" s="21"/>
      <c r="FSD167" s="7"/>
      <c r="FSE167" s="7"/>
      <c r="FSF167" s="21"/>
      <c r="FSG167" s="20"/>
      <c r="FSH167" s="20"/>
      <c r="FSI167" s="20"/>
      <c r="FSJ167" s="21"/>
      <c r="FSK167" s="21"/>
      <c r="FSL167" s="21"/>
      <c r="FSM167" s="21"/>
      <c r="FSN167" s="21"/>
      <c r="FSO167" s="20"/>
      <c r="FSP167" s="20"/>
      <c r="FSQ167" s="20"/>
      <c r="FSR167" s="20"/>
      <c r="FSS167" s="21"/>
      <c r="FST167" s="21"/>
      <c r="FSU167" s="7"/>
      <c r="FSV167" s="7"/>
      <c r="FSW167" s="21"/>
      <c r="FSX167" s="20"/>
      <c r="FSY167" s="20"/>
      <c r="FSZ167" s="20"/>
      <c r="FTA167" s="21"/>
      <c r="FTB167" s="21"/>
      <c r="FTC167" s="21"/>
      <c r="FTD167" s="21"/>
      <c r="FTE167" s="21"/>
      <c r="FTF167" s="20"/>
      <c r="FTG167" s="20"/>
      <c r="FTH167" s="20"/>
      <c r="FTI167" s="20"/>
      <c r="FTJ167" s="21"/>
      <c r="FTK167" s="21"/>
      <c r="FTL167" s="7"/>
      <c r="FTM167" s="7"/>
      <c r="FTN167" s="21"/>
      <c r="FTO167" s="20"/>
      <c r="FTP167" s="20"/>
      <c r="FTQ167" s="20"/>
      <c r="FTR167" s="21"/>
      <c r="FTS167" s="21"/>
      <c r="FTT167" s="21"/>
      <c r="FTU167" s="21"/>
      <c r="FTV167" s="21"/>
      <c r="FTW167" s="20"/>
      <c r="FTX167" s="20"/>
      <c r="FTY167" s="20"/>
      <c r="FTZ167" s="20"/>
      <c r="FUA167" s="21"/>
      <c r="FUB167" s="21"/>
      <c r="FUC167" s="7"/>
      <c r="FUD167" s="7"/>
      <c r="FUE167" s="21"/>
      <c r="FUF167" s="20"/>
      <c r="FUG167" s="20"/>
      <c r="FUH167" s="20"/>
      <c r="FUI167" s="21"/>
      <c r="FUJ167" s="21"/>
      <c r="FUK167" s="21"/>
      <c r="FUL167" s="21"/>
      <c r="FUM167" s="21"/>
      <c r="FUN167" s="20"/>
      <c r="FUO167" s="20"/>
      <c r="FUP167" s="20"/>
      <c r="FUQ167" s="20"/>
      <c r="FUR167" s="21"/>
      <c r="FUS167" s="21"/>
      <c r="FUT167" s="7"/>
      <c r="FUU167" s="7"/>
      <c r="FUV167" s="21"/>
      <c r="FUW167" s="20"/>
      <c r="FUX167" s="20"/>
      <c r="FUY167" s="20"/>
      <c r="FUZ167" s="21"/>
      <c r="FVA167" s="21"/>
      <c r="FVB167" s="21"/>
      <c r="FVC167" s="21"/>
      <c r="FVD167" s="21"/>
      <c r="FVE167" s="20"/>
      <c r="FVF167" s="20"/>
      <c r="FVG167" s="20"/>
      <c r="FVH167" s="20"/>
      <c r="FVI167" s="21"/>
      <c r="FVJ167" s="21"/>
      <c r="FVK167" s="7"/>
      <c r="FVL167" s="7"/>
      <c r="FVM167" s="21"/>
      <c r="FVN167" s="20"/>
      <c r="FVO167" s="20"/>
      <c r="FVP167" s="20"/>
      <c r="FVQ167" s="21"/>
      <c r="FVR167" s="21"/>
      <c r="FVS167" s="21"/>
      <c r="FVT167" s="21"/>
      <c r="FVU167" s="21"/>
      <c r="FVV167" s="20"/>
      <c r="FVW167" s="20"/>
      <c r="FVX167" s="20"/>
      <c r="FVY167" s="20"/>
      <c r="FVZ167" s="21"/>
      <c r="FWA167" s="21"/>
      <c r="FWB167" s="7"/>
      <c r="FWC167" s="7"/>
      <c r="FWD167" s="21"/>
      <c r="FWE167" s="20"/>
      <c r="FWF167" s="20"/>
      <c r="FWG167" s="20"/>
      <c r="FWH167" s="21"/>
      <c r="FWI167" s="21"/>
      <c r="FWJ167" s="21"/>
      <c r="FWK167" s="21"/>
      <c r="FWL167" s="21"/>
      <c r="FWM167" s="20"/>
      <c r="FWN167" s="20"/>
      <c r="FWO167" s="20"/>
      <c r="FWP167" s="20"/>
      <c r="FWQ167" s="21"/>
      <c r="FWR167" s="21"/>
      <c r="FWS167" s="7"/>
      <c r="FWT167" s="7"/>
      <c r="FWU167" s="21"/>
      <c r="FWV167" s="20"/>
      <c r="FWW167" s="20"/>
      <c r="FWX167" s="20"/>
      <c r="FWY167" s="21"/>
      <c r="FWZ167" s="21"/>
      <c r="FXA167" s="21"/>
      <c r="FXB167" s="21"/>
      <c r="FXC167" s="21"/>
      <c r="FXD167" s="20"/>
      <c r="FXE167" s="20"/>
      <c r="FXF167" s="20"/>
      <c r="FXG167" s="20"/>
      <c r="FXH167" s="21"/>
      <c r="FXI167" s="21"/>
      <c r="FXJ167" s="7"/>
      <c r="FXK167" s="7"/>
      <c r="FXL167" s="21"/>
      <c r="FXM167" s="20"/>
      <c r="FXN167" s="20"/>
      <c r="FXO167" s="20"/>
      <c r="FXP167" s="21"/>
      <c r="FXQ167" s="21"/>
      <c r="FXR167" s="21"/>
      <c r="FXS167" s="21"/>
      <c r="FXT167" s="21"/>
      <c r="FXU167" s="20"/>
      <c r="FXV167" s="20"/>
      <c r="FXW167" s="20"/>
      <c r="FXX167" s="20"/>
      <c r="FXY167" s="21"/>
      <c r="FXZ167" s="21"/>
      <c r="FYA167" s="7"/>
      <c r="FYB167" s="7"/>
      <c r="FYC167" s="21"/>
      <c r="FYD167" s="20"/>
      <c r="FYE167" s="20"/>
      <c r="FYF167" s="20"/>
      <c r="FYG167" s="21"/>
      <c r="FYH167" s="21"/>
      <c r="FYI167" s="21"/>
      <c r="FYJ167" s="21"/>
      <c r="FYK167" s="21"/>
      <c r="FYL167" s="20"/>
      <c r="FYM167" s="20"/>
      <c r="FYN167" s="20"/>
      <c r="FYO167" s="20"/>
      <c r="FYP167" s="21"/>
      <c r="FYQ167" s="21"/>
      <c r="FYR167" s="7"/>
      <c r="FYS167" s="7"/>
      <c r="FYT167" s="21"/>
      <c r="FYU167" s="20"/>
      <c r="FYV167" s="20"/>
      <c r="FYW167" s="20"/>
      <c r="FYX167" s="21"/>
      <c r="FYY167" s="21"/>
      <c r="FYZ167" s="21"/>
      <c r="FZA167" s="21"/>
      <c r="FZB167" s="21"/>
      <c r="FZC167" s="20"/>
      <c r="FZD167" s="20"/>
      <c r="FZE167" s="20"/>
      <c r="FZF167" s="20"/>
      <c r="FZG167" s="21"/>
      <c r="FZH167" s="21"/>
      <c r="FZI167" s="7"/>
      <c r="FZJ167" s="7"/>
      <c r="FZK167" s="21"/>
      <c r="FZL167" s="20"/>
      <c r="FZM167" s="20"/>
      <c r="FZN167" s="20"/>
      <c r="FZO167" s="21"/>
      <c r="FZP167" s="21"/>
      <c r="FZQ167" s="21"/>
      <c r="FZR167" s="21"/>
      <c r="FZS167" s="21"/>
      <c r="FZT167" s="20"/>
      <c r="FZU167" s="20"/>
      <c r="FZV167" s="20"/>
      <c r="FZW167" s="20"/>
      <c r="FZX167" s="21"/>
      <c r="FZY167" s="21"/>
      <c r="FZZ167" s="7"/>
      <c r="GAA167" s="7"/>
      <c r="GAB167" s="21"/>
      <c r="GAC167" s="20"/>
      <c r="GAD167" s="20"/>
      <c r="GAE167" s="20"/>
      <c r="GAF167" s="21"/>
      <c r="GAG167" s="21"/>
      <c r="GAH167" s="21"/>
      <c r="GAI167" s="21"/>
      <c r="GAJ167" s="21"/>
      <c r="GAK167" s="20"/>
      <c r="GAL167" s="20"/>
      <c r="GAM167" s="20"/>
      <c r="GAN167" s="20"/>
      <c r="GAO167" s="21"/>
      <c r="GAP167" s="21"/>
      <c r="GAQ167" s="7"/>
      <c r="GAR167" s="7"/>
      <c r="GAS167" s="21"/>
      <c r="GAT167" s="20"/>
      <c r="GAU167" s="20"/>
      <c r="GAV167" s="20"/>
      <c r="GAW167" s="21"/>
      <c r="GAX167" s="21"/>
      <c r="GAY167" s="21"/>
      <c r="GAZ167" s="21"/>
      <c r="GBA167" s="21"/>
      <c r="GBB167" s="20"/>
      <c r="GBC167" s="20"/>
      <c r="GBD167" s="20"/>
      <c r="GBE167" s="20"/>
      <c r="GBF167" s="21"/>
      <c r="GBG167" s="21"/>
      <c r="GBH167" s="7"/>
      <c r="GBI167" s="7"/>
      <c r="GBJ167" s="21"/>
      <c r="GBK167" s="20"/>
      <c r="GBL167" s="20"/>
      <c r="GBM167" s="20"/>
      <c r="GBN167" s="21"/>
      <c r="GBO167" s="21"/>
      <c r="GBP167" s="21"/>
      <c r="GBQ167" s="21"/>
      <c r="GBR167" s="21"/>
      <c r="GBS167" s="20"/>
      <c r="GBT167" s="20"/>
      <c r="GBU167" s="20"/>
      <c r="GBV167" s="20"/>
      <c r="GBW167" s="21"/>
      <c r="GBX167" s="21"/>
      <c r="GBY167" s="7"/>
      <c r="GBZ167" s="7"/>
      <c r="GCA167" s="21"/>
      <c r="GCB167" s="20"/>
      <c r="GCC167" s="20"/>
      <c r="GCD167" s="20"/>
      <c r="GCE167" s="21"/>
      <c r="GCF167" s="21"/>
      <c r="GCG167" s="21"/>
      <c r="GCH167" s="21"/>
      <c r="GCI167" s="21"/>
      <c r="GCJ167" s="20"/>
      <c r="GCK167" s="20"/>
      <c r="GCL167" s="20"/>
      <c r="GCM167" s="20"/>
      <c r="GCN167" s="21"/>
      <c r="GCO167" s="21"/>
      <c r="GCP167" s="7"/>
      <c r="GCQ167" s="7"/>
      <c r="GCR167" s="21"/>
      <c r="GCS167" s="20"/>
      <c r="GCT167" s="20"/>
      <c r="GCU167" s="20"/>
      <c r="GCV167" s="21"/>
      <c r="GCW167" s="21"/>
      <c r="GCX167" s="21"/>
      <c r="GCY167" s="21"/>
      <c r="GCZ167" s="21"/>
      <c r="GDA167" s="20"/>
      <c r="GDB167" s="20"/>
      <c r="GDC167" s="20"/>
      <c r="GDD167" s="20"/>
      <c r="GDE167" s="21"/>
      <c r="GDF167" s="21"/>
      <c r="GDG167" s="7"/>
      <c r="GDH167" s="7"/>
      <c r="GDI167" s="21"/>
      <c r="GDJ167" s="20"/>
      <c r="GDK167" s="20"/>
      <c r="GDL167" s="20"/>
      <c r="GDM167" s="21"/>
      <c r="GDN167" s="21"/>
      <c r="GDO167" s="21"/>
      <c r="GDP167" s="21"/>
      <c r="GDQ167" s="21"/>
      <c r="GDR167" s="20"/>
      <c r="GDS167" s="20"/>
      <c r="GDT167" s="20"/>
      <c r="GDU167" s="20"/>
      <c r="GDV167" s="21"/>
      <c r="GDW167" s="21"/>
      <c r="GDX167" s="7"/>
      <c r="GDY167" s="7"/>
      <c r="GDZ167" s="21"/>
      <c r="GEA167" s="20"/>
      <c r="GEB167" s="20"/>
      <c r="GEC167" s="20"/>
      <c r="GED167" s="21"/>
      <c r="GEE167" s="21"/>
      <c r="GEF167" s="21"/>
      <c r="GEG167" s="21"/>
      <c r="GEH167" s="21"/>
      <c r="GEI167" s="20"/>
      <c r="GEJ167" s="20"/>
      <c r="GEK167" s="20"/>
      <c r="GEL167" s="20"/>
      <c r="GEM167" s="21"/>
      <c r="GEN167" s="21"/>
      <c r="GEO167" s="7"/>
      <c r="GEP167" s="7"/>
      <c r="GEQ167" s="21"/>
      <c r="GER167" s="20"/>
      <c r="GES167" s="20"/>
      <c r="GET167" s="20"/>
      <c r="GEU167" s="21"/>
      <c r="GEV167" s="21"/>
      <c r="GEW167" s="21"/>
      <c r="GEX167" s="21"/>
      <c r="GEY167" s="21"/>
      <c r="GEZ167" s="20"/>
      <c r="GFA167" s="20"/>
      <c r="GFB167" s="20"/>
      <c r="GFC167" s="20"/>
      <c r="GFD167" s="21"/>
      <c r="GFE167" s="21"/>
      <c r="GFF167" s="7"/>
      <c r="GFG167" s="7"/>
      <c r="GFH167" s="21"/>
      <c r="GFI167" s="20"/>
      <c r="GFJ167" s="20"/>
      <c r="GFK167" s="20"/>
      <c r="GFL167" s="21"/>
      <c r="GFM167" s="21"/>
      <c r="GFN167" s="21"/>
      <c r="GFO167" s="21"/>
      <c r="GFP167" s="21"/>
      <c r="GFQ167" s="20"/>
      <c r="GFR167" s="20"/>
      <c r="GFS167" s="20"/>
      <c r="GFT167" s="20"/>
      <c r="GFU167" s="21"/>
      <c r="GFV167" s="21"/>
      <c r="GFW167" s="7"/>
      <c r="GFX167" s="7"/>
      <c r="GFY167" s="21"/>
      <c r="GFZ167" s="20"/>
      <c r="GGA167" s="20"/>
      <c r="GGB167" s="20"/>
      <c r="GGC167" s="21"/>
      <c r="GGD167" s="21"/>
      <c r="GGE167" s="21"/>
      <c r="GGF167" s="21"/>
      <c r="GGG167" s="21"/>
      <c r="GGH167" s="20"/>
      <c r="GGI167" s="20"/>
      <c r="GGJ167" s="20"/>
      <c r="GGK167" s="20"/>
      <c r="GGL167" s="21"/>
      <c r="GGM167" s="21"/>
      <c r="GGN167" s="7"/>
      <c r="GGO167" s="7"/>
      <c r="GGP167" s="21"/>
      <c r="GGQ167" s="20"/>
      <c r="GGR167" s="20"/>
      <c r="GGS167" s="20"/>
      <c r="GGT167" s="21"/>
      <c r="GGU167" s="21"/>
      <c r="GGV167" s="21"/>
      <c r="GGW167" s="21"/>
      <c r="GGX167" s="21"/>
      <c r="GGY167" s="20"/>
      <c r="GGZ167" s="20"/>
      <c r="GHA167" s="20"/>
      <c r="GHB167" s="20"/>
      <c r="GHC167" s="21"/>
      <c r="GHD167" s="21"/>
      <c r="GHE167" s="7"/>
      <c r="GHF167" s="7"/>
      <c r="GHG167" s="21"/>
      <c r="GHH167" s="20"/>
      <c r="GHI167" s="20"/>
      <c r="GHJ167" s="20"/>
      <c r="GHK167" s="21"/>
      <c r="GHL167" s="21"/>
      <c r="GHM167" s="21"/>
      <c r="GHN167" s="21"/>
      <c r="GHO167" s="21"/>
      <c r="GHP167" s="20"/>
      <c r="GHQ167" s="20"/>
      <c r="GHR167" s="20"/>
      <c r="GHS167" s="20"/>
      <c r="GHT167" s="21"/>
      <c r="GHU167" s="21"/>
      <c r="GHV167" s="7"/>
      <c r="GHW167" s="7"/>
      <c r="GHX167" s="21"/>
      <c r="GHY167" s="20"/>
      <c r="GHZ167" s="20"/>
      <c r="GIA167" s="20"/>
      <c r="GIB167" s="21"/>
      <c r="GIC167" s="21"/>
      <c r="GID167" s="21"/>
      <c r="GIE167" s="21"/>
      <c r="GIF167" s="21"/>
      <c r="GIG167" s="20"/>
      <c r="GIH167" s="20"/>
      <c r="GII167" s="20"/>
      <c r="GIJ167" s="20"/>
      <c r="GIK167" s="21"/>
      <c r="GIL167" s="21"/>
      <c r="GIM167" s="7"/>
      <c r="GIN167" s="7"/>
      <c r="GIO167" s="21"/>
      <c r="GIP167" s="20"/>
      <c r="GIQ167" s="20"/>
      <c r="GIR167" s="20"/>
      <c r="GIS167" s="21"/>
      <c r="GIT167" s="21"/>
      <c r="GIU167" s="21"/>
      <c r="GIV167" s="21"/>
      <c r="GIW167" s="21"/>
      <c r="GIX167" s="20"/>
      <c r="GIY167" s="20"/>
      <c r="GIZ167" s="20"/>
      <c r="GJA167" s="20"/>
      <c r="GJB167" s="21"/>
      <c r="GJC167" s="21"/>
      <c r="GJD167" s="7"/>
      <c r="GJE167" s="7"/>
      <c r="GJF167" s="21"/>
      <c r="GJG167" s="20"/>
      <c r="GJH167" s="20"/>
      <c r="GJI167" s="20"/>
      <c r="GJJ167" s="21"/>
      <c r="GJK167" s="21"/>
      <c r="GJL167" s="21"/>
      <c r="GJM167" s="21"/>
      <c r="GJN167" s="21"/>
      <c r="GJO167" s="20"/>
      <c r="GJP167" s="20"/>
      <c r="GJQ167" s="20"/>
      <c r="GJR167" s="20"/>
      <c r="GJS167" s="21"/>
      <c r="GJT167" s="21"/>
      <c r="GJU167" s="7"/>
      <c r="GJV167" s="7"/>
      <c r="GJW167" s="21"/>
      <c r="GJX167" s="20"/>
      <c r="GJY167" s="20"/>
      <c r="GJZ167" s="20"/>
      <c r="GKA167" s="21"/>
      <c r="GKB167" s="21"/>
      <c r="GKC167" s="21"/>
      <c r="GKD167" s="21"/>
      <c r="GKE167" s="21"/>
      <c r="GKF167" s="20"/>
      <c r="GKG167" s="20"/>
      <c r="GKH167" s="20"/>
      <c r="GKI167" s="20"/>
      <c r="GKJ167" s="21"/>
      <c r="GKK167" s="21"/>
      <c r="GKL167" s="7"/>
      <c r="GKM167" s="7"/>
      <c r="GKN167" s="21"/>
      <c r="GKO167" s="20"/>
      <c r="GKP167" s="20"/>
      <c r="GKQ167" s="20"/>
      <c r="GKR167" s="21"/>
      <c r="GKS167" s="21"/>
      <c r="GKT167" s="21"/>
      <c r="GKU167" s="21"/>
      <c r="GKV167" s="21"/>
      <c r="GKW167" s="20"/>
      <c r="GKX167" s="20"/>
      <c r="GKY167" s="20"/>
      <c r="GKZ167" s="20"/>
      <c r="GLA167" s="21"/>
      <c r="GLB167" s="21"/>
      <c r="GLC167" s="7"/>
      <c r="GLD167" s="7"/>
      <c r="GLE167" s="21"/>
      <c r="GLF167" s="20"/>
      <c r="GLG167" s="20"/>
      <c r="GLH167" s="20"/>
      <c r="GLI167" s="21"/>
      <c r="GLJ167" s="21"/>
      <c r="GLK167" s="21"/>
      <c r="GLL167" s="21"/>
      <c r="GLM167" s="21"/>
      <c r="GLN167" s="20"/>
      <c r="GLO167" s="20"/>
      <c r="GLP167" s="20"/>
      <c r="GLQ167" s="20"/>
      <c r="GLR167" s="21"/>
      <c r="GLS167" s="21"/>
      <c r="GLT167" s="7"/>
      <c r="GLU167" s="7"/>
      <c r="GLV167" s="21"/>
      <c r="GLW167" s="20"/>
      <c r="GLX167" s="20"/>
      <c r="GLY167" s="20"/>
      <c r="GLZ167" s="21"/>
      <c r="GMA167" s="21"/>
      <c r="GMB167" s="21"/>
      <c r="GMC167" s="21"/>
      <c r="GMD167" s="21"/>
      <c r="GME167" s="20"/>
      <c r="GMF167" s="20"/>
      <c r="GMG167" s="20"/>
      <c r="GMH167" s="20"/>
      <c r="GMI167" s="21"/>
      <c r="GMJ167" s="21"/>
      <c r="GMK167" s="7"/>
      <c r="GML167" s="7"/>
      <c r="GMM167" s="21"/>
      <c r="GMN167" s="20"/>
      <c r="GMO167" s="20"/>
      <c r="GMP167" s="20"/>
      <c r="GMQ167" s="21"/>
      <c r="GMR167" s="21"/>
      <c r="GMS167" s="21"/>
      <c r="GMT167" s="21"/>
      <c r="GMU167" s="21"/>
      <c r="GMV167" s="20"/>
      <c r="GMW167" s="20"/>
      <c r="GMX167" s="20"/>
      <c r="GMY167" s="20"/>
      <c r="GMZ167" s="21"/>
      <c r="GNA167" s="21"/>
      <c r="GNB167" s="7"/>
      <c r="GNC167" s="7"/>
      <c r="GND167" s="21"/>
      <c r="GNE167" s="20"/>
      <c r="GNF167" s="20"/>
      <c r="GNG167" s="20"/>
      <c r="GNH167" s="21"/>
      <c r="GNI167" s="21"/>
      <c r="GNJ167" s="21"/>
      <c r="GNK167" s="21"/>
      <c r="GNL167" s="21"/>
      <c r="GNM167" s="20"/>
      <c r="GNN167" s="20"/>
      <c r="GNO167" s="20"/>
      <c r="GNP167" s="20"/>
      <c r="GNQ167" s="21"/>
      <c r="GNR167" s="21"/>
      <c r="GNS167" s="7"/>
      <c r="GNT167" s="7"/>
      <c r="GNU167" s="21"/>
      <c r="GNV167" s="20"/>
      <c r="GNW167" s="20"/>
      <c r="GNX167" s="20"/>
      <c r="GNY167" s="21"/>
      <c r="GNZ167" s="21"/>
      <c r="GOA167" s="21"/>
      <c r="GOB167" s="21"/>
      <c r="GOC167" s="21"/>
      <c r="GOD167" s="20"/>
      <c r="GOE167" s="20"/>
      <c r="GOF167" s="20"/>
      <c r="GOG167" s="20"/>
      <c r="GOH167" s="21"/>
      <c r="GOI167" s="21"/>
      <c r="GOJ167" s="7"/>
      <c r="GOK167" s="7"/>
      <c r="GOL167" s="21"/>
      <c r="GOM167" s="20"/>
      <c r="GON167" s="20"/>
      <c r="GOO167" s="20"/>
      <c r="GOP167" s="21"/>
      <c r="GOQ167" s="21"/>
      <c r="GOR167" s="21"/>
      <c r="GOS167" s="21"/>
      <c r="GOT167" s="21"/>
      <c r="GOU167" s="20"/>
      <c r="GOV167" s="20"/>
      <c r="GOW167" s="20"/>
      <c r="GOX167" s="20"/>
      <c r="GOY167" s="21"/>
      <c r="GOZ167" s="21"/>
      <c r="GPA167" s="7"/>
      <c r="GPB167" s="7"/>
      <c r="GPC167" s="21"/>
      <c r="GPD167" s="20"/>
      <c r="GPE167" s="20"/>
      <c r="GPF167" s="20"/>
      <c r="GPG167" s="21"/>
      <c r="GPH167" s="21"/>
      <c r="GPI167" s="21"/>
      <c r="GPJ167" s="21"/>
      <c r="GPK167" s="21"/>
      <c r="GPL167" s="20"/>
      <c r="GPM167" s="20"/>
      <c r="GPN167" s="20"/>
      <c r="GPO167" s="20"/>
      <c r="GPP167" s="21"/>
      <c r="GPQ167" s="21"/>
      <c r="GPR167" s="7"/>
      <c r="GPS167" s="7"/>
      <c r="GPT167" s="21"/>
      <c r="GPU167" s="20"/>
      <c r="GPV167" s="20"/>
      <c r="GPW167" s="20"/>
      <c r="GPX167" s="21"/>
      <c r="GPY167" s="21"/>
      <c r="GPZ167" s="21"/>
      <c r="GQA167" s="21"/>
      <c r="GQB167" s="21"/>
      <c r="GQC167" s="20"/>
      <c r="GQD167" s="20"/>
      <c r="GQE167" s="20"/>
      <c r="GQF167" s="20"/>
      <c r="GQG167" s="21"/>
      <c r="GQH167" s="21"/>
      <c r="GQI167" s="7"/>
      <c r="GQJ167" s="7"/>
      <c r="GQK167" s="21"/>
      <c r="GQL167" s="20"/>
      <c r="GQM167" s="20"/>
      <c r="GQN167" s="20"/>
      <c r="GQO167" s="21"/>
      <c r="GQP167" s="21"/>
      <c r="GQQ167" s="21"/>
      <c r="GQR167" s="21"/>
      <c r="GQS167" s="21"/>
      <c r="GQT167" s="20"/>
      <c r="GQU167" s="20"/>
      <c r="GQV167" s="20"/>
      <c r="GQW167" s="20"/>
      <c r="GQX167" s="21"/>
      <c r="GQY167" s="21"/>
      <c r="GQZ167" s="7"/>
      <c r="GRA167" s="7"/>
      <c r="GRB167" s="21"/>
      <c r="GRC167" s="20"/>
      <c r="GRD167" s="20"/>
      <c r="GRE167" s="20"/>
      <c r="GRF167" s="21"/>
      <c r="GRG167" s="21"/>
      <c r="GRH167" s="21"/>
      <c r="GRI167" s="21"/>
      <c r="GRJ167" s="21"/>
      <c r="GRK167" s="20"/>
      <c r="GRL167" s="20"/>
      <c r="GRM167" s="20"/>
      <c r="GRN167" s="20"/>
      <c r="GRO167" s="21"/>
      <c r="GRP167" s="21"/>
      <c r="GRQ167" s="7"/>
      <c r="GRR167" s="7"/>
      <c r="GRS167" s="21"/>
      <c r="GRT167" s="20"/>
      <c r="GRU167" s="20"/>
      <c r="GRV167" s="20"/>
      <c r="GRW167" s="21"/>
      <c r="GRX167" s="21"/>
      <c r="GRY167" s="21"/>
      <c r="GRZ167" s="21"/>
      <c r="GSA167" s="21"/>
      <c r="GSB167" s="20"/>
      <c r="GSC167" s="20"/>
      <c r="GSD167" s="20"/>
      <c r="GSE167" s="20"/>
      <c r="GSF167" s="21"/>
      <c r="GSG167" s="21"/>
      <c r="GSH167" s="7"/>
      <c r="GSI167" s="7"/>
      <c r="GSJ167" s="21"/>
      <c r="GSK167" s="20"/>
      <c r="GSL167" s="20"/>
      <c r="GSM167" s="20"/>
      <c r="GSN167" s="21"/>
      <c r="GSO167" s="21"/>
      <c r="GSP167" s="21"/>
      <c r="GSQ167" s="21"/>
      <c r="GSR167" s="21"/>
      <c r="GSS167" s="20"/>
      <c r="GST167" s="20"/>
      <c r="GSU167" s="20"/>
      <c r="GSV167" s="20"/>
      <c r="GSW167" s="21"/>
      <c r="GSX167" s="21"/>
      <c r="GSY167" s="7"/>
      <c r="GSZ167" s="7"/>
      <c r="GTA167" s="21"/>
      <c r="GTB167" s="20"/>
      <c r="GTC167" s="20"/>
      <c r="GTD167" s="20"/>
      <c r="GTE167" s="21"/>
      <c r="GTF167" s="21"/>
      <c r="GTG167" s="21"/>
      <c r="GTH167" s="21"/>
      <c r="GTI167" s="21"/>
      <c r="GTJ167" s="20"/>
      <c r="GTK167" s="20"/>
      <c r="GTL167" s="20"/>
      <c r="GTM167" s="20"/>
      <c r="GTN167" s="21"/>
      <c r="GTO167" s="21"/>
      <c r="GTP167" s="7"/>
      <c r="GTQ167" s="7"/>
      <c r="GTR167" s="21"/>
      <c r="GTS167" s="20"/>
      <c r="GTT167" s="20"/>
      <c r="GTU167" s="20"/>
      <c r="GTV167" s="21"/>
      <c r="GTW167" s="21"/>
      <c r="GTX167" s="21"/>
      <c r="GTY167" s="21"/>
      <c r="GTZ167" s="21"/>
      <c r="GUA167" s="20"/>
      <c r="GUB167" s="20"/>
      <c r="GUC167" s="20"/>
      <c r="GUD167" s="20"/>
      <c r="GUE167" s="21"/>
      <c r="GUF167" s="21"/>
      <c r="GUG167" s="7"/>
      <c r="GUH167" s="7"/>
      <c r="GUI167" s="21"/>
      <c r="GUJ167" s="20"/>
      <c r="GUK167" s="20"/>
      <c r="GUL167" s="20"/>
      <c r="GUM167" s="21"/>
      <c r="GUN167" s="21"/>
      <c r="GUO167" s="21"/>
      <c r="GUP167" s="21"/>
      <c r="GUQ167" s="21"/>
      <c r="GUR167" s="20"/>
      <c r="GUS167" s="20"/>
      <c r="GUT167" s="20"/>
      <c r="GUU167" s="20"/>
      <c r="GUV167" s="21"/>
      <c r="GUW167" s="21"/>
      <c r="GUX167" s="7"/>
      <c r="GUY167" s="7"/>
      <c r="GUZ167" s="21"/>
      <c r="GVA167" s="20"/>
      <c r="GVB167" s="20"/>
      <c r="GVC167" s="20"/>
      <c r="GVD167" s="21"/>
      <c r="GVE167" s="21"/>
      <c r="GVF167" s="21"/>
      <c r="GVG167" s="21"/>
      <c r="GVH167" s="21"/>
      <c r="GVI167" s="20"/>
      <c r="GVJ167" s="20"/>
      <c r="GVK167" s="20"/>
      <c r="GVL167" s="20"/>
      <c r="GVM167" s="21"/>
      <c r="GVN167" s="21"/>
      <c r="GVO167" s="7"/>
      <c r="GVP167" s="7"/>
      <c r="GVQ167" s="21"/>
      <c r="GVR167" s="20"/>
      <c r="GVS167" s="20"/>
      <c r="GVT167" s="20"/>
      <c r="GVU167" s="21"/>
      <c r="GVV167" s="21"/>
      <c r="GVW167" s="21"/>
      <c r="GVX167" s="21"/>
      <c r="GVY167" s="21"/>
      <c r="GVZ167" s="20"/>
      <c r="GWA167" s="20"/>
      <c r="GWB167" s="20"/>
      <c r="GWC167" s="20"/>
      <c r="GWD167" s="21"/>
      <c r="GWE167" s="21"/>
      <c r="GWF167" s="7"/>
      <c r="GWG167" s="7"/>
      <c r="GWH167" s="21"/>
      <c r="GWI167" s="20"/>
      <c r="GWJ167" s="20"/>
      <c r="GWK167" s="20"/>
      <c r="GWL167" s="21"/>
      <c r="GWM167" s="21"/>
      <c r="GWN167" s="21"/>
      <c r="GWO167" s="21"/>
      <c r="GWP167" s="21"/>
      <c r="GWQ167" s="20"/>
      <c r="GWR167" s="20"/>
      <c r="GWS167" s="20"/>
      <c r="GWT167" s="20"/>
      <c r="GWU167" s="21"/>
      <c r="GWV167" s="21"/>
      <c r="GWW167" s="7"/>
      <c r="GWX167" s="7"/>
      <c r="GWY167" s="21"/>
      <c r="GWZ167" s="20"/>
      <c r="GXA167" s="20"/>
      <c r="GXB167" s="20"/>
      <c r="GXC167" s="21"/>
      <c r="GXD167" s="21"/>
      <c r="GXE167" s="21"/>
      <c r="GXF167" s="21"/>
      <c r="GXG167" s="21"/>
      <c r="GXH167" s="20"/>
      <c r="GXI167" s="20"/>
      <c r="GXJ167" s="20"/>
      <c r="GXK167" s="20"/>
      <c r="GXL167" s="21"/>
      <c r="GXM167" s="21"/>
      <c r="GXN167" s="7"/>
      <c r="GXO167" s="7"/>
      <c r="GXP167" s="21"/>
      <c r="GXQ167" s="20"/>
      <c r="GXR167" s="20"/>
      <c r="GXS167" s="20"/>
      <c r="GXT167" s="21"/>
      <c r="GXU167" s="21"/>
      <c r="GXV167" s="21"/>
      <c r="GXW167" s="21"/>
      <c r="GXX167" s="21"/>
      <c r="GXY167" s="20"/>
      <c r="GXZ167" s="20"/>
      <c r="GYA167" s="20"/>
      <c r="GYB167" s="20"/>
      <c r="GYC167" s="21"/>
      <c r="GYD167" s="21"/>
      <c r="GYE167" s="7"/>
      <c r="GYF167" s="7"/>
      <c r="GYG167" s="21"/>
      <c r="GYH167" s="20"/>
      <c r="GYI167" s="20"/>
      <c r="GYJ167" s="20"/>
      <c r="GYK167" s="21"/>
      <c r="GYL167" s="21"/>
      <c r="GYM167" s="21"/>
      <c r="GYN167" s="21"/>
      <c r="GYO167" s="21"/>
      <c r="GYP167" s="20"/>
      <c r="GYQ167" s="20"/>
      <c r="GYR167" s="20"/>
      <c r="GYS167" s="20"/>
      <c r="GYT167" s="21"/>
      <c r="GYU167" s="21"/>
      <c r="GYV167" s="7"/>
      <c r="GYW167" s="7"/>
      <c r="GYX167" s="21"/>
      <c r="GYY167" s="20"/>
      <c r="GYZ167" s="20"/>
      <c r="GZA167" s="20"/>
      <c r="GZB167" s="21"/>
      <c r="GZC167" s="21"/>
      <c r="GZD167" s="21"/>
      <c r="GZE167" s="21"/>
      <c r="GZF167" s="21"/>
      <c r="GZG167" s="20"/>
      <c r="GZH167" s="20"/>
      <c r="GZI167" s="20"/>
      <c r="GZJ167" s="20"/>
      <c r="GZK167" s="21"/>
      <c r="GZL167" s="21"/>
      <c r="GZM167" s="7"/>
      <c r="GZN167" s="7"/>
      <c r="GZO167" s="21"/>
      <c r="GZP167" s="20"/>
      <c r="GZQ167" s="20"/>
      <c r="GZR167" s="20"/>
      <c r="GZS167" s="21"/>
      <c r="GZT167" s="21"/>
      <c r="GZU167" s="21"/>
      <c r="GZV167" s="21"/>
      <c r="GZW167" s="21"/>
      <c r="GZX167" s="20"/>
      <c r="GZY167" s="20"/>
      <c r="GZZ167" s="20"/>
      <c r="HAA167" s="20"/>
      <c r="HAB167" s="21"/>
      <c r="HAC167" s="21"/>
      <c r="HAD167" s="7"/>
      <c r="HAE167" s="7"/>
      <c r="HAF167" s="21"/>
      <c r="HAG167" s="20"/>
      <c r="HAH167" s="20"/>
      <c r="HAI167" s="20"/>
      <c r="HAJ167" s="21"/>
      <c r="HAK167" s="21"/>
      <c r="HAL167" s="21"/>
      <c r="HAM167" s="21"/>
      <c r="HAN167" s="21"/>
      <c r="HAO167" s="20"/>
      <c r="HAP167" s="20"/>
      <c r="HAQ167" s="20"/>
      <c r="HAR167" s="20"/>
      <c r="HAS167" s="21"/>
      <c r="HAT167" s="21"/>
      <c r="HAU167" s="7"/>
      <c r="HAV167" s="7"/>
      <c r="HAW167" s="21"/>
      <c r="HAX167" s="20"/>
      <c r="HAY167" s="20"/>
      <c r="HAZ167" s="20"/>
      <c r="HBA167" s="21"/>
      <c r="HBB167" s="21"/>
      <c r="HBC167" s="21"/>
      <c r="HBD167" s="21"/>
      <c r="HBE167" s="21"/>
      <c r="HBF167" s="20"/>
      <c r="HBG167" s="20"/>
      <c r="HBH167" s="20"/>
      <c r="HBI167" s="20"/>
      <c r="HBJ167" s="21"/>
      <c r="HBK167" s="21"/>
      <c r="HBL167" s="7"/>
      <c r="HBM167" s="7"/>
      <c r="HBN167" s="21"/>
      <c r="HBO167" s="20"/>
      <c r="HBP167" s="20"/>
      <c r="HBQ167" s="20"/>
      <c r="HBR167" s="21"/>
      <c r="HBS167" s="21"/>
      <c r="HBT167" s="21"/>
      <c r="HBU167" s="21"/>
      <c r="HBV167" s="21"/>
      <c r="HBW167" s="20"/>
      <c r="HBX167" s="20"/>
      <c r="HBY167" s="20"/>
      <c r="HBZ167" s="20"/>
      <c r="HCA167" s="21"/>
      <c r="HCB167" s="21"/>
      <c r="HCC167" s="7"/>
      <c r="HCD167" s="7"/>
      <c r="HCE167" s="21"/>
      <c r="HCF167" s="20"/>
      <c r="HCG167" s="20"/>
      <c r="HCH167" s="20"/>
      <c r="HCI167" s="21"/>
      <c r="HCJ167" s="21"/>
      <c r="HCK167" s="21"/>
      <c r="HCL167" s="21"/>
      <c r="HCM167" s="21"/>
      <c r="HCN167" s="20"/>
      <c r="HCO167" s="20"/>
      <c r="HCP167" s="20"/>
      <c r="HCQ167" s="20"/>
      <c r="HCR167" s="21"/>
      <c r="HCS167" s="21"/>
      <c r="HCT167" s="7"/>
      <c r="HCU167" s="7"/>
      <c r="HCV167" s="21"/>
      <c r="HCW167" s="20"/>
      <c r="HCX167" s="20"/>
      <c r="HCY167" s="20"/>
      <c r="HCZ167" s="21"/>
      <c r="HDA167" s="21"/>
      <c r="HDB167" s="21"/>
      <c r="HDC167" s="21"/>
      <c r="HDD167" s="21"/>
      <c r="HDE167" s="20"/>
      <c r="HDF167" s="20"/>
      <c r="HDG167" s="20"/>
      <c r="HDH167" s="20"/>
      <c r="HDI167" s="21"/>
      <c r="HDJ167" s="21"/>
      <c r="HDK167" s="7"/>
      <c r="HDL167" s="7"/>
      <c r="HDM167" s="21"/>
      <c r="HDN167" s="20"/>
      <c r="HDO167" s="20"/>
      <c r="HDP167" s="20"/>
      <c r="HDQ167" s="21"/>
      <c r="HDR167" s="21"/>
      <c r="HDS167" s="21"/>
      <c r="HDT167" s="21"/>
      <c r="HDU167" s="21"/>
      <c r="HDV167" s="20"/>
      <c r="HDW167" s="20"/>
      <c r="HDX167" s="20"/>
      <c r="HDY167" s="20"/>
      <c r="HDZ167" s="21"/>
      <c r="HEA167" s="21"/>
      <c r="HEB167" s="7"/>
      <c r="HEC167" s="7"/>
      <c r="HED167" s="21"/>
      <c r="HEE167" s="20"/>
      <c r="HEF167" s="20"/>
      <c r="HEG167" s="20"/>
      <c r="HEH167" s="21"/>
      <c r="HEI167" s="21"/>
      <c r="HEJ167" s="21"/>
      <c r="HEK167" s="21"/>
      <c r="HEL167" s="21"/>
      <c r="HEM167" s="20"/>
      <c r="HEN167" s="20"/>
      <c r="HEO167" s="20"/>
      <c r="HEP167" s="20"/>
      <c r="HEQ167" s="21"/>
      <c r="HER167" s="21"/>
      <c r="HES167" s="7"/>
      <c r="HET167" s="7"/>
      <c r="HEU167" s="21"/>
      <c r="HEV167" s="20"/>
      <c r="HEW167" s="20"/>
      <c r="HEX167" s="20"/>
      <c r="HEY167" s="21"/>
      <c r="HEZ167" s="21"/>
      <c r="HFA167" s="21"/>
      <c r="HFB167" s="21"/>
      <c r="HFC167" s="21"/>
      <c r="HFD167" s="20"/>
      <c r="HFE167" s="20"/>
      <c r="HFF167" s="20"/>
      <c r="HFG167" s="20"/>
      <c r="HFH167" s="21"/>
      <c r="HFI167" s="21"/>
      <c r="HFJ167" s="7"/>
      <c r="HFK167" s="7"/>
      <c r="HFL167" s="21"/>
      <c r="HFM167" s="20"/>
      <c r="HFN167" s="20"/>
      <c r="HFO167" s="20"/>
      <c r="HFP167" s="21"/>
      <c r="HFQ167" s="21"/>
      <c r="HFR167" s="21"/>
      <c r="HFS167" s="21"/>
      <c r="HFT167" s="21"/>
      <c r="HFU167" s="20"/>
      <c r="HFV167" s="20"/>
      <c r="HFW167" s="20"/>
      <c r="HFX167" s="20"/>
      <c r="HFY167" s="21"/>
      <c r="HFZ167" s="21"/>
      <c r="HGA167" s="7"/>
      <c r="HGB167" s="7"/>
      <c r="HGC167" s="21"/>
      <c r="HGD167" s="20"/>
      <c r="HGE167" s="20"/>
      <c r="HGF167" s="20"/>
      <c r="HGG167" s="21"/>
      <c r="HGH167" s="21"/>
      <c r="HGI167" s="21"/>
      <c r="HGJ167" s="21"/>
      <c r="HGK167" s="21"/>
      <c r="HGL167" s="20"/>
      <c r="HGM167" s="20"/>
      <c r="HGN167" s="20"/>
      <c r="HGO167" s="20"/>
      <c r="HGP167" s="21"/>
      <c r="HGQ167" s="21"/>
      <c r="HGR167" s="7"/>
      <c r="HGS167" s="7"/>
      <c r="HGT167" s="21"/>
      <c r="HGU167" s="20"/>
      <c r="HGV167" s="20"/>
      <c r="HGW167" s="20"/>
      <c r="HGX167" s="21"/>
      <c r="HGY167" s="21"/>
      <c r="HGZ167" s="21"/>
      <c r="HHA167" s="21"/>
      <c r="HHB167" s="21"/>
      <c r="HHC167" s="20"/>
      <c r="HHD167" s="20"/>
      <c r="HHE167" s="20"/>
      <c r="HHF167" s="20"/>
      <c r="HHG167" s="21"/>
      <c r="HHH167" s="21"/>
      <c r="HHI167" s="7"/>
      <c r="HHJ167" s="7"/>
      <c r="HHK167" s="21"/>
      <c r="HHL167" s="20"/>
      <c r="HHM167" s="20"/>
      <c r="HHN167" s="20"/>
      <c r="HHO167" s="21"/>
      <c r="HHP167" s="21"/>
      <c r="HHQ167" s="21"/>
      <c r="HHR167" s="21"/>
      <c r="HHS167" s="21"/>
      <c r="HHT167" s="20"/>
      <c r="HHU167" s="20"/>
      <c r="HHV167" s="20"/>
      <c r="HHW167" s="20"/>
      <c r="HHX167" s="21"/>
      <c r="HHY167" s="21"/>
      <c r="HHZ167" s="7"/>
      <c r="HIA167" s="7"/>
      <c r="HIB167" s="21"/>
      <c r="HIC167" s="20"/>
      <c r="HID167" s="20"/>
      <c r="HIE167" s="20"/>
      <c r="HIF167" s="21"/>
      <c r="HIG167" s="21"/>
      <c r="HIH167" s="21"/>
      <c r="HII167" s="21"/>
      <c r="HIJ167" s="21"/>
      <c r="HIK167" s="20"/>
      <c r="HIL167" s="20"/>
      <c r="HIM167" s="20"/>
      <c r="HIN167" s="20"/>
      <c r="HIO167" s="21"/>
      <c r="HIP167" s="21"/>
      <c r="HIQ167" s="7"/>
      <c r="HIR167" s="7"/>
      <c r="HIS167" s="21"/>
      <c r="HIT167" s="20"/>
      <c r="HIU167" s="20"/>
      <c r="HIV167" s="20"/>
      <c r="HIW167" s="21"/>
      <c r="HIX167" s="21"/>
      <c r="HIY167" s="21"/>
      <c r="HIZ167" s="21"/>
      <c r="HJA167" s="21"/>
      <c r="HJB167" s="20"/>
      <c r="HJC167" s="20"/>
      <c r="HJD167" s="20"/>
      <c r="HJE167" s="20"/>
      <c r="HJF167" s="21"/>
      <c r="HJG167" s="21"/>
      <c r="HJH167" s="7"/>
      <c r="HJI167" s="7"/>
      <c r="HJJ167" s="21"/>
      <c r="HJK167" s="20"/>
      <c r="HJL167" s="20"/>
      <c r="HJM167" s="20"/>
      <c r="HJN167" s="21"/>
      <c r="HJO167" s="21"/>
      <c r="HJP167" s="21"/>
      <c r="HJQ167" s="21"/>
      <c r="HJR167" s="21"/>
      <c r="HJS167" s="20"/>
      <c r="HJT167" s="20"/>
      <c r="HJU167" s="20"/>
      <c r="HJV167" s="20"/>
      <c r="HJW167" s="21"/>
      <c r="HJX167" s="21"/>
      <c r="HJY167" s="7"/>
      <c r="HJZ167" s="7"/>
      <c r="HKA167" s="21"/>
      <c r="HKB167" s="20"/>
      <c r="HKC167" s="20"/>
      <c r="HKD167" s="20"/>
      <c r="HKE167" s="21"/>
      <c r="HKF167" s="21"/>
      <c r="HKG167" s="21"/>
      <c r="HKH167" s="21"/>
      <c r="HKI167" s="21"/>
      <c r="HKJ167" s="20"/>
      <c r="HKK167" s="20"/>
      <c r="HKL167" s="20"/>
      <c r="HKM167" s="20"/>
      <c r="HKN167" s="21"/>
      <c r="HKO167" s="21"/>
      <c r="HKP167" s="7"/>
      <c r="HKQ167" s="7"/>
      <c r="HKR167" s="21"/>
      <c r="HKS167" s="20"/>
      <c r="HKT167" s="20"/>
      <c r="HKU167" s="20"/>
      <c r="HKV167" s="21"/>
      <c r="HKW167" s="21"/>
      <c r="HKX167" s="21"/>
      <c r="HKY167" s="21"/>
      <c r="HKZ167" s="21"/>
      <c r="HLA167" s="20"/>
      <c r="HLB167" s="20"/>
      <c r="HLC167" s="20"/>
      <c r="HLD167" s="20"/>
      <c r="HLE167" s="21"/>
      <c r="HLF167" s="21"/>
      <c r="HLG167" s="7"/>
      <c r="HLH167" s="7"/>
      <c r="HLI167" s="21"/>
      <c r="HLJ167" s="20"/>
      <c r="HLK167" s="20"/>
      <c r="HLL167" s="20"/>
      <c r="HLM167" s="21"/>
      <c r="HLN167" s="21"/>
      <c r="HLO167" s="21"/>
      <c r="HLP167" s="21"/>
      <c r="HLQ167" s="21"/>
      <c r="HLR167" s="20"/>
      <c r="HLS167" s="20"/>
      <c r="HLT167" s="20"/>
      <c r="HLU167" s="20"/>
      <c r="HLV167" s="21"/>
      <c r="HLW167" s="21"/>
      <c r="HLX167" s="7"/>
      <c r="HLY167" s="7"/>
      <c r="HLZ167" s="21"/>
      <c r="HMA167" s="20"/>
      <c r="HMB167" s="20"/>
      <c r="HMC167" s="20"/>
      <c r="HMD167" s="21"/>
      <c r="HME167" s="21"/>
      <c r="HMF167" s="21"/>
      <c r="HMG167" s="21"/>
      <c r="HMH167" s="21"/>
      <c r="HMI167" s="20"/>
      <c r="HMJ167" s="20"/>
      <c r="HMK167" s="20"/>
      <c r="HML167" s="20"/>
      <c r="HMM167" s="21"/>
      <c r="HMN167" s="21"/>
      <c r="HMO167" s="7"/>
      <c r="HMP167" s="7"/>
      <c r="HMQ167" s="21"/>
      <c r="HMR167" s="20"/>
      <c r="HMS167" s="20"/>
      <c r="HMT167" s="20"/>
      <c r="HMU167" s="21"/>
      <c r="HMV167" s="21"/>
      <c r="HMW167" s="21"/>
      <c r="HMX167" s="21"/>
      <c r="HMY167" s="21"/>
      <c r="HMZ167" s="20"/>
      <c r="HNA167" s="20"/>
      <c r="HNB167" s="20"/>
      <c r="HNC167" s="20"/>
      <c r="HND167" s="21"/>
      <c r="HNE167" s="21"/>
      <c r="HNF167" s="7"/>
      <c r="HNG167" s="7"/>
      <c r="HNH167" s="21"/>
      <c r="HNI167" s="20"/>
      <c r="HNJ167" s="20"/>
      <c r="HNK167" s="20"/>
      <c r="HNL167" s="21"/>
      <c r="HNM167" s="21"/>
      <c r="HNN167" s="21"/>
      <c r="HNO167" s="21"/>
      <c r="HNP167" s="21"/>
      <c r="HNQ167" s="20"/>
      <c r="HNR167" s="20"/>
      <c r="HNS167" s="20"/>
      <c r="HNT167" s="20"/>
      <c r="HNU167" s="21"/>
      <c r="HNV167" s="21"/>
      <c r="HNW167" s="7"/>
      <c r="HNX167" s="7"/>
      <c r="HNY167" s="21"/>
      <c r="HNZ167" s="20"/>
      <c r="HOA167" s="20"/>
      <c r="HOB167" s="20"/>
      <c r="HOC167" s="21"/>
      <c r="HOD167" s="21"/>
      <c r="HOE167" s="21"/>
      <c r="HOF167" s="21"/>
      <c r="HOG167" s="21"/>
      <c r="HOH167" s="20"/>
      <c r="HOI167" s="20"/>
      <c r="HOJ167" s="20"/>
      <c r="HOK167" s="20"/>
      <c r="HOL167" s="21"/>
      <c r="HOM167" s="21"/>
      <c r="HON167" s="7"/>
      <c r="HOO167" s="7"/>
      <c r="HOP167" s="21"/>
      <c r="HOQ167" s="20"/>
      <c r="HOR167" s="20"/>
      <c r="HOS167" s="20"/>
      <c r="HOT167" s="21"/>
      <c r="HOU167" s="21"/>
      <c r="HOV167" s="21"/>
      <c r="HOW167" s="21"/>
      <c r="HOX167" s="21"/>
      <c r="HOY167" s="20"/>
      <c r="HOZ167" s="20"/>
      <c r="HPA167" s="20"/>
      <c r="HPB167" s="20"/>
      <c r="HPC167" s="21"/>
      <c r="HPD167" s="21"/>
      <c r="HPE167" s="7"/>
      <c r="HPF167" s="7"/>
      <c r="HPG167" s="21"/>
      <c r="HPH167" s="20"/>
      <c r="HPI167" s="20"/>
      <c r="HPJ167" s="20"/>
      <c r="HPK167" s="21"/>
      <c r="HPL167" s="21"/>
      <c r="HPM167" s="21"/>
      <c r="HPN167" s="21"/>
      <c r="HPO167" s="21"/>
      <c r="HPP167" s="20"/>
      <c r="HPQ167" s="20"/>
      <c r="HPR167" s="20"/>
      <c r="HPS167" s="20"/>
      <c r="HPT167" s="21"/>
      <c r="HPU167" s="21"/>
      <c r="HPV167" s="7"/>
      <c r="HPW167" s="7"/>
      <c r="HPX167" s="21"/>
      <c r="HPY167" s="20"/>
      <c r="HPZ167" s="20"/>
      <c r="HQA167" s="20"/>
      <c r="HQB167" s="21"/>
      <c r="HQC167" s="21"/>
      <c r="HQD167" s="21"/>
      <c r="HQE167" s="21"/>
      <c r="HQF167" s="21"/>
      <c r="HQG167" s="20"/>
      <c r="HQH167" s="20"/>
      <c r="HQI167" s="20"/>
      <c r="HQJ167" s="20"/>
      <c r="HQK167" s="21"/>
      <c r="HQL167" s="21"/>
      <c r="HQM167" s="7"/>
      <c r="HQN167" s="7"/>
      <c r="HQO167" s="21"/>
      <c r="HQP167" s="20"/>
      <c r="HQQ167" s="20"/>
      <c r="HQR167" s="20"/>
      <c r="HQS167" s="21"/>
      <c r="HQT167" s="21"/>
      <c r="HQU167" s="21"/>
      <c r="HQV167" s="21"/>
      <c r="HQW167" s="21"/>
      <c r="HQX167" s="20"/>
      <c r="HQY167" s="20"/>
      <c r="HQZ167" s="20"/>
      <c r="HRA167" s="20"/>
      <c r="HRB167" s="21"/>
      <c r="HRC167" s="21"/>
      <c r="HRD167" s="7"/>
      <c r="HRE167" s="7"/>
      <c r="HRF167" s="21"/>
      <c r="HRG167" s="20"/>
      <c r="HRH167" s="20"/>
      <c r="HRI167" s="20"/>
      <c r="HRJ167" s="21"/>
      <c r="HRK167" s="21"/>
      <c r="HRL167" s="21"/>
      <c r="HRM167" s="21"/>
      <c r="HRN167" s="21"/>
      <c r="HRO167" s="20"/>
      <c r="HRP167" s="20"/>
      <c r="HRQ167" s="20"/>
      <c r="HRR167" s="20"/>
      <c r="HRS167" s="21"/>
      <c r="HRT167" s="21"/>
      <c r="HRU167" s="7"/>
      <c r="HRV167" s="7"/>
      <c r="HRW167" s="21"/>
      <c r="HRX167" s="20"/>
      <c r="HRY167" s="20"/>
      <c r="HRZ167" s="20"/>
      <c r="HSA167" s="21"/>
      <c r="HSB167" s="21"/>
      <c r="HSC167" s="21"/>
      <c r="HSD167" s="21"/>
      <c r="HSE167" s="21"/>
      <c r="HSF167" s="20"/>
      <c r="HSG167" s="20"/>
      <c r="HSH167" s="20"/>
      <c r="HSI167" s="20"/>
      <c r="HSJ167" s="21"/>
      <c r="HSK167" s="21"/>
      <c r="HSL167" s="7"/>
      <c r="HSM167" s="7"/>
      <c r="HSN167" s="21"/>
      <c r="HSO167" s="20"/>
      <c r="HSP167" s="20"/>
      <c r="HSQ167" s="20"/>
      <c r="HSR167" s="21"/>
      <c r="HSS167" s="21"/>
      <c r="HST167" s="21"/>
      <c r="HSU167" s="21"/>
      <c r="HSV167" s="21"/>
      <c r="HSW167" s="20"/>
      <c r="HSX167" s="20"/>
      <c r="HSY167" s="20"/>
      <c r="HSZ167" s="20"/>
      <c r="HTA167" s="21"/>
      <c r="HTB167" s="21"/>
      <c r="HTC167" s="7"/>
      <c r="HTD167" s="7"/>
      <c r="HTE167" s="21"/>
      <c r="HTF167" s="20"/>
      <c r="HTG167" s="20"/>
      <c r="HTH167" s="20"/>
      <c r="HTI167" s="21"/>
      <c r="HTJ167" s="21"/>
      <c r="HTK167" s="21"/>
      <c r="HTL167" s="21"/>
      <c r="HTM167" s="21"/>
      <c r="HTN167" s="20"/>
      <c r="HTO167" s="20"/>
      <c r="HTP167" s="20"/>
      <c r="HTQ167" s="20"/>
      <c r="HTR167" s="21"/>
      <c r="HTS167" s="21"/>
      <c r="HTT167" s="7"/>
      <c r="HTU167" s="7"/>
      <c r="HTV167" s="21"/>
      <c r="HTW167" s="20"/>
      <c r="HTX167" s="20"/>
      <c r="HTY167" s="20"/>
      <c r="HTZ167" s="21"/>
      <c r="HUA167" s="21"/>
      <c r="HUB167" s="21"/>
      <c r="HUC167" s="21"/>
      <c r="HUD167" s="21"/>
      <c r="HUE167" s="20"/>
      <c r="HUF167" s="20"/>
      <c r="HUG167" s="20"/>
      <c r="HUH167" s="20"/>
      <c r="HUI167" s="21"/>
      <c r="HUJ167" s="21"/>
      <c r="HUK167" s="7"/>
      <c r="HUL167" s="7"/>
      <c r="HUM167" s="21"/>
      <c r="HUN167" s="20"/>
      <c r="HUO167" s="20"/>
      <c r="HUP167" s="20"/>
      <c r="HUQ167" s="21"/>
      <c r="HUR167" s="21"/>
      <c r="HUS167" s="21"/>
      <c r="HUT167" s="21"/>
      <c r="HUU167" s="21"/>
      <c r="HUV167" s="20"/>
      <c r="HUW167" s="20"/>
      <c r="HUX167" s="20"/>
      <c r="HUY167" s="20"/>
      <c r="HUZ167" s="21"/>
      <c r="HVA167" s="21"/>
      <c r="HVB167" s="7"/>
      <c r="HVC167" s="7"/>
      <c r="HVD167" s="21"/>
      <c r="HVE167" s="20"/>
      <c r="HVF167" s="20"/>
      <c r="HVG167" s="20"/>
      <c r="HVH167" s="21"/>
      <c r="HVI167" s="21"/>
      <c r="HVJ167" s="21"/>
      <c r="HVK167" s="21"/>
      <c r="HVL167" s="21"/>
      <c r="HVM167" s="20"/>
      <c r="HVN167" s="20"/>
      <c r="HVO167" s="20"/>
      <c r="HVP167" s="20"/>
      <c r="HVQ167" s="21"/>
      <c r="HVR167" s="21"/>
      <c r="HVS167" s="7"/>
      <c r="HVT167" s="7"/>
      <c r="HVU167" s="21"/>
      <c r="HVV167" s="20"/>
      <c r="HVW167" s="20"/>
      <c r="HVX167" s="20"/>
      <c r="HVY167" s="21"/>
      <c r="HVZ167" s="21"/>
      <c r="HWA167" s="21"/>
      <c r="HWB167" s="21"/>
      <c r="HWC167" s="21"/>
      <c r="HWD167" s="20"/>
      <c r="HWE167" s="20"/>
      <c r="HWF167" s="20"/>
      <c r="HWG167" s="20"/>
      <c r="HWH167" s="21"/>
      <c r="HWI167" s="21"/>
      <c r="HWJ167" s="7"/>
      <c r="HWK167" s="7"/>
      <c r="HWL167" s="21"/>
      <c r="HWM167" s="20"/>
      <c r="HWN167" s="20"/>
      <c r="HWO167" s="20"/>
      <c r="HWP167" s="21"/>
      <c r="HWQ167" s="21"/>
      <c r="HWR167" s="21"/>
      <c r="HWS167" s="21"/>
      <c r="HWT167" s="21"/>
      <c r="HWU167" s="20"/>
      <c r="HWV167" s="20"/>
      <c r="HWW167" s="20"/>
      <c r="HWX167" s="20"/>
      <c r="HWY167" s="21"/>
      <c r="HWZ167" s="21"/>
      <c r="HXA167" s="7"/>
      <c r="HXB167" s="7"/>
      <c r="HXC167" s="21"/>
      <c r="HXD167" s="20"/>
      <c r="HXE167" s="20"/>
      <c r="HXF167" s="20"/>
      <c r="HXG167" s="21"/>
      <c r="HXH167" s="21"/>
      <c r="HXI167" s="21"/>
      <c r="HXJ167" s="21"/>
      <c r="HXK167" s="21"/>
      <c r="HXL167" s="20"/>
      <c r="HXM167" s="20"/>
      <c r="HXN167" s="20"/>
      <c r="HXO167" s="20"/>
      <c r="HXP167" s="21"/>
      <c r="HXQ167" s="21"/>
      <c r="HXR167" s="7"/>
      <c r="HXS167" s="7"/>
      <c r="HXT167" s="21"/>
      <c r="HXU167" s="20"/>
      <c r="HXV167" s="20"/>
      <c r="HXW167" s="20"/>
      <c r="HXX167" s="21"/>
      <c r="HXY167" s="21"/>
      <c r="HXZ167" s="21"/>
      <c r="HYA167" s="21"/>
      <c r="HYB167" s="21"/>
      <c r="HYC167" s="20"/>
      <c r="HYD167" s="20"/>
      <c r="HYE167" s="20"/>
      <c r="HYF167" s="20"/>
      <c r="HYG167" s="21"/>
      <c r="HYH167" s="21"/>
      <c r="HYI167" s="7"/>
      <c r="HYJ167" s="7"/>
      <c r="HYK167" s="21"/>
      <c r="HYL167" s="20"/>
      <c r="HYM167" s="20"/>
      <c r="HYN167" s="20"/>
      <c r="HYO167" s="21"/>
      <c r="HYP167" s="21"/>
      <c r="HYQ167" s="21"/>
      <c r="HYR167" s="21"/>
      <c r="HYS167" s="21"/>
      <c r="HYT167" s="20"/>
      <c r="HYU167" s="20"/>
      <c r="HYV167" s="20"/>
      <c r="HYW167" s="20"/>
      <c r="HYX167" s="21"/>
      <c r="HYY167" s="21"/>
      <c r="HYZ167" s="7"/>
      <c r="HZA167" s="7"/>
      <c r="HZB167" s="21"/>
      <c r="HZC167" s="20"/>
      <c r="HZD167" s="20"/>
      <c r="HZE167" s="20"/>
      <c r="HZF167" s="21"/>
      <c r="HZG167" s="21"/>
      <c r="HZH167" s="21"/>
      <c r="HZI167" s="21"/>
      <c r="HZJ167" s="21"/>
      <c r="HZK167" s="20"/>
      <c r="HZL167" s="20"/>
      <c r="HZM167" s="20"/>
      <c r="HZN167" s="20"/>
      <c r="HZO167" s="21"/>
      <c r="HZP167" s="21"/>
      <c r="HZQ167" s="7"/>
      <c r="HZR167" s="7"/>
      <c r="HZS167" s="21"/>
      <c r="HZT167" s="20"/>
      <c r="HZU167" s="20"/>
      <c r="HZV167" s="20"/>
      <c r="HZW167" s="21"/>
      <c r="HZX167" s="21"/>
      <c r="HZY167" s="21"/>
      <c r="HZZ167" s="21"/>
      <c r="IAA167" s="21"/>
      <c r="IAB167" s="20"/>
      <c r="IAC167" s="20"/>
      <c r="IAD167" s="20"/>
      <c r="IAE167" s="20"/>
      <c r="IAF167" s="21"/>
      <c r="IAG167" s="21"/>
      <c r="IAH167" s="7"/>
      <c r="IAI167" s="7"/>
      <c r="IAJ167" s="21"/>
      <c r="IAK167" s="20"/>
      <c r="IAL167" s="20"/>
      <c r="IAM167" s="20"/>
      <c r="IAN167" s="21"/>
      <c r="IAO167" s="21"/>
      <c r="IAP167" s="21"/>
      <c r="IAQ167" s="21"/>
      <c r="IAR167" s="21"/>
      <c r="IAS167" s="20"/>
      <c r="IAT167" s="20"/>
      <c r="IAU167" s="20"/>
      <c r="IAV167" s="20"/>
      <c r="IAW167" s="21"/>
      <c r="IAX167" s="21"/>
      <c r="IAY167" s="7"/>
      <c r="IAZ167" s="7"/>
      <c r="IBA167" s="21"/>
      <c r="IBB167" s="20"/>
      <c r="IBC167" s="20"/>
      <c r="IBD167" s="20"/>
      <c r="IBE167" s="21"/>
      <c r="IBF167" s="21"/>
      <c r="IBG167" s="21"/>
      <c r="IBH167" s="21"/>
      <c r="IBI167" s="21"/>
      <c r="IBJ167" s="20"/>
      <c r="IBK167" s="20"/>
      <c r="IBL167" s="20"/>
      <c r="IBM167" s="20"/>
      <c r="IBN167" s="21"/>
      <c r="IBO167" s="21"/>
      <c r="IBP167" s="7"/>
      <c r="IBQ167" s="7"/>
      <c r="IBR167" s="21"/>
      <c r="IBS167" s="20"/>
      <c r="IBT167" s="20"/>
      <c r="IBU167" s="20"/>
      <c r="IBV167" s="21"/>
      <c r="IBW167" s="21"/>
      <c r="IBX167" s="21"/>
      <c r="IBY167" s="21"/>
      <c r="IBZ167" s="21"/>
      <c r="ICA167" s="20"/>
      <c r="ICB167" s="20"/>
      <c r="ICC167" s="20"/>
      <c r="ICD167" s="20"/>
      <c r="ICE167" s="21"/>
      <c r="ICF167" s="21"/>
      <c r="ICG167" s="7"/>
      <c r="ICH167" s="7"/>
      <c r="ICI167" s="21"/>
      <c r="ICJ167" s="20"/>
      <c r="ICK167" s="20"/>
      <c r="ICL167" s="20"/>
      <c r="ICM167" s="21"/>
      <c r="ICN167" s="21"/>
      <c r="ICO167" s="21"/>
      <c r="ICP167" s="21"/>
      <c r="ICQ167" s="21"/>
      <c r="ICR167" s="20"/>
      <c r="ICS167" s="20"/>
      <c r="ICT167" s="20"/>
      <c r="ICU167" s="20"/>
      <c r="ICV167" s="21"/>
      <c r="ICW167" s="21"/>
      <c r="ICX167" s="7"/>
      <c r="ICY167" s="7"/>
      <c r="ICZ167" s="21"/>
      <c r="IDA167" s="20"/>
      <c r="IDB167" s="20"/>
      <c r="IDC167" s="20"/>
      <c r="IDD167" s="21"/>
      <c r="IDE167" s="21"/>
      <c r="IDF167" s="21"/>
      <c r="IDG167" s="21"/>
      <c r="IDH167" s="21"/>
      <c r="IDI167" s="20"/>
      <c r="IDJ167" s="20"/>
      <c r="IDK167" s="20"/>
      <c r="IDL167" s="20"/>
      <c r="IDM167" s="21"/>
      <c r="IDN167" s="21"/>
      <c r="IDO167" s="7"/>
      <c r="IDP167" s="7"/>
      <c r="IDQ167" s="21"/>
      <c r="IDR167" s="20"/>
      <c r="IDS167" s="20"/>
      <c r="IDT167" s="20"/>
      <c r="IDU167" s="21"/>
      <c r="IDV167" s="21"/>
      <c r="IDW167" s="21"/>
      <c r="IDX167" s="21"/>
      <c r="IDY167" s="21"/>
      <c r="IDZ167" s="20"/>
      <c r="IEA167" s="20"/>
      <c r="IEB167" s="20"/>
      <c r="IEC167" s="20"/>
      <c r="IED167" s="21"/>
      <c r="IEE167" s="21"/>
      <c r="IEF167" s="7"/>
      <c r="IEG167" s="7"/>
      <c r="IEH167" s="21"/>
      <c r="IEI167" s="20"/>
      <c r="IEJ167" s="20"/>
      <c r="IEK167" s="20"/>
      <c r="IEL167" s="21"/>
      <c r="IEM167" s="21"/>
      <c r="IEN167" s="21"/>
      <c r="IEO167" s="21"/>
      <c r="IEP167" s="21"/>
      <c r="IEQ167" s="20"/>
      <c r="IER167" s="20"/>
      <c r="IES167" s="20"/>
      <c r="IET167" s="20"/>
      <c r="IEU167" s="21"/>
      <c r="IEV167" s="21"/>
      <c r="IEW167" s="7"/>
      <c r="IEX167" s="7"/>
      <c r="IEY167" s="21"/>
      <c r="IEZ167" s="20"/>
      <c r="IFA167" s="20"/>
      <c r="IFB167" s="20"/>
      <c r="IFC167" s="21"/>
      <c r="IFD167" s="21"/>
      <c r="IFE167" s="21"/>
      <c r="IFF167" s="21"/>
      <c r="IFG167" s="21"/>
      <c r="IFH167" s="20"/>
      <c r="IFI167" s="20"/>
      <c r="IFJ167" s="20"/>
      <c r="IFK167" s="20"/>
      <c r="IFL167" s="21"/>
      <c r="IFM167" s="21"/>
      <c r="IFN167" s="7"/>
      <c r="IFO167" s="7"/>
      <c r="IFP167" s="21"/>
      <c r="IFQ167" s="20"/>
      <c r="IFR167" s="20"/>
      <c r="IFS167" s="20"/>
      <c r="IFT167" s="21"/>
      <c r="IFU167" s="21"/>
      <c r="IFV167" s="21"/>
      <c r="IFW167" s="21"/>
      <c r="IFX167" s="21"/>
      <c r="IFY167" s="20"/>
      <c r="IFZ167" s="20"/>
      <c r="IGA167" s="20"/>
      <c r="IGB167" s="20"/>
      <c r="IGC167" s="21"/>
      <c r="IGD167" s="21"/>
      <c r="IGE167" s="7"/>
      <c r="IGF167" s="7"/>
      <c r="IGG167" s="21"/>
      <c r="IGH167" s="20"/>
      <c r="IGI167" s="20"/>
      <c r="IGJ167" s="20"/>
      <c r="IGK167" s="21"/>
      <c r="IGL167" s="21"/>
      <c r="IGM167" s="21"/>
      <c r="IGN167" s="21"/>
      <c r="IGO167" s="21"/>
      <c r="IGP167" s="20"/>
      <c r="IGQ167" s="20"/>
      <c r="IGR167" s="20"/>
      <c r="IGS167" s="20"/>
      <c r="IGT167" s="21"/>
      <c r="IGU167" s="21"/>
      <c r="IGV167" s="7"/>
      <c r="IGW167" s="7"/>
      <c r="IGX167" s="21"/>
      <c r="IGY167" s="20"/>
      <c r="IGZ167" s="20"/>
      <c r="IHA167" s="20"/>
      <c r="IHB167" s="21"/>
      <c r="IHC167" s="21"/>
      <c r="IHD167" s="21"/>
      <c r="IHE167" s="21"/>
      <c r="IHF167" s="21"/>
      <c r="IHG167" s="20"/>
      <c r="IHH167" s="20"/>
      <c r="IHI167" s="20"/>
      <c r="IHJ167" s="20"/>
      <c r="IHK167" s="21"/>
      <c r="IHL167" s="21"/>
      <c r="IHM167" s="7"/>
      <c r="IHN167" s="7"/>
      <c r="IHO167" s="21"/>
      <c r="IHP167" s="20"/>
      <c r="IHQ167" s="20"/>
      <c r="IHR167" s="20"/>
      <c r="IHS167" s="21"/>
      <c r="IHT167" s="21"/>
      <c r="IHU167" s="21"/>
      <c r="IHV167" s="21"/>
      <c r="IHW167" s="21"/>
      <c r="IHX167" s="20"/>
      <c r="IHY167" s="20"/>
      <c r="IHZ167" s="20"/>
      <c r="IIA167" s="20"/>
      <c r="IIB167" s="21"/>
      <c r="IIC167" s="21"/>
      <c r="IID167" s="7"/>
      <c r="IIE167" s="7"/>
      <c r="IIF167" s="21"/>
      <c r="IIG167" s="20"/>
      <c r="IIH167" s="20"/>
      <c r="III167" s="20"/>
      <c r="IIJ167" s="21"/>
      <c r="IIK167" s="21"/>
      <c r="IIL167" s="21"/>
      <c r="IIM167" s="21"/>
      <c r="IIN167" s="21"/>
      <c r="IIO167" s="20"/>
      <c r="IIP167" s="20"/>
      <c r="IIQ167" s="20"/>
      <c r="IIR167" s="20"/>
      <c r="IIS167" s="21"/>
      <c r="IIT167" s="21"/>
      <c r="IIU167" s="7"/>
      <c r="IIV167" s="7"/>
      <c r="IIW167" s="21"/>
      <c r="IIX167" s="20"/>
      <c r="IIY167" s="20"/>
      <c r="IIZ167" s="20"/>
      <c r="IJA167" s="21"/>
      <c r="IJB167" s="21"/>
      <c r="IJC167" s="21"/>
      <c r="IJD167" s="21"/>
      <c r="IJE167" s="21"/>
      <c r="IJF167" s="20"/>
      <c r="IJG167" s="20"/>
      <c r="IJH167" s="20"/>
      <c r="IJI167" s="20"/>
      <c r="IJJ167" s="21"/>
      <c r="IJK167" s="21"/>
      <c r="IJL167" s="7"/>
      <c r="IJM167" s="7"/>
      <c r="IJN167" s="21"/>
      <c r="IJO167" s="20"/>
      <c r="IJP167" s="20"/>
      <c r="IJQ167" s="20"/>
      <c r="IJR167" s="21"/>
      <c r="IJS167" s="21"/>
      <c r="IJT167" s="21"/>
      <c r="IJU167" s="21"/>
      <c r="IJV167" s="21"/>
      <c r="IJW167" s="20"/>
      <c r="IJX167" s="20"/>
      <c r="IJY167" s="20"/>
      <c r="IJZ167" s="20"/>
      <c r="IKA167" s="21"/>
      <c r="IKB167" s="21"/>
      <c r="IKC167" s="7"/>
      <c r="IKD167" s="7"/>
      <c r="IKE167" s="21"/>
      <c r="IKF167" s="20"/>
      <c r="IKG167" s="20"/>
      <c r="IKH167" s="20"/>
      <c r="IKI167" s="21"/>
      <c r="IKJ167" s="21"/>
      <c r="IKK167" s="21"/>
      <c r="IKL167" s="21"/>
      <c r="IKM167" s="21"/>
      <c r="IKN167" s="20"/>
      <c r="IKO167" s="20"/>
      <c r="IKP167" s="20"/>
      <c r="IKQ167" s="20"/>
      <c r="IKR167" s="21"/>
      <c r="IKS167" s="21"/>
      <c r="IKT167" s="7"/>
      <c r="IKU167" s="7"/>
      <c r="IKV167" s="21"/>
      <c r="IKW167" s="20"/>
      <c r="IKX167" s="20"/>
      <c r="IKY167" s="20"/>
      <c r="IKZ167" s="21"/>
      <c r="ILA167" s="21"/>
      <c r="ILB167" s="21"/>
      <c r="ILC167" s="21"/>
      <c r="ILD167" s="21"/>
      <c r="ILE167" s="20"/>
      <c r="ILF167" s="20"/>
      <c r="ILG167" s="20"/>
      <c r="ILH167" s="20"/>
      <c r="ILI167" s="21"/>
      <c r="ILJ167" s="21"/>
      <c r="ILK167" s="7"/>
      <c r="ILL167" s="7"/>
      <c r="ILM167" s="21"/>
      <c r="ILN167" s="20"/>
      <c r="ILO167" s="20"/>
      <c r="ILP167" s="20"/>
      <c r="ILQ167" s="21"/>
      <c r="ILR167" s="21"/>
      <c r="ILS167" s="21"/>
      <c r="ILT167" s="21"/>
      <c r="ILU167" s="21"/>
      <c r="ILV167" s="20"/>
      <c r="ILW167" s="20"/>
      <c r="ILX167" s="20"/>
      <c r="ILY167" s="20"/>
      <c r="ILZ167" s="21"/>
      <c r="IMA167" s="21"/>
      <c r="IMB167" s="7"/>
      <c r="IMC167" s="7"/>
      <c r="IMD167" s="21"/>
      <c r="IME167" s="20"/>
      <c r="IMF167" s="20"/>
      <c r="IMG167" s="20"/>
      <c r="IMH167" s="21"/>
      <c r="IMI167" s="21"/>
      <c r="IMJ167" s="21"/>
      <c r="IMK167" s="21"/>
      <c r="IML167" s="21"/>
      <c r="IMM167" s="20"/>
      <c r="IMN167" s="20"/>
      <c r="IMO167" s="20"/>
      <c r="IMP167" s="20"/>
      <c r="IMQ167" s="21"/>
      <c r="IMR167" s="21"/>
      <c r="IMS167" s="7"/>
      <c r="IMT167" s="7"/>
      <c r="IMU167" s="21"/>
      <c r="IMV167" s="20"/>
      <c r="IMW167" s="20"/>
      <c r="IMX167" s="20"/>
      <c r="IMY167" s="21"/>
      <c r="IMZ167" s="21"/>
      <c r="INA167" s="21"/>
      <c r="INB167" s="21"/>
      <c r="INC167" s="21"/>
      <c r="IND167" s="20"/>
      <c r="INE167" s="20"/>
      <c r="INF167" s="20"/>
      <c r="ING167" s="20"/>
      <c r="INH167" s="21"/>
      <c r="INI167" s="21"/>
      <c r="INJ167" s="7"/>
      <c r="INK167" s="7"/>
      <c r="INL167" s="21"/>
      <c r="INM167" s="20"/>
      <c r="INN167" s="20"/>
      <c r="INO167" s="20"/>
      <c r="INP167" s="21"/>
      <c r="INQ167" s="21"/>
      <c r="INR167" s="21"/>
      <c r="INS167" s="21"/>
      <c r="INT167" s="21"/>
      <c r="INU167" s="20"/>
      <c r="INV167" s="20"/>
      <c r="INW167" s="20"/>
      <c r="INX167" s="20"/>
      <c r="INY167" s="21"/>
      <c r="INZ167" s="21"/>
      <c r="IOA167" s="7"/>
      <c r="IOB167" s="7"/>
      <c r="IOC167" s="21"/>
      <c r="IOD167" s="20"/>
      <c r="IOE167" s="20"/>
      <c r="IOF167" s="20"/>
      <c r="IOG167" s="21"/>
      <c r="IOH167" s="21"/>
      <c r="IOI167" s="21"/>
      <c r="IOJ167" s="21"/>
      <c r="IOK167" s="21"/>
      <c r="IOL167" s="20"/>
      <c r="IOM167" s="20"/>
      <c r="ION167" s="20"/>
      <c r="IOO167" s="20"/>
      <c r="IOP167" s="21"/>
      <c r="IOQ167" s="21"/>
      <c r="IOR167" s="7"/>
      <c r="IOS167" s="7"/>
      <c r="IOT167" s="21"/>
      <c r="IOU167" s="20"/>
      <c r="IOV167" s="20"/>
      <c r="IOW167" s="20"/>
      <c r="IOX167" s="21"/>
      <c r="IOY167" s="21"/>
      <c r="IOZ167" s="21"/>
      <c r="IPA167" s="21"/>
      <c r="IPB167" s="21"/>
      <c r="IPC167" s="20"/>
      <c r="IPD167" s="20"/>
      <c r="IPE167" s="20"/>
      <c r="IPF167" s="20"/>
      <c r="IPG167" s="21"/>
      <c r="IPH167" s="21"/>
      <c r="IPI167" s="7"/>
      <c r="IPJ167" s="7"/>
      <c r="IPK167" s="21"/>
      <c r="IPL167" s="20"/>
      <c r="IPM167" s="20"/>
      <c r="IPN167" s="20"/>
      <c r="IPO167" s="21"/>
      <c r="IPP167" s="21"/>
      <c r="IPQ167" s="21"/>
      <c r="IPR167" s="21"/>
      <c r="IPS167" s="21"/>
      <c r="IPT167" s="20"/>
      <c r="IPU167" s="20"/>
      <c r="IPV167" s="20"/>
      <c r="IPW167" s="20"/>
      <c r="IPX167" s="21"/>
      <c r="IPY167" s="21"/>
      <c r="IPZ167" s="7"/>
      <c r="IQA167" s="7"/>
      <c r="IQB167" s="21"/>
      <c r="IQC167" s="20"/>
      <c r="IQD167" s="20"/>
      <c r="IQE167" s="20"/>
      <c r="IQF167" s="21"/>
      <c r="IQG167" s="21"/>
      <c r="IQH167" s="21"/>
      <c r="IQI167" s="21"/>
      <c r="IQJ167" s="21"/>
      <c r="IQK167" s="20"/>
      <c r="IQL167" s="20"/>
      <c r="IQM167" s="20"/>
      <c r="IQN167" s="20"/>
      <c r="IQO167" s="21"/>
      <c r="IQP167" s="21"/>
      <c r="IQQ167" s="7"/>
      <c r="IQR167" s="7"/>
      <c r="IQS167" s="21"/>
      <c r="IQT167" s="20"/>
      <c r="IQU167" s="20"/>
      <c r="IQV167" s="20"/>
      <c r="IQW167" s="21"/>
      <c r="IQX167" s="21"/>
      <c r="IQY167" s="21"/>
      <c r="IQZ167" s="21"/>
      <c r="IRA167" s="21"/>
      <c r="IRB167" s="20"/>
      <c r="IRC167" s="20"/>
      <c r="IRD167" s="20"/>
      <c r="IRE167" s="20"/>
      <c r="IRF167" s="21"/>
      <c r="IRG167" s="21"/>
      <c r="IRH167" s="7"/>
      <c r="IRI167" s="7"/>
      <c r="IRJ167" s="21"/>
      <c r="IRK167" s="20"/>
      <c r="IRL167" s="20"/>
      <c r="IRM167" s="20"/>
      <c r="IRN167" s="21"/>
      <c r="IRO167" s="21"/>
      <c r="IRP167" s="21"/>
      <c r="IRQ167" s="21"/>
      <c r="IRR167" s="21"/>
      <c r="IRS167" s="20"/>
      <c r="IRT167" s="20"/>
      <c r="IRU167" s="20"/>
      <c r="IRV167" s="20"/>
      <c r="IRW167" s="21"/>
      <c r="IRX167" s="21"/>
      <c r="IRY167" s="7"/>
      <c r="IRZ167" s="7"/>
      <c r="ISA167" s="21"/>
      <c r="ISB167" s="20"/>
      <c r="ISC167" s="20"/>
      <c r="ISD167" s="20"/>
      <c r="ISE167" s="21"/>
      <c r="ISF167" s="21"/>
      <c r="ISG167" s="21"/>
      <c r="ISH167" s="21"/>
      <c r="ISI167" s="21"/>
      <c r="ISJ167" s="20"/>
      <c r="ISK167" s="20"/>
      <c r="ISL167" s="20"/>
      <c r="ISM167" s="20"/>
      <c r="ISN167" s="21"/>
      <c r="ISO167" s="21"/>
      <c r="ISP167" s="7"/>
      <c r="ISQ167" s="7"/>
      <c r="ISR167" s="21"/>
      <c r="ISS167" s="20"/>
      <c r="IST167" s="20"/>
      <c r="ISU167" s="20"/>
      <c r="ISV167" s="21"/>
      <c r="ISW167" s="21"/>
      <c r="ISX167" s="21"/>
      <c r="ISY167" s="21"/>
      <c r="ISZ167" s="21"/>
      <c r="ITA167" s="20"/>
      <c r="ITB167" s="20"/>
      <c r="ITC167" s="20"/>
      <c r="ITD167" s="20"/>
      <c r="ITE167" s="21"/>
      <c r="ITF167" s="21"/>
      <c r="ITG167" s="7"/>
      <c r="ITH167" s="7"/>
      <c r="ITI167" s="21"/>
      <c r="ITJ167" s="20"/>
      <c r="ITK167" s="20"/>
      <c r="ITL167" s="20"/>
      <c r="ITM167" s="21"/>
      <c r="ITN167" s="21"/>
      <c r="ITO167" s="21"/>
      <c r="ITP167" s="21"/>
      <c r="ITQ167" s="21"/>
      <c r="ITR167" s="20"/>
      <c r="ITS167" s="20"/>
      <c r="ITT167" s="20"/>
      <c r="ITU167" s="20"/>
      <c r="ITV167" s="21"/>
      <c r="ITW167" s="21"/>
      <c r="ITX167" s="7"/>
      <c r="ITY167" s="7"/>
      <c r="ITZ167" s="21"/>
      <c r="IUA167" s="20"/>
      <c r="IUB167" s="20"/>
      <c r="IUC167" s="20"/>
      <c r="IUD167" s="21"/>
      <c r="IUE167" s="21"/>
      <c r="IUF167" s="21"/>
      <c r="IUG167" s="21"/>
      <c r="IUH167" s="21"/>
      <c r="IUI167" s="20"/>
      <c r="IUJ167" s="20"/>
      <c r="IUK167" s="20"/>
      <c r="IUL167" s="20"/>
      <c r="IUM167" s="21"/>
      <c r="IUN167" s="21"/>
      <c r="IUO167" s="7"/>
      <c r="IUP167" s="7"/>
      <c r="IUQ167" s="21"/>
      <c r="IUR167" s="20"/>
      <c r="IUS167" s="20"/>
      <c r="IUT167" s="20"/>
      <c r="IUU167" s="21"/>
      <c r="IUV167" s="21"/>
      <c r="IUW167" s="21"/>
      <c r="IUX167" s="21"/>
      <c r="IUY167" s="21"/>
      <c r="IUZ167" s="20"/>
      <c r="IVA167" s="20"/>
      <c r="IVB167" s="20"/>
      <c r="IVC167" s="20"/>
      <c r="IVD167" s="21"/>
      <c r="IVE167" s="21"/>
      <c r="IVF167" s="7"/>
      <c r="IVG167" s="7"/>
      <c r="IVH167" s="21"/>
      <c r="IVI167" s="20"/>
      <c r="IVJ167" s="20"/>
      <c r="IVK167" s="20"/>
      <c r="IVL167" s="21"/>
      <c r="IVM167" s="21"/>
      <c r="IVN167" s="21"/>
      <c r="IVO167" s="21"/>
      <c r="IVP167" s="21"/>
      <c r="IVQ167" s="20"/>
      <c r="IVR167" s="20"/>
      <c r="IVS167" s="20"/>
      <c r="IVT167" s="20"/>
      <c r="IVU167" s="21"/>
      <c r="IVV167" s="21"/>
      <c r="IVW167" s="7"/>
      <c r="IVX167" s="7"/>
      <c r="IVY167" s="21"/>
      <c r="IVZ167" s="20"/>
      <c r="IWA167" s="20"/>
      <c r="IWB167" s="20"/>
      <c r="IWC167" s="21"/>
      <c r="IWD167" s="21"/>
      <c r="IWE167" s="21"/>
      <c r="IWF167" s="21"/>
      <c r="IWG167" s="21"/>
      <c r="IWH167" s="20"/>
      <c r="IWI167" s="20"/>
      <c r="IWJ167" s="20"/>
      <c r="IWK167" s="20"/>
      <c r="IWL167" s="21"/>
      <c r="IWM167" s="21"/>
      <c r="IWN167" s="7"/>
      <c r="IWO167" s="7"/>
      <c r="IWP167" s="21"/>
      <c r="IWQ167" s="20"/>
      <c r="IWR167" s="20"/>
      <c r="IWS167" s="20"/>
      <c r="IWT167" s="21"/>
      <c r="IWU167" s="21"/>
      <c r="IWV167" s="21"/>
      <c r="IWW167" s="21"/>
      <c r="IWX167" s="21"/>
      <c r="IWY167" s="20"/>
      <c r="IWZ167" s="20"/>
      <c r="IXA167" s="20"/>
      <c r="IXB167" s="20"/>
      <c r="IXC167" s="21"/>
      <c r="IXD167" s="21"/>
      <c r="IXE167" s="7"/>
      <c r="IXF167" s="7"/>
      <c r="IXG167" s="21"/>
      <c r="IXH167" s="20"/>
      <c r="IXI167" s="20"/>
      <c r="IXJ167" s="20"/>
      <c r="IXK167" s="21"/>
      <c r="IXL167" s="21"/>
      <c r="IXM167" s="21"/>
      <c r="IXN167" s="21"/>
      <c r="IXO167" s="21"/>
      <c r="IXP167" s="20"/>
      <c r="IXQ167" s="20"/>
      <c r="IXR167" s="20"/>
      <c r="IXS167" s="20"/>
      <c r="IXT167" s="21"/>
      <c r="IXU167" s="21"/>
      <c r="IXV167" s="7"/>
      <c r="IXW167" s="7"/>
      <c r="IXX167" s="21"/>
      <c r="IXY167" s="20"/>
      <c r="IXZ167" s="20"/>
      <c r="IYA167" s="20"/>
      <c r="IYB167" s="21"/>
      <c r="IYC167" s="21"/>
      <c r="IYD167" s="21"/>
      <c r="IYE167" s="21"/>
      <c r="IYF167" s="21"/>
      <c r="IYG167" s="20"/>
      <c r="IYH167" s="20"/>
      <c r="IYI167" s="20"/>
      <c r="IYJ167" s="20"/>
      <c r="IYK167" s="21"/>
      <c r="IYL167" s="21"/>
      <c r="IYM167" s="7"/>
      <c r="IYN167" s="7"/>
      <c r="IYO167" s="21"/>
      <c r="IYP167" s="20"/>
      <c r="IYQ167" s="20"/>
      <c r="IYR167" s="20"/>
      <c r="IYS167" s="21"/>
      <c r="IYT167" s="21"/>
      <c r="IYU167" s="21"/>
      <c r="IYV167" s="21"/>
      <c r="IYW167" s="21"/>
      <c r="IYX167" s="20"/>
      <c r="IYY167" s="20"/>
      <c r="IYZ167" s="20"/>
      <c r="IZA167" s="20"/>
      <c r="IZB167" s="21"/>
      <c r="IZC167" s="21"/>
      <c r="IZD167" s="7"/>
      <c r="IZE167" s="7"/>
      <c r="IZF167" s="21"/>
      <c r="IZG167" s="20"/>
      <c r="IZH167" s="20"/>
      <c r="IZI167" s="20"/>
      <c r="IZJ167" s="21"/>
      <c r="IZK167" s="21"/>
      <c r="IZL167" s="21"/>
      <c r="IZM167" s="21"/>
      <c r="IZN167" s="21"/>
      <c r="IZO167" s="20"/>
      <c r="IZP167" s="20"/>
      <c r="IZQ167" s="20"/>
      <c r="IZR167" s="20"/>
      <c r="IZS167" s="21"/>
      <c r="IZT167" s="21"/>
      <c r="IZU167" s="7"/>
      <c r="IZV167" s="7"/>
      <c r="IZW167" s="21"/>
      <c r="IZX167" s="20"/>
      <c r="IZY167" s="20"/>
      <c r="IZZ167" s="20"/>
      <c r="JAA167" s="21"/>
      <c r="JAB167" s="21"/>
      <c r="JAC167" s="21"/>
      <c r="JAD167" s="21"/>
      <c r="JAE167" s="21"/>
      <c r="JAF167" s="20"/>
      <c r="JAG167" s="20"/>
      <c r="JAH167" s="20"/>
      <c r="JAI167" s="20"/>
      <c r="JAJ167" s="21"/>
      <c r="JAK167" s="21"/>
      <c r="JAL167" s="7"/>
      <c r="JAM167" s="7"/>
      <c r="JAN167" s="21"/>
      <c r="JAO167" s="20"/>
      <c r="JAP167" s="20"/>
      <c r="JAQ167" s="20"/>
      <c r="JAR167" s="21"/>
      <c r="JAS167" s="21"/>
      <c r="JAT167" s="21"/>
      <c r="JAU167" s="21"/>
      <c r="JAV167" s="21"/>
      <c r="JAW167" s="20"/>
      <c r="JAX167" s="20"/>
      <c r="JAY167" s="20"/>
      <c r="JAZ167" s="20"/>
      <c r="JBA167" s="21"/>
      <c r="JBB167" s="21"/>
      <c r="JBC167" s="7"/>
      <c r="JBD167" s="7"/>
      <c r="JBE167" s="21"/>
      <c r="JBF167" s="20"/>
      <c r="JBG167" s="20"/>
      <c r="JBH167" s="20"/>
      <c r="JBI167" s="21"/>
      <c r="JBJ167" s="21"/>
      <c r="JBK167" s="21"/>
      <c r="JBL167" s="21"/>
      <c r="JBM167" s="21"/>
      <c r="JBN167" s="20"/>
      <c r="JBO167" s="20"/>
      <c r="JBP167" s="20"/>
      <c r="JBQ167" s="20"/>
      <c r="JBR167" s="21"/>
      <c r="JBS167" s="21"/>
      <c r="JBT167" s="7"/>
      <c r="JBU167" s="7"/>
      <c r="JBV167" s="21"/>
      <c r="JBW167" s="20"/>
      <c r="JBX167" s="20"/>
      <c r="JBY167" s="20"/>
      <c r="JBZ167" s="21"/>
      <c r="JCA167" s="21"/>
      <c r="JCB167" s="21"/>
      <c r="JCC167" s="21"/>
      <c r="JCD167" s="21"/>
      <c r="JCE167" s="20"/>
      <c r="JCF167" s="20"/>
      <c r="JCG167" s="20"/>
      <c r="JCH167" s="20"/>
      <c r="JCI167" s="21"/>
      <c r="JCJ167" s="21"/>
      <c r="JCK167" s="7"/>
      <c r="JCL167" s="7"/>
      <c r="JCM167" s="21"/>
      <c r="JCN167" s="20"/>
      <c r="JCO167" s="20"/>
      <c r="JCP167" s="20"/>
      <c r="JCQ167" s="21"/>
      <c r="JCR167" s="21"/>
      <c r="JCS167" s="21"/>
      <c r="JCT167" s="21"/>
      <c r="JCU167" s="21"/>
      <c r="JCV167" s="20"/>
      <c r="JCW167" s="20"/>
      <c r="JCX167" s="20"/>
      <c r="JCY167" s="20"/>
      <c r="JCZ167" s="21"/>
      <c r="JDA167" s="21"/>
      <c r="JDB167" s="7"/>
      <c r="JDC167" s="7"/>
      <c r="JDD167" s="21"/>
      <c r="JDE167" s="20"/>
      <c r="JDF167" s="20"/>
      <c r="JDG167" s="20"/>
      <c r="JDH167" s="21"/>
      <c r="JDI167" s="21"/>
      <c r="JDJ167" s="21"/>
      <c r="JDK167" s="21"/>
      <c r="JDL167" s="21"/>
      <c r="JDM167" s="20"/>
      <c r="JDN167" s="20"/>
      <c r="JDO167" s="20"/>
      <c r="JDP167" s="20"/>
      <c r="JDQ167" s="21"/>
      <c r="JDR167" s="21"/>
      <c r="JDS167" s="7"/>
      <c r="JDT167" s="7"/>
      <c r="JDU167" s="21"/>
      <c r="JDV167" s="20"/>
      <c r="JDW167" s="20"/>
      <c r="JDX167" s="20"/>
      <c r="JDY167" s="21"/>
      <c r="JDZ167" s="21"/>
      <c r="JEA167" s="21"/>
      <c r="JEB167" s="21"/>
      <c r="JEC167" s="21"/>
      <c r="JED167" s="20"/>
      <c r="JEE167" s="20"/>
      <c r="JEF167" s="20"/>
      <c r="JEG167" s="20"/>
      <c r="JEH167" s="21"/>
      <c r="JEI167" s="21"/>
      <c r="JEJ167" s="7"/>
      <c r="JEK167" s="7"/>
      <c r="JEL167" s="21"/>
      <c r="JEM167" s="20"/>
      <c r="JEN167" s="20"/>
      <c r="JEO167" s="20"/>
      <c r="JEP167" s="21"/>
      <c r="JEQ167" s="21"/>
      <c r="JER167" s="21"/>
      <c r="JES167" s="21"/>
      <c r="JET167" s="21"/>
      <c r="JEU167" s="20"/>
      <c r="JEV167" s="20"/>
      <c r="JEW167" s="20"/>
      <c r="JEX167" s="20"/>
      <c r="JEY167" s="21"/>
      <c r="JEZ167" s="21"/>
      <c r="JFA167" s="7"/>
      <c r="JFB167" s="7"/>
      <c r="JFC167" s="21"/>
      <c r="JFD167" s="20"/>
      <c r="JFE167" s="20"/>
      <c r="JFF167" s="20"/>
      <c r="JFG167" s="21"/>
      <c r="JFH167" s="21"/>
      <c r="JFI167" s="21"/>
      <c r="JFJ167" s="21"/>
      <c r="JFK167" s="21"/>
      <c r="JFL167" s="20"/>
      <c r="JFM167" s="20"/>
      <c r="JFN167" s="20"/>
      <c r="JFO167" s="20"/>
      <c r="JFP167" s="21"/>
      <c r="JFQ167" s="21"/>
      <c r="JFR167" s="7"/>
      <c r="JFS167" s="7"/>
      <c r="JFT167" s="21"/>
      <c r="JFU167" s="20"/>
      <c r="JFV167" s="20"/>
      <c r="JFW167" s="20"/>
      <c r="JFX167" s="21"/>
      <c r="JFY167" s="21"/>
      <c r="JFZ167" s="21"/>
      <c r="JGA167" s="21"/>
      <c r="JGB167" s="21"/>
      <c r="JGC167" s="20"/>
      <c r="JGD167" s="20"/>
      <c r="JGE167" s="20"/>
      <c r="JGF167" s="20"/>
      <c r="JGG167" s="21"/>
      <c r="JGH167" s="21"/>
      <c r="JGI167" s="7"/>
      <c r="JGJ167" s="7"/>
      <c r="JGK167" s="21"/>
      <c r="JGL167" s="20"/>
      <c r="JGM167" s="20"/>
      <c r="JGN167" s="20"/>
      <c r="JGO167" s="21"/>
      <c r="JGP167" s="21"/>
      <c r="JGQ167" s="21"/>
      <c r="JGR167" s="21"/>
      <c r="JGS167" s="21"/>
      <c r="JGT167" s="20"/>
      <c r="JGU167" s="20"/>
      <c r="JGV167" s="20"/>
      <c r="JGW167" s="20"/>
      <c r="JGX167" s="21"/>
      <c r="JGY167" s="21"/>
      <c r="JGZ167" s="7"/>
      <c r="JHA167" s="7"/>
      <c r="JHB167" s="21"/>
      <c r="JHC167" s="20"/>
      <c r="JHD167" s="20"/>
      <c r="JHE167" s="20"/>
      <c r="JHF167" s="21"/>
      <c r="JHG167" s="21"/>
      <c r="JHH167" s="21"/>
      <c r="JHI167" s="21"/>
      <c r="JHJ167" s="21"/>
      <c r="JHK167" s="20"/>
      <c r="JHL167" s="20"/>
      <c r="JHM167" s="20"/>
      <c r="JHN167" s="20"/>
      <c r="JHO167" s="21"/>
      <c r="JHP167" s="21"/>
      <c r="JHQ167" s="7"/>
      <c r="JHR167" s="7"/>
      <c r="JHS167" s="21"/>
      <c r="JHT167" s="20"/>
      <c r="JHU167" s="20"/>
      <c r="JHV167" s="20"/>
      <c r="JHW167" s="21"/>
      <c r="JHX167" s="21"/>
      <c r="JHY167" s="21"/>
      <c r="JHZ167" s="21"/>
      <c r="JIA167" s="21"/>
      <c r="JIB167" s="20"/>
      <c r="JIC167" s="20"/>
      <c r="JID167" s="20"/>
      <c r="JIE167" s="20"/>
      <c r="JIF167" s="21"/>
      <c r="JIG167" s="21"/>
      <c r="JIH167" s="7"/>
      <c r="JII167" s="7"/>
      <c r="JIJ167" s="21"/>
      <c r="JIK167" s="20"/>
      <c r="JIL167" s="20"/>
      <c r="JIM167" s="20"/>
      <c r="JIN167" s="21"/>
      <c r="JIO167" s="21"/>
      <c r="JIP167" s="21"/>
      <c r="JIQ167" s="21"/>
      <c r="JIR167" s="21"/>
      <c r="JIS167" s="20"/>
      <c r="JIT167" s="20"/>
      <c r="JIU167" s="20"/>
      <c r="JIV167" s="20"/>
      <c r="JIW167" s="21"/>
      <c r="JIX167" s="21"/>
      <c r="JIY167" s="7"/>
      <c r="JIZ167" s="7"/>
      <c r="JJA167" s="21"/>
      <c r="JJB167" s="20"/>
      <c r="JJC167" s="20"/>
      <c r="JJD167" s="20"/>
      <c r="JJE167" s="21"/>
      <c r="JJF167" s="21"/>
      <c r="JJG167" s="21"/>
      <c r="JJH167" s="21"/>
      <c r="JJI167" s="21"/>
      <c r="JJJ167" s="20"/>
      <c r="JJK167" s="20"/>
      <c r="JJL167" s="20"/>
      <c r="JJM167" s="20"/>
      <c r="JJN167" s="21"/>
      <c r="JJO167" s="21"/>
      <c r="JJP167" s="7"/>
      <c r="JJQ167" s="7"/>
      <c r="JJR167" s="21"/>
      <c r="JJS167" s="20"/>
      <c r="JJT167" s="20"/>
      <c r="JJU167" s="20"/>
      <c r="JJV167" s="21"/>
      <c r="JJW167" s="21"/>
      <c r="JJX167" s="21"/>
      <c r="JJY167" s="21"/>
      <c r="JJZ167" s="21"/>
      <c r="JKA167" s="20"/>
      <c r="JKB167" s="20"/>
      <c r="JKC167" s="20"/>
      <c r="JKD167" s="20"/>
      <c r="JKE167" s="21"/>
      <c r="JKF167" s="21"/>
      <c r="JKG167" s="7"/>
      <c r="JKH167" s="7"/>
      <c r="JKI167" s="21"/>
      <c r="JKJ167" s="20"/>
      <c r="JKK167" s="20"/>
      <c r="JKL167" s="20"/>
      <c r="JKM167" s="21"/>
      <c r="JKN167" s="21"/>
      <c r="JKO167" s="21"/>
      <c r="JKP167" s="21"/>
      <c r="JKQ167" s="21"/>
      <c r="JKR167" s="20"/>
      <c r="JKS167" s="20"/>
      <c r="JKT167" s="20"/>
      <c r="JKU167" s="20"/>
      <c r="JKV167" s="21"/>
      <c r="JKW167" s="21"/>
      <c r="JKX167" s="7"/>
      <c r="JKY167" s="7"/>
      <c r="JKZ167" s="21"/>
      <c r="JLA167" s="20"/>
      <c r="JLB167" s="20"/>
      <c r="JLC167" s="20"/>
      <c r="JLD167" s="21"/>
      <c r="JLE167" s="21"/>
      <c r="JLF167" s="21"/>
      <c r="JLG167" s="21"/>
      <c r="JLH167" s="21"/>
      <c r="JLI167" s="20"/>
      <c r="JLJ167" s="20"/>
      <c r="JLK167" s="20"/>
      <c r="JLL167" s="20"/>
      <c r="JLM167" s="21"/>
      <c r="JLN167" s="21"/>
      <c r="JLO167" s="7"/>
      <c r="JLP167" s="7"/>
      <c r="JLQ167" s="21"/>
      <c r="JLR167" s="20"/>
      <c r="JLS167" s="20"/>
      <c r="JLT167" s="20"/>
      <c r="JLU167" s="21"/>
      <c r="JLV167" s="21"/>
      <c r="JLW167" s="21"/>
      <c r="JLX167" s="21"/>
      <c r="JLY167" s="21"/>
      <c r="JLZ167" s="20"/>
      <c r="JMA167" s="20"/>
      <c r="JMB167" s="20"/>
      <c r="JMC167" s="20"/>
      <c r="JMD167" s="21"/>
      <c r="JME167" s="21"/>
      <c r="JMF167" s="7"/>
      <c r="JMG167" s="7"/>
      <c r="JMH167" s="21"/>
      <c r="JMI167" s="20"/>
      <c r="JMJ167" s="20"/>
      <c r="JMK167" s="20"/>
      <c r="JML167" s="21"/>
      <c r="JMM167" s="21"/>
      <c r="JMN167" s="21"/>
      <c r="JMO167" s="21"/>
      <c r="JMP167" s="21"/>
      <c r="JMQ167" s="20"/>
      <c r="JMR167" s="20"/>
      <c r="JMS167" s="20"/>
      <c r="JMT167" s="20"/>
      <c r="JMU167" s="21"/>
      <c r="JMV167" s="21"/>
      <c r="JMW167" s="7"/>
      <c r="JMX167" s="7"/>
      <c r="JMY167" s="21"/>
      <c r="JMZ167" s="20"/>
      <c r="JNA167" s="20"/>
      <c r="JNB167" s="20"/>
      <c r="JNC167" s="21"/>
      <c r="JND167" s="21"/>
      <c r="JNE167" s="21"/>
      <c r="JNF167" s="21"/>
      <c r="JNG167" s="21"/>
      <c r="JNH167" s="20"/>
      <c r="JNI167" s="20"/>
      <c r="JNJ167" s="20"/>
      <c r="JNK167" s="20"/>
      <c r="JNL167" s="21"/>
      <c r="JNM167" s="21"/>
      <c r="JNN167" s="7"/>
      <c r="JNO167" s="7"/>
      <c r="JNP167" s="21"/>
      <c r="JNQ167" s="20"/>
      <c r="JNR167" s="20"/>
      <c r="JNS167" s="20"/>
      <c r="JNT167" s="21"/>
      <c r="JNU167" s="21"/>
      <c r="JNV167" s="21"/>
      <c r="JNW167" s="21"/>
      <c r="JNX167" s="21"/>
      <c r="JNY167" s="20"/>
      <c r="JNZ167" s="20"/>
      <c r="JOA167" s="20"/>
      <c r="JOB167" s="20"/>
      <c r="JOC167" s="21"/>
      <c r="JOD167" s="21"/>
      <c r="JOE167" s="7"/>
      <c r="JOF167" s="7"/>
      <c r="JOG167" s="21"/>
      <c r="JOH167" s="20"/>
      <c r="JOI167" s="20"/>
      <c r="JOJ167" s="20"/>
      <c r="JOK167" s="21"/>
      <c r="JOL167" s="21"/>
      <c r="JOM167" s="21"/>
      <c r="JON167" s="21"/>
      <c r="JOO167" s="21"/>
      <c r="JOP167" s="20"/>
      <c r="JOQ167" s="20"/>
      <c r="JOR167" s="20"/>
      <c r="JOS167" s="20"/>
      <c r="JOT167" s="21"/>
      <c r="JOU167" s="21"/>
      <c r="JOV167" s="7"/>
      <c r="JOW167" s="7"/>
      <c r="JOX167" s="21"/>
      <c r="JOY167" s="20"/>
      <c r="JOZ167" s="20"/>
      <c r="JPA167" s="20"/>
      <c r="JPB167" s="21"/>
      <c r="JPC167" s="21"/>
      <c r="JPD167" s="21"/>
      <c r="JPE167" s="21"/>
      <c r="JPF167" s="21"/>
      <c r="JPG167" s="20"/>
      <c r="JPH167" s="20"/>
      <c r="JPI167" s="20"/>
      <c r="JPJ167" s="20"/>
      <c r="JPK167" s="21"/>
      <c r="JPL167" s="21"/>
      <c r="JPM167" s="7"/>
      <c r="JPN167" s="7"/>
      <c r="JPO167" s="21"/>
      <c r="JPP167" s="20"/>
      <c r="JPQ167" s="20"/>
      <c r="JPR167" s="20"/>
      <c r="JPS167" s="21"/>
      <c r="JPT167" s="21"/>
      <c r="JPU167" s="21"/>
      <c r="JPV167" s="21"/>
      <c r="JPW167" s="21"/>
      <c r="JPX167" s="20"/>
      <c r="JPY167" s="20"/>
      <c r="JPZ167" s="20"/>
      <c r="JQA167" s="20"/>
      <c r="JQB167" s="21"/>
      <c r="JQC167" s="21"/>
      <c r="JQD167" s="7"/>
      <c r="JQE167" s="7"/>
      <c r="JQF167" s="21"/>
      <c r="JQG167" s="20"/>
      <c r="JQH167" s="20"/>
      <c r="JQI167" s="20"/>
      <c r="JQJ167" s="21"/>
      <c r="JQK167" s="21"/>
      <c r="JQL167" s="21"/>
      <c r="JQM167" s="21"/>
      <c r="JQN167" s="21"/>
      <c r="JQO167" s="20"/>
      <c r="JQP167" s="20"/>
      <c r="JQQ167" s="20"/>
      <c r="JQR167" s="20"/>
      <c r="JQS167" s="21"/>
      <c r="JQT167" s="21"/>
      <c r="JQU167" s="7"/>
      <c r="JQV167" s="7"/>
      <c r="JQW167" s="21"/>
      <c r="JQX167" s="20"/>
      <c r="JQY167" s="20"/>
      <c r="JQZ167" s="20"/>
      <c r="JRA167" s="21"/>
      <c r="JRB167" s="21"/>
      <c r="JRC167" s="21"/>
      <c r="JRD167" s="21"/>
      <c r="JRE167" s="21"/>
      <c r="JRF167" s="20"/>
      <c r="JRG167" s="20"/>
      <c r="JRH167" s="20"/>
      <c r="JRI167" s="20"/>
      <c r="JRJ167" s="21"/>
      <c r="JRK167" s="21"/>
      <c r="JRL167" s="7"/>
      <c r="JRM167" s="7"/>
      <c r="JRN167" s="21"/>
      <c r="JRO167" s="20"/>
      <c r="JRP167" s="20"/>
      <c r="JRQ167" s="20"/>
      <c r="JRR167" s="21"/>
      <c r="JRS167" s="21"/>
      <c r="JRT167" s="21"/>
      <c r="JRU167" s="21"/>
      <c r="JRV167" s="21"/>
      <c r="JRW167" s="20"/>
      <c r="JRX167" s="20"/>
      <c r="JRY167" s="20"/>
      <c r="JRZ167" s="20"/>
      <c r="JSA167" s="21"/>
      <c r="JSB167" s="21"/>
      <c r="JSC167" s="7"/>
      <c r="JSD167" s="7"/>
      <c r="JSE167" s="21"/>
      <c r="JSF167" s="20"/>
      <c r="JSG167" s="20"/>
      <c r="JSH167" s="20"/>
      <c r="JSI167" s="21"/>
      <c r="JSJ167" s="21"/>
      <c r="JSK167" s="21"/>
      <c r="JSL167" s="21"/>
      <c r="JSM167" s="21"/>
      <c r="JSN167" s="20"/>
      <c r="JSO167" s="20"/>
      <c r="JSP167" s="20"/>
      <c r="JSQ167" s="20"/>
      <c r="JSR167" s="21"/>
      <c r="JSS167" s="21"/>
      <c r="JST167" s="7"/>
      <c r="JSU167" s="7"/>
      <c r="JSV167" s="21"/>
      <c r="JSW167" s="20"/>
      <c r="JSX167" s="20"/>
      <c r="JSY167" s="20"/>
      <c r="JSZ167" s="21"/>
      <c r="JTA167" s="21"/>
      <c r="JTB167" s="21"/>
      <c r="JTC167" s="21"/>
      <c r="JTD167" s="21"/>
      <c r="JTE167" s="20"/>
      <c r="JTF167" s="20"/>
      <c r="JTG167" s="20"/>
      <c r="JTH167" s="20"/>
      <c r="JTI167" s="21"/>
      <c r="JTJ167" s="21"/>
      <c r="JTK167" s="7"/>
      <c r="JTL167" s="7"/>
      <c r="JTM167" s="21"/>
      <c r="JTN167" s="20"/>
      <c r="JTO167" s="20"/>
      <c r="JTP167" s="20"/>
      <c r="JTQ167" s="21"/>
      <c r="JTR167" s="21"/>
      <c r="JTS167" s="21"/>
      <c r="JTT167" s="21"/>
      <c r="JTU167" s="21"/>
      <c r="JTV167" s="20"/>
      <c r="JTW167" s="20"/>
      <c r="JTX167" s="20"/>
      <c r="JTY167" s="20"/>
      <c r="JTZ167" s="21"/>
      <c r="JUA167" s="21"/>
      <c r="JUB167" s="7"/>
      <c r="JUC167" s="7"/>
      <c r="JUD167" s="21"/>
      <c r="JUE167" s="20"/>
      <c r="JUF167" s="20"/>
      <c r="JUG167" s="20"/>
      <c r="JUH167" s="21"/>
      <c r="JUI167" s="21"/>
      <c r="JUJ167" s="21"/>
      <c r="JUK167" s="21"/>
      <c r="JUL167" s="21"/>
      <c r="JUM167" s="20"/>
      <c r="JUN167" s="20"/>
      <c r="JUO167" s="20"/>
      <c r="JUP167" s="20"/>
      <c r="JUQ167" s="21"/>
      <c r="JUR167" s="21"/>
      <c r="JUS167" s="7"/>
      <c r="JUT167" s="7"/>
      <c r="JUU167" s="21"/>
      <c r="JUV167" s="20"/>
      <c r="JUW167" s="20"/>
      <c r="JUX167" s="20"/>
      <c r="JUY167" s="21"/>
      <c r="JUZ167" s="21"/>
      <c r="JVA167" s="21"/>
      <c r="JVB167" s="21"/>
      <c r="JVC167" s="21"/>
      <c r="JVD167" s="20"/>
      <c r="JVE167" s="20"/>
      <c r="JVF167" s="20"/>
      <c r="JVG167" s="20"/>
      <c r="JVH167" s="21"/>
      <c r="JVI167" s="21"/>
      <c r="JVJ167" s="7"/>
      <c r="JVK167" s="7"/>
      <c r="JVL167" s="21"/>
      <c r="JVM167" s="20"/>
      <c r="JVN167" s="20"/>
      <c r="JVO167" s="20"/>
      <c r="JVP167" s="21"/>
      <c r="JVQ167" s="21"/>
      <c r="JVR167" s="21"/>
      <c r="JVS167" s="21"/>
      <c r="JVT167" s="21"/>
      <c r="JVU167" s="20"/>
      <c r="JVV167" s="20"/>
      <c r="JVW167" s="20"/>
      <c r="JVX167" s="20"/>
      <c r="JVY167" s="21"/>
      <c r="JVZ167" s="21"/>
      <c r="JWA167" s="7"/>
      <c r="JWB167" s="7"/>
      <c r="JWC167" s="21"/>
      <c r="JWD167" s="20"/>
      <c r="JWE167" s="20"/>
      <c r="JWF167" s="20"/>
      <c r="JWG167" s="21"/>
      <c r="JWH167" s="21"/>
      <c r="JWI167" s="21"/>
      <c r="JWJ167" s="21"/>
      <c r="JWK167" s="21"/>
      <c r="JWL167" s="20"/>
      <c r="JWM167" s="20"/>
      <c r="JWN167" s="20"/>
      <c r="JWO167" s="20"/>
      <c r="JWP167" s="21"/>
      <c r="JWQ167" s="21"/>
      <c r="JWR167" s="7"/>
      <c r="JWS167" s="7"/>
      <c r="JWT167" s="21"/>
      <c r="JWU167" s="20"/>
      <c r="JWV167" s="20"/>
      <c r="JWW167" s="20"/>
      <c r="JWX167" s="21"/>
      <c r="JWY167" s="21"/>
      <c r="JWZ167" s="21"/>
      <c r="JXA167" s="21"/>
      <c r="JXB167" s="21"/>
      <c r="JXC167" s="20"/>
      <c r="JXD167" s="20"/>
      <c r="JXE167" s="20"/>
      <c r="JXF167" s="20"/>
      <c r="JXG167" s="21"/>
      <c r="JXH167" s="21"/>
      <c r="JXI167" s="7"/>
      <c r="JXJ167" s="7"/>
      <c r="JXK167" s="21"/>
      <c r="JXL167" s="20"/>
      <c r="JXM167" s="20"/>
      <c r="JXN167" s="20"/>
      <c r="JXO167" s="21"/>
      <c r="JXP167" s="21"/>
      <c r="JXQ167" s="21"/>
      <c r="JXR167" s="21"/>
      <c r="JXS167" s="21"/>
      <c r="JXT167" s="20"/>
      <c r="JXU167" s="20"/>
      <c r="JXV167" s="20"/>
      <c r="JXW167" s="20"/>
      <c r="JXX167" s="21"/>
      <c r="JXY167" s="21"/>
      <c r="JXZ167" s="7"/>
      <c r="JYA167" s="7"/>
      <c r="JYB167" s="21"/>
      <c r="JYC167" s="20"/>
      <c r="JYD167" s="20"/>
      <c r="JYE167" s="20"/>
      <c r="JYF167" s="21"/>
      <c r="JYG167" s="21"/>
      <c r="JYH167" s="21"/>
      <c r="JYI167" s="21"/>
      <c r="JYJ167" s="21"/>
      <c r="JYK167" s="20"/>
      <c r="JYL167" s="20"/>
      <c r="JYM167" s="20"/>
      <c r="JYN167" s="20"/>
      <c r="JYO167" s="21"/>
      <c r="JYP167" s="21"/>
      <c r="JYQ167" s="7"/>
      <c r="JYR167" s="7"/>
      <c r="JYS167" s="21"/>
      <c r="JYT167" s="20"/>
      <c r="JYU167" s="20"/>
      <c r="JYV167" s="20"/>
      <c r="JYW167" s="21"/>
      <c r="JYX167" s="21"/>
      <c r="JYY167" s="21"/>
      <c r="JYZ167" s="21"/>
      <c r="JZA167" s="21"/>
      <c r="JZB167" s="20"/>
      <c r="JZC167" s="20"/>
      <c r="JZD167" s="20"/>
      <c r="JZE167" s="20"/>
      <c r="JZF167" s="21"/>
      <c r="JZG167" s="21"/>
      <c r="JZH167" s="7"/>
      <c r="JZI167" s="7"/>
      <c r="JZJ167" s="21"/>
      <c r="JZK167" s="20"/>
      <c r="JZL167" s="20"/>
      <c r="JZM167" s="20"/>
      <c r="JZN167" s="21"/>
      <c r="JZO167" s="21"/>
      <c r="JZP167" s="21"/>
      <c r="JZQ167" s="21"/>
      <c r="JZR167" s="21"/>
      <c r="JZS167" s="20"/>
      <c r="JZT167" s="20"/>
      <c r="JZU167" s="20"/>
      <c r="JZV167" s="20"/>
      <c r="JZW167" s="21"/>
      <c r="JZX167" s="21"/>
      <c r="JZY167" s="7"/>
      <c r="JZZ167" s="7"/>
      <c r="KAA167" s="21"/>
      <c r="KAB167" s="20"/>
      <c r="KAC167" s="20"/>
      <c r="KAD167" s="20"/>
      <c r="KAE167" s="21"/>
      <c r="KAF167" s="21"/>
      <c r="KAG167" s="21"/>
      <c r="KAH167" s="21"/>
      <c r="KAI167" s="21"/>
      <c r="KAJ167" s="20"/>
      <c r="KAK167" s="20"/>
      <c r="KAL167" s="20"/>
      <c r="KAM167" s="20"/>
      <c r="KAN167" s="21"/>
      <c r="KAO167" s="21"/>
      <c r="KAP167" s="7"/>
      <c r="KAQ167" s="7"/>
      <c r="KAR167" s="21"/>
      <c r="KAS167" s="20"/>
      <c r="KAT167" s="20"/>
      <c r="KAU167" s="20"/>
      <c r="KAV167" s="21"/>
      <c r="KAW167" s="21"/>
      <c r="KAX167" s="21"/>
      <c r="KAY167" s="21"/>
      <c r="KAZ167" s="21"/>
      <c r="KBA167" s="20"/>
      <c r="KBB167" s="20"/>
      <c r="KBC167" s="20"/>
      <c r="KBD167" s="20"/>
      <c r="KBE167" s="21"/>
      <c r="KBF167" s="21"/>
      <c r="KBG167" s="7"/>
      <c r="KBH167" s="7"/>
      <c r="KBI167" s="21"/>
      <c r="KBJ167" s="20"/>
      <c r="KBK167" s="20"/>
      <c r="KBL167" s="20"/>
      <c r="KBM167" s="21"/>
      <c r="KBN167" s="21"/>
      <c r="KBO167" s="21"/>
      <c r="KBP167" s="21"/>
      <c r="KBQ167" s="21"/>
      <c r="KBR167" s="20"/>
      <c r="KBS167" s="20"/>
      <c r="KBT167" s="20"/>
      <c r="KBU167" s="20"/>
      <c r="KBV167" s="21"/>
      <c r="KBW167" s="21"/>
      <c r="KBX167" s="7"/>
      <c r="KBY167" s="7"/>
      <c r="KBZ167" s="21"/>
      <c r="KCA167" s="20"/>
      <c r="KCB167" s="20"/>
      <c r="KCC167" s="20"/>
      <c r="KCD167" s="21"/>
      <c r="KCE167" s="21"/>
      <c r="KCF167" s="21"/>
      <c r="KCG167" s="21"/>
      <c r="KCH167" s="21"/>
      <c r="KCI167" s="20"/>
      <c r="KCJ167" s="20"/>
      <c r="KCK167" s="20"/>
      <c r="KCL167" s="20"/>
      <c r="KCM167" s="21"/>
      <c r="KCN167" s="21"/>
      <c r="KCO167" s="7"/>
      <c r="KCP167" s="7"/>
      <c r="KCQ167" s="21"/>
      <c r="KCR167" s="20"/>
      <c r="KCS167" s="20"/>
      <c r="KCT167" s="20"/>
      <c r="KCU167" s="21"/>
      <c r="KCV167" s="21"/>
      <c r="KCW167" s="21"/>
      <c r="KCX167" s="21"/>
      <c r="KCY167" s="21"/>
      <c r="KCZ167" s="20"/>
      <c r="KDA167" s="20"/>
      <c r="KDB167" s="20"/>
      <c r="KDC167" s="20"/>
      <c r="KDD167" s="21"/>
      <c r="KDE167" s="21"/>
      <c r="KDF167" s="7"/>
      <c r="KDG167" s="7"/>
      <c r="KDH167" s="21"/>
      <c r="KDI167" s="20"/>
      <c r="KDJ167" s="20"/>
      <c r="KDK167" s="20"/>
      <c r="KDL167" s="21"/>
      <c r="KDM167" s="21"/>
      <c r="KDN167" s="21"/>
      <c r="KDO167" s="21"/>
      <c r="KDP167" s="21"/>
      <c r="KDQ167" s="20"/>
      <c r="KDR167" s="20"/>
      <c r="KDS167" s="20"/>
      <c r="KDT167" s="20"/>
      <c r="KDU167" s="21"/>
      <c r="KDV167" s="21"/>
      <c r="KDW167" s="7"/>
      <c r="KDX167" s="7"/>
      <c r="KDY167" s="21"/>
      <c r="KDZ167" s="20"/>
      <c r="KEA167" s="20"/>
      <c r="KEB167" s="20"/>
      <c r="KEC167" s="21"/>
      <c r="KED167" s="21"/>
      <c r="KEE167" s="21"/>
      <c r="KEF167" s="21"/>
      <c r="KEG167" s="21"/>
      <c r="KEH167" s="20"/>
      <c r="KEI167" s="20"/>
      <c r="KEJ167" s="20"/>
      <c r="KEK167" s="20"/>
      <c r="KEL167" s="21"/>
      <c r="KEM167" s="21"/>
      <c r="KEN167" s="7"/>
      <c r="KEO167" s="7"/>
      <c r="KEP167" s="21"/>
      <c r="KEQ167" s="20"/>
      <c r="KER167" s="20"/>
      <c r="KES167" s="20"/>
      <c r="KET167" s="21"/>
      <c r="KEU167" s="21"/>
      <c r="KEV167" s="21"/>
      <c r="KEW167" s="21"/>
      <c r="KEX167" s="21"/>
      <c r="KEY167" s="20"/>
      <c r="KEZ167" s="20"/>
      <c r="KFA167" s="20"/>
      <c r="KFB167" s="20"/>
      <c r="KFC167" s="21"/>
      <c r="KFD167" s="21"/>
      <c r="KFE167" s="7"/>
      <c r="KFF167" s="7"/>
      <c r="KFG167" s="21"/>
      <c r="KFH167" s="20"/>
      <c r="KFI167" s="20"/>
      <c r="KFJ167" s="20"/>
      <c r="KFK167" s="21"/>
      <c r="KFL167" s="21"/>
      <c r="KFM167" s="21"/>
      <c r="KFN167" s="21"/>
      <c r="KFO167" s="21"/>
      <c r="KFP167" s="20"/>
      <c r="KFQ167" s="20"/>
      <c r="KFR167" s="20"/>
      <c r="KFS167" s="20"/>
      <c r="KFT167" s="21"/>
      <c r="KFU167" s="21"/>
      <c r="KFV167" s="7"/>
      <c r="KFW167" s="7"/>
      <c r="KFX167" s="21"/>
      <c r="KFY167" s="20"/>
      <c r="KFZ167" s="20"/>
      <c r="KGA167" s="20"/>
      <c r="KGB167" s="21"/>
      <c r="KGC167" s="21"/>
      <c r="KGD167" s="21"/>
      <c r="KGE167" s="21"/>
      <c r="KGF167" s="21"/>
      <c r="KGG167" s="20"/>
      <c r="KGH167" s="20"/>
      <c r="KGI167" s="20"/>
      <c r="KGJ167" s="20"/>
      <c r="KGK167" s="21"/>
      <c r="KGL167" s="21"/>
      <c r="KGM167" s="7"/>
      <c r="KGN167" s="7"/>
      <c r="KGO167" s="21"/>
      <c r="KGP167" s="20"/>
      <c r="KGQ167" s="20"/>
      <c r="KGR167" s="20"/>
      <c r="KGS167" s="21"/>
      <c r="KGT167" s="21"/>
      <c r="KGU167" s="21"/>
      <c r="KGV167" s="21"/>
      <c r="KGW167" s="21"/>
      <c r="KGX167" s="20"/>
      <c r="KGY167" s="20"/>
      <c r="KGZ167" s="20"/>
      <c r="KHA167" s="20"/>
      <c r="KHB167" s="21"/>
      <c r="KHC167" s="21"/>
      <c r="KHD167" s="7"/>
      <c r="KHE167" s="7"/>
      <c r="KHF167" s="21"/>
      <c r="KHG167" s="20"/>
      <c r="KHH167" s="20"/>
      <c r="KHI167" s="20"/>
      <c r="KHJ167" s="21"/>
      <c r="KHK167" s="21"/>
      <c r="KHL167" s="21"/>
      <c r="KHM167" s="21"/>
      <c r="KHN167" s="21"/>
      <c r="KHO167" s="20"/>
      <c r="KHP167" s="20"/>
      <c r="KHQ167" s="20"/>
      <c r="KHR167" s="20"/>
      <c r="KHS167" s="21"/>
      <c r="KHT167" s="21"/>
      <c r="KHU167" s="7"/>
      <c r="KHV167" s="7"/>
      <c r="KHW167" s="21"/>
      <c r="KHX167" s="20"/>
      <c r="KHY167" s="20"/>
      <c r="KHZ167" s="20"/>
      <c r="KIA167" s="21"/>
      <c r="KIB167" s="21"/>
      <c r="KIC167" s="21"/>
      <c r="KID167" s="21"/>
      <c r="KIE167" s="21"/>
      <c r="KIF167" s="20"/>
      <c r="KIG167" s="20"/>
      <c r="KIH167" s="20"/>
      <c r="KII167" s="20"/>
      <c r="KIJ167" s="21"/>
      <c r="KIK167" s="21"/>
      <c r="KIL167" s="7"/>
      <c r="KIM167" s="7"/>
      <c r="KIN167" s="21"/>
      <c r="KIO167" s="20"/>
      <c r="KIP167" s="20"/>
      <c r="KIQ167" s="20"/>
      <c r="KIR167" s="21"/>
      <c r="KIS167" s="21"/>
      <c r="KIT167" s="21"/>
      <c r="KIU167" s="21"/>
      <c r="KIV167" s="21"/>
      <c r="KIW167" s="20"/>
      <c r="KIX167" s="20"/>
      <c r="KIY167" s="20"/>
      <c r="KIZ167" s="20"/>
      <c r="KJA167" s="21"/>
      <c r="KJB167" s="21"/>
      <c r="KJC167" s="7"/>
      <c r="KJD167" s="7"/>
      <c r="KJE167" s="21"/>
      <c r="KJF167" s="20"/>
      <c r="KJG167" s="20"/>
      <c r="KJH167" s="20"/>
      <c r="KJI167" s="21"/>
      <c r="KJJ167" s="21"/>
      <c r="KJK167" s="21"/>
      <c r="KJL167" s="21"/>
      <c r="KJM167" s="21"/>
      <c r="KJN167" s="20"/>
      <c r="KJO167" s="20"/>
      <c r="KJP167" s="20"/>
      <c r="KJQ167" s="20"/>
      <c r="KJR167" s="21"/>
      <c r="KJS167" s="21"/>
      <c r="KJT167" s="7"/>
      <c r="KJU167" s="7"/>
      <c r="KJV167" s="21"/>
      <c r="KJW167" s="20"/>
      <c r="KJX167" s="20"/>
      <c r="KJY167" s="20"/>
      <c r="KJZ167" s="21"/>
      <c r="KKA167" s="21"/>
      <c r="KKB167" s="21"/>
      <c r="KKC167" s="21"/>
      <c r="KKD167" s="21"/>
      <c r="KKE167" s="20"/>
      <c r="KKF167" s="20"/>
      <c r="KKG167" s="20"/>
      <c r="KKH167" s="20"/>
      <c r="KKI167" s="21"/>
      <c r="KKJ167" s="21"/>
      <c r="KKK167" s="7"/>
      <c r="KKL167" s="7"/>
      <c r="KKM167" s="21"/>
      <c r="KKN167" s="20"/>
      <c r="KKO167" s="20"/>
      <c r="KKP167" s="20"/>
      <c r="KKQ167" s="21"/>
      <c r="KKR167" s="21"/>
      <c r="KKS167" s="21"/>
      <c r="KKT167" s="21"/>
      <c r="KKU167" s="21"/>
      <c r="KKV167" s="20"/>
      <c r="KKW167" s="20"/>
      <c r="KKX167" s="20"/>
      <c r="KKY167" s="20"/>
      <c r="KKZ167" s="21"/>
      <c r="KLA167" s="21"/>
      <c r="KLB167" s="7"/>
      <c r="KLC167" s="7"/>
      <c r="KLD167" s="21"/>
      <c r="KLE167" s="20"/>
      <c r="KLF167" s="20"/>
      <c r="KLG167" s="20"/>
      <c r="KLH167" s="21"/>
      <c r="KLI167" s="21"/>
      <c r="KLJ167" s="21"/>
      <c r="KLK167" s="21"/>
      <c r="KLL167" s="21"/>
      <c r="KLM167" s="20"/>
      <c r="KLN167" s="20"/>
      <c r="KLO167" s="20"/>
      <c r="KLP167" s="20"/>
      <c r="KLQ167" s="21"/>
      <c r="KLR167" s="21"/>
      <c r="KLS167" s="7"/>
      <c r="KLT167" s="7"/>
      <c r="KLU167" s="21"/>
      <c r="KLV167" s="20"/>
      <c r="KLW167" s="20"/>
      <c r="KLX167" s="20"/>
      <c r="KLY167" s="21"/>
      <c r="KLZ167" s="21"/>
      <c r="KMA167" s="21"/>
      <c r="KMB167" s="21"/>
      <c r="KMC167" s="21"/>
      <c r="KMD167" s="20"/>
      <c r="KME167" s="20"/>
      <c r="KMF167" s="20"/>
      <c r="KMG167" s="20"/>
      <c r="KMH167" s="21"/>
      <c r="KMI167" s="21"/>
      <c r="KMJ167" s="7"/>
      <c r="KMK167" s="7"/>
      <c r="KML167" s="21"/>
      <c r="KMM167" s="20"/>
      <c r="KMN167" s="20"/>
      <c r="KMO167" s="20"/>
      <c r="KMP167" s="21"/>
      <c r="KMQ167" s="21"/>
      <c r="KMR167" s="21"/>
      <c r="KMS167" s="21"/>
      <c r="KMT167" s="21"/>
      <c r="KMU167" s="20"/>
      <c r="KMV167" s="20"/>
      <c r="KMW167" s="20"/>
      <c r="KMX167" s="20"/>
      <c r="KMY167" s="21"/>
      <c r="KMZ167" s="21"/>
      <c r="KNA167" s="7"/>
      <c r="KNB167" s="7"/>
      <c r="KNC167" s="21"/>
      <c r="KND167" s="20"/>
      <c r="KNE167" s="20"/>
      <c r="KNF167" s="20"/>
      <c r="KNG167" s="21"/>
      <c r="KNH167" s="21"/>
      <c r="KNI167" s="21"/>
      <c r="KNJ167" s="21"/>
      <c r="KNK167" s="21"/>
      <c r="KNL167" s="20"/>
      <c r="KNM167" s="20"/>
      <c r="KNN167" s="20"/>
      <c r="KNO167" s="20"/>
      <c r="KNP167" s="21"/>
      <c r="KNQ167" s="21"/>
      <c r="KNR167" s="7"/>
      <c r="KNS167" s="7"/>
      <c r="KNT167" s="21"/>
      <c r="KNU167" s="20"/>
      <c r="KNV167" s="20"/>
      <c r="KNW167" s="20"/>
      <c r="KNX167" s="21"/>
      <c r="KNY167" s="21"/>
      <c r="KNZ167" s="21"/>
      <c r="KOA167" s="21"/>
      <c r="KOB167" s="21"/>
      <c r="KOC167" s="20"/>
      <c r="KOD167" s="20"/>
      <c r="KOE167" s="20"/>
      <c r="KOF167" s="20"/>
      <c r="KOG167" s="21"/>
      <c r="KOH167" s="21"/>
      <c r="KOI167" s="7"/>
      <c r="KOJ167" s="7"/>
      <c r="KOK167" s="21"/>
      <c r="KOL167" s="20"/>
      <c r="KOM167" s="20"/>
      <c r="KON167" s="20"/>
      <c r="KOO167" s="21"/>
      <c r="KOP167" s="21"/>
      <c r="KOQ167" s="21"/>
      <c r="KOR167" s="21"/>
      <c r="KOS167" s="21"/>
      <c r="KOT167" s="20"/>
      <c r="KOU167" s="20"/>
      <c r="KOV167" s="20"/>
      <c r="KOW167" s="20"/>
      <c r="KOX167" s="21"/>
      <c r="KOY167" s="21"/>
      <c r="KOZ167" s="7"/>
      <c r="KPA167" s="7"/>
      <c r="KPB167" s="21"/>
      <c r="KPC167" s="20"/>
      <c r="KPD167" s="20"/>
      <c r="KPE167" s="20"/>
      <c r="KPF167" s="21"/>
      <c r="KPG167" s="21"/>
      <c r="KPH167" s="21"/>
      <c r="KPI167" s="21"/>
      <c r="KPJ167" s="21"/>
      <c r="KPK167" s="20"/>
      <c r="KPL167" s="20"/>
      <c r="KPM167" s="20"/>
      <c r="KPN167" s="20"/>
      <c r="KPO167" s="21"/>
      <c r="KPP167" s="21"/>
      <c r="KPQ167" s="7"/>
      <c r="KPR167" s="7"/>
      <c r="KPS167" s="21"/>
      <c r="KPT167" s="20"/>
      <c r="KPU167" s="20"/>
      <c r="KPV167" s="20"/>
      <c r="KPW167" s="21"/>
      <c r="KPX167" s="21"/>
      <c r="KPY167" s="21"/>
      <c r="KPZ167" s="21"/>
      <c r="KQA167" s="21"/>
      <c r="KQB167" s="20"/>
      <c r="KQC167" s="20"/>
      <c r="KQD167" s="20"/>
      <c r="KQE167" s="20"/>
      <c r="KQF167" s="21"/>
      <c r="KQG167" s="21"/>
      <c r="KQH167" s="7"/>
      <c r="KQI167" s="7"/>
      <c r="KQJ167" s="21"/>
      <c r="KQK167" s="20"/>
      <c r="KQL167" s="20"/>
      <c r="KQM167" s="20"/>
      <c r="KQN167" s="21"/>
      <c r="KQO167" s="21"/>
      <c r="KQP167" s="21"/>
      <c r="KQQ167" s="21"/>
      <c r="KQR167" s="21"/>
      <c r="KQS167" s="20"/>
      <c r="KQT167" s="20"/>
      <c r="KQU167" s="20"/>
      <c r="KQV167" s="20"/>
      <c r="KQW167" s="21"/>
      <c r="KQX167" s="21"/>
      <c r="KQY167" s="7"/>
      <c r="KQZ167" s="7"/>
      <c r="KRA167" s="21"/>
      <c r="KRB167" s="20"/>
      <c r="KRC167" s="20"/>
      <c r="KRD167" s="20"/>
      <c r="KRE167" s="21"/>
      <c r="KRF167" s="21"/>
      <c r="KRG167" s="21"/>
      <c r="KRH167" s="21"/>
      <c r="KRI167" s="21"/>
      <c r="KRJ167" s="20"/>
      <c r="KRK167" s="20"/>
      <c r="KRL167" s="20"/>
      <c r="KRM167" s="20"/>
      <c r="KRN167" s="21"/>
      <c r="KRO167" s="21"/>
      <c r="KRP167" s="7"/>
      <c r="KRQ167" s="7"/>
      <c r="KRR167" s="21"/>
      <c r="KRS167" s="20"/>
      <c r="KRT167" s="20"/>
      <c r="KRU167" s="20"/>
      <c r="KRV167" s="21"/>
      <c r="KRW167" s="21"/>
      <c r="KRX167" s="21"/>
      <c r="KRY167" s="21"/>
      <c r="KRZ167" s="21"/>
      <c r="KSA167" s="20"/>
      <c r="KSB167" s="20"/>
      <c r="KSC167" s="20"/>
      <c r="KSD167" s="20"/>
      <c r="KSE167" s="21"/>
      <c r="KSF167" s="21"/>
      <c r="KSG167" s="7"/>
      <c r="KSH167" s="7"/>
      <c r="KSI167" s="21"/>
      <c r="KSJ167" s="20"/>
      <c r="KSK167" s="20"/>
      <c r="KSL167" s="20"/>
      <c r="KSM167" s="21"/>
      <c r="KSN167" s="21"/>
      <c r="KSO167" s="21"/>
      <c r="KSP167" s="21"/>
      <c r="KSQ167" s="21"/>
      <c r="KSR167" s="20"/>
      <c r="KSS167" s="20"/>
      <c r="KST167" s="20"/>
      <c r="KSU167" s="20"/>
      <c r="KSV167" s="21"/>
      <c r="KSW167" s="21"/>
      <c r="KSX167" s="7"/>
      <c r="KSY167" s="7"/>
      <c r="KSZ167" s="21"/>
      <c r="KTA167" s="20"/>
      <c r="KTB167" s="20"/>
      <c r="KTC167" s="20"/>
      <c r="KTD167" s="21"/>
      <c r="KTE167" s="21"/>
      <c r="KTF167" s="21"/>
      <c r="KTG167" s="21"/>
      <c r="KTH167" s="21"/>
      <c r="KTI167" s="20"/>
      <c r="KTJ167" s="20"/>
      <c r="KTK167" s="20"/>
      <c r="KTL167" s="20"/>
      <c r="KTM167" s="21"/>
      <c r="KTN167" s="21"/>
      <c r="KTO167" s="7"/>
      <c r="KTP167" s="7"/>
      <c r="KTQ167" s="21"/>
      <c r="KTR167" s="20"/>
      <c r="KTS167" s="20"/>
      <c r="KTT167" s="20"/>
      <c r="KTU167" s="21"/>
      <c r="KTV167" s="21"/>
      <c r="KTW167" s="21"/>
      <c r="KTX167" s="21"/>
      <c r="KTY167" s="21"/>
      <c r="KTZ167" s="20"/>
      <c r="KUA167" s="20"/>
      <c r="KUB167" s="20"/>
      <c r="KUC167" s="20"/>
      <c r="KUD167" s="21"/>
      <c r="KUE167" s="21"/>
      <c r="KUF167" s="7"/>
      <c r="KUG167" s="7"/>
      <c r="KUH167" s="21"/>
      <c r="KUI167" s="20"/>
      <c r="KUJ167" s="20"/>
      <c r="KUK167" s="20"/>
      <c r="KUL167" s="21"/>
      <c r="KUM167" s="21"/>
      <c r="KUN167" s="21"/>
      <c r="KUO167" s="21"/>
      <c r="KUP167" s="21"/>
      <c r="KUQ167" s="20"/>
      <c r="KUR167" s="20"/>
      <c r="KUS167" s="20"/>
      <c r="KUT167" s="20"/>
      <c r="KUU167" s="21"/>
      <c r="KUV167" s="21"/>
      <c r="KUW167" s="7"/>
      <c r="KUX167" s="7"/>
      <c r="KUY167" s="21"/>
      <c r="KUZ167" s="20"/>
      <c r="KVA167" s="20"/>
      <c r="KVB167" s="20"/>
      <c r="KVC167" s="21"/>
      <c r="KVD167" s="21"/>
      <c r="KVE167" s="21"/>
      <c r="KVF167" s="21"/>
      <c r="KVG167" s="21"/>
      <c r="KVH167" s="20"/>
      <c r="KVI167" s="20"/>
      <c r="KVJ167" s="20"/>
      <c r="KVK167" s="20"/>
      <c r="KVL167" s="21"/>
      <c r="KVM167" s="21"/>
      <c r="KVN167" s="7"/>
      <c r="KVO167" s="7"/>
      <c r="KVP167" s="21"/>
      <c r="KVQ167" s="20"/>
      <c r="KVR167" s="20"/>
      <c r="KVS167" s="20"/>
      <c r="KVT167" s="21"/>
      <c r="KVU167" s="21"/>
      <c r="KVV167" s="21"/>
      <c r="KVW167" s="21"/>
      <c r="KVX167" s="21"/>
      <c r="KVY167" s="20"/>
      <c r="KVZ167" s="20"/>
      <c r="KWA167" s="20"/>
      <c r="KWB167" s="20"/>
      <c r="KWC167" s="21"/>
      <c r="KWD167" s="21"/>
      <c r="KWE167" s="7"/>
      <c r="KWF167" s="7"/>
      <c r="KWG167" s="21"/>
      <c r="KWH167" s="20"/>
      <c r="KWI167" s="20"/>
      <c r="KWJ167" s="20"/>
      <c r="KWK167" s="21"/>
      <c r="KWL167" s="21"/>
      <c r="KWM167" s="21"/>
      <c r="KWN167" s="21"/>
      <c r="KWO167" s="21"/>
      <c r="KWP167" s="20"/>
      <c r="KWQ167" s="20"/>
      <c r="KWR167" s="20"/>
      <c r="KWS167" s="20"/>
      <c r="KWT167" s="21"/>
      <c r="KWU167" s="21"/>
      <c r="KWV167" s="7"/>
      <c r="KWW167" s="7"/>
      <c r="KWX167" s="21"/>
      <c r="KWY167" s="20"/>
      <c r="KWZ167" s="20"/>
      <c r="KXA167" s="20"/>
      <c r="KXB167" s="21"/>
      <c r="KXC167" s="21"/>
      <c r="KXD167" s="21"/>
      <c r="KXE167" s="21"/>
      <c r="KXF167" s="21"/>
      <c r="KXG167" s="20"/>
      <c r="KXH167" s="20"/>
      <c r="KXI167" s="20"/>
      <c r="KXJ167" s="20"/>
      <c r="KXK167" s="21"/>
      <c r="KXL167" s="21"/>
      <c r="KXM167" s="7"/>
      <c r="KXN167" s="7"/>
      <c r="KXO167" s="21"/>
      <c r="KXP167" s="20"/>
      <c r="KXQ167" s="20"/>
      <c r="KXR167" s="20"/>
      <c r="KXS167" s="21"/>
      <c r="KXT167" s="21"/>
      <c r="KXU167" s="21"/>
      <c r="KXV167" s="21"/>
      <c r="KXW167" s="21"/>
      <c r="KXX167" s="20"/>
      <c r="KXY167" s="20"/>
      <c r="KXZ167" s="20"/>
      <c r="KYA167" s="20"/>
      <c r="KYB167" s="21"/>
      <c r="KYC167" s="21"/>
      <c r="KYD167" s="7"/>
      <c r="KYE167" s="7"/>
      <c r="KYF167" s="21"/>
      <c r="KYG167" s="20"/>
      <c r="KYH167" s="20"/>
      <c r="KYI167" s="20"/>
      <c r="KYJ167" s="21"/>
      <c r="KYK167" s="21"/>
      <c r="KYL167" s="21"/>
      <c r="KYM167" s="21"/>
      <c r="KYN167" s="21"/>
      <c r="KYO167" s="20"/>
      <c r="KYP167" s="20"/>
      <c r="KYQ167" s="20"/>
      <c r="KYR167" s="20"/>
      <c r="KYS167" s="21"/>
      <c r="KYT167" s="21"/>
      <c r="KYU167" s="7"/>
      <c r="KYV167" s="7"/>
      <c r="KYW167" s="21"/>
      <c r="KYX167" s="20"/>
      <c r="KYY167" s="20"/>
      <c r="KYZ167" s="20"/>
      <c r="KZA167" s="21"/>
      <c r="KZB167" s="21"/>
      <c r="KZC167" s="21"/>
      <c r="KZD167" s="21"/>
      <c r="KZE167" s="21"/>
      <c r="KZF167" s="20"/>
      <c r="KZG167" s="20"/>
      <c r="KZH167" s="20"/>
      <c r="KZI167" s="20"/>
      <c r="KZJ167" s="21"/>
      <c r="KZK167" s="21"/>
      <c r="KZL167" s="7"/>
      <c r="KZM167" s="7"/>
      <c r="KZN167" s="21"/>
      <c r="KZO167" s="20"/>
      <c r="KZP167" s="20"/>
      <c r="KZQ167" s="20"/>
      <c r="KZR167" s="21"/>
      <c r="KZS167" s="21"/>
      <c r="KZT167" s="21"/>
      <c r="KZU167" s="21"/>
      <c r="KZV167" s="21"/>
      <c r="KZW167" s="20"/>
      <c r="KZX167" s="20"/>
      <c r="KZY167" s="20"/>
      <c r="KZZ167" s="20"/>
      <c r="LAA167" s="21"/>
      <c r="LAB167" s="21"/>
      <c r="LAC167" s="7"/>
      <c r="LAD167" s="7"/>
      <c r="LAE167" s="21"/>
      <c r="LAF167" s="20"/>
      <c r="LAG167" s="20"/>
      <c r="LAH167" s="20"/>
      <c r="LAI167" s="21"/>
      <c r="LAJ167" s="21"/>
      <c r="LAK167" s="21"/>
      <c r="LAL167" s="21"/>
      <c r="LAM167" s="21"/>
      <c r="LAN167" s="20"/>
      <c r="LAO167" s="20"/>
      <c r="LAP167" s="20"/>
      <c r="LAQ167" s="20"/>
      <c r="LAR167" s="21"/>
      <c r="LAS167" s="21"/>
      <c r="LAT167" s="7"/>
      <c r="LAU167" s="7"/>
      <c r="LAV167" s="21"/>
      <c r="LAW167" s="20"/>
      <c r="LAX167" s="20"/>
      <c r="LAY167" s="20"/>
      <c r="LAZ167" s="21"/>
      <c r="LBA167" s="21"/>
      <c r="LBB167" s="21"/>
      <c r="LBC167" s="21"/>
      <c r="LBD167" s="21"/>
      <c r="LBE167" s="20"/>
      <c r="LBF167" s="20"/>
      <c r="LBG167" s="20"/>
      <c r="LBH167" s="20"/>
      <c r="LBI167" s="21"/>
      <c r="LBJ167" s="21"/>
      <c r="LBK167" s="7"/>
      <c r="LBL167" s="7"/>
      <c r="LBM167" s="21"/>
      <c r="LBN167" s="20"/>
      <c r="LBO167" s="20"/>
      <c r="LBP167" s="20"/>
      <c r="LBQ167" s="21"/>
      <c r="LBR167" s="21"/>
      <c r="LBS167" s="21"/>
      <c r="LBT167" s="21"/>
      <c r="LBU167" s="21"/>
      <c r="LBV167" s="20"/>
      <c r="LBW167" s="20"/>
      <c r="LBX167" s="20"/>
      <c r="LBY167" s="20"/>
      <c r="LBZ167" s="21"/>
      <c r="LCA167" s="21"/>
      <c r="LCB167" s="7"/>
      <c r="LCC167" s="7"/>
      <c r="LCD167" s="21"/>
      <c r="LCE167" s="20"/>
      <c r="LCF167" s="20"/>
      <c r="LCG167" s="20"/>
      <c r="LCH167" s="21"/>
      <c r="LCI167" s="21"/>
      <c r="LCJ167" s="21"/>
      <c r="LCK167" s="21"/>
      <c r="LCL167" s="21"/>
      <c r="LCM167" s="20"/>
      <c r="LCN167" s="20"/>
      <c r="LCO167" s="20"/>
      <c r="LCP167" s="20"/>
      <c r="LCQ167" s="21"/>
      <c r="LCR167" s="21"/>
      <c r="LCS167" s="7"/>
      <c r="LCT167" s="7"/>
      <c r="LCU167" s="21"/>
      <c r="LCV167" s="20"/>
      <c r="LCW167" s="20"/>
      <c r="LCX167" s="20"/>
      <c r="LCY167" s="21"/>
      <c r="LCZ167" s="21"/>
      <c r="LDA167" s="21"/>
      <c r="LDB167" s="21"/>
      <c r="LDC167" s="21"/>
      <c r="LDD167" s="20"/>
      <c r="LDE167" s="20"/>
      <c r="LDF167" s="20"/>
      <c r="LDG167" s="20"/>
      <c r="LDH167" s="21"/>
      <c r="LDI167" s="21"/>
      <c r="LDJ167" s="7"/>
      <c r="LDK167" s="7"/>
      <c r="LDL167" s="21"/>
      <c r="LDM167" s="20"/>
      <c r="LDN167" s="20"/>
      <c r="LDO167" s="20"/>
      <c r="LDP167" s="21"/>
      <c r="LDQ167" s="21"/>
      <c r="LDR167" s="21"/>
      <c r="LDS167" s="21"/>
      <c r="LDT167" s="21"/>
      <c r="LDU167" s="20"/>
      <c r="LDV167" s="20"/>
      <c r="LDW167" s="20"/>
      <c r="LDX167" s="20"/>
      <c r="LDY167" s="21"/>
      <c r="LDZ167" s="21"/>
      <c r="LEA167" s="7"/>
      <c r="LEB167" s="7"/>
      <c r="LEC167" s="21"/>
      <c r="LED167" s="20"/>
      <c r="LEE167" s="20"/>
      <c r="LEF167" s="20"/>
      <c r="LEG167" s="21"/>
      <c r="LEH167" s="21"/>
      <c r="LEI167" s="21"/>
      <c r="LEJ167" s="21"/>
      <c r="LEK167" s="21"/>
      <c r="LEL167" s="20"/>
      <c r="LEM167" s="20"/>
      <c r="LEN167" s="20"/>
      <c r="LEO167" s="20"/>
      <c r="LEP167" s="21"/>
      <c r="LEQ167" s="21"/>
      <c r="LER167" s="7"/>
      <c r="LES167" s="7"/>
      <c r="LET167" s="21"/>
      <c r="LEU167" s="20"/>
      <c r="LEV167" s="20"/>
      <c r="LEW167" s="20"/>
      <c r="LEX167" s="21"/>
      <c r="LEY167" s="21"/>
      <c r="LEZ167" s="21"/>
      <c r="LFA167" s="21"/>
      <c r="LFB167" s="21"/>
      <c r="LFC167" s="20"/>
      <c r="LFD167" s="20"/>
      <c r="LFE167" s="20"/>
      <c r="LFF167" s="20"/>
      <c r="LFG167" s="21"/>
      <c r="LFH167" s="21"/>
      <c r="LFI167" s="7"/>
      <c r="LFJ167" s="7"/>
      <c r="LFK167" s="21"/>
      <c r="LFL167" s="20"/>
      <c r="LFM167" s="20"/>
      <c r="LFN167" s="20"/>
      <c r="LFO167" s="21"/>
      <c r="LFP167" s="21"/>
      <c r="LFQ167" s="21"/>
      <c r="LFR167" s="21"/>
      <c r="LFS167" s="21"/>
      <c r="LFT167" s="20"/>
      <c r="LFU167" s="20"/>
      <c r="LFV167" s="20"/>
      <c r="LFW167" s="20"/>
      <c r="LFX167" s="21"/>
      <c r="LFY167" s="21"/>
      <c r="LFZ167" s="7"/>
      <c r="LGA167" s="7"/>
      <c r="LGB167" s="21"/>
      <c r="LGC167" s="20"/>
      <c r="LGD167" s="20"/>
      <c r="LGE167" s="20"/>
      <c r="LGF167" s="21"/>
      <c r="LGG167" s="21"/>
      <c r="LGH167" s="21"/>
      <c r="LGI167" s="21"/>
      <c r="LGJ167" s="21"/>
      <c r="LGK167" s="20"/>
      <c r="LGL167" s="20"/>
      <c r="LGM167" s="20"/>
      <c r="LGN167" s="20"/>
      <c r="LGO167" s="21"/>
      <c r="LGP167" s="21"/>
      <c r="LGQ167" s="7"/>
      <c r="LGR167" s="7"/>
      <c r="LGS167" s="21"/>
      <c r="LGT167" s="20"/>
      <c r="LGU167" s="20"/>
      <c r="LGV167" s="20"/>
      <c r="LGW167" s="21"/>
      <c r="LGX167" s="21"/>
      <c r="LGY167" s="21"/>
      <c r="LGZ167" s="21"/>
      <c r="LHA167" s="21"/>
      <c r="LHB167" s="20"/>
      <c r="LHC167" s="20"/>
      <c r="LHD167" s="20"/>
      <c r="LHE167" s="20"/>
      <c r="LHF167" s="21"/>
      <c r="LHG167" s="21"/>
      <c r="LHH167" s="7"/>
      <c r="LHI167" s="7"/>
      <c r="LHJ167" s="21"/>
      <c r="LHK167" s="20"/>
      <c r="LHL167" s="20"/>
      <c r="LHM167" s="20"/>
      <c r="LHN167" s="21"/>
      <c r="LHO167" s="21"/>
      <c r="LHP167" s="21"/>
      <c r="LHQ167" s="21"/>
      <c r="LHR167" s="21"/>
      <c r="LHS167" s="20"/>
      <c r="LHT167" s="20"/>
      <c r="LHU167" s="20"/>
      <c r="LHV167" s="20"/>
      <c r="LHW167" s="21"/>
      <c r="LHX167" s="21"/>
      <c r="LHY167" s="7"/>
      <c r="LHZ167" s="7"/>
      <c r="LIA167" s="21"/>
      <c r="LIB167" s="20"/>
      <c r="LIC167" s="20"/>
      <c r="LID167" s="20"/>
      <c r="LIE167" s="21"/>
      <c r="LIF167" s="21"/>
      <c r="LIG167" s="21"/>
      <c r="LIH167" s="21"/>
      <c r="LII167" s="21"/>
      <c r="LIJ167" s="20"/>
      <c r="LIK167" s="20"/>
      <c r="LIL167" s="20"/>
      <c r="LIM167" s="20"/>
      <c r="LIN167" s="21"/>
      <c r="LIO167" s="21"/>
      <c r="LIP167" s="7"/>
      <c r="LIQ167" s="7"/>
      <c r="LIR167" s="21"/>
      <c r="LIS167" s="20"/>
      <c r="LIT167" s="20"/>
      <c r="LIU167" s="20"/>
      <c r="LIV167" s="21"/>
      <c r="LIW167" s="21"/>
      <c r="LIX167" s="21"/>
      <c r="LIY167" s="21"/>
      <c r="LIZ167" s="21"/>
      <c r="LJA167" s="20"/>
      <c r="LJB167" s="20"/>
      <c r="LJC167" s="20"/>
      <c r="LJD167" s="20"/>
      <c r="LJE167" s="21"/>
      <c r="LJF167" s="21"/>
      <c r="LJG167" s="7"/>
      <c r="LJH167" s="7"/>
      <c r="LJI167" s="21"/>
      <c r="LJJ167" s="20"/>
      <c r="LJK167" s="20"/>
      <c r="LJL167" s="20"/>
      <c r="LJM167" s="21"/>
      <c r="LJN167" s="21"/>
      <c r="LJO167" s="21"/>
      <c r="LJP167" s="21"/>
      <c r="LJQ167" s="21"/>
      <c r="LJR167" s="20"/>
      <c r="LJS167" s="20"/>
      <c r="LJT167" s="20"/>
      <c r="LJU167" s="20"/>
      <c r="LJV167" s="21"/>
      <c r="LJW167" s="21"/>
      <c r="LJX167" s="7"/>
      <c r="LJY167" s="7"/>
      <c r="LJZ167" s="21"/>
      <c r="LKA167" s="20"/>
      <c r="LKB167" s="20"/>
      <c r="LKC167" s="20"/>
      <c r="LKD167" s="21"/>
      <c r="LKE167" s="21"/>
      <c r="LKF167" s="21"/>
      <c r="LKG167" s="21"/>
      <c r="LKH167" s="21"/>
      <c r="LKI167" s="20"/>
      <c r="LKJ167" s="20"/>
      <c r="LKK167" s="20"/>
      <c r="LKL167" s="20"/>
      <c r="LKM167" s="21"/>
      <c r="LKN167" s="21"/>
      <c r="LKO167" s="7"/>
      <c r="LKP167" s="7"/>
      <c r="LKQ167" s="21"/>
      <c r="LKR167" s="20"/>
      <c r="LKS167" s="20"/>
      <c r="LKT167" s="20"/>
      <c r="LKU167" s="21"/>
      <c r="LKV167" s="21"/>
      <c r="LKW167" s="21"/>
      <c r="LKX167" s="21"/>
      <c r="LKY167" s="21"/>
      <c r="LKZ167" s="20"/>
      <c r="LLA167" s="20"/>
      <c r="LLB167" s="20"/>
      <c r="LLC167" s="20"/>
      <c r="LLD167" s="21"/>
      <c r="LLE167" s="21"/>
      <c r="LLF167" s="7"/>
      <c r="LLG167" s="7"/>
      <c r="LLH167" s="21"/>
      <c r="LLI167" s="20"/>
      <c r="LLJ167" s="20"/>
      <c r="LLK167" s="20"/>
      <c r="LLL167" s="21"/>
      <c r="LLM167" s="21"/>
      <c r="LLN167" s="21"/>
      <c r="LLO167" s="21"/>
      <c r="LLP167" s="21"/>
      <c r="LLQ167" s="20"/>
      <c r="LLR167" s="20"/>
      <c r="LLS167" s="20"/>
      <c r="LLT167" s="20"/>
      <c r="LLU167" s="21"/>
      <c r="LLV167" s="21"/>
      <c r="LLW167" s="7"/>
      <c r="LLX167" s="7"/>
      <c r="LLY167" s="21"/>
      <c r="LLZ167" s="20"/>
      <c r="LMA167" s="20"/>
      <c r="LMB167" s="20"/>
      <c r="LMC167" s="21"/>
      <c r="LMD167" s="21"/>
      <c r="LME167" s="21"/>
      <c r="LMF167" s="21"/>
      <c r="LMG167" s="21"/>
      <c r="LMH167" s="20"/>
      <c r="LMI167" s="20"/>
      <c r="LMJ167" s="20"/>
      <c r="LMK167" s="20"/>
      <c r="LML167" s="21"/>
      <c r="LMM167" s="21"/>
      <c r="LMN167" s="7"/>
      <c r="LMO167" s="7"/>
      <c r="LMP167" s="21"/>
      <c r="LMQ167" s="20"/>
      <c r="LMR167" s="20"/>
      <c r="LMS167" s="20"/>
      <c r="LMT167" s="21"/>
      <c r="LMU167" s="21"/>
      <c r="LMV167" s="21"/>
      <c r="LMW167" s="21"/>
      <c r="LMX167" s="21"/>
      <c r="LMY167" s="20"/>
      <c r="LMZ167" s="20"/>
      <c r="LNA167" s="20"/>
      <c r="LNB167" s="20"/>
      <c r="LNC167" s="21"/>
      <c r="LND167" s="21"/>
      <c r="LNE167" s="7"/>
      <c r="LNF167" s="7"/>
      <c r="LNG167" s="21"/>
      <c r="LNH167" s="20"/>
      <c r="LNI167" s="20"/>
      <c r="LNJ167" s="20"/>
      <c r="LNK167" s="21"/>
      <c r="LNL167" s="21"/>
      <c r="LNM167" s="21"/>
      <c r="LNN167" s="21"/>
      <c r="LNO167" s="21"/>
      <c r="LNP167" s="20"/>
      <c r="LNQ167" s="20"/>
      <c r="LNR167" s="20"/>
      <c r="LNS167" s="20"/>
      <c r="LNT167" s="21"/>
      <c r="LNU167" s="21"/>
      <c r="LNV167" s="7"/>
      <c r="LNW167" s="7"/>
      <c r="LNX167" s="21"/>
      <c r="LNY167" s="20"/>
      <c r="LNZ167" s="20"/>
      <c r="LOA167" s="20"/>
      <c r="LOB167" s="21"/>
      <c r="LOC167" s="21"/>
      <c r="LOD167" s="21"/>
      <c r="LOE167" s="21"/>
      <c r="LOF167" s="21"/>
      <c r="LOG167" s="20"/>
      <c r="LOH167" s="20"/>
      <c r="LOI167" s="20"/>
      <c r="LOJ167" s="20"/>
      <c r="LOK167" s="21"/>
      <c r="LOL167" s="21"/>
      <c r="LOM167" s="7"/>
      <c r="LON167" s="7"/>
      <c r="LOO167" s="21"/>
      <c r="LOP167" s="20"/>
      <c r="LOQ167" s="20"/>
      <c r="LOR167" s="20"/>
      <c r="LOS167" s="21"/>
      <c r="LOT167" s="21"/>
      <c r="LOU167" s="21"/>
      <c r="LOV167" s="21"/>
      <c r="LOW167" s="21"/>
      <c r="LOX167" s="20"/>
      <c r="LOY167" s="20"/>
      <c r="LOZ167" s="20"/>
      <c r="LPA167" s="20"/>
      <c r="LPB167" s="21"/>
      <c r="LPC167" s="21"/>
      <c r="LPD167" s="7"/>
      <c r="LPE167" s="7"/>
      <c r="LPF167" s="21"/>
      <c r="LPG167" s="20"/>
      <c r="LPH167" s="20"/>
      <c r="LPI167" s="20"/>
      <c r="LPJ167" s="21"/>
      <c r="LPK167" s="21"/>
      <c r="LPL167" s="21"/>
      <c r="LPM167" s="21"/>
      <c r="LPN167" s="21"/>
      <c r="LPO167" s="20"/>
      <c r="LPP167" s="20"/>
      <c r="LPQ167" s="20"/>
      <c r="LPR167" s="20"/>
      <c r="LPS167" s="21"/>
      <c r="LPT167" s="21"/>
      <c r="LPU167" s="7"/>
      <c r="LPV167" s="7"/>
      <c r="LPW167" s="21"/>
      <c r="LPX167" s="20"/>
      <c r="LPY167" s="20"/>
      <c r="LPZ167" s="20"/>
      <c r="LQA167" s="21"/>
      <c r="LQB167" s="21"/>
      <c r="LQC167" s="21"/>
      <c r="LQD167" s="21"/>
      <c r="LQE167" s="21"/>
      <c r="LQF167" s="20"/>
      <c r="LQG167" s="20"/>
      <c r="LQH167" s="20"/>
      <c r="LQI167" s="20"/>
      <c r="LQJ167" s="21"/>
      <c r="LQK167" s="21"/>
      <c r="LQL167" s="7"/>
      <c r="LQM167" s="7"/>
      <c r="LQN167" s="21"/>
      <c r="LQO167" s="20"/>
      <c r="LQP167" s="20"/>
      <c r="LQQ167" s="20"/>
      <c r="LQR167" s="21"/>
      <c r="LQS167" s="21"/>
      <c r="LQT167" s="21"/>
      <c r="LQU167" s="21"/>
      <c r="LQV167" s="21"/>
      <c r="LQW167" s="20"/>
      <c r="LQX167" s="20"/>
      <c r="LQY167" s="20"/>
      <c r="LQZ167" s="20"/>
      <c r="LRA167" s="21"/>
      <c r="LRB167" s="21"/>
      <c r="LRC167" s="7"/>
      <c r="LRD167" s="7"/>
      <c r="LRE167" s="21"/>
      <c r="LRF167" s="20"/>
      <c r="LRG167" s="20"/>
      <c r="LRH167" s="20"/>
      <c r="LRI167" s="21"/>
      <c r="LRJ167" s="21"/>
      <c r="LRK167" s="21"/>
      <c r="LRL167" s="21"/>
      <c r="LRM167" s="21"/>
      <c r="LRN167" s="20"/>
      <c r="LRO167" s="20"/>
      <c r="LRP167" s="20"/>
      <c r="LRQ167" s="20"/>
      <c r="LRR167" s="21"/>
      <c r="LRS167" s="21"/>
      <c r="LRT167" s="7"/>
      <c r="LRU167" s="7"/>
      <c r="LRV167" s="21"/>
      <c r="LRW167" s="20"/>
      <c r="LRX167" s="20"/>
      <c r="LRY167" s="20"/>
      <c r="LRZ167" s="21"/>
      <c r="LSA167" s="21"/>
      <c r="LSB167" s="21"/>
      <c r="LSC167" s="21"/>
      <c r="LSD167" s="21"/>
      <c r="LSE167" s="20"/>
      <c r="LSF167" s="20"/>
      <c r="LSG167" s="20"/>
      <c r="LSH167" s="20"/>
      <c r="LSI167" s="21"/>
      <c r="LSJ167" s="21"/>
      <c r="LSK167" s="7"/>
      <c r="LSL167" s="7"/>
      <c r="LSM167" s="21"/>
      <c r="LSN167" s="20"/>
      <c r="LSO167" s="20"/>
      <c r="LSP167" s="20"/>
      <c r="LSQ167" s="21"/>
      <c r="LSR167" s="21"/>
      <c r="LSS167" s="21"/>
      <c r="LST167" s="21"/>
      <c r="LSU167" s="21"/>
      <c r="LSV167" s="20"/>
      <c r="LSW167" s="20"/>
      <c r="LSX167" s="20"/>
      <c r="LSY167" s="20"/>
      <c r="LSZ167" s="21"/>
      <c r="LTA167" s="21"/>
      <c r="LTB167" s="7"/>
      <c r="LTC167" s="7"/>
      <c r="LTD167" s="21"/>
      <c r="LTE167" s="20"/>
      <c r="LTF167" s="20"/>
      <c r="LTG167" s="20"/>
      <c r="LTH167" s="21"/>
      <c r="LTI167" s="21"/>
      <c r="LTJ167" s="21"/>
      <c r="LTK167" s="21"/>
      <c r="LTL167" s="21"/>
      <c r="LTM167" s="20"/>
      <c r="LTN167" s="20"/>
      <c r="LTO167" s="20"/>
      <c r="LTP167" s="20"/>
      <c r="LTQ167" s="21"/>
      <c r="LTR167" s="21"/>
      <c r="LTS167" s="7"/>
      <c r="LTT167" s="7"/>
      <c r="LTU167" s="21"/>
      <c r="LTV167" s="20"/>
      <c r="LTW167" s="20"/>
      <c r="LTX167" s="20"/>
      <c r="LTY167" s="21"/>
      <c r="LTZ167" s="21"/>
      <c r="LUA167" s="21"/>
      <c r="LUB167" s="21"/>
      <c r="LUC167" s="21"/>
      <c r="LUD167" s="20"/>
      <c r="LUE167" s="20"/>
      <c r="LUF167" s="20"/>
      <c r="LUG167" s="20"/>
      <c r="LUH167" s="21"/>
      <c r="LUI167" s="21"/>
      <c r="LUJ167" s="7"/>
      <c r="LUK167" s="7"/>
      <c r="LUL167" s="21"/>
      <c r="LUM167" s="20"/>
      <c r="LUN167" s="20"/>
      <c r="LUO167" s="20"/>
      <c r="LUP167" s="21"/>
      <c r="LUQ167" s="21"/>
      <c r="LUR167" s="21"/>
      <c r="LUS167" s="21"/>
      <c r="LUT167" s="21"/>
      <c r="LUU167" s="20"/>
      <c r="LUV167" s="20"/>
      <c r="LUW167" s="20"/>
      <c r="LUX167" s="20"/>
      <c r="LUY167" s="21"/>
      <c r="LUZ167" s="21"/>
      <c r="LVA167" s="7"/>
      <c r="LVB167" s="7"/>
      <c r="LVC167" s="21"/>
      <c r="LVD167" s="20"/>
      <c r="LVE167" s="20"/>
      <c r="LVF167" s="20"/>
      <c r="LVG167" s="21"/>
      <c r="LVH167" s="21"/>
      <c r="LVI167" s="21"/>
      <c r="LVJ167" s="21"/>
      <c r="LVK167" s="21"/>
      <c r="LVL167" s="20"/>
      <c r="LVM167" s="20"/>
      <c r="LVN167" s="20"/>
      <c r="LVO167" s="20"/>
      <c r="LVP167" s="21"/>
      <c r="LVQ167" s="21"/>
      <c r="LVR167" s="7"/>
      <c r="LVS167" s="7"/>
      <c r="LVT167" s="21"/>
      <c r="LVU167" s="20"/>
      <c r="LVV167" s="20"/>
      <c r="LVW167" s="20"/>
      <c r="LVX167" s="21"/>
      <c r="LVY167" s="21"/>
      <c r="LVZ167" s="21"/>
      <c r="LWA167" s="21"/>
      <c r="LWB167" s="21"/>
      <c r="LWC167" s="20"/>
      <c r="LWD167" s="20"/>
      <c r="LWE167" s="20"/>
      <c r="LWF167" s="20"/>
      <c r="LWG167" s="21"/>
      <c r="LWH167" s="21"/>
      <c r="LWI167" s="7"/>
      <c r="LWJ167" s="7"/>
      <c r="LWK167" s="21"/>
      <c r="LWL167" s="20"/>
      <c r="LWM167" s="20"/>
      <c r="LWN167" s="20"/>
      <c r="LWO167" s="21"/>
      <c r="LWP167" s="21"/>
      <c r="LWQ167" s="21"/>
      <c r="LWR167" s="21"/>
      <c r="LWS167" s="21"/>
      <c r="LWT167" s="20"/>
      <c r="LWU167" s="20"/>
      <c r="LWV167" s="20"/>
      <c r="LWW167" s="20"/>
      <c r="LWX167" s="21"/>
      <c r="LWY167" s="21"/>
      <c r="LWZ167" s="7"/>
      <c r="LXA167" s="7"/>
      <c r="LXB167" s="21"/>
      <c r="LXC167" s="20"/>
      <c r="LXD167" s="20"/>
      <c r="LXE167" s="20"/>
      <c r="LXF167" s="21"/>
      <c r="LXG167" s="21"/>
      <c r="LXH167" s="21"/>
      <c r="LXI167" s="21"/>
      <c r="LXJ167" s="21"/>
      <c r="LXK167" s="20"/>
      <c r="LXL167" s="20"/>
      <c r="LXM167" s="20"/>
      <c r="LXN167" s="20"/>
      <c r="LXO167" s="21"/>
      <c r="LXP167" s="21"/>
      <c r="LXQ167" s="7"/>
      <c r="LXR167" s="7"/>
      <c r="LXS167" s="21"/>
      <c r="LXT167" s="20"/>
      <c r="LXU167" s="20"/>
      <c r="LXV167" s="20"/>
      <c r="LXW167" s="21"/>
      <c r="LXX167" s="21"/>
      <c r="LXY167" s="21"/>
      <c r="LXZ167" s="21"/>
      <c r="LYA167" s="21"/>
      <c r="LYB167" s="20"/>
      <c r="LYC167" s="20"/>
      <c r="LYD167" s="20"/>
      <c r="LYE167" s="20"/>
      <c r="LYF167" s="21"/>
      <c r="LYG167" s="21"/>
      <c r="LYH167" s="7"/>
      <c r="LYI167" s="7"/>
      <c r="LYJ167" s="21"/>
      <c r="LYK167" s="20"/>
      <c r="LYL167" s="20"/>
      <c r="LYM167" s="20"/>
      <c r="LYN167" s="21"/>
      <c r="LYO167" s="21"/>
      <c r="LYP167" s="21"/>
      <c r="LYQ167" s="21"/>
      <c r="LYR167" s="21"/>
      <c r="LYS167" s="20"/>
      <c r="LYT167" s="20"/>
      <c r="LYU167" s="20"/>
      <c r="LYV167" s="20"/>
      <c r="LYW167" s="21"/>
      <c r="LYX167" s="21"/>
      <c r="LYY167" s="7"/>
      <c r="LYZ167" s="7"/>
      <c r="LZA167" s="21"/>
      <c r="LZB167" s="20"/>
      <c r="LZC167" s="20"/>
      <c r="LZD167" s="20"/>
      <c r="LZE167" s="21"/>
      <c r="LZF167" s="21"/>
      <c r="LZG167" s="21"/>
      <c r="LZH167" s="21"/>
      <c r="LZI167" s="21"/>
      <c r="LZJ167" s="20"/>
      <c r="LZK167" s="20"/>
      <c r="LZL167" s="20"/>
      <c r="LZM167" s="20"/>
      <c r="LZN167" s="21"/>
      <c r="LZO167" s="21"/>
      <c r="LZP167" s="7"/>
      <c r="LZQ167" s="7"/>
      <c r="LZR167" s="21"/>
      <c r="LZS167" s="20"/>
      <c r="LZT167" s="20"/>
      <c r="LZU167" s="20"/>
      <c r="LZV167" s="21"/>
      <c r="LZW167" s="21"/>
      <c r="LZX167" s="21"/>
      <c r="LZY167" s="21"/>
      <c r="LZZ167" s="21"/>
      <c r="MAA167" s="20"/>
      <c r="MAB167" s="20"/>
      <c r="MAC167" s="20"/>
      <c r="MAD167" s="20"/>
      <c r="MAE167" s="21"/>
      <c r="MAF167" s="21"/>
      <c r="MAG167" s="7"/>
      <c r="MAH167" s="7"/>
      <c r="MAI167" s="21"/>
      <c r="MAJ167" s="20"/>
      <c r="MAK167" s="20"/>
      <c r="MAL167" s="20"/>
      <c r="MAM167" s="21"/>
      <c r="MAN167" s="21"/>
      <c r="MAO167" s="21"/>
      <c r="MAP167" s="21"/>
      <c r="MAQ167" s="21"/>
      <c r="MAR167" s="20"/>
      <c r="MAS167" s="20"/>
      <c r="MAT167" s="20"/>
      <c r="MAU167" s="20"/>
      <c r="MAV167" s="21"/>
      <c r="MAW167" s="21"/>
      <c r="MAX167" s="7"/>
      <c r="MAY167" s="7"/>
      <c r="MAZ167" s="21"/>
      <c r="MBA167" s="20"/>
      <c r="MBB167" s="20"/>
      <c r="MBC167" s="20"/>
      <c r="MBD167" s="21"/>
      <c r="MBE167" s="21"/>
      <c r="MBF167" s="21"/>
      <c r="MBG167" s="21"/>
      <c r="MBH167" s="21"/>
      <c r="MBI167" s="20"/>
      <c r="MBJ167" s="20"/>
      <c r="MBK167" s="20"/>
      <c r="MBL167" s="20"/>
      <c r="MBM167" s="21"/>
      <c r="MBN167" s="21"/>
      <c r="MBO167" s="7"/>
      <c r="MBP167" s="7"/>
      <c r="MBQ167" s="21"/>
      <c r="MBR167" s="20"/>
      <c r="MBS167" s="20"/>
      <c r="MBT167" s="20"/>
      <c r="MBU167" s="21"/>
      <c r="MBV167" s="21"/>
      <c r="MBW167" s="21"/>
      <c r="MBX167" s="21"/>
      <c r="MBY167" s="21"/>
      <c r="MBZ167" s="20"/>
      <c r="MCA167" s="20"/>
      <c r="MCB167" s="20"/>
      <c r="MCC167" s="20"/>
      <c r="MCD167" s="21"/>
      <c r="MCE167" s="21"/>
      <c r="MCF167" s="7"/>
      <c r="MCG167" s="7"/>
      <c r="MCH167" s="21"/>
      <c r="MCI167" s="20"/>
      <c r="MCJ167" s="20"/>
      <c r="MCK167" s="20"/>
      <c r="MCL167" s="21"/>
      <c r="MCM167" s="21"/>
      <c r="MCN167" s="21"/>
      <c r="MCO167" s="21"/>
      <c r="MCP167" s="21"/>
      <c r="MCQ167" s="20"/>
      <c r="MCR167" s="20"/>
      <c r="MCS167" s="20"/>
      <c r="MCT167" s="20"/>
      <c r="MCU167" s="21"/>
      <c r="MCV167" s="21"/>
      <c r="MCW167" s="7"/>
      <c r="MCX167" s="7"/>
      <c r="MCY167" s="21"/>
      <c r="MCZ167" s="20"/>
      <c r="MDA167" s="20"/>
      <c r="MDB167" s="20"/>
      <c r="MDC167" s="21"/>
      <c r="MDD167" s="21"/>
      <c r="MDE167" s="21"/>
      <c r="MDF167" s="21"/>
      <c r="MDG167" s="21"/>
      <c r="MDH167" s="20"/>
      <c r="MDI167" s="20"/>
      <c r="MDJ167" s="20"/>
      <c r="MDK167" s="20"/>
      <c r="MDL167" s="21"/>
      <c r="MDM167" s="21"/>
      <c r="MDN167" s="7"/>
      <c r="MDO167" s="7"/>
      <c r="MDP167" s="21"/>
      <c r="MDQ167" s="20"/>
      <c r="MDR167" s="20"/>
      <c r="MDS167" s="20"/>
      <c r="MDT167" s="21"/>
      <c r="MDU167" s="21"/>
      <c r="MDV167" s="21"/>
      <c r="MDW167" s="21"/>
      <c r="MDX167" s="21"/>
      <c r="MDY167" s="20"/>
      <c r="MDZ167" s="20"/>
      <c r="MEA167" s="20"/>
      <c r="MEB167" s="20"/>
      <c r="MEC167" s="21"/>
      <c r="MED167" s="21"/>
      <c r="MEE167" s="7"/>
      <c r="MEF167" s="7"/>
      <c r="MEG167" s="21"/>
      <c r="MEH167" s="20"/>
      <c r="MEI167" s="20"/>
      <c r="MEJ167" s="20"/>
      <c r="MEK167" s="21"/>
      <c r="MEL167" s="21"/>
      <c r="MEM167" s="21"/>
      <c r="MEN167" s="21"/>
      <c r="MEO167" s="21"/>
      <c r="MEP167" s="20"/>
      <c r="MEQ167" s="20"/>
      <c r="MER167" s="20"/>
      <c r="MES167" s="20"/>
      <c r="MET167" s="21"/>
      <c r="MEU167" s="21"/>
      <c r="MEV167" s="7"/>
      <c r="MEW167" s="7"/>
      <c r="MEX167" s="21"/>
      <c r="MEY167" s="20"/>
      <c r="MEZ167" s="20"/>
      <c r="MFA167" s="20"/>
      <c r="MFB167" s="21"/>
      <c r="MFC167" s="21"/>
      <c r="MFD167" s="21"/>
      <c r="MFE167" s="21"/>
      <c r="MFF167" s="21"/>
      <c r="MFG167" s="20"/>
      <c r="MFH167" s="20"/>
      <c r="MFI167" s="20"/>
      <c r="MFJ167" s="20"/>
      <c r="MFK167" s="21"/>
      <c r="MFL167" s="21"/>
      <c r="MFM167" s="7"/>
      <c r="MFN167" s="7"/>
      <c r="MFO167" s="21"/>
      <c r="MFP167" s="20"/>
      <c r="MFQ167" s="20"/>
      <c r="MFR167" s="20"/>
      <c r="MFS167" s="21"/>
      <c r="MFT167" s="21"/>
      <c r="MFU167" s="21"/>
      <c r="MFV167" s="21"/>
      <c r="MFW167" s="21"/>
      <c r="MFX167" s="20"/>
      <c r="MFY167" s="20"/>
      <c r="MFZ167" s="20"/>
      <c r="MGA167" s="20"/>
      <c r="MGB167" s="21"/>
      <c r="MGC167" s="21"/>
      <c r="MGD167" s="7"/>
      <c r="MGE167" s="7"/>
      <c r="MGF167" s="21"/>
      <c r="MGG167" s="20"/>
      <c r="MGH167" s="20"/>
      <c r="MGI167" s="20"/>
      <c r="MGJ167" s="21"/>
      <c r="MGK167" s="21"/>
      <c r="MGL167" s="21"/>
      <c r="MGM167" s="21"/>
      <c r="MGN167" s="21"/>
      <c r="MGO167" s="20"/>
      <c r="MGP167" s="20"/>
      <c r="MGQ167" s="20"/>
      <c r="MGR167" s="20"/>
      <c r="MGS167" s="21"/>
      <c r="MGT167" s="21"/>
      <c r="MGU167" s="7"/>
      <c r="MGV167" s="7"/>
      <c r="MGW167" s="21"/>
      <c r="MGX167" s="20"/>
      <c r="MGY167" s="20"/>
      <c r="MGZ167" s="20"/>
      <c r="MHA167" s="21"/>
      <c r="MHB167" s="21"/>
      <c r="MHC167" s="21"/>
      <c r="MHD167" s="21"/>
      <c r="MHE167" s="21"/>
      <c r="MHF167" s="20"/>
      <c r="MHG167" s="20"/>
      <c r="MHH167" s="20"/>
      <c r="MHI167" s="20"/>
      <c r="MHJ167" s="21"/>
      <c r="MHK167" s="21"/>
      <c r="MHL167" s="7"/>
      <c r="MHM167" s="7"/>
      <c r="MHN167" s="21"/>
      <c r="MHO167" s="20"/>
      <c r="MHP167" s="20"/>
      <c r="MHQ167" s="20"/>
      <c r="MHR167" s="21"/>
      <c r="MHS167" s="21"/>
      <c r="MHT167" s="21"/>
      <c r="MHU167" s="21"/>
      <c r="MHV167" s="21"/>
      <c r="MHW167" s="20"/>
      <c r="MHX167" s="20"/>
      <c r="MHY167" s="20"/>
      <c r="MHZ167" s="20"/>
      <c r="MIA167" s="21"/>
      <c r="MIB167" s="21"/>
      <c r="MIC167" s="7"/>
      <c r="MID167" s="7"/>
      <c r="MIE167" s="21"/>
      <c r="MIF167" s="20"/>
      <c r="MIG167" s="20"/>
      <c r="MIH167" s="20"/>
      <c r="MII167" s="21"/>
      <c r="MIJ167" s="21"/>
      <c r="MIK167" s="21"/>
      <c r="MIL167" s="21"/>
      <c r="MIM167" s="21"/>
      <c r="MIN167" s="20"/>
      <c r="MIO167" s="20"/>
      <c r="MIP167" s="20"/>
      <c r="MIQ167" s="20"/>
      <c r="MIR167" s="21"/>
      <c r="MIS167" s="21"/>
      <c r="MIT167" s="7"/>
      <c r="MIU167" s="7"/>
      <c r="MIV167" s="21"/>
      <c r="MIW167" s="20"/>
      <c r="MIX167" s="20"/>
      <c r="MIY167" s="20"/>
      <c r="MIZ167" s="21"/>
      <c r="MJA167" s="21"/>
      <c r="MJB167" s="21"/>
      <c r="MJC167" s="21"/>
      <c r="MJD167" s="21"/>
      <c r="MJE167" s="20"/>
      <c r="MJF167" s="20"/>
      <c r="MJG167" s="20"/>
      <c r="MJH167" s="20"/>
      <c r="MJI167" s="21"/>
      <c r="MJJ167" s="21"/>
      <c r="MJK167" s="7"/>
      <c r="MJL167" s="7"/>
      <c r="MJM167" s="21"/>
      <c r="MJN167" s="20"/>
      <c r="MJO167" s="20"/>
      <c r="MJP167" s="20"/>
      <c r="MJQ167" s="21"/>
      <c r="MJR167" s="21"/>
      <c r="MJS167" s="21"/>
      <c r="MJT167" s="21"/>
      <c r="MJU167" s="21"/>
      <c r="MJV167" s="20"/>
      <c r="MJW167" s="20"/>
      <c r="MJX167" s="20"/>
      <c r="MJY167" s="20"/>
      <c r="MJZ167" s="21"/>
      <c r="MKA167" s="21"/>
      <c r="MKB167" s="7"/>
      <c r="MKC167" s="7"/>
      <c r="MKD167" s="21"/>
      <c r="MKE167" s="20"/>
      <c r="MKF167" s="20"/>
      <c r="MKG167" s="20"/>
      <c r="MKH167" s="21"/>
      <c r="MKI167" s="21"/>
      <c r="MKJ167" s="21"/>
      <c r="MKK167" s="21"/>
      <c r="MKL167" s="21"/>
      <c r="MKM167" s="20"/>
      <c r="MKN167" s="20"/>
      <c r="MKO167" s="20"/>
      <c r="MKP167" s="20"/>
      <c r="MKQ167" s="21"/>
      <c r="MKR167" s="21"/>
      <c r="MKS167" s="7"/>
      <c r="MKT167" s="7"/>
      <c r="MKU167" s="21"/>
      <c r="MKV167" s="20"/>
      <c r="MKW167" s="20"/>
      <c r="MKX167" s="20"/>
      <c r="MKY167" s="21"/>
      <c r="MKZ167" s="21"/>
      <c r="MLA167" s="21"/>
      <c r="MLB167" s="21"/>
      <c r="MLC167" s="21"/>
      <c r="MLD167" s="20"/>
      <c r="MLE167" s="20"/>
      <c r="MLF167" s="20"/>
      <c r="MLG167" s="20"/>
      <c r="MLH167" s="21"/>
      <c r="MLI167" s="21"/>
      <c r="MLJ167" s="7"/>
      <c r="MLK167" s="7"/>
      <c r="MLL167" s="21"/>
      <c r="MLM167" s="20"/>
      <c r="MLN167" s="20"/>
      <c r="MLO167" s="20"/>
      <c r="MLP167" s="21"/>
      <c r="MLQ167" s="21"/>
      <c r="MLR167" s="21"/>
      <c r="MLS167" s="21"/>
      <c r="MLT167" s="21"/>
      <c r="MLU167" s="20"/>
      <c r="MLV167" s="20"/>
      <c r="MLW167" s="20"/>
      <c r="MLX167" s="20"/>
      <c r="MLY167" s="21"/>
      <c r="MLZ167" s="21"/>
      <c r="MMA167" s="7"/>
      <c r="MMB167" s="7"/>
      <c r="MMC167" s="21"/>
      <c r="MMD167" s="20"/>
      <c r="MME167" s="20"/>
      <c r="MMF167" s="20"/>
      <c r="MMG167" s="21"/>
      <c r="MMH167" s="21"/>
      <c r="MMI167" s="21"/>
      <c r="MMJ167" s="21"/>
      <c r="MMK167" s="21"/>
      <c r="MML167" s="20"/>
      <c r="MMM167" s="20"/>
      <c r="MMN167" s="20"/>
      <c r="MMO167" s="20"/>
      <c r="MMP167" s="21"/>
      <c r="MMQ167" s="21"/>
      <c r="MMR167" s="7"/>
      <c r="MMS167" s="7"/>
      <c r="MMT167" s="21"/>
      <c r="MMU167" s="20"/>
      <c r="MMV167" s="20"/>
      <c r="MMW167" s="20"/>
      <c r="MMX167" s="21"/>
      <c r="MMY167" s="21"/>
      <c r="MMZ167" s="21"/>
      <c r="MNA167" s="21"/>
      <c r="MNB167" s="21"/>
      <c r="MNC167" s="20"/>
      <c r="MND167" s="20"/>
      <c r="MNE167" s="20"/>
      <c r="MNF167" s="20"/>
      <c r="MNG167" s="21"/>
      <c r="MNH167" s="21"/>
      <c r="MNI167" s="7"/>
      <c r="MNJ167" s="7"/>
      <c r="MNK167" s="21"/>
      <c r="MNL167" s="20"/>
      <c r="MNM167" s="20"/>
      <c r="MNN167" s="20"/>
      <c r="MNO167" s="21"/>
      <c r="MNP167" s="21"/>
      <c r="MNQ167" s="21"/>
      <c r="MNR167" s="21"/>
      <c r="MNS167" s="21"/>
      <c r="MNT167" s="20"/>
      <c r="MNU167" s="20"/>
      <c r="MNV167" s="20"/>
      <c r="MNW167" s="20"/>
      <c r="MNX167" s="21"/>
      <c r="MNY167" s="21"/>
      <c r="MNZ167" s="7"/>
      <c r="MOA167" s="7"/>
      <c r="MOB167" s="21"/>
      <c r="MOC167" s="20"/>
      <c r="MOD167" s="20"/>
      <c r="MOE167" s="20"/>
      <c r="MOF167" s="21"/>
      <c r="MOG167" s="21"/>
      <c r="MOH167" s="21"/>
      <c r="MOI167" s="21"/>
      <c r="MOJ167" s="21"/>
      <c r="MOK167" s="20"/>
      <c r="MOL167" s="20"/>
      <c r="MOM167" s="20"/>
      <c r="MON167" s="20"/>
      <c r="MOO167" s="21"/>
      <c r="MOP167" s="21"/>
      <c r="MOQ167" s="7"/>
      <c r="MOR167" s="7"/>
      <c r="MOS167" s="21"/>
      <c r="MOT167" s="20"/>
      <c r="MOU167" s="20"/>
      <c r="MOV167" s="20"/>
      <c r="MOW167" s="21"/>
      <c r="MOX167" s="21"/>
      <c r="MOY167" s="21"/>
      <c r="MOZ167" s="21"/>
      <c r="MPA167" s="21"/>
      <c r="MPB167" s="20"/>
      <c r="MPC167" s="20"/>
      <c r="MPD167" s="20"/>
      <c r="MPE167" s="20"/>
      <c r="MPF167" s="21"/>
      <c r="MPG167" s="21"/>
      <c r="MPH167" s="7"/>
      <c r="MPI167" s="7"/>
      <c r="MPJ167" s="21"/>
      <c r="MPK167" s="20"/>
      <c r="MPL167" s="20"/>
      <c r="MPM167" s="20"/>
      <c r="MPN167" s="21"/>
      <c r="MPO167" s="21"/>
      <c r="MPP167" s="21"/>
      <c r="MPQ167" s="21"/>
      <c r="MPR167" s="21"/>
      <c r="MPS167" s="20"/>
      <c r="MPT167" s="20"/>
      <c r="MPU167" s="20"/>
      <c r="MPV167" s="20"/>
      <c r="MPW167" s="21"/>
      <c r="MPX167" s="21"/>
      <c r="MPY167" s="7"/>
      <c r="MPZ167" s="7"/>
      <c r="MQA167" s="21"/>
      <c r="MQB167" s="20"/>
      <c r="MQC167" s="20"/>
      <c r="MQD167" s="20"/>
      <c r="MQE167" s="21"/>
      <c r="MQF167" s="21"/>
      <c r="MQG167" s="21"/>
      <c r="MQH167" s="21"/>
      <c r="MQI167" s="21"/>
      <c r="MQJ167" s="20"/>
      <c r="MQK167" s="20"/>
      <c r="MQL167" s="20"/>
      <c r="MQM167" s="20"/>
      <c r="MQN167" s="21"/>
      <c r="MQO167" s="21"/>
      <c r="MQP167" s="7"/>
      <c r="MQQ167" s="7"/>
      <c r="MQR167" s="21"/>
      <c r="MQS167" s="20"/>
      <c r="MQT167" s="20"/>
      <c r="MQU167" s="20"/>
      <c r="MQV167" s="21"/>
      <c r="MQW167" s="21"/>
      <c r="MQX167" s="21"/>
      <c r="MQY167" s="21"/>
      <c r="MQZ167" s="21"/>
      <c r="MRA167" s="20"/>
      <c r="MRB167" s="20"/>
      <c r="MRC167" s="20"/>
      <c r="MRD167" s="20"/>
      <c r="MRE167" s="21"/>
      <c r="MRF167" s="21"/>
      <c r="MRG167" s="7"/>
      <c r="MRH167" s="7"/>
      <c r="MRI167" s="21"/>
      <c r="MRJ167" s="20"/>
      <c r="MRK167" s="20"/>
      <c r="MRL167" s="20"/>
      <c r="MRM167" s="21"/>
      <c r="MRN167" s="21"/>
      <c r="MRO167" s="21"/>
      <c r="MRP167" s="21"/>
      <c r="MRQ167" s="21"/>
      <c r="MRR167" s="20"/>
      <c r="MRS167" s="20"/>
      <c r="MRT167" s="20"/>
      <c r="MRU167" s="20"/>
      <c r="MRV167" s="21"/>
      <c r="MRW167" s="21"/>
      <c r="MRX167" s="7"/>
      <c r="MRY167" s="7"/>
      <c r="MRZ167" s="21"/>
      <c r="MSA167" s="20"/>
      <c r="MSB167" s="20"/>
      <c r="MSC167" s="20"/>
      <c r="MSD167" s="21"/>
      <c r="MSE167" s="21"/>
      <c r="MSF167" s="21"/>
      <c r="MSG167" s="21"/>
      <c r="MSH167" s="21"/>
      <c r="MSI167" s="20"/>
      <c r="MSJ167" s="20"/>
      <c r="MSK167" s="20"/>
      <c r="MSL167" s="20"/>
      <c r="MSM167" s="21"/>
      <c r="MSN167" s="21"/>
      <c r="MSO167" s="7"/>
      <c r="MSP167" s="7"/>
      <c r="MSQ167" s="21"/>
      <c r="MSR167" s="20"/>
      <c r="MSS167" s="20"/>
      <c r="MST167" s="20"/>
      <c r="MSU167" s="21"/>
      <c r="MSV167" s="21"/>
      <c r="MSW167" s="21"/>
      <c r="MSX167" s="21"/>
      <c r="MSY167" s="21"/>
      <c r="MSZ167" s="20"/>
      <c r="MTA167" s="20"/>
      <c r="MTB167" s="20"/>
      <c r="MTC167" s="20"/>
      <c r="MTD167" s="21"/>
      <c r="MTE167" s="21"/>
      <c r="MTF167" s="7"/>
      <c r="MTG167" s="7"/>
      <c r="MTH167" s="21"/>
      <c r="MTI167" s="20"/>
      <c r="MTJ167" s="20"/>
      <c r="MTK167" s="20"/>
      <c r="MTL167" s="21"/>
      <c r="MTM167" s="21"/>
      <c r="MTN167" s="21"/>
      <c r="MTO167" s="21"/>
      <c r="MTP167" s="21"/>
      <c r="MTQ167" s="20"/>
      <c r="MTR167" s="20"/>
      <c r="MTS167" s="20"/>
      <c r="MTT167" s="20"/>
      <c r="MTU167" s="21"/>
      <c r="MTV167" s="21"/>
      <c r="MTW167" s="7"/>
      <c r="MTX167" s="7"/>
      <c r="MTY167" s="21"/>
      <c r="MTZ167" s="20"/>
      <c r="MUA167" s="20"/>
      <c r="MUB167" s="20"/>
      <c r="MUC167" s="21"/>
      <c r="MUD167" s="21"/>
      <c r="MUE167" s="21"/>
      <c r="MUF167" s="21"/>
      <c r="MUG167" s="21"/>
      <c r="MUH167" s="20"/>
      <c r="MUI167" s="20"/>
      <c r="MUJ167" s="20"/>
      <c r="MUK167" s="20"/>
      <c r="MUL167" s="21"/>
      <c r="MUM167" s="21"/>
      <c r="MUN167" s="7"/>
      <c r="MUO167" s="7"/>
      <c r="MUP167" s="21"/>
      <c r="MUQ167" s="20"/>
      <c r="MUR167" s="20"/>
      <c r="MUS167" s="20"/>
      <c r="MUT167" s="21"/>
      <c r="MUU167" s="21"/>
      <c r="MUV167" s="21"/>
      <c r="MUW167" s="21"/>
      <c r="MUX167" s="21"/>
      <c r="MUY167" s="20"/>
      <c r="MUZ167" s="20"/>
      <c r="MVA167" s="20"/>
      <c r="MVB167" s="20"/>
      <c r="MVC167" s="21"/>
      <c r="MVD167" s="21"/>
      <c r="MVE167" s="7"/>
      <c r="MVF167" s="7"/>
      <c r="MVG167" s="21"/>
      <c r="MVH167" s="20"/>
      <c r="MVI167" s="20"/>
      <c r="MVJ167" s="20"/>
      <c r="MVK167" s="21"/>
      <c r="MVL167" s="21"/>
      <c r="MVM167" s="21"/>
      <c r="MVN167" s="21"/>
      <c r="MVO167" s="21"/>
      <c r="MVP167" s="20"/>
      <c r="MVQ167" s="20"/>
      <c r="MVR167" s="20"/>
      <c r="MVS167" s="20"/>
      <c r="MVT167" s="21"/>
      <c r="MVU167" s="21"/>
      <c r="MVV167" s="7"/>
      <c r="MVW167" s="7"/>
      <c r="MVX167" s="21"/>
      <c r="MVY167" s="20"/>
      <c r="MVZ167" s="20"/>
      <c r="MWA167" s="20"/>
      <c r="MWB167" s="21"/>
      <c r="MWC167" s="21"/>
      <c r="MWD167" s="21"/>
      <c r="MWE167" s="21"/>
      <c r="MWF167" s="21"/>
      <c r="MWG167" s="20"/>
      <c r="MWH167" s="20"/>
      <c r="MWI167" s="20"/>
      <c r="MWJ167" s="20"/>
      <c r="MWK167" s="21"/>
      <c r="MWL167" s="21"/>
      <c r="MWM167" s="7"/>
      <c r="MWN167" s="7"/>
      <c r="MWO167" s="21"/>
      <c r="MWP167" s="20"/>
      <c r="MWQ167" s="20"/>
      <c r="MWR167" s="20"/>
      <c r="MWS167" s="21"/>
      <c r="MWT167" s="21"/>
      <c r="MWU167" s="21"/>
      <c r="MWV167" s="21"/>
      <c r="MWW167" s="21"/>
      <c r="MWX167" s="20"/>
      <c r="MWY167" s="20"/>
      <c r="MWZ167" s="20"/>
      <c r="MXA167" s="20"/>
      <c r="MXB167" s="21"/>
      <c r="MXC167" s="21"/>
      <c r="MXD167" s="7"/>
      <c r="MXE167" s="7"/>
      <c r="MXF167" s="21"/>
      <c r="MXG167" s="20"/>
      <c r="MXH167" s="20"/>
      <c r="MXI167" s="20"/>
      <c r="MXJ167" s="21"/>
      <c r="MXK167" s="21"/>
      <c r="MXL167" s="21"/>
      <c r="MXM167" s="21"/>
      <c r="MXN167" s="21"/>
      <c r="MXO167" s="20"/>
      <c r="MXP167" s="20"/>
      <c r="MXQ167" s="20"/>
      <c r="MXR167" s="20"/>
      <c r="MXS167" s="21"/>
      <c r="MXT167" s="21"/>
      <c r="MXU167" s="7"/>
      <c r="MXV167" s="7"/>
      <c r="MXW167" s="21"/>
      <c r="MXX167" s="20"/>
      <c r="MXY167" s="20"/>
      <c r="MXZ167" s="20"/>
      <c r="MYA167" s="21"/>
      <c r="MYB167" s="21"/>
      <c r="MYC167" s="21"/>
      <c r="MYD167" s="21"/>
      <c r="MYE167" s="21"/>
      <c r="MYF167" s="20"/>
      <c r="MYG167" s="20"/>
      <c r="MYH167" s="20"/>
      <c r="MYI167" s="20"/>
      <c r="MYJ167" s="21"/>
      <c r="MYK167" s="21"/>
      <c r="MYL167" s="7"/>
      <c r="MYM167" s="7"/>
      <c r="MYN167" s="21"/>
      <c r="MYO167" s="20"/>
      <c r="MYP167" s="20"/>
      <c r="MYQ167" s="20"/>
      <c r="MYR167" s="21"/>
      <c r="MYS167" s="21"/>
      <c r="MYT167" s="21"/>
      <c r="MYU167" s="21"/>
      <c r="MYV167" s="21"/>
      <c r="MYW167" s="20"/>
      <c r="MYX167" s="20"/>
      <c r="MYY167" s="20"/>
      <c r="MYZ167" s="20"/>
      <c r="MZA167" s="21"/>
      <c r="MZB167" s="21"/>
      <c r="MZC167" s="7"/>
      <c r="MZD167" s="7"/>
      <c r="MZE167" s="21"/>
      <c r="MZF167" s="20"/>
      <c r="MZG167" s="20"/>
      <c r="MZH167" s="20"/>
      <c r="MZI167" s="21"/>
      <c r="MZJ167" s="21"/>
      <c r="MZK167" s="21"/>
      <c r="MZL167" s="21"/>
      <c r="MZM167" s="21"/>
      <c r="MZN167" s="20"/>
      <c r="MZO167" s="20"/>
      <c r="MZP167" s="20"/>
      <c r="MZQ167" s="20"/>
      <c r="MZR167" s="21"/>
      <c r="MZS167" s="21"/>
      <c r="MZT167" s="7"/>
      <c r="MZU167" s="7"/>
      <c r="MZV167" s="21"/>
      <c r="MZW167" s="20"/>
      <c r="MZX167" s="20"/>
      <c r="MZY167" s="20"/>
      <c r="MZZ167" s="21"/>
      <c r="NAA167" s="21"/>
      <c r="NAB167" s="21"/>
      <c r="NAC167" s="21"/>
      <c r="NAD167" s="21"/>
      <c r="NAE167" s="20"/>
      <c r="NAF167" s="20"/>
      <c r="NAG167" s="20"/>
      <c r="NAH167" s="20"/>
      <c r="NAI167" s="21"/>
      <c r="NAJ167" s="21"/>
      <c r="NAK167" s="7"/>
      <c r="NAL167" s="7"/>
      <c r="NAM167" s="21"/>
      <c r="NAN167" s="20"/>
      <c r="NAO167" s="20"/>
      <c r="NAP167" s="20"/>
      <c r="NAQ167" s="21"/>
      <c r="NAR167" s="21"/>
      <c r="NAS167" s="21"/>
      <c r="NAT167" s="21"/>
      <c r="NAU167" s="21"/>
      <c r="NAV167" s="20"/>
      <c r="NAW167" s="20"/>
      <c r="NAX167" s="20"/>
      <c r="NAY167" s="20"/>
      <c r="NAZ167" s="21"/>
      <c r="NBA167" s="21"/>
      <c r="NBB167" s="7"/>
      <c r="NBC167" s="7"/>
      <c r="NBD167" s="21"/>
      <c r="NBE167" s="20"/>
      <c r="NBF167" s="20"/>
      <c r="NBG167" s="20"/>
      <c r="NBH167" s="21"/>
      <c r="NBI167" s="21"/>
      <c r="NBJ167" s="21"/>
      <c r="NBK167" s="21"/>
      <c r="NBL167" s="21"/>
      <c r="NBM167" s="20"/>
      <c r="NBN167" s="20"/>
      <c r="NBO167" s="20"/>
      <c r="NBP167" s="20"/>
      <c r="NBQ167" s="21"/>
      <c r="NBR167" s="21"/>
      <c r="NBS167" s="7"/>
      <c r="NBT167" s="7"/>
      <c r="NBU167" s="21"/>
      <c r="NBV167" s="20"/>
      <c r="NBW167" s="20"/>
      <c r="NBX167" s="20"/>
      <c r="NBY167" s="21"/>
      <c r="NBZ167" s="21"/>
      <c r="NCA167" s="21"/>
      <c r="NCB167" s="21"/>
      <c r="NCC167" s="21"/>
      <c r="NCD167" s="20"/>
      <c r="NCE167" s="20"/>
      <c r="NCF167" s="20"/>
      <c r="NCG167" s="20"/>
      <c r="NCH167" s="21"/>
      <c r="NCI167" s="21"/>
      <c r="NCJ167" s="7"/>
      <c r="NCK167" s="7"/>
      <c r="NCL167" s="21"/>
      <c r="NCM167" s="20"/>
      <c r="NCN167" s="20"/>
      <c r="NCO167" s="20"/>
      <c r="NCP167" s="21"/>
      <c r="NCQ167" s="21"/>
      <c r="NCR167" s="21"/>
      <c r="NCS167" s="21"/>
      <c r="NCT167" s="21"/>
      <c r="NCU167" s="20"/>
      <c r="NCV167" s="20"/>
      <c r="NCW167" s="20"/>
      <c r="NCX167" s="20"/>
      <c r="NCY167" s="21"/>
      <c r="NCZ167" s="21"/>
      <c r="NDA167" s="7"/>
      <c r="NDB167" s="7"/>
      <c r="NDC167" s="21"/>
      <c r="NDD167" s="20"/>
      <c r="NDE167" s="20"/>
      <c r="NDF167" s="20"/>
      <c r="NDG167" s="21"/>
      <c r="NDH167" s="21"/>
      <c r="NDI167" s="21"/>
      <c r="NDJ167" s="21"/>
      <c r="NDK167" s="21"/>
      <c r="NDL167" s="20"/>
      <c r="NDM167" s="20"/>
      <c r="NDN167" s="20"/>
      <c r="NDO167" s="20"/>
      <c r="NDP167" s="21"/>
      <c r="NDQ167" s="21"/>
      <c r="NDR167" s="7"/>
      <c r="NDS167" s="7"/>
      <c r="NDT167" s="21"/>
      <c r="NDU167" s="20"/>
      <c r="NDV167" s="20"/>
      <c r="NDW167" s="20"/>
      <c r="NDX167" s="21"/>
      <c r="NDY167" s="21"/>
      <c r="NDZ167" s="21"/>
      <c r="NEA167" s="21"/>
      <c r="NEB167" s="21"/>
      <c r="NEC167" s="20"/>
      <c r="NED167" s="20"/>
      <c r="NEE167" s="20"/>
      <c r="NEF167" s="20"/>
      <c r="NEG167" s="21"/>
      <c r="NEH167" s="21"/>
      <c r="NEI167" s="7"/>
      <c r="NEJ167" s="7"/>
      <c r="NEK167" s="21"/>
      <c r="NEL167" s="20"/>
      <c r="NEM167" s="20"/>
      <c r="NEN167" s="20"/>
      <c r="NEO167" s="21"/>
      <c r="NEP167" s="21"/>
      <c r="NEQ167" s="21"/>
      <c r="NER167" s="21"/>
      <c r="NES167" s="21"/>
      <c r="NET167" s="20"/>
      <c r="NEU167" s="20"/>
      <c r="NEV167" s="20"/>
      <c r="NEW167" s="20"/>
      <c r="NEX167" s="21"/>
      <c r="NEY167" s="21"/>
      <c r="NEZ167" s="7"/>
      <c r="NFA167" s="7"/>
      <c r="NFB167" s="21"/>
      <c r="NFC167" s="20"/>
      <c r="NFD167" s="20"/>
      <c r="NFE167" s="20"/>
      <c r="NFF167" s="21"/>
      <c r="NFG167" s="21"/>
      <c r="NFH167" s="21"/>
      <c r="NFI167" s="21"/>
      <c r="NFJ167" s="21"/>
      <c r="NFK167" s="20"/>
      <c r="NFL167" s="20"/>
      <c r="NFM167" s="20"/>
      <c r="NFN167" s="20"/>
      <c r="NFO167" s="21"/>
      <c r="NFP167" s="21"/>
      <c r="NFQ167" s="7"/>
      <c r="NFR167" s="7"/>
      <c r="NFS167" s="21"/>
      <c r="NFT167" s="20"/>
      <c r="NFU167" s="20"/>
      <c r="NFV167" s="20"/>
      <c r="NFW167" s="21"/>
      <c r="NFX167" s="21"/>
      <c r="NFY167" s="21"/>
      <c r="NFZ167" s="21"/>
      <c r="NGA167" s="21"/>
      <c r="NGB167" s="20"/>
      <c r="NGC167" s="20"/>
      <c r="NGD167" s="20"/>
      <c r="NGE167" s="20"/>
      <c r="NGF167" s="21"/>
      <c r="NGG167" s="21"/>
      <c r="NGH167" s="7"/>
      <c r="NGI167" s="7"/>
      <c r="NGJ167" s="21"/>
      <c r="NGK167" s="20"/>
      <c r="NGL167" s="20"/>
      <c r="NGM167" s="20"/>
      <c r="NGN167" s="21"/>
      <c r="NGO167" s="21"/>
      <c r="NGP167" s="21"/>
      <c r="NGQ167" s="21"/>
      <c r="NGR167" s="21"/>
      <c r="NGS167" s="20"/>
      <c r="NGT167" s="20"/>
      <c r="NGU167" s="20"/>
      <c r="NGV167" s="20"/>
      <c r="NGW167" s="21"/>
      <c r="NGX167" s="21"/>
      <c r="NGY167" s="7"/>
      <c r="NGZ167" s="7"/>
      <c r="NHA167" s="21"/>
      <c r="NHB167" s="20"/>
      <c r="NHC167" s="20"/>
      <c r="NHD167" s="20"/>
      <c r="NHE167" s="21"/>
      <c r="NHF167" s="21"/>
      <c r="NHG167" s="21"/>
      <c r="NHH167" s="21"/>
      <c r="NHI167" s="21"/>
      <c r="NHJ167" s="20"/>
      <c r="NHK167" s="20"/>
      <c r="NHL167" s="20"/>
      <c r="NHM167" s="20"/>
      <c r="NHN167" s="21"/>
      <c r="NHO167" s="21"/>
      <c r="NHP167" s="7"/>
      <c r="NHQ167" s="7"/>
      <c r="NHR167" s="21"/>
      <c r="NHS167" s="20"/>
      <c r="NHT167" s="20"/>
      <c r="NHU167" s="20"/>
      <c r="NHV167" s="21"/>
      <c r="NHW167" s="21"/>
      <c r="NHX167" s="21"/>
      <c r="NHY167" s="21"/>
      <c r="NHZ167" s="21"/>
      <c r="NIA167" s="20"/>
      <c r="NIB167" s="20"/>
      <c r="NIC167" s="20"/>
      <c r="NID167" s="20"/>
      <c r="NIE167" s="21"/>
      <c r="NIF167" s="21"/>
      <c r="NIG167" s="7"/>
      <c r="NIH167" s="7"/>
      <c r="NII167" s="21"/>
      <c r="NIJ167" s="20"/>
      <c r="NIK167" s="20"/>
      <c r="NIL167" s="20"/>
      <c r="NIM167" s="21"/>
      <c r="NIN167" s="21"/>
      <c r="NIO167" s="21"/>
      <c r="NIP167" s="21"/>
      <c r="NIQ167" s="21"/>
      <c r="NIR167" s="20"/>
      <c r="NIS167" s="20"/>
      <c r="NIT167" s="20"/>
      <c r="NIU167" s="20"/>
      <c r="NIV167" s="21"/>
      <c r="NIW167" s="21"/>
      <c r="NIX167" s="7"/>
      <c r="NIY167" s="7"/>
      <c r="NIZ167" s="21"/>
      <c r="NJA167" s="20"/>
      <c r="NJB167" s="20"/>
      <c r="NJC167" s="20"/>
      <c r="NJD167" s="21"/>
      <c r="NJE167" s="21"/>
      <c r="NJF167" s="21"/>
      <c r="NJG167" s="21"/>
      <c r="NJH167" s="21"/>
      <c r="NJI167" s="20"/>
      <c r="NJJ167" s="20"/>
      <c r="NJK167" s="20"/>
      <c r="NJL167" s="20"/>
      <c r="NJM167" s="21"/>
      <c r="NJN167" s="21"/>
      <c r="NJO167" s="7"/>
      <c r="NJP167" s="7"/>
      <c r="NJQ167" s="21"/>
      <c r="NJR167" s="20"/>
      <c r="NJS167" s="20"/>
      <c r="NJT167" s="20"/>
      <c r="NJU167" s="21"/>
      <c r="NJV167" s="21"/>
      <c r="NJW167" s="21"/>
      <c r="NJX167" s="21"/>
      <c r="NJY167" s="21"/>
      <c r="NJZ167" s="20"/>
      <c r="NKA167" s="20"/>
      <c r="NKB167" s="20"/>
      <c r="NKC167" s="20"/>
      <c r="NKD167" s="21"/>
      <c r="NKE167" s="21"/>
      <c r="NKF167" s="7"/>
      <c r="NKG167" s="7"/>
      <c r="NKH167" s="21"/>
      <c r="NKI167" s="20"/>
      <c r="NKJ167" s="20"/>
      <c r="NKK167" s="20"/>
      <c r="NKL167" s="21"/>
      <c r="NKM167" s="21"/>
      <c r="NKN167" s="21"/>
      <c r="NKO167" s="21"/>
      <c r="NKP167" s="21"/>
      <c r="NKQ167" s="20"/>
      <c r="NKR167" s="20"/>
      <c r="NKS167" s="20"/>
      <c r="NKT167" s="20"/>
      <c r="NKU167" s="21"/>
      <c r="NKV167" s="21"/>
      <c r="NKW167" s="7"/>
      <c r="NKX167" s="7"/>
      <c r="NKY167" s="21"/>
      <c r="NKZ167" s="20"/>
      <c r="NLA167" s="20"/>
      <c r="NLB167" s="20"/>
      <c r="NLC167" s="21"/>
      <c r="NLD167" s="21"/>
      <c r="NLE167" s="21"/>
      <c r="NLF167" s="21"/>
      <c r="NLG167" s="21"/>
      <c r="NLH167" s="20"/>
      <c r="NLI167" s="20"/>
      <c r="NLJ167" s="20"/>
      <c r="NLK167" s="20"/>
      <c r="NLL167" s="21"/>
      <c r="NLM167" s="21"/>
      <c r="NLN167" s="7"/>
      <c r="NLO167" s="7"/>
      <c r="NLP167" s="21"/>
      <c r="NLQ167" s="20"/>
      <c r="NLR167" s="20"/>
      <c r="NLS167" s="20"/>
      <c r="NLT167" s="21"/>
      <c r="NLU167" s="21"/>
      <c r="NLV167" s="21"/>
      <c r="NLW167" s="21"/>
      <c r="NLX167" s="21"/>
      <c r="NLY167" s="20"/>
      <c r="NLZ167" s="20"/>
      <c r="NMA167" s="20"/>
      <c r="NMB167" s="20"/>
      <c r="NMC167" s="21"/>
      <c r="NMD167" s="21"/>
      <c r="NME167" s="7"/>
      <c r="NMF167" s="7"/>
      <c r="NMG167" s="21"/>
      <c r="NMH167" s="20"/>
      <c r="NMI167" s="20"/>
      <c r="NMJ167" s="20"/>
      <c r="NMK167" s="21"/>
      <c r="NML167" s="21"/>
      <c r="NMM167" s="21"/>
      <c r="NMN167" s="21"/>
      <c r="NMO167" s="21"/>
      <c r="NMP167" s="20"/>
      <c r="NMQ167" s="20"/>
      <c r="NMR167" s="20"/>
      <c r="NMS167" s="20"/>
      <c r="NMT167" s="21"/>
      <c r="NMU167" s="21"/>
      <c r="NMV167" s="7"/>
      <c r="NMW167" s="7"/>
      <c r="NMX167" s="21"/>
      <c r="NMY167" s="20"/>
      <c r="NMZ167" s="20"/>
      <c r="NNA167" s="20"/>
      <c r="NNB167" s="21"/>
      <c r="NNC167" s="21"/>
      <c r="NND167" s="21"/>
      <c r="NNE167" s="21"/>
      <c r="NNF167" s="21"/>
      <c r="NNG167" s="20"/>
      <c r="NNH167" s="20"/>
      <c r="NNI167" s="20"/>
      <c r="NNJ167" s="20"/>
      <c r="NNK167" s="21"/>
      <c r="NNL167" s="21"/>
      <c r="NNM167" s="7"/>
      <c r="NNN167" s="7"/>
      <c r="NNO167" s="21"/>
      <c r="NNP167" s="20"/>
      <c r="NNQ167" s="20"/>
      <c r="NNR167" s="20"/>
      <c r="NNS167" s="21"/>
      <c r="NNT167" s="21"/>
      <c r="NNU167" s="21"/>
      <c r="NNV167" s="21"/>
      <c r="NNW167" s="21"/>
      <c r="NNX167" s="20"/>
      <c r="NNY167" s="20"/>
      <c r="NNZ167" s="20"/>
      <c r="NOA167" s="20"/>
      <c r="NOB167" s="21"/>
      <c r="NOC167" s="21"/>
      <c r="NOD167" s="7"/>
      <c r="NOE167" s="7"/>
      <c r="NOF167" s="21"/>
      <c r="NOG167" s="20"/>
      <c r="NOH167" s="20"/>
      <c r="NOI167" s="20"/>
      <c r="NOJ167" s="21"/>
      <c r="NOK167" s="21"/>
      <c r="NOL167" s="21"/>
      <c r="NOM167" s="21"/>
      <c r="NON167" s="21"/>
      <c r="NOO167" s="20"/>
      <c r="NOP167" s="20"/>
      <c r="NOQ167" s="20"/>
      <c r="NOR167" s="20"/>
      <c r="NOS167" s="21"/>
      <c r="NOT167" s="21"/>
      <c r="NOU167" s="7"/>
      <c r="NOV167" s="7"/>
      <c r="NOW167" s="21"/>
      <c r="NOX167" s="20"/>
      <c r="NOY167" s="20"/>
      <c r="NOZ167" s="20"/>
      <c r="NPA167" s="21"/>
      <c r="NPB167" s="21"/>
      <c r="NPC167" s="21"/>
      <c r="NPD167" s="21"/>
      <c r="NPE167" s="21"/>
      <c r="NPF167" s="20"/>
      <c r="NPG167" s="20"/>
      <c r="NPH167" s="20"/>
      <c r="NPI167" s="20"/>
      <c r="NPJ167" s="21"/>
      <c r="NPK167" s="21"/>
      <c r="NPL167" s="7"/>
      <c r="NPM167" s="7"/>
      <c r="NPN167" s="21"/>
      <c r="NPO167" s="20"/>
      <c r="NPP167" s="20"/>
      <c r="NPQ167" s="20"/>
      <c r="NPR167" s="21"/>
      <c r="NPS167" s="21"/>
      <c r="NPT167" s="21"/>
      <c r="NPU167" s="21"/>
      <c r="NPV167" s="21"/>
      <c r="NPW167" s="20"/>
      <c r="NPX167" s="20"/>
      <c r="NPY167" s="20"/>
      <c r="NPZ167" s="20"/>
      <c r="NQA167" s="21"/>
      <c r="NQB167" s="21"/>
      <c r="NQC167" s="7"/>
      <c r="NQD167" s="7"/>
      <c r="NQE167" s="21"/>
      <c r="NQF167" s="20"/>
      <c r="NQG167" s="20"/>
      <c r="NQH167" s="20"/>
      <c r="NQI167" s="21"/>
      <c r="NQJ167" s="21"/>
      <c r="NQK167" s="21"/>
      <c r="NQL167" s="21"/>
      <c r="NQM167" s="21"/>
      <c r="NQN167" s="20"/>
      <c r="NQO167" s="20"/>
      <c r="NQP167" s="20"/>
      <c r="NQQ167" s="20"/>
      <c r="NQR167" s="21"/>
      <c r="NQS167" s="21"/>
      <c r="NQT167" s="7"/>
      <c r="NQU167" s="7"/>
      <c r="NQV167" s="21"/>
      <c r="NQW167" s="20"/>
      <c r="NQX167" s="20"/>
      <c r="NQY167" s="20"/>
      <c r="NQZ167" s="21"/>
      <c r="NRA167" s="21"/>
      <c r="NRB167" s="21"/>
      <c r="NRC167" s="21"/>
      <c r="NRD167" s="21"/>
      <c r="NRE167" s="20"/>
      <c r="NRF167" s="20"/>
      <c r="NRG167" s="20"/>
      <c r="NRH167" s="20"/>
      <c r="NRI167" s="21"/>
      <c r="NRJ167" s="21"/>
      <c r="NRK167" s="7"/>
      <c r="NRL167" s="7"/>
      <c r="NRM167" s="21"/>
      <c r="NRN167" s="20"/>
      <c r="NRO167" s="20"/>
      <c r="NRP167" s="20"/>
      <c r="NRQ167" s="21"/>
      <c r="NRR167" s="21"/>
      <c r="NRS167" s="21"/>
      <c r="NRT167" s="21"/>
      <c r="NRU167" s="21"/>
      <c r="NRV167" s="20"/>
      <c r="NRW167" s="20"/>
      <c r="NRX167" s="20"/>
      <c r="NRY167" s="20"/>
      <c r="NRZ167" s="21"/>
      <c r="NSA167" s="21"/>
      <c r="NSB167" s="7"/>
      <c r="NSC167" s="7"/>
      <c r="NSD167" s="21"/>
      <c r="NSE167" s="20"/>
      <c r="NSF167" s="20"/>
      <c r="NSG167" s="20"/>
      <c r="NSH167" s="21"/>
      <c r="NSI167" s="21"/>
      <c r="NSJ167" s="21"/>
      <c r="NSK167" s="21"/>
      <c r="NSL167" s="21"/>
      <c r="NSM167" s="20"/>
      <c r="NSN167" s="20"/>
      <c r="NSO167" s="20"/>
      <c r="NSP167" s="20"/>
      <c r="NSQ167" s="21"/>
      <c r="NSR167" s="21"/>
      <c r="NSS167" s="7"/>
      <c r="NST167" s="7"/>
      <c r="NSU167" s="21"/>
      <c r="NSV167" s="20"/>
      <c r="NSW167" s="20"/>
      <c r="NSX167" s="20"/>
      <c r="NSY167" s="21"/>
      <c r="NSZ167" s="21"/>
      <c r="NTA167" s="21"/>
      <c r="NTB167" s="21"/>
      <c r="NTC167" s="21"/>
      <c r="NTD167" s="20"/>
      <c r="NTE167" s="20"/>
      <c r="NTF167" s="20"/>
      <c r="NTG167" s="20"/>
      <c r="NTH167" s="21"/>
      <c r="NTI167" s="21"/>
      <c r="NTJ167" s="7"/>
      <c r="NTK167" s="7"/>
      <c r="NTL167" s="21"/>
      <c r="NTM167" s="20"/>
      <c r="NTN167" s="20"/>
      <c r="NTO167" s="20"/>
      <c r="NTP167" s="21"/>
      <c r="NTQ167" s="21"/>
      <c r="NTR167" s="21"/>
      <c r="NTS167" s="21"/>
      <c r="NTT167" s="21"/>
      <c r="NTU167" s="20"/>
      <c r="NTV167" s="20"/>
      <c r="NTW167" s="20"/>
      <c r="NTX167" s="20"/>
      <c r="NTY167" s="21"/>
      <c r="NTZ167" s="21"/>
      <c r="NUA167" s="7"/>
      <c r="NUB167" s="7"/>
      <c r="NUC167" s="21"/>
      <c r="NUD167" s="20"/>
      <c r="NUE167" s="20"/>
      <c r="NUF167" s="20"/>
      <c r="NUG167" s="21"/>
      <c r="NUH167" s="21"/>
      <c r="NUI167" s="21"/>
      <c r="NUJ167" s="21"/>
      <c r="NUK167" s="21"/>
      <c r="NUL167" s="20"/>
      <c r="NUM167" s="20"/>
      <c r="NUN167" s="20"/>
      <c r="NUO167" s="20"/>
      <c r="NUP167" s="21"/>
      <c r="NUQ167" s="21"/>
      <c r="NUR167" s="7"/>
      <c r="NUS167" s="7"/>
      <c r="NUT167" s="21"/>
      <c r="NUU167" s="20"/>
      <c r="NUV167" s="20"/>
      <c r="NUW167" s="20"/>
      <c r="NUX167" s="21"/>
      <c r="NUY167" s="21"/>
      <c r="NUZ167" s="21"/>
      <c r="NVA167" s="21"/>
      <c r="NVB167" s="21"/>
      <c r="NVC167" s="20"/>
      <c r="NVD167" s="20"/>
      <c r="NVE167" s="20"/>
      <c r="NVF167" s="20"/>
      <c r="NVG167" s="21"/>
      <c r="NVH167" s="21"/>
      <c r="NVI167" s="7"/>
      <c r="NVJ167" s="7"/>
      <c r="NVK167" s="21"/>
      <c r="NVL167" s="20"/>
      <c r="NVM167" s="20"/>
      <c r="NVN167" s="20"/>
      <c r="NVO167" s="21"/>
      <c r="NVP167" s="21"/>
      <c r="NVQ167" s="21"/>
      <c r="NVR167" s="21"/>
      <c r="NVS167" s="21"/>
      <c r="NVT167" s="20"/>
      <c r="NVU167" s="20"/>
      <c r="NVV167" s="20"/>
      <c r="NVW167" s="20"/>
      <c r="NVX167" s="21"/>
      <c r="NVY167" s="21"/>
      <c r="NVZ167" s="7"/>
      <c r="NWA167" s="7"/>
      <c r="NWB167" s="21"/>
      <c r="NWC167" s="20"/>
      <c r="NWD167" s="20"/>
      <c r="NWE167" s="20"/>
      <c r="NWF167" s="21"/>
      <c r="NWG167" s="21"/>
      <c r="NWH167" s="21"/>
      <c r="NWI167" s="21"/>
      <c r="NWJ167" s="21"/>
      <c r="NWK167" s="20"/>
      <c r="NWL167" s="20"/>
      <c r="NWM167" s="20"/>
      <c r="NWN167" s="20"/>
      <c r="NWO167" s="21"/>
      <c r="NWP167" s="21"/>
      <c r="NWQ167" s="7"/>
      <c r="NWR167" s="7"/>
      <c r="NWS167" s="21"/>
      <c r="NWT167" s="20"/>
      <c r="NWU167" s="20"/>
      <c r="NWV167" s="20"/>
      <c r="NWW167" s="21"/>
      <c r="NWX167" s="21"/>
      <c r="NWY167" s="21"/>
      <c r="NWZ167" s="21"/>
      <c r="NXA167" s="21"/>
      <c r="NXB167" s="20"/>
      <c r="NXC167" s="20"/>
      <c r="NXD167" s="20"/>
      <c r="NXE167" s="20"/>
      <c r="NXF167" s="21"/>
      <c r="NXG167" s="21"/>
      <c r="NXH167" s="7"/>
      <c r="NXI167" s="7"/>
      <c r="NXJ167" s="21"/>
      <c r="NXK167" s="20"/>
      <c r="NXL167" s="20"/>
      <c r="NXM167" s="20"/>
      <c r="NXN167" s="21"/>
      <c r="NXO167" s="21"/>
      <c r="NXP167" s="21"/>
      <c r="NXQ167" s="21"/>
      <c r="NXR167" s="21"/>
      <c r="NXS167" s="20"/>
      <c r="NXT167" s="20"/>
      <c r="NXU167" s="20"/>
      <c r="NXV167" s="20"/>
      <c r="NXW167" s="21"/>
      <c r="NXX167" s="21"/>
      <c r="NXY167" s="7"/>
      <c r="NXZ167" s="7"/>
      <c r="NYA167" s="21"/>
      <c r="NYB167" s="20"/>
      <c r="NYC167" s="20"/>
      <c r="NYD167" s="20"/>
      <c r="NYE167" s="21"/>
      <c r="NYF167" s="21"/>
      <c r="NYG167" s="21"/>
      <c r="NYH167" s="21"/>
      <c r="NYI167" s="21"/>
      <c r="NYJ167" s="20"/>
      <c r="NYK167" s="20"/>
      <c r="NYL167" s="20"/>
      <c r="NYM167" s="20"/>
      <c r="NYN167" s="21"/>
      <c r="NYO167" s="21"/>
      <c r="NYP167" s="7"/>
      <c r="NYQ167" s="7"/>
      <c r="NYR167" s="21"/>
      <c r="NYS167" s="20"/>
      <c r="NYT167" s="20"/>
      <c r="NYU167" s="20"/>
      <c r="NYV167" s="21"/>
      <c r="NYW167" s="21"/>
      <c r="NYX167" s="21"/>
      <c r="NYY167" s="21"/>
      <c r="NYZ167" s="21"/>
      <c r="NZA167" s="20"/>
      <c r="NZB167" s="20"/>
      <c r="NZC167" s="20"/>
      <c r="NZD167" s="20"/>
      <c r="NZE167" s="21"/>
      <c r="NZF167" s="21"/>
      <c r="NZG167" s="7"/>
      <c r="NZH167" s="7"/>
      <c r="NZI167" s="21"/>
      <c r="NZJ167" s="20"/>
      <c r="NZK167" s="20"/>
      <c r="NZL167" s="20"/>
      <c r="NZM167" s="21"/>
      <c r="NZN167" s="21"/>
      <c r="NZO167" s="21"/>
      <c r="NZP167" s="21"/>
      <c r="NZQ167" s="21"/>
      <c r="NZR167" s="20"/>
      <c r="NZS167" s="20"/>
      <c r="NZT167" s="20"/>
      <c r="NZU167" s="20"/>
      <c r="NZV167" s="21"/>
      <c r="NZW167" s="21"/>
      <c r="NZX167" s="7"/>
      <c r="NZY167" s="7"/>
      <c r="NZZ167" s="21"/>
      <c r="OAA167" s="20"/>
      <c r="OAB167" s="20"/>
      <c r="OAC167" s="20"/>
      <c r="OAD167" s="21"/>
      <c r="OAE167" s="21"/>
      <c r="OAF167" s="21"/>
      <c r="OAG167" s="21"/>
      <c r="OAH167" s="21"/>
      <c r="OAI167" s="20"/>
      <c r="OAJ167" s="20"/>
      <c r="OAK167" s="20"/>
      <c r="OAL167" s="20"/>
      <c r="OAM167" s="21"/>
      <c r="OAN167" s="21"/>
      <c r="OAO167" s="7"/>
      <c r="OAP167" s="7"/>
      <c r="OAQ167" s="21"/>
      <c r="OAR167" s="20"/>
      <c r="OAS167" s="20"/>
      <c r="OAT167" s="20"/>
      <c r="OAU167" s="21"/>
      <c r="OAV167" s="21"/>
      <c r="OAW167" s="21"/>
      <c r="OAX167" s="21"/>
      <c r="OAY167" s="21"/>
      <c r="OAZ167" s="20"/>
      <c r="OBA167" s="20"/>
      <c r="OBB167" s="20"/>
      <c r="OBC167" s="20"/>
      <c r="OBD167" s="21"/>
      <c r="OBE167" s="21"/>
      <c r="OBF167" s="7"/>
      <c r="OBG167" s="7"/>
      <c r="OBH167" s="21"/>
      <c r="OBI167" s="20"/>
      <c r="OBJ167" s="20"/>
      <c r="OBK167" s="20"/>
      <c r="OBL167" s="21"/>
      <c r="OBM167" s="21"/>
      <c r="OBN167" s="21"/>
      <c r="OBO167" s="21"/>
      <c r="OBP167" s="21"/>
      <c r="OBQ167" s="20"/>
      <c r="OBR167" s="20"/>
      <c r="OBS167" s="20"/>
      <c r="OBT167" s="20"/>
      <c r="OBU167" s="21"/>
      <c r="OBV167" s="21"/>
      <c r="OBW167" s="7"/>
      <c r="OBX167" s="7"/>
      <c r="OBY167" s="21"/>
      <c r="OBZ167" s="20"/>
      <c r="OCA167" s="20"/>
      <c r="OCB167" s="20"/>
      <c r="OCC167" s="21"/>
      <c r="OCD167" s="21"/>
      <c r="OCE167" s="21"/>
      <c r="OCF167" s="21"/>
      <c r="OCG167" s="21"/>
      <c r="OCH167" s="20"/>
      <c r="OCI167" s="20"/>
      <c r="OCJ167" s="20"/>
      <c r="OCK167" s="20"/>
      <c r="OCL167" s="21"/>
      <c r="OCM167" s="21"/>
      <c r="OCN167" s="7"/>
      <c r="OCO167" s="7"/>
      <c r="OCP167" s="21"/>
      <c r="OCQ167" s="20"/>
      <c r="OCR167" s="20"/>
      <c r="OCS167" s="20"/>
      <c r="OCT167" s="21"/>
      <c r="OCU167" s="21"/>
      <c r="OCV167" s="21"/>
      <c r="OCW167" s="21"/>
      <c r="OCX167" s="21"/>
      <c r="OCY167" s="20"/>
      <c r="OCZ167" s="20"/>
      <c r="ODA167" s="20"/>
      <c r="ODB167" s="20"/>
      <c r="ODC167" s="21"/>
      <c r="ODD167" s="21"/>
      <c r="ODE167" s="7"/>
      <c r="ODF167" s="7"/>
      <c r="ODG167" s="21"/>
      <c r="ODH167" s="20"/>
      <c r="ODI167" s="20"/>
      <c r="ODJ167" s="20"/>
      <c r="ODK167" s="21"/>
      <c r="ODL167" s="21"/>
      <c r="ODM167" s="21"/>
      <c r="ODN167" s="21"/>
      <c r="ODO167" s="21"/>
      <c r="ODP167" s="20"/>
      <c r="ODQ167" s="20"/>
      <c r="ODR167" s="20"/>
      <c r="ODS167" s="20"/>
      <c r="ODT167" s="21"/>
      <c r="ODU167" s="21"/>
      <c r="ODV167" s="7"/>
      <c r="ODW167" s="7"/>
      <c r="ODX167" s="21"/>
      <c r="ODY167" s="20"/>
      <c r="ODZ167" s="20"/>
      <c r="OEA167" s="20"/>
      <c r="OEB167" s="21"/>
      <c r="OEC167" s="21"/>
      <c r="OED167" s="21"/>
      <c r="OEE167" s="21"/>
      <c r="OEF167" s="21"/>
      <c r="OEG167" s="20"/>
      <c r="OEH167" s="20"/>
      <c r="OEI167" s="20"/>
      <c r="OEJ167" s="20"/>
      <c r="OEK167" s="21"/>
      <c r="OEL167" s="21"/>
      <c r="OEM167" s="7"/>
      <c r="OEN167" s="7"/>
      <c r="OEO167" s="21"/>
      <c r="OEP167" s="20"/>
      <c r="OEQ167" s="20"/>
      <c r="OER167" s="20"/>
      <c r="OES167" s="21"/>
      <c r="OET167" s="21"/>
      <c r="OEU167" s="21"/>
      <c r="OEV167" s="21"/>
      <c r="OEW167" s="21"/>
      <c r="OEX167" s="20"/>
      <c r="OEY167" s="20"/>
      <c r="OEZ167" s="20"/>
      <c r="OFA167" s="20"/>
      <c r="OFB167" s="21"/>
      <c r="OFC167" s="21"/>
      <c r="OFD167" s="7"/>
      <c r="OFE167" s="7"/>
      <c r="OFF167" s="21"/>
      <c r="OFG167" s="20"/>
      <c r="OFH167" s="20"/>
      <c r="OFI167" s="20"/>
      <c r="OFJ167" s="21"/>
      <c r="OFK167" s="21"/>
      <c r="OFL167" s="21"/>
      <c r="OFM167" s="21"/>
      <c r="OFN167" s="21"/>
      <c r="OFO167" s="20"/>
      <c r="OFP167" s="20"/>
      <c r="OFQ167" s="20"/>
      <c r="OFR167" s="20"/>
      <c r="OFS167" s="21"/>
      <c r="OFT167" s="21"/>
      <c r="OFU167" s="7"/>
      <c r="OFV167" s="7"/>
      <c r="OFW167" s="21"/>
      <c r="OFX167" s="20"/>
      <c r="OFY167" s="20"/>
      <c r="OFZ167" s="20"/>
      <c r="OGA167" s="21"/>
      <c r="OGB167" s="21"/>
      <c r="OGC167" s="21"/>
      <c r="OGD167" s="21"/>
      <c r="OGE167" s="21"/>
      <c r="OGF167" s="20"/>
      <c r="OGG167" s="20"/>
      <c r="OGH167" s="20"/>
      <c r="OGI167" s="20"/>
      <c r="OGJ167" s="21"/>
      <c r="OGK167" s="21"/>
      <c r="OGL167" s="7"/>
      <c r="OGM167" s="7"/>
      <c r="OGN167" s="21"/>
      <c r="OGO167" s="20"/>
      <c r="OGP167" s="20"/>
      <c r="OGQ167" s="20"/>
      <c r="OGR167" s="21"/>
      <c r="OGS167" s="21"/>
      <c r="OGT167" s="21"/>
      <c r="OGU167" s="21"/>
      <c r="OGV167" s="21"/>
      <c r="OGW167" s="20"/>
      <c r="OGX167" s="20"/>
      <c r="OGY167" s="20"/>
      <c r="OGZ167" s="20"/>
      <c r="OHA167" s="21"/>
      <c r="OHB167" s="21"/>
      <c r="OHC167" s="7"/>
      <c r="OHD167" s="7"/>
      <c r="OHE167" s="21"/>
      <c r="OHF167" s="20"/>
      <c r="OHG167" s="20"/>
      <c r="OHH167" s="20"/>
      <c r="OHI167" s="21"/>
      <c r="OHJ167" s="21"/>
      <c r="OHK167" s="21"/>
      <c r="OHL167" s="21"/>
      <c r="OHM167" s="21"/>
      <c r="OHN167" s="20"/>
      <c r="OHO167" s="20"/>
      <c r="OHP167" s="20"/>
      <c r="OHQ167" s="20"/>
      <c r="OHR167" s="21"/>
      <c r="OHS167" s="21"/>
      <c r="OHT167" s="7"/>
      <c r="OHU167" s="7"/>
      <c r="OHV167" s="21"/>
      <c r="OHW167" s="20"/>
      <c r="OHX167" s="20"/>
      <c r="OHY167" s="20"/>
      <c r="OHZ167" s="21"/>
      <c r="OIA167" s="21"/>
      <c r="OIB167" s="21"/>
      <c r="OIC167" s="21"/>
      <c r="OID167" s="21"/>
      <c r="OIE167" s="20"/>
      <c r="OIF167" s="20"/>
      <c r="OIG167" s="20"/>
      <c r="OIH167" s="20"/>
      <c r="OII167" s="21"/>
      <c r="OIJ167" s="21"/>
      <c r="OIK167" s="7"/>
      <c r="OIL167" s="7"/>
      <c r="OIM167" s="21"/>
      <c r="OIN167" s="20"/>
      <c r="OIO167" s="20"/>
      <c r="OIP167" s="20"/>
      <c r="OIQ167" s="21"/>
      <c r="OIR167" s="21"/>
      <c r="OIS167" s="21"/>
      <c r="OIT167" s="21"/>
      <c r="OIU167" s="21"/>
      <c r="OIV167" s="20"/>
      <c r="OIW167" s="20"/>
      <c r="OIX167" s="20"/>
      <c r="OIY167" s="20"/>
      <c r="OIZ167" s="21"/>
      <c r="OJA167" s="21"/>
      <c r="OJB167" s="7"/>
      <c r="OJC167" s="7"/>
      <c r="OJD167" s="21"/>
      <c r="OJE167" s="20"/>
      <c r="OJF167" s="20"/>
      <c r="OJG167" s="20"/>
      <c r="OJH167" s="21"/>
      <c r="OJI167" s="21"/>
      <c r="OJJ167" s="21"/>
      <c r="OJK167" s="21"/>
      <c r="OJL167" s="21"/>
      <c r="OJM167" s="20"/>
      <c r="OJN167" s="20"/>
      <c r="OJO167" s="20"/>
      <c r="OJP167" s="20"/>
      <c r="OJQ167" s="21"/>
      <c r="OJR167" s="21"/>
      <c r="OJS167" s="7"/>
      <c r="OJT167" s="7"/>
      <c r="OJU167" s="21"/>
      <c r="OJV167" s="20"/>
      <c r="OJW167" s="20"/>
      <c r="OJX167" s="20"/>
      <c r="OJY167" s="21"/>
      <c r="OJZ167" s="21"/>
      <c r="OKA167" s="21"/>
      <c r="OKB167" s="21"/>
      <c r="OKC167" s="21"/>
      <c r="OKD167" s="20"/>
      <c r="OKE167" s="20"/>
      <c r="OKF167" s="20"/>
      <c r="OKG167" s="20"/>
      <c r="OKH167" s="21"/>
      <c r="OKI167" s="21"/>
      <c r="OKJ167" s="7"/>
      <c r="OKK167" s="7"/>
      <c r="OKL167" s="21"/>
      <c r="OKM167" s="20"/>
      <c r="OKN167" s="20"/>
      <c r="OKO167" s="20"/>
      <c r="OKP167" s="21"/>
      <c r="OKQ167" s="21"/>
      <c r="OKR167" s="21"/>
      <c r="OKS167" s="21"/>
      <c r="OKT167" s="21"/>
      <c r="OKU167" s="20"/>
      <c r="OKV167" s="20"/>
      <c r="OKW167" s="20"/>
      <c r="OKX167" s="20"/>
      <c r="OKY167" s="21"/>
      <c r="OKZ167" s="21"/>
      <c r="OLA167" s="7"/>
      <c r="OLB167" s="7"/>
      <c r="OLC167" s="21"/>
      <c r="OLD167" s="20"/>
      <c r="OLE167" s="20"/>
      <c r="OLF167" s="20"/>
      <c r="OLG167" s="21"/>
      <c r="OLH167" s="21"/>
      <c r="OLI167" s="21"/>
      <c r="OLJ167" s="21"/>
      <c r="OLK167" s="21"/>
      <c r="OLL167" s="20"/>
      <c r="OLM167" s="20"/>
      <c r="OLN167" s="20"/>
      <c r="OLO167" s="20"/>
      <c r="OLP167" s="21"/>
      <c r="OLQ167" s="21"/>
      <c r="OLR167" s="7"/>
      <c r="OLS167" s="7"/>
      <c r="OLT167" s="21"/>
      <c r="OLU167" s="20"/>
      <c r="OLV167" s="20"/>
      <c r="OLW167" s="20"/>
      <c r="OLX167" s="21"/>
      <c r="OLY167" s="21"/>
      <c r="OLZ167" s="21"/>
      <c r="OMA167" s="21"/>
      <c r="OMB167" s="21"/>
      <c r="OMC167" s="20"/>
      <c r="OMD167" s="20"/>
      <c r="OME167" s="20"/>
      <c r="OMF167" s="20"/>
      <c r="OMG167" s="21"/>
      <c r="OMH167" s="21"/>
      <c r="OMI167" s="7"/>
      <c r="OMJ167" s="7"/>
      <c r="OMK167" s="21"/>
      <c r="OML167" s="20"/>
      <c r="OMM167" s="20"/>
      <c r="OMN167" s="20"/>
      <c r="OMO167" s="21"/>
      <c r="OMP167" s="21"/>
      <c r="OMQ167" s="21"/>
      <c r="OMR167" s="21"/>
      <c r="OMS167" s="21"/>
      <c r="OMT167" s="20"/>
      <c r="OMU167" s="20"/>
      <c r="OMV167" s="20"/>
      <c r="OMW167" s="20"/>
      <c r="OMX167" s="21"/>
      <c r="OMY167" s="21"/>
      <c r="OMZ167" s="7"/>
      <c r="ONA167" s="7"/>
      <c r="ONB167" s="21"/>
      <c r="ONC167" s="20"/>
      <c r="OND167" s="20"/>
      <c r="ONE167" s="20"/>
      <c r="ONF167" s="21"/>
      <c r="ONG167" s="21"/>
      <c r="ONH167" s="21"/>
      <c r="ONI167" s="21"/>
      <c r="ONJ167" s="21"/>
      <c r="ONK167" s="20"/>
      <c r="ONL167" s="20"/>
      <c r="ONM167" s="20"/>
      <c r="ONN167" s="20"/>
      <c r="ONO167" s="21"/>
      <c r="ONP167" s="21"/>
      <c r="ONQ167" s="7"/>
      <c r="ONR167" s="7"/>
      <c r="ONS167" s="21"/>
      <c r="ONT167" s="20"/>
      <c r="ONU167" s="20"/>
      <c r="ONV167" s="20"/>
      <c r="ONW167" s="21"/>
      <c r="ONX167" s="21"/>
      <c r="ONY167" s="21"/>
      <c r="ONZ167" s="21"/>
      <c r="OOA167" s="21"/>
      <c r="OOB167" s="20"/>
      <c r="OOC167" s="20"/>
      <c r="OOD167" s="20"/>
      <c r="OOE167" s="20"/>
      <c r="OOF167" s="21"/>
      <c r="OOG167" s="21"/>
      <c r="OOH167" s="7"/>
      <c r="OOI167" s="7"/>
      <c r="OOJ167" s="21"/>
      <c r="OOK167" s="20"/>
      <c r="OOL167" s="20"/>
      <c r="OOM167" s="20"/>
      <c r="OON167" s="21"/>
      <c r="OOO167" s="21"/>
      <c r="OOP167" s="21"/>
      <c r="OOQ167" s="21"/>
      <c r="OOR167" s="21"/>
      <c r="OOS167" s="20"/>
      <c r="OOT167" s="20"/>
      <c r="OOU167" s="20"/>
      <c r="OOV167" s="20"/>
      <c r="OOW167" s="21"/>
      <c r="OOX167" s="21"/>
      <c r="OOY167" s="7"/>
      <c r="OOZ167" s="7"/>
      <c r="OPA167" s="21"/>
      <c r="OPB167" s="20"/>
      <c r="OPC167" s="20"/>
      <c r="OPD167" s="20"/>
      <c r="OPE167" s="21"/>
      <c r="OPF167" s="21"/>
      <c r="OPG167" s="21"/>
      <c r="OPH167" s="21"/>
      <c r="OPI167" s="21"/>
      <c r="OPJ167" s="20"/>
      <c r="OPK167" s="20"/>
      <c r="OPL167" s="20"/>
      <c r="OPM167" s="20"/>
      <c r="OPN167" s="21"/>
      <c r="OPO167" s="21"/>
      <c r="OPP167" s="7"/>
      <c r="OPQ167" s="7"/>
      <c r="OPR167" s="21"/>
      <c r="OPS167" s="20"/>
      <c r="OPT167" s="20"/>
      <c r="OPU167" s="20"/>
      <c r="OPV167" s="21"/>
      <c r="OPW167" s="21"/>
      <c r="OPX167" s="21"/>
      <c r="OPY167" s="21"/>
      <c r="OPZ167" s="21"/>
      <c r="OQA167" s="20"/>
      <c r="OQB167" s="20"/>
      <c r="OQC167" s="20"/>
      <c r="OQD167" s="20"/>
      <c r="OQE167" s="21"/>
      <c r="OQF167" s="21"/>
      <c r="OQG167" s="7"/>
      <c r="OQH167" s="7"/>
      <c r="OQI167" s="21"/>
      <c r="OQJ167" s="20"/>
      <c r="OQK167" s="20"/>
      <c r="OQL167" s="20"/>
      <c r="OQM167" s="21"/>
      <c r="OQN167" s="21"/>
      <c r="OQO167" s="21"/>
      <c r="OQP167" s="21"/>
      <c r="OQQ167" s="21"/>
      <c r="OQR167" s="20"/>
      <c r="OQS167" s="20"/>
      <c r="OQT167" s="20"/>
      <c r="OQU167" s="20"/>
      <c r="OQV167" s="21"/>
      <c r="OQW167" s="21"/>
      <c r="OQX167" s="7"/>
      <c r="OQY167" s="7"/>
      <c r="OQZ167" s="21"/>
      <c r="ORA167" s="20"/>
      <c r="ORB167" s="20"/>
      <c r="ORC167" s="20"/>
      <c r="ORD167" s="21"/>
      <c r="ORE167" s="21"/>
      <c r="ORF167" s="21"/>
      <c r="ORG167" s="21"/>
      <c r="ORH167" s="21"/>
      <c r="ORI167" s="20"/>
      <c r="ORJ167" s="20"/>
      <c r="ORK167" s="20"/>
      <c r="ORL167" s="20"/>
      <c r="ORM167" s="21"/>
      <c r="ORN167" s="21"/>
      <c r="ORO167" s="7"/>
      <c r="ORP167" s="7"/>
      <c r="ORQ167" s="21"/>
      <c r="ORR167" s="20"/>
      <c r="ORS167" s="20"/>
      <c r="ORT167" s="20"/>
      <c r="ORU167" s="21"/>
      <c r="ORV167" s="21"/>
      <c r="ORW167" s="21"/>
      <c r="ORX167" s="21"/>
      <c r="ORY167" s="21"/>
      <c r="ORZ167" s="20"/>
      <c r="OSA167" s="20"/>
      <c r="OSB167" s="20"/>
      <c r="OSC167" s="20"/>
      <c r="OSD167" s="21"/>
      <c r="OSE167" s="21"/>
      <c r="OSF167" s="7"/>
      <c r="OSG167" s="7"/>
      <c r="OSH167" s="21"/>
      <c r="OSI167" s="20"/>
      <c r="OSJ167" s="20"/>
      <c r="OSK167" s="20"/>
      <c r="OSL167" s="21"/>
      <c r="OSM167" s="21"/>
      <c r="OSN167" s="21"/>
      <c r="OSO167" s="21"/>
      <c r="OSP167" s="21"/>
      <c r="OSQ167" s="20"/>
      <c r="OSR167" s="20"/>
      <c r="OSS167" s="20"/>
      <c r="OST167" s="20"/>
      <c r="OSU167" s="21"/>
      <c r="OSV167" s="21"/>
      <c r="OSW167" s="7"/>
      <c r="OSX167" s="7"/>
      <c r="OSY167" s="21"/>
      <c r="OSZ167" s="20"/>
      <c r="OTA167" s="20"/>
      <c r="OTB167" s="20"/>
      <c r="OTC167" s="21"/>
      <c r="OTD167" s="21"/>
      <c r="OTE167" s="21"/>
      <c r="OTF167" s="21"/>
      <c r="OTG167" s="21"/>
      <c r="OTH167" s="20"/>
      <c r="OTI167" s="20"/>
      <c r="OTJ167" s="20"/>
      <c r="OTK167" s="20"/>
      <c r="OTL167" s="21"/>
      <c r="OTM167" s="21"/>
      <c r="OTN167" s="7"/>
      <c r="OTO167" s="7"/>
      <c r="OTP167" s="21"/>
      <c r="OTQ167" s="20"/>
      <c r="OTR167" s="20"/>
      <c r="OTS167" s="20"/>
      <c r="OTT167" s="21"/>
      <c r="OTU167" s="21"/>
      <c r="OTV167" s="21"/>
      <c r="OTW167" s="21"/>
      <c r="OTX167" s="21"/>
      <c r="OTY167" s="20"/>
      <c r="OTZ167" s="20"/>
      <c r="OUA167" s="20"/>
      <c r="OUB167" s="20"/>
      <c r="OUC167" s="21"/>
      <c r="OUD167" s="21"/>
      <c r="OUE167" s="7"/>
      <c r="OUF167" s="7"/>
      <c r="OUG167" s="21"/>
      <c r="OUH167" s="20"/>
      <c r="OUI167" s="20"/>
      <c r="OUJ167" s="20"/>
      <c r="OUK167" s="21"/>
      <c r="OUL167" s="21"/>
      <c r="OUM167" s="21"/>
      <c r="OUN167" s="21"/>
      <c r="OUO167" s="21"/>
      <c r="OUP167" s="20"/>
      <c r="OUQ167" s="20"/>
      <c r="OUR167" s="20"/>
      <c r="OUS167" s="20"/>
      <c r="OUT167" s="21"/>
      <c r="OUU167" s="21"/>
      <c r="OUV167" s="7"/>
      <c r="OUW167" s="7"/>
      <c r="OUX167" s="21"/>
      <c r="OUY167" s="20"/>
      <c r="OUZ167" s="20"/>
      <c r="OVA167" s="20"/>
      <c r="OVB167" s="21"/>
      <c r="OVC167" s="21"/>
      <c r="OVD167" s="21"/>
      <c r="OVE167" s="21"/>
      <c r="OVF167" s="21"/>
      <c r="OVG167" s="20"/>
      <c r="OVH167" s="20"/>
      <c r="OVI167" s="20"/>
      <c r="OVJ167" s="20"/>
      <c r="OVK167" s="21"/>
      <c r="OVL167" s="21"/>
      <c r="OVM167" s="7"/>
      <c r="OVN167" s="7"/>
      <c r="OVO167" s="21"/>
      <c r="OVP167" s="20"/>
      <c r="OVQ167" s="20"/>
      <c r="OVR167" s="20"/>
      <c r="OVS167" s="21"/>
      <c r="OVT167" s="21"/>
      <c r="OVU167" s="21"/>
      <c r="OVV167" s="21"/>
      <c r="OVW167" s="21"/>
      <c r="OVX167" s="20"/>
      <c r="OVY167" s="20"/>
      <c r="OVZ167" s="20"/>
      <c r="OWA167" s="20"/>
      <c r="OWB167" s="21"/>
      <c r="OWC167" s="21"/>
      <c r="OWD167" s="7"/>
      <c r="OWE167" s="7"/>
      <c r="OWF167" s="21"/>
      <c r="OWG167" s="20"/>
      <c r="OWH167" s="20"/>
      <c r="OWI167" s="20"/>
      <c r="OWJ167" s="21"/>
      <c r="OWK167" s="21"/>
      <c r="OWL167" s="21"/>
      <c r="OWM167" s="21"/>
      <c r="OWN167" s="21"/>
      <c r="OWO167" s="20"/>
      <c r="OWP167" s="20"/>
      <c r="OWQ167" s="20"/>
      <c r="OWR167" s="20"/>
      <c r="OWS167" s="21"/>
      <c r="OWT167" s="21"/>
      <c r="OWU167" s="7"/>
      <c r="OWV167" s="7"/>
      <c r="OWW167" s="21"/>
      <c r="OWX167" s="20"/>
      <c r="OWY167" s="20"/>
      <c r="OWZ167" s="20"/>
      <c r="OXA167" s="21"/>
      <c r="OXB167" s="21"/>
      <c r="OXC167" s="21"/>
      <c r="OXD167" s="21"/>
      <c r="OXE167" s="21"/>
      <c r="OXF167" s="20"/>
      <c r="OXG167" s="20"/>
      <c r="OXH167" s="20"/>
      <c r="OXI167" s="20"/>
      <c r="OXJ167" s="21"/>
      <c r="OXK167" s="21"/>
      <c r="OXL167" s="7"/>
      <c r="OXM167" s="7"/>
      <c r="OXN167" s="21"/>
      <c r="OXO167" s="20"/>
      <c r="OXP167" s="20"/>
      <c r="OXQ167" s="20"/>
      <c r="OXR167" s="21"/>
      <c r="OXS167" s="21"/>
      <c r="OXT167" s="21"/>
      <c r="OXU167" s="21"/>
      <c r="OXV167" s="21"/>
      <c r="OXW167" s="20"/>
      <c r="OXX167" s="20"/>
      <c r="OXY167" s="20"/>
      <c r="OXZ167" s="20"/>
      <c r="OYA167" s="21"/>
      <c r="OYB167" s="21"/>
      <c r="OYC167" s="7"/>
      <c r="OYD167" s="7"/>
      <c r="OYE167" s="21"/>
      <c r="OYF167" s="20"/>
      <c r="OYG167" s="20"/>
      <c r="OYH167" s="20"/>
      <c r="OYI167" s="21"/>
      <c r="OYJ167" s="21"/>
      <c r="OYK167" s="21"/>
      <c r="OYL167" s="21"/>
      <c r="OYM167" s="21"/>
      <c r="OYN167" s="20"/>
      <c r="OYO167" s="20"/>
      <c r="OYP167" s="20"/>
      <c r="OYQ167" s="20"/>
      <c r="OYR167" s="21"/>
      <c r="OYS167" s="21"/>
      <c r="OYT167" s="7"/>
      <c r="OYU167" s="7"/>
      <c r="OYV167" s="21"/>
      <c r="OYW167" s="20"/>
      <c r="OYX167" s="20"/>
      <c r="OYY167" s="20"/>
      <c r="OYZ167" s="21"/>
      <c r="OZA167" s="21"/>
      <c r="OZB167" s="21"/>
      <c r="OZC167" s="21"/>
      <c r="OZD167" s="21"/>
      <c r="OZE167" s="20"/>
      <c r="OZF167" s="20"/>
      <c r="OZG167" s="20"/>
      <c r="OZH167" s="20"/>
      <c r="OZI167" s="21"/>
      <c r="OZJ167" s="21"/>
      <c r="OZK167" s="7"/>
      <c r="OZL167" s="7"/>
      <c r="OZM167" s="21"/>
      <c r="OZN167" s="20"/>
      <c r="OZO167" s="20"/>
      <c r="OZP167" s="20"/>
      <c r="OZQ167" s="21"/>
      <c r="OZR167" s="21"/>
      <c r="OZS167" s="21"/>
      <c r="OZT167" s="21"/>
      <c r="OZU167" s="21"/>
      <c r="OZV167" s="20"/>
      <c r="OZW167" s="20"/>
      <c r="OZX167" s="20"/>
      <c r="OZY167" s="20"/>
      <c r="OZZ167" s="21"/>
      <c r="PAA167" s="21"/>
      <c r="PAB167" s="7"/>
      <c r="PAC167" s="7"/>
      <c r="PAD167" s="21"/>
      <c r="PAE167" s="20"/>
      <c r="PAF167" s="20"/>
      <c r="PAG167" s="20"/>
      <c r="PAH167" s="21"/>
      <c r="PAI167" s="21"/>
      <c r="PAJ167" s="21"/>
      <c r="PAK167" s="21"/>
      <c r="PAL167" s="21"/>
      <c r="PAM167" s="20"/>
      <c r="PAN167" s="20"/>
      <c r="PAO167" s="20"/>
      <c r="PAP167" s="20"/>
      <c r="PAQ167" s="21"/>
      <c r="PAR167" s="21"/>
      <c r="PAS167" s="7"/>
      <c r="PAT167" s="7"/>
      <c r="PAU167" s="21"/>
      <c r="PAV167" s="20"/>
      <c r="PAW167" s="20"/>
      <c r="PAX167" s="20"/>
      <c r="PAY167" s="21"/>
      <c r="PAZ167" s="21"/>
      <c r="PBA167" s="21"/>
      <c r="PBB167" s="21"/>
      <c r="PBC167" s="21"/>
      <c r="PBD167" s="20"/>
      <c r="PBE167" s="20"/>
      <c r="PBF167" s="20"/>
      <c r="PBG167" s="20"/>
      <c r="PBH167" s="21"/>
      <c r="PBI167" s="21"/>
      <c r="PBJ167" s="7"/>
      <c r="PBK167" s="7"/>
      <c r="PBL167" s="21"/>
      <c r="PBM167" s="20"/>
      <c r="PBN167" s="20"/>
      <c r="PBO167" s="20"/>
      <c r="PBP167" s="21"/>
      <c r="PBQ167" s="21"/>
      <c r="PBR167" s="21"/>
      <c r="PBS167" s="21"/>
      <c r="PBT167" s="21"/>
      <c r="PBU167" s="20"/>
      <c r="PBV167" s="20"/>
      <c r="PBW167" s="20"/>
      <c r="PBX167" s="20"/>
      <c r="PBY167" s="21"/>
      <c r="PBZ167" s="21"/>
      <c r="PCA167" s="7"/>
      <c r="PCB167" s="7"/>
      <c r="PCC167" s="21"/>
      <c r="PCD167" s="20"/>
      <c r="PCE167" s="20"/>
      <c r="PCF167" s="20"/>
      <c r="PCG167" s="21"/>
      <c r="PCH167" s="21"/>
      <c r="PCI167" s="21"/>
      <c r="PCJ167" s="21"/>
      <c r="PCK167" s="21"/>
      <c r="PCL167" s="20"/>
      <c r="PCM167" s="20"/>
      <c r="PCN167" s="20"/>
      <c r="PCO167" s="20"/>
      <c r="PCP167" s="21"/>
      <c r="PCQ167" s="21"/>
      <c r="PCR167" s="7"/>
      <c r="PCS167" s="7"/>
      <c r="PCT167" s="21"/>
      <c r="PCU167" s="20"/>
      <c r="PCV167" s="20"/>
      <c r="PCW167" s="20"/>
      <c r="PCX167" s="21"/>
      <c r="PCY167" s="21"/>
      <c r="PCZ167" s="21"/>
      <c r="PDA167" s="21"/>
      <c r="PDB167" s="21"/>
      <c r="PDC167" s="20"/>
      <c r="PDD167" s="20"/>
      <c r="PDE167" s="20"/>
      <c r="PDF167" s="20"/>
      <c r="PDG167" s="21"/>
      <c r="PDH167" s="21"/>
      <c r="PDI167" s="7"/>
      <c r="PDJ167" s="7"/>
      <c r="PDK167" s="21"/>
      <c r="PDL167" s="20"/>
      <c r="PDM167" s="20"/>
      <c r="PDN167" s="20"/>
      <c r="PDO167" s="21"/>
      <c r="PDP167" s="21"/>
      <c r="PDQ167" s="21"/>
      <c r="PDR167" s="21"/>
      <c r="PDS167" s="21"/>
      <c r="PDT167" s="20"/>
      <c r="PDU167" s="20"/>
      <c r="PDV167" s="20"/>
      <c r="PDW167" s="20"/>
      <c r="PDX167" s="21"/>
      <c r="PDY167" s="21"/>
      <c r="PDZ167" s="7"/>
      <c r="PEA167" s="7"/>
      <c r="PEB167" s="21"/>
      <c r="PEC167" s="20"/>
      <c r="PED167" s="20"/>
      <c r="PEE167" s="20"/>
      <c r="PEF167" s="21"/>
      <c r="PEG167" s="21"/>
      <c r="PEH167" s="21"/>
      <c r="PEI167" s="21"/>
      <c r="PEJ167" s="21"/>
      <c r="PEK167" s="20"/>
      <c r="PEL167" s="20"/>
      <c r="PEM167" s="20"/>
      <c r="PEN167" s="20"/>
      <c r="PEO167" s="21"/>
      <c r="PEP167" s="21"/>
      <c r="PEQ167" s="7"/>
      <c r="PER167" s="7"/>
      <c r="PES167" s="21"/>
      <c r="PET167" s="20"/>
      <c r="PEU167" s="20"/>
      <c r="PEV167" s="20"/>
      <c r="PEW167" s="21"/>
      <c r="PEX167" s="21"/>
      <c r="PEY167" s="21"/>
      <c r="PEZ167" s="21"/>
      <c r="PFA167" s="21"/>
      <c r="PFB167" s="20"/>
      <c r="PFC167" s="20"/>
      <c r="PFD167" s="20"/>
      <c r="PFE167" s="20"/>
      <c r="PFF167" s="21"/>
      <c r="PFG167" s="21"/>
      <c r="PFH167" s="7"/>
      <c r="PFI167" s="7"/>
      <c r="PFJ167" s="21"/>
      <c r="PFK167" s="20"/>
      <c r="PFL167" s="20"/>
      <c r="PFM167" s="20"/>
      <c r="PFN167" s="21"/>
      <c r="PFO167" s="21"/>
      <c r="PFP167" s="21"/>
      <c r="PFQ167" s="21"/>
      <c r="PFR167" s="21"/>
      <c r="PFS167" s="20"/>
      <c r="PFT167" s="20"/>
      <c r="PFU167" s="20"/>
      <c r="PFV167" s="20"/>
      <c r="PFW167" s="21"/>
      <c r="PFX167" s="21"/>
      <c r="PFY167" s="7"/>
      <c r="PFZ167" s="7"/>
      <c r="PGA167" s="21"/>
      <c r="PGB167" s="20"/>
      <c r="PGC167" s="20"/>
      <c r="PGD167" s="20"/>
      <c r="PGE167" s="21"/>
      <c r="PGF167" s="21"/>
      <c r="PGG167" s="21"/>
      <c r="PGH167" s="21"/>
      <c r="PGI167" s="21"/>
      <c r="PGJ167" s="20"/>
      <c r="PGK167" s="20"/>
      <c r="PGL167" s="20"/>
      <c r="PGM167" s="20"/>
      <c r="PGN167" s="21"/>
      <c r="PGO167" s="21"/>
      <c r="PGP167" s="7"/>
      <c r="PGQ167" s="7"/>
      <c r="PGR167" s="21"/>
      <c r="PGS167" s="20"/>
      <c r="PGT167" s="20"/>
      <c r="PGU167" s="20"/>
      <c r="PGV167" s="21"/>
      <c r="PGW167" s="21"/>
      <c r="PGX167" s="21"/>
      <c r="PGY167" s="21"/>
      <c r="PGZ167" s="21"/>
      <c r="PHA167" s="20"/>
      <c r="PHB167" s="20"/>
      <c r="PHC167" s="20"/>
      <c r="PHD167" s="20"/>
      <c r="PHE167" s="21"/>
      <c r="PHF167" s="21"/>
      <c r="PHG167" s="7"/>
      <c r="PHH167" s="7"/>
      <c r="PHI167" s="21"/>
      <c r="PHJ167" s="20"/>
      <c r="PHK167" s="20"/>
      <c r="PHL167" s="20"/>
      <c r="PHM167" s="21"/>
      <c r="PHN167" s="21"/>
      <c r="PHO167" s="21"/>
      <c r="PHP167" s="21"/>
      <c r="PHQ167" s="21"/>
      <c r="PHR167" s="20"/>
      <c r="PHS167" s="20"/>
      <c r="PHT167" s="20"/>
      <c r="PHU167" s="20"/>
      <c r="PHV167" s="21"/>
      <c r="PHW167" s="21"/>
      <c r="PHX167" s="7"/>
      <c r="PHY167" s="7"/>
      <c r="PHZ167" s="21"/>
      <c r="PIA167" s="20"/>
      <c r="PIB167" s="20"/>
      <c r="PIC167" s="20"/>
      <c r="PID167" s="21"/>
      <c r="PIE167" s="21"/>
      <c r="PIF167" s="21"/>
      <c r="PIG167" s="21"/>
      <c r="PIH167" s="21"/>
      <c r="PII167" s="20"/>
      <c r="PIJ167" s="20"/>
      <c r="PIK167" s="20"/>
      <c r="PIL167" s="20"/>
      <c r="PIM167" s="21"/>
      <c r="PIN167" s="21"/>
      <c r="PIO167" s="7"/>
      <c r="PIP167" s="7"/>
      <c r="PIQ167" s="21"/>
      <c r="PIR167" s="20"/>
      <c r="PIS167" s="20"/>
      <c r="PIT167" s="20"/>
      <c r="PIU167" s="21"/>
      <c r="PIV167" s="21"/>
      <c r="PIW167" s="21"/>
      <c r="PIX167" s="21"/>
      <c r="PIY167" s="21"/>
      <c r="PIZ167" s="20"/>
      <c r="PJA167" s="20"/>
      <c r="PJB167" s="20"/>
      <c r="PJC167" s="20"/>
      <c r="PJD167" s="21"/>
      <c r="PJE167" s="21"/>
      <c r="PJF167" s="7"/>
      <c r="PJG167" s="7"/>
      <c r="PJH167" s="21"/>
      <c r="PJI167" s="20"/>
      <c r="PJJ167" s="20"/>
      <c r="PJK167" s="20"/>
      <c r="PJL167" s="21"/>
      <c r="PJM167" s="21"/>
      <c r="PJN167" s="21"/>
      <c r="PJO167" s="21"/>
      <c r="PJP167" s="21"/>
      <c r="PJQ167" s="20"/>
      <c r="PJR167" s="20"/>
      <c r="PJS167" s="20"/>
      <c r="PJT167" s="20"/>
      <c r="PJU167" s="21"/>
      <c r="PJV167" s="21"/>
      <c r="PJW167" s="7"/>
      <c r="PJX167" s="7"/>
      <c r="PJY167" s="21"/>
      <c r="PJZ167" s="20"/>
      <c r="PKA167" s="20"/>
      <c r="PKB167" s="20"/>
      <c r="PKC167" s="21"/>
      <c r="PKD167" s="21"/>
      <c r="PKE167" s="21"/>
      <c r="PKF167" s="21"/>
      <c r="PKG167" s="21"/>
      <c r="PKH167" s="20"/>
      <c r="PKI167" s="20"/>
      <c r="PKJ167" s="20"/>
      <c r="PKK167" s="20"/>
      <c r="PKL167" s="21"/>
      <c r="PKM167" s="21"/>
      <c r="PKN167" s="7"/>
      <c r="PKO167" s="7"/>
      <c r="PKP167" s="21"/>
      <c r="PKQ167" s="20"/>
      <c r="PKR167" s="20"/>
      <c r="PKS167" s="20"/>
      <c r="PKT167" s="21"/>
      <c r="PKU167" s="21"/>
      <c r="PKV167" s="21"/>
      <c r="PKW167" s="21"/>
      <c r="PKX167" s="21"/>
      <c r="PKY167" s="20"/>
      <c r="PKZ167" s="20"/>
      <c r="PLA167" s="20"/>
      <c r="PLB167" s="20"/>
      <c r="PLC167" s="21"/>
      <c r="PLD167" s="21"/>
      <c r="PLE167" s="7"/>
      <c r="PLF167" s="7"/>
      <c r="PLG167" s="21"/>
      <c r="PLH167" s="20"/>
      <c r="PLI167" s="20"/>
      <c r="PLJ167" s="20"/>
      <c r="PLK167" s="21"/>
      <c r="PLL167" s="21"/>
      <c r="PLM167" s="21"/>
      <c r="PLN167" s="21"/>
      <c r="PLO167" s="21"/>
      <c r="PLP167" s="20"/>
      <c r="PLQ167" s="20"/>
      <c r="PLR167" s="20"/>
      <c r="PLS167" s="20"/>
      <c r="PLT167" s="21"/>
      <c r="PLU167" s="21"/>
      <c r="PLV167" s="7"/>
      <c r="PLW167" s="7"/>
      <c r="PLX167" s="21"/>
      <c r="PLY167" s="20"/>
      <c r="PLZ167" s="20"/>
      <c r="PMA167" s="20"/>
      <c r="PMB167" s="21"/>
      <c r="PMC167" s="21"/>
      <c r="PMD167" s="21"/>
      <c r="PME167" s="21"/>
      <c r="PMF167" s="21"/>
      <c r="PMG167" s="20"/>
      <c r="PMH167" s="20"/>
      <c r="PMI167" s="20"/>
      <c r="PMJ167" s="20"/>
      <c r="PMK167" s="21"/>
      <c r="PML167" s="21"/>
      <c r="PMM167" s="7"/>
      <c r="PMN167" s="7"/>
      <c r="PMO167" s="21"/>
      <c r="PMP167" s="20"/>
      <c r="PMQ167" s="20"/>
      <c r="PMR167" s="20"/>
      <c r="PMS167" s="21"/>
      <c r="PMT167" s="21"/>
      <c r="PMU167" s="21"/>
      <c r="PMV167" s="21"/>
      <c r="PMW167" s="21"/>
      <c r="PMX167" s="20"/>
      <c r="PMY167" s="20"/>
      <c r="PMZ167" s="20"/>
      <c r="PNA167" s="20"/>
      <c r="PNB167" s="21"/>
      <c r="PNC167" s="21"/>
      <c r="PND167" s="7"/>
      <c r="PNE167" s="7"/>
      <c r="PNF167" s="21"/>
      <c r="PNG167" s="20"/>
      <c r="PNH167" s="20"/>
      <c r="PNI167" s="20"/>
      <c r="PNJ167" s="21"/>
      <c r="PNK167" s="21"/>
      <c r="PNL167" s="21"/>
      <c r="PNM167" s="21"/>
      <c r="PNN167" s="21"/>
      <c r="PNO167" s="20"/>
      <c r="PNP167" s="20"/>
      <c r="PNQ167" s="20"/>
      <c r="PNR167" s="20"/>
      <c r="PNS167" s="21"/>
      <c r="PNT167" s="21"/>
      <c r="PNU167" s="7"/>
      <c r="PNV167" s="7"/>
      <c r="PNW167" s="21"/>
      <c r="PNX167" s="20"/>
      <c r="PNY167" s="20"/>
      <c r="PNZ167" s="20"/>
      <c r="POA167" s="21"/>
      <c r="POB167" s="21"/>
      <c r="POC167" s="21"/>
      <c r="POD167" s="21"/>
      <c r="POE167" s="21"/>
      <c r="POF167" s="20"/>
      <c r="POG167" s="20"/>
      <c r="POH167" s="20"/>
      <c r="POI167" s="20"/>
      <c r="POJ167" s="21"/>
      <c r="POK167" s="21"/>
      <c r="POL167" s="7"/>
      <c r="POM167" s="7"/>
      <c r="PON167" s="21"/>
      <c r="POO167" s="20"/>
      <c r="POP167" s="20"/>
      <c r="POQ167" s="20"/>
      <c r="POR167" s="21"/>
      <c r="POS167" s="21"/>
      <c r="POT167" s="21"/>
      <c r="POU167" s="21"/>
      <c r="POV167" s="21"/>
      <c r="POW167" s="20"/>
      <c r="POX167" s="20"/>
      <c r="POY167" s="20"/>
      <c r="POZ167" s="20"/>
      <c r="PPA167" s="21"/>
      <c r="PPB167" s="21"/>
      <c r="PPC167" s="7"/>
      <c r="PPD167" s="7"/>
      <c r="PPE167" s="21"/>
      <c r="PPF167" s="20"/>
      <c r="PPG167" s="20"/>
      <c r="PPH167" s="20"/>
      <c r="PPI167" s="21"/>
      <c r="PPJ167" s="21"/>
      <c r="PPK167" s="21"/>
      <c r="PPL167" s="21"/>
      <c r="PPM167" s="21"/>
      <c r="PPN167" s="20"/>
      <c r="PPO167" s="20"/>
      <c r="PPP167" s="20"/>
      <c r="PPQ167" s="20"/>
      <c r="PPR167" s="21"/>
      <c r="PPS167" s="21"/>
      <c r="PPT167" s="7"/>
      <c r="PPU167" s="7"/>
      <c r="PPV167" s="21"/>
      <c r="PPW167" s="20"/>
      <c r="PPX167" s="20"/>
      <c r="PPY167" s="20"/>
      <c r="PPZ167" s="21"/>
      <c r="PQA167" s="21"/>
      <c r="PQB167" s="21"/>
      <c r="PQC167" s="21"/>
      <c r="PQD167" s="21"/>
      <c r="PQE167" s="20"/>
      <c r="PQF167" s="20"/>
      <c r="PQG167" s="20"/>
      <c r="PQH167" s="20"/>
      <c r="PQI167" s="21"/>
      <c r="PQJ167" s="21"/>
      <c r="PQK167" s="7"/>
      <c r="PQL167" s="7"/>
      <c r="PQM167" s="21"/>
      <c r="PQN167" s="20"/>
      <c r="PQO167" s="20"/>
      <c r="PQP167" s="20"/>
      <c r="PQQ167" s="21"/>
      <c r="PQR167" s="21"/>
      <c r="PQS167" s="21"/>
      <c r="PQT167" s="21"/>
      <c r="PQU167" s="21"/>
      <c r="PQV167" s="20"/>
      <c r="PQW167" s="20"/>
      <c r="PQX167" s="20"/>
      <c r="PQY167" s="20"/>
      <c r="PQZ167" s="21"/>
      <c r="PRA167" s="21"/>
      <c r="PRB167" s="7"/>
      <c r="PRC167" s="7"/>
      <c r="PRD167" s="21"/>
      <c r="PRE167" s="20"/>
      <c r="PRF167" s="20"/>
      <c r="PRG167" s="20"/>
      <c r="PRH167" s="21"/>
      <c r="PRI167" s="21"/>
      <c r="PRJ167" s="21"/>
      <c r="PRK167" s="21"/>
      <c r="PRL167" s="21"/>
      <c r="PRM167" s="20"/>
      <c r="PRN167" s="20"/>
      <c r="PRO167" s="20"/>
      <c r="PRP167" s="20"/>
      <c r="PRQ167" s="21"/>
      <c r="PRR167" s="21"/>
      <c r="PRS167" s="7"/>
      <c r="PRT167" s="7"/>
      <c r="PRU167" s="21"/>
      <c r="PRV167" s="20"/>
      <c r="PRW167" s="20"/>
      <c r="PRX167" s="20"/>
      <c r="PRY167" s="21"/>
      <c r="PRZ167" s="21"/>
      <c r="PSA167" s="21"/>
      <c r="PSB167" s="21"/>
      <c r="PSC167" s="21"/>
      <c r="PSD167" s="20"/>
      <c r="PSE167" s="20"/>
      <c r="PSF167" s="20"/>
      <c r="PSG167" s="20"/>
      <c r="PSH167" s="21"/>
      <c r="PSI167" s="21"/>
      <c r="PSJ167" s="7"/>
      <c r="PSK167" s="7"/>
      <c r="PSL167" s="21"/>
      <c r="PSM167" s="20"/>
      <c r="PSN167" s="20"/>
      <c r="PSO167" s="20"/>
      <c r="PSP167" s="21"/>
      <c r="PSQ167" s="21"/>
      <c r="PSR167" s="21"/>
      <c r="PSS167" s="21"/>
      <c r="PST167" s="21"/>
      <c r="PSU167" s="20"/>
      <c r="PSV167" s="20"/>
      <c r="PSW167" s="20"/>
      <c r="PSX167" s="20"/>
      <c r="PSY167" s="21"/>
      <c r="PSZ167" s="21"/>
      <c r="PTA167" s="7"/>
      <c r="PTB167" s="7"/>
      <c r="PTC167" s="21"/>
      <c r="PTD167" s="20"/>
      <c r="PTE167" s="20"/>
      <c r="PTF167" s="20"/>
      <c r="PTG167" s="21"/>
      <c r="PTH167" s="21"/>
      <c r="PTI167" s="21"/>
      <c r="PTJ167" s="21"/>
      <c r="PTK167" s="21"/>
      <c r="PTL167" s="20"/>
      <c r="PTM167" s="20"/>
      <c r="PTN167" s="20"/>
      <c r="PTO167" s="20"/>
      <c r="PTP167" s="21"/>
      <c r="PTQ167" s="21"/>
      <c r="PTR167" s="7"/>
      <c r="PTS167" s="7"/>
      <c r="PTT167" s="21"/>
      <c r="PTU167" s="20"/>
      <c r="PTV167" s="20"/>
      <c r="PTW167" s="20"/>
      <c r="PTX167" s="21"/>
      <c r="PTY167" s="21"/>
      <c r="PTZ167" s="21"/>
      <c r="PUA167" s="21"/>
      <c r="PUB167" s="21"/>
      <c r="PUC167" s="20"/>
      <c r="PUD167" s="20"/>
      <c r="PUE167" s="20"/>
      <c r="PUF167" s="20"/>
      <c r="PUG167" s="21"/>
      <c r="PUH167" s="21"/>
      <c r="PUI167" s="7"/>
      <c r="PUJ167" s="7"/>
      <c r="PUK167" s="21"/>
      <c r="PUL167" s="20"/>
      <c r="PUM167" s="20"/>
      <c r="PUN167" s="20"/>
      <c r="PUO167" s="21"/>
      <c r="PUP167" s="21"/>
      <c r="PUQ167" s="21"/>
      <c r="PUR167" s="21"/>
      <c r="PUS167" s="21"/>
      <c r="PUT167" s="20"/>
      <c r="PUU167" s="20"/>
      <c r="PUV167" s="20"/>
      <c r="PUW167" s="20"/>
      <c r="PUX167" s="21"/>
      <c r="PUY167" s="21"/>
      <c r="PUZ167" s="7"/>
      <c r="PVA167" s="7"/>
      <c r="PVB167" s="21"/>
      <c r="PVC167" s="20"/>
      <c r="PVD167" s="20"/>
      <c r="PVE167" s="20"/>
      <c r="PVF167" s="21"/>
      <c r="PVG167" s="21"/>
      <c r="PVH167" s="21"/>
      <c r="PVI167" s="21"/>
      <c r="PVJ167" s="21"/>
      <c r="PVK167" s="20"/>
      <c r="PVL167" s="20"/>
      <c r="PVM167" s="20"/>
      <c r="PVN167" s="20"/>
      <c r="PVO167" s="21"/>
      <c r="PVP167" s="21"/>
      <c r="PVQ167" s="7"/>
      <c r="PVR167" s="7"/>
      <c r="PVS167" s="21"/>
      <c r="PVT167" s="20"/>
      <c r="PVU167" s="20"/>
      <c r="PVV167" s="20"/>
      <c r="PVW167" s="21"/>
      <c r="PVX167" s="21"/>
      <c r="PVY167" s="21"/>
      <c r="PVZ167" s="21"/>
      <c r="PWA167" s="21"/>
      <c r="PWB167" s="20"/>
      <c r="PWC167" s="20"/>
      <c r="PWD167" s="20"/>
      <c r="PWE167" s="20"/>
      <c r="PWF167" s="21"/>
      <c r="PWG167" s="21"/>
      <c r="PWH167" s="7"/>
      <c r="PWI167" s="7"/>
      <c r="PWJ167" s="21"/>
      <c r="PWK167" s="20"/>
      <c r="PWL167" s="20"/>
      <c r="PWM167" s="20"/>
      <c r="PWN167" s="21"/>
      <c r="PWO167" s="21"/>
      <c r="PWP167" s="21"/>
      <c r="PWQ167" s="21"/>
      <c r="PWR167" s="21"/>
      <c r="PWS167" s="20"/>
      <c r="PWT167" s="20"/>
      <c r="PWU167" s="20"/>
      <c r="PWV167" s="20"/>
      <c r="PWW167" s="21"/>
      <c r="PWX167" s="21"/>
      <c r="PWY167" s="7"/>
      <c r="PWZ167" s="7"/>
      <c r="PXA167" s="21"/>
      <c r="PXB167" s="20"/>
      <c r="PXC167" s="20"/>
      <c r="PXD167" s="20"/>
      <c r="PXE167" s="21"/>
      <c r="PXF167" s="21"/>
      <c r="PXG167" s="21"/>
      <c r="PXH167" s="21"/>
      <c r="PXI167" s="21"/>
      <c r="PXJ167" s="20"/>
      <c r="PXK167" s="20"/>
      <c r="PXL167" s="20"/>
      <c r="PXM167" s="20"/>
      <c r="PXN167" s="21"/>
      <c r="PXO167" s="21"/>
      <c r="PXP167" s="7"/>
      <c r="PXQ167" s="7"/>
      <c r="PXR167" s="21"/>
      <c r="PXS167" s="20"/>
      <c r="PXT167" s="20"/>
      <c r="PXU167" s="20"/>
      <c r="PXV167" s="21"/>
      <c r="PXW167" s="21"/>
      <c r="PXX167" s="21"/>
      <c r="PXY167" s="21"/>
      <c r="PXZ167" s="21"/>
      <c r="PYA167" s="20"/>
      <c r="PYB167" s="20"/>
      <c r="PYC167" s="20"/>
      <c r="PYD167" s="20"/>
      <c r="PYE167" s="21"/>
      <c r="PYF167" s="21"/>
      <c r="PYG167" s="7"/>
      <c r="PYH167" s="7"/>
      <c r="PYI167" s="21"/>
      <c r="PYJ167" s="20"/>
      <c r="PYK167" s="20"/>
      <c r="PYL167" s="20"/>
      <c r="PYM167" s="21"/>
      <c r="PYN167" s="21"/>
      <c r="PYO167" s="21"/>
      <c r="PYP167" s="21"/>
      <c r="PYQ167" s="21"/>
      <c r="PYR167" s="20"/>
      <c r="PYS167" s="20"/>
      <c r="PYT167" s="20"/>
      <c r="PYU167" s="20"/>
      <c r="PYV167" s="21"/>
      <c r="PYW167" s="21"/>
      <c r="PYX167" s="7"/>
      <c r="PYY167" s="7"/>
      <c r="PYZ167" s="21"/>
      <c r="PZA167" s="20"/>
      <c r="PZB167" s="20"/>
      <c r="PZC167" s="20"/>
      <c r="PZD167" s="21"/>
      <c r="PZE167" s="21"/>
      <c r="PZF167" s="21"/>
      <c r="PZG167" s="21"/>
      <c r="PZH167" s="21"/>
      <c r="PZI167" s="20"/>
      <c r="PZJ167" s="20"/>
      <c r="PZK167" s="20"/>
      <c r="PZL167" s="20"/>
      <c r="PZM167" s="21"/>
      <c r="PZN167" s="21"/>
      <c r="PZO167" s="7"/>
      <c r="PZP167" s="7"/>
      <c r="PZQ167" s="21"/>
      <c r="PZR167" s="20"/>
      <c r="PZS167" s="20"/>
      <c r="PZT167" s="20"/>
      <c r="PZU167" s="21"/>
      <c r="PZV167" s="21"/>
      <c r="PZW167" s="21"/>
      <c r="PZX167" s="21"/>
      <c r="PZY167" s="21"/>
      <c r="PZZ167" s="20"/>
      <c r="QAA167" s="20"/>
      <c r="QAB167" s="20"/>
      <c r="QAC167" s="20"/>
      <c r="QAD167" s="21"/>
      <c r="QAE167" s="21"/>
      <c r="QAF167" s="7"/>
      <c r="QAG167" s="7"/>
      <c r="QAH167" s="21"/>
      <c r="QAI167" s="20"/>
      <c r="QAJ167" s="20"/>
      <c r="QAK167" s="20"/>
      <c r="QAL167" s="21"/>
      <c r="QAM167" s="21"/>
      <c r="QAN167" s="21"/>
      <c r="QAO167" s="21"/>
      <c r="QAP167" s="21"/>
      <c r="QAQ167" s="20"/>
      <c r="QAR167" s="20"/>
      <c r="QAS167" s="20"/>
      <c r="QAT167" s="20"/>
      <c r="QAU167" s="21"/>
      <c r="QAV167" s="21"/>
      <c r="QAW167" s="7"/>
      <c r="QAX167" s="7"/>
      <c r="QAY167" s="21"/>
      <c r="QAZ167" s="20"/>
      <c r="QBA167" s="20"/>
      <c r="QBB167" s="20"/>
      <c r="QBC167" s="21"/>
      <c r="QBD167" s="21"/>
      <c r="QBE167" s="21"/>
      <c r="QBF167" s="21"/>
      <c r="QBG167" s="21"/>
      <c r="QBH167" s="20"/>
      <c r="QBI167" s="20"/>
      <c r="QBJ167" s="20"/>
      <c r="QBK167" s="20"/>
      <c r="QBL167" s="21"/>
      <c r="QBM167" s="21"/>
      <c r="QBN167" s="7"/>
      <c r="QBO167" s="7"/>
      <c r="QBP167" s="21"/>
      <c r="QBQ167" s="20"/>
      <c r="QBR167" s="20"/>
      <c r="QBS167" s="20"/>
      <c r="QBT167" s="21"/>
      <c r="QBU167" s="21"/>
      <c r="QBV167" s="21"/>
      <c r="QBW167" s="21"/>
      <c r="QBX167" s="21"/>
      <c r="QBY167" s="20"/>
      <c r="QBZ167" s="20"/>
      <c r="QCA167" s="20"/>
      <c r="QCB167" s="20"/>
      <c r="QCC167" s="21"/>
      <c r="QCD167" s="21"/>
      <c r="QCE167" s="7"/>
      <c r="QCF167" s="7"/>
      <c r="QCG167" s="21"/>
      <c r="QCH167" s="20"/>
      <c r="QCI167" s="20"/>
      <c r="QCJ167" s="20"/>
      <c r="QCK167" s="21"/>
      <c r="QCL167" s="21"/>
      <c r="QCM167" s="21"/>
      <c r="QCN167" s="21"/>
      <c r="QCO167" s="21"/>
      <c r="QCP167" s="20"/>
      <c r="QCQ167" s="20"/>
      <c r="QCR167" s="20"/>
      <c r="QCS167" s="20"/>
      <c r="QCT167" s="21"/>
      <c r="QCU167" s="21"/>
      <c r="QCV167" s="7"/>
      <c r="QCW167" s="7"/>
      <c r="QCX167" s="21"/>
      <c r="QCY167" s="20"/>
      <c r="QCZ167" s="20"/>
      <c r="QDA167" s="20"/>
      <c r="QDB167" s="21"/>
      <c r="QDC167" s="21"/>
      <c r="QDD167" s="21"/>
      <c r="QDE167" s="21"/>
      <c r="QDF167" s="21"/>
      <c r="QDG167" s="20"/>
      <c r="QDH167" s="20"/>
      <c r="QDI167" s="20"/>
      <c r="QDJ167" s="20"/>
      <c r="QDK167" s="21"/>
      <c r="QDL167" s="21"/>
      <c r="QDM167" s="7"/>
      <c r="QDN167" s="7"/>
      <c r="QDO167" s="21"/>
      <c r="QDP167" s="20"/>
      <c r="QDQ167" s="20"/>
      <c r="QDR167" s="20"/>
      <c r="QDS167" s="21"/>
      <c r="QDT167" s="21"/>
      <c r="QDU167" s="21"/>
      <c r="QDV167" s="21"/>
      <c r="QDW167" s="21"/>
      <c r="QDX167" s="20"/>
      <c r="QDY167" s="20"/>
      <c r="QDZ167" s="20"/>
      <c r="QEA167" s="20"/>
      <c r="QEB167" s="21"/>
      <c r="QEC167" s="21"/>
      <c r="QED167" s="7"/>
      <c r="QEE167" s="7"/>
      <c r="QEF167" s="21"/>
      <c r="QEG167" s="20"/>
      <c r="QEH167" s="20"/>
      <c r="QEI167" s="20"/>
      <c r="QEJ167" s="21"/>
      <c r="QEK167" s="21"/>
      <c r="QEL167" s="21"/>
      <c r="QEM167" s="21"/>
      <c r="QEN167" s="21"/>
      <c r="QEO167" s="20"/>
      <c r="QEP167" s="20"/>
      <c r="QEQ167" s="20"/>
      <c r="QER167" s="20"/>
      <c r="QES167" s="21"/>
      <c r="QET167" s="21"/>
      <c r="QEU167" s="7"/>
      <c r="QEV167" s="7"/>
      <c r="QEW167" s="21"/>
      <c r="QEX167" s="20"/>
      <c r="QEY167" s="20"/>
      <c r="QEZ167" s="20"/>
      <c r="QFA167" s="21"/>
      <c r="QFB167" s="21"/>
      <c r="QFC167" s="21"/>
      <c r="QFD167" s="21"/>
      <c r="QFE167" s="21"/>
      <c r="QFF167" s="20"/>
      <c r="QFG167" s="20"/>
      <c r="QFH167" s="20"/>
      <c r="QFI167" s="20"/>
      <c r="QFJ167" s="21"/>
      <c r="QFK167" s="21"/>
      <c r="QFL167" s="7"/>
      <c r="QFM167" s="7"/>
      <c r="QFN167" s="21"/>
      <c r="QFO167" s="20"/>
      <c r="QFP167" s="20"/>
      <c r="QFQ167" s="20"/>
      <c r="QFR167" s="21"/>
      <c r="QFS167" s="21"/>
      <c r="QFT167" s="21"/>
      <c r="QFU167" s="21"/>
      <c r="QFV167" s="21"/>
      <c r="QFW167" s="20"/>
      <c r="QFX167" s="20"/>
      <c r="QFY167" s="20"/>
      <c r="QFZ167" s="20"/>
      <c r="QGA167" s="21"/>
      <c r="QGB167" s="21"/>
      <c r="QGC167" s="7"/>
      <c r="QGD167" s="7"/>
      <c r="QGE167" s="21"/>
      <c r="QGF167" s="20"/>
      <c r="QGG167" s="20"/>
      <c r="QGH167" s="20"/>
      <c r="QGI167" s="21"/>
      <c r="QGJ167" s="21"/>
      <c r="QGK167" s="21"/>
      <c r="QGL167" s="21"/>
      <c r="QGM167" s="21"/>
      <c r="QGN167" s="20"/>
      <c r="QGO167" s="20"/>
      <c r="QGP167" s="20"/>
      <c r="QGQ167" s="20"/>
      <c r="QGR167" s="21"/>
      <c r="QGS167" s="21"/>
      <c r="QGT167" s="7"/>
      <c r="QGU167" s="7"/>
      <c r="QGV167" s="21"/>
      <c r="QGW167" s="20"/>
      <c r="QGX167" s="20"/>
      <c r="QGY167" s="20"/>
      <c r="QGZ167" s="21"/>
      <c r="QHA167" s="21"/>
      <c r="QHB167" s="21"/>
      <c r="QHC167" s="21"/>
      <c r="QHD167" s="21"/>
      <c r="QHE167" s="20"/>
      <c r="QHF167" s="20"/>
      <c r="QHG167" s="20"/>
      <c r="QHH167" s="20"/>
      <c r="QHI167" s="21"/>
      <c r="QHJ167" s="21"/>
      <c r="QHK167" s="7"/>
      <c r="QHL167" s="7"/>
      <c r="QHM167" s="21"/>
      <c r="QHN167" s="20"/>
      <c r="QHO167" s="20"/>
      <c r="QHP167" s="20"/>
      <c r="QHQ167" s="21"/>
      <c r="QHR167" s="21"/>
      <c r="QHS167" s="21"/>
      <c r="QHT167" s="21"/>
      <c r="QHU167" s="21"/>
      <c r="QHV167" s="20"/>
      <c r="QHW167" s="20"/>
      <c r="QHX167" s="20"/>
      <c r="QHY167" s="20"/>
      <c r="QHZ167" s="21"/>
      <c r="QIA167" s="21"/>
      <c r="QIB167" s="7"/>
      <c r="QIC167" s="7"/>
      <c r="QID167" s="21"/>
      <c r="QIE167" s="20"/>
      <c r="QIF167" s="20"/>
      <c r="QIG167" s="20"/>
      <c r="QIH167" s="21"/>
      <c r="QII167" s="21"/>
      <c r="QIJ167" s="21"/>
      <c r="QIK167" s="21"/>
      <c r="QIL167" s="21"/>
      <c r="QIM167" s="20"/>
      <c r="QIN167" s="20"/>
      <c r="QIO167" s="20"/>
      <c r="QIP167" s="20"/>
      <c r="QIQ167" s="21"/>
      <c r="QIR167" s="21"/>
      <c r="QIS167" s="7"/>
      <c r="QIT167" s="7"/>
      <c r="QIU167" s="21"/>
      <c r="QIV167" s="20"/>
      <c r="QIW167" s="20"/>
      <c r="QIX167" s="20"/>
      <c r="QIY167" s="21"/>
      <c r="QIZ167" s="21"/>
      <c r="QJA167" s="21"/>
      <c r="QJB167" s="21"/>
      <c r="QJC167" s="21"/>
      <c r="QJD167" s="20"/>
      <c r="QJE167" s="20"/>
      <c r="QJF167" s="20"/>
      <c r="QJG167" s="20"/>
      <c r="QJH167" s="21"/>
      <c r="QJI167" s="21"/>
      <c r="QJJ167" s="7"/>
      <c r="QJK167" s="7"/>
      <c r="QJL167" s="21"/>
      <c r="QJM167" s="20"/>
      <c r="QJN167" s="20"/>
      <c r="QJO167" s="20"/>
      <c r="QJP167" s="21"/>
      <c r="QJQ167" s="21"/>
      <c r="QJR167" s="21"/>
      <c r="QJS167" s="21"/>
      <c r="QJT167" s="21"/>
      <c r="QJU167" s="20"/>
      <c r="QJV167" s="20"/>
      <c r="QJW167" s="20"/>
      <c r="QJX167" s="20"/>
      <c r="QJY167" s="21"/>
      <c r="QJZ167" s="21"/>
      <c r="QKA167" s="7"/>
      <c r="QKB167" s="7"/>
      <c r="QKC167" s="21"/>
      <c r="QKD167" s="20"/>
      <c r="QKE167" s="20"/>
      <c r="QKF167" s="20"/>
      <c r="QKG167" s="21"/>
      <c r="QKH167" s="21"/>
      <c r="QKI167" s="21"/>
      <c r="QKJ167" s="21"/>
      <c r="QKK167" s="21"/>
      <c r="QKL167" s="20"/>
      <c r="QKM167" s="20"/>
      <c r="QKN167" s="20"/>
      <c r="QKO167" s="20"/>
      <c r="QKP167" s="21"/>
      <c r="QKQ167" s="21"/>
      <c r="QKR167" s="7"/>
      <c r="QKS167" s="7"/>
      <c r="QKT167" s="21"/>
      <c r="QKU167" s="20"/>
      <c r="QKV167" s="20"/>
      <c r="QKW167" s="20"/>
      <c r="QKX167" s="21"/>
      <c r="QKY167" s="21"/>
      <c r="QKZ167" s="21"/>
      <c r="QLA167" s="21"/>
      <c r="QLB167" s="21"/>
      <c r="QLC167" s="20"/>
      <c r="QLD167" s="20"/>
      <c r="QLE167" s="20"/>
      <c r="QLF167" s="20"/>
      <c r="QLG167" s="21"/>
      <c r="QLH167" s="21"/>
      <c r="QLI167" s="7"/>
      <c r="QLJ167" s="7"/>
      <c r="QLK167" s="21"/>
      <c r="QLL167" s="20"/>
      <c r="QLM167" s="20"/>
      <c r="QLN167" s="20"/>
      <c r="QLO167" s="21"/>
      <c r="QLP167" s="21"/>
      <c r="QLQ167" s="21"/>
      <c r="QLR167" s="21"/>
      <c r="QLS167" s="21"/>
      <c r="QLT167" s="20"/>
      <c r="QLU167" s="20"/>
      <c r="QLV167" s="20"/>
      <c r="QLW167" s="20"/>
      <c r="QLX167" s="21"/>
      <c r="QLY167" s="21"/>
      <c r="QLZ167" s="7"/>
      <c r="QMA167" s="7"/>
      <c r="QMB167" s="21"/>
      <c r="QMC167" s="20"/>
      <c r="QMD167" s="20"/>
      <c r="QME167" s="20"/>
      <c r="QMF167" s="21"/>
      <c r="QMG167" s="21"/>
      <c r="QMH167" s="21"/>
      <c r="QMI167" s="21"/>
      <c r="QMJ167" s="21"/>
      <c r="QMK167" s="20"/>
      <c r="QML167" s="20"/>
      <c r="QMM167" s="20"/>
      <c r="QMN167" s="20"/>
      <c r="QMO167" s="21"/>
      <c r="QMP167" s="21"/>
      <c r="QMQ167" s="7"/>
      <c r="QMR167" s="7"/>
      <c r="QMS167" s="21"/>
      <c r="QMT167" s="20"/>
      <c r="QMU167" s="20"/>
      <c r="QMV167" s="20"/>
      <c r="QMW167" s="21"/>
      <c r="QMX167" s="21"/>
      <c r="QMY167" s="21"/>
      <c r="QMZ167" s="21"/>
      <c r="QNA167" s="21"/>
      <c r="QNB167" s="20"/>
      <c r="QNC167" s="20"/>
      <c r="QND167" s="20"/>
      <c r="QNE167" s="20"/>
      <c r="QNF167" s="21"/>
      <c r="QNG167" s="21"/>
      <c r="QNH167" s="7"/>
      <c r="QNI167" s="7"/>
      <c r="QNJ167" s="21"/>
      <c r="QNK167" s="20"/>
      <c r="QNL167" s="20"/>
      <c r="QNM167" s="20"/>
      <c r="QNN167" s="21"/>
      <c r="QNO167" s="21"/>
      <c r="QNP167" s="21"/>
      <c r="QNQ167" s="21"/>
      <c r="QNR167" s="21"/>
      <c r="QNS167" s="20"/>
      <c r="QNT167" s="20"/>
      <c r="QNU167" s="20"/>
      <c r="QNV167" s="20"/>
      <c r="QNW167" s="21"/>
      <c r="QNX167" s="21"/>
      <c r="QNY167" s="7"/>
      <c r="QNZ167" s="7"/>
      <c r="QOA167" s="21"/>
      <c r="QOB167" s="20"/>
      <c r="QOC167" s="20"/>
      <c r="QOD167" s="20"/>
      <c r="QOE167" s="21"/>
      <c r="QOF167" s="21"/>
      <c r="QOG167" s="21"/>
      <c r="QOH167" s="21"/>
      <c r="QOI167" s="21"/>
      <c r="QOJ167" s="20"/>
      <c r="QOK167" s="20"/>
      <c r="QOL167" s="20"/>
      <c r="QOM167" s="20"/>
      <c r="QON167" s="21"/>
      <c r="QOO167" s="21"/>
      <c r="QOP167" s="7"/>
      <c r="QOQ167" s="7"/>
      <c r="QOR167" s="21"/>
      <c r="QOS167" s="20"/>
      <c r="QOT167" s="20"/>
      <c r="QOU167" s="20"/>
      <c r="QOV167" s="21"/>
      <c r="QOW167" s="21"/>
      <c r="QOX167" s="21"/>
      <c r="QOY167" s="21"/>
      <c r="QOZ167" s="21"/>
      <c r="QPA167" s="20"/>
      <c r="QPB167" s="20"/>
      <c r="QPC167" s="20"/>
      <c r="QPD167" s="20"/>
      <c r="QPE167" s="21"/>
      <c r="QPF167" s="21"/>
      <c r="QPG167" s="7"/>
      <c r="QPH167" s="7"/>
      <c r="QPI167" s="21"/>
      <c r="QPJ167" s="20"/>
      <c r="QPK167" s="20"/>
      <c r="QPL167" s="20"/>
      <c r="QPM167" s="21"/>
      <c r="QPN167" s="21"/>
      <c r="QPO167" s="21"/>
      <c r="QPP167" s="21"/>
      <c r="QPQ167" s="21"/>
      <c r="QPR167" s="20"/>
      <c r="QPS167" s="20"/>
      <c r="QPT167" s="20"/>
      <c r="QPU167" s="20"/>
      <c r="QPV167" s="21"/>
      <c r="QPW167" s="21"/>
      <c r="QPX167" s="7"/>
      <c r="QPY167" s="7"/>
      <c r="QPZ167" s="21"/>
      <c r="QQA167" s="20"/>
      <c r="QQB167" s="20"/>
      <c r="QQC167" s="20"/>
      <c r="QQD167" s="21"/>
      <c r="QQE167" s="21"/>
      <c r="QQF167" s="21"/>
      <c r="QQG167" s="21"/>
      <c r="QQH167" s="21"/>
      <c r="QQI167" s="20"/>
      <c r="QQJ167" s="20"/>
      <c r="QQK167" s="20"/>
      <c r="QQL167" s="20"/>
      <c r="QQM167" s="21"/>
      <c r="QQN167" s="21"/>
      <c r="QQO167" s="7"/>
      <c r="QQP167" s="7"/>
      <c r="QQQ167" s="21"/>
      <c r="QQR167" s="20"/>
      <c r="QQS167" s="20"/>
      <c r="QQT167" s="20"/>
      <c r="QQU167" s="21"/>
      <c r="QQV167" s="21"/>
      <c r="QQW167" s="21"/>
      <c r="QQX167" s="21"/>
      <c r="QQY167" s="21"/>
      <c r="QQZ167" s="20"/>
      <c r="QRA167" s="20"/>
      <c r="QRB167" s="20"/>
      <c r="QRC167" s="20"/>
      <c r="QRD167" s="21"/>
      <c r="QRE167" s="21"/>
      <c r="QRF167" s="7"/>
      <c r="QRG167" s="7"/>
      <c r="QRH167" s="21"/>
      <c r="QRI167" s="20"/>
      <c r="QRJ167" s="20"/>
      <c r="QRK167" s="20"/>
      <c r="QRL167" s="21"/>
      <c r="QRM167" s="21"/>
      <c r="QRN167" s="21"/>
      <c r="QRO167" s="21"/>
      <c r="QRP167" s="21"/>
      <c r="QRQ167" s="20"/>
      <c r="QRR167" s="20"/>
      <c r="QRS167" s="20"/>
      <c r="QRT167" s="20"/>
      <c r="QRU167" s="21"/>
      <c r="QRV167" s="21"/>
      <c r="QRW167" s="7"/>
      <c r="QRX167" s="7"/>
      <c r="QRY167" s="21"/>
      <c r="QRZ167" s="20"/>
      <c r="QSA167" s="20"/>
      <c r="QSB167" s="20"/>
      <c r="QSC167" s="21"/>
      <c r="QSD167" s="21"/>
      <c r="QSE167" s="21"/>
      <c r="QSF167" s="21"/>
      <c r="QSG167" s="21"/>
      <c r="QSH167" s="20"/>
      <c r="QSI167" s="20"/>
      <c r="QSJ167" s="20"/>
      <c r="QSK167" s="20"/>
      <c r="QSL167" s="21"/>
      <c r="QSM167" s="21"/>
      <c r="QSN167" s="7"/>
      <c r="QSO167" s="7"/>
      <c r="QSP167" s="21"/>
      <c r="QSQ167" s="20"/>
      <c r="QSR167" s="20"/>
      <c r="QSS167" s="20"/>
      <c r="QST167" s="21"/>
      <c r="QSU167" s="21"/>
      <c r="QSV167" s="21"/>
      <c r="QSW167" s="21"/>
      <c r="QSX167" s="21"/>
      <c r="QSY167" s="20"/>
      <c r="QSZ167" s="20"/>
      <c r="QTA167" s="20"/>
      <c r="QTB167" s="20"/>
      <c r="QTC167" s="21"/>
      <c r="QTD167" s="21"/>
      <c r="QTE167" s="7"/>
      <c r="QTF167" s="7"/>
      <c r="QTG167" s="21"/>
      <c r="QTH167" s="20"/>
      <c r="QTI167" s="20"/>
      <c r="QTJ167" s="20"/>
      <c r="QTK167" s="21"/>
      <c r="QTL167" s="21"/>
      <c r="QTM167" s="21"/>
      <c r="QTN167" s="21"/>
      <c r="QTO167" s="21"/>
      <c r="QTP167" s="20"/>
      <c r="QTQ167" s="20"/>
      <c r="QTR167" s="20"/>
      <c r="QTS167" s="20"/>
      <c r="QTT167" s="21"/>
      <c r="QTU167" s="21"/>
      <c r="QTV167" s="7"/>
      <c r="QTW167" s="7"/>
      <c r="QTX167" s="21"/>
      <c r="QTY167" s="20"/>
      <c r="QTZ167" s="20"/>
      <c r="QUA167" s="20"/>
      <c r="QUB167" s="21"/>
      <c r="QUC167" s="21"/>
      <c r="QUD167" s="21"/>
      <c r="QUE167" s="21"/>
      <c r="QUF167" s="21"/>
      <c r="QUG167" s="20"/>
      <c r="QUH167" s="20"/>
      <c r="QUI167" s="20"/>
      <c r="QUJ167" s="20"/>
      <c r="QUK167" s="21"/>
      <c r="QUL167" s="21"/>
      <c r="QUM167" s="7"/>
      <c r="QUN167" s="7"/>
      <c r="QUO167" s="21"/>
      <c r="QUP167" s="20"/>
      <c r="QUQ167" s="20"/>
      <c r="QUR167" s="20"/>
      <c r="QUS167" s="21"/>
      <c r="QUT167" s="21"/>
      <c r="QUU167" s="21"/>
      <c r="QUV167" s="21"/>
      <c r="QUW167" s="21"/>
      <c r="QUX167" s="20"/>
      <c r="QUY167" s="20"/>
      <c r="QUZ167" s="20"/>
      <c r="QVA167" s="20"/>
      <c r="QVB167" s="21"/>
      <c r="QVC167" s="21"/>
      <c r="QVD167" s="7"/>
      <c r="QVE167" s="7"/>
      <c r="QVF167" s="21"/>
      <c r="QVG167" s="20"/>
      <c r="QVH167" s="20"/>
      <c r="QVI167" s="20"/>
      <c r="QVJ167" s="21"/>
      <c r="QVK167" s="21"/>
      <c r="QVL167" s="21"/>
      <c r="QVM167" s="21"/>
      <c r="QVN167" s="21"/>
      <c r="QVO167" s="20"/>
      <c r="QVP167" s="20"/>
      <c r="QVQ167" s="20"/>
      <c r="QVR167" s="20"/>
      <c r="QVS167" s="21"/>
      <c r="QVT167" s="21"/>
      <c r="QVU167" s="7"/>
      <c r="QVV167" s="7"/>
      <c r="QVW167" s="21"/>
      <c r="QVX167" s="20"/>
      <c r="QVY167" s="20"/>
      <c r="QVZ167" s="20"/>
      <c r="QWA167" s="21"/>
      <c r="QWB167" s="21"/>
      <c r="QWC167" s="21"/>
      <c r="QWD167" s="21"/>
      <c r="QWE167" s="21"/>
      <c r="QWF167" s="20"/>
      <c r="QWG167" s="20"/>
      <c r="QWH167" s="20"/>
      <c r="QWI167" s="20"/>
      <c r="QWJ167" s="21"/>
      <c r="QWK167" s="21"/>
      <c r="QWL167" s="7"/>
      <c r="QWM167" s="7"/>
      <c r="QWN167" s="21"/>
      <c r="QWO167" s="20"/>
      <c r="QWP167" s="20"/>
      <c r="QWQ167" s="20"/>
      <c r="QWR167" s="21"/>
      <c r="QWS167" s="21"/>
      <c r="QWT167" s="21"/>
      <c r="QWU167" s="21"/>
      <c r="QWV167" s="21"/>
      <c r="QWW167" s="20"/>
      <c r="QWX167" s="20"/>
      <c r="QWY167" s="20"/>
      <c r="QWZ167" s="20"/>
      <c r="QXA167" s="21"/>
      <c r="QXB167" s="21"/>
      <c r="QXC167" s="7"/>
      <c r="QXD167" s="7"/>
      <c r="QXE167" s="21"/>
      <c r="QXF167" s="20"/>
      <c r="QXG167" s="20"/>
      <c r="QXH167" s="20"/>
      <c r="QXI167" s="21"/>
      <c r="QXJ167" s="21"/>
      <c r="QXK167" s="21"/>
      <c r="QXL167" s="21"/>
      <c r="QXM167" s="21"/>
      <c r="QXN167" s="20"/>
      <c r="QXO167" s="20"/>
      <c r="QXP167" s="20"/>
      <c r="QXQ167" s="20"/>
      <c r="QXR167" s="21"/>
      <c r="QXS167" s="21"/>
      <c r="QXT167" s="7"/>
      <c r="QXU167" s="7"/>
      <c r="QXV167" s="21"/>
      <c r="QXW167" s="20"/>
      <c r="QXX167" s="20"/>
      <c r="QXY167" s="20"/>
      <c r="QXZ167" s="21"/>
      <c r="QYA167" s="21"/>
      <c r="QYB167" s="21"/>
      <c r="QYC167" s="21"/>
      <c r="QYD167" s="21"/>
      <c r="QYE167" s="20"/>
      <c r="QYF167" s="20"/>
      <c r="QYG167" s="20"/>
      <c r="QYH167" s="20"/>
      <c r="QYI167" s="21"/>
      <c r="QYJ167" s="21"/>
      <c r="QYK167" s="7"/>
      <c r="QYL167" s="7"/>
      <c r="QYM167" s="21"/>
      <c r="QYN167" s="20"/>
      <c r="QYO167" s="20"/>
      <c r="QYP167" s="20"/>
      <c r="QYQ167" s="21"/>
      <c r="QYR167" s="21"/>
      <c r="QYS167" s="21"/>
      <c r="QYT167" s="21"/>
      <c r="QYU167" s="21"/>
      <c r="QYV167" s="20"/>
      <c r="QYW167" s="20"/>
      <c r="QYX167" s="20"/>
      <c r="QYY167" s="20"/>
      <c r="QYZ167" s="21"/>
      <c r="QZA167" s="21"/>
      <c r="QZB167" s="7"/>
      <c r="QZC167" s="7"/>
      <c r="QZD167" s="21"/>
      <c r="QZE167" s="20"/>
      <c r="QZF167" s="20"/>
      <c r="QZG167" s="20"/>
      <c r="QZH167" s="21"/>
      <c r="QZI167" s="21"/>
      <c r="QZJ167" s="21"/>
      <c r="QZK167" s="21"/>
      <c r="QZL167" s="21"/>
      <c r="QZM167" s="20"/>
      <c r="QZN167" s="20"/>
      <c r="QZO167" s="20"/>
      <c r="QZP167" s="20"/>
      <c r="QZQ167" s="21"/>
      <c r="QZR167" s="21"/>
      <c r="QZS167" s="7"/>
      <c r="QZT167" s="7"/>
      <c r="QZU167" s="21"/>
      <c r="QZV167" s="20"/>
      <c r="QZW167" s="20"/>
      <c r="QZX167" s="20"/>
      <c r="QZY167" s="21"/>
      <c r="QZZ167" s="21"/>
      <c r="RAA167" s="21"/>
      <c r="RAB167" s="21"/>
      <c r="RAC167" s="21"/>
      <c r="RAD167" s="20"/>
      <c r="RAE167" s="20"/>
      <c r="RAF167" s="20"/>
      <c r="RAG167" s="20"/>
      <c r="RAH167" s="21"/>
      <c r="RAI167" s="21"/>
      <c r="RAJ167" s="7"/>
      <c r="RAK167" s="7"/>
      <c r="RAL167" s="21"/>
      <c r="RAM167" s="20"/>
      <c r="RAN167" s="20"/>
      <c r="RAO167" s="20"/>
      <c r="RAP167" s="21"/>
      <c r="RAQ167" s="21"/>
      <c r="RAR167" s="21"/>
      <c r="RAS167" s="21"/>
      <c r="RAT167" s="21"/>
      <c r="RAU167" s="20"/>
      <c r="RAV167" s="20"/>
      <c r="RAW167" s="20"/>
      <c r="RAX167" s="20"/>
      <c r="RAY167" s="21"/>
      <c r="RAZ167" s="21"/>
      <c r="RBA167" s="7"/>
      <c r="RBB167" s="7"/>
      <c r="RBC167" s="21"/>
      <c r="RBD167" s="20"/>
      <c r="RBE167" s="20"/>
      <c r="RBF167" s="20"/>
      <c r="RBG167" s="21"/>
      <c r="RBH167" s="21"/>
      <c r="RBI167" s="21"/>
      <c r="RBJ167" s="21"/>
      <c r="RBK167" s="21"/>
      <c r="RBL167" s="20"/>
      <c r="RBM167" s="20"/>
      <c r="RBN167" s="20"/>
      <c r="RBO167" s="20"/>
      <c r="RBP167" s="21"/>
      <c r="RBQ167" s="21"/>
      <c r="RBR167" s="7"/>
      <c r="RBS167" s="7"/>
      <c r="RBT167" s="21"/>
      <c r="RBU167" s="20"/>
      <c r="RBV167" s="20"/>
      <c r="RBW167" s="20"/>
      <c r="RBX167" s="21"/>
      <c r="RBY167" s="21"/>
      <c r="RBZ167" s="21"/>
      <c r="RCA167" s="21"/>
      <c r="RCB167" s="21"/>
      <c r="RCC167" s="20"/>
      <c r="RCD167" s="20"/>
      <c r="RCE167" s="20"/>
      <c r="RCF167" s="20"/>
      <c r="RCG167" s="21"/>
      <c r="RCH167" s="21"/>
      <c r="RCI167" s="7"/>
      <c r="RCJ167" s="7"/>
      <c r="RCK167" s="21"/>
      <c r="RCL167" s="20"/>
      <c r="RCM167" s="20"/>
      <c r="RCN167" s="20"/>
      <c r="RCO167" s="21"/>
      <c r="RCP167" s="21"/>
      <c r="RCQ167" s="21"/>
      <c r="RCR167" s="21"/>
      <c r="RCS167" s="21"/>
      <c r="RCT167" s="20"/>
      <c r="RCU167" s="20"/>
      <c r="RCV167" s="20"/>
      <c r="RCW167" s="20"/>
      <c r="RCX167" s="21"/>
      <c r="RCY167" s="21"/>
      <c r="RCZ167" s="7"/>
      <c r="RDA167" s="7"/>
      <c r="RDB167" s="21"/>
      <c r="RDC167" s="20"/>
      <c r="RDD167" s="20"/>
      <c r="RDE167" s="20"/>
      <c r="RDF167" s="21"/>
      <c r="RDG167" s="21"/>
      <c r="RDH167" s="21"/>
      <c r="RDI167" s="21"/>
      <c r="RDJ167" s="21"/>
      <c r="RDK167" s="20"/>
      <c r="RDL167" s="20"/>
      <c r="RDM167" s="20"/>
      <c r="RDN167" s="20"/>
      <c r="RDO167" s="21"/>
      <c r="RDP167" s="21"/>
      <c r="RDQ167" s="7"/>
      <c r="RDR167" s="7"/>
      <c r="RDS167" s="21"/>
      <c r="RDT167" s="20"/>
      <c r="RDU167" s="20"/>
      <c r="RDV167" s="20"/>
      <c r="RDW167" s="21"/>
      <c r="RDX167" s="21"/>
      <c r="RDY167" s="21"/>
      <c r="RDZ167" s="21"/>
      <c r="REA167" s="21"/>
      <c r="REB167" s="20"/>
      <c r="REC167" s="20"/>
      <c r="RED167" s="20"/>
      <c r="REE167" s="20"/>
      <c r="REF167" s="21"/>
      <c r="REG167" s="21"/>
      <c r="REH167" s="7"/>
      <c r="REI167" s="7"/>
      <c r="REJ167" s="21"/>
      <c r="REK167" s="20"/>
      <c r="REL167" s="20"/>
      <c r="REM167" s="20"/>
      <c r="REN167" s="21"/>
      <c r="REO167" s="21"/>
      <c r="REP167" s="21"/>
      <c r="REQ167" s="21"/>
      <c r="RER167" s="21"/>
      <c r="RES167" s="20"/>
      <c r="RET167" s="20"/>
      <c r="REU167" s="20"/>
      <c r="REV167" s="20"/>
      <c r="REW167" s="21"/>
      <c r="REX167" s="21"/>
      <c r="REY167" s="7"/>
      <c r="REZ167" s="7"/>
      <c r="RFA167" s="21"/>
      <c r="RFB167" s="20"/>
      <c r="RFC167" s="20"/>
      <c r="RFD167" s="20"/>
      <c r="RFE167" s="21"/>
      <c r="RFF167" s="21"/>
      <c r="RFG167" s="21"/>
      <c r="RFH167" s="21"/>
      <c r="RFI167" s="21"/>
      <c r="RFJ167" s="20"/>
      <c r="RFK167" s="20"/>
      <c r="RFL167" s="20"/>
      <c r="RFM167" s="20"/>
      <c r="RFN167" s="21"/>
      <c r="RFO167" s="21"/>
      <c r="RFP167" s="7"/>
      <c r="RFQ167" s="7"/>
      <c r="RFR167" s="21"/>
      <c r="RFS167" s="20"/>
      <c r="RFT167" s="20"/>
      <c r="RFU167" s="20"/>
      <c r="RFV167" s="21"/>
      <c r="RFW167" s="21"/>
      <c r="RFX167" s="21"/>
      <c r="RFY167" s="21"/>
      <c r="RFZ167" s="21"/>
      <c r="RGA167" s="20"/>
      <c r="RGB167" s="20"/>
      <c r="RGC167" s="20"/>
      <c r="RGD167" s="20"/>
      <c r="RGE167" s="21"/>
      <c r="RGF167" s="21"/>
      <c r="RGG167" s="7"/>
      <c r="RGH167" s="7"/>
      <c r="RGI167" s="21"/>
      <c r="RGJ167" s="20"/>
      <c r="RGK167" s="20"/>
      <c r="RGL167" s="20"/>
      <c r="RGM167" s="21"/>
      <c r="RGN167" s="21"/>
      <c r="RGO167" s="21"/>
      <c r="RGP167" s="21"/>
      <c r="RGQ167" s="21"/>
      <c r="RGR167" s="20"/>
      <c r="RGS167" s="20"/>
      <c r="RGT167" s="20"/>
      <c r="RGU167" s="20"/>
      <c r="RGV167" s="21"/>
      <c r="RGW167" s="21"/>
      <c r="RGX167" s="7"/>
      <c r="RGY167" s="7"/>
      <c r="RGZ167" s="21"/>
      <c r="RHA167" s="20"/>
      <c r="RHB167" s="20"/>
      <c r="RHC167" s="20"/>
      <c r="RHD167" s="21"/>
      <c r="RHE167" s="21"/>
      <c r="RHF167" s="21"/>
      <c r="RHG167" s="21"/>
      <c r="RHH167" s="21"/>
      <c r="RHI167" s="20"/>
      <c r="RHJ167" s="20"/>
      <c r="RHK167" s="20"/>
      <c r="RHL167" s="20"/>
      <c r="RHM167" s="21"/>
      <c r="RHN167" s="21"/>
      <c r="RHO167" s="7"/>
      <c r="RHP167" s="7"/>
      <c r="RHQ167" s="21"/>
      <c r="RHR167" s="20"/>
      <c r="RHS167" s="20"/>
      <c r="RHT167" s="20"/>
      <c r="RHU167" s="21"/>
      <c r="RHV167" s="21"/>
      <c r="RHW167" s="21"/>
      <c r="RHX167" s="21"/>
      <c r="RHY167" s="21"/>
      <c r="RHZ167" s="20"/>
      <c r="RIA167" s="20"/>
      <c r="RIB167" s="20"/>
      <c r="RIC167" s="20"/>
      <c r="RID167" s="21"/>
      <c r="RIE167" s="21"/>
      <c r="RIF167" s="7"/>
      <c r="RIG167" s="7"/>
      <c r="RIH167" s="21"/>
      <c r="RII167" s="20"/>
      <c r="RIJ167" s="20"/>
      <c r="RIK167" s="20"/>
      <c r="RIL167" s="21"/>
      <c r="RIM167" s="21"/>
      <c r="RIN167" s="21"/>
      <c r="RIO167" s="21"/>
      <c r="RIP167" s="21"/>
      <c r="RIQ167" s="20"/>
      <c r="RIR167" s="20"/>
      <c r="RIS167" s="20"/>
      <c r="RIT167" s="20"/>
      <c r="RIU167" s="21"/>
      <c r="RIV167" s="21"/>
      <c r="RIW167" s="7"/>
      <c r="RIX167" s="7"/>
      <c r="RIY167" s="21"/>
      <c r="RIZ167" s="20"/>
      <c r="RJA167" s="20"/>
      <c r="RJB167" s="20"/>
      <c r="RJC167" s="21"/>
      <c r="RJD167" s="21"/>
      <c r="RJE167" s="21"/>
      <c r="RJF167" s="21"/>
      <c r="RJG167" s="21"/>
      <c r="RJH167" s="20"/>
      <c r="RJI167" s="20"/>
      <c r="RJJ167" s="20"/>
      <c r="RJK167" s="20"/>
      <c r="RJL167" s="21"/>
      <c r="RJM167" s="21"/>
      <c r="RJN167" s="7"/>
      <c r="RJO167" s="7"/>
      <c r="RJP167" s="21"/>
      <c r="RJQ167" s="20"/>
      <c r="RJR167" s="20"/>
      <c r="RJS167" s="20"/>
      <c r="RJT167" s="21"/>
      <c r="RJU167" s="21"/>
      <c r="RJV167" s="21"/>
      <c r="RJW167" s="21"/>
      <c r="RJX167" s="21"/>
      <c r="RJY167" s="20"/>
      <c r="RJZ167" s="20"/>
      <c r="RKA167" s="20"/>
      <c r="RKB167" s="20"/>
      <c r="RKC167" s="21"/>
      <c r="RKD167" s="21"/>
      <c r="RKE167" s="7"/>
      <c r="RKF167" s="7"/>
      <c r="RKG167" s="21"/>
      <c r="RKH167" s="20"/>
      <c r="RKI167" s="20"/>
      <c r="RKJ167" s="20"/>
      <c r="RKK167" s="21"/>
      <c r="RKL167" s="21"/>
      <c r="RKM167" s="21"/>
      <c r="RKN167" s="21"/>
      <c r="RKO167" s="21"/>
      <c r="RKP167" s="20"/>
      <c r="RKQ167" s="20"/>
      <c r="RKR167" s="20"/>
      <c r="RKS167" s="20"/>
      <c r="RKT167" s="21"/>
      <c r="RKU167" s="21"/>
      <c r="RKV167" s="7"/>
      <c r="RKW167" s="7"/>
      <c r="RKX167" s="21"/>
      <c r="RKY167" s="20"/>
      <c r="RKZ167" s="20"/>
      <c r="RLA167" s="20"/>
      <c r="RLB167" s="21"/>
      <c r="RLC167" s="21"/>
      <c r="RLD167" s="21"/>
      <c r="RLE167" s="21"/>
      <c r="RLF167" s="21"/>
      <c r="RLG167" s="20"/>
      <c r="RLH167" s="20"/>
      <c r="RLI167" s="20"/>
      <c r="RLJ167" s="20"/>
      <c r="RLK167" s="21"/>
      <c r="RLL167" s="21"/>
      <c r="RLM167" s="7"/>
      <c r="RLN167" s="7"/>
      <c r="RLO167" s="21"/>
      <c r="RLP167" s="20"/>
      <c r="RLQ167" s="20"/>
      <c r="RLR167" s="20"/>
      <c r="RLS167" s="21"/>
      <c r="RLT167" s="21"/>
      <c r="RLU167" s="21"/>
      <c r="RLV167" s="21"/>
      <c r="RLW167" s="21"/>
      <c r="RLX167" s="20"/>
      <c r="RLY167" s="20"/>
      <c r="RLZ167" s="20"/>
      <c r="RMA167" s="20"/>
      <c r="RMB167" s="21"/>
      <c r="RMC167" s="21"/>
      <c r="RMD167" s="7"/>
      <c r="RME167" s="7"/>
      <c r="RMF167" s="21"/>
      <c r="RMG167" s="20"/>
      <c r="RMH167" s="20"/>
      <c r="RMI167" s="20"/>
      <c r="RMJ167" s="21"/>
      <c r="RMK167" s="21"/>
      <c r="RML167" s="21"/>
      <c r="RMM167" s="21"/>
      <c r="RMN167" s="21"/>
      <c r="RMO167" s="20"/>
      <c r="RMP167" s="20"/>
      <c r="RMQ167" s="20"/>
      <c r="RMR167" s="20"/>
      <c r="RMS167" s="21"/>
      <c r="RMT167" s="21"/>
      <c r="RMU167" s="7"/>
      <c r="RMV167" s="7"/>
      <c r="RMW167" s="21"/>
      <c r="RMX167" s="20"/>
      <c r="RMY167" s="20"/>
      <c r="RMZ167" s="20"/>
      <c r="RNA167" s="21"/>
      <c r="RNB167" s="21"/>
      <c r="RNC167" s="21"/>
      <c r="RND167" s="21"/>
      <c r="RNE167" s="21"/>
      <c r="RNF167" s="20"/>
      <c r="RNG167" s="20"/>
      <c r="RNH167" s="20"/>
      <c r="RNI167" s="20"/>
      <c r="RNJ167" s="21"/>
      <c r="RNK167" s="21"/>
      <c r="RNL167" s="7"/>
      <c r="RNM167" s="7"/>
      <c r="RNN167" s="21"/>
      <c r="RNO167" s="20"/>
      <c r="RNP167" s="20"/>
      <c r="RNQ167" s="20"/>
      <c r="RNR167" s="21"/>
      <c r="RNS167" s="21"/>
      <c r="RNT167" s="21"/>
      <c r="RNU167" s="21"/>
      <c r="RNV167" s="21"/>
      <c r="RNW167" s="20"/>
      <c r="RNX167" s="20"/>
      <c r="RNY167" s="20"/>
      <c r="RNZ167" s="20"/>
      <c r="ROA167" s="21"/>
      <c r="ROB167" s="21"/>
      <c r="ROC167" s="7"/>
      <c r="ROD167" s="7"/>
      <c r="ROE167" s="21"/>
      <c r="ROF167" s="20"/>
      <c r="ROG167" s="20"/>
      <c r="ROH167" s="20"/>
      <c r="ROI167" s="21"/>
      <c r="ROJ167" s="21"/>
      <c r="ROK167" s="21"/>
      <c r="ROL167" s="21"/>
      <c r="ROM167" s="21"/>
      <c r="RON167" s="20"/>
      <c r="ROO167" s="20"/>
      <c r="ROP167" s="20"/>
      <c r="ROQ167" s="20"/>
      <c r="ROR167" s="21"/>
      <c r="ROS167" s="21"/>
      <c r="ROT167" s="7"/>
      <c r="ROU167" s="7"/>
      <c r="ROV167" s="21"/>
      <c r="ROW167" s="20"/>
      <c r="ROX167" s="20"/>
      <c r="ROY167" s="20"/>
      <c r="ROZ167" s="21"/>
      <c r="RPA167" s="21"/>
      <c r="RPB167" s="21"/>
      <c r="RPC167" s="21"/>
      <c r="RPD167" s="21"/>
      <c r="RPE167" s="20"/>
      <c r="RPF167" s="20"/>
      <c r="RPG167" s="20"/>
      <c r="RPH167" s="20"/>
      <c r="RPI167" s="21"/>
      <c r="RPJ167" s="21"/>
      <c r="RPK167" s="7"/>
      <c r="RPL167" s="7"/>
      <c r="RPM167" s="21"/>
      <c r="RPN167" s="20"/>
      <c r="RPO167" s="20"/>
      <c r="RPP167" s="20"/>
      <c r="RPQ167" s="21"/>
      <c r="RPR167" s="21"/>
      <c r="RPS167" s="21"/>
      <c r="RPT167" s="21"/>
      <c r="RPU167" s="21"/>
      <c r="RPV167" s="20"/>
      <c r="RPW167" s="20"/>
      <c r="RPX167" s="20"/>
      <c r="RPY167" s="20"/>
      <c r="RPZ167" s="21"/>
      <c r="RQA167" s="21"/>
      <c r="RQB167" s="7"/>
      <c r="RQC167" s="7"/>
      <c r="RQD167" s="21"/>
      <c r="RQE167" s="20"/>
      <c r="RQF167" s="20"/>
      <c r="RQG167" s="20"/>
      <c r="RQH167" s="21"/>
      <c r="RQI167" s="21"/>
      <c r="RQJ167" s="21"/>
      <c r="RQK167" s="21"/>
      <c r="RQL167" s="21"/>
      <c r="RQM167" s="20"/>
      <c r="RQN167" s="20"/>
      <c r="RQO167" s="20"/>
      <c r="RQP167" s="20"/>
      <c r="RQQ167" s="21"/>
      <c r="RQR167" s="21"/>
      <c r="RQS167" s="7"/>
      <c r="RQT167" s="7"/>
      <c r="RQU167" s="21"/>
      <c r="RQV167" s="20"/>
      <c r="RQW167" s="20"/>
      <c r="RQX167" s="20"/>
      <c r="RQY167" s="21"/>
      <c r="RQZ167" s="21"/>
      <c r="RRA167" s="21"/>
      <c r="RRB167" s="21"/>
      <c r="RRC167" s="21"/>
      <c r="RRD167" s="20"/>
      <c r="RRE167" s="20"/>
      <c r="RRF167" s="20"/>
      <c r="RRG167" s="20"/>
      <c r="RRH167" s="21"/>
      <c r="RRI167" s="21"/>
      <c r="RRJ167" s="7"/>
      <c r="RRK167" s="7"/>
      <c r="RRL167" s="21"/>
      <c r="RRM167" s="20"/>
      <c r="RRN167" s="20"/>
      <c r="RRO167" s="20"/>
      <c r="RRP167" s="21"/>
      <c r="RRQ167" s="21"/>
      <c r="RRR167" s="21"/>
      <c r="RRS167" s="21"/>
      <c r="RRT167" s="21"/>
      <c r="RRU167" s="20"/>
      <c r="RRV167" s="20"/>
      <c r="RRW167" s="20"/>
      <c r="RRX167" s="20"/>
      <c r="RRY167" s="21"/>
      <c r="RRZ167" s="21"/>
      <c r="RSA167" s="7"/>
      <c r="RSB167" s="7"/>
      <c r="RSC167" s="21"/>
      <c r="RSD167" s="20"/>
      <c r="RSE167" s="20"/>
      <c r="RSF167" s="20"/>
      <c r="RSG167" s="21"/>
      <c r="RSH167" s="21"/>
      <c r="RSI167" s="21"/>
      <c r="RSJ167" s="21"/>
      <c r="RSK167" s="21"/>
      <c r="RSL167" s="20"/>
      <c r="RSM167" s="20"/>
      <c r="RSN167" s="20"/>
      <c r="RSO167" s="20"/>
      <c r="RSP167" s="21"/>
      <c r="RSQ167" s="21"/>
      <c r="RSR167" s="7"/>
      <c r="RSS167" s="7"/>
      <c r="RST167" s="21"/>
      <c r="RSU167" s="20"/>
      <c r="RSV167" s="20"/>
      <c r="RSW167" s="20"/>
      <c r="RSX167" s="21"/>
      <c r="RSY167" s="21"/>
      <c r="RSZ167" s="21"/>
      <c r="RTA167" s="21"/>
      <c r="RTB167" s="21"/>
      <c r="RTC167" s="20"/>
      <c r="RTD167" s="20"/>
      <c r="RTE167" s="20"/>
      <c r="RTF167" s="20"/>
      <c r="RTG167" s="21"/>
      <c r="RTH167" s="21"/>
      <c r="RTI167" s="7"/>
      <c r="RTJ167" s="7"/>
      <c r="RTK167" s="21"/>
      <c r="RTL167" s="20"/>
      <c r="RTM167" s="20"/>
      <c r="RTN167" s="20"/>
      <c r="RTO167" s="21"/>
      <c r="RTP167" s="21"/>
      <c r="RTQ167" s="21"/>
      <c r="RTR167" s="21"/>
      <c r="RTS167" s="21"/>
      <c r="RTT167" s="20"/>
      <c r="RTU167" s="20"/>
      <c r="RTV167" s="20"/>
      <c r="RTW167" s="20"/>
      <c r="RTX167" s="21"/>
      <c r="RTY167" s="21"/>
      <c r="RTZ167" s="7"/>
      <c r="RUA167" s="7"/>
      <c r="RUB167" s="21"/>
      <c r="RUC167" s="20"/>
      <c r="RUD167" s="20"/>
      <c r="RUE167" s="20"/>
      <c r="RUF167" s="21"/>
      <c r="RUG167" s="21"/>
      <c r="RUH167" s="21"/>
      <c r="RUI167" s="21"/>
      <c r="RUJ167" s="21"/>
      <c r="RUK167" s="20"/>
      <c r="RUL167" s="20"/>
      <c r="RUM167" s="20"/>
      <c r="RUN167" s="20"/>
      <c r="RUO167" s="21"/>
      <c r="RUP167" s="21"/>
      <c r="RUQ167" s="7"/>
      <c r="RUR167" s="7"/>
      <c r="RUS167" s="21"/>
      <c r="RUT167" s="20"/>
      <c r="RUU167" s="20"/>
      <c r="RUV167" s="20"/>
      <c r="RUW167" s="21"/>
      <c r="RUX167" s="21"/>
      <c r="RUY167" s="21"/>
      <c r="RUZ167" s="21"/>
      <c r="RVA167" s="21"/>
      <c r="RVB167" s="20"/>
      <c r="RVC167" s="20"/>
      <c r="RVD167" s="20"/>
      <c r="RVE167" s="20"/>
      <c r="RVF167" s="21"/>
      <c r="RVG167" s="21"/>
      <c r="RVH167" s="7"/>
      <c r="RVI167" s="7"/>
      <c r="RVJ167" s="21"/>
      <c r="RVK167" s="20"/>
      <c r="RVL167" s="20"/>
      <c r="RVM167" s="20"/>
      <c r="RVN167" s="21"/>
      <c r="RVO167" s="21"/>
      <c r="RVP167" s="21"/>
      <c r="RVQ167" s="21"/>
      <c r="RVR167" s="21"/>
      <c r="RVS167" s="20"/>
      <c r="RVT167" s="20"/>
      <c r="RVU167" s="20"/>
      <c r="RVV167" s="20"/>
      <c r="RVW167" s="21"/>
      <c r="RVX167" s="21"/>
      <c r="RVY167" s="7"/>
      <c r="RVZ167" s="7"/>
      <c r="RWA167" s="21"/>
      <c r="RWB167" s="20"/>
      <c r="RWC167" s="20"/>
      <c r="RWD167" s="20"/>
      <c r="RWE167" s="21"/>
      <c r="RWF167" s="21"/>
      <c r="RWG167" s="21"/>
      <c r="RWH167" s="21"/>
      <c r="RWI167" s="21"/>
      <c r="RWJ167" s="20"/>
      <c r="RWK167" s="20"/>
      <c r="RWL167" s="20"/>
      <c r="RWM167" s="20"/>
      <c r="RWN167" s="21"/>
      <c r="RWO167" s="21"/>
      <c r="RWP167" s="7"/>
      <c r="RWQ167" s="7"/>
      <c r="RWR167" s="21"/>
      <c r="RWS167" s="20"/>
      <c r="RWT167" s="20"/>
      <c r="RWU167" s="20"/>
      <c r="RWV167" s="21"/>
      <c r="RWW167" s="21"/>
      <c r="RWX167" s="21"/>
      <c r="RWY167" s="21"/>
      <c r="RWZ167" s="21"/>
      <c r="RXA167" s="20"/>
      <c r="RXB167" s="20"/>
      <c r="RXC167" s="20"/>
      <c r="RXD167" s="20"/>
      <c r="RXE167" s="21"/>
      <c r="RXF167" s="21"/>
      <c r="RXG167" s="7"/>
      <c r="RXH167" s="7"/>
      <c r="RXI167" s="21"/>
      <c r="RXJ167" s="20"/>
      <c r="RXK167" s="20"/>
      <c r="RXL167" s="20"/>
      <c r="RXM167" s="21"/>
      <c r="RXN167" s="21"/>
      <c r="RXO167" s="21"/>
      <c r="RXP167" s="21"/>
      <c r="RXQ167" s="21"/>
      <c r="RXR167" s="20"/>
      <c r="RXS167" s="20"/>
      <c r="RXT167" s="20"/>
      <c r="RXU167" s="20"/>
      <c r="RXV167" s="21"/>
      <c r="RXW167" s="21"/>
      <c r="RXX167" s="7"/>
      <c r="RXY167" s="7"/>
      <c r="RXZ167" s="21"/>
      <c r="RYA167" s="20"/>
      <c r="RYB167" s="20"/>
      <c r="RYC167" s="20"/>
      <c r="RYD167" s="21"/>
      <c r="RYE167" s="21"/>
      <c r="RYF167" s="21"/>
      <c r="RYG167" s="21"/>
      <c r="RYH167" s="21"/>
      <c r="RYI167" s="20"/>
      <c r="RYJ167" s="20"/>
      <c r="RYK167" s="20"/>
      <c r="RYL167" s="20"/>
      <c r="RYM167" s="21"/>
      <c r="RYN167" s="21"/>
      <c r="RYO167" s="7"/>
      <c r="RYP167" s="7"/>
      <c r="RYQ167" s="21"/>
      <c r="RYR167" s="20"/>
      <c r="RYS167" s="20"/>
      <c r="RYT167" s="20"/>
      <c r="RYU167" s="21"/>
      <c r="RYV167" s="21"/>
      <c r="RYW167" s="21"/>
      <c r="RYX167" s="21"/>
      <c r="RYY167" s="21"/>
      <c r="RYZ167" s="20"/>
      <c r="RZA167" s="20"/>
      <c r="RZB167" s="20"/>
      <c r="RZC167" s="20"/>
      <c r="RZD167" s="21"/>
      <c r="RZE167" s="21"/>
      <c r="RZF167" s="7"/>
      <c r="RZG167" s="7"/>
      <c r="RZH167" s="21"/>
      <c r="RZI167" s="20"/>
      <c r="RZJ167" s="20"/>
      <c r="RZK167" s="20"/>
      <c r="RZL167" s="21"/>
      <c r="RZM167" s="21"/>
      <c r="RZN167" s="21"/>
      <c r="RZO167" s="21"/>
      <c r="RZP167" s="21"/>
      <c r="RZQ167" s="20"/>
      <c r="RZR167" s="20"/>
      <c r="RZS167" s="20"/>
      <c r="RZT167" s="20"/>
      <c r="RZU167" s="21"/>
      <c r="RZV167" s="21"/>
      <c r="RZW167" s="7"/>
      <c r="RZX167" s="7"/>
      <c r="RZY167" s="21"/>
      <c r="RZZ167" s="20"/>
      <c r="SAA167" s="20"/>
      <c r="SAB167" s="20"/>
      <c r="SAC167" s="21"/>
      <c r="SAD167" s="21"/>
      <c r="SAE167" s="21"/>
      <c r="SAF167" s="21"/>
      <c r="SAG167" s="21"/>
      <c r="SAH167" s="20"/>
      <c r="SAI167" s="20"/>
      <c r="SAJ167" s="20"/>
      <c r="SAK167" s="20"/>
      <c r="SAL167" s="21"/>
      <c r="SAM167" s="21"/>
      <c r="SAN167" s="7"/>
      <c r="SAO167" s="7"/>
      <c r="SAP167" s="21"/>
      <c r="SAQ167" s="20"/>
      <c r="SAR167" s="20"/>
      <c r="SAS167" s="20"/>
      <c r="SAT167" s="21"/>
      <c r="SAU167" s="21"/>
      <c r="SAV167" s="21"/>
      <c r="SAW167" s="21"/>
      <c r="SAX167" s="21"/>
      <c r="SAY167" s="20"/>
      <c r="SAZ167" s="20"/>
      <c r="SBA167" s="20"/>
      <c r="SBB167" s="20"/>
      <c r="SBC167" s="21"/>
      <c r="SBD167" s="21"/>
      <c r="SBE167" s="7"/>
      <c r="SBF167" s="7"/>
      <c r="SBG167" s="21"/>
      <c r="SBH167" s="20"/>
      <c r="SBI167" s="20"/>
      <c r="SBJ167" s="20"/>
      <c r="SBK167" s="21"/>
      <c r="SBL167" s="21"/>
      <c r="SBM167" s="21"/>
      <c r="SBN167" s="21"/>
      <c r="SBO167" s="21"/>
      <c r="SBP167" s="20"/>
      <c r="SBQ167" s="20"/>
      <c r="SBR167" s="20"/>
      <c r="SBS167" s="20"/>
      <c r="SBT167" s="21"/>
      <c r="SBU167" s="21"/>
      <c r="SBV167" s="7"/>
      <c r="SBW167" s="7"/>
      <c r="SBX167" s="21"/>
      <c r="SBY167" s="20"/>
      <c r="SBZ167" s="20"/>
      <c r="SCA167" s="20"/>
      <c r="SCB167" s="21"/>
      <c r="SCC167" s="21"/>
      <c r="SCD167" s="21"/>
      <c r="SCE167" s="21"/>
      <c r="SCF167" s="21"/>
      <c r="SCG167" s="20"/>
      <c r="SCH167" s="20"/>
      <c r="SCI167" s="20"/>
      <c r="SCJ167" s="20"/>
      <c r="SCK167" s="21"/>
      <c r="SCL167" s="21"/>
      <c r="SCM167" s="7"/>
      <c r="SCN167" s="7"/>
      <c r="SCO167" s="21"/>
      <c r="SCP167" s="20"/>
      <c r="SCQ167" s="20"/>
      <c r="SCR167" s="20"/>
      <c r="SCS167" s="21"/>
      <c r="SCT167" s="21"/>
      <c r="SCU167" s="21"/>
      <c r="SCV167" s="21"/>
      <c r="SCW167" s="21"/>
      <c r="SCX167" s="20"/>
      <c r="SCY167" s="20"/>
      <c r="SCZ167" s="20"/>
      <c r="SDA167" s="20"/>
      <c r="SDB167" s="21"/>
      <c r="SDC167" s="21"/>
      <c r="SDD167" s="7"/>
      <c r="SDE167" s="7"/>
      <c r="SDF167" s="21"/>
      <c r="SDG167" s="20"/>
      <c r="SDH167" s="20"/>
      <c r="SDI167" s="20"/>
      <c r="SDJ167" s="21"/>
      <c r="SDK167" s="21"/>
      <c r="SDL167" s="21"/>
      <c r="SDM167" s="21"/>
      <c r="SDN167" s="21"/>
      <c r="SDO167" s="20"/>
      <c r="SDP167" s="20"/>
      <c r="SDQ167" s="20"/>
      <c r="SDR167" s="20"/>
      <c r="SDS167" s="21"/>
      <c r="SDT167" s="21"/>
      <c r="SDU167" s="7"/>
      <c r="SDV167" s="7"/>
      <c r="SDW167" s="21"/>
      <c r="SDX167" s="20"/>
      <c r="SDY167" s="20"/>
      <c r="SDZ167" s="20"/>
      <c r="SEA167" s="21"/>
      <c r="SEB167" s="21"/>
      <c r="SEC167" s="21"/>
      <c r="SED167" s="21"/>
      <c r="SEE167" s="21"/>
      <c r="SEF167" s="20"/>
      <c r="SEG167" s="20"/>
      <c r="SEH167" s="20"/>
      <c r="SEI167" s="20"/>
      <c r="SEJ167" s="21"/>
      <c r="SEK167" s="21"/>
      <c r="SEL167" s="7"/>
      <c r="SEM167" s="7"/>
      <c r="SEN167" s="21"/>
      <c r="SEO167" s="20"/>
      <c r="SEP167" s="20"/>
      <c r="SEQ167" s="20"/>
      <c r="SER167" s="21"/>
      <c r="SES167" s="21"/>
      <c r="SET167" s="21"/>
      <c r="SEU167" s="21"/>
      <c r="SEV167" s="21"/>
      <c r="SEW167" s="20"/>
      <c r="SEX167" s="20"/>
      <c r="SEY167" s="20"/>
      <c r="SEZ167" s="20"/>
      <c r="SFA167" s="21"/>
      <c r="SFB167" s="21"/>
      <c r="SFC167" s="7"/>
      <c r="SFD167" s="7"/>
      <c r="SFE167" s="21"/>
      <c r="SFF167" s="20"/>
      <c r="SFG167" s="20"/>
      <c r="SFH167" s="20"/>
      <c r="SFI167" s="21"/>
      <c r="SFJ167" s="21"/>
      <c r="SFK167" s="21"/>
      <c r="SFL167" s="21"/>
      <c r="SFM167" s="21"/>
      <c r="SFN167" s="20"/>
      <c r="SFO167" s="20"/>
      <c r="SFP167" s="20"/>
      <c r="SFQ167" s="20"/>
      <c r="SFR167" s="21"/>
      <c r="SFS167" s="21"/>
      <c r="SFT167" s="7"/>
      <c r="SFU167" s="7"/>
      <c r="SFV167" s="21"/>
      <c r="SFW167" s="20"/>
      <c r="SFX167" s="20"/>
      <c r="SFY167" s="20"/>
      <c r="SFZ167" s="21"/>
      <c r="SGA167" s="21"/>
      <c r="SGB167" s="21"/>
      <c r="SGC167" s="21"/>
      <c r="SGD167" s="21"/>
      <c r="SGE167" s="20"/>
      <c r="SGF167" s="20"/>
      <c r="SGG167" s="20"/>
      <c r="SGH167" s="20"/>
      <c r="SGI167" s="21"/>
      <c r="SGJ167" s="21"/>
      <c r="SGK167" s="7"/>
      <c r="SGL167" s="7"/>
      <c r="SGM167" s="21"/>
      <c r="SGN167" s="20"/>
      <c r="SGO167" s="20"/>
      <c r="SGP167" s="20"/>
      <c r="SGQ167" s="21"/>
      <c r="SGR167" s="21"/>
      <c r="SGS167" s="21"/>
      <c r="SGT167" s="21"/>
      <c r="SGU167" s="21"/>
      <c r="SGV167" s="20"/>
      <c r="SGW167" s="20"/>
      <c r="SGX167" s="20"/>
      <c r="SGY167" s="20"/>
      <c r="SGZ167" s="21"/>
      <c r="SHA167" s="21"/>
      <c r="SHB167" s="7"/>
      <c r="SHC167" s="7"/>
      <c r="SHD167" s="21"/>
      <c r="SHE167" s="20"/>
      <c r="SHF167" s="20"/>
      <c r="SHG167" s="20"/>
      <c r="SHH167" s="21"/>
      <c r="SHI167" s="21"/>
      <c r="SHJ167" s="21"/>
      <c r="SHK167" s="21"/>
      <c r="SHL167" s="21"/>
      <c r="SHM167" s="20"/>
      <c r="SHN167" s="20"/>
      <c r="SHO167" s="20"/>
      <c r="SHP167" s="20"/>
      <c r="SHQ167" s="21"/>
      <c r="SHR167" s="21"/>
      <c r="SHS167" s="7"/>
      <c r="SHT167" s="7"/>
      <c r="SHU167" s="21"/>
      <c r="SHV167" s="20"/>
      <c r="SHW167" s="20"/>
      <c r="SHX167" s="20"/>
      <c r="SHY167" s="21"/>
      <c r="SHZ167" s="21"/>
      <c r="SIA167" s="21"/>
      <c r="SIB167" s="21"/>
      <c r="SIC167" s="21"/>
      <c r="SID167" s="20"/>
      <c r="SIE167" s="20"/>
      <c r="SIF167" s="20"/>
      <c r="SIG167" s="20"/>
      <c r="SIH167" s="21"/>
      <c r="SII167" s="21"/>
      <c r="SIJ167" s="7"/>
      <c r="SIK167" s="7"/>
      <c r="SIL167" s="21"/>
      <c r="SIM167" s="20"/>
      <c r="SIN167" s="20"/>
      <c r="SIO167" s="20"/>
      <c r="SIP167" s="21"/>
      <c r="SIQ167" s="21"/>
      <c r="SIR167" s="21"/>
      <c r="SIS167" s="21"/>
      <c r="SIT167" s="21"/>
      <c r="SIU167" s="20"/>
      <c r="SIV167" s="20"/>
      <c r="SIW167" s="20"/>
      <c r="SIX167" s="20"/>
      <c r="SIY167" s="21"/>
      <c r="SIZ167" s="21"/>
      <c r="SJA167" s="7"/>
      <c r="SJB167" s="7"/>
      <c r="SJC167" s="21"/>
      <c r="SJD167" s="20"/>
      <c r="SJE167" s="20"/>
      <c r="SJF167" s="20"/>
      <c r="SJG167" s="21"/>
      <c r="SJH167" s="21"/>
      <c r="SJI167" s="21"/>
      <c r="SJJ167" s="21"/>
      <c r="SJK167" s="21"/>
      <c r="SJL167" s="20"/>
      <c r="SJM167" s="20"/>
      <c r="SJN167" s="20"/>
      <c r="SJO167" s="20"/>
      <c r="SJP167" s="21"/>
      <c r="SJQ167" s="21"/>
      <c r="SJR167" s="7"/>
      <c r="SJS167" s="7"/>
      <c r="SJT167" s="21"/>
      <c r="SJU167" s="20"/>
      <c r="SJV167" s="20"/>
      <c r="SJW167" s="20"/>
      <c r="SJX167" s="21"/>
      <c r="SJY167" s="21"/>
      <c r="SJZ167" s="21"/>
      <c r="SKA167" s="21"/>
      <c r="SKB167" s="21"/>
      <c r="SKC167" s="20"/>
      <c r="SKD167" s="20"/>
      <c r="SKE167" s="20"/>
      <c r="SKF167" s="20"/>
      <c r="SKG167" s="21"/>
      <c r="SKH167" s="21"/>
      <c r="SKI167" s="7"/>
      <c r="SKJ167" s="7"/>
      <c r="SKK167" s="21"/>
      <c r="SKL167" s="20"/>
      <c r="SKM167" s="20"/>
      <c r="SKN167" s="20"/>
      <c r="SKO167" s="21"/>
      <c r="SKP167" s="21"/>
      <c r="SKQ167" s="21"/>
      <c r="SKR167" s="21"/>
      <c r="SKS167" s="21"/>
      <c r="SKT167" s="20"/>
      <c r="SKU167" s="20"/>
      <c r="SKV167" s="20"/>
      <c r="SKW167" s="20"/>
      <c r="SKX167" s="21"/>
      <c r="SKY167" s="21"/>
      <c r="SKZ167" s="7"/>
      <c r="SLA167" s="7"/>
      <c r="SLB167" s="21"/>
      <c r="SLC167" s="20"/>
      <c r="SLD167" s="20"/>
      <c r="SLE167" s="20"/>
      <c r="SLF167" s="21"/>
      <c r="SLG167" s="21"/>
      <c r="SLH167" s="21"/>
      <c r="SLI167" s="21"/>
      <c r="SLJ167" s="21"/>
      <c r="SLK167" s="20"/>
      <c r="SLL167" s="20"/>
      <c r="SLM167" s="20"/>
      <c r="SLN167" s="20"/>
      <c r="SLO167" s="21"/>
      <c r="SLP167" s="21"/>
      <c r="SLQ167" s="7"/>
      <c r="SLR167" s="7"/>
      <c r="SLS167" s="21"/>
      <c r="SLT167" s="20"/>
      <c r="SLU167" s="20"/>
      <c r="SLV167" s="20"/>
      <c r="SLW167" s="21"/>
      <c r="SLX167" s="21"/>
      <c r="SLY167" s="21"/>
      <c r="SLZ167" s="21"/>
      <c r="SMA167" s="21"/>
      <c r="SMB167" s="20"/>
      <c r="SMC167" s="20"/>
      <c r="SMD167" s="20"/>
      <c r="SME167" s="20"/>
      <c r="SMF167" s="21"/>
      <c r="SMG167" s="21"/>
      <c r="SMH167" s="7"/>
      <c r="SMI167" s="7"/>
      <c r="SMJ167" s="21"/>
      <c r="SMK167" s="20"/>
      <c r="SML167" s="20"/>
      <c r="SMM167" s="20"/>
      <c r="SMN167" s="21"/>
      <c r="SMO167" s="21"/>
      <c r="SMP167" s="21"/>
      <c r="SMQ167" s="21"/>
      <c r="SMR167" s="21"/>
      <c r="SMS167" s="20"/>
      <c r="SMT167" s="20"/>
      <c r="SMU167" s="20"/>
      <c r="SMV167" s="20"/>
      <c r="SMW167" s="21"/>
      <c r="SMX167" s="21"/>
      <c r="SMY167" s="7"/>
      <c r="SMZ167" s="7"/>
      <c r="SNA167" s="21"/>
      <c r="SNB167" s="20"/>
      <c r="SNC167" s="20"/>
      <c r="SND167" s="20"/>
      <c r="SNE167" s="21"/>
      <c r="SNF167" s="21"/>
      <c r="SNG167" s="21"/>
      <c r="SNH167" s="21"/>
      <c r="SNI167" s="21"/>
      <c r="SNJ167" s="20"/>
      <c r="SNK167" s="20"/>
      <c r="SNL167" s="20"/>
      <c r="SNM167" s="20"/>
      <c r="SNN167" s="21"/>
      <c r="SNO167" s="21"/>
      <c r="SNP167" s="7"/>
      <c r="SNQ167" s="7"/>
      <c r="SNR167" s="21"/>
      <c r="SNS167" s="20"/>
      <c r="SNT167" s="20"/>
      <c r="SNU167" s="20"/>
      <c r="SNV167" s="21"/>
      <c r="SNW167" s="21"/>
      <c r="SNX167" s="21"/>
      <c r="SNY167" s="21"/>
      <c r="SNZ167" s="21"/>
      <c r="SOA167" s="20"/>
      <c r="SOB167" s="20"/>
      <c r="SOC167" s="20"/>
      <c r="SOD167" s="20"/>
      <c r="SOE167" s="21"/>
      <c r="SOF167" s="21"/>
      <c r="SOG167" s="7"/>
      <c r="SOH167" s="7"/>
      <c r="SOI167" s="21"/>
      <c r="SOJ167" s="20"/>
      <c r="SOK167" s="20"/>
      <c r="SOL167" s="20"/>
      <c r="SOM167" s="21"/>
      <c r="SON167" s="21"/>
      <c r="SOO167" s="21"/>
      <c r="SOP167" s="21"/>
      <c r="SOQ167" s="21"/>
      <c r="SOR167" s="20"/>
      <c r="SOS167" s="20"/>
      <c r="SOT167" s="20"/>
      <c r="SOU167" s="20"/>
      <c r="SOV167" s="21"/>
      <c r="SOW167" s="21"/>
      <c r="SOX167" s="7"/>
      <c r="SOY167" s="7"/>
      <c r="SOZ167" s="21"/>
      <c r="SPA167" s="20"/>
      <c r="SPB167" s="20"/>
      <c r="SPC167" s="20"/>
      <c r="SPD167" s="21"/>
      <c r="SPE167" s="21"/>
      <c r="SPF167" s="21"/>
      <c r="SPG167" s="21"/>
      <c r="SPH167" s="21"/>
      <c r="SPI167" s="20"/>
      <c r="SPJ167" s="20"/>
      <c r="SPK167" s="20"/>
      <c r="SPL167" s="20"/>
      <c r="SPM167" s="21"/>
      <c r="SPN167" s="21"/>
      <c r="SPO167" s="7"/>
      <c r="SPP167" s="7"/>
      <c r="SPQ167" s="21"/>
      <c r="SPR167" s="20"/>
      <c r="SPS167" s="20"/>
      <c r="SPT167" s="20"/>
      <c r="SPU167" s="21"/>
      <c r="SPV167" s="21"/>
      <c r="SPW167" s="21"/>
      <c r="SPX167" s="21"/>
      <c r="SPY167" s="21"/>
      <c r="SPZ167" s="20"/>
      <c r="SQA167" s="20"/>
      <c r="SQB167" s="20"/>
      <c r="SQC167" s="20"/>
      <c r="SQD167" s="21"/>
      <c r="SQE167" s="21"/>
      <c r="SQF167" s="7"/>
      <c r="SQG167" s="7"/>
      <c r="SQH167" s="21"/>
      <c r="SQI167" s="20"/>
      <c r="SQJ167" s="20"/>
      <c r="SQK167" s="20"/>
      <c r="SQL167" s="21"/>
      <c r="SQM167" s="21"/>
      <c r="SQN167" s="21"/>
      <c r="SQO167" s="21"/>
      <c r="SQP167" s="21"/>
      <c r="SQQ167" s="20"/>
      <c r="SQR167" s="20"/>
      <c r="SQS167" s="20"/>
      <c r="SQT167" s="20"/>
      <c r="SQU167" s="21"/>
      <c r="SQV167" s="21"/>
      <c r="SQW167" s="7"/>
      <c r="SQX167" s="7"/>
      <c r="SQY167" s="21"/>
      <c r="SQZ167" s="20"/>
      <c r="SRA167" s="20"/>
      <c r="SRB167" s="20"/>
      <c r="SRC167" s="21"/>
      <c r="SRD167" s="21"/>
      <c r="SRE167" s="21"/>
      <c r="SRF167" s="21"/>
      <c r="SRG167" s="21"/>
      <c r="SRH167" s="20"/>
      <c r="SRI167" s="20"/>
      <c r="SRJ167" s="20"/>
      <c r="SRK167" s="20"/>
      <c r="SRL167" s="21"/>
      <c r="SRM167" s="21"/>
      <c r="SRN167" s="7"/>
      <c r="SRO167" s="7"/>
      <c r="SRP167" s="21"/>
      <c r="SRQ167" s="20"/>
      <c r="SRR167" s="20"/>
      <c r="SRS167" s="20"/>
      <c r="SRT167" s="21"/>
      <c r="SRU167" s="21"/>
      <c r="SRV167" s="21"/>
      <c r="SRW167" s="21"/>
      <c r="SRX167" s="21"/>
      <c r="SRY167" s="20"/>
      <c r="SRZ167" s="20"/>
      <c r="SSA167" s="20"/>
      <c r="SSB167" s="20"/>
      <c r="SSC167" s="21"/>
      <c r="SSD167" s="21"/>
      <c r="SSE167" s="7"/>
      <c r="SSF167" s="7"/>
      <c r="SSG167" s="21"/>
      <c r="SSH167" s="20"/>
      <c r="SSI167" s="20"/>
      <c r="SSJ167" s="20"/>
      <c r="SSK167" s="21"/>
      <c r="SSL167" s="21"/>
      <c r="SSM167" s="21"/>
      <c r="SSN167" s="21"/>
      <c r="SSO167" s="21"/>
      <c r="SSP167" s="20"/>
      <c r="SSQ167" s="20"/>
      <c r="SSR167" s="20"/>
      <c r="SSS167" s="20"/>
      <c r="SST167" s="21"/>
      <c r="SSU167" s="21"/>
      <c r="SSV167" s="7"/>
      <c r="SSW167" s="7"/>
      <c r="SSX167" s="21"/>
      <c r="SSY167" s="20"/>
      <c r="SSZ167" s="20"/>
      <c r="STA167" s="20"/>
      <c r="STB167" s="21"/>
      <c r="STC167" s="21"/>
      <c r="STD167" s="21"/>
      <c r="STE167" s="21"/>
      <c r="STF167" s="21"/>
      <c r="STG167" s="20"/>
      <c r="STH167" s="20"/>
      <c r="STI167" s="20"/>
      <c r="STJ167" s="20"/>
      <c r="STK167" s="21"/>
      <c r="STL167" s="21"/>
      <c r="STM167" s="7"/>
      <c r="STN167" s="7"/>
      <c r="STO167" s="21"/>
      <c r="STP167" s="20"/>
      <c r="STQ167" s="20"/>
      <c r="STR167" s="20"/>
      <c r="STS167" s="21"/>
      <c r="STT167" s="21"/>
      <c r="STU167" s="21"/>
      <c r="STV167" s="21"/>
      <c r="STW167" s="21"/>
      <c r="STX167" s="20"/>
      <c r="STY167" s="20"/>
      <c r="STZ167" s="20"/>
      <c r="SUA167" s="20"/>
      <c r="SUB167" s="21"/>
      <c r="SUC167" s="21"/>
      <c r="SUD167" s="7"/>
      <c r="SUE167" s="7"/>
      <c r="SUF167" s="21"/>
      <c r="SUG167" s="20"/>
      <c r="SUH167" s="20"/>
      <c r="SUI167" s="20"/>
      <c r="SUJ167" s="21"/>
      <c r="SUK167" s="21"/>
      <c r="SUL167" s="21"/>
      <c r="SUM167" s="21"/>
      <c r="SUN167" s="21"/>
      <c r="SUO167" s="20"/>
      <c r="SUP167" s="20"/>
      <c r="SUQ167" s="20"/>
      <c r="SUR167" s="20"/>
      <c r="SUS167" s="21"/>
      <c r="SUT167" s="21"/>
      <c r="SUU167" s="7"/>
      <c r="SUV167" s="7"/>
      <c r="SUW167" s="21"/>
      <c r="SUX167" s="20"/>
      <c r="SUY167" s="20"/>
      <c r="SUZ167" s="20"/>
      <c r="SVA167" s="21"/>
      <c r="SVB167" s="21"/>
      <c r="SVC167" s="21"/>
      <c r="SVD167" s="21"/>
      <c r="SVE167" s="21"/>
      <c r="SVF167" s="20"/>
      <c r="SVG167" s="20"/>
      <c r="SVH167" s="20"/>
      <c r="SVI167" s="20"/>
      <c r="SVJ167" s="21"/>
      <c r="SVK167" s="21"/>
      <c r="SVL167" s="7"/>
      <c r="SVM167" s="7"/>
      <c r="SVN167" s="21"/>
      <c r="SVO167" s="20"/>
      <c r="SVP167" s="20"/>
      <c r="SVQ167" s="20"/>
      <c r="SVR167" s="21"/>
      <c r="SVS167" s="21"/>
      <c r="SVT167" s="21"/>
      <c r="SVU167" s="21"/>
      <c r="SVV167" s="21"/>
      <c r="SVW167" s="20"/>
      <c r="SVX167" s="20"/>
      <c r="SVY167" s="20"/>
      <c r="SVZ167" s="20"/>
      <c r="SWA167" s="21"/>
      <c r="SWB167" s="21"/>
      <c r="SWC167" s="7"/>
      <c r="SWD167" s="7"/>
      <c r="SWE167" s="21"/>
      <c r="SWF167" s="20"/>
      <c r="SWG167" s="20"/>
      <c r="SWH167" s="20"/>
      <c r="SWI167" s="21"/>
      <c r="SWJ167" s="21"/>
      <c r="SWK167" s="21"/>
      <c r="SWL167" s="21"/>
      <c r="SWM167" s="21"/>
      <c r="SWN167" s="20"/>
      <c r="SWO167" s="20"/>
      <c r="SWP167" s="20"/>
      <c r="SWQ167" s="20"/>
      <c r="SWR167" s="21"/>
      <c r="SWS167" s="21"/>
      <c r="SWT167" s="7"/>
      <c r="SWU167" s="7"/>
      <c r="SWV167" s="21"/>
      <c r="SWW167" s="20"/>
      <c r="SWX167" s="20"/>
      <c r="SWY167" s="20"/>
      <c r="SWZ167" s="21"/>
      <c r="SXA167" s="21"/>
      <c r="SXB167" s="21"/>
      <c r="SXC167" s="21"/>
      <c r="SXD167" s="21"/>
      <c r="SXE167" s="20"/>
      <c r="SXF167" s="20"/>
      <c r="SXG167" s="20"/>
      <c r="SXH167" s="20"/>
      <c r="SXI167" s="21"/>
      <c r="SXJ167" s="21"/>
      <c r="SXK167" s="7"/>
      <c r="SXL167" s="7"/>
      <c r="SXM167" s="21"/>
      <c r="SXN167" s="20"/>
      <c r="SXO167" s="20"/>
      <c r="SXP167" s="20"/>
      <c r="SXQ167" s="21"/>
      <c r="SXR167" s="21"/>
      <c r="SXS167" s="21"/>
      <c r="SXT167" s="21"/>
      <c r="SXU167" s="21"/>
      <c r="SXV167" s="20"/>
      <c r="SXW167" s="20"/>
      <c r="SXX167" s="20"/>
      <c r="SXY167" s="20"/>
      <c r="SXZ167" s="21"/>
      <c r="SYA167" s="21"/>
      <c r="SYB167" s="7"/>
      <c r="SYC167" s="7"/>
      <c r="SYD167" s="21"/>
      <c r="SYE167" s="20"/>
      <c r="SYF167" s="20"/>
      <c r="SYG167" s="20"/>
      <c r="SYH167" s="21"/>
      <c r="SYI167" s="21"/>
      <c r="SYJ167" s="21"/>
      <c r="SYK167" s="21"/>
      <c r="SYL167" s="21"/>
      <c r="SYM167" s="20"/>
      <c r="SYN167" s="20"/>
      <c r="SYO167" s="20"/>
      <c r="SYP167" s="20"/>
      <c r="SYQ167" s="21"/>
      <c r="SYR167" s="21"/>
      <c r="SYS167" s="7"/>
      <c r="SYT167" s="7"/>
      <c r="SYU167" s="21"/>
      <c r="SYV167" s="20"/>
      <c r="SYW167" s="20"/>
      <c r="SYX167" s="20"/>
      <c r="SYY167" s="21"/>
      <c r="SYZ167" s="21"/>
      <c r="SZA167" s="21"/>
      <c r="SZB167" s="21"/>
      <c r="SZC167" s="21"/>
      <c r="SZD167" s="20"/>
      <c r="SZE167" s="20"/>
      <c r="SZF167" s="20"/>
      <c r="SZG167" s="20"/>
      <c r="SZH167" s="21"/>
      <c r="SZI167" s="21"/>
      <c r="SZJ167" s="7"/>
      <c r="SZK167" s="7"/>
      <c r="SZL167" s="21"/>
      <c r="SZM167" s="20"/>
      <c r="SZN167" s="20"/>
      <c r="SZO167" s="20"/>
      <c r="SZP167" s="21"/>
      <c r="SZQ167" s="21"/>
      <c r="SZR167" s="21"/>
      <c r="SZS167" s="21"/>
      <c r="SZT167" s="21"/>
      <c r="SZU167" s="20"/>
      <c r="SZV167" s="20"/>
      <c r="SZW167" s="20"/>
      <c r="SZX167" s="20"/>
      <c r="SZY167" s="21"/>
      <c r="SZZ167" s="21"/>
      <c r="TAA167" s="7"/>
      <c r="TAB167" s="7"/>
      <c r="TAC167" s="21"/>
      <c r="TAD167" s="20"/>
      <c r="TAE167" s="20"/>
      <c r="TAF167" s="20"/>
      <c r="TAG167" s="21"/>
      <c r="TAH167" s="21"/>
      <c r="TAI167" s="21"/>
      <c r="TAJ167" s="21"/>
      <c r="TAK167" s="21"/>
      <c r="TAL167" s="20"/>
      <c r="TAM167" s="20"/>
      <c r="TAN167" s="20"/>
      <c r="TAO167" s="20"/>
      <c r="TAP167" s="21"/>
      <c r="TAQ167" s="21"/>
      <c r="TAR167" s="7"/>
      <c r="TAS167" s="7"/>
      <c r="TAT167" s="21"/>
      <c r="TAU167" s="20"/>
      <c r="TAV167" s="20"/>
      <c r="TAW167" s="20"/>
      <c r="TAX167" s="21"/>
      <c r="TAY167" s="21"/>
      <c r="TAZ167" s="21"/>
      <c r="TBA167" s="21"/>
      <c r="TBB167" s="21"/>
      <c r="TBC167" s="20"/>
      <c r="TBD167" s="20"/>
      <c r="TBE167" s="20"/>
      <c r="TBF167" s="20"/>
      <c r="TBG167" s="21"/>
      <c r="TBH167" s="21"/>
      <c r="TBI167" s="7"/>
      <c r="TBJ167" s="7"/>
      <c r="TBK167" s="21"/>
      <c r="TBL167" s="20"/>
      <c r="TBM167" s="20"/>
      <c r="TBN167" s="20"/>
      <c r="TBO167" s="21"/>
      <c r="TBP167" s="21"/>
      <c r="TBQ167" s="21"/>
      <c r="TBR167" s="21"/>
      <c r="TBS167" s="21"/>
      <c r="TBT167" s="20"/>
      <c r="TBU167" s="20"/>
      <c r="TBV167" s="20"/>
      <c r="TBW167" s="20"/>
      <c r="TBX167" s="21"/>
      <c r="TBY167" s="21"/>
      <c r="TBZ167" s="7"/>
      <c r="TCA167" s="7"/>
      <c r="TCB167" s="21"/>
      <c r="TCC167" s="20"/>
      <c r="TCD167" s="20"/>
      <c r="TCE167" s="20"/>
      <c r="TCF167" s="21"/>
      <c r="TCG167" s="21"/>
      <c r="TCH167" s="21"/>
      <c r="TCI167" s="21"/>
      <c r="TCJ167" s="21"/>
      <c r="TCK167" s="20"/>
      <c r="TCL167" s="20"/>
      <c r="TCM167" s="20"/>
      <c r="TCN167" s="20"/>
      <c r="TCO167" s="21"/>
      <c r="TCP167" s="21"/>
      <c r="TCQ167" s="7"/>
      <c r="TCR167" s="7"/>
      <c r="TCS167" s="21"/>
      <c r="TCT167" s="20"/>
      <c r="TCU167" s="20"/>
      <c r="TCV167" s="20"/>
      <c r="TCW167" s="21"/>
      <c r="TCX167" s="21"/>
      <c r="TCY167" s="21"/>
      <c r="TCZ167" s="21"/>
      <c r="TDA167" s="21"/>
      <c r="TDB167" s="20"/>
      <c r="TDC167" s="20"/>
      <c r="TDD167" s="20"/>
      <c r="TDE167" s="20"/>
      <c r="TDF167" s="21"/>
      <c r="TDG167" s="21"/>
      <c r="TDH167" s="7"/>
      <c r="TDI167" s="7"/>
      <c r="TDJ167" s="21"/>
      <c r="TDK167" s="20"/>
      <c r="TDL167" s="20"/>
      <c r="TDM167" s="20"/>
      <c r="TDN167" s="21"/>
      <c r="TDO167" s="21"/>
      <c r="TDP167" s="21"/>
      <c r="TDQ167" s="21"/>
      <c r="TDR167" s="21"/>
      <c r="TDS167" s="20"/>
      <c r="TDT167" s="20"/>
      <c r="TDU167" s="20"/>
      <c r="TDV167" s="20"/>
      <c r="TDW167" s="21"/>
      <c r="TDX167" s="21"/>
      <c r="TDY167" s="7"/>
      <c r="TDZ167" s="7"/>
      <c r="TEA167" s="21"/>
      <c r="TEB167" s="20"/>
      <c r="TEC167" s="20"/>
      <c r="TED167" s="20"/>
      <c r="TEE167" s="21"/>
      <c r="TEF167" s="21"/>
      <c r="TEG167" s="21"/>
      <c r="TEH167" s="21"/>
      <c r="TEI167" s="21"/>
      <c r="TEJ167" s="20"/>
      <c r="TEK167" s="20"/>
      <c r="TEL167" s="20"/>
      <c r="TEM167" s="20"/>
      <c r="TEN167" s="21"/>
      <c r="TEO167" s="21"/>
      <c r="TEP167" s="7"/>
      <c r="TEQ167" s="7"/>
      <c r="TER167" s="21"/>
      <c r="TES167" s="20"/>
      <c r="TET167" s="20"/>
      <c r="TEU167" s="20"/>
      <c r="TEV167" s="21"/>
      <c r="TEW167" s="21"/>
      <c r="TEX167" s="21"/>
      <c r="TEY167" s="21"/>
      <c r="TEZ167" s="21"/>
      <c r="TFA167" s="20"/>
      <c r="TFB167" s="20"/>
      <c r="TFC167" s="20"/>
      <c r="TFD167" s="20"/>
      <c r="TFE167" s="21"/>
      <c r="TFF167" s="21"/>
      <c r="TFG167" s="7"/>
      <c r="TFH167" s="7"/>
      <c r="TFI167" s="21"/>
      <c r="TFJ167" s="20"/>
      <c r="TFK167" s="20"/>
      <c r="TFL167" s="20"/>
      <c r="TFM167" s="21"/>
      <c r="TFN167" s="21"/>
      <c r="TFO167" s="21"/>
      <c r="TFP167" s="21"/>
      <c r="TFQ167" s="21"/>
      <c r="TFR167" s="20"/>
      <c r="TFS167" s="20"/>
      <c r="TFT167" s="20"/>
      <c r="TFU167" s="20"/>
      <c r="TFV167" s="21"/>
      <c r="TFW167" s="21"/>
      <c r="TFX167" s="7"/>
      <c r="TFY167" s="7"/>
      <c r="TFZ167" s="21"/>
      <c r="TGA167" s="20"/>
      <c r="TGB167" s="20"/>
      <c r="TGC167" s="20"/>
      <c r="TGD167" s="21"/>
      <c r="TGE167" s="21"/>
      <c r="TGF167" s="21"/>
      <c r="TGG167" s="21"/>
      <c r="TGH167" s="21"/>
      <c r="TGI167" s="20"/>
      <c r="TGJ167" s="20"/>
      <c r="TGK167" s="20"/>
      <c r="TGL167" s="20"/>
      <c r="TGM167" s="21"/>
      <c r="TGN167" s="21"/>
      <c r="TGO167" s="7"/>
      <c r="TGP167" s="7"/>
      <c r="TGQ167" s="21"/>
      <c r="TGR167" s="20"/>
      <c r="TGS167" s="20"/>
      <c r="TGT167" s="20"/>
      <c r="TGU167" s="21"/>
      <c r="TGV167" s="21"/>
      <c r="TGW167" s="21"/>
      <c r="TGX167" s="21"/>
      <c r="TGY167" s="21"/>
      <c r="TGZ167" s="20"/>
      <c r="THA167" s="20"/>
      <c r="THB167" s="20"/>
      <c r="THC167" s="20"/>
      <c r="THD167" s="21"/>
      <c r="THE167" s="21"/>
      <c r="THF167" s="7"/>
      <c r="THG167" s="7"/>
      <c r="THH167" s="21"/>
      <c r="THI167" s="20"/>
      <c r="THJ167" s="20"/>
      <c r="THK167" s="20"/>
      <c r="THL167" s="21"/>
      <c r="THM167" s="21"/>
      <c r="THN167" s="21"/>
      <c r="THO167" s="21"/>
      <c r="THP167" s="21"/>
      <c r="THQ167" s="20"/>
      <c r="THR167" s="20"/>
      <c r="THS167" s="20"/>
      <c r="THT167" s="20"/>
      <c r="THU167" s="21"/>
      <c r="THV167" s="21"/>
      <c r="THW167" s="7"/>
      <c r="THX167" s="7"/>
      <c r="THY167" s="21"/>
      <c r="THZ167" s="20"/>
      <c r="TIA167" s="20"/>
      <c r="TIB167" s="20"/>
      <c r="TIC167" s="21"/>
      <c r="TID167" s="21"/>
      <c r="TIE167" s="21"/>
      <c r="TIF167" s="21"/>
      <c r="TIG167" s="21"/>
      <c r="TIH167" s="20"/>
      <c r="TII167" s="20"/>
      <c r="TIJ167" s="20"/>
      <c r="TIK167" s="20"/>
      <c r="TIL167" s="21"/>
      <c r="TIM167" s="21"/>
      <c r="TIN167" s="7"/>
      <c r="TIO167" s="7"/>
      <c r="TIP167" s="21"/>
      <c r="TIQ167" s="20"/>
      <c r="TIR167" s="20"/>
      <c r="TIS167" s="20"/>
      <c r="TIT167" s="21"/>
      <c r="TIU167" s="21"/>
      <c r="TIV167" s="21"/>
      <c r="TIW167" s="21"/>
      <c r="TIX167" s="21"/>
      <c r="TIY167" s="20"/>
      <c r="TIZ167" s="20"/>
      <c r="TJA167" s="20"/>
      <c r="TJB167" s="20"/>
      <c r="TJC167" s="21"/>
      <c r="TJD167" s="21"/>
      <c r="TJE167" s="7"/>
      <c r="TJF167" s="7"/>
      <c r="TJG167" s="21"/>
      <c r="TJH167" s="20"/>
      <c r="TJI167" s="20"/>
      <c r="TJJ167" s="20"/>
      <c r="TJK167" s="21"/>
      <c r="TJL167" s="21"/>
      <c r="TJM167" s="21"/>
      <c r="TJN167" s="21"/>
      <c r="TJO167" s="21"/>
      <c r="TJP167" s="20"/>
      <c r="TJQ167" s="20"/>
      <c r="TJR167" s="20"/>
      <c r="TJS167" s="20"/>
      <c r="TJT167" s="21"/>
      <c r="TJU167" s="21"/>
      <c r="TJV167" s="7"/>
      <c r="TJW167" s="7"/>
      <c r="TJX167" s="21"/>
      <c r="TJY167" s="20"/>
      <c r="TJZ167" s="20"/>
      <c r="TKA167" s="20"/>
      <c r="TKB167" s="21"/>
      <c r="TKC167" s="21"/>
      <c r="TKD167" s="21"/>
      <c r="TKE167" s="21"/>
      <c r="TKF167" s="21"/>
      <c r="TKG167" s="20"/>
      <c r="TKH167" s="20"/>
      <c r="TKI167" s="20"/>
      <c r="TKJ167" s="20"/>
      <c r="TKK167" s="21"/>
      <c r="TKL167" s="21"/>
      <c r="TKM167" s="7"/>
      <c r="TKN167" s="7"/>
      <c r="TKO167" s="21"/>
      <c r="TKP167" s="20"/>
      <c r="TKQ167" s="20"/>
      <c r="TKR167" s="20"/>
      <c r="TKS167" s="21"/>
      <c r="TKT167" s="21"/>
      <c r="TKU167" s="21"/>
      <c r="TKV167" s="21"/>
      <c r="TKW167" s="21"/>
      <c r="TKX167" s="20"/>
      <c r="TKY167" s="20"/>
      <c r="TKZ167" s="20"/>
      <c r="TLA167" s="20"/>
      <c r="TLB167" s="21"/>
      <c r="TLC167" s="21"/>
      <c r="TLD167" s="7"/>
      <c r="TLE167" s="7"/>
      <c r="TLF167" s="21"/>
      <c r="TLG167" s="20"/>
      <c r="TLH167" s="20"/>
      <c r="TLI167" s="20"/>
      <c r="TLJ167" s="21"/>
      <c r="TLK167" s="21"/>
      <c r="TLL167" s="21"/>
      <c r="TLM167" s="21"/>
      <c r="TLN167" s="21"/>
      <c r="TLO167" s="20"/>
      <c r="TLP167" s="20"/>
      <c r="TLQ167" s="20"/>
      <c r="TLR167" s="20"/>
      <c r="TLS167" s="21"/>
      <c r="TLT167" s="21"/>
      <c r="TLU167" s="7"/>
      <c r="TLV167" s="7"/>
      <c r="TLW167" s="21"/>
      <c r="TLX167" s="20"/>
      <c r="TLY167" s="20"/>
      <c r="TLZ167" s="20"/>
      <c r="TMA167" s="21"/>
      <c r="TMB167" s="21"/>
      <c r="TMC167" s="21"/>
      <c r="TMD167" s="21"/>
      <c r="TME167" s="21"/>
      <c r="TMF167" s="20"/>
      <c r="TMG167" s="20"/>
      <c r="TMH167" s="20"/>
      <c r="TMI167" s="20"/>
      <c r="TMJ167" s="21"/>
      <c r="TMK167" s="21"/>
      <c r="TML167" s="7"/>
      <c r="TMM167" s="7"/>
      <c r="TMN167" s="21"/>
      <c r="TMO167" s="20"/>
      <c r="TMP167" s="20"/>
      <c r="TMQ167" s="20"/>
      <c r="TMR167" s="21"/>
      <c r="TMS167" s="21"/>
      <c r="TMT167" s="21"/>
      <c r="TMU167" s="21"/>
      <c r="TMV167" s="21"/>
      <c r="TMW167" s="20"/>
      <c r="TMX167" s="20"/>
      <c r="TMY167" s="20"/>
      <c r="TMZ167" s="20"/>
      <c r="TNA167" s="21"/>
      <c r="TNB167" s="21"/>
      <c r="TNC167" s="7"/>
      <c r="TND167" s="7"/>
      <c r="TNE167" s="21"/>
      <c r="TNF167" s="20"/>
      <c r="TNG167" s="20"/>
      <c r="TNH167" s="20"/>
      <c r="TNI167" s="21"/>
      <c r="TNJ167" s="21"/>
      <c r="TNK167" s="21"/>
      <c r="TNL167" s="21"/>
      <c r="TNM167" s="21"/>
      <c r="TNN167" s="20"/>
      <c r="TNO167" s="20"/>
      <c r="TNP167" s="20"/>
      <c r="TNQ167" s="20"/>
      <c r="TNR167" s="21"/>
      <c r="TNS167" s="21"/>
      <c r="TNT167" s="7"/>
      <c r="TNU167" s="7"/>
      <c r="TNV167" s="21"/>
      <c r="TNW167" s="20"/>
      <c r="TNX167" s="20"/>
      <c r="TNY167" s="20"/>
      <c r="TNZ167" s="21"/>
      <c r="TOA167" s="21"/>
      <c r="TOB167" s="21"/>
      <c r="TOC167" s="21"/>
      <c r="TOD167" s="21"/>
      <c r="TOE167" s="20"/>
      <c r="TOF167" s="20"/>
      <c r="TOG167" s="20"/>
      <c r="TOH167" s="20"/>
      <c r="TOI167" s="21"/>
      <c r="TOJ167" s="21"/>
      <c r="TOK167" s="7"/>
      <c r="TOL167" s="7"/>
      <c r="TOM167" s="21"/>
      <c r="TON167" s="20"/>
      <c r="TOO167" s="20"/>
      <c r="TOP167" s="20"/>
      <c r="TOQ167" s="21"/>
      <c r="TOR167" s="21"/>
      <c r="TOS167" s="21"/>
      <c r="TOT167" s="21"/>
      <c r="TOU167" s="21"/>
      <c r="TOV167" s="20"/>
      <c r="TOW167" s="20"/>
      <c r="TOX167" s="20"/>
      <c r="TOY167" s="20"/>
      <c r="TOZ167" s="21"/>
      <c r="TPA167" s="21"/>
      <c r="TPB167" s="7"/>
      <c r="TPC167" s="7"/>
      <c r="TPD167" s="21"/>
      <c r="TPE167" s="20"/>
      <c r="TPF167" s="20"/>
      <c r="TPG167" s="20"/>
      <c r="TPH167" s="21"/>
      <c r="TPI167" s="21"/>
      <c r="TPJ167" s="21"/>
      <c r="TPK167" s="21"/>
      <c r="TPL167" s="21"/>
      <c r="TPM167" s="20"/>
      <c r="TPN167" s="20"/>
      <c r="TPO167" s="20"/>
      <c r="TPP167" s="20"/>
      <c r="TPQ167" s="21"/>
      <c r="TPR167" s="21"/>
      <c r="TPS167" s="7"/>
      <c r="TPT167" s="7"/>
      <c r="TPU167" s="21"/>
      <c r="TPV167" s="20"/>
      <c r="TPW167" s="20"/>
      <c r="TPX167" s="20"/>
      <c r="TPY167" s="21"/>
      <c r="TPZ167" s="21"/>
      <c r="TQA167" s="21"/>
      <c r="TQB167" s="21"/>
      <c r="TQC167" s="21"/>
      <c r="TQD167" s="20"/>
      <c r="TQE167" s="20"/>
      <c r="TQF167" s="20"/>
      <c r="TQG167" s="20"/>
      <c r="TQH167" s="21"/>
      <c r="TQI167" s="21"/>
      <c r="TQJ167" s="7"/>
      <c r="TQK167" s="7"/>
      <c r="TQL167" s="21"/>
      <c r="TQM167" s="20"/>
      <c r="TQN167" s="20"/>
      <c r="TQO167" s="20"/>
      <c r="TQP167" s="21"/>
      <c r="TQQ167" s="21"/>
      <c r="TQR167" s="21"/>
      <c r="TQS167" s="21"/>
      <c r="TQT167" s="21"/>
      <c r="TQU167" s="20"/>
      <c r="TQV167" s="20"/>
      <c r="TQW167" s="20"/>
      <c r="TQX167" s="20"/>
      <c r="TQY167" s="21"/>
      <c r="TQZ167" s="21"/>
      <c r="TRA167" s="7"/>
      <c r="TRB167" s="7"/>
      <c r="TRC167" s="21"/>
      <c r="TRD167" s="20"/>
      <c r="TRE167" s="20"/>
      <c r="TRF167" s="20"/>
      <c r="TRG167" s="21"/>
      <c r="TRH167" s="21"/>
      <c r="TRI167" s="21"/>
      <c r="TRJ167" s="21"/>
      <c r="TRK167" s="21"/>
      <c r="TRL167" s="20"/>
      <c r="TRM167" s="20"/>
      <c r="TRN167" s="20"/>
      <c r="TRO167" s="20"/>
      <c r="TRP167" s="21"/>
      <c r="TRQ167" s="21"/>
      <c r="TRR167" s="7"/>
      <c r="TRS167" s="7"/>
      <c r="TRT167" s="21"/>
      <c r="TRU167" s="20"/>
      <c r="TRV167" s="20"/>
      <c r="TRW167" s="20"/>
      <c r="TRX167" s="21"/>
      <c r="TRY167" s="21"/>
      <c r="TRZ167" s="21"/>
      <c r="TSA167" s="21"/>
      <c r="TSB167" s="21"/>
      <c r="TSC167" s="20"/>
      <c r="TSD167" s="20"/>
      <c r="TSE167" s="20"/>
      <c r="TSF167" s="20"/>
      <c r="TSG167" s="21"/>
      <c r="TSH167" s="21"/>
      <c r="TSI167" s="7"/>
      <c r="TSJ167" s="7"/>
      <c r="TSK167" s="21"/>
      <c r="TSL167" s="20"/>
      <c r="TSM167" s="20"/>
      <c r="TSN167" s="20"/>
      <c r="TSO167" s="21"/>
      <c r="TSP167" s="21"/>
      <c r="TSQ167" s="21"/>
      <c r="TSR167" s="21"/>
      <c r="TSS167" s="21"/>
      <c r="TST167" s="20"/>
      <c r="TSU167" s="20"/>
      <c r="TSV167" s="20"/>
      <c r="TSW167" s="20"/>
      <c r="TSX167" s="21"/>
      <c r="TSY167" s="21"/>
      <c r="TSZ167" s="7"/>
      <c r="TTA167" s="7"/>
      <c r="TTB167" s="21"/>
      <c r="TTC167" s="20"/>
      <c r="TTD167" s="20"/>
      <c r="TTE167" s="20"/>
      <c r="TTF167" s="21"/>
      <c r="TTG167" s="21"/>
      <c r="TTH167" s="21"/>
      <c r="TTI167" s="21"/>
      <c r="TTJ167" s="21"/>
      <c r="TTK167" s="20"/>
      <c r="TTL167" s="20"/>
      <c r="TTM167" s="20"/>
      <c r="TTN167" s="20"/>
      <c r="TTO167" s="21"/>
      <c r="TTP167" s="21"/>
      <c r="TTQ167" s="7"/>
      <c r="TTR167" s="7"/>
      <c r="TTS167" s="21"/>
      <c r="TTT167" s="20"/>
      <c r="TTU167" s="20"/>
      <c r="TTV167" s="20"/>
      <c r="TTW167" s="21"/>
      <c r="TTX167" s="21"/>
      <c r="TTY167" s="21"/>
      <c r="TTZ167" s="21"/>
      <c r="TUA167" s="21"/>
      <c r="TUB167" s="20"/>
      <c r="TUC167" s="20"/>
      <c r="TUD167" s="20"/>
      <c r="TUE167" s="20"/>
      <c r="TUF167" s="21"/>
      <c r="TUG167" s="21"/>
      <c r="TUH167" s="7"/>
      <c r="TUI167" s="7"/>
      <c r="TUJ167" s="21"/>
      <c r="TUK167" s="20"/>
      <c r="TUL167" s="20"/>
      <c r="TUM167" s="20"/>
      <c r="TUN167" s="21"/>
      <c r="TUO167" s="21"/>
      <c r="TUP167" s="21"/>
      <c r="TUQ167" s="21"/>
      <c r="TUR167" s="21"/>
      <c r="TUS167" s="20"/>
      <c r="TUT167" s="20"/>
      <c r="TUU167" s="20"/>
      <c r="TUV167" s="20"/>
      <c r="TUW167" s="21"/>
      <c r="TUX167" s="21"/>
      <c r="TUY167" s="7"/>
      <c r="TUZ167" s="7"/>
      <c r="TVA167" s="21"/>
      <c r="TVB167" s="20"/>
      <c r="TVC167" s="20"/>
      <c r="TVD167" s="20"/>
      <c r="TVE167" s="21"/>
      <c r="TVF167" s="21"/>
      <c r="TVG167" s="21"/>
      <c r="TVH167" s="21"/>
      <c r="TVI167" s="21"/>
      <c r="TVJ167" s="20"/>
      <c r="TVK167" s="20"/>
      <c r="TVL167" s="20"/>
      <c r="TVM167" s="20"/>
      <c r="TVN167" s="21"/>
      <c r="TVO167" s="21"/>
      <c r="TVP167" s="7"/>
      <c r="TVQ167" s="7"/>
      <c r="TVR167" s="21"/>
      <c r="TVS167" s="20"/>
      <c r="TVT167" s="20"/>
      <c r="TVU167" s="20"/>
      <c r="TVV167" s="21"/>
      <c r="TVW167" s="21"/>
      <c r="TVX167" s="21"/>
      <c r="TVY167" s="21"/>
      <c r="TVZ167" s="21"/>
      <c r="TWA167" s="20"/>
      <c r="TWB167" s="20"/>
      <c r="TWC167" s="20"/>
      <c r="TWD167" s="20"/>
      <c r="TWE167" s="21"/>
      <c r="TWF167" s="21"/>
      <c r="TWG167" s="7"/>
      <c r="TWH167" s="7"/>
      <c r="TWI167" s="21"/>
      <c r="TWJ167" s="20"/>
      <c r="TWK167" s="20"/>
      <c r="TWL167" s="20"/>
      <c r="TWM167" s="21"/>
      <c r="TWN167" s="21"/>
      <c r="TWO167" s="21"/>
      <c r="TWP167" s="21"/>
      <c r="TWQ167" s="21"/>
      <c r="TWR167" s="20"/>
      <c r="TWS167" s="20"/>
      <c r="TWT167" s="20"/>
      <c r="TWU167" s="20"/>
      <c r="TWV167" s="21"/>
      <c r="TWW167" s="21"/>
      <c r="TWX167" s="7"/>
      <c r="TWY167" s="7"/>
      <c r="TWZ167" s="21"/>
      <c r="TXA167" s="20"/>
      <c r="TXB167" s="20"/>
      <c r="TXC167" s="20"/>
      <c r="TXD167" s="21"/>
      <c r="TXE167" s="21"/>
      <c r="TXF167" s="21"/>
      <c r="TXG167" s="21"/>
      <c r="TXH167" s="21"/>
      <c r="TXI167" s="20"/>
      <c r="TXJ167" s="20"/>
      <c r="TXK167" s="20"/>
      <c r="TXL167" s="20"/>
      <c r="TXM167" s="21"/>
      <c r="TXN167" s="21"/>
      <c r="TXO167" s="7"/>
      <c r="TXP167" s="7"/>
      <c r="TXQ167" s="21"/>
      <c r="TXR167" s="20"/>
      <c r="TXS167" s="20"/>
      <c r="TXT167" s="20"/>
      <c r="TXU167" s="21"/>
      <c r="TXV167" s="21"/>
      <c r="TXW167" s="21"/>
      <c r="TXX167" s="21"/>
      <c r="TXY167" s="21"/>
      <c r="TXZ167" s="20"/>
      <c r="TYA167" s="20"/>
      <c r="TYB167" s="20"/>
      <c r="TYC167" s="20"/>
      <c r="TYD167" s="21"/>
      <c r="TYE167" s="21"/>
      <c r="TYF167" s="7"/>
      <c r="TYG167" s="7"/>
      <c r="TYH167" s="21"/>
      <c r="TYI167" s="20"/>
      <c r="TYJ167" s="20"/>
      <c r="TYK167" s="20"/>
      <c r="TYL167" s="21"/>
      <c r="TYM167" s="21"/>
      <c r="TYN167" s="21"/>
      <c r="TYO167" s="21"/>
      <c r="TYP167" s="21"/>
      <c r="TYQ167" s="20"/>
      <c r="TYR167" s="20"/>
      <c r="TYS167" s="20"/>
      <c r="TYT167" s="20"/>
      <c r="TYU167" s="21"/>
      <c r="TYV167" s="21"/>
      <c r="TYW167" s="7"/>
      <c r="TYX167" s="7"/>
      <c r="TYY167" s="21"/>
      <c r="TYZ167" s="20"/>
      <c r="TZA167" s="20"/>
      <c r="TZB167" s="20"/>
      <c r="TZC167" s="21"/>
      <c r="TZD167" s="21"/>
      <c r="TZE167" s="21"/>
      <c r="TZF167" s="21"/>
      <c r="TZG167" s="21"/>
      <c r="TZH167" s="20"/>
      <c r="TZI167" s="20"/>
      <c r="TZJ167" s="20"/>
      <c r="TZK167" s="20"/>
      <c r="TZL167" s="21"/>
      <c r="TZM167" s="21"/>
      <c r="TZN167" s="7"/>
      <c r="TZO167" s="7"/>
      <c r="TZP167" s="21"/>
      <c r="TZQ167" s="20"/>
      <c r="TZR167" s="20"/>
      <c r="TZS167" s="20"/>
      <c r="TZT167" s="21"/>
      <c r="TZU167" s="21"/>
      <c r="TZV167" s="21"/>
      <c r="TZW167" s="21"/>
      <c r="TZX167" s="21"/>
      <c r="TZY167" s="20"/>
      <c r="TZZ167" s="20"/>
      <c r="UAA167" s="20"/>
      <c r="UAB167" s="20"/>
      <c r="UAC167" s="21"/>
      <c r="UAD167" s="21"/>
      <c r="UAE167" s="7"/>
      <c r="UAF167" s="7"/>
      <c r="UAG167" s="21"/>
      <c r="UAH167" s="20"/>
      <c r="UAI167" s="20"/>
      <c r="UAJ167" s="20"/>
      <c r="UAK167" s="21"/>
      <c r="UAL167" s="21"/>
      <c r="UAM167" s="21"/>
      <c r="UAN167" s="21"/>
      <c r="UAO167" s="21"/>
      <c r="UAP167" s="20"/>
      <c r="UAQ167" s="20"/>
      <c r="UAR167" s="20"/>
      <c r="UAS167" s="20"/>
      <c r="UAT167" s="21"/>
      <c r="UAU167" s="21"/>
      <c r="UAV167" s="7"/>
      <c r="UAW167" s="7"/>
      <c r="UAX167" s="21"/>
      <c r="UAY167" s="20"/>
      <c r="UAZ167" s="20"/>
      <c r="UBA167" s="20"/>
      <c r="UBB167" s="21"/>
      <c r="UBC167" s="21"/>
      <c r="UBD167" s="21"/>
      <c r="UBE167" s="21"/>
      <c r="UBF167" s="21"/>
      <c r="UBG167" s="20"/>
      <c r="UBH167" s="20"/>
      <c r="UBI167" s="20"/>
      <c r="UBJ167" s="20"/>
      <c r="UBK167" s="21"/>
      <c r="UBL167" s="21"/>
      <c r="UBM167" s="7"/>
      <c r="UBN167" s="7"/>
      <c r="UBO167" s="21"/>
      <c r="UBP167" s="20"/>
      <c r="UBQ167" s="20"/>
      <c r="UBR167" s="20"/>
      <c r="UBS167" s="21"/>
      <c r="UBT167" s="21"/>
      <c r="UBU167" s="21"/>
      <c r="UBV167" s="21"/>
      <c r="UBW167" s="21"/>
      <c r="UBX167" s="20"/>
      <c r="UBY167" s="20"/>
      <c r="UBZ167" s="20"/>
      <c r="UCA167" s="20"/>
      <c r="UCB167" s="21"/>
      <c r="UCC167" s="21"/>
      <c r="UCD167" s="7"/>
      <c r="UCE167" s="7"/>
      <c r="UCF167" s="21"/>
      <c r="UCG167" s="20"/>
      <c r="UCH167" s="20"/>
      <c r="UCI167" s="20"/>
      <c r="UCJ167" s="21"/>
      <c r="UCK167" s="21"/>
      <c r="UCL167" s="21"/>
      <c r="UCM167" s="21"/>
      <c r="UCN167" s="21"/>
      <c r="UCO167" s="20"/>
      <c r="UCP167" s="20"/>
      <c r="UCQ167" s="20"/>
      <c r="UCR167" s="20"/>
      <c r="UCS167" s="21"/>
      <c r="UCT167" s="21"/>
      <c r="UCU167" s="7"/>
      <c r="UCV167" s="7"/>
      <c r="UCW167" s="21"/>
      <c r="UCX167" s="20"/>
      <c r="UCY167" s="20"/>
      <c r="UCZ167" s="20"/>
      <c r="UDA167" s="21"/>
      <c r="UDB167" s="21"/>
      <c r="UDC167" s="21"/>
      <c r="UDD167" s="21"/>
      <c r="UDE167" s="21"/>
      <c r="UDF167" s="20"/>
      <c r="UDG167" s="20"/>
      <c r="UDH167" s="20"/>
      <c r="UDI167" s="20"/>
      <c r="UDJ167" s="21"/>
      <c r="UDK167" s="21"/>
      <c r="UDL167" s="7"/>
      <c r="UDM167" s="7"/>
      <c r="UDN167" s="21"/>
      <c r="UDO167" s="20"/>
      <c r="UDP167" s="20"/>
      <c r="UDQ167" s="20"/>
      <c r="UDR167" s="21"/>
      <c r="UDS167" s="21"/>
      <c r="UDT167" s="21"/>
      <c r="UDU167" s="21"/>
      <c r="UDV167" s="21"/>
      <c r="UDW167" s="20"/>
      <c r="UDX167" s="20"/>
      <c r="UDY167" s="20"/>
      <c r="UDZ167" s="20"/>
      <c r="UEA167" s="21"/>
      <c r="UEB167" s="21"/>
      <c r="UEC167" s="7"/>
      <c r="UED167" s="7"/>
      <c r="UEE167" s="21"/>
      <c r="UEF167" s="20"/>
      <c r="UEG167" s="20"/>
      <c r="UEH167" s="20"/>
      <c r="UEI167" s="21"/>
      <c r="UEJ167" s="21"/>
      <c r="UEK167" s="21"/>
      <c r="UEL167" s="21"/>
      <c r="UEM167" s="21"/>
      <c r="UEN167" s="20"/>
      <c r="UEO167" s="20"/>
      <c r="UEP167" s="20"/>
      <c r="UEQ167" s="20"/>
      <c r="UER167" s="21"/>
      <c r="UES167" s="21"/>
      <c r="UET167" s="7"/>
      <c r="UEU167" s="7"/>
      <c r="UEV167" s="21"/>
      <c r="UEW167" s="20"/>
      <c r="UEX167" s="20"/>
      <c r="UEY167" s="20"/>
      <c r="UEZ167" s="21"/>
      <c r="UFA167" s="21"/>
      <c r="UFB167" s="21"/>
      <c r="UFC167" s="21"/>
      <c r="UFD167" s="21"/>
      <c r="UFE167" s="20"/>
      <c r="UFF167" s="20"/>
      <c r="UFG167" s="20"/>
      <c r="UFH167" s="20"/>
      <c r="UFI167" s="21"/>
      <c r="UFJ167" s="21"/>
      <c r="UFK167" s="7"/>
      <c r="UFL167" s="7"/>
      <c r="UFM167" s="21"/>
      <c r="UFN167" s="20"/>
      <c r="UFO167" s="20"/>
      <c r="UFP167" s="20"/>
      <c r="UFQ167" s="21"/>
      <c r="UFR167" s="21"/>
      <c r="UFS167" s="21"/>
      <c r="UFT167" s="21"/>
      <c r="UFU167" s="21"/>
      <c r="UFV167" s="20"/>
      <c r="UFW167" s="20"/>
      <c r="UFX167" s="20"/>
      <c r="UFY167" s="20"/>
      <c r="UFZ167" s="21"/>
      <c r="UGA167" s="21"/>
      <c r="UGB167" s="7"/>
      <c r="UGC167" s="7"/>
      <c r="UGD167" s="21"/>
      <c r="UGE167" s="20"/>
      <c r="UGF167" s="20"/>
      <c r="UGG167" s="20"/>
      <c r="UGH167" s="21"/>
      <c r="UGI167" s="21"/>
      <c r="UGJ167" s="21"/>
      <c r="UGK167" s="21"/>
      <c r="UGL167" s="21"/>
      <c r="UGM167" s="20"/>
      <c r="UGN167" s="20"/>
      <c r="UGO167" s="20"/>
      <c r="UGP167" s="20"/>
      <c r="UGQ167" s="21"/>
      <c r="UGR167" s="21"/>
      <c r="UGS167" s="7"/>
      <c r="UGT167" s="7"/>
      <c r="UGU167" s="21"/>
      <c r="UGV167" s="20"/>
      <c r="UGW167" s="20"/>
      <c r="UGX167" s="20"/>
      <c r="UGY167" s="21"/>
      <c r="UGZ167" s="21"/>
      <c r="UHA167" s="21"/>
      <c r="UHB167" s="21"/>
      <c r="UHC167" s="21"/>
      <c r="UHD167" s="20"/>
      <c r="UHE167" s="20"/>
      <c r="UHF167" s="20"/>
      <c r="UHG167" s="20"/>
      <c r="UHH167" s="21"/>
      <c r="UHI167" s="21"/>
      <c r="UHJ167" s="7"/>
      <c r="UHK167" s="7"/>
      <c r="UHL167" s="21"/>
      <c r="UHM167" s="20"/>
      <c r="UHN167" s="20"/>
      <c r="UHO167" s="20"/>
      <c r="UHP167" s="21"/>
      <c r="UHQ167" s="21"/>
      <c r="UHR167" s="21"/>
      <c r="UHS167" s="21"/>
      <c r="UHT167" s="21"/>
      <c r="UHU167" s="20"/>
      <c r="UHV167" s="20"/>
      <c r="UHW167" s="20"/>
      <c r="UHX167" s="20"/>
      <c r="UHY167" s="21"/>
      <c r="UHZ167" s="21"/>
      <c r="UIA167" s="7"/>
      <c r="UIB167" s="7"/>
      <c r="UIC167" s="21"/>
      <c r="UID167" s="20"/>
      <c r="UIE167" s="20"/>
      <c r="UIF167" s="20"/>
      <c r="UIG167" s="21"/>
      <c r="UIH167" s="21"/>
      <c r="UII167" s="21"/>
      <c r="UIJ167" s="21"/>
      <c r="UIK167" s="21"/>
      <c r="UIL167" s="20"/>
      <c r="UIM167" s="20"/>
      <c r="UIN167" s="20"/>
      <c r="UIO167" s="20"/>
      <c r="UIP167" s="21"/>
      <c r="UIQ167" s="21"/>
      <c r="UIR167" s="7"/>
      <c r="UIS167" s="7"/>
      <c r="UIT167" s="21"/>
      <c r="UIU167" s="20"/>
      <c r="UIV167" s="20"/>
      <c r="UIW167" s="20"/>
      <c r="UIX167" s="21"/>
      <c r="UIY167" s="21"/>
      <c r="UIZ167" s="21"/>
      <c r="UJA167" s="21"/>
      <c r="UJB167" s="21"/>
      <c r="UJC167" s="20"/>
      <c r="UJD167" s="20"/>
      <c r="UJE167" s="20"/>
      <c r="UJF167" s="20"/>
      <c r="UJG167" s="21"/>
      <c r="UJH167" s="21"/>
      <c r="UJI167" s="7"/>
      <c r="UJJ167" s="7"/>
      <c r="UJK167" s="21"/>
      <c r="UJL167" s="20"/>
      <c r="UJM167" s="20"/>
      <c r="UJN167" s="20"/>
      <c r="UJO167" s="21"/>
      <c r="UJP167" s="21"/>
      <c r="UJQ167" s="21"/>
      <c r="UJR167" s="21"/>
      <c r="UJS167" s="21"/>
      <c r="UJT167" s="20"/>
      <c r="UJU167" s="20"/>
      <c r="UJV167" s="20"/>
      <c r="UJW167" s="20"/>
      <c r="UJX167" s="21"/>
      <c r="UJY167" s="21"/>
      <c r="UJZ167" s="7"/>
      <c r="UKA167" s="7"/>
      <c r="UKB167" s="21"/>
      <c r="UKC167" s="20"/>
      <c r="UKD167" s="20"/>
      <c r="UKE167" s="20"/>
      <c r="UKF167" s="21"/>
      <c r="UKG167" s="21"/>
      <c r="UKH167" s="21"/>
      <c r="UKI167" s="21"/>
      <c r="UKJ167" s="21"/>
      <c r="UKK167" s="20"/>
      <c r="UKL167" s="20"/>
      <c r="UKM167" s="20"/>
      <c r="UKN167" s="20"/>
      <c r="UKO167" s="21"/>
      <c r="UKP167" s="21"/>
      <c r="UKQ167" s="7"/>
      <c r="UKR167" s="7"/>
      <c r="UKS167" s="21"/>
      <c r="UKT167" s="20"/>
      <c r="UKU167" s="20"/>
      <c r="UKV167" s="20"/>
      <c r="UKW167" s="21"/>
      <c r="UKX167" s="21"/>
      <c r="UKY167" s="21"/>
      <c r="UKZ167" s="21"/>
      <c r="ULA167" s="21"/>
      <c r="ULB167" s="20"/>
      <c r="ULC167" s="20"/>
      <c r="ULD167" s="20"/>
      <c r="ULE167" s="20"/>
      <c r="ULF167" s="21"/>
      <c r="ULG167" s="21"/>
      <c r="ULH167" s="7"/>
      <c r="ULI167" s="7"/>
      <c r="ULJ167" s="21"/>
      <c r="ULK167" s="20"/>
      <c r="ULL167" s="20"/>
      <c r="ULM167" s="20"/>
      <c r="ULN167" s="21"/>
      <c r="ULO167" s="21"/>
      <c r="ULP167" s="21"/>
      <c r="ULQ167" s="21"/>
      <c r="ULR167" s="21"/>
      <c r="ULS167" s="20"/>
      <c r="ULT167" s="20"/>
      <c r="ULU167" s="20"/>
      <c r="ULV167" s="20"/>
      <c r="ULW167" s="21"/>
      <c r="ULX167" s="21"/>
      <c r="ULY167" s="7"/>
      <c r="ULZ167" s="7"/>
      <c r="UMA167" s="21"/>
      <c r="UMB167" s="20"/>
      <c r="UMC167" s="20"/>
      <c r="UMD167" s="20"/>
      <c r="UME167" s="21"/>
      <c r="UMF167" s="21"/>
      <c r="UMG167" s="21"/>
      <c r="UMH167" s="21"/>
      <c r="UMI167" s="21"/>
      <c r="UMJ167" s="20"/>
      <c r="UMK167" s="20"/>
      <c r="UML167" s="20"/>
      <c r="UMM167" s="20"/>
      <c r="UMN167" s="21"/>
      <c r="UMO167" s="21"/>
      <c r="UMP167" s="7"/>
      <c r="UMQ167" s="7"/>
      <c r="UMR167" s="21"/>
      <c r="UMS167" s="20"/>
      <c r="UMT167" s="20"/>
      <c r="UMU167" s="20"/>
      <c r="UMV167" s="21"/>
      <c r="UMW167" s="21"/>
      <c r="UMX167" s="21"/>
      <c r="UMY167" s="21"/>
      <c r="UMZ167" s="21"/>
      <c r="UNA167" s="20"/>
      <c r="UNB167" s="20"/>
      <c r="UNC167" s="20"/>
      <c r="UND167" s="20"/>
      <c r="UNE167" s="21"/>
      <c r="UNF167" s="21"/>
      <c r="UNG167" s="7"/>
      <c r="UNH167" s="7"/>
      <c r="UNI167" s="21"/>
      <c r="UNJ167" s="20"/>
      <c r="UNK167" s="20"/>
      <c r="UNL167" s="20"/>
      <c r="UNM167" s="21"/>
      <c r="UNN167" s="21"/>
      <c r="UNO167" s="21"/>
      <c r="UNP167" s="21"/>
      <c r="UNQ167" s="21"/>
      <c r="UNR167" s="20"/>
      <c r="UNS167" s="20"/>
      <c r="UNT167" s="20"/>
      <c r="UNU167" s="20"/>
      <c r="UNV167" s="21"/>
      <c r="UNW167" s="21"/>
      <c r="UNX167" s="7"/>
      <c r="UNY167" s="7"/>
      <c r="UNZ167" s="21"/>
      <c r="UOA167" s="20"/>
      <c r="UOB167" s="20"/>
      <c r="UOC167" s="20"/>
      <c r="UOD167" s="21"/>
      <c r="UOE167" s="21"/>
      <c r="UOF167" s="21"/>
      <c r="UOG167" s="21"/>
      <c r="UOH167" s="21"/>
      <c r="UOI167" s="20"/>
      <c r="UOJ167" s="20"/>
      <c r="UOK167" s="20"/>
      <c r="UOL167" s="20"/>
      <c r="UOM167" s="21"/>
      <c r="UON167" s="21"/>
      <c r="UOO167" s="7"/>
      <c r="UOP167" s="7"/>
      <c r="UOQ167" s="21"/>
      <c r="UOR167" s="20"/>
      <c r="UOS167" s="20"/>
      <c r="UOT167" s="20"/>
      <c r="UOU167" s="21"/>
      <c r="UOV167" s="21"/>
      <c r="UOW167" s="21"/>
      <c r="UOX167" s="21"/>
      <c r="UOY167" s="21"/>
      <c r="UOZ167" s="20"/>
      <c r="UPA167" s="20"/>
      <c r="UPB167" s="20"/>
      <c r="UPC167" s="20"/>
      <c r="UPD167" s="21"/>
      <c r="UPE167" s="21"/>
      <c r="UPF167" s="7"/>
      <c r="UPG167" s="7"/>
      <c r="UPH167" s="21"/>
      <c r="UPI167" s="20"/>
      <c r="UPJ167" s="20"/>
      <c r="UPK167" s="20"/>
      <c r="UPL167" s="21"/>
      <c r="UPM167" s="21"/>
      <c r="UPN167" s="21"/>
      <c r="UPO167" s="21"/>
      <c r="UPP167" s="21"/>
      <c r="UPQ167" s="20"/>
      <c r="UPR167" s="20"/>
      <c r="UPS167" s="20"/>
      <c r="UPT167" s="20"/>
      <c r="UPU167" s="21"/>
      <c r="UPV167" s="21"/>
      <c r="UPW167" s="7"/>
      <c r="UPX167" s="7"/>
      <c r="UPY167" s="21"/>
      <c r="UPZ167" s="20"/>
      <c r="UQA167" s="20"/>
      <c r="UQB167" s="20"/>
      <c r="UQC167" s="21"/>
      <c r="UQD167" s="21"/>
      <c r="UQE167" s="21"/>
      <c r="UQF167" s="21"/>
      <c r="UQG167" s="21"/>
      <c r="UQH167" s="20"/>
      <c r="UQI167" s="20"/>
      <c r="UQJ167" s="20"/>
      <c r="UQK167" s="20"/>
      <c r="UQL167" s="21"/>
      <c r="UQM167" s="21"/>
      <c r="UQN167" s="7"/>
      <c r="UQO167" s="7"/>
      <c r="UQP167" s="21"/>
      <c r="UQQ167" s="20"/>
      <c r="UQR167" s="20"/>
      <c r="UQS167" s="20"/>
      <c r="UQT167" s="21"/>
      <c r="UQU167" s="21"/>
      <c r="UQV167" s="21"/>
      <c r="UQW167" s="21"/>
      <c r="UQX167" s="21"/>
      <c r="UQY167" s="20"/>
      <c r="UQZ167" s="20"/>
      <c r="URA167" s="20"/>
      <c r="URB167" s="20"/>
      <c r="URC167" s="21"/>
      <c r="URD167" s="21"/>
      <c r="URE167" s="7"/>
      <c r="URF167" s="7"/>
      <c r="URG167" s="21"/>
      <c r="URH167" s="20"/>
      <c r="URI167" s="20"/>
      <c r="URJ167" s="20"/>
      <c r="URK167" s="21"/>
      <c r="URL167" s="21"/>
      <c r="URM167" s="21"/>
      <c r="URN167" s="21"/>
      <c r="URO167" s="21"/>
      <c r="URP167" s="20"/>
      <c r="URQ167" s="20"/>
      <c r="URR167" s="20"/>
      <c r="URS167" s="20"/>
      <c r="URT167" s="21"/>
      <c r="URU167" s="21"/>
      <c r="URV167" s="7"/>
      <c r="URW167" s="7"/>
      <c r="URX167" s="21"/>
      <c r="URY167" s="20"/>
      <c r="URZ167" s="20"/>
      <c r="USA167" s="20"/>
      <c r="USB167" s="21"/>
      <c r="USC167" s="21"/>
      <c r="USD167" s="21"/>
      <c r="USE167" s="21"/>
      <c r="USF167" s="21"/>
      <c r="USG167" s="20"/>
      <c r="USH167" s="20"/>
      <c r="USI167" s="20"/>
      <c r="USJ167" s="20"/>
      <c r="USK167" s="21"/>
      <c r="USL167" s="21"/>
      <c r="USM167" s="7"/>
      <c r="USN167" s="7"/>
      <c r="USO167" s="21"/>
      <c r="USP167" s="20"/>
      <c r="USQ167" s="20"/>
      <c r="USR167" s="20"/>
      <c r="USS167" s="21"/>
      <c r="UST167" s="21"/>
      <c r="USU167" s="21"/>
      <c r="USV167" s="21"/>
      <c r="USW167" s="21"/>
      <c r="USX167" s="20"/>
      <c r="USY167" s="20"/>
      <c r="USZ167" s="20"/>
      <c r="UTA167" s="20"/>
      <c r="UTB167" s="21"/>
      <c r="UTC167" s="21"/>
      <c r="UTD167" s="7"/>
      <c r="UTE167" s="7"/>
      <c r="UTF167" s="21"/>
      <c r="UTG167" s="20"/>
      <c r="UTH167" s="20"/>
      <c r="UTI167" s="20"/>
      <c r="UTJ167" s="21"/>
      <c r="UTK167" s="21"/>
      <c r="UTL167" s="21"/>
      <c r="UTM167" s="21"/>
      <c r="UTN167" s="21"/>
      <c r="UTO167" s="20"/>
      <c r="UTP167" s="20"/>
      <c r="UTQ167" s="20"/>
      <c r="UTR167" s="20"/>
      <c r="UTS167" s="21"/>
      <c r="UTT167" s="21"/>
      <c r="UTU167" s="7"/>
      <c r="UTV167" s="7"/>
      <c r="UTW167" s="21"/>
      <c r="UTX167" s="20"/>
      <c r="UTY167" s="20"/>
      <c r="UTZ167" s="20"/>
      <c r="UUA167" s="21"/>
      <c r="UUB167" s="21"/>
      <c r="UUC167" s="21"/>
      <c r="UUD167" s="21"/>
      <c r="UUE167" s="21"/>
      <c r="UUF167" s="20"/>
      <c r="UUG167" s="20"/>
      <c r="UUH167" s="20"/>
      <c r="UUI167" s="20"/>
      <c r="UUJ167" s="21"/>
      <c r="UUK167" s="21"/>
      <c r="UUL167" s="7"/>
      <c r="UUM167" s="7"/>
      <c r="UUN167" s="21"/>
      <c r="UUO167" s="20"/>
      <c r="UUP167" s="20"/>
      <c r="UUQ167" s="20"/>
      <c r="UUR167" s="21"/>
      <c r="UUS167" s="21"/>
      <c r="UUT167" s="21"/>
      <c r="UUU167" s="21"/>
      <c r="UUV167" s="21"/>
      <c r="UUW167" s="20"/>
      <c r="UUX167" s="20"/>
      <c r="UUY167" s="20"/>
      <c r="UUZ167" s="20"/>
      <c r="UVA167" s="21"/>
      <c r="UVB167" s="21"/>
      <c r="UVC167" s="7"/>
      <c r="UVD167" s="7"/>
      <c r="UVE167" s="21"/>
      <c r="UVF167" s="20"/>
      <c r="UVG167" s="20"/>
      <c r="UVH167" s="20"/>
      <c r="UVI167" s="21"/>
      <c r="UVJ167" s="21"/>
      <c r="UVK167" s="21"/>
      <c r="UVL167" s="21"/>
      <c r="UVM167" s="21"/>
      <c r="UVN167" s="20"/>
      <c r="UVO167" s="20"/>
      <c r="UVP167" s="20"/>
      <c r="UVQ167" s="20"/>
      <c r="UVR167" s="21"/>
      <c r="UVS167" s="21"/>
      <c r="UVT167" s="7"/>
      <c r="UVU167" s="7"/>
      <c r="UVV167" s="21"/>
      <c r="UVW167" s="20"/>
      <c r="UVX167" s="20"/>
      <c r="UVY167" s="20"/>
      <c r="UVZ167" s="21"/>
      <c r="UWA167" s="21"/>
      <c r="UWB167" s="21"/>
      <c r="UWC167" s="21"/>
      <c r="UWD167" s="21"/>
      <c r="UWE167" s="20"/>
      <c r="UWF167" s="20"/>
      <c r="UWG167" s="20"/>
      <c r="UWH167" s="20"/>
      <c r="UWI167" s="21"/>
      <c r="UWJ167" s="21"/>
      <c r="UWK167" s="7"/>
      <c r="UWL167" s="7"/>
      <c r="UWM167" s="21"/>
      <c r="UWN167" s="20"/>
      <c r="UWO167" s="20"/>
      <c r="UWP167" s="20"/>
      <c r="UWQ167" s="21"/>
      <c r="UWR167" s="21"/>
      <c r="UWS167" s="21"/>
      <c r="UWT167" s="21"/>
      <c r="UWU167" s="21"/>
      <c r="UWV167" s="20"/>
      <c r="UWW167" s="20"/>
      <c r="UWX167" s="20"/>
      <c r="UWY167" s="20"/>
      <c r="UWZ167" s="21"/>
      <c r="UXA167" s="21"/>
      <c r="UXB167" s="7"/>
      <c r="UXC167" s="7"/>
      <c r="UXD167" s="21"/>
      <c r="UXE167" s="20"/>
      <c r="UXF167" s="20"/>
      <c r="UXG167" s="20"/>
      <c r="UXH167" s="21"/>
      <c r="UXI167" s="21"/>
      <c r="UXJ167" s="21"/>
      <c r="UXK167" s="21"/>
      <c r="UXL167" s="21"/>
      <c r="UXM167" s="20"/>
      <c r="UXN167" s="20"/>
      <c r="UXO167" s="20"/>
      <c r="UXP167" s="20"/>
      <c r="UXQ167" s="21"/>
      <c r="UXR167" s="21"/>
      <c r="UXS167" s="7"/>
      <c r="UXT167" s="7"/>
      <c r="UXU167" s="21"/>
      <c r="UXV167" s="20"/>
      <c r="UXW167" s="20"/>
      <c r="UXX167" s="20"/>
      <c r="UXY167" s="21"/>
      <c r="UXZ167" s="21"/>
      <c r="UYA167" s="21"/>
      <c r="UYB167" s="21"/>
      <c r="UYC167" s="21"/>
      <c r="UYD167" s="20"/>
      <c r="UYE167" s="20"/>
      <c r="UYF167" s="20"/>
      <c r="UYG167" s="20"/>
      <c r="UYH167" s="21"/>
      <c r="UYI167" s="21"/>
      <c r="UYJ167" s="7"/>
      <c r="UYK167" s="7"/>
      <c r="UYL167" s="21"/>
      <c r="UYM167" s="20"/>
      <c r="UYN167" s="20"/>
      <c r="UYO167" s="20"/>
      <c r="UYP167" s="21"/>
      <c r="UYQ167" s="21"/>
      <c r="UYR167" s="21"/>
      <c r="UYS167" s="21"/>
      <c r="UYT167" s="21"/>
      <c r="UYU167" s="20"/>
      <c r="UYV167" s="20"/>
      <c r="UYW167" s="20"/>
      <c r="UYX167" s="20"/>
      <c r="UYY167" s="21"/>
      <c r="UYZ167" s="21"/>
      <c r="UZA167" s="7"/>
      <c r="UZB167" s="7"/>
      <c r="UZC167" s="21"/>
      <c r="UZD167" s="20"/>
      <c r="UZE167" s="20"/>
      <c r="UZF167" s="20"/>
      <c r="UZG167" s="21"/>
      <c r="UZH167" s="21"/>
      <c r="UZI167" s="21"/>
      <c r="UZJ167" s="21"/>
      <c r="UZK167" s="21"/>
      <c r="UZL167" s="20"/>
      <c r="UZM167" s="20"/>
      <c r="UZN167" s="20"/>
      <c r="UZO167" s="20"/>
      <c r="UZP167" s="21"/>
      <c r="UZQ167" s="21"/>
      <c r="UZR167" s="7"/>
      <c r="UZS167" s="7"/>
      <c r="UZT167" s="21"/>
      <c r="UZU167" s="20"/>
      <c r="UZV167" s="20"/>
      <c r="UZW167" s="20"/>
      <c r="UZX167" s="21"/>
      <c r="UZY167" s="21"/>
      <c r="UZZ167" s="21"/>
      <c r="VAA167" s="21"/>
      <c r="VAB167" s="21"/>
      <c r="VAC167" s="20"/>
      <c r="VAD167" s="20"/>
      <c r="VAE167" s="20"/>
      <c r="VAF167" s="20"/>
      <c r="VAG167" s="21"/>
      <c r="VAH167" s="21"/>
      <c r="VAI167" s="7"/>
      <c r="VAJ167" s="7"/>
      <c r="VAK167" s="21"/>
      <c r="VAL167" s="20"/>
      <c r="VAM167" s="20"/>
      <c r="VAN167" s="20"/>
      <c r="VAO167" s="21"/>
      <c r="VAP167" s="21"/>
      <c r="VAQ167" s="21"/>
      <c r="VAR167" s="21"/>
      <c r="VAS167" s="21"/>
      <c r="VAT167" s="20"/>
      <c r="VAU167" s="20"/>
      <c r="VAV167" s="20"/>
      <c r="VAW167" s="20"/>
      <c r="VAX167" s="21"/>
      <c r="VAY167" s="21"/>
      <c r="VAZ167" s="7"/>
      <c r="VBA167" s="7"/>
      <c r="VBB167" s="21"/>
      <c r="VBC167" s="20"/>
      <c r="VBD167" s="20"/>
      <c r="VBE167" s="20"/>
      <c r="VBF167" s="21"/>
      <c r="VBG167" s="21"/>
      <c r="VBH167" s="21"/>
      <c r="VBI167" s="21"/>
      <c r="VBJ167" s="21"/>
      <c r="VBK167" s="20"/>
      <c r="VBL167" s="20"/>
      <c r="VBM167" s="20"/>
      <c r="VBN167" s="20"/>
      <c r="VBO167" s="21"/>
      <c r="VBP167" s="21"/>
      <c r="VBQ167" s="7"/>
      <c r="VBR167" s="7"/>
      <c r="VBS167" s="21"/>
      <c r="VBT167" s="20"/>
      <c r="VBU167" s="20"/>
      <c r="VBV167" s="20"/>
      <c r="VBW167" s="21"/>
      <c r="VBX167" s="21"/>
      <c r="VBY167" s="21"/>
      <c r="VBZ167" s="21"/>
      <c r="VCA167" s="21"/>
      <c r="VCB167" s="20"/>
      <c r="VCC167" s="20"/>
      <c r="VCD167" s="20"/>
      <c r="VCE167" s="20"/>
      <c r="VCF167" s="21"/>
      <c r="VCG167" s="21"/>
      <c r="VCH167" s="7"/>
      <c r="VCI167" s="7"/>
      <c r="VCJ167" s="21"/>
      <c r="VCK167" s="20"/>
      <c r="VCL167" s="20"/>
      <c r="VCM167" s="20"/>
      <c r="VCN167" s="21"/>
      <c r="VCO167" s="21"/>
      <c r="VCP167" s="21"/>
      <c r="VCQ167" s="21"/>
      <c r="VCR167" s="21"/>
      <c r="VCS167" s="20"/>
      <c r="VCT167" s="20"/>
      <c r="VCU167" s="20"/>
      <c r="VCV167" s="20"/>
      <c r="VCW167" s="21"/>
      <c r="VCX167" s="21"/>
      <c r="VCY167" s="7"/>
      <c r="VCZ167" s="7"/>
      <c r="VDA167" s="21"/>
      <c r="VDB167" s="20"/>
      <c r="VDC167" s="20"/>
      <c r="VDD167" s="20"/>
      <c r="VDE167" s="21"/>
      <c r="VDF167" s="21"/>
      <c r="VDG167" s="21"/>
      <c r="VDH167" s="21"/>
      <c r="VDI167" s="21"/>
      <c r="VDJ167" s="20"/>
      <c r="VDK167" s="20"/>
      <c r="VDL167" s="20"/>
      <c r="VDM167" s="20"/>
      <c r="VDN167" s="21"/>
      <c r="VDO167" s="21"/>
      <c r="VDP167" s="7"/>
      <c r="VDQ167" s="7"/>
      <c r="VDR167" s="21"/>
      <c r="VDS167" s="20"/>
      <c r="VDT167" s="20"/>
      <c r="VDU167" s="20"/>
      <c r="VDV167" s="21"/>
      <c r="VDW167" s="21"/>
      <c r="VDX167" s="21"/>
      <c r="VDY167" s="21"/>
      <c r="VDZ167" s="21"/>
      <c r="VEA167" s="20"/>
      <c r="VEB167" s="20"/>
      <c r="VEC167" s="20"/>
      <c r="VED167" s="20"/>
      <c r="VEE167" s="21"/>
      <c r="VEF167" s="21"/>
      <c r="VEG167" s="7"/>
      <c r="VEH167" s="7"/>
      <c r="VEI167" s="21"/>
      <c r="VEJ167" s="20"/>
      <c r="VEK167" s="20"/>
      <c r="VEL167" s="20"/>
      <c r="VEM167" s="21"/>
      <c r="VEN167" s="21"/>
      <c r="VEO167" s="21"/>
      <c r="VEP167" s="21"/>
      <c r="VEQ167" s="21"/>
      <c r="VER167" s="20"/>
      <c r="VES167" s="20"/>
      <c r="VET167" s="20"/>
      <c r="VEU167" s="20"/>
      <c r="VEV167" s="21"/>
      <c r="VEW167" s="21"/>
      <c r="VEX167" s="7"/>
      <c r="VEY167" s="7"/>
      <c r="VEZ167" s="21"/>
      <c r="VFA167" s="20"/>
      <c r="VFB167" s="20"/>
      <c r="VFC167" s="20"/>
      <c r="VFD167" s="21"/>
      <c r="VFE167" s="21"/>
      <c r="VFF167" s="21"/>
      <c r="VFG167" s="21"/>
      <c r="VFH167" s="21"/>
      <c r="VFI167" s="20"/>
      <c r="VFJ167" s="20"/>
      <c r="VFK167" s="20"/>
      <c r="VFL167" s="20"/>
      <c r="VFM167" s="21"/>
      <c r="VFN167" s="21"/>
      <c r="VFO167" s="7"/>
      <c r="VFP167" s="7"/>
      <c r="VFQ167" s="21"/>
      <c r="VFR167" s="20"/>
      <c r="VFS167" s="20"/>
      <c r="VFT167" s="20"/>
      <c r="VFU167" s="21"/>
      <c r="VFV167" s="21"/>
      <c r="VFW167" s="21"/>
      <c r="VFX167" s="21"/>
      <c r="VFY167" s="21"/>
      <c r="VFZ167" s="20"/>
      <c r="VGA167" s="20"/>
      <c r="VGB167" s="20"/>
      <c r="VGC167" s="20"/>
      <c r="VGD167" s="21"/>
      <c r="VGE167" s="21"/>
      <c r="VGF167" s="7"/>
      <c r="VGG167" s="7"/>
      <c r="VGH167" s="21"/>
      <c r="VGI167" s="20"/>
      <c r="VGJ167" s="20"/>
      <c r="VGK167" s="20"/>
      <c r="VGL167" s="21"/>
      <c r="VGM167" s="21"/>
      <c r="VGN167" s="21"/>
      <c r="VGO167" s="21"/>
      <c r="VGP167" s="21"/>
      <c r="VGQ167" s="20"/>
      <c r="VGR167" s="20"/>
      <c r="VGS167" s="20"/>
      <c r="VGT167" s="20"/>
      <c r="VGU167" s="21"/>
      <c r="VGV167" s="21"/>
      <c r="VGW167" s="7"/>
      <c r="VGX167" s="7"/>
      <c r="VGY167" s="21"/>
      <c r="VGZ167" s="20"/>
      <c r="VHA167" s="20"/>
      <c r="VHB167" s="20"/>
      <c r="VHC167" s="21"/>
      <c r="VHD167" s="21"/>
      <c r="VHE167" s="21"/>
      <c r="VHF167" s="21"/>
      <c r="VHG167" s="21"/>
      <c r="VHH167" s="20"/>
      <c r="VHI167" s="20"/>
      <c r="VHJ167" s="20"/>
      <c r="VHK167" s="20"/>
      <c r="VHL167" s="21"/>
      <c r="VHM167" s="21"/>
      <c r="VHN167" s="7"/>
      <c r="VHO167" s="7"/>
      <c r="VHP167" s="21"/>
      <c r="VHQ167" s="20"/>
      <c r="VHR167" s="20"/>
      <c r="VHS167" s="20"/>
      <c r="VHT167" s="21"/>
      <c r="VHU167" s="21"/>
      <c r="VHV167" s="21"/>
      <c r="VHW167" s="21"/>
      <c r="VHX167" s="21"/>
      <c r="VHY167" s="20"/>
      <c r="VHZ167" s="20"/>
      <c r="VIA167" s="20"/>
      <c r="VIB167" s="20"/>
      <c r="VIC167" s="21"/>
      <c r="VID167" s="21"/>
      <c r="VIE167" s="7"/>
      <c r="VIF167" s="7"/>
      <c r="VIG167" s="21"/>
      <c r="VIH167" s="20"/>
      <c r="VII167" s="20"/>
      <c r="VIJ167" s="20"/>
      <c r="VIK167" s="21"/>
      <c r="VIL167" s="21"/>
      <c r="VIM167" s="21"/>
      <c r="VIN167" s="21"/>
      <c r="VIO167" s="21"/>
      <c r="VIP167" s="20"/>
      <c r="VIQ167" s="20"/>
      <c r="VIR167" s="20"/>
      <c r="VIS167" s="20"/>
      <c r="VIT167" s="21"/>
      <c r="VIU167" s="21"/>
      <c r="VIV167" s="7"/>
      <c r="VIW167" s="7"/>
      <c r="VIX167" s="21"/>
      <c r="VIY167" s="20"/>
      <c r="VIZ167" s="20"/>
      <c r="VJA167" s="20"/>
      <c r="VJB167" s="21"/>
      <c r="VJC167" s="21"/>
      <c r="VJD167" s="21"/>
      <c r="VJE167" s="21"/>
      <c r="VJF167" s="21"/>
      <c r="VJG167" s="20"/>
      <c r="VJH167" s="20"/>
      <c r="VJI167" s="20"/>
      <c r="VJJ167" s="20"/>
      <c r="VJK167" s="21"/>
      <c r="VJL167" s="21"/>
      <c r="VJM167" s="7"/>
      <c r="VJN167" s="7"/>
      <c r="VJO167" s="21"/>
      <c r="VJP167" s="20"/>
      <c r="VJQ167" s="20"/>
      <c r="VJR167" s="20"/>
      <c r="VJS167" s="21"/>
      <c r="VJT167" s="21"/>
      <c r="VJU167" s="21"/>
      <c r="VJV167" s="21"/>
      <c r="VJW167" s="21"/>
      <c r="VJX167" s="20"/>
      <c r="VJY167" s="20"/>
      <c r="VJZ167" s="20"/>
      <c r="VKA167" s="20"/>
      <c r="VKB167" s="21"/>
      <c r="VKC167" s="21"/>
      <c r="VKD167" s="7"/>
      <c r="VKE167" s="7"/>
      <c r="VKF167" s="21"/>
      <c r="VKG167" s="20"/>
      <c r="VKH167" s="20"/>
      <c r="VKI167" s="20"/>
      <c r="VKJ167" s="21"/>
      <c r="VKK167" s="21"/>
      <c r="VKL167" s="21"/>
      <c r="VKM167" s="21"/>
      <c r="VKN167" s="21"/>
      <c r="VKO167" s="20"/>
      <c r="VKP167" s="20"/>
      <c r="VKQ167" s="20"/>
      <c r="VKR167" s="20"/>
      <c r="VKS167" s="21"/>
      <c r="VKT167" s="21"/>
      <c r="VKU167" s="7"/>
      <c r="VKV167" s="7"/>
      <c r="VKW167" s="21"/>
      <c r="VKX167" s="20"/>
      <c r="VKY167" s="20"/>
      <c r="VKZ167" s="20"/>
      <c r="VLA167" s="21"/>
      <c r="VLB167" s="21"/>
      <c r="VLC167" s="21"/>
      <c r="VLD167" s="21"/>
      <c r="VLE167" s="21"/>
      <c r="VLF167" s="20"/>
      <c r="VLG167" s="20"/>
      <c r="VLH167" s="20"/>
      <c r="VLI167" s="20"/>
      <c r="VLJ167" s="21"/>
      <c r="VLK167" s="21"/>
      <c r="VLL167" s="7"/>
      <c r="VLM167" s="7"/>
      <c r="VLN167" s="21"/>
      <c r="VLO167" s="20"/>
      <c r="VLP167" s="20"/>
      <c r="VLQ167" s="20"/>
      <c r="VLR167" s="21"/>
      <c r="VLS167" s="21"/>
      <c r="VLT167" s="21"/>
      <c r="VLU167" s="21"/>
      <c r="VLV167" s="21"/>
      <c r="VLW167" s="20"/>
      <c r="VLX167" s="20"/>
      <c r="VLY167" s="20"/>
      <c r="VLZ167" s="20"/>
      <c r="VMA167" s="21"/>
      <c r="VMB167" s="21"/>
      <c r="VMC167" s="7"/>
      <c r="VMD167" s="7"/>
      <c r="VME167" s="21"/>
      <c r="VMF167" s="20"/>
      <c r="VMG167" s="20"/>
      <c r="VMH167" s="20"/>
      <c r="VMI167" s="21"/>
      <c r="VMJ167" s="21"/>
      <c r="VMK167" s="21"/>
      <c r="VML167" s="21"/>
      <c r="VMM167" s="21"/>
      <c r="VMN167" s="20"/>
      <c r="VMO167" s="20"/>
      <c r="VMP167" s="20"/>
      <c r="VMQ167" s="20"/>
      <c r="VMR167" s="21"/>
      <c r="VMS167" s="21"/>
      <c r="VMT167" s="7"/>
      <c r="VMU167" s="7"/>
      <c r="VMV167" s="21"/>
      <c r="VMW167" s="20"/>
      <c r="VMX167" s="20"/>
      <c r="VMY167" s="20"/>
      <c r="VMZ167" s="21"/>
      <c r="VNA167" s="21"/>
      <c r="VNB167" s="21"/>
      <c r="VNC167" s="21"/>
      <c r="VND167" s="21"/>
      <c r="VNE167" s="20"/>
      <c r="VNF167" s="20"/>
      <c r="VNG167" s="20"/>
      <c r="VNH167" s="20"/>
      <c r="VNI167" s="21"/>
      <c r="VNJ167" s="21"/>
      <c r="VNK167" s="7"/>
      <c r="VNL167" s="7"/>
      <c r="VNM167" s="21"/>
      <c r="VNN167" s="20"/>
      <c r="VNO167" s="20"/>
      <c r="VNP167" s="20"/>
      <c r="VNQ167" s="21"/>
      <c r="VNR167" s="21"/>
      <c r="VNS167" s="21"/>
      <c r="VNT167" s="21"/>
      <c r="VNU167" s="21"/>
      <c r="VNV167" s="20"/>
      <c r="VNW167" s="20"/>
      <c r="VNX167" s="20"/>
      <c r="VNY167" s="20"/>
      <c r="VNZ167" s="21"/>
      <c r="VOA167" s="21"/>
      <c r="VOB167" s="7"/>
      <c r="VOC167" s="7"/>
      <c r="VOD167" s="21"/>
      <c r="VOE167" s="20"/>
      <c r="VOF167" s="20"/>
      <c r="VOG167" s="20"/>
      <c r="VOH167" s="21"/>
      <c r="VOI167" s="21"/>
      <c r="VOJ167" s="21"/>
      <c r="VOK167" s="21"/>
      <c r="VOL167" s="21"/>
      <c r="VOM167" s="20"/>
      <c r="VON167" s="20"/>
      <c r="VOO167" s="20"/>
      <c r="VOP167" s="20"/>
      <c r="VOQ167" s="21"/>
      <c r="VOR167" s="21"/>
      <c r="VOS167" s="7"/>
      <c r="VOT167" s="7"/>
      <c r="VOU167" s="21"/>
      <c r="VOV167" s="20"/>
      <c r="VOW167" s="20"/>
      <c r="VOX167" s="20"/>
      <c r="VOY167" s="21"/>
      <c r="VOZ167" s="21"/>
      <c r="VPA167" s="21"/>
      <c r="VPB167" s="21"/>
      <c r="VPC167" s="21"/>
      <c r="VPD167" s="20"/>
      <c r="VPE167" s="20"/>
      <c r="VPF167" s="20"/>
      <c r="VPG167" s="20"/>
      <c r="VPH167" s="21"/>
      <c r="VPI167" s="21"/>
      <c r="VPJ167" s="7"/>
      <c r="VPK167" s="7"/>
      <c r="VPL167" s="21"/>
      <c r="VPM167" s="20"/>
      <c r="VPN167" s="20"/>
      <c r="VPO167" s="20"/>
      <c r="VPP167" s="21"/>
      <c r="VPQ167" s="21"/>
      <c r="VPR167" s="21"/>
      <c r="VPS167" s="21"/>
      <c r="VPT167" s="21"/>
      <c r="VPU167" s="20"/>
      <c r="VPV167" s="20"/>
      <c r="VPW167" s="20"/>
      <c r="VPX167" s="20"/>
      <c r="VPY167" s="21"/>
      <c r="VPZ167" s="21"/>
      <c r="VQA167" s="7"/>
      <c r="VQB167" s="7"/>
      <c r="VQC167" s="21"/>
      <c r="VQD167" s="20"/>
      <c r="VQE167" s="20"/>
      <c r="VQF167" s="20"/>
      <c r="VQG167" s="21"/>
      <c r="VQH167" s="21"/>
      <c r="VQI167" s="21"/>
      <c r="VQJ167" s="21"/>
      <c r="VQK167" s="21"/>
      <c r="VQL167" s="20"/>
      <c r="VQM167" s="20"/>
      <c r="VQN167" s="20"/>
      <c r="VQO167" s="20"/>
      <c r="VQP167" s="21"/>
      <c r="VQQ167" s="21"/>
      <c r="VQR167" s="7"/>
      <c r="VQS167" s="7"/>
      <c r="VQT167" s="21"/>
      <c r="VQU167" s="20"/>
      <c r="VQV167" s="20"/>
      <c r="VQW167" s="20"/>
      <c r="VQX167" s="21"/>
      <c r="VQY167" s="21"/>
      <c r="VQZ167" s="21"/>
      <c r="VRA167" s="21"/>
      <c r="VRB167" s="21"/>
      <c r="VRC167" s="20"/>
      <c r="VRD167" s="20"/>
      <c r="VRE167" s="20"/>
      <c r="VRF167" s="20"/>
      <c r="VRG167" s="21"/>
      <c r="VRH167" s="21"/>
      <c r="VRI167" s="7"/>
      <c r="VRJ167" s="7"/>
      <c r="VRK167" s="21"/>
      <c r="VRL167" s="20"/>
      <c r="VRM167" s="20"/>
      <c r="VRN167" s="20"/>
      <c r="VRO167" s="21"/>
      <c r="VRP167" s="21"/>
      <c r="VRQ167" s="21"/>
      <c r="VRR167" s="21"/>
      <c r="VRS167" s="21"/>
      <c r="VRT167" s="20"/>
      <c r="VRU167" s="20"/>
      <c r="VRV167" s="20"/>
      <c r="VRW167" s="20"/>
      <c r="VRX167" s="21"/>
      <c r="VRY167" s="21"/>
      <c r="VRZ167" s="7"/>
      <c r="VSA167" s="7"/>
      <c r="VSB167" s="21"/>
      <c r="VSC167" s="20"/>
      <c r="VSD167" s="20"/>
      <c r="VSE167" s="20"/>
      <c r="VSF167" s="21"/>
      <c r="VSG167" s="21"/>
      <c r="VSH167" s="21"/>
      <c r="VSI167" s="21"/>
      <c r="VSJ167" s="21"/>
      <c r="VSK167" s="20"/>
      <c r="VSL167" s="20"/>
      <c r="VSM167" s="20"/>
      <c r="VSN167" s="20"/>
      <c r="VSO167" s="21"/>
      <c r="VSP167" s="21"/>
      <c r="VSQ167" s="7"/>
      <c r="VSR167" s="7"/>
      <c r="VSS167" s="21"/>
      <c r="VST167" s="20"/>
      <c r="VSU167" s="20"/>
      <c r="VSV167" s="20"/>
      <c r="VSW167" s="21"/>
      <c r="VSX167" s="21"/>
      <c r="VSY167" s="21"/>
      <c r="VSZ167" s="21"/>
      <c r="VTA167" s="21"/>
      <c r="VTB167" s="20"/>
      <c r="VTC167" s="20"/>
      <c r="VTD167" s="20"/>
      <c r="VTE167" s="20"/>
      <c r="VTF167" s="21"/>
      <c r="VTG167" s="21"/>
      <c r="VTH167" s="7"/>
      <c r="VTI167" s="7"/>
      <c r="VTJ167" s="21"/>
      <c r="VTK167" s="20"/>
      <c r="VTL167" s="20"/>
      <c r="VTM167" s="20"/>
      <c r="VTN167" s="21"/>
      <c r="VTO167" s="21"/>
      <c r="VTP167" s="21"/>
      <c r="VTQ167" s="21"/>
      <c r="VTR167" s="21"/>
      <c r="VTS167" s="20"/>
      <c r="VTT167" s="20"/>
      <c r="VTU167" s="20"/>
      <c r="VTV167" s="20"/>
      <c r="VTW167" s="21"/>
      <c r="VTX167" s="21"/>
      <c r="VTY167" s="7"/>
      <c r="VTZ167" s="7"/>
      <c r="VUA167" s="21"/>
      <c r="VUB167" s="20"/>
      <c r="VUC167" s="20"/>
      <c r="VUD167" s="20"/>
      <c r="VUE167" s="21"/>
      <c r="VUF167" s="21"/>
      <c r="VUG167" s="21"/>
      <c r="VUH167" s="21"/>
      <c r="VUI167" s="21"/>
      <c r="VUJ167" s="20"/>
      <c r="VUK167" s="20"/>
      <c r="VUL167" s="20"/>
      <c r="VUM167" s="20"/>
      <c r="VUN167" s="21"/>
      <c r="VUO167" s="21"/>
      <c r="VUP167" s="7"/>
      <c r="VUQ167" s="7"/>
      <c r="VUR167" s="21"/>
      <c r="VUS167" s="20"/>
      <c r="VUT167" s="20"/>
      <c r="VUU167" s="20"/>
      <c r="VUV167" s="21"/>
      <c r="VUW167" s="21"/>
      <c r="VUX167" s="21"/>
      <c r="VUY167" s="21"/>
      <c r="VUZ167" s="21"/>
      <c r="VVA167" s="20"/>
      <c r="VVB167" s="20"/>
      <c r="VVC167" s="20"/>
      <c r="VVD167" s="20"/>
      <c r="VVE167" s="21"/>
      <c r="VVF167" s="21"/>
      <c r="VVG167" s="7"/>
      <c r="VVH167" s="7"/>
      <c r="VVI167" s="21"/>
      <c r="VVJ167" s="20"/>
      <c r="VVK167" s="20"/>
      <c r="VVL167" s="20"/>
      <c r="VVM167" s="21"/>
      <c r="VVN167" s="21"/>
      <c r="VVO167" s="21"/>
      <c r="VVP167" s="21"/>
      <c r="VVQ167" s="21"/>
      <c r="VVR167" s="20"/>
      <c r="VVS167" s="20"/>
      <c r="VVT167" s="20"/>
      <c r="VVU167" s="20"/>
      <c r="VVV167" s="21"/>
      <c r="VVW167" s="21"/>
      <c r="VVX167" s="7"/>
      <c r="VVY167" s="7"/>
      <c r="VVZ167" s="21"/>
      <c r="VWA167" s="20"/>
      <c r="VWB167" s="20"/>
      <c r="VWC167" s="20"/>
      <c r="VWD167" s="21"/>
      <c r="VWE167" s="21"/>
      <c r="VWF167" s="21"/>
      <c r="VWG167" s="21"/>
      <c r="VWH167" s="21"/>
      <c r="VWI167" s="20"/>
      <c r="VWJ167" s="20"/>
      <c r="VWK167" s="20"/>
      <c r="VWL167" s="20"/>
      <c r="VWM167" s="21"/>
      <c r="VWN167" s="21"/>
      <c r="VWO167" s="7"/>
      <c r="VWP167" s="7"/>
      <c r="VWQ167" s="21"/>
      <c r="VWR167" s="20"/>
      <c r="VWS167" s="20"/>
      <c r="VWT167" s="20"/>
      <c r="VWU167" s="21"/>
      <c r="VWV167" s="21"/>
      <c r="VWW167" s="21"/>
      <c r="VWX167" s="21"/>
      <c r="VWY167" s="21"/>
      <c r="VWZ167" s="20"/>
      <c r="VXA167" s="20"/>
      <c r="VXB167" s="20"/>
      <c r="VXC167" s="20"/>
      <c r="VXD167" s="21"/>
      <c r="VXE167" s="21"/>
      <c r="VXF167" s="7"/>
      <c r="VXG167" s="7"/>
      <c r="VXH167" s="21"/>
      <c r="VXI167" s="20"/>
      <c r="VXJ167" s="20"/>
      <c r="VXK167" s="20"/>
      <c r="VXL167" s="21"/>
      <c r="VXM167" s="21"/>
      <c r="VXN167" s="21"/>
      <c r="VXO167" s="21"/>
      <c r="VXP167" s="21"/>
      <c r="VXQ167" s="20"/>
      <c r="VXR167" s="20"/>
      <c r="VXS167" s="20"/>
      <c r="VXT167" s="20"/>
      <c r="VXU167" s="21"/>
      <c r="VXV167" s="21"/>
      <c r="VXW167" s="7"/>
      <c r="VXX167" s="7"/>
      <c r="VXY167" s="21"/>
      <c r="VXZ167" s="20"/>
      <c r="VYA167" s="20"/>
      <c r="VYB167" s="20"/>
      <c r="VYC167" s="21"/>
      <c r="VYD167" s="21"/>
      <c r="VYE167" s="21"/>
      <c r="VYF167" s="21"/>
      <c r="VYG167" s="21"/>
      <c r="VYH167" s="20"/>
      <c r="VYI167" s="20"/>
      <c r="VYJ167" s="20"/>
      <c r="VYK167" s="20"/>
      <c r="VYL167" s="21"/>
      <c r="VYM167" s="21"/>
      <c r="VYN167" s="7"/>
      <c r="VYO167" s="7"/>
      <c r="VYP167" s="21"/>
      <c r="VYQ167" s="20"/>
      <c r="VYR167" s="20"/>
      <c r="VYS167" s="20"/>
      <c r="VYT167" s="21"/>
      <c r="VYU167" s="21"/>
      <c r="VYV167" s="21"/>
      <c r="VYW167" s="21"/>
      <c r="VYX167" s="21"/>
      <c r="VYY167" s="20"/>
      <c r="VYZ167" s="20"/>
      <c r="VZA167" s="20"/>
      <c r="VZB167" s="20"/>
      <c r="VZC167" s="21"/>
      <c r="VZD167" s="21"/>
      <c r="VZE167" s="7"/>
      <c r="VZF167" s="7"/>
      <c r="VZG167" s="21"/>
      <c r="VZH167" s="20"/>
      <c r="VZI167" s="20"/>
      <c r="VZJ167" s="20"/>
      <c r="VZK167" s="21"/>
      <c r="VZL167" s="21"/>
      <c r="VZM167" s="21"/>
      <c r="VZN167" s="21"/>
      <c r="VZO167" s="21"/>
      <c r="VZP167" s="20"/>
      <c r="VZQ167" s="20"/>
      <c r="VZR167" s="20"/>
      <c r="VZS167" s="20"/>
      <c r="VZT167" s="21"/>
      <c r="VZU167" s="21"/>
      <c r="VZV167" s="7"/>
      <c r="VZW167" s="7"/>
      <c r="VZX167" s="21"/>
      <c r="VZY167" s="20"/>
      <c r="VZZ167" s="20"/>
      <c r="WAA167" s="20"/>
      <c r="WAB167" s="21"/>
      <c r="WAC167" s="21"/>
      <c r="WAD167" s="21"/>
      <c r="WAE167" s="21"/>
      <c r="WAF167" s="21"/>
      <c r="WAG167" s="20"/>
      <c r="WAH167" s="20"/>
      <c r="WAI167" s="20"/>
      <c r="WAJ167" s="20"/>
      <c r="WAK167" s="21"/>
      <c r="WAL167" s="21"/>
      <c r="WAM167" s="7"/>
      <c r="WAN167" s="7"/>
      <c r="WAO167" s="21"/>
      <c r="WAP167" s="20"/>
      <c r="WAQ167" s="20"/>
      <c r="WAR167" s="20"/>
      <c r="WAS167" s="21"/>
      <c r="WAT167" s="21"/>
      <c r="WAU167" s="21"/>
      <c r="WAV167" s="21"/>
      <c r="WAW167" s="21"/>
      <c r="WAX167" s="20"/>
      <c r="WAY167" s="20"/>
      <c r="WAZ167" s="20"/>
      <c r="WBA167" s="20"/>
      <c r="WBB167" s="21"/>
      <c r="WBC167" s="21"/>
      <c r="WBD167" s="7"/>
      <c r="WBE167" s="7"/>
      <c r="WBF167" s="21"/>
      <c r="WBG167" s="20"/>
      <c r="WBH167" s="20"/>
      <c r="WBI167" s="20"/>
      <c r="WBJ167" s="21"/>
      <c r="WBK167" s="21"/>
      <c r="WBL167" s="21"/>
      <c r="WBM167" s="21"/>
      <c r="WBN167" s="21"/>
      <c r="WBO167" s="20"/>
      <c r="WBP167" s="20"/>
      <c r="WBQ167" s="20"/>
      <c r="WBR167" s="20"/>
      <c r="WBS167" s="21"/>
      <c r="WBT167" s="21"/>
      <c r="WBU167" s="7"/>
      <c r="WBV167" s="7"/>
      <c r="WBW167" s="21"/>
      <c r="WBX167" s="20"/>
      <c r="WBY167" s="20"/>
      <c r="WBZ167" s="20"/>
      <c r="WCA167" s="21"/>
      <c r="WCB167" s="21"/>
      <c r="WCC167" s="21"/>
      <c r="WCD167" s="21"/>
      <c r="WCE167" s="21"/>
      <c r="WCF167" s="20"/>
      <c r="WCG167" s="20"/>
      <c r="WCH167" s="20"/>
      <c r="WCI167" s="20"/>
      <c r="WCJ167" s="21"/>
      <c r="WCK167" s="21"/>
      <c r="WCL167" s="7"/>
      <c r="WCM167" s="7"/>
      <c r="WCN167" s="21"/>
      <c r="WCO167" s="20"/>
      <c r="WCP167" s="20"/>
      <c r="WCQ167" s="20"/>
      <c r="WCR167" s="21"/>
      <c r="WCS167" s="21"/>
      <c r="WCT167" s="21"/>
      <c r="WCU167" s="21"/>
      <c r="WCV167" s="21"/>
      <c r="WCW167" s="20"/>
      <c r="WCX167" s="20"/>
      <c r="WCY167" s="20"/>
      <c r="WCZ167" s="20"/>
      <c r="WDA167" s="21"/>
      <c r="WDB167" s="21"/>
      <c r="WDC167" s="7"/>
      <c r="WDD167" s="7"/>
      <c r="WDE167" s="21"/>
      <c r="WDF167" s="20"/>
      <c r="WDG167" s="20"/>
      <c r="WDH167" s="20"/>
      <c r="WDI167" s="21"/>
      <c r="WDJ167" s="21"/>
      <c r="WDK167" s="21"/>
      <c r="WDL167" s="21"/>
      <c r="WDM167" s="21"/>
      <c r="WDN167" s="20"/>
      <c r="WDO167" s="20"/>
      <c r="WDP167" s="20"/>
      <c r="WDQ167" s="20"/>
      <c r="WDR167" s="21"/>
      <c r="WDS167" s="21"/>
      <c r="WDT167" s="7"/>
      <c r="WDU167" s="7"/>
      <c r="WDV167" s="21"/>
      <c r="WDW167" s="20"/>
      <c r="WDX167" s="20"/>
      <c r="WDY167" s="20"/>
      <c r="WDZ167" s="21"/>
      <c r="WEA167" s="21"/>
      <c r="WEB167" s="21"/>
      <c r="WEC167" s="21"/>
      <c r="WED167" s="21"/>
      <c r="WEE167" s="20"/>
      <c r="WEF167" s="20"/>
      <c r="WEG167" s="20"/>
      <c r="WEH167" s="20"/>
      <c r="WEI167" s="21"/>
      <c r="WEJ167" s="21"/>
      <c r="WEK167" s="7"/>
      <c r="WEL167" s="7"/>
      <c r="WEM167" s="21"/>
      <c r="WEN167" s="20"/>
      <c r="WEO167" s="20"/>
      <c r="WEP167" s="20"/>
      <c r="WEQ167" s="21"/>
      <c r="WER167" s="21"/>
      <c r="WES167" s="21"/>
      <c r="WET167" s="21"/>
      <c r="WEU167" s="21"/>
      <c r="WEV167" s="20"/>
      <c r="WEW167" s="20"/>
      <c r="WEX167" s="20"/>
      <c r="WEY167" s="20"/>
      <c r="WEZ167" s="21"/>
      <c r="WFA167" s="21"/>
      <c r="WFB167" s="7"/>
      <c r="WFC167" s="7"/>
      <c r="WFD167" s="21"/>
      <c r="WFE167" s="20"/>
      <c r="WFF167" s="20"/>
      <c r="WFG167" s="20"/>
      <c r="WFH167" s="21"/>
      <c r="WFI167" s="21"/>
      <c r="WFJ167" s="21"/>
      <c r="WFK167" s="21"/>
      <c r="WFL167" s="21"/>
      <c r="WFM167" s="20"/>
      <c r="WFN167" s="20"/>
      <c r="WFO167" s="20"/>
      <c r="WFP167" s="20"/>
      <c r="WFQ167" s="21"/>
      <c r="WFR167" s="21"/>
      <c r="WFS167" s="7"/>
      <c r="WFT167" s="7"/>
      <c r="WFU167" s="21"/>
      <c r="WFV167" s="20"/>
      <c r="WFW167" s="20"/>
      <c r="WFX167" s="20"/>
      <c r="WFY167" s="21"/>
      <c r="WFZ167" s="21"/>
      <c r="WGA167" s="21"/>
      <c r="WGB167" s="21"/>
      <c r="WGC167" s="21"/>
      <c r="WGD167" s="20"/>
      <c r="WGE167" s="20"/>
      <c r="WGF167" s="20"/>
      <c r="WGG167" s="20"/>
      <c r="WGH167" s="21"/>
      <c r="WGI167" s="21"/>
      <c r="WGJ167" s="7"/>
      <c r="WGK167" s="7"/>
      <c r="WGL167" s="21"/>
      <c r="WGM167" s="20"/>
      <c r="WGN167" s="20"/>
      <c r="WGO167" s="20"/>
      <c r="WGP167" s="21"/>
      <c r="WGQ167" s="21"/>
      <c r="WGR167" s="21"/>
      <c r="WGS167" s="21"/>
      <c r="WGT167" s="21"/>
      <c r="WGU167" s="20"/>
      <c r="WGV167" s="20"/>
      <c r="WGW167" s="20"/>
      <c r="WGX167" s="20"/>
      <c r="WGY167" s="21"/>
      <c r="WGZ167" s="21"/>
      <c r="WHA167" s="7"/>
      <c r="WHB167" s="7"/>
      <c r="WHC167" s="21"/>
      <c r="WHD167" s="20"/>
      <c r="WHE167" s="20"/>
      <c r="WHF167" s="20"/>
      <c r="WHG167" s="21"/>
      <c r="WHH167" s="21"/>
      <c r="WHI167" s="21"/>
      <c r="WHJ167" s="21"/>
      <c r="WHK167" s="21"/>
      <c r="WHL167" s="20"/>
      <c r="WHM167" s="20"/>
      <c r="WHN167" s="20"/>
      <c r="WHO167" s="20"/>
      <c r="WHP167" s="21"/>
      <c r="WHQ167" s="21"/>
      <c r="WHR167" s="7"/>
      <c r="WHS167" s="7"/>
      <c r="WHT167" s="21"/>
      <c r="WHU167" s="20"/>
      <c r="WHV167" s="20"/>
      <c r="WHW167" s="20"/>
      <c r="WHX167" s="21"/>
      <c r="WHY167" s="21"/>
      <c r="WHZ167" s="21"/>
      <c r="WIA167" s="21"/>
      <c r="WIB167" s="21"/>
      <c r="WIC167" s="20"/>
      <c r="WID167" s="20"/>
      <c r="WIE167" s="20"/>
      <c r="WIF167" s="20"/>
      <c r="WIG167" s="21"/>
      <c r="WIH167" s="21"/>
      <c r="WII167" s="7"/>
      <c r="WIJ167" s="7"/>
      <c r="WIK167" s="21"/>
      <c r="WIL167" s="20"/>
      <c r="WIM167" s="20"/>
      <c r="WIN167" s="20"/>
      <c r="WIO167" s="21"/>
      <c r="WIP167" s="21"/>
      <c r="WIQ167" s="21"/>
      <c r="WIR167" s="21"/>
      <c r="WIS167" s="21"/>
      <c r="WIT167" s="20"/>
      <c r="WIU167" s="20"/>
      <c r="WIV167" s="20"/>
      <c r="WIW167" s="20"/>
      <c r="WIX167" s="21"/>
      <c r="WIY167" s="21"/>
      <c r="WIZ167" s="7"/>
      <c r="WJA167" s="7"/>
      <c r="WJB167" s="21"/>
      <c r="WJC167" s="20"/>
      <c r="WJD167" s="20"/>
      <c r="WJE167" s="20"/>
      <c r="WJF167" s="21"/>
      <c r="WJG167" s="21"/>
      <c r="WJH167" s="21"/>
      <c r="WJI167" s="21"/>
      <c r="WJJ167" s="21"/>
      <c r="WJK167" s="20"/>
      <c r="WJL167" s="20"/>
      <c r="WJM167" s="20"/>
      <c r="WJN167" s="20"/>
      <c r="WJO167" s="21"/>
      <c r="WJP167" s="21"/>
      <c r="WJQ167" s="7"/>
      <c r="WJR167" s="7"/>
      <c r="WJS167" s="21"/>
      <c r="WJT167" s="20"/>
      <c r="WJU167" s="20"/>
      <c r="WJV167" s="20"/>
      <c r="WJW167" s="21"/>
      <c r="WJX167" s="21"/>
      <c r="WJY167" s="21"/>
      <c r="WJZ167" s="21"/>
      <c r="WKA167" s="21"/>
      <c r="WKB167" s="20"/>
      <c r="WKC167" s="20"/>
      <c r="WKD167" s="20"/>
      <c r="WKE167" s="20"/>
      <c r="WKF167" s="21"/>
      <c r="WKG167" s="21"/>
      <c r="WKH167" s="7"/>
      <c r="WKI167" s="7"/>
      <c r="WKJ167" s="21"/>
      <c r="WKK167" s="20"/>
      <c r="WKL167" s="20"/>
      <c r="WKM167" s="20"/>
      <c r="WKN167" s="21"/>
      <c r="WKO167" s="21"/>
      <c r="WKP167" s="21"/>
      <c r="WKQ167" s="21"/>
      <c r="WKR167" s="21"/>
      <c r="WKS167" s="20"/>
      <c r="WKT167" s="20"/>
      <c r="WKU167" s="20"/>
      <c r="WKV167" s="20"/>
      <c r="WKW167" s="21"/>
      <c r="WKX167" s="21"/>
      <c r="WKY167" s="7"/>
      <c r="WKZ167" s="7"/>
      <c r="WLA167" s="21"/>
      <c r="WLB167" s="20"/>
      <c r="WLC167" s="20"/>
      <c r="WLD167" s="20"/>
      <c r="WLE167" s="21"/>
      <c r="WLF167" s="21"/>
      <c r="WLG167" s="21"/>
      <c r="WLH167" s="21"/>
      <c r="WLI167" s="21"/>
      <c r="WLJ167" s="20"/>
      <c r="WLK167" s="20"/>
      <c r="WLL167" s="20"/>
      <c r="WLM167" s="20"/>
      <c r="WLN167" s="21"/>
      <c r="WLO167" s="21"/>
      <c r="WLP167" s="7"/>
      <c r="WLQ167" s="7"/>
      <c r="WLR167" s="21"/>
      <c r="WLS167" s="20"/>
      <c r="WLT167" s="20"/>
      <c r="WLU167" s="20"/>
      <c r="WLV167" s="21"/>
      <c r="WLW167" s="21"/>
      <c r="WLX167" s="21"/>
      <c r="WLY167" s="21"/>
      <c r="WLZ167" s="21"/>
      <c r="WMA167" s="20"/>
      <c r="WMB167" s="20"/>
      <c r="WMC167" s="20"/>
      <c r="WMD167" s="20"/>
      <c r="WME167" s="21"/>
      <c r="WMF167" s="21"/>
      <c r="WMG167" s="7"/>
      <c r="WMH167" s="7"/>
      <c r="WMI167" s="21"/>
      <c r="WMJ167" s="20"/>
      <c r="WMK167" s="20"/>
      <c r="WML167" s="20"/>
      <c r="WMM167" s="21"/>
      <c r="WMN167" s="21"/>
      <c r="WMO167" s="21"/>
      <c r="WMP167" s="21"/>
      <c r="WMQ167" s="21"/>
      <c r="WMR167" s="20"/>
      <c r="WMS167" s="20"/>
      <c r="WMT167" s="20"/>
      <c r="WMU167" s="20"/>
      <c r="WMV167" s="21"/>
      <c r="WMW167" s="21"/>
      <c r="WMX167" s="7"/>
      <c r="WMY167" s="7"/>
      <c r="WMZ167" s="21"/>
      <c r="WNA167" s="20"/>
      <c r="WNB167" s="20"/>
      <c r="WNC167" s="20"/>
      <c r="WND167" s="21"/>
      <c r="WNE167" s="21"/>
      <c r="WNF167" s="21"/>
      <c r="WNG167" s="21"/>
      <c r="WNH167" s="21"/>
      <c r="WNI167" s="20"/>
      <c r="WNJ167" s="20"/>
      <c r="WNK167" s="20"/>
      <c r="WNL167" s="20"/>
      <c r="WNM167" s="21"/>
      <c r="WNN167" s="21"/>
      <c r="WNO167" s="7"/>
      <c r="WNP167" s="7"/>
      <c r="WNQ167" s="21"/>
      <c r="WNR167" s="20"/>
      <c r="WNS167" s="20"/>
      <c r="WNT167" s="20"/>
      <c r="WNU167" s="21"/>
      <c r="WNV167" s="21"/>
      <c r="WNW167" s="21"/>
      <c r="WNX167" s="21"/>
      <c r="WNY167" s="21"/>
      <c r="WNZ167" s="20"/>
      <c r="WOA167" s="20"/>
      <c r="WOB167" s="20"/>
      <c r="WOC167" s="20"/>
      <c r="WOD167" s="21"/>
      <c r="WOE167" s="21"/>
      <c r="WOF167" s="7"/>
      <c r="WOG167" s="7"/>
      <c r="WOH167" s="21"/>
      <c r="WOI167" s="20"/>
      <c r="WOJ167" s="20"/>
      <c r="WOK167" s="20"/>
      <c r="WOL167" s="21"/>
      <c r="WOM167" s="21"/>
      <c r="WON167" s="21"/>
      <c r="WOO167" s="21"/>
      <c r="WOP167" s="21"/>
      <c r="WOQ167" s="20"/>
      <c r="WOR167" s="20"/>
      <c r="WOS167" s="20"/>
      <c r="WOT167" s="20"/>
      <c r="WOU167" s="21"/>
      <c r="WOV167" s="21"/>
      <c r="WOW167" s="7"/>
      <c r="WOX167" s="7"/>
      <c r="WOY167" s="21"/>
      <c r="WOZ167" s="20"/>
      <c r="WPA167" s="20"/>
      <c r="WPB167" s="20"/>
      <c r="WPC167" s="21"/>
      <c r="WPD167" s="21"/>
      <c r="WPE167" s="21"/>
      <c r="WPF167" s="21"/>
      <c r="WPG167" s="21"/>
      <c r="WPH167" s="20"/>
      <c r="WPI167" s="20"/>
      <c r="WPJ167" s="20"/>
      <c r="WPK167" s="20"/>
      <c r="WPL167" s="21"/>
      <c r="WPM167" s="21"/>
      <c r="WPN167" s="7"/>
      <c r="WPO167" s="7"/>
      <c r="WPP167" s="21"/>
      <c r="WPQ167" s="20"/>
      <c r="WPR167" s="20"/>
      <c r="WPS167" s="20"/>
      <c r="WPT167" s="21"/>
      <c r="WPU167" s="21"/>
      <c r="WPV167" s="21"/>
      <c r="WPW167" s="21"/>
      <c r="WPX167" s="21"/>
      <c r="WPY167" s="20"/>
      <c r="WPZ167" s="20"/>
      <c r="WQA167" s="20"/>
      <c r="WQB167" s="20"/>
      <c r="WQC167" s="21"/>
      <c r="WQD167" s="21"/>
      <c r="WQE167" s="7"/>
      <c r="WQF167" s="7"/>
      <c r="WQG167" s="21"/>
      <c r="WQH167" s="20"/>
      <c r="WQI167" s="20"/>
      <c r="WQJ167" s="20"/>
      <c r="WQK167" s="21"/>
      <c r="WQL167" s="21"/>
      <c r="WQM167" s="21"/>
      <c r="WQN167" s="21"/>
      <c r="WQO167" s="21"/>
      <c r="WQP167" s="20"/>
      <c r="WQQ167" s="20"/>
      <c r="WQR167" s="20"/>
      <c r="WQS167" s="20"/>
      <c r="WQT167" s="21"/>
      <c r="WQU167" s="21"/>
      <c r="WQV167" s="7"/>
      <c r="WQW167" s="7"/>
      <c r="WQX167" s="21"/>
      <c r="WQY167" s="20"/>
      <c r="WQZ167" s="20"/>
      <c r="WRA167" s="20"/>
      <c r="WRB167" s="21"/>
      <c r="WRC167" s="21"/>
      <c r="WRD167" s="21"/>
      <c r="WRE167" s="21"/>
      <c r="WRF167" s="21"/>
      <c r="WRG167" s="20"/>
      <c r="WRH167" s="20"/>
      <c r="WRI167" s="20"/>
      <c r="WRJ167" s="20"/>
      <c r="WRK167" s="21"/>
      <c r="WRL167" s="21"/>
      <c r="WRM167" s="7"/>
      <c r="WRN167" s="7"/>
      <c r="WRO167" s="21"/>
      <c r="WRP167" s="20"/>
      <c r="WRQ167" s="20"/>
      <c r="WRR167" s="20"/>
      <c r="WRS167" s="21"/>
      <c r="WRT167" s="21"/>
      <c r="WRU167" s="21"/>
      <c r="WRV167" s="21"/>
      <c r="WRW167" s="21"/>
      <c r="WRX167" s="20"/>
      <c r="WRY167" s="20"/>
      <c r="WRZ167" s="20"/>
      <c r="WSA167" s="20"/>
      <c r="WSB167" s="21"/>
      <c r="WSC167" s="21"/>
      <c r="WSD167" s="7"/>
      <c r="WSE167" s="7"/>
      <c r="WSF167" s="21"/>
      <c r="WSG167" s="20"/>
      <c r="WSH167" s="20"/>
      <c r="WSI167" s="20"/>
      <c r="WSJ167" s="21"/>
      <c r="WSK167" s="21"/>
      <c r="WSL167" s="21"/>
      <c r="WSM167" s="21"/>
      <c r="WSN167" s="21"/>
      <c r="WSO167" s="20"/>
      <c r="WSP167" s="20"/>
      <c r="WSQ167" s="20"/>
      <c r="WSR167" s="20"/>
      <c r="WSS167" s="21"/>
      <c r="WST167" s="21"/>
      <c r="WSU167" s="7"/>
      <c r="WSV167" s="7"/>
      <c r="WSW167" s="21"/>
      <c r="WSX167" s="20"/>
      <c r="WSY167" s="20"/>
      <c r="WSZ167" s="20"/>
      <c r="WTA167" s="21"/>
      <c r="WTB167" s="21"/>
      <c r="WTC167" s="21"/>
      <c r="WTD167" s="21"/>
      <c r="WTE167" s="21"/>
      <c r="WTF167" s="20"/>
      <c r="WTG167" s="20"/>
      <c r="WTH167" s="20"/>
      <c r="WTI167" s="20"/>
      <c r="WTJ167" s="21"/>
      <c r="WTK167" s="21"/>
      <c r="WTL167" s="7"/>
      <c r="WTM167" s="7"/>
      <c r="WTN167" s="21"/>
      <c r="WTO167" s="20"/>
      <c r="WTP167" s="20"/>
      <c r="WTQ167" s="20"/>
      <c r="WTR167" s="21"/>
      <c r="WTS167" s="21"/>
      <c r="WTT167" s="21"/>
      <c r="WTU167" s="21"/>
      <c r="WTV167" s="21"/>
      <c r="WTW167" s="20"/>
      <c r="WTX167" s="20"/>
      <c r="WTY167" s="20"/>
      <c r="WTZ167" s="20"/>
      <c r="WUA167" s="21"/>
      <c r="WUB167" s="21"/>
      <c r="WUC167" s="7"/>
      <c r="WUD167" s="7"/>
      <c r="WUE167" s="21"/>
      <c r="WUF167" s="20"/>
      <c r="WUG167" s="20"/>
      <c r="WUH167" s="20"/>
      <c r="WUI167" s="21"/>
      <c r="WUJ167" s="21"/>
      <c r="WUK167" s="21"/>
      <c r="WUL167" s="21"/>
      <c r="WUM167" s="21"/>
      <c r="WUN167" s="20"/>
      <c r="WUO167" s="20"/>
      <c r="WUP167" s="20"/>
      <c r="WUQ167" s="20"/>
      <c r="WUR167" s="21"/>
      <c r="WUS167" s="21"/>
      <c r="WUT167" s="7"/>
      <c r="WUU167" s="7"/>
      <c r="WUV167" s="21"/>
      <c r="WUW167" s="20"/>
      <c r="WUX167" s="20"/>
      <c r="WUY167" s="20"/>
      <c r="WUZ167" s="21"/>
      <c r="WVA167" s="21"/>
      <c r="WVB167" s="21"/>
      <c r="WVC167" s="21"/>
      <c r="WVD167" s="21"/>
      <c r="WVE167" s="20"/>
      <c r="WVF167" s="20"/>
      <c r="WVG167" s="20"/>
      <c r="WVH167" s="20"/>
      <c r="WVI167" s="21"/>
      <c r="WVJ167" s="21"/>
      <c r="WVK167" s="7"/>
      <c r="WVL167" s="7"/>
      <c r="WVM167" s="21"/>
      <c r="WVN167" s="20"/>
      <c r="WVO167" s="20"/>
      <c r="WVP167" s="20"/>
      <c r="WVQ167" s="21"/>
      <c r="WVR167" s="21"/>
      <c r="WVS167" s="21"/>
      <c r="WVT167" s="21"/>
      <c r="WVU167" s="21"/>
      <c r="WVV167" s="20"/>
      <c r="WVW167" s="20"/>
      <c r="WVX167" s="20"/>
      <c r="WVY167" s="20"/>
      <c r="WVZ167" s="21"/>
      <c r="WWA167" s="21"/>
      <c r="WWB167" s="7"/>
      <c r="WWC167" s="7"/>
      <c r="WWD167" s="21"/>
      <c r="WWE167" s="20"/>
      <c r="WWF167" s="20"/>
      <c r="WWG167" s="20"/>
      <c r="WWH167" s="21"/>
      <c r="WWI167" s="21"/>
      <c r="WWJ167" s="21"/>
      <c r="WWK167" s="21"/>
      <c r="WWL167" s="21"/>
      <c r="WWM167" s="20"/>
      <c r="WWN167" s="20"/>
      <c r="WWO167" s="20"/>
      <c r="WWP167" s="20"/>
      <c r="WWQ167" s="21"/>
      <c r="WWR167" s="21"/>
      <c r="WWS167" s="7"/>
      <c r="WWT167" s="7"/>
      <c r="WWU167" s="21"/>
      <c r="WWV167" s="20"/>
      <c r="WWW167" s="20"/>
      <c r="WWX167" s="20"/>
      <c r="WWY167" s="21"/>
      <c r="WWZ167" s="21"/>
      <c r="WXA167" s="21"/>
      <c r="WXB167" s="21"/>
      <c r="WXC167" s="21"/>
      <c r="WXD167" s="20"/>
      <c r="WXE167" s="20"/>
      <c r="WXF167" s="20"/>
      <c r="WXG167" s="20"/>
      <c r="WXH167" s="21"/>
      <c r="WXI167" s="21"/>
      <c r="WXJ167" s="7"/>
      <c r="WXK167" s="7"/>
      <c r="WXL167" s="21"/>
      <c r="WXM167" s="20"/>
      <c r="WXN167" s="20"/>
      <c r="WXO167" s="20"/>
      <c r="WXP167" s="21"/>
      <c r="WXQ167" s="21"/>
      <c r="WXR167" s="21"/>
      <c r="WXS167" s="21"/>
      <c r="WXT167" s="21"/>
      <c r="WXU167" s="20"/>
      <c r="WXV167" s="20"/>
      <c r="WXW167" s="20"/>
      <c r="WXX167" s="20"/>
      <c r="WXY167" s="21"/>
      <c r="WXZ167" s="21"/>
      <c r="WYA167" s="7"/>
      <c r="WYB167" s="7"/>
      <c r="WYC167" s="21"/>
      <c r="WYD167" s="20"/>
      <c r="WYE167" s="20"/>
      <c r="WYF167" s="20"/>
      <c r="WYG167" s="21"/>
      <c r="WYH167" s="21"/>
      <c r="WYI167" s="21"/>
      <c r="WYJ167" s="21"/>
      <c r="WYK167" s="21"/>
      <c r="WYL167" s="20"/>
      <c r="WYM167" s="20"/>
      <c r="WYN167" s="20"/>
      <c r="WYO167" s="20"/>
      <c r="WYP167" s="21"/>
      <c r="WYQ167" s="21"/>
      <c r="WYR167" s="7"/>
      <c r="WYS167" s="7"/>
      <c r="WYT167" s="21"/>
      <c r="WYU167" s="20"/>
      <c r="WYV167" s="20"/>
      <c r="WYW167" s="20"/>
      <c r="WYX167" s="21"/>
      <c r="WYY167" s="21"/>
      <c r="WYZ167" s="21"/>
      <c r="WZA167" s="21"/>
      <c r="WZB167" s="21"/>
      <c r="WZC167" s="20"/>
      <c r="WZD167" s="20"/>
      <c r="WZE167" s="20"/>
      <c r="WZF167" s="20"/>
      <c r="WZG167" s="21"/>
      <c r="WZH167" s="21"/>
      <c r="WZI167" s="7"/>
      <c r="WZJ167" s="7"/>
      <c r="WZK167" s="21"/>
      <c r="WZL167" s="20"/>
      <c r="WZM167" s="20"/>
      <c r="WZN167" s="20"/>
      <c r="WZO167" s="21"/>
      <c r="WZP167" s="21"/>
      <c r="WZQ167" s="21"/>
      <c r="WZR167" s="21"/>
      <c r="WZS167" s="21"/>
      <c r="WZT167" s="20"/>
      <c r="WZU167" s="20"/>
      <c r="WZV167" s="20"/>
      <c r="WZW167" s="20"/>
      <c r="WZX167" s="21"/>
      <c r="WZY167" s="21"/>
      <c r="WZZ167" s="7"/>
      <c r="XAA167" s="7"/>
      <c r="XAB167" s="21"/>
      <c r="XAC167" s="20"/>
      <c r="XAD167" s="20"/>
      <c r="XAE167" s="20"/>
      <c r="XAF167" s="21"/>
      <c r="XAG167" s="21"/>
      <c r="XAH167" s="21"/>
      <c r="XAI167" s="21"/>
      <c r="XAJ167" s="21"/>
      <c r="XAK167" s="20"/>
      <c r="XAL167" s="20"/>
      <c r="XAM167" s="20"/>
      <c r="XAN167" s="20"/>
      <c r="XAO167" s="21"/>
      <c r="XAP167" s="21"/>
      <c r="XAQ167" s="7"/>
      <c r="XAR167" s="7"/>
      <c r="XAS167" s="21"/>
      <c r="XAT167" s="20"/>
      <c r="XAU167" s="20"/>
      <c r="XAV167" s="20"/>
      <c r="XAW167" s="21"/>
      <c r="XAX167" s="21"/>
      <c r="XAY167" s="21"/>
      <c r="XAZ167" s="21"/>
      <c r="XBA167" s="21"/>
      <c r="XBB167" s="20"/>
      <c r="XBC167" s="20"/>
      <c r="XBD167" s="20"/>
      <c r="XBE167" s="20"/>
      <c r="XBF167" s="21"/>
      <c r="XBG167" s="21"/>
      <c r="XBH167" s="7"/>
      <c r="XBI167" s="7"/>
      <c r="XBJ167" s="21"/>
      <c r="XBK167" s="20"/>
      <c r="XBL167" s="20"/>
      <c r="XBM167" s="20"/>
      <c r="XBN167" s="21"/>
      <c r="XBO167" s="21"/>
      <c r="XBP167" s="21"/>
      <c r="XBQ167" s="21"/>
      <c r="XBR167" s="21"/>
      <c r="XBS167" s="20"/>
      <c r="XBT167" s="20"/>
      <c r="XBU167" s="20"/>
      <c r="XBV167" s="20"/>
      <c r="XBW167" s="21"/>
      <c r="XBX167" s="21"/>
      <c r="XBY167" s="7"/>
      <c r="XBZ167" s="7"/>
      <c r="XCA167" s="21"/>
      <c r="XCB167" s="20"/>
      <c r="XCC167" s="20"/>
      <c r="XCD167" s="20"/>
      <c r="XCE167" s="21"/>
      <c r="XCF167" s="21"/>
      <c r="XCG167" s="21"/>
      <c r="XCH167" s="21"/>
      <c r="XCI167" s="21"/>
      <c r="XCJ167" s="20"/>
      <c r="XCK167" s="20"/>
      <c r="XCL167" s="20"/>
      <c r="XCM167" s="20"/>
      <c r="XCN167" s="21"/>
      <c r="XCO167" s="21"/>
      <c r="XCP167" s="7"/>
      <c r="XCQ167" s="7"/>
      <c r="XCR167" s="21"/>
      <c r="XCS167" s="20"/>
      <c r="XCT167" s="20"/>
      <c r="XCU167" s="20"/>
      <c r="XCV167" s="21"/>
      <c r="XCW167" s="21"/>
      <c r="XCX167" s="21"/>
      <c r="XCY167" s="21"/>
      <c r="XCZ167" s="21"/>
      <c r="XDA167" s="20"/>
      <c r="XDB167" s="20"/>
      <c r="XDC167" s="20"/>
      <c r="XDD167" s="20"/>
      <c r="XDE167" s="21"/>
      <c r="XDF167" s="21"/>
      <c r="XDG167" s="7"/>
      <c r="XDH167" s="7"/>
      <c r="XDI167" s="21"/>
      <c r="XDJ167" s="20"/>
      <c r="XDK167" s="20"/>
      <c r="XDL167" s="20"/>
      <c r="XDM167" s="21"/>
      <c r="XDN167" s="21"/>
      <c r="XDO167" s="21"/>
      <c r="XDP167" s="21"/>
      <c r="XDQ167" s="21"/>
      <c r="XDR167" s="20"/>
      <c r="XDS167" s="20"/>
      <c r="XDT167" s="20"/>
      <c r="XDU167" s="20"/>
      <c r="XDV167" s="21"/>
      <c r="XDW167" s="21"/>
      <c r="XDX167" s="7"/>
      <c r="XDY167" s="7"/>
      <c r="XDZ167" s="21"/>
      <c r="XEA167" s="20"/>
      <c r="XEB167" s="20"/>
      <c r="XEC167" s="20"/>
      <c r="XED167" s="21"/>
      <c r="XEE167" s="21"/>
      <c r="XEF167" s="21"/>
      <c r="XEG167" s="21"/>
      <c r="XEH167" s="21"/>
      <c r="XEI167" s="20"/>
      <c r="XEJ167" s="20"/>
      <c r="XEK167" s="20"/>
      <c r="XEL167" s="20"/>
      <c r="XEM167" s="21"/>
      <c r="XEN167" s="21"/>
      <c r="XEO167" s="7"/>
      <c r="XEP167" s="7"/>
      <c r="XEQ167" s="21"/>
      <c r="XER167" s="20"/>
      <c r="XES167" s="20"/>
      <c r="XET167" s="20"/>
      <c r="XEU167" s="21"/>
      <c r="XEV167" s="21"/>
      <c r="XEW167" s="21"/>
      <c r="XEX167" s="21"/>
      <c r="XEY167" s="21"/>
      <c r="XEZ167" s="20"/>
      <c r="XFA167" s="20"/>
      <c r="XFB167" s="20"/>
      <c r="XFC167" s="20"/>
      <c r="XFD167" s="21"/>
    </row>
    <row r="168" spans="1:16384" s="3" customFormat="1" ht="14.25" customHeight="1" x14ac:dyDescent="0.25">
      <c r="A168" s="29">
        <v>0</v>
      </c>
      <c r="B168" s="29">
        <v>2</v>
      </c>
      <c r="C168" s="29">
        <v>2</v>
      </c>
      <c r="D168" s="30" t="s">
        <v>707</v>
      </c>
      <c r="E168" s="30" t="s">
        <v>30</v>
      </c>
      <c r="F168" s="30" t="s">
        <v>709</v>
      </c>
      <c r="G168" s="30" t="s">
        <v>710</v>
      </c>
      <c r="H168" s="30" t="s">
        <v>165</v>
      </c>
      <c r="I168" s="29" t="s">
        <v>711</v>
      </c>
      <c r="J168" s="29">
        <v>99</v>
      </c>
      <c r="K168" s="29" t="s">
        <v>320</v>
      </c>
      <c r="L168" s="29">
        <v>55</v>
      </c>
      <c r="M168" s="30" t="s">
        <v>978</v>
      </c>
      <c r="N168" s="30" t="s">
        <v>894</v>
      </c>
      <c r="O168" s="31">
        <v>1</v>
      </c>
      <c r="P168" s="31"/>
      <c r="Q168" s="30" t="s">
        <v>976</v>
      </c>
      <c r="R168" s="2"/>
      <c r="S168" s="2">
        <f t="shared" si="87"/>
        <v>0</v>
      </c>
      <c r="T168" s="2">
        <f t="shared" si="88"/>
        <v>0</v>
      </c>
      <c r="U168" s="2">
        <f t="shared" si="89"/>
        <v>0</v>
      </c>
      <c r="V168" s="2">
        <f t="shared" si="90"/>
        <v>0</v>
      </c>
      <c r="W168" s="2">
        <f t="shared" si="91"/>
        <v>0</v>
      </c>
      <c r="X168" s="2">
        <f t="shared" si="92"/>
        <v>0</v>
      </c>
      <c r="Y168" s="2">
        <f t="shared" si="93"/>
        <v>0</v>
      </c>
      <c r="Z168" s="2">
        <f t="shared" si="94"/>
        <v>0</v>
      </c>
      <c r="AA168" s="2">
        <f t="shared" si="95"/>
        <v>0</v>
      </c>
      <c r="AB168" s="2">
        <f t="shared" si="96"/>
        <v>0</v>
      </c>
      <c r="AC168" s="2"/>
      <c r="AD168" s="2">
        <f t="shared" si="97"/>
        <v>0</v>
      </c>
      <c r="AE168" s="2">
        <f t="shared" si="98"/>
        <v>1</v>
      </c>
      <c r="AF168" s="2">
        <f t="shared" si="99"/>
        <v>0</v>
      </c>
      <c r="AG168" s="2">
        <f t="shared" si="100"/>
        <v>1</v>
      </c>
      <c r="AH168" s="2">
        <f t="shared" si="101"/>
        <v>0</v>
      </c>
      <c r="AI168" s="2">
        <f t="shared" si="102"/>
        <v>1</v>
      </c>
    </row>
    <row r="169" spans="1:16384" s="3" customFormat="1" ht="14.25" customHeight="1" x14ac:dyDescent="0.25">
      <c r="A169" s="29">
        <v>0</v>
      </c>
      <c r="B169" s="29">
        <v>2</v>
      </c>
      <c r="C169" s="29">
        <v>2</v>
      </c>
      <c r="D169" s="30" t="s">
        <v>440</v>
      </c>
      <c r="E169" s="30" t="s">
        <v>441</v>
      </c>
      <c r="F169" s="30" t="s">
        <v>443</v>
      </c>
      <c r="G169" s="30" t="s">
        <v>93</v>
      </c>
      <c r="H169" s="30" t="s">
        <v>165</v>
      </c>
      <c r="I169" s="29" t="s">
        <v>442</v>
      </c>
      <c r="J169" s="29">
        <v>8</v>
      </c>
      <c r="K169" s="29" t="s">
        <v>318</v>
      </c>
      <c r="L169" s="29">
        <v>40</v>
      </c>
      <c r="M169" s="30" t="s">
        <v>872</v>
      </c>
      <c r="N169" s="30" t="s">
        <v>889</v>
      </c>
      <c r="O169" s="31">
        <v>1</v>
      </c>
      <c r="P169" s="31"/>
      <c r="Q169" s="30"/>
      <c r="R169" s="2"/>
      <c r="S169" s="2">
        <f t="shared" si="87"/>
        <v>0</v>
      </c>
      <c r="T169" s="2">
        <f t="shared" si="88"/>
        <v>0</v>
      </c>
      <c r="U169" s="2">
        <f t="shared" si="89"/>
        <v>0</v>
      </c>
      <c r="V169" s="2">
        <f t="shared" si="90"/>
        <v>0</v>
      </c>
      <c r="W169" s="2">
        <f t="shared" si="91"/>
        <v>0</v>
      </c>
      <c r="X169" s="2">
        <f t="shared" si="92"/>
        <v>0</v>
      </c>
      <c r="Y169" s="2">
        <f t="shared" si="93"/>
        <v>0</v>
      </c>
      <c r="Z169" s="2">
        <f t="shared" si="94"/>
        <v>1</v>
      </c>
      <c r="AA169" s="2">
        <f t="shared" si="95"/>
        <v>0</v>
      </c>
      <c r="AB169" s="2">
        <f t="shared" si="96"/>
        <v>0</v>
      </c>
      <c r="AC169" s="2"/>
      <c r="AD169" s="2">
        <f t="shared" si="97"/>
        <v>0</v>
      </c>
      <c r="AE169" s="2">
        <f t="shared" si="98"/>
        <v>1</v>
      </c>
      <c r="AF169" s="2">
        <f t="shared" si="99"/>
        <v>0</v>
      </c>
      <c r="AG169" s="2">
        <f t="shared" si="100"/>
        <v>1</v>
      </c>
      <c r="AH169" s="2">
        <f t="shared" si="101"/>
        <v>0</v>
      </c>
      <c r="AI169" s="2">
        <f t="shared" si="102"/>
        <v>1</v>
      </c>
    </row>
    <row r="170" spans="1:16384" s="3" customFormat="1" ht="14.25" customHeight="1" x14ac:dyDescent="0.25">
      <c r="A170" s="20">
        <v>0</v>
      </c>
      <c r="B170" s="20">
        <v>2</v>
      </c>
      <c r="C170" s="20">
        <v>2</v>
      </c>
      <c r="D170" s="21" t="s">
        <v>805</v>
      </c>
      <c r="E170" s="21" t="s">
        <v>454</v>
      </c>
      <c r="F170" s="21" t="s">
        <v>786</v>
      </c>
      <c r="G170" s="21" t="s">
        <v>668</v>
      </c>
      <c r="H170" s="21" t="s">
        <v>165</v>
      </c>
      <c r="I170" s="20" t="s">
        <v>785</v>
      </c>
      <c r="J170" s="20">
        <v>99</v>
      </c>
      <c r="K170" s="20" t="s">
        <v>319</v>
      </c>
      <c r="L170" s="20">
        <v>20</v>
      </c>
      <c r="M170" s="21" t="s">
        <v>881</v>
      </c>
      <c r="N170" s="21"/>
      <c r="O170" s="7"/>
      <c r="P170" s="7"/>
      <c r="Q170" s="21"/>
      <c r="R170" s="2"/>
      <c r="S170" s="2">
        <f t="shared" si="87"/>
        <v>0</v>
      </c>
      <c r="T170" s="2">
        <f t="shared" si="88"/>
        <v>0</v>
      </c>
      <c r="U170" s="2">
        <f t="shared" si="89"/>
        <v>0</v>
      </c>
      <c r="V170" s="2">
        <f t="shared" si="90"/>
        <v>0</v>
      </c>
      <c r="W170" s="2">
        <f t="shared" si="91"/>
        <v>0</v>
      </c>
      <c r="X170" s="2">
        <f t="shared" si="92"/>
        <v>0</v>
      </c>
      <c r="Y170" s="2">
        <f t="shared" si="93"/>
        <v>0</v>
      </c>
      <c r="Z170" s="2">
        <f t="shared" si="94"/>
        <v>0</v>
      </c>
      <c r="AA170" s="2">
        <f t="shared" si="95"/>
        <v>0</v>
      </c>
      <c r="AB170" s="2">
        <f t="shared" si="96"/>
        <v>0</v>
      </c>
      <c r="AC170" s="2"/>
      <c r="AD170" s="2">
        <f t="shared" si="97"/>
        <v>0</v>
      </c>
      <c r="AE170" s="2">
        <f t="shared" si="98"/>
        <v>0</v>
      </c>
      <c r="AF170" s="2">
        <f t="shared" si="99"/>
        <v>0</v>
      </c>
      <c r="AG170" s="2">
        <f t="shared" si="100"/>
        <v>0</v>
      </c>
      <c r="AH170" s="2">
        <f t="shared" si="101"/>
        <v>0</v>
      </c>
      <c r="AI170" s="2">
        <f t="shared" si="102"/>
        <v>1</v>
      </c>
    </row>
    <row r="171" spans="1:16384" s="3" customFormat="1" ht="14.25" customHeight="1" x14ac:dyDescent="0.25">
      <c r="A171" s="29">
        <v>0</v>
      </c>
      <c r="B171" s="29">
        <v>2</v>
      </c>
      <c r="C171" s="29">
        <v>2</v>
      </c>
      <c r="D171" s="30" t="s">
        <v>715</v>
      </c>
      <c r="E171" s="30" t="s">
        <v>809</v>
      </c>
      <c r="F171" s="30" t="s">
        <v>823</v>
      </c>
      <c r="G171" s="30" t="s">
        <v>137</v>
      </c>
      <c r="H171" s="30" t="s">
        <v>165</v>
      </c>
      <c r="I171" s="29" t="s">
        <v>716</v>
      </c>
      <c r="J171" s="29">
        <v>1</v>
      </c>
      <c r="K171" s="29" t="s">
        <v>318</v>
      </c>
      <c r="L171" s="29">
        <v>45</v>
      </c>
      <c r="M171" s="30" t="s">
        <v>873</v>
      </c>
      <c r="N171" s="30" t="s">
        <v>888</v>
      </c>
      <c r="O171" s="31">
        <v>1</v>
      </c>
      <c r="P171" s="31"/>
      <c r="Q171" s="30"/>
      <c r="R171" s="2"/>
      <c r="S171" s="2">
        <f t="shared" si="87"/>
        <v>1</v>
      </c>
      <c r="T171" s="2">
        <f t="shared" si="88"/>
        <v>0</v>
      </c>
      <c r="U171" s="2">
        <f t="shared" si="89"/>
        <v>0</v>
      </c>
      <c r="V171" s="2">
        <f t="shared" si="90"/>
        <v>0</v>
      </c>
      <c r="W171" s="2">
        <f t="shared" si="91"/>
        <v>0</v>
      </c>
      <c r="X171" s="2">
        <f t="shared" si="92"/>
        <v>0</v>
      </c>
      <c r="Y171" s="2">
        <f t="shared" si="93"/>
        <v>0</v>
      </c>
      <c r="Z171" s="2">
        <f t="shared" si="94"/>
        <v>0</v>
      </c>
      <c r="AA171" s="2">
        <f t="shared" si="95"/>
        <v>0</v>
      </c>
      <c r="AB171" s="2">
        <f t="shared" si="96"/>
        <v>0</v>
      </c>
      <c r="AC171" s="2"/>
      <c r="AD171" s="2">
        <f t="shared" si="97"/>
        <v>0</v>
      </c>
      <c r="AE171" s="2">
        <f t="shared" si="98"/>
        <v>1</v>
      </c>
      <c r="AF171" s="2">
        <f t="shared" si="99"/>
        <v>0</v>
      </c>
      <c r="AG171" s="2">
        <f t="shared" si="100"/>
        <v>1</v>
      </c>
      <c r="AH171" s="2">
        <f t="shared" si="101"/>
        <v>0</v>
      </c>
      <c r="AI171" s="2">
        <f t="shared" si="102"/>
        <v>1</v>
      </c>
    </row>
    <row r="172" spans="1:16384" s="3" customFormat="1" ht="14.25" customHeight="1" x14ac:dyDescent="0.25">
      <c r="A172" s="29">
        <v>0</v>
      </c>
      <c r="B172" s="29">
        <v>2</v>
      </c>
      <c r="C172" s="29">
        <v>2</v>
      </c>
      <c r="D172" s="30" t="s">
        <v>464</v>
      </c>
      <c r="E172" s="30" t="s">
        <v>30</v>
      </c>
      <c r="F172" s="30" t="s">
        <v>422</v>
      </c>
      <c r="G172" s="30" t="s">
        <v>160</v>
      </c>
      <c r="H172" s="30" t="s">
        <v>165</v>
      </c>
      <c r="I172" s="29" t="s">
        <v>423</v>
      </c>
      <c r="J172" s="29">
        <v>1</v>
      </c>
      <c r="K172" s="29" t="s">
        <v>321</v>
      </c>
      <c r="L172" s="29" t="s">
        <v>40</v>
      </c>
      <c r="M172" s="30" t="s">
        <v>40</v>
      </c>
      <c r="N172" s="30" t="s">
        <v>880</v>
      </c>
      <c r="O172" s="31">
        <v>1</v>
      </c>
      <c r="P172" s="31">
        <v>1</v>
      </c>
      <c r="Q172" s="30"/>
      <c r="R172" s="2"/>
      <c r="S172" s="2">
        <f t="shared" si="87"/>
        <v>1</v>
      </c>
      <c r="T172" s="2">
        <f t="shared" si="88"/>
        <v>0</v>
      </c>
      <c r="U172" s="2">
        <f t="shared" si="89"/>
        <v>0</v>
      </c>
      <c r="V172" s="2">
        <f t="shared" si="90"/>
        <v>0</v>
      </c>
      <c r="W172" s="2">
        <f t="shared" si="91"/>
        <v>0</v>
      </c>
      <c r="X172" s="2">
        <f t="shared" si="92"/>
        <v>0</v>
      </c>
      <c r="Y172" s="2">
        <f t="shared" si="93"/>
        <v>0</v>
      </c>
      <c r="Z172" s="2">
        <f t="shared" si="94"/>
        <v>0</v>
      </c>
      <c r="AA172" s="2">
        <f t="shared" si="95"/>
        <v>0</v>
      </c>
      <c r="AB172" s="2">
        <f t="shared" si="96"/>
        <v>0</v>
      </c>
      <c r="AC172" s="2"/>
      <c r="AD172" s="2">
        <f t="shared" si="97"/>
        <v>1</v>
      </c>
      <c r="AE172" s="2">
        <f t="shared" si="98"/>
        <v>0</v>
      </c>
      <c r="AF172" s="2">
        <f t="shared" si="99"/>
        <v>1</v>
      </c>
      <c r="AG172" s="2">
        <f t="shared" si="100"/>
        <v>0</v>
      </c>
      <c r="AH172" s="2">
        <f t="shared" si="101"/>
        <v>1</v>
      </c>
      <c r="AI172" s="2">
        <f t="shared" si="102"/>
        <v>0</v>
      </c>
    </row>
    <row r="173" spans="1:16384" s="3" customFormat="1" ht="14.25" customHeight="1" x14ac:dyDescent="0.25">
      <c r="A173" s="29">
        <v>0</v>
      </c>
      <c r="B173" s="29">
        <v>2</v>
      </c>
      <c r="C173" s="29">
        <v>3</v>
      </c>
      <c r="D173" s="30" t="s">
        <v>354</v>
      </c>
      <c r="E173" s="30" t="s">
        <v>83</v>
      </c>
      <c r="F173" s="30" t="s">
        <v>355</v>
      </c>
      <c r="G173" s="30" t="s">
        <v>368</v>
      </c>
      <c r="H173" s="30" t="s">
        <v>165</v>
      </c>
      <c r="I173" s="29" t="s">
        <v>356</v>
      </c>
      <c r="J173" s="29">
        <v>99</v>
      </c>
      <c r="K173" s="29" t="s">
        <v>321</v>
      </c>
      <c r="L173" s="29" t="s">
        <v>40</v>
      </c>
      <c r="M173" s="30" t="s">
        <v>40</v>
      </c>
      <c r="N173" s="30" t="s">
        <v>880</v>
      </c>
      <c r="O173" s="31">
        <v>1</v>
      </c>
      <c r="P173" s="31">
        <v>1</v>
      </c>
      <c r="Q173" s="30"/>
      <c r="R173" s="2"/>
      <c r="S173" s="2">
        <f t="shared" si="87"/>
        <v>0</v>
      </c>
      <c r="T173" s="2">
        <f t="shared" si="88"/>
        <v>0</v>
      </c>
      <c r="U173" s="2">
        <f t="shared" si="89"/>
        <v>0</v>
      </c>
      <c r="V173" s="2">
        <f t="shared" si="90"/>
        <v>0</v>
      </c>
      <c r="W173" s="2">
        <f t="shared" si="91"/>
        <v>0</v>
      </c>
      <c r="X173" s="2">
        <f t="shared" si="92"/>
        <v>0</v>
      </c>
      <c r="Y173" s="2">
        <f t="shared" si="93"/>
        <v>0</v>
      </c>
      <c r="Z173" s="2">
        <f t="shared" si="94"/>
        <v>0</v>
      </c>
      <c r="AA173" s="2">
        <f t="shared" si="95"/>
        <v>0</v>
      </c>
      <c r="AB173" s="2">
        <f t="shared" si="96"/>
        <v>0</v>
      </c>
      <c r="AC173" s="2"/>
      <c r="AD173" s="2">
        <f t="shared" si="97"/>
        <v>1</v>
      </c>
      <c r="AE173" s="2">
        <f t="shared" si="98"/>
        <v>0</v>
      </c>
      <c r="AF173" s="2">
        <f t="shared" si="99"/>
        <v>1</v>
      </c>
      <c r="AG173" s="2">
        <f t="shared" si="100"/>
        <v>0</v>
      </c>
      <c r="AH173" s="2">
        <f t="shared" si="101"/>
        <v>1</v>
      </c>
      <c r="AI173" s="2">
        <f t="shared" si="102"/>
        <v>0</v>
      </c>
    </row>
    <row r="174" spans="1:16384" s="3" customFormat="1" ht="14.25" customHeight="1" x14ac:dyDescent="0.25">
      <c r="A174" s="29">
        <v>0</v>
      </c>
      <c r="B174" s="29">
        <v>2</v>
      </c>
      <c r="C174" s="29">
        <v>3</v>
      </c>
      <c r="D174" s="30" t="s">
        <v>793</v>
      </c>
      <c r="E174" s="30" t="s">
        <v>570</v>
      </c>
      <c r="F174" s="30" t="s">
        <v>934</v>
      </c>
      <c r="G174" s="30" t="s">
        <v>38</v>
      </c>
      <c r="H174" s="30" t="s">
        <v>165</v>
      </c>
      <c r="I174" s="29">
        <v>2799979385</v>
      </c>
      <c r="J174" s="29">
        <v>1</v>
      </c>
      <c r="K174" s="29" t="s">
        <v>318</v>
      </c>
      <c r="L174" s="29" t="s">
        <v>329</v>
      </c>
      <c r="M174" s="30" t="s">
        <v>270</v>
      </c>
      <c r="N174" s="30" t="s">
        <v>880</v>
      </c>
      <c r="O174" s="31">
        <v>1</v>
      </c>
      <c r="P174" s="31">
        <v>1</v>
      </c>
      <c r="Q174" s="30"/>
      <c r="R174" s="2"/>
      <c r="S174" s="2">
        <f t="shared" si="87"/>
        <v>1</v>
      </c>
      <c r="T174" s="2">
        <f t="shared" si="88"/>
        <v>0</v>
      </c>
      <c r="U174" s="2">
        <f t="shared" si="89"/>
        <v>0</v>
      </c>
      <c r="V174" s="2">
        <f t="shared" si="90"/>
        <v>0</v>
      </c>
      <c r="W174" s="2">
        <f t="shared" si="91"/>
        <v>0</v>
      </c>
      <c r="X174" s="2">
        <f t="shared" si="92"/>
        <v>0</v>
      </c>
      <c r="Y174" s="2">
        <f t="shared" si="93"/>
        <v>0</v>
      </c>
      <c r="Z174" s="2">
        <f t="shared" si="94"/>
        <v>0</v>
      </c>
      <c r="AA174" s="2">
        <f t="shared" si="95"/>
        <v>0</v>
      </c>
      <c r="AB174" s="2">
        <f t="shared" si="96"/>
        <v>0</v>
      </c>
      <c r="AC174" s="2"/>
      <c r="AD174" s="2">
        <f t="shared" si="97"/>
        <v>1</v>
      </c>
      <c r="AE174" s="2">
        <f t="shared" si="98"/>
        <v>0</v>
      </c>
      <c r="AF174" s="2">
        <f t="shared" si="99"/>
        <v>1</v>
      </c>
      <c r="AG174" s="2">
        <f t="shared" si="100"/>
        <v>0</v>
      </c>
      <c r="AH174" s="2">
        <f t="shared" si="101"/>
        <v>1</v>
      </c>
      <c r="AI174" s="2">
        <f t="shared" si="102"/>
        <v>0</v>
      </c>
    </row>
    <row r="175" spans="1:16384" s="3" customFormat="1" ht="14.25" customHeight="1" x14ac:dyDescent="0.25">
      <c r="A175" s="29">
        <v>1</v>
      </c>
      <c r="B175" s="29">
        <v>2</v>
      </c>
      <c r="C175" s="29">
        <v>3</v>
      </c>
      <c r="D175" s="30" t="s">
        <v>793</v>
      </c>
      <c r="E175" s="30" t="s">
        <v>570</v>
      </c>
      <c r="F175" s="30" t="s">
        <v>814</v>
      </c>
      <c r="G175" s="30" t="s">
        <v>160</v>
      </c>
      <c r="H175" s="30" t="s">
        <v>165</v>
      </c>
      <c r="I175" s="29" t="s">
        <v>500</v>
      </c>
      <c r="J175" s="29">
        <v>1</v>
      </c>
      <c r="K175" s="29" t="s">
        <v>318</v>
      </c>
      <c r="L175" s="29" t="s">
        <v>329</v>
      </c>
      <c r="M175" s="30" t="s">
        <v>270</v>
      </c>
      <c r="N175" s="30" t="s">
        <v>880</v>
      </c>
      <c r="O175" s="31">
        <v>1</v>
      </c>
      <c r="P175" s="31">
        <v>1</v>
      </c>
      <c r="Q175" s="30"/>
      <c r="R175" s="2"/>
      <c r="S175" s="2">
        <f t="shared" si="87"/>
        <v>1</v>
      </c>
      <c r="T175" s="2">
        <f t="shared" si="88"/>
        <v>0</v>
      </c>
      <c r="U175" s="2">
        <f t="shared" si="89"/>
        <v>0</v>
      </c>
      <c r="V175" s="2">
        <f t="shared" si="90"/>
        <v>0</v>
      </c>
      <c r="W175" s="2">
        <f t="shared" si="91"/>
        <v>0</v>
      </c>
      <c r="X175" s="2">
        <f t="shared" si="92"/>
        <v>0</v>
      </c>
      <c r="Y175" s="2">
        <f t="shared" si="93"/>
        <v>0</v>
      </c>
      <c r="Z175" s="2">
        <f t="shared" si="94"/>
        <v>0</v>
      </c>
      <c r="AA175" s="2">
        <f t="shared" si="95"/>
        <v>0</v>
      </c>
      <c r="AB175" s="2">
        <f t="shared" si="96"/>
        <v>0</v>
      </c>
      <c r="AC175" s="2"/>
      <c r="AD175" s="2">
        <f t="shared" si="97"/>
        <v>1</v>
      </c>
      <c r="AE175" s="2">
        <f t="shared" si="98"/>
        <v>0</v>
      </c>
      <c r="AF175" s="2">
        <f t="shared" si="99"/>
        <v>0</v>
      </c>
      <c r="AG175" s="2">
        <f t="shared" si="100"/>
        <v>0</v>
      </c>
      <c r="AH175" s="2">
        <f t="shared" si="101"/>
        <v>0</v>
      </c>
      <c r="AI175" s="2">
        <f t="shared" si="102"/>
        <v>0</v>
      </c>
    </row>
    <row r="176" spans="1:16384" s="3" customFormat="1" ht="14.25" customHeight="1" x14ac:dyDescent="0.25">
      <c r="A176" s="20">
        <v>0</v>
      </c>
      <c r="B176" s="20">
        <v>2</v>
      </c>
      <c r="C176" s="20">
        <v>3</v>
      </c>
      <c r="D176" s="21" t="s">
        <v>447</v>
      </c>
      <c r="E176" s="21" t="s">
        <v>448</v>
      </c>
      <c r="F176" s="21" t="s">
        <v>449</v>
      </c>
      <c r="G176" s="21" t="s">
        <v>107</v>
      </c>
      <c r="H176" s="21" t="s">
        <v>165</v>
      </c>
      <c r="I176" s="20" t="s">
        <v>450</v>
      </c>
      <c r="J176" s="20">
        <v>99</v>
      </c>
      <c r="K176" s="20" t="s">
        <v>376</v>
      </c>
      <c r="L176" s="20">
        <v>10</v>
      </c>
      <c r="M176" s="21" t="s">
        <v>598</v>
      </c>
      <c r="N176" s="21"/>
      <c r="O176" s="7"/>
      <c r="P176" s="7"/>
      <c r="Q176" s="21"/>
      <c r="R176" s="2"/>
      <c r="S176" s="2">
        <f t="shared" si="87"/>
        <v>0</v>
      </c>
      <c r="T176" s="2">
        <f t="shared" si="88"/>
        <v>0</v>
      </c>
      <c r="U176" s="2">
        <f t="shared" si="89"/>
        <v>0</v>
      </c>
      <c r="V176" s="2">
        <f t="shared" si="90"/>
        <v>0</v>
      </c>
      <c r="W176" s="2">
        <f t="shared" si="91"/>
        <v>0</v>
      </c>
      <c r="X176" s="2">
        <f t="shared" si="92"/>
        <v>0</v>
      </c>
      <c r="Y176" s="2">
        <f t="shared" si="93"/>
        <v>0</v>
      </c>
      <c r="Z176" s="2">
        <f t="shared" si="94"/>
        <v>0</v>
      </c>
      <c r="AA176" s="2">
        <f t="shared" si="95"/>
        <v>0</v>
      </c>
      <c r="AB176" s="2">
        <f t="shared" si="96"/>
        <v>0</v>
      </c>
      <c r="AC176" s="2"/>
      <c r="AD176" s="2">
        <f t="shared" si="97"/>
        <v>0</v>
      </c>
      <c r="AE176" s="2">
        <f t="shared" si="98"/>
        <v>0</v>
      </c>
      <c r="AF176" s="2">
        <f t="shared" si="99"/>
        <v>0</v>
      </c>
      <c r="AG176" s="2">
        <f t="shared" si="100"/>
        <v>0</v>
      </c>
      <c r="AH176" s="2">
        <f t="shared" si="101"/>
        <v>0</v>
      </c>
      <c r="AI176" s="2">
        <f t="shared" si="102"/>
        <v>1</v>
      </c>
    </row>
    <row r="177" spans="1:35" ht="14.25" customHeight="1" x14ac:dyDescent="0.25">
      <c r="A177" s="29">
        <v>0</v>
      </c>
      <c r="B177" s="29">
        <v>2</v>
      </c>
      <c r="C177" s="29">
        <v>3</v>
      </c>
      <c r="D177" s="30" t="s">
        <v>48</v>
      </c>
      <c r="E177" s="30" t="s">
        <v>83</v>
      </c>
      <c r="F177" s="30" t="s">
        <v>100</v>
      </c>
      <c r="G177" s="30" t="s">
        <v>96</v>
      </c>
      <c r="H177" s="30" t="s">
        <v>165</v>
      </c>
      <c r="I177" s="29" t="s">
        <v>168</v>
      </c>
      <c r="J177" s="29">
        <v>3</v>
      </c>
      <c r="K177" s="29" t="s">
        <v>321</v>
      </c>
      <c r="L177" s="29" t="s">
        <v>329</v>
      </c>
      <c r="M177" s="30" t="s">
        <v>270</v>
      </c>
      <c r="N177" s="30" t="s">
        <v>880</v>
      </c>
      <c r="O177" s="31">
        <v>1</v>
      </c>
      <c r="P177" s="31">
        <v>1</v>
      </c>
      <c r="Q177" s="30"/>
      <c r="S177" s="2">
        <f t="shared" si="87"/>
        <v>0</v>
      </c>
      <c r="T177" s="2">
        <f t="shared" si="88"/>
        <v>0</v>
      </c>
      <c r="U177" s="2">
        <f t="shared" si="89"/>
        <v>1</v>
      </c>
      <c r="V177" s="2">
        <f t="shared" si="90"/>
        <v>0</v>
      </c>
      <c r="W177" s="2">
        <f t="shared" si="91"/>
        <v>0</v>
      </c>
      <c r="X177" s="2">
        <f t="shared" si="92"/>
        <v>0</v>
      </c>
      <c r="Y177" s="2">
        <f t="shared" si="93"/>
        <v>0</v>
      </c>
      <c r="Z177" s="2">
        <f t="shared" si="94"/>
        <v>0</v>
      </c>
      <c r="AA177" s="2">
        <f t="shared" si="95"/>
        <v>0</v>
      </c>
      <c r="AB177" s="2">
        <f t="shared" si="96"/>
        <v>0</v>
      </c>
      <c r="AD177" s="2">
        <f t="shared" si="97"/>
        <v>1</v>
      </c>
      <c r="AE177" s="2">
        <f t="shared" si="98"/>
        <v>0</v>
      </c>
      <c r="AF177" s="2">
        <f t="shared" si="99"/>
        <v>1</v>
      </c>
      <c r="AG177" s="2">
        <f t="shared" si="100"/>
        <v>0</v>
      </c>
      <c r="AH177" s="2">
        <f t="shared" si="101"/>
        <v>1</v>
      </c>
      <c r="AI177" s="2">
        <f t="shared" si="102"/>
        <v>0</v>
      </c>
    </row>
    <row r="178" spans="1:35" ht="14.25" customHeight="1" x14ac:dyDescent="0.25">
      <c r="A178" s="29">
        <v>0</v>
      </c>
      <c r="B178" s="29">
        <v>2</v>
      </c>
      <c r="C178" s="29">
        <v>3</v>
      </c>
      <c r="D178" s="30" t="s">
        <v>910</v>
      </c>
      <c r="E178" s="30"/>
      <c r="F178" s="30" t="s">
        <v>911</v>
      </c>
      <c r="G178" s="30"/>
      <c r="H178" s="30" t="s">
        <v>165</v>
      </c>
      <c r="I178" s="29" t="s">
        <v>912</v>
      </c>
      <c r="J178" s="29"/>
      <c r="K178" s="29" t="s">
        <v>376</v>
      </c>
      <c r="L178" s="29"/>
      <c r="M178" s="30"/>
      <c r="N178" s="30" t="s">
        <v>880</v>
      </c>
      <c r="O178" s="31">
        <v>1</v>
      </c>
      <c r="P178" s="31">
        <v>1</v>
      </c>
      <c r="Q178" s="30"/>
      <c r="S178" s="2">
        <f t="shared" si="87"/>
        <v>0</v>
      </c>
      <c r="T178" s="2">
        <f t="shared" si="88"/>
        <v>0</v>
      </c>
      <c r="U178" s="2">
        <f t="shared" si="89"/>
        <v>0</v>
      </c>
      <c r="V178" s="2">
        <f t="shared" si="90"/>
        <v>0</v>
      </c>
      <c r="W178" s="2">
        <f t="shared" si="91"/>
        <v>0</v>
      </c>
      <c r="X178" s="2">
        <f t="shared" si="92"/>
        <v>0</v>
      </c>
      <c r="Y178" s="2">
        <f t="shared" si="93"/>
        <v>0</v>
      </c>
      <c r="Z178" s="2">
        <f t="shared" si="94"/>
        <v>0</v>
      </c>
      <c r="AA178" s="2">
        <f t="shared" si="95"/>
        <v>0</v>
      </c>
      <c r="AB178" s="2">
        <f t="shared" si="96"/>
        <v>0</v>
      </c>
      <c r="AD178" s="2">
        <f t="shared" si="97"/>
        <v>1</v>
      </c>
      <c r="AE178" s="2">
        <f t="shared" si="98"/>
        <v>0</v>
      </c>
      <c r="AF178" s="2">
        <f t="shared" si="99"/>
        <v>1</v>
      </c>
      <c r="AG178" s="2">
        <f t="shared" si="100"/>
        <v>0</v>
      </c>
      <c r="AH178" s="2">
        <f t="shared" si="101"/>
        <v>1</v>
      </c>
      <c r="AI178" s="2">
        <f t="shared" si="102"/>
        <v>0</v>
      </c>
    </row>
    <row r="179" spans="1:35" ht="14.25" customHeight="1" x14ac:dyDescent="0.25">
      <c r="A179" s="20">
        <v>0</v>
      </c>
      <c r="B179" s="20">
        <v>2</v>
      </c>
      <c r="C179" s="20">
        <v>3</v>
      </c>
      <c r="D179" s="21" t="s">
        <v>649</v>
      </c>
      <c r="E179" s="21" t="s">
        <v>37</v>
      </c>
      <c r="F179" s="21" t="s">
        <v>650</v>
      </c>
      <c r="G179" s="21" t="s">
        <v>117</v>
      </c>
      <c r="H179" s="21" t="s">
        <v>165</v>
      </c>
      <c r="I179" s="20" t="s">
        <v>651</v>
      </c>
      <c r="J179" s="20">
        <v>1</v>
      </c>
      <c r="K179" s="20" t="s">
        <v>319</v>
      </c>
      <c r="L179" s="20" t="s">
        <v>329</v>
      </c>
      <c r="M179" s="21" t="s">
        <v>270</v>
      </c>
      <c r="N179" s="21"/>
      <c r="O179" s="7"/>
      <c r="P179" s="7"/>
      <c r="Q179" s="21"/>
      <c r="S179" s="2">
        <f t="shared" si="87"/>
        <v>1</v>
      </c>
      <c r="T179" s="2">
        <f t="shared" si="88"/>
        <v>0</v>
      </c>
      <c r="U179" s="2">
        <f t="shared" si="89"/>
        <v>0</v>
      </c>
      <c r="V179" s="2">
        <f t="shared" si="90"/>
        <v>0</v>
      </c>
      <c r="W179" s="2">
        <f t="shared" si="91"/>
        <v>0</v>
      </c>
      <c r="X179" s="2">
        <f t="shared" si="92"/>
        <v>0</v>
      </c>
      <c r="Y179" s="2">
        <f t="shared" si="93"/>
        <v>0</v>
      </c>
      <c r="Z179" s="2">
        <f t="shared" si="94"/>
        <v>0</v>
      </c>
      <c r="AA179" s="2">
        <f t="shared" si="95"/>
        <v>0</v>
      </c>
      <c r="AB179" s="2">
        <f t="shared" si="96"/>
        <v>0</v>
      </c>
      <c r="AD179" s="2">
        <f t="shared" si="97"/>
        <v>0</v>
      </c>
      <c r="AE179" s="2">
        <f t="shared" si="98"/>
        <v>0</v>
      </c>
      <c r="AF179" s="2">
        <f t="shared" si="99"/>
        <v>0</v>
      </c>
      <c r="AG179" s="2">
        <f t="shared" si="100"/>
        <v>0</v>
      </c>
      <c r="AH179" s="2">
        <f t="shared" si="101"/>
        <v>0</v>
      </c>
      <c r="AI179" s="2">
        <f t="shared" si="102"/>
        <v>1</v>
      </c>
    </row>
    <row r="180" spans="1:35" ht="14.25" customHeight="1" x14ac:dyDescent="0.25">
      <c r="A180" s="29">
        <v>0</v>
      </c>
      <c r="B180" s="29">
        <v>2</v>
      </c>
      <c r="C180" s="29">
        <v>4</v>
      </c>
      <c r="D180" s="30" t="s">
        <v>544</v>
      </c>
      <c r="E180" s="30" t="s">
        <v>29</v>
      </c>
      <c r="F180" s="30" t="s">
        <v>405</v>
      </c>
      <c r="G180" s="30" t="s">
        <v>403</v>
      </c>
      <c r="H180" s="30" t="s">
        <v>165</v>
      </c>
      <c r="I180" s="29" t="s">
        <v>545</v>
      </c>
      <c r="J180" s="29">
        <v>99</v>
      </c>
      <c r="K180" s="29" t="s">
        <v>376</v>
      </c>
      <c r="L180" s="29">
        <v>35</v>
      </c>
      <c r="M180" s="30" t="s">
        <v>907</v>
      </c>
      <c r="N180" s="30" t="s">
        <v>914</v>
      </c>
      <c r="O180" s="31">
        <v>1</v>
      </c>
      <c r="P180" s="31"/>
      <c r="Q180" s="30"/>
      <c r="S180" s="2">
        <f t="shared" si="87"/>
        <v>0</v>
      </c>
      <c r="T180" s="2">
        <f t="shared" si="88"/>
        <v>0</v>
      </c>
      <c r="U180" s="2">
        <f t="shared" si="89"/>
        <v>0</v>
      </c>
      <c r="V180" s="2">
        <f t="shared" si="90"/>
        <v>0</v>
      </c>
      <c r="W180" s="2">
        <f t="shared" si="91"/>
        <v>0</v>
      </c>
      <c r="X180" s="2">
        <f t="shared" si="92"/>
        <v>0</v>
      </c>
      <c r="Y180" s="2">
        <f t="shared" si="93"/>
        <v>0</v>
      </c>
      <c r="Z180" s="2">
        <f t="shared" si="94"/>
        <v>0</v>
      </c>
      <c r="AA180" s="2">
        <f t="shared" si="95"/>
        <v>0</v>
      </c>
      <c r="AB180" s="2">
        <f t="shared" si="96"/>
        <v>0</v>
      </c>
      <c r="AD180" s="2">
        <f t="shared" si="97"/>
        <v>0</v>
      </c>
      <c r="AE180" s="2">
        <f t="shared" si="98"/>
        <v>1</v>
      </c>
      <c r="AF180" s="2">
        <f t="shared" si="99"/>
        <v>0</v>
      </c>
      <c r="AG180" s="2">
        <f t="shared" si="100"/>
        <v>1</v>
      </c>
      <c r="AH180" s="2">
        <f t="shared" si="101"/>
        <v>0</v>
      </c>
      <c r="AI180" s="2">
        <f t="shared" si="102"/>
        <v>1</v>
      </c>
    </row>
    <row r="181" spans="1:35" ht="14.25" customHeight="1" x14ac:dyDescent="0.25">
      <c r="A181" s="29">
        <v>0</v>
      </c>
      <c r="B181" s="29">
        <v>2</v>
      </c>
      <c r="C181" s="29">
        <v>4</v>
      </c>
      <c r="D181" s="30" t="s">
        <v>993</v>
      </c>
      <c r="E181" s="30" t="s">
        <v>994</v>
      </c>
      <c r="F181" s="30" t="s">
        <v>995</v>
      </c>
      <c r="G181" s="30" t="s">
        <v>91</v>
      </c>
      <c r="H181" s="30" t="s">
        <v>165</v>
      </c>
      <c r="I181" s="29" t="s">
        <v>33</v>
      </c>
      <c r="J181" s="29"/>
      <c r="K181" s="29" t="s">
        <v>376</v>
      </c>
      <c r="L181" s="29"/>
      <c r="M181" s="30"/>
      <c r="N181" s="30" t="s">
        <v>880</v>
      </c>
      <c r="O181" s="31">
        <v>1</v>
      </c>
      <c r="P181" s="31">
        <v>1</v>
      </c>
      <c r="Q181" s="30" t="s">
        <v>996</v>
      </c>
      <c r="S181" s="2">
        <f t="shared" si="87"/>
        <v>0</v>
      </c>
      <c r="T181" s="2">
        <f t="shared" si="88"/>
        <v>0</v>
      </c>
      <c r="U181" s="2">
        <f t="shared" si="89"/>
        <v>0</v>
      </c>
      <c r="V181" s="2">
        <f t="shared" si="90"/>
        <v>0</v>
      </c>
      <c r="W181" s="2">
        <f t="shared" si="91"/>
        <v>0</v>
      </c>
      <c r="X181" s="2">
        <f t="shared" si="92"/>
        <v>0</v>
      </c>
      <c r="Y181" s="2">
        <f t="shared" si="93"/>
        <v>0</v>
      </c>
      <c r="Z181" s="2">
        <f t="shared" si="94"/>
        <v>0</v>
      </c>
      <c r="AA181" s="2">
        <f t="shared" si="95"/>
        <v>0</v>
      </c>
      <c r="AB181" s="2">
        <f t="shared" si="96"/>
        <v>0</v>
      </c>
      <c r="AD181" s="2">
        <f t="shared" si="97"/>
        <v>1</v>
      </c>
      <c r="AE181" s="2">
        <f t="shared" si="98"/>
        <v>0</v>
      </c>
      <c r="AF181" s="2">
        <f t="shared" si="99"/>
        <v>1</v>
      </c>
      <c r="AG181" s="2">
        <f t="shared" si="100"/>
        <v>0</v>
      </c>
      <c r="AH181" s="2">
        <f t="shared" si="101"/>
        <v>1</v>
      </c>
      <c r="AI181" s="2">
        <f t="shared" si="102"/>
        <v>0</v>
      </c>
    </row>
    <row r="182" spans="1:35" s="3" customFormat="1" ht="14.25" customHeight="1" x14ac:dyDescent="0.25">
      <c r="A182" s="29">
        <v>0</v>
      </c>
      <c r="B182" s="29">
        <v>2</v>
      </c>
      <c r="C182" s="29">
        <v>4</v>
      </c>
      <c r="D182" s="30" t="s">
        <v>62</v>
      </c>
      <c r="E182" s="30" t="s">
        <v>36</v>
      </c>
      <c r="F182" s="30" t="s">
        <v>134</v>
      </c>
      <c r="G182" s="30" t="s">
        <v>40</v>
      </c>
      <c r="H182" s="30" t="s">
        <v>165</v>
      </c>
      <c r="I182" s="29" t="s">
        <v>183</v>
      </c>
      <c r="J182" s="29">
        <v>4</v>
      </c>
      <c r="K182" s="29" t="s">
        <v>320</v>
      </c>
      <c r="L182" s="29" t="s">
        <v>845</v>
      </c>
      <c r="M182" s="30" t="s">
        <v>739</v>
      </c>
      <c r="N182" s="30" t="s">
        <v>909</v>
      </c>
      <c r="O182" s="31">
        <v>1</v>
      </c>
      <c r="P182" s="31"/>
      <c r="Q182" s="30"/>
      <c r="R182" s="2"/>
      <c r="S182" s="2">
        <f t="shared" si="87"/>
        <v>0</v>
      </c>
      <c r="T182" s="2">
        <f t="shared" si="88"/>
        <v>0</v>
      </c>
      <c r="U182" s="2">
        <f t="shared" si="89"/>
        <v>0</v>
      </c>
      <c r="V182" s="2">
        <f t="shared" si="90"/>
        <v>1</v>
      </c>
      <c r="W182" s="2">
        <f t="shared" si="91"/>
        <v>0</v>
      </c>
      <c r="X182" s="2">
        <f t="shared" si="92"/>
        <v>0</v>
      </c>
      <c r="Y182" s="2">
        <f t="shared" si="93"/>
        <v>0</v>
      </c>
      <c r="Z182" s="2">
        <f t="shared" si="94"/>
        <v>0</v>
      </c>
      <c r="AA182" s="2">
        <f t="shared" si="95"/>
        <v>0</v>
      </c>
      <c r="AB182" s="2">
        <f t="shared" si="96"/>
        <v>0</v>
      </c>
      <c r="AC182" s="2"/>
      <c r="AD182" s="2">
        <f t="shared" si="97"/>
        <v>0</v>
      </c>
      <c r="AE182" s="2">
        <f t="shared" si="98"/>
        <v>1</v>
      </c>
      <c r="AF182" s="2">
        <f t="shared" si="99"/>
        <v>0</v>
      </c>
      <c r="AG182" s="2">
        <f t="shared" si="100"/>
        <v>1</v>
      </c>
      <c r="AH182" s="2">
        <f t="shared" si="101"/>
        <v>0</v>
      </c>
      <c r="AI182" s="2">
        <f t="shared" si="102"/>
        <v>1</v>
      </c>
    </row>
    <row r="183" spans="1:35" s="3" customFormat="1" ht="14.25" customHeight="1" x14ac:dyDescent="0.25">
      <c r="A183" s="29">
        <v>0</v>
      </c>
      <c r="B183" s="29">
        <v>2</v>
      </c>
      <c r="C183" s="29">
        <v>4</v>
      </c>
      <c r="D183" s="30" t="s">
        <v>65</v>
      </c>
      <c r="E183" s="30" t="s">
        <v>88</v>
      </c>
      <c r="F183" s="30" t="s">
        <v>141</v>
      </c>
      <c r="G183" s="30" t="s">
        <v>140</v>
      </c>
      <c r="H183" s="30" t="s">
        <v>165</v>
      </c>
      <c r="I183" s="29" t="s">
        <v>186</v>
      </c>
      <c r="J183" s="29">
        <v>99</v>
      </c>
      <c r="K183" s="29" t="s">
        <v>320</v>
      </c>
      <c r="L183" s="29" t="s">
        <v>338</v>
      </c>
      <c r="M183" s="30" t="s">
        <v>205</v>
      </c>
      <c r="N183" s="30" t="s">
        <v>888</v>
      </c>
      <c r="O183" s="31">
        <v>1</v>
      </c>
      <c r="P183" s="31"/>
      <c r="Q183" s="30"/>
      <c r="R183" s="2"/>
      <c r="S183" s="2">
        <f t="shared" si="87"/>
        <v>0</v>
      </c>
      <c r="T183" s="2">
        <f t="shared" si="88"/>
        <v>0</v>
      </c>
      <c r="U183" s="2">
        <f t="shared" si="89"/>
        <v>0</v>
      </c>
      <c r="V183" s="2">
        <f t="shared" si="90"/>
        <v>0</v>
      </c>
      <c r="W183" s="2">
        <f t="shared" si="91"/>
        <v>0</v>
      </c>
      <c r="X183" s="2">
        <f t="shared" si="92"/>
        <v>0</v>
      </c>
      <c r="Y183" s="2">
        <f t="shared" si="93"/>
        <v>0</v>
      </c>
      <c r="Z183" s="2">
        <f t="shared" si="94"/>
        <v>0</v>
      </c>
      <c r="AA183" s="2">
        <f t="shared" si="95"/>
        <v>0</v>
      </c>
      <c r="AB183" s="2">
        <f t="shared" si="96"/>
        <v>0</v>
      </c>
      <c r="AC183" s="2"/>
      <c r="AD183" s="2">
        <f t="shared" si="97"/>
        <v>0</v>
      </c>
      <c r="AE183" s="2">
        <f t="shared" si="98"/>
        <v>1</v>
      </c>
      <c r="AF183" s="2">
        <f t="shared" si="99"/>
        <v>0</v>
      </c>
      <c r="AG183" s="2">
        <f t="shared" si="100"/>
        <v>1</v>
      </c>
      <c r="AH183" s="2">
        <f t="shared" si="101"/>
        <v>0</v>
      </c>
      <c r="AI183" s="2">
        <f t="shared" si="102"/>
        <v>1</v>
      </c>
    </row>
    <row r="184" spans="1:35" ht="14.25" customHeight="1" x14ac:dyDescent="0.25">
      <c r="A184" s="29">
        <v>0</v>
      </c>
      <c r="B184" s="29">
        <v>2</v>
      </c>
      <c r="C184" s="29">
        <v>4</v>
      </c>
      <c r="D184" s="30" t="s">
        <v>81</v>
      </c>
      <c r="E184" s="30" t="s">
        <v>36</v>
      </c>
      <c r="F184" s="30" t="s">
        <v>164</v>
      </c>
      <c r="G184" s="30" t="s">
        <v>130</v>
      </c>
      <c r="H184" s="30" t="s">
        <v>165</v>
      </c>
      <c r="I184" s="29" t="s">
        <v>204</v>
      </c>
      <c r="J184" s="29">
        <v>10</v>
      </c>
      <c r="K184" s="29" t="s">
        <v>318</v>
      </c>
      <c r="L184" s="29" t="s">
        <v>846</v>
      </c>
      <c r="M184" s="30" t="s">
        <v>740</v>
      </c>
      <c r="N184" s="30" t="s">
        <v>909</v>
      </c>
      <c r="O184" s="31">
        <v>1</v>
      </c>
      <c r="P184" s="31"/>
      <c r="Q184" s="30"/>
      <c r="S184" s="2">
        <f t="shared" si="87"/>
        <v>0</v>
      </c>
      <c r="T184" s="2">
        <f t="shared" si="88"/>
        <v>0</v>
      </c>
      <c r="U184" s="2">
        <f t="shared" si="89"/>
        <v>0</v>
      </c>
      <c r="V184" s="2">
        <f t="shared" si="90"/>
        <v>0</v>
      </c>
      <c r="W184" s="2">
        <f t="shared" si="91"/>
        <v>0</v>
      </c>
      <c r="X184" s="2">
        <f t="shared" si="92"/>
        <v>0</v>
      </c>
      <c r="Y184" s="2">
        <f t="shared" si="93"/>
        <v>0</v>
      </c>
      <c r="Z184" s="2">
        <f t="shared" si="94"/>
        <v>0</v>
      </c>
      <c r="AA184" s="2">
        <f t="shared" si="95"/>
        <v>0</v>
      </c>
      <c r="AB184" s="2">
        <f t="shared" si="96"/>
        <v>1</v>
      </c>
      <c r="AD184" s="2">
        <f t="shared" si="97"/>
        <v>0</v>
      </c>
      <c r="AE184" s="2">
        <f t="shared" si="98"/>
        <v>1</v>
      </c>
      <c r="AF184" s="2">
        <f t="shared" si="99"/>
        <v>0</v>
      </c>
      <c r="AG184" s="2">
        <f t="shared" si="100"/>
        <v>1</v>
      </c>
      <c r="AH184" s="2">
        <f t="shared" si="101"/>
        <v>0</v>
      </c>
      <c r="AI184" s="2">
        <f t="shared" si="102"/>
        <v>1</v>
      </c>
    </row>
    <row r="185" spans="1:35" ht="14.25" customHeight="1" x14ac:dyDescent="0.25">
      <c r="A185" s="20">
        <v>0</v>
      </c>
      <c r="B185" s="20">
        <v>2</v>
      </c>
      <c r="C185" s="20">
        <v>4</v>
      </c>
      <c r="D185" s="21" t="s">
        <v>955</v>
      </c>
      <c r="E185" s="21" t="s">
        <v>956</v>
      </c>
      <c r="F185" s="21" t="s">
        <v>957</v>
      </c>
      <c r="G185" s="21" t="s">
        <v>958</v>
      </c>
      <c r="H185" s="21" t="s">
        <v>165</v>
      </c>
      <c r="I185" s="20"/>
      <c r="J185" s="20"/>
      <c r="K185" s="20" t="s">
        <v>376</v>
      </c>
      <c r="L185" s="20">
        <v>35</v>
      </c>
      <c r="M185" s="21" t="s">
        <v>959</v>
      </c>
      <c r="N185" s="21"/>
      <c r="O185" s="20"/>
      <c r="P185" s="20"/>
      <c r="Q185" s="21"/>
      <c r="S185" s="2">
        <f t="shared" si="87"/>
        <v>0</v>
      </c>
      <c r="T185" s="2">
        <f t="shared" si="88"/>
        <v>0</v>
      </c>
      <c r="U185" s="2">
        <f t="shared" si="89"/>
        <v>0</v>
      </c>
      <c r="V185" s="2">
        <f t="shared" si="90"/>
        <v>0</v>
      </c>
      <c r="W185" s="2">
        <f t="shared" si="91"/>
        <v>0</v>
      </c>
      <c r="X185" s="2">
        <f t="shared" si="92"/>
        <v>0</v>
      </c>
      <c r="Y185" s="2">
        <f t="shared" si="93"/>
        <v>0</v>
      </c>
      <c r="Z185" s="2">
        <f t="shared" si="94"/>
        <v>0</v>
      </c>
      <c r="AA185" s="2">
        <f t="shared" si="95"/>
        <v>0</v>
      </c>
      <c r="AB185" s="2">
        <f t="shared" si="96"/>
        <v>0</v>
      </c>
      <c r="AD185" s="2">
        <f t="shared" si="97"/>
        <v>0</v>
      </c>
      <c r="AE185" s="2">
        <f t="shared" si="98"/>
        <v>0</v>
      </c>
      <c r="AF185" s="2">
        <f t="shared" si="99"/>
        <v>0</v>
      </c>
      <c r="AG185" s="2">
        <f t="shared" si="100"/>
        <v>0</v>
      </c>
      <c r="AH185" s="2">
        <f t="shared" si="101"/>
        <v>0</v>
      </c>
      <c r="AI185" s="2">
        <f t="shared" si="102"/>
        <v>1</v>
      </c>
    </row>
    <row r="186" spans="1:35" ht="14.25" customHeight="1" x14ac:dyDescent="0.25">
      <c r="A186" s="20">
        <v>0</v>
      </c>
      <c r="B186" s="20">
        <v>2</v>
      </c>
      <c r="C186" s="20">
        <v>4</v>
      </c>
      <c r="D186" s="21" t="s">
        <v>288</v>
      </c>
      <c r="E186" s="21" t="s">
        <v>85</v>
      </c>
      <c r="F186" s="21" t="s">
        <v>366</v>
      </c>
      <c r="G186" s="21" t="s">
        <v>308</v>
      </c>
      <c r="H186" s="21" t="s">
        <v>165</v>
      </c>
      <c r="I186" s="20" t="s">
        <v>289</v>
      </c>
      <c r="J186" s="20">
        <v>6</v>
      </c>
      <c r="K186" s="20" t="s">
        <v>319</v>
      </c>
      <c r="L186" s="20">
        <v>30</v>
      </c>
      <c r="M186" s="35" t="s">
        <v>885</v>
      </c>
      <c r="N186" s="21"/>
      <c r="O186" s="7"/>
      <c r="P186" s="7"/>
      <c r="Q186" s="21"/>
      <c r="S186" s="2">
        <f t="shared" si="87"/>
        <v>0</v>
      </c>
      <c r="T186" s="2">
        <f t="shared" si="88"/>
        <v>0</v>
      </c>
      <c r="U186" s="2">
        <f t="shared" si="89"/>
        <v>0</v>
      </c>
      <c r="V186" s="2">
        <f t="shared" si="90"/>
        <v>0</v>
      </c>
      <c r="W186" s="2">
        <f t="shared" si="91"/>
        <v>0</v>
      </c>
      <c r="X186" s="2">
        <f t="shared" si="92"/>
        <v>1</v>
      </c>
      <c r="Y186" s="2">
        <f t="shared" si="93"/>
        <v>0</v>
      </c>
      <c r="Z186" s="2">
        <f t="shared" si="94"/>
        <v>0</v>
      </c>
      <c r="AA186" s="2">
        <f t="shared" si="95"/>
        <v>0</v>
      </c>
      <c r="AB186" s="2">
        <f t="shared" si="96"/>
        <v>0</v>
      </c>
      <c r="AD186" s="2">
        <f t="shared" si="97"/>
        <v>0</v>
      </c>
      <c r="AE186" s="2">
        <f t="shared" si="98"/>
        <v>0</v>
      </c>
      <c r="AF186" s="2">
        <f t="shared" si="99"/>
        <v>0</v>
      </c>
      <c r="AG186" s="2">
        <f t="shared" si="100"/>
        <v>0</v>
      </c>
      <c r="AH186" s="2">
        <f t="shared" si="101"/>
        <v>0</v>
      </c>
      <c r="AI186" s="2">
        <f t="shared" si="102"/>
        <v>1</v>
      </c>
    </row>
    <row r="187" spans="1:35" ht="14.25" customHeight="1" x14ac:dyDescent="0.25">
      <c r="A187" s="29">
        <v>0</v>
      </c>
      <c r="B187" s="29">
        <v>2</v>
      </c>
      <c r="C187" s="29">
        <v>4</v>
      </c>
      <c r="D187" s="30" t="s">
        <v>565</v>
      </c>
      <c r="E187" s="30" t="s">
        <v>36</v>
      </c>
      <c r="F187" s="30" t="s">
        <v>527</v>
      </c>
      <c r="G187" s="30" t="s">
        <v>103</v>
      </c>
      <c r="H187" s="30" t="s">
        <v>165</v>
      </c>
      <c r="I187" s="29" t="s">
        <v>528</v>
      </c>
      <c r="J187" s="29">
        <v>6</v>
      </c>
      <c r="K187" s="29" t="s">
        <v>318</v>
      </c>
      <c r="L187" s="29">
        <v>35</v>
      </c>
      <c r="M187" s="30" t="s">
        <v>694</v>
      </c>
      <c r="N187" s="30" t="s">
        <v>914</v>
      </c>
      <c r="O187" s="31">
        <v>1</v>
      </c>
      <c r="P187" s="31"/>
      <c r="Q187" s="30"/>
      <c r="S187" s="2">
        <f t="shared" si="87"/>
        <v>0</v>
      </c>
      <c r="T187" s="2">
        <f t="shared" si="88"/>
        <v>0</v>
      </c>
      <c r="U187" s="2">
        <f t="shared" si="89"/>
        <v>0</v>
      </c>
      <c r="V187" s="2">
        <f t="shared" si="90"/>
        <v>0</v>
      </c>
      <c r="W187" s="2">
        <f t="shared" si="91"/>
        <v>0</v>
      </c>
      <c r="X187" s="2">
        <f t="shared" si="92"/>
        <v>1</v>
      </c>
      <c r="Y187" s="2">
        <f t="shared" si="93"/>
        <v>0</v>
      </c>
      <c r="Z187" s="2">
        <f t="shared" si="94"/>
        <v>0</v>
      </c>
      <c r="AA187" s="2">
        <f t="shared" si="95"/>
        <v>0</v>
      </c>
      <c r="AB187" s="2">
        <f t="shared" si="96"/>
        <v>0</v>
      </c>
      <c r="AD187" s="2">
        <f t="shared" si="97"/>
        <v>0</v>
      </c>
      <c r="AE187" s="2">
        <f t="shared" si="98"/>
        <v>1</v>
      </c>
      <c r="AF187" s="2">
        <f t="shared" si="99"/>
        <v>0</v>
      </c>
      <c r="AG187" s="2">
        <f t="shared" si="100"/>
        <v>1</v>
      </c>
      <c r="AH187" s="2">
        <f t="shared" si="101"/>
        <v>0</v>
      </c>
      <c r="AI187" s="2">
        <f t="shared" si="102"/>
        <v>1</v>
      </c>
    </row>
    <row r="188" spans="1:35" ht="14.25" customHeight="1" x14ac:dyDescent="0.25">
      <c r="A188" s="20">
        <v>0</v>
      </c>
      <c r="B188" s="20">
        <v>2</v>
      </c>
      <c r="C188" s="20">
        <v>4</v>
      </c>
      <c r="D188" s="21" t="s">
        <v>803</v>
      </c>
      <c r="E188" s="21" t="s">
        <v>29</v>
      </c>
      <c r="F188" s="21" t="s">
        <v>816</v>
      </c>
      <c r="G188" s="21" t="s">
        <v>817</v>
      </c>
      <c r="H188" s="21" t="s">
        <v>165</v>
      </c>
      <c r="I188" s="20" t="s">
        <v>836</v>
      </c>
      <c r="J188" s="20">
        <v>99</v>
      </c>
      <c r="K188" s="20" t="s">
        <v>318</v>
      </c>
      <c r="L188" s="20" t="s">
        <v>343</v>
      </c>
      <c r="M188" s="21" t="s">
        <v>642</v>
      </c>
      <c r="N188" s="21"/>
      <c r="O188" s="7"/>
      <c r="P188" s="7"/>
      <c r="Q188" s="21"/>
      <c r="S188" s="2">
        <f t="shared" si="87"/>
        <v>0</v>
      </c>
      <c r="T188" s="2">
        <f t="shared" si="88"/>
        <v>0</v>
      </c>
      <c r="U188" s="2">
        <f t="shared" si="89"/>
        <v>0</v>
      </c>
      <c r="V188" s="2">
        <f t="shared" si="90"/>
        <v>0</v>
      </c>
      <c r="W188" s="2">
        <f t="shared" si="91"/>
        <v>0</v>
      </c>
      <c r="X188" s="2">
        <f t="shared" si="92"/>
        <v>0</v>
      </c>
      <c r="Y188" s="2">
        <f t="shared" si="93"/>
        <v>0</v>
      </c>
      <c r="Z188" s="2">
        <f t="shared" si="94"/>
        <v>0</v>
      </c>
      <c r="AA188" s="2">
        <f t="shared" si="95"/>
        <v>0</v>
      </c>
      <c r="AB188" s="2">
        <f t="shared" si="96"/>
        <v>0</v>
      </c>
      <c r="AD188" s="2">
        <f t="shared" si="97"/>
        <v>0</v>
      </c>
      <c r="AE188" s="2">
        <f t="shared" si="98"/>
        <v>0</v>
      </c>
      <c r="AF188" s="2">
        <f t="shared" si="99"/>
        <v>0</v>
      </c>
      <c r="AG188" s="2">
        <f t="shared" si="100"/>
        <v>0</v>
      </c>
      <c r="AH188" s="2">
        <f t="shared" si="101"/>
        <v>0</v>
      </c>
      <c r="AI188" s="2">
        <f t="shared" si="102"/>
        <v>1</v>
      </c>
    </row>
    <row r="189" spans="1:35" ht="14.25" customHeight="1" x14ac:dyDescent="0.25">
      <c r="A189" s="20">
        <v>0</v>
      </c>
      <c r="B189" s="20">
        <v>2</v>
      </c>
      <c r="C189" s="20">
        <v>4</v>
      </c>
      <c r="D189" s="21" t="s">
        <v>567</v>
      </c>
      <c r="E189" s="21" t="s">
        <v>36</v>
      </c>
      <c r="F189" s="21" t="s">
        <v>579</v>
      </c>
      <c r="G189" s="21" t="s">
        <v>517</v>
      </c>
      <c r="H189" s="21" t="s">
        <v>165</v>
      </c>
      <c r="I189" s="20" t="s">
        <v>538</v>
      </c>
      <c r="J189" s="20">
        <v>7</v>
      </c>
      <c r="K189" s="20" t="s">
        <v>376</v>
      </c>
      <c r="L189" s="20">
        <v>30</v>
      </c>
      <c r="M189" s="21" t="s">
        <v>599</v>
      </c>
      <c r="N189" s="21"/>
      <c r="O189" s="7"/>
      <c r="P189" s="7"/>
      <c r="Q189" s="21"/>
      <c r="S189" s="2">
        <f t="shared" si="87"/>
        <v>0</v>
      </c>
      <c r="T189" s="2">
        <f t="shared" si="88"/>
        <v>0</v>
      </c>
      <c r="U189" s="2">
        <f t="shared" si="89"/>
        <v>0</v>
      </c>
      <c r="V189" s="2">
        <f t="shared" si="90"/>
        <v>0</v>
      </c>
      <c r="W189" s="2">
        <f t="shared" si="91"/>
        <v>0</v>
      </c>
      <c r="X189" s="2">
        <f t="shared" si="92"/>
        <v>0</v>
      </c>
      <c r="Y189" s="2">
        <f t="shared" si="93"/>
        <v>1</v>
      </c>
      <c r="Z189" s="2">
        <f t="shared" si="94"/>
        <v>0</v>
      </c>
      <c r="AA189" s="2">
        <f t="shared" si="95"/>
        <v>0</v>
      </c>
      <c r="AB189" s="2">
        <f t="shared" si="96"/>
        <v>0</v>
      </c>
      <c r="AD189" s="2">
        <f t="shared" si="97"/>
        <v>0</v>
      </c>
      <c r="AE189" s="2">
        <f t="shared" si="98"/>
        <v>0</v>
      </c>
      <c r="AF189" s="2">
        <f t="shared" si="99"/>
        <v>0</v>
      </c>
      <c r="AG189" s="2">
        <f t="shared" si="100"/>
        <v>0</v>
      </c>
      <c r="AH189" s="2">
        <f t="shared" si="101"/>
        <v>0</v>
      </c>
      <c r="AI189" s="2">
        <f t="shared" si="102"/>
        <v>1</v>
      </c>
    </row>
    <row r="190" spans="1:35" ht="14.25" customHeight="1" x14ac:dyDescent="0.25">
      <c r="A190" s="29">
        <v>0</v>
      </c>
      <c r="B190" s="29">
        <v>2</v>
      </c>
      <c r="C190" s="29">
        <v>4</v>
      </c>
      <c r="D190" s="30" t="s">
        <v>679</v>
      </c>
      <c r="E190" s="30" t="s">
        <v>673</v>
      </c>
      <c r="F190" s="30" t="s">
        <v>612</v>
      </c>
      <c r="G190" s="30" t="s">
        <v>125</v>
      </c>
      <c r="H190" s="30" t="s">
        <v>165</v>
      </c>
      <c r="I190" s="29" t="s">
        <v>613</v>
      </c>
      <c r="J190" s="29">
        <v>99</v>
      </c>
      <c r="K190" s="29" t="s">
        <v>318</v>
      </c>
      <c r="L190" s="29" t="s">
        <v>343</v>
      </c>
      <c r="M190" s="30" t="s">
        <v>780</v>
      </c>
      <c r="N190" s="30" t="s">
        <v>909</v>
      </c>
      <c r="O190" s="31">
        <v>1</v>
      </c>
      <c r="P190" s="31"/>
      <c r="Q190" s="30"/>
      <c r="S190" s="2">
        <f t="shared" si="87"/>
        <v>0</v>
      </c>
      <c r="T190" s="2">
        <f t="shared" si="88"/>
        <v>0</v>
      </c>
      <c r="U190" s="2">
        <f t="shared" si="89"/>
        <v>0</v>
      </c>
      <c r="V190" s="2">
        <f t="shared" si="90"/>
        <v>0</v>
      </c>
      <c r="W190" s="2">
        <f t="shared" si="91"/>
        <v>0</v>
      </c>
      <c r="X190" s="2">
        <f t="shared" si="92"/>
        <v>0</v>
      </c>
      <c r="Y190" s="2">
        <f t="shared" si="93"/>
        <v>0</v>
      </c>
      <c r="Z190" s="2">
        <f t="shared" si="94"/>
        <v>0</v>
      </c>
      <c r="AA190" s="2">
        <f t="shared" si="95"/>
        <v>0</v>
      </c>
      <c r="AB190" s="2">
        <f t="shared" si="96"/>
        <v>0</v>
      </c>
      <c r="AD190" s="2">
        <f t="shared" si="97"/>
        <v>0</v>
      </c>
      <c r="AE190" s="2">
        <f t="shared" si="98"/>
        <v>1</v>
      </c>
      <c r="AF190" s="2">
        <f t="shared" si="99"/>
        <v>0</v>
      </c>
      <c r="AG190" s="2">
        <f t="shared" si="100"/>
        <v>1</v>
      </c>
      <c r="AH190" s="2">
        <f t="shared" si="101"/>
        <v>0</v>
      </c>
      <c r="AI190" s="2">
        <f t="shared" si="102"/>
        <v>1</v>
      </c>
    </row>
    <row r="191" spans="1:35" ht="14.25" customHeight="1" x14ac:dyDescent="0.25">
      <c r="A191" s="29">
        <v>0</v>
      </c>
      <c r="B191" s="29">
        <v>2</v>
      </c>
      <c r="C191" s="29">
        <v>4</v>
      </c>
      <c r="D191" s="30" t="s">
        <v>760</v>
      </c>
      <c r="E191" s="30" t="s">
        <v>761</v>
      </c>
      <c r="F191" s="30" t="s">
        <v>762</v>
      </c>
      <c r="G191" s="30"/>
      <c r="H191" s="30" t="s">
        <v>165</v>
      </c>
      <c r="I191" s="29" t="s">
        <v>763</v>
      </c>
      <c r="J191" s="29">
        <v>99</v>
      </c>
      <c r="K191" s="29" t="s">
        <v>376</v>
      </c>
      <c r="L191" s="29">
        <v>35</v>
      </c>
      <c r="M191" s="30" t="s">
        <v>929</v>
      </c>
      <c r="N191" s="30" t="s">
        <v>882</v>
      </c>
      <c r="O191" s="31">
        <v>1</v>
      </c>
      <c r="P191" s="31"/>
      <c r="Q191" s="30"/>
      <c r="S191" s="2">
        <f t="shared" si="87"/>
        <v>0</v>
      </c>
      <c r="T191" s="2">
        <f t="shared" si="88"/>
        <v>0</v>
      </c>
      <c r="U191" s="2">
        <f t="shared" si="89"/>
        <v>0</v>
      </c>
      <c r="V191" s="2">
        <f t="shared" si="90"/>
        <v>0</v>
      </c>
      <c r="W191" s="2">
        <f t="shared" si="91"/>
        <v>0</v>
      </c>
      <c r="X191" s="2">
        <f t="shared" si="92"/>
        <v>0</v>
      </c>
      <c r="Y191" s="2">
        <f t="shared" si="93"/>
        <v>0</v>
      </c>
      <c r="Z191" s="2">
        <f t="shared" si="94"/>
        <v>0</v>
      </c>
      <c r="AA191" s="2">
        <f t="shared" si="95"/>
        <v>0</v>
      </c>
      <c r="AB191" s="2">
        <f t="shared" si="96"/>
        <v>0</v>
      </c>
      <c r="AD191" s="2">
        <f t="shared" si="97"/>
        <v>0</v>
      </c>
      <c r="AE191" s="2">
        <f t="shared" si="98"/>
        <v>1</v>
      </c>
      <c r="AF191" s="2">
        <f t="shared" si="99"/>
        <v>0</v>
      </c>
      <c r="AG191" s="2">
        <f t="shared" si="100"/>
        <v>1</v>
      </c>
      <c r="AH191" s="2">
        <f t="shared" si="101"/>
        <v>0</v>
      </c>
      <c r="AI191" s="2">
        <f t="shared" si="102"/>
        <v>1</v>
      </c>
    </row>
    <row r="192" spans="1:35" ht="14.25" customHeight="1" x14ac:dyDescent="0.25">
      <c r="A192" s="29">
        <v>0</v>
      </c>
      <c r="B192" s="29">
        <v>2</v>
      </c>
      <c r="C192" s="29">
        <v>4</v>
      </c>
      <c r="D192" s="30" t="s">
        <v>67</v>
      </c>
      <c r="E192" s="30" t="s">
        <v>89</v>
      </c>
      <c r="F192" s="30" t="s">
        <v>144</v>
      </c>
      <c r="G192" s="30" t="s">
        <v>129</v>
      </c>
      <c r="H192" s="30" t="s">
        <v>165</v>
      </c>
      <c r="I192" s="29" t="s">
        <v>190</v>
      </c>
      <c r="J192" s="29">
        <v>99</v>
      </c>
      <c r="K192" s="29" t="s">
        <v>321</v>
      </c>
      <c r="L192" s="29">
        <v>25</v>
      </c>
      <c r="M192" s="30" t="s">
        <v>979</v>
      </c>
      <c r="N192" s="30" t="s">
        <v>882</v>
      </c>
      <c r="O192" s="31">
        <v>1</v>
      </c>
      <c r="P192" s="31"/>
      <c r="Q192" s="30"/>
      <c r="S192" s="2">
        <f t="shared" si="87"/>
        <v>0</v>
      </c>
      <c r="T192" s="2">
        <f t="shared" si="88"/>
        <v>0</v>
      </c>
      <c r="U192" s="2">
        <f t="shared" si="89"/>
        <v>0</v>
      </c>
      <c r="V192" s="2">
        <f t="shared" si="90"/>
        <v>0</v>
      </c>
      <c r="W192" s="2">
        <f t="shared" si="91"/>
        <v>0</v>
      </c>
      <c r="X192" s="2">
        <f t="shared" si="92"/>
        <v>0</v>
      </c>
      <c r="Y192" s="2">
        <f t="shared" si="93"/>
        <v>0</v>
      </c>
      <c r="Z192" s="2">
        <f t="shared" si="94"/>
        <v>0</v>
      </c>
      <c r="AA192" s="2">
        <f t="shared" si="95"/>
        <v>0</v>
      </c>
      <c r="AB192" s="2">
        <f t="shared" si="96"/>
        <v>0</v>
      </c>
      <c r="AD192" s="2">
        <f t="shared" si="97"/>
        <v>0</v>
      </c>
      <c r="AE192" s="2">
        <f t="shared" si="98"/>
        <v>1</v>
      </c>
      <c r="AF192" s="2">
        <f t="shared" si="99"/>
        <v>0</v>
      </c>
      <c r="AG192" s="2">
        <f t="shared" si="100"/>
        <v>1</v>
      </c>
      <c r="AH192" s="2">
        <f t="shared" si="101"/>
        <v>0</v>
      </c>
      <c r="AI192" s="2">
        <f t="shared" si="102"/>
        <v>1</v>
      </c>
    </row>
    <row r="193" spans="1:35" ht="14.25" customHeight="1" x14ac:dyDescent="0.25">
      <c r="A193" s="29">
        <v>0</v>
      </c>
      <c r="B193" s="29">
        <v>2</v>
      </c>
      <c r="C193" s="29">
        <v>4</v>
      </c>
      <c r="D193" s="30" t="s">
        <v>424</v>
      </c>
      <c r="E193" s="30" t="s">
        <v>234</v>
      </c>
      <c r="F193" s="30" t="s">
        <v>425</v>
      </c>
      <c r="G193" s="30" t="s">
        <v>96</v>
      </c>
      <c r="H193" s="30" t="s">
        <v>165</v>
      </c>
      <c r="I193" s="29" t="s">
        <v>426</v>
      </c>
      <c r="J193" s="29">
        <v>3</v>
      </c>
      <c r="K193" s="29" t="s">
        <v>318</v>
      </c>
      <c r="L193" s="29" t="s">
        <v>339</v>
      </c>
      <c r="M193" s="30" t="s">
        <v>741</v>
      </c>
      <c r="N193" s="30" t="s">
        <v>893</v>
      </c>
      <c r="O193" s="31">
        <v>1</v>
      </c>
      <c r="P193" s="31"/>
      <c r="Q193" s="30"/>
      <c r="S193" s="2">
        <f t="shared" si="87"/>
        <v>0</v>
      </c>
      <c r="T193" s="2">
        <f t="shared" si="88"/>
        <v>0</v>
      </c>
      <c r="U193" s="2">
        <f t="shared" si="89"/>
        <v>1</v>
      </c>
      <c r="V193" s="2">
        <f t="shared" si="90"/>
        <v>0</v>
      </c>
      <c r="W193" s="2">
        <f t="shared" si="91"/>
        <v>0</v>
      </c>
      <c r="X193" s="2">
        <f t="shared" si="92"/>
        <v>0</v>
      </c>
      <c r="Y193" s="2">
        <f t="shared" si="93"/>
        <v>0</v>
      </c>
      <c r="Z193" s="2">
        <f t="shared" si="94"/>
        <v>0</v>
      </c>
      <c r="AA193" s="2">
        <f t="shared" si="95"/>
        <v>0</v>
      </c>
      <c r="AB193" s="2">
        <f t="shared" si="96"/>
        <v>0</v>
      </c>
      <c r="AD193" s="2">
        <f t="shared" si="97"/>
        <v>0</v>
      </c>
      <c r="AE193" s="2">
        <f t="shared" si="98"/>
        <v>1</v>
      </c>
      <c r="AF193" s="2">
        <f t="shared" si="99"/>
        <v>0</v>
      </c>
      <c r="AG193" s="2">
        <f t="shared" si="100"/>
        <v>1</v>
      </c>
      <c r="AH193" s="2">
        <f t="shared" si="101"/>
        <v>0</v>
      </c>
      <c r="AI193" s="2">
        <f t="shared" si="102"/>
        <v>1</v>
      </c>
    </row>
    <row r="194" spans="1:35" ht="14.25" customHeight="1" x14ac:dyDescent="0.25">
      <c r="A194" s="29">
        <v>0</v>
      </c>
      <c r="B194" s="29">
        <v>2</v>
      </c>
      <c r="C194" s="29">
        <v>4</v>
      </c>
      <c r="D194" s="30" t="s">
        <v>214</v>
      </c>
      <c r="E194" s="30" t="s">
        <v>36</v>
      </c>
      <c r="F194" s="30" t="s">
        <v>213</v>
      </c>
      <c r="G194" s="30" t="s">
        <v>97</v>
      </c>
      <c r="H194" s="30" t="s">
        <v>165</v>
      </c>
      <c r="I194" s="29" t="s">
        <v>212</v>
      </c>
      <c r="J194" s="29">
        <v>99</v>
      </c>
      <c r="K194" s="29" t="s">
        <v>376</v>
      </c>
      <c r="L194" s="29">
        <v>25</v>
      </c>
      <c r="M194" s="30" t="s">
        <v>908</v>
      </c>
      <c r="N194" s="30" t="s">
        <v>914</v>
      </c>
      <c r="O194" s="31">
        <v>1</v>
      </c>
      <c r="P194" s="31"/>
      <c r="Q194" s="30"/>
      <c r="S194" s="2">
        <f t="shared" si="87"/>
        <v>0</v>
      </c>
      <c r="T194" s="2">
        <f t="shared" si="88"/>
        <v>0</v>
      </c>
      <c r="U194" s="2">
        <f t="shared" si="89"/>
        <v>0</v>
      </c>
      <c r="V194" s="2">
        <f t="shared" si="90"/>
        <v>0</v>
      </c>
      <c r="W194" s="2">
        <f t="shared" si="91"/>
        <v>0</v>
      </c>
      <c r="X194" s="2">
        <f t="shared" si="92"/>
        <v>0</v>
      </c>
      <c r="Y194" s="2">
        <f t="shared" si="93"/>
        <v>0</v>
      </c>
      <c r="Z194" s="2">
        <f t="shared" si="94"/>
        <v>0</v>
      </c>
      <c r="AA194" s="2">
        <f t="shared" si="95"/>
        <v>0</v>
      </c>
      <c r="AB194" s="2">
        <f t="shared" si="96"/>
        <v>0</v>
      </c>
      <c r="AD194" s="2">
        <f t="shared" si="97"/>
        <v>0</v>
      </c>
      <c r="AE194" s="2">
        <f t="shared" si="98"/>
        <v>1</v>
      </c>
      <c r="AF194" s="2">
        <f t="shared" si="99"/>
        <v>0</v>
      </c>
      <c r="AG194" s="2">
        <f t="shared" si="100"/>
        <v>1</v>
      </c>
      <c r="AH194" s="2">
        <f t="shared" si="101"/>
        <v>0</v>
      </c>
      <c r="AI194" s="2">
        <f t="shared" si="102"/>
        <v>1</v>
      </c>
    </row>
    <row r="195" spans="1:35" ht="14.25" customHeight="1" x14ac:dyDescent="0.25">
      <c r="A195" s="20">
        <v>0</v>
      </c>
      <c r="B195" s="20">
        <v>2</v>
      </c>
      <c r="C195" s="20">
        <v>4</v>
      </c>
      <c r="D195" s="21" t="s">
        <v>215</v>
      </c>
      <c r="E195" s="21" t="s">
        <v>216</v>
      </c>
      <c r="F195" s="21" t="s">
        <v>217</v>
      </c>
      <c r="G195" s="21" t="s">
        <v>107</v>
      </c>
      <c r="H195" s="21" t="s">
        <v>165</v>
      </c>
      <c r="I195" s="20" t="s">
        <v>218</v>
      </c>
      <c r="J195" s="20">
        <v>99</v>
      </c>
      <c r="K195" s="20" t="s">
        <v>376</v>
      </c>
      <c r="L195" s="20">
        <v>25</v>
      </c>
      <c r="M195" s="21" t="s">
        <v>496</v>
      </c>
      <c r="N195" s="21"/>
      <c r="O195" s="7"/>
      <c r="P195" s="7"/>
      <c r="Q195" s="21"/>
      <c r="S195" s="2">
        <f t="shared" si="87"/>
        <v>0</v>
      </c>
      <c r="T195" s="2">
        <f t="shared" si="88"/>
        <v>0</v>
      </c>
      <c r="U195" s="2">
        <f t="shared" si="89"/>
        <v>0</v>
      </c>
      <c r="V195" s="2">
        <f t="shared" si="90"/>
        <v>0</v>
      </c>
      <c r="W195" s="2">
        <f t="shared" si="91"/>
        <v>0</v>
      </c>
      <c r="X195" s="2">
        <f t="shared" si="92"/>
        <v>0</v>
      </c>
      <c r="Y195" s="2">
        <f t="shared" si="93"/>
        <v>0</v>
      </c>
      <c r="Z195" s="2">
        <f t="shared" si="94"/>
        <v>0</v>
      </c>
      <c r="AA195" s="2">
        <f t="shared" si="95"/>
        <v>0</v>
      </c>
      <c r="AB195" s="2">
        <f t="shared" si="96"/>
        <v>0</v>
      </c>
      <c r="AD195" s="2">
        <f t="shared" si="97"/>
        <v>0</v>
      </c>
      <c r="AE195" s="2">
        <f t="shared" si="98"/>
        <v>0</v>
      </c>
      <c r="AF195" s="2">
        <f t="shared" si="99"/>
        <v>0</v>
      </c>
      <c r="AG195" s="2">
        <f t="shared" si="100"/>
        <v>0</v>
      </c>
      <c r="AH195" s="2">
        <f t="shared" si="101"/>
        <v>0</v>
      </c>
      <c r="AI195" s="2">
        <f t="shared" si="102"/>
        <v>1</v>
      </c>
    </row>
    <row r="196" spans="1:35" ht="14.25" customHeight="1" x14ac:dyDescent="0.25">
      <c r="A196" s="20">
        <v>0</v>
      </c>
      <c r="B196" s="20">
        <v>2</v>
      </c>
      <c r="C196" s="20">
        <v>5</v>
      </c>
      <c r="D196" s="21" t="s">
        <v>419</v>
      </c>
      <c r="E196" s="21" t="s">
        <v>421</v>
      </c>
      <c r="F196" s="21" t="s">
        <v>574</v>
      </c>
      <c r="G196" s="21" t="s">
        <v>154</v>
      </c>
      <c r="H196" s="21" t="s">
        <v>165</v>
      </c>
      <c r="I196" s="20" t="s">
        <v>420</v>
      </c>
      <c r="J196" s="20">
        <v>99</v>
      </c>
      <c r="K196" s="20" t="s">
        <v>376</v>
      </c>
      <c r="L196" s="20">
        <v>30</v>
      </c>
      <c r="M196" s="21" t="s">
        <v>600</v>
      </c>
      <c r="N196" s="21"/>
      <c r="O196" s="7"/>
      <c r="P196" s="7"/>
      <c r="Q196" s="21"/>
      <c r="S196" s="2">
        <f t="shared" si="87"/>
        <v>0</v>
      </c>
      <c r="T196" s="2">
        <f t="shared" si="88"/>
        <v>0</v>
      </c>
      <c r="U196" s="2">
        <f t="shared" si="89"/>
        <v>0</v>
      </c>
      <c r="V196" s="2">
        <f t="shared" si="90"/>
        <v>0</v>
      </c>
      <c r="W196" s="2">
        <f t="shared" si="91"/>
        <v>0</v>
      </c>
      <c r="X196" s="2">
        <f t="shared" si="92"/>
        <v>0</v>
      </c>
      <c r="Y196" s="2">
        <f t="shared" si="93"/>
        <v>0</v>
      </c>
      <c r="Z196" s="2">
        <f t="shared" si="94"/>
        <v>0</v>
      </c>
      <c r="AA196" s="2">
        <f t="shared" si="95"/>
        <v>0</v>
      </c>
      <c r="AB196" s="2">
        <f t="shared" si="96"/>
        <v>0</v>
      </c>
      <c r="AD196" s="2">
        <f t="shared" si="97"/>
        <v>0</v>
      </c>
      <c r="AE196" s="2">
        <f t="shared" si="98"/>
        <v>0</v>
      </c>
      <c r="AF196" s="2">
        <f t="shared" si="99"/>
        <v>0</v>
      </c>
      <c r="AG196" s="2">
        <f t="shared" si="100"/>
        <v>0</v>
      </c>
      <c r="AH196" s="2">
        <f t="shared" si="101"/>
        <v>0</v>
      </c>
      <c r="AI196" s="2">
        <f t="shared" si="102"/>
        <v>1</v>
      </c>
    </row>
    <row r="197" spans="1:35" ht="14.25" customHeight="1" x14ac:dyDescent="0.25">
      <c r="A197" s="29">
        <v>0</v>
      </c>
      <c r="B197" s="29">
        <v>2</v>
      </c>
      <c r="C197" s="29">
        <v>5</v>
      </c>
      <c r="D197" s="30" t="s">
        <v>756</v>
      </c>
      <c r="E197" s="30" t="s">
        <v>263</v>
      </c>
      <c r="F197" s="30" t="s">
        <v>757</v>
      </c>
      <c r="G197" s="30" t="s">
        <v>456</v>
      </c>
      <c r="H197" s="30" t="s">
        <v>165</v>
      </c>
      <c r="I197" s="29" t="s">
        <v>33</v>
      </c>
      <c r="J197" s="29">
        <v>99</v>
      </c>
      <c r="K197" s="29" t="s">
        <v>693</v>
      </c>
      <c r="L197" s="29">
        <v>45</v>
      </c>
      <c r="M197" s="30" t="s">
        <v>980</v>
      </c>
      <c r="N197" s="30" t="s">
        <v>888</v>
      </c>
      <c r="O197" s="31">
        <v>1</v>
      </c>
      <c r="P197" s="31"/>
      <c r="Q197" s="30"/>
      <c r="S197" s="2">
        <f t="shared" si="87"/>
        <v>0</v>
      </c>
      <c r="T197" s="2">
        <f t="shared" si="88"/>
        <v>0</v>
      </c>
      <c r="U197" s="2">
        <f t="shared" si="89"/>
        <v>0</v>
      </c>
      <c r="V197" s="2">
        <f t="shared" si="90"/>
        <v>0</v>
      </c>
      <c r="W197" s="2">
        <f t="shared" si="91"/>
        <v>0</v>
      </c>
      <c r="X197" s="2">
        <f t="shared" si="92"/>
        <v>0</v>
      </c>
      <c r="Y197" s="2">
        <f t="shared" si="93"/>
        <v>0</v>
      </c>
      <c r="Z197" s="2">
        <f t="shared" si="94"/>
        <v>0</v>
      </c>
      <c r="AA197" s="2">
        <f t="shared" si="95"/>
        <v>0</v>
      </c>
      <c r="AB197" s="2">
        <f t="shared" si="96"/>
        <v>0</v>
      </c>
      <c r="AD197" s="2">
        <f t="shared" si="97"/>
        <v>0</v>
      </c>
      <c r="AE197" s="2">
        <f t="shared" si="98"/>
        <v>1</v>
      </c>
      <c r="AF197" s="2">
        <f t="shared" si="99"/>
        <v>0</v>
      </c>
      <c r="AG197" s="2">
        <f t="shared" si="100"/>
        <v>1</v>
      </c>
      <c r="AH197" s="2">
        <f t="shared" si="101"/>
        <v>0</v>
      </c>
      <c r="AI197" s="2">
        <f t="shared" si="102"/>
        <v>1</v>
      </c>
    </row>
    <row r="198" spans="1:35" ht="14.25" customHeight="1" x14ac:dyDescent="0.25">
      <c r="A198" s="29">
        <v>0</v>
      </c>
      <c r="B198" s="29">
        <v>2</v>
      </c>
      <c r="C198" s="29">
        <v>5</v>
      </c>
      <c r="D198" s="30" t="s">
        <v>402</v>
      </c>
      <c r="E198" s="30" t="s">
        <v>29</v>
      </c>
      <c r="F198" s="30" t="s">
        <v>287</v>
      </c>
      <c r="G198" s="30" t="s">
        <v>96</v>
      </c>
      <c r="H198" s="30" t="s">
        <v>165</v>
      </c>
      <c r="I198" s="29" t="s">
        <v>489</v>
      </c>
      <c r="J198" s="29">
        <v>3</v>
      </c>
      <c r="K198" s="29" t="s">
        <v>319</v>
      </c>
      <c r="L198" s="29" t="s">
        <v>334</v>
      </c>
      <c r="M198" s="30" t="s">
        <v>745</v>
      </c>
      <c r="N198" s="30" t="s">
        <v>882</v>
      </c>
      <c r="O198" s="31">
        <v>1</v>
      </c>
      <c r="P198" s="31"/>
      <c r="Q198" s="30"/>
      <c r="S198" s="2">
        <f t="shared" si="87"/>
        <v>0</v>
      </c>
      <c r="T198" s="2">
        <f t="shared" si="88"/>
        <v>0</v>
      </c>
      <c r="U198" s="2">
        <f t="shared" si="89"/>
        <v>1</v>
      </c>
      <c r="V198" s="2">
        <f t="shared" si="90"/>
        <v>0</v>
      </c>
      <c r="W198" s="2">
        <f t="shared" si="91"/>
        <v>0</v>
      </c>
      <c r="X198" s="2">
        <f t="shared" si="92"/>
        <v>0</v>
      </c>
      <c r="Y198" s="2">
        <f t="shared" si="93"/>
        <v>0</v>
      </c>
      <c r="Z198" s="2">
        <f t="shared" si="94"/>
        <v>0</v>
      </c>
      <c r="AA198" s="2">
        <f t="shared" si="95"/>
        <v>0</v>
      </c>
      <c r="AB198" s="2">
        <f t="shared" si="96"/>
        <v>0</v>
      </c>
      <c r="AD198" s="2">
        <f t="shared" si="97"/>
        <v>0</v>
      </c>
      <c r="AE198" s="2">
        <f t="shared" si="98"/>
        <v>1</v>
      </c>
      <c r="AF198" s="2">
        <f t="shared" si="99"/>
        <v>0</v>
      </c>
      <c r="AG198" s="2">
        <f t="shared" si="100"/>
        <v>1</v>
      </c>
      <c r="AH198" s="2">
        <f t="shared" si="101"/>
        <v>0</v>
      </c>
      <c r="AI198" s="2">
        <f t="shared" si="102"/>
        <v>1</v>
      </c>
    </row>
    <row r="199" spans="1:35" ht="14.25" customHeight="1" x14ac:dyDescent="0.25">
      <c r="A199" s="29">
        <v>0</v>
      </c>
      <c r="B199" s="29">
        <v>2</v>
      </c>
      <c r="C199" s="29">
        <v>5</v>
      </c>
      <c r="D199" s="30" t="s">
        <v>568</v>
      </c>
      <c r="E199" s="30" t="s">
        <v>36</v>
      </c>
      <c r="F199" s="30" t="s">
        <v>938</v>
      </c>
      <c r="G199" s="30" t="s">
        <v>668</v>
      </c>
      <c r="H199" s="30" t="s">
        <v>165</v>
      </c>
      <c r="I199" s="29" t="s">
        <v>33</v>
      </c>
      <c r="J199" s="29">
        <v>99</v>
      </c>
      <c r="K199" s="29" t="s">
        <v>320</v>
      </c>
      <c r="L199" s="29" t="s">
        <v>335</v>
      </c>
      <c r="M199" s="30" t="s">
        <v>601</v>
      </c>
      <c r="N199" s="30" t="s">
        <v>894</v>
      </c>
      <c r="O199" s="31">
        <v>1</v>
      </c>
      <c r="P199" s="31"/>
      <c r="Q199" s="30" t="s">
        <v>939</v>
      </c>
      <c r="S199" s="2">
        <f t="shared" si="87"/>
        <v>0</v>
      </c>
      <c r="T199" s="2">
        <f t="shared" si="88"/>
        <v>0</v>
      </c>
      <c r="U199" s="2">
        <f t="shared" si="89"/>
        <v>0</v>
      </c>
      <c r="V199" s="2">
        <f t="shared" si="90"/>
        <v>0</v>
      </c>
      <c r="W199" s="2">
        <f t="shared" si="91"/>
        <v>0</v>
      </c>
      <c r="X199" s="2">
        <f t="shared" si="92"/>
        <v>0</v>
      </c>
      <c r="Y199" s="2">
        <f t="shared" si="93"/>
        <v>0</v>
      </c>
      <c r="Z199" s="2">
        <f t="shared" si="94"/>
        <v>0</v>
      </c>
      <c r="AA199" s="2">
        <f t="shared" si="95"/>
        <v>0</v>
      </c>
      <c r="AB199" s="2">
        <f t="shared" si="96"/>
        <v>0</v>
      </c>
      <c r="AD199" s="2">
        <f t="shared" si="97"/>
        <v>0</v>
      </c>
      <c r="AE199" s="2">
        <f t="shared" si="98"/>
        <v>1</v>
      </c>
      <c r="AF199" s="2">
        <f t="shared" si="99"/>
        <v>0</v>
      </c>
      <c r="AG199" s="2">
        <f t="shared" si="100"/>
        <v>1</v>
      </c>
      <c r="AH199" s="2">
        <f t="shared" si="101"/>
        <v>0</v>
      </c>
      <c r="AI199" s="2">
        <f t="shared" si="102"/>
        <v>1</v>
      </c>
    </row>
    <row r="200" spans="1:35" ht="14.25" customHeight="1" x14ac:dyDescent="0.25">
      <c r="A200" s="20">
        <v>0</v>
      </c>
      <c r="B200" s="20">
        <v>2</v>
      </c>
      <c r="C200" s="20">
        <v>5</v>
      </c>
      <c r="D200" s="21" t="s">
        <v>233</v>
      </c>
      <c r="E200" s="21" t="s">
        <v>86</v>
      </c>
      <c r="F200" s="21" t="s">
        <v>254</v>
      </c>
      <c r="G200" s="21" t="s">
        <v>130</v>
      </c>
      <c r="H200" s="21" t="s">
        <v>165</v>
      </c>
      <c r="I200" s="20" t="s">
        <v>592</v>
      </c>
      <c r="J200" s="20">
        <v>10</v>
      </c>
      <c r="K200" s="20" t="s">
        <v>376</v>
      </c>
      <c r="L200" s="20" t="s">
        <v>333</v>
      </c>
      <c r="M200" s="21" t="s">
        <v>271</v>
      </c>
      <c r="N200" s="21"/>
      <c r="O200" s="7"/>
      <c r="P200" s="7"/>
      <c r="Q200" s="21"/>
      <c r="S200" s="2">
        <f t="shared" si="87"/>
        <v>0</v>
      </c>
      <c r="T200" s="2">
        <f t="shared" si="88"/>
        <v>0</v>
      </c>
      <c r="U200" s="2">
        <f t="shared" si="89"/>
        <v>0</v>
      </c>
      <c r="V200" s="2">
        <f t="shared" si="90"/>
        <v>0</v>
      </c>
      <c r="W200" s="2">
        <f t="shared" si="91"/>
        <v>0</v>
      </c>
      <c r="X200" s="2">
        <f t="shared" si="92"/>
        <v>0</v>
      </c>
      <c r="Y200" s="2">
        <f t="shared" si="93"/>
        <v>0</v>
      </c>
      <c r="Z200" s="2">
        <f t="shared" si="94"/>
        <v>0</v>
      </c>
      <c r="AA200" s="2">
        <f t="shared" si="95"/>
        <v>0</v>
      </c>
      <c r="AB200" s="2">
        <f t="shared" si="96"/>
        <v>1</v>
      </c>
      <c r="AD200" s="2">
        <f t="shared" si="97"/>
        <v>0</v>
      </c>
      <c r="AE200" s="2">
        <f t="shared" si="98"/>
        <v>0</v>
      </c>
      <c r="AF200" s="2">
        <f t="shared" si="99"/>
        <v>0</v>
      </c>
      <c r="AG200" s="2">
        <f t="shared" si="100"/>
        <v>0</v>
      </c>
      <c r="AH200" s="2">
        <f t="shared" si="101"/>
        <v>0</v>
      </c>
      <c r="AI200" s="2">
        <f t="shared" si="102"/>
        <v>1</v>
      </c>
    </row>
    <row r="201" spans="1:35" ht="14.25" customHeight="1" x14ac:dyDescent="0.25">
      <c r="A201" s="29">
        <v>0</v>
      </c>
      <c r="B201" s="29">
        <v>2</v>
      </c>
      <c r="C201" s="29">
        <v>5</v>
      </c>
      <c r="D201" s="30" t="s">
        <v>626</v>
      </c>
      <c r="E201" s="30" t="s">
        <v>29</v>
      </c>
      <c r="F201" s="30" t="s">
        <v>628</v>
      </c>
      <c r="G201" s="30" t="s">
        <v>820</v>
      </c>
      <c r="H201" s="30" t="s">
        <v>165</v>
      </c>
      <c r="I201" s="29" t="s">
        <v>629</v>
      </c>
      <c r="J201" s="29">
        <v>99</v>
      </c>
      <c r="K201" s="29" t="s">
        <v>320</v>
      </c>
      <c r="L201" s="29" t="s">
        <v>341</v>
      </c>
      <c r="M201" s="30" t="s">
        <v>778</v>
      </c>
      <c r="N201" s="30" t="s">
        <v>883</v>
      </c>
      <c r="O201" s="31">
        <v>1</v>
      </c>
      <c r="P201" s="31"/>
      <c r="Q201" s="30"/>
      <c r="S201" s="2">
        <f t="shared" si="87"/>
        <v>0</v>
      </c>
      <c r="T201" s="2">
        <f t="shared" si="88"/>
        <v>0</v>
      </c>
      <c r="U201" s="2">
        <f t="shared" si="89"/>
        <v>0</v>
      </c>
      <c r="V201" s="2">
        <f t="shared" si="90"/>
        <v>0</v>
      </c>
      <c r="W201" s="2">
        <f t="shared" si="91"/>
        <v>0</v>
      </c>
      <c r="X201" s="2">
        <f t="shared" si="92"/>
        <v>0</v>
      </c>
      <c r="Y201" s="2">
        <f t="shared" si="93"/>
        <v>0</v>
      </c>
      <c r="Z201" s="2">
        <f t="shared" si="94"/>
        <v>0</v>
      </c>
      <c r="AA201" s="2">
        <f t="shared" si="95"/>
        <v>0</v>
      </c>
      <c r="AB201" s="2">
        <f t="shared" si="96"/>
        <v>0</v>
      </c>
      <c r="AD201" s="2">
        <f t="shared" si="97"/>
        <v>0</v>
      </c>
      <c r="AE201" s="2">
        <f t="shared" si="98"/>
        <v>1</v>
      </c>
      <c r="AF201" s="2">
        <f t="shared" si="99"/>
        <v>0</v>
      </c>
      <c r="AG201" s="2">
        <f t="shared" si="100"/>
        <v>1</v>
      </c>
      <c r="AH201" s="2">
        <f t="shared" si="101"/>
        <v>0</v>
      </c>
      <c r="AI201" s="2">
        <f t="shared" si="102"/>
        <v>1</v>
      </c>
    </row>
    <row r="202" spans="1:35" ht="14.25" customHeight="1" x14ac:dyDescent="0.25">
      <c r="A202" s="29">
        <v>0</v>
      </c>
      <c r="B202" s="29">
        <v>2</v>
      </c>
      <c r="C202" s="29">
        <v>5</v>
      </c>
      <c r="D202" s="30" t="s">
        <v>804</v>
      </c>
      <c r="E202" s="30" t="s">
        <v>29</v>
      </c>
      <c r="F202" s="30" t="s">
        <v>640</v>
      </c>
      <c r="G202" s="30" t="s">
        <v>514</v>
      </c>
      <c r="H202" s="30" t="s">
        <v>165</v>
      </c>
      <c r="I202" s="29" t="s">
        <v>641</v>
      </c>
      <c r="J202" s="29">
        <v>99</v>
      </c>
      <c r="K202" s="29" t="s">
        <v>320</v>
      </c>
      <c r="L202" s="29" t="s">
        <v>346</v>
      </c>
      <c r="M202" s="30" t="s">
        <v>639</v>
      </c>
      <c r="N202" s="30" t="s">
        <v>894</v>
      </c>
      <c r="O202" s="31">
        <v>1</v>
      </c>
      <c r="P202" s="31"/>
      <c r="Q202" s="30"/>
      <c r="S202" s="2">
        <f t="shared" si="87"/>
        <v>0</v>
      </c>
      <c r="T202" s="2">
        <f t="shared" si="88"/>
        <v>0</v>
      </c>
      <c r="U202" s="2">
        <f t="shared" si="89"/>
        <v>0</v>
      </c>
      <c r="V202" s="2">
        <f t="shared" si="90"/>
        <v>0</v>
      </c>
      <c r="W202" s="2">
        <f t="shared" si="91"/>
        <v>0</v>
      </c>
      <c r="X202" s="2">
        <f t="shared" si="92"/>
        <v>0</v>
      </c>
      <c r="Y202" s="2">
        <f t="shared" si="93"/>
        <v>0</v>
      </c>
      <c r="Z202" s="2">
        <f t="shared" si="94"/>
        <v>0</v>
      </c>
      <c r="AA202" s="2">
        <f t="shared" si="95"/>
        <v>0</v>
      </c>
      <c r="AB202" s="2">
        <f t="shared" si="96"/>
        <v>0</v>
      </c>
      <c r="AD202" s="2">
        <f t="shared" si="97"/>
        <v>0</v>
      </c>
      <c r="AE202" s="2">
        <f t="shared" si="98"/>
        <v>1</v>
      </c>
      <c r="AF202" s="2">
        <f t="shared" si="99"/>
        <v>0</v>
      </c>
      <c r="AG202" s="2">
        <f t="shared" si="100"/>
        <v>1</v>
      </c>
      <c r="AH202" s="2">
        <f t="shared" si="101"/>
        <v>0</v>
      </c>
      <c r="AI202" s="2">
        <f t="shared" si="102"/>
        <v>1</v>
      </c>
    </row>
    <row r="203" spans="1:35" ht="14.25" customHeight="1" x14ac:dyDescent="0.25">
      <c r="A203" s="29">
        <v>0</v>
      </c>
      <c r="B203" s="29">
        <v>2</v>
      </c>
      <c r="C203" s="29">
        <v>6</v>
      </c>
      <c r="D203" s="30" t="s">
        <v>676</v>
      </c>
      <c r="E203" s="30" t="s">
        <v>34</v>
      </c>
      <c r="F203" s="30" t="s">
        <v>813</v>
      </c>
      <c r="G203" s="30" t="s">
        <v>96</v>
      </c>
      <c r="H203" s="30" t="s">
        <v>165</v>
      </c>
      <c r="I203" s="29" t="s">
        <v>614</v>
      </c>
      <c r="J203" s="29">
        <v>1</v>
      </c>
      <c r="K203" s="29" t="s">
        <v>318</v>
      </c>
      <c r="L203" s="29" t="s">
        <v>343</v>
      </c>
      <c r="M203" s="30" t="s">
        <v>615</v>
      </c>
      <c r="N203" s="30" t="s">
        <v>909</v>
      </c>
      <c r="O203" s="31">
        <v>1</v>
      </c>
      <c r="P203" s="31"/>
      <c r="Q203" s="30"/>
      <c r="S203" s="2">
        <f t="shared" si="87"/>
        <v>1</v>
      </c>
      <c r="T203" s="2">
        <f t="shared" si="88"/>
        <v>0</v>
      </c>
      <c r="U203" s="2">
        <f t="shared" si="89"/>
        <v>0</v>
      </c>
      <c r="V203" s="2">
        <f t="shared" si="90"/>
        <v>0</v>
      </c>
      <c r="W203" s="2">
        <f t="shared" si="91"/>
        <v>0</v>
      </c>
      <c r="X203" s="2">
        <f t="shared" si="92"/>
        <v>0</v>
      </c>
      <c r="Y203" s="2">
        <f t="shared" si="93"/>
        <v>0</v>
      </c>
      <c r="Z203" s="2">
        <f t="shared" si="94"/>
        <v>0</v>
      </c>
      <c r="AA203" s="2">
        <f t="shared" si="95"/>
        <v>0</v>
      </c>
      <c r="AB203" s="2">
        <f t="shared" si="96"/>
        <v>0</v>
      </c>
      <c r="AD203" s="2">
        <f t="shared" si="97"/>
        <v>0</v>
      </c>
      <c r="AE203" s="2">
        <f t="shared" si="98"/>
        <v>1</v>
      </c>
      <c r="AF203" s="2">
        <f t="shared" si="99"/>
        <v>0</v>
      </c>
      <c r="AG203" s="2">
        <f t="shared" si="100"/>
        <v>1</v>
      </c>
      <c r="AH203" s="2">
        <f t="shared" si="101"/>
        <v>0</v>
      </c>
      <c r="AI203" s="2">
        <f t="shared" si="102"/>
        <v>1</v>
      </c>
    </row>
    <row r="204" spans="1:35" ht="14.25" customHeight="1" x14ac:dyDescent="0.25">
      <c r="A204" s="29">
        <v>0</v>
      </c>
      <c r="B204" s="29">
        <v>2</v>
      </c>
      <c r="C204" s="29">
        <v>6</v>
      </c>
      <c r="D204" s="30" t="s">
        <v>52</v>
      </c>
      <c r="E204" s="30" t="s">
        <v>34</v>
      </c>
      <c r="F204" s="30" t="s">
        <v>105</v>
      </c>
      <c r="G204" s="30" t="s">
        <v>39</v>
      </c>
      <c r="H204" s="30" t="s">
        <v>165</v>
      </c>
      <c r="I204" s="29" t="s">
        <v>839</v>
      </c>
      <c r="J204" s="29">
        <v>8</v>
      </c>
      <c r="K204" s="29" t="s">
        <v>318</v>
      </c>
      <c r="L204" s="29" t="s">
        <v>339</v>
      </c>
      <c r="M204" s="30" t="s">
        <v>272</v>
      </c>
      <c r="N204" s="30" t="s">
        <v>893</v>
      </c>
      <c r="O204" s="31">
        <v>1</v>
      </c>
      <c r="P204" s="31"/>
      <c r="Q204" s="30"/>
      <c r="S204" s="2">
        <f t="shared" si="87"/>
        <v>0</v>
      </c>
      <c r="T204" s="2">
        <f t="shared" si="88"/>
        <v>0</v>
      </c>
      <c r="U204" s="2">
        <f t="shared" si="89"/>
        <v>0</v>
      </c>
      <c r="V204" s="2">
        <f t="shared" si="90"/>
        <v>0</v>
      </c>
      <c r="W204" s="2">
        <f t="shared" si="91"/>
        <v>0</v>
      </c>
      <c r="X204" s="2">
        <f t="shared" si="92"/>
        <v>0</v>
      </c>
      <c r="Y204" s="2">
        <f t="shared" si="93"/>
        <v>0</v>
      </c>
      <c r="Z204" s="2">
        <f t="shared" si="94"/>
        <v>1</v>
      </c>
      <c r="AA204" s="2">
        <f t="shared" si="95"/>
        <v>0</v>
      </c>
      <c r="AB204" s="2">
        <f t="shared" si="96"/>
        <v>0</v>
      </c>
      <c r="AD204" s="2">
        <f t="shared" si="97"/>
        <v>0</v>
      </c>
      <c r="AE204" s="2">
        <f t="shared" si="98"/>
        <v>1</v>
      </c>
      <c r="AF204" s="2">
        <f t="shared" si="99"/>
        <v>0</v>
      </c>
      <c r="AG204" s="2">
        <f t="shared" si="100"/>
        <v>1</v>
      </c>
      <c r="AH204" s="2">
        <f t="shared" si="101"/>
        <v>0</v>
      </c>
      <c r="AI204" s="2">
        <f t="shared" si="102"/>
        <v>1</v>
      </c>
    </row>
    <row r="205" spans="1:35" ht="14.25" customHeight="1" x14ac:dyDescent="0.25">
      <c r="A205" s="29">
        <v>0</v>
      </c>
      <c r="B205" s="29">
        <v>2</v>
      </c>
      <c r="C205" s="29">
        <v>6</v>
      </c>
      <c r="D205" s="30" t="s">
        <v>461</v>
      </c>
      <c r="E205" s="30" t="s">
        <v>34</v>
      </c>
      <c r="F205" s="30" t="s">
        <v>933</v>
      </c>
      <c r="G205" s="30" t="s">
        <v>103</v>
      </c>
      <c r="H205" s="30" t="s">
        <v>165</v>
      </c>
      <c r="I205" s="29" t="s">
        <v>392</v>
      </c>
      <c r="J205" s="29">
        <v>6</v>
      </c>
      <c r="K205" s="29" t="s">
        <v>321</v>
      </c>
      <c r="L205" s="29" t="s">
        <v>339</v>
      </c>
      <c r="M205" s="30" t="s">
        <v>696</v>
      </c>
      <c r="N205" s="30" t="s">
        <v>914</v>
      </c>
      <c r="O205" s="31">
        <v>1</v>
      </c>
      <c r="P205" s="31"/>
      <c r="Q205" s="30"/>
      <c r="S205" s="2">
        <f t="shared" si="87"/>
        <v>0</v>
      </c>
      <c r="T205" s="2">
        <f t="shared" si="88"/>
        <v>0</v>
      </c>
      <c r="U205" s="2">
        <f t="shared" si="89"/>
        <v>0</v>
      </c>
      <c r="V205" s="2">
        <f t="shared" si="90"/>
        <v>0</v>
      </c>
      <c r="W205" s="2">
        <f t="shared" si="91"/>
        <v>0</v>
      </c>
      <c r="X205" s="2">
        <f t="shared" si="92"/>
        <v>1</v>
      </c>
      <c r="Y205" s="2">
        <f t="shared" si="93"/>
        <v>0</v>
      </c>
      <c r="Z205" s="2">
        <f t="shared" si="94"/>
        <v>0</v>
      </c>
      <c r="AA205" s="2">
        <f t="shared" si="95"/>
        <v>0</v>
      </c>
      <c r="AB205" s="2">
        <f t="shared" si="96"/>
        <v>0</v>
      </c>
      <c r="AD205" s="2">
        <f t="shared" si="97"/>
        <v>0</v>
      </c>
      <c r="AE205" s="2">
        <f t="shared" si="98"/>
        <v>1</v>
      </c>
      <c r="AF205" s="2">
        <f t="shared" si="99"/>
        <v>0</v>
      </c>
      <c r="AG205" s="2">
        <f t="shared" si="100"/>
        <v>1</v>
      </c>
      <c r="AH205" s="2">
        <f t="shared" si="101"/>
        <v>0</v>
      </c>
      <c r="AI205" s="2">
        <f t="shared" si="102"/>
        <v>1</v>
      </c>
    </row>
    <row r="206" spans="1:35" ht="14.25" customHeight="1" x14ac:dyDescent="0.25">
      <c r="A206" s="29">
        <v>0</v>
      </c>
      <c r="B206" s="29">
        <v>2</v>
      </c>
      <c r="C206" s="29">
        <v>6</v>
      </c>
      <c r="D206" s="30" t="s">
        <v>680</v>
      </c>
      <c r="E206" s="30" t="s">
        <v>34</v>
      </c>
      <c r="F206" s="30" t="s">
        <v>602</v>
      </c>
      <c r="G206" s="30" t="s">
        <v>163</v>
      </c>
      <c r="H206" s="30" t="s">
        <v>165</v>
      </c>
      <c r="I206" s="29" t="s">
        <v>691</v>
      </c>
      <c r="J206" s="29">
        <v>5</v>
      </c>
      <c r="K206" s="29" t="s">
        <v>320</v>
      </c>
      <c r="L206" s="29">
        <v>30</v>
      </c>
      <c r="M206" s="30" t="s">
        <v>742</v>
      </c>
      <c r="N206" s="30" t="s">
        <v>893</v>
      </c>
      <c r="O206" s="31">
        <v>1</v>
      </c>
      <c r="P206" s="31"/>
      <c r="Q206" s="30"/>
      <c r="S206" s="2">
        <f t="shared" ref="S206:S240" si="119">IF(J206=$S$7,1,0)</f>
        <v>0</v>
      </c>
      <c r="T206" s="2">
        <f t="shared" ref="T206:T240" si="120">IF(J206=$T$7,1,0)</f>
        <v>0</v>
      </c>
      <c r="U206" s="2">
        <f t="shared" ref="U206:U240" si="121">IF(J206=$U$7,1,0)</f>
        <v>0</v>
      </c>
      <c r="V206" s="2">
        <f t="shared" ref="V206:V240" si="122">IF(J206=$V$7,1,0)</f>
        <v>0</v>
      </c>
      <c r="W206" s="2">
        <f t="shared" ref="W206:W240" si="123">IF(J206=$W$7,1,0)</f>
        <v>1</v>
      </c>
      <c r="X206" s="2">
        <f t="shared" ref="X206:X240" si="124">IF(J206=$X$7,1,0)</f>
        <v>0</v>
      </c>
      <c r="Y206" s="2">
        <f t="shared" ref="Y206:Y240" si="125">IF(J206=$Y$7,1,0)</f>
        <v>0</v>
      </c>
      <c r="Z206" s="2">
        <f t="shared" ref="Z206:Z240" si="126">IF(J206=$Z$7,1,0)</f>
        <v>0</v>
      </c>
      <c r="AA206" s="2">
        <f t="shared" ref="AA206:AA240" si="127">IF(J206=$AA$7,1,0)</f>
        <v>0</v>
      </c>
      <c r="AB206" s="2">
        <f t="shared" ref="AB206:AB240" si="128">IF(J206=$AB$7,1,0)</f>
        <v>0</v>
      </c>
      <c r="AD206" s="2">
        <f t="shared" ref="AD206:AD242" si="129">+O206*P206</f>
        <v>0</v>
      </c>
      <c r="AE206" s="2">
        <f t="shared" ref="AE206:AE242" si="130">O206*(1-P206)</f>
        <v>1</v>
      </c>
      <c r="AF206" s="2">
        <f t="shared" ref="AF206:AF242" si="131">+O206*P206*(1-A206)</f>
        <v>0</v>
      </c>
      <c r="AG206" s="2">
        <f t="shared" ref="AG206:AG242" si="132">O206*(1-P206)*(1-A206)</f>
        <v>1</v>
      </c>
      <c r="AH206" s="2">
        <f t="shared" ref="AH206:AH242" si="133">+P206*(1-A206)</f>
        <v>0</v>
      </c>
      <c r="AI206" s="2">
        <f t="shared" ref="AI206:AI242" si="134">+(1-A206)*(1-P206)</f>
        <v>1</v>
      </c>
    </row>
    <row r="207" spans="1:35" ht="14.25" customHeight="1" x14ac:dyDescent="0.25">
      <c r="A207" s="29">
        <v>0</v>
      </c>
      <c r="B207" s="29">
        <v>2</v>
      </c>
      <c r="C207" s="29">
        <v>6</v>
      </c>
      <c r="D207" s="30" t="s">
        <v>58</v>
      </c>
      <c r="E207" s="30" t="s">
        <v>34</v>
      </c>
      <c r="F207" s="30" t="s">
        <v>480</v>
      </c>
      <c r="G207" s="30" t="s">
        <v>103</v>
      </c>
      <c r="H207" s="30" t="s">
        <v>165</v>
      </c>
      <c r="I207" s="29" t="s">
        <v>179</v>
      </c>
      <c r="J207" s="29">
        <v>6</v>
      </c>
      <c r="K207" s="29" t="s">
        <v>321</v>
      </c>
      <c r="L207" s="29" t="s">
        <v>339</v>
      </c>
      <c r="M207" s="30" t="s">
        <v>697</v>
      </c>
      <c r="N207" s="30" t="s">
        <v>914</v>
      </c>
      <c r="O207" s="31">
        <v>1</v>
      </c>
      <c r="P207" s="31"/>
      <c r="Q207" s="30"/>
      <c r="S207" s="2">
        <f t="shared" si="119"/>
        <v>0</v>
      </c>
      <c r="T207" s="2">
        <f t="shared" si="120"/>
        <v>0</v>
      </c>
      <c r="U207" s="2">
        <f t="shared" si="121"/>
        <v>0</v>
      </c>
      <c r="V207" s="2">
        <f t="shared" si="122"/>
        <v>0</v>
      </c>
      <c r="W207" s="2">
        <f t="shared" si="123"/>
        <v>0</v>
      </c>
      <c r="X207" s="2">
        <f t="shared" si="124"/>
        <v>1</v>
      </c>
      <c r="Y207" s="2">
        <f t="shared" si="125"/>
        <v>0</v>
      </c>
      <c r="Z207" s="2">
        <f t="shared" si="126"/>
        <v>0</v>
      </c>
      <c r="AA207" s="2">
        <f t="shared" si="127"/>
        <v>0</v>
      </c>
      <c r="AB207" s="2">
        <f t="shared" si="128"/>
        <v>0</v>
      </c>
      <c r="AD207" s="2">
        <f t="shared" si="129"/>
        <v>0</v>
      </c>
      <c r="AE207" s="2">
        <f t="shared" si="130"/>
        <v>1</v>
      </c>
      <c r="AF207" s="2">
        <f t="shared" si="131"/>
        <v>0</v>
      </c>
      <c r="AG207" s="2">
        <f t="shared" si="132"/>
        <v>1</v>
      </c>
      <c r="AH207" s="2">
        <f t="shared" si="133"/>
        <v>0</v>
      </c>
      <c r="AI207" s="2">
        <f t="shared" si="134"/>
        <v>1</v>
      </c>
    </row>
    <row r="208" spans="1:35" ht="14.25" customHeight="1" x14ac:dyDescent="0.25">
      <c r="A208" s="29">
        <v>0</v>
      </c>
      <c r="B208" s="29">
        <v>2</v>
      </c>
      <c r="C208" s="29">
        <v>6</v>
      </c>
      <c r="D208" s="30" t="s">
        <v>609</v>
      </c>
      <c r="E208" s="30" t="s">
        <v>34</v>
      </c>
      <c r="F208" s="30" t="s">
        <v>610</v>
      </c>
      <c r="G208" s="30" t="s">
        <v>514</v>
      </c>
      <c r="H208" s="30" t="s">
        <v>165</v>
      </c>
      <c r="I208" s="29" t="s">
        <v>611</v>
      </c>
      <c r="J208" s="29"/>
      <c r="K208" s="29" t="s">
        <v>376</v>
      </c>
      <c r="L208" s="29">
        <v>30</v>
      </c>
      <c r="M208" s="30" t="s">
        <v>272</v>
      </c>
      <c r="N208" s="30" t="s">
        <v>894</v>
      </c>
      <c r="O208" s="31">
        <v>1</v>
      </c>
      <c r="P208" s="31"/>
      <c r="Q208" s="30"/>
      <c r="S208" s="2">
        <f t="shared" si="119"/>
        <v>0</v>
      </c>
      <c r="T208" s="2">
        <f t="shared" si="120"/>
        <v>0</v>
      </c>
      <c r="U208" s="2">
        <f t="shared" si="121"/>
        <v>0</v>
      </c>
      <c r="V208" s="2">
        <f t="shared" si="122"/>
        <v>0</v>
      </c>
      <c r="W208" s="2">
        <f t="shared" si="123"/>
        <v>0</v>
      </c>
      <c r="X208" s="2">
        <f t="shared" si="124"/>
        <v>0</v>
      </c>
      <c r="Y208" s="2">
        <f t="shared" si="125"/>
        <v>0</v>
      </c>
      <c r="Z208" s="2">
        <f t="shared" si="126"/>
        <v>0</v>
      </c>
      <c r="AA208" s="2">
        <f t="shared" si="127"/>
        <v>0</v>
      </c>
      <c r="AB208" s="2">
        <f t="shared" si="128"/>
        <v>0</v>
      </c>
      <c r="AD208" s="2">
        <f t="shared" si="129"/>
        <v>0</v>
      </c>
      <c r="AE208" s="2">
        <f t="shared" si="130"/>
        <v>1</v>
      </c>
      <c r="AF208" s="2">
        <f t="shared" si="131"/>
        <v>0</v>
      </c>
      <c r="AG208" s="2">
        <f t="shared" si="132"/>
        <v>1</v>
      </c>
      <c r="AH208" s="2">
        <f t="shared" si="133"/>
        <v>0</v>
      </c>
      <c r="AI208" s="2">
        <f t="shared" si="134"/>
        <v>1</v>
      </c>
    </row>
    <row r="209" spans="1:35" ht="14.25" customHeight="1" x14ac:dyDescent="0.25">
      <c r="A209" s="29">
        <v>0</v>
      </c>
      <c r="B209" s="29">
        <v>2</v>
      </c>
      <c r="C209" s="29">
        <v>6</v>
      </c>
      <c r="D209" s="30" t="s">
        <v>532</v>
      </c>
      <c r="E209" s="30" t="s">
        <v>674</v>
      </c>
      <c r="F209" s="30" t="s">
        <v>930</v>
      </c>
      <c r="G209" s="30" t="s">
        <v>581</v>
      </c>
      <c r="H209" s="30" t="s">
        <v>165</v>
      </c>
      <c r="I209" s="29" t="s">
        <v>533</v>
      </c>
      <c r="J209" s="29">
        <v>2</v>
      </c>
      <c r="K209" s="29" t="s">
        <v>320</v>
      </c>
      <c r="L209" s="29" t="s">
        <v>339</v>
      </c>
      <c r="M209" s="30" t="s">
        <v>272</v>
      </c>
      <c r="N209" s="30" t="s">
        <v>889</v>
      </c>
      <c r="O209" s="31">
        <v>1</v>
      </c>
      <c r="P209" s="31"/>
      <c r="Q209" s="30"/>
      <c r="S209" s="2">
        <f t="shared" si="119"/>
        <v>0</v>
      </c>
      <c r="T209" s="2">
        <f t="shared" si="120"/>
        <v>1</v>
      </c>
      <c r="U209" s="2">
        <f t="shared" si="121"/>
        <v>0</v>
      </c>
      <c r="V209" s="2">
        <f t="shared" si="122"/>
        <v>0</v>
      </c>
      <c r="W209" s="2">
        <f t="shared" si="123"/>
        <v>0</v>
      </c>
      <c r="X209" s="2">
        <f t="shared" si="124"/>
        <v>0</v>
      </c>
      <c r="Y209" s="2">
        <f t="shared" si="125"/>
        <v>0</v>
      </c>
      <c r="Z209" s="2">
        <f t="shared" si="126"/>
        <v>0</v>
      </c>
      <c r="AA209" s="2">
        <f t="shared" si="127"/>
        <v>0</v>
      </c>
      <c r="AB209" s="2">
        <f t="shared" si="128"/>
        <v>0</v>
      </c>
      <c r="AD209" s="2">
        <f t="shared" si="129"/>
        <v>0</v>
      </c>
      <c r="AE209" s="2">
        <f t="shared" si="130"/>
        <v>1</v>
      </c>
      <c r="AF209" s="2">
        <f t="shared" si="131"/>
        <v>0</v>
      </c>
      <c r="AG209" s="2">
        <f t="shared" si="132"/>
        <v>1</v>
      </c>
      <c r="AH209" s="2">
        <f t="shared" si="133"/>
        <v>0</v>
      </c>
      <c r="AI209" s="2">
        <f t="shared" si="134"/>
        <v>1</v>
      </c>
    </row>
    <row r="210" spans="1:35" ht="14.25" customHeight="1" x14ac:dyDescent="0.25">
      <c r="A210" s="29">
        <v>1</v>
      </c>
      <c r="B210" s="29">
        <v>2</v>
      </c>
      <c r="C210" s="29">
        <v>6</v>
      </c>
      <c r="D210" s="30" t="s">
        <v>532</v>
      </c>
      <c r="E210" s="30" t="s">
        <v>674</v>
      </c>
      <c r="F210" s="30" t="s">
        <v>931</v>
      </c>
      <c r="G210" s="30" t="s">
        <v>103</v>
      </c>
      <c r="H210" s="30" t="s">
        <v>165</v>
      </c>
      <c r="I210" s="29" t="s">
        <v>838</v>
      </c>
      <c r="J210" s="29">
        <v>6</v>
      </c>
      <c r="K210" s="29" t="s">
        <v>320</v>
      </c>
      <c r="L210" s="29" t="s">
        <v>339</v>
      </c>
      <c r="M210" s="30" t="s">
        <v>272</v>
      </c>
      <c r="N210" s="30" t="s">
        <v>889</v>
      </c>
      <c r="O210" s="31">
        <v>1</v>
      </c>
      <c r="P210" s="31"/>
      <c r="Q210" s="30"/>
      <c r="S210" s="2">
        <f t="shared" si="119"/>
        <v>0</v>
      </c>
      <c r="T210" s="2">
        <f t="shared" si="120"/>
        <v>0</v>
      </c>
      <c r="U210" s="2">
        <f t="shared" si="121"/>
        <v>0</v>
      </c>
      <c r="V210" s="2">
        <f t="shared" si="122"/>
        <v>0</v>
      </c>
      <c r="W210" s="2">
        <f t="shared" si="123"/>
        <v>0</v>
      </c>
      <c r="X210" s="2">
        <f t="shared" si="124"/>
        <v>1</v>
      </c>
      <c r="Y210" s="2">
        <f t="shared" si="125"/>
        <v>0</v>
      </c>
      <c r="Z210" s="2">
        <f t="shared" si="126"/>
        <v>0</v>
      </c>
      <c r="AA210" s="2">
        <f t="shared" si="127"/>
        <v>0</v>
      </c>
      <c r="AB210" s="2">
        <f t="shared" si="128"/>
        <v>0</v>
      </c>
      <c r="AD210" s="2">
        <f t="shared" si="129"/>
        <v>0</v>
      </c>
      <c r="AE210" s="2">
        <f t="shared" si="130"/>
        <v>1</v>
      </c>
      <c r="AF210" s="2">
        <f t="shared" si="131"/>
        <v>0</v>
      </c>
      <c r="AG210" s="2">
        <f t="shared" si="132"/>
        <v>0</v>
      </c>
      <c r="AH210" s="2">
        <f t="shared" si="133"/>
        <v>0</v>
      </c>
      <c r="AI210" s="2">
        <f t="shared" si="134"/>
        <v>0</v>
      </c>
    </row>
    <row r="211" spans="1:35" ht="14.25" customHeight="1" x14ac:dyDescent="0.25">
      <c r="A211" s="29">
        <v>0</v>
      </c>
      <c r="B211" s="29">
        <v>2</v>
      </c>
      <c r="C211" s="29">
        <v>7</v>
      </c>
      <c r="D211" s="30" t="s">
        <v>408</v>
      </c>
      <c r="E211" s="30" t="s">
        <v>31</v>
      </c>
      <c r="F211" s="30" t="s">
        <v>409</v>
      </c>
      <c r="G211" s="30" t="s">
        <v>469</v>
      </c>
      <c r="H211" s="30" t="s">
        <v>165</v>
      </c>
      <c r="I211" s="29" t="s">
        <v>410</v>
      </c>
      <c r="J211" s="29">
        <v>9</v>
      </c>
      <c r="K211" s="29" t="s">
        <v>320</v>
      </c>
      <c r="L211" s="29" t="s">
        <v>318</v>
      </c>
      <c r="M211" s="30" t="s">
        <v>273</v>
      </c>
      <c r="N211" s="30" t="s">
        <v>880</v>
      </c>
      <c r="O211" s="31">
        <v>1</v>
      </c>
      <c r="P211" s="31">
        <v>1</v>
      </c>
      <c r="Q211" s="30"/>
      <c r="S211" s="2">
        <f t="shared" si="119"/>
        <v>0</v>
      </c>
      <c r="T211" s="2">
        <f t="shared" si="120"/>
        <v>0</v>
      </c>
      <c r="U211" s="2">
        <f t="shared" si="121"/>
        <v>0</v>
      </c>
      <c r="V211" s="2">
        <f t="shared" si="122"/>
        <v>0</v>
      </c>
      <c r="W211" s="2">
        <f t="shared" si="123"/>
        <v>0</v>
      </c>
      <c r="X211" s="2">
        <f t="shared" si="124"/>
        <v>0</v>
      </c>
      <c r="Y211" s="2">
        <f t="shared" si="125"/>
        <v>0</v>
      </c>
      <c r="Z211" s="2">
        <f t="shared" si="126"/>
        <v>0</v>
      </c>
      <c r="AA211" s="2">
        <f t="shared" si="127"/>
        <v>1</v>
      </c>
      <c r="AB211" s="2">
        <f t="shared" si="128"/>
        <v>0</v>
      </c>
      <c r="AD211" s="2">
        <f t="shared" si="129"/>
        <v>1</v>
      </c>
      <c r="AE211" s="2">
        <f t="shared" si="130"/>
        <v>0</v>
      </c>
      <c r="AF211" s="2">
        <f t="shared" si="131"/>
        <v>1</v>
      </c>
      <c r="AG211" s="2">
        <f t="shared" si="132"/>
        <v>0</v>
      </c>
      <c r="AH211" s="2">
        <f t="shared" si="133"/>
        <v>1</v>
      </c>
      <c r="AI211" s="2">
        <f t="shared" si="134"/>
        <v>0</v>
      </c>
    </row>
    <row r="212" spans="1:35" ht="14.25" customHeight="1" x14ac:dyDescent="0.25">
      <c r="A212" s="29">
        <v>0</v>
      </c>
      <c r="B212" s="29">
        <v>2</v>
      </c>
      <c r="C212" s="29">
        <v>7</v>
      </c>
      <c r="D212" s="30" t="s">
        <v>905</v>
      </c>
      <c r="E212" s="30" t="s">
        <v>899</v>
      </c>
      <c r="F212" s="30" t="s">
        <v>903</v>
      </c>
      <c r="G212" s="30" t="s">
        <v>132</v>
      </c>
      <c r="H212" s="30" t="s">
        <v>165</v>
      </c>
      <c r="I212" s="29" t="s">
        <v>906</v>
      </c>
      <c r="J212" s="29">
        <v>99</v>
      </c>
      <c r="K212" s="29" t="s">
        <v>376</v>
      </c>
      <c r="L212" s="29"/>
      <c r="M212" s="30"/>
      <c r="N212" s="30" t="s">
        <v>880</v>
      </c>
      <c r="O212" s="31">
        <v>1</v>
      </c>
      <c r="P212" s="31">
        <v>1</v>
      </c>
      <c r="Q212" s="30"/>
      <c r="S212" s="2">
        <f t="shared" si="119"/>
        <v>0</v>
      </c>
      <c r="T212" s="2">
        <f t="shared" si="120"/>
        <v>0</v>
      </c>
      <c r="U212" s="2">
        <f t="shared" si="121"/>
        <v>0</v>
      </c>
      <c r="V212" s="2">
        <f t="shared" si="122"/>
        <v>0</v>
      </c>
      <c r="W212" s="2">
        <f t="shared" si="123"/>
        <v>0</v>
      </c>
      <c r="X212" s="2">
        <f t="shared" si="124"/>
        <v>0</v>
      </c>
      <c r="Y212" s="2">
        <f t="shared" si="125"/>
        <v>0</v>
      </c>
      <c r="Z212" s="2">
        <f t="shared" si="126"/>
        <v>0</v>
      </c>
      <c r="AA212" s="2">
        <f t="shared" si="127"/>
        <v>0</v>
      </c>
      <c r="AB212" s="2">
        <f t="shared" si="128"/>
        <v>0</v>
      </c>
      <c r="AD212" s="2">
        <f t="shared" si="129"/>
        <v>1</v>
      </c>
      <c r="AE212" s="2">
        <f t="shared" si="130"/>
        <v>0</v>
      </c>
      <c r="AF212" s="2">
        <f t="shared" si="131"/>
        <v>1</v>
      </c>
      <c r="AG212" s="2">
        <f t="shared" si="132"/>
        <v>0</v>
      </c>
      <c r="AH212" s="2">
        <f t="shared" si="133"/>
        <v>1</v>
      </c>
      <c r="AI212" s="2">
        <f t="shared" si="134"/>
        <v>0</v>
      </c>
    </row>
    <row r="213" spans="1:35" ht="14.25" customHeight="1" x14ac:dyDescent="0.25">
      <c r="A213" s="29">
        <v>0</v>
      </c>
      <c r="B213" s="29">
        <v>2</v>
      </c>
      <c r="C213" s="29">
        <v>7</v>
      </c>
      <c r="D213" s="30" t="s">
        <v>518</v>
      </c>
      <c r="E213" s="30" t="s">
        <v>31</v>
      </c>
      <c r="F213" s="30" t="s">
        <v>519</v>
      </c>
      <c r="G213" s="30" t="s">
        <v>124</v>
      </c>
      <c r="H213" s="30" t="s">
        <v>165</v>
      </c>
      <c r="I213" s="29" t="s">
        <v>520</v>
      </c>
      <c r="J213" s="29">
        <v>7</v>
      </c>
      <c r="K213" s="29" t="s">
        <v>319</v>
      </c>
      <c r="L213" s="29" t="s">
        <v>318</v>
      </c>
      <c r="M213" s="30" t="s">
        <v>273</v>
      </c>
      <c r="N213" s="30" t="s">
        <v>882</v>
      </c>
      <c r="O213" s="31">
        <v>1</v>
      </c>
      <c r="P213" s="31"/>
      <c r="Q213" s="30"/>
      <c r="S213" s="2">
        <f t="shared" si="119"/>
        <v>0</v>
      </c>
      <c r="T213" s="2">
        <f t="shared" si="120"/>
        <v>0</v>
      </c>
      <c r="U213" s="2">
        <f t="shared" si="121"/>
        <v>0</v>
      </c>
      <c r="V213" s="2">
        <f t="shared" si="122"/>
        <v>0</v>
      </c>
      <c r="W213" s="2">
        <f t="shared" si="123"/>
        <v>0</v>
      </c>
      <c r="X213" s="2">
        <f t="shared" si="124"/>
        <v>0</v>
      </c>
      <c r="Y213" s="2">
        <f t="shared" si="125"/>
        <v>1</v>
      </c>
      <c r="Z213" s="2">
        <f t="shared" si="126"/>
        <v>0</v>
      </c>
      <c r="AA213" s="2">
        <f t="shared" si="127"/>
        <v>0</v>
      </c>
      <c r="AB213" s="2">
        <f t="shared" si="128"/>
        <v>0</v>
      </c>
      <c r="AD213" s="2">
        <f t="shared" si="129"/>
        <v>0</v>
      </c>
      <c r="AE213" s="2">
        <f t="shared" si="130"/>
        <v>1</v>
      </c>
      <c r="AF213" s="2">
        <f t="shared" si="131"/>
        <v>0</v>
      </c>
      <c r="AG213" s="2">
        <f t="shared" si="132"/>
        <v>1</v>
      </c>
      <c r="AH213" s="2">
        <f t="shared" si="133"/>
        <v>0</v>
      </c>
      <c r="AI213" s="2">
        <f t="shared" si="134"/>
        <v>1</v>
      </c>
    </row>
    <row r="214" spans="1:35" ht="14.25" customHeight="1" x14ac:dyDescent="0.25">
      <c r="A214" s="29">
        <v>0</v>
      </c>
      <c r="B214" s="29">
        <v>2</v>
      </c>
      <c r="C214" s="29">
        <v>7</v>
      </c>
      <c r="D214" s="30" t="s">
        <v>430</v>
      </c>
      <c r="E214" s="30" t="s">
        <v>31</v>
      </c>
      <c r="F214" s="30" t="s">
        <v>431</v>
      </c>
      <c r="G214" s="30" t="s">
        <v>117</v>
      </c>
      <c r="H214" s="30" t="s">
        <v>165</v>
      </c>
      <c r="I214" s="29" t="s">
        <v>482</v>
      </c>
      <c r="J214" s="29">
        <v>1</v>
      </c>
      <c r="K214" s="29" t="s">
        <v>320</v>
      </c>
      <c r="L214" s="29" t="s">
        <v>318</v>
      </c>
      <c r="M214" s="30" t="s">
        <v>273</v>
      </c>
      <c r="N214" s="30" t="s">
        <v>909</v>
      </c>
      <c r="O214" s="31">
        <v>1</v>
      </c>
      <c r="P214" s="31"/>
      <c r="Q214" s="30"/>
      <c r="S214" s="2">
        <f t="shared" si="119"/>
        <v>1</v>
      </c>
      <c r="T214" s="2">
        <f t="shared" si="120"/>
        <v>0</v>
      </c>
      <c r="U214" s="2">
        <f t="shared" si="121"/>
        <v>0</v>
      </c>
      <c r="V214" s="2">
        <f t="shared" si="122"/>
        <v>0</v>
      </c>
      <c r="W214" s="2">
        <f t="shared" si="123"/>
        <v>0</v>
      </c>
      <c r="X214" s="2">
        <f t="shared" si="124"/>
        <v>0</v>
      </c>
      <c r="Y214" s="2">
        <f t="shared" si="125"/>
        <v>0</v>
      </c>
      <c r="Z214" s="2">
        <f t="shared" si="126"/>
        <v>0</v>
      </c>
      <c r="AA214" s="2">
        <f t="shared" si="127"/>
        <v>0</v>
      </c>
      <c r="AB214" s="2">
        <f t="shared" si="128"/>
        <v>0</v>
      </c>
      <c r="AD214" s="2">
        <f t="shared" si="129"/>
        <v>0</v>
      </c>
      <c r="AE214" s="2">
        <f t="shared" si="130"/>
        <v>1</v>
      </c>
      <c r="AF214" s="2">
        <f t="shared" si="131"/>
        <v>0</v>
      </c>
      <c r="AG214" s="2">
        <f t="shared" si="132"/>
        <v>1</v>
      </c>
      <c r="AH214" s="2">
        <f t="shared" si="133"/>
        <v>0</v>
      </c>
      <c r="AI214" s="2">
        <f t="shared" si="134"/>
        <v>1</v>
      </c>
    </row>
    <row r="215" spans="1:35" ht="14.25" customHeight="1" x14ac:dyDescent="0.25">
      <c r="A215" s="29">
        <v>0</v>
      </c>
      <c r="B215" s="29">
        <v>2</v>
      </c>
      <c r="C215" s="29">
        <v>7</v>
      </c>
      <c r="D215" s="30" t="s">
        <v>460</v>
      </c>
      <c r="E215" s="30" t="s">
        <v>31</v>
      </c>
      <c r="F215" s="30" t="s">
        <v>155</v>
      </c>
      <c r="G215" s="30" t="s">
        <v>122</v>
      </c>
      <c r="H215" s="30" t="s">
        <v>165</v>
      </c>
      <c r="I215" s="29" t="s">
        <v>198</v>
      </c>
      <c r="J215" s="29">
        <v>6</v>
      </c>
      <c r="K215" s="29" t="s">
        <v>321</v>
      </c>
      <c r="L215" s="29" t="s">
        <v>318</v>
      </c>
      <c r="M215" s="30" t="s">
        <v>273</v>
      </c>
      <c r="N215" s="30" t="s">
        <v>880</v>
      </c>
      <c r="O215" s="31">
        <v>1</v>
      </c>
      <c r="P215" s="31">
        <v>1</v>
      </c>
      <c r="Q215" s="30"/>
      <c r="S215" s="2">
        <f t="shared" si="119"/>
        <v>0</v>
      </c>
      <c r="T215" s="2">
        <f t="shared" si="120"/>
        <v>0</v>
      </c>
      <c r="U215" s="2">
        <f t="shared" si="121"/>
        <v>0</v>
      </c>
      <c r="V215" s="2">
        <f t="shared" si="122"/>
        <v>0</v>
      </c>
      <c r="W215" s="2">
        <f t="shared" si="123"/>
        <v>0</v>
      </c>
      <c r="X215" s="2">
        <f t="shared" si="124"/>
        <v>1</v>
      </c>
      <c r="Y215" s="2">
        <f t="shared" si="125"/>
        <v>0</v>
      </c>
      <c r="Z215" s="2">
        <f t="shared" si="126"/>
        <v>0</v>
      </c>
      <c r="AA215" s="2">
        <f t="shared" si="127"/>
        <v>0</v>
      </c>
      <c r="AB215" s="2">
        <f t="shared" si="128"/>
        <v>0</v>
      </c>
      <c r="AD215" s="2">
        <f t="shared" si="129"/>
        <v>1</v>
      </c>
      <c r="AE215" s="2">
        <f t="shared" si="130"/>
        <v>0</v>
      </c>
      <c r="AF215" s="2">
        <f t="shared" si="131"/>
        <v>1</v>
      </c>
      <c r="AG215" s="2">
        <f t="shared" si="132"/>
        <v>0</v>
      </c>
      <c r="AH215" s="2">
        <f t="shared" si="133"/>
        <v>1</v>
      </c>
      <c r="AI215" s="2">
        <f t="shared" si="134"/>
        <v>0</v>
      </c>
    </row>
    <row r="216" spans="1:35" ht="14.25" customHeight="1" x14ac:dyDescent="0.25">
      <c r="A216" s="29">
        <v>0</v>
      </c>
      <c r="B216" s="29">
        <v>2</v>
      </c>
      <c r="C216" s="29">
        <v>7</v>
      </c>
      <c r="D216" s="30" t="s">
        <v>63</v>
      </c>
      <c r="E216" s="30" t="s">
        <v>31</v>
      </c>
      <c r="F216" s="30" t="s">
        <v>138</v>
      </c>
      <c r="G216" s="30" t="s">
        <v>125</v>
      </c>
      <c r="H216" s="30" t="s">
        <v>165</v>
      </c>
      <c r="I216" s="29" t="s">
        <v>373</v>
      </c>
      <c r="J216" s="29">
        <v>99</v>
      </c>
      <c r="K216" s="29" t="s">
        <v>320</v>
      </c>
      <c r="L216" s="29" t="s">
        <v>318</v>
      </c>
      <c r="M216" s="30" t="s">
        <v>273</v>
      </c>
      <c r="N216" s="30" t="s">
        <v>880</v>
      </c>
      <c r="O216" s="31">
        <v>1</v>
      </c>
      <c r="P216" s="31">
        <v>1</v>
      </c>
      <c r="Q216" s="30"/>
      <c r="S216" s="2">
        <f t="shared" si="119"/>
        <v>0</v>
      </c>
      <c r="T216" s="2">
        <f t="shared" si="120"/>
        <v>0</v>
      </c>
      <c r="U216" s="2">
        <f t="shared" si="121"/>
        <v>0</v>
      </c>
      <c r="V216" s="2">
        <f t="shared" si="122"/>
        <v>0</v>
      </c>
      <c r="W216" s="2">
        <f t="shared" si="123"/>
        <v>0</v>
      </c>
      <c r="X216" s="2">
        <f t="shared" si="124"/>
        <v>0</v>
      </c>
      <c r="Y216" s="2">
        <f t="shared" si="125"/>
        <v>0</v>
      </c>
      <c r="Z216" s="2">
        <f t="shared" si="126"/>
        <v>0</v>
      </c>
      <c r="AA216" s="2">
        <f t="shared" si="127"/>
        <v>0</v>
      </c>
      <c r="AB216" s="2">
        <f t="shared" si="128"/>
        <v>0</v>
      </c>
      <c r="AD216" s="2">
        <f t="shared" si="129"/>
        <v>1</v>
      </c>
      <c r="AE216" s="2">
        <f t="shared" si="130"/>
        <v>0</v>
      </c>
      <c r="AF216" s="2">
        <f t="shared" si="131"/>
        <v>1</v>
      </c>
      <c r="AG216" s="2">
        <f t="shared" si="132"/>
        <v>0</v>
      </c>
      <c r="AH216" s="2">
        <f t="shared" si="133"/>
        <v>1</v>
      </c>
      <c r="AI216" s="2">
        <f t="shared" si="134"/>
        <v>0</v>
      </c>
    </row>
    <row r="217" spans="1:35" ht="14.25" customHeight="1" x14ac:dyDescent="0.25">
      <c r="A217" s="29">
        <v>0</v>
      </c>
      <c r="B217" s="29">
        <v>2</v>
      </c>
      <c r="C217" s="29">
        <v>7</v>
      </c>
      <c r="D217" s="30" t="s">
        <v>427</v>
      </c>
      <c r="E217" s="30" t="s">
        <v>31</v>
      </c>
      <c r="F217" s="30" t="s">
        <v>428</v>
      </c>
      <c r="G217" s="30" t="s">
        <v>126</v>
      </c>
      <c r="H217" s="30" t="s">
        <v>165</v>
      </c>
      <c r="I217" s="29" t="s">
        <v>590</v>
      </c>
      <c r="J217" s="29">
        <v>99</v>
      </c>
      <c r="K217" s="29" t="s">
        <v>318</v>
      </c>
      <c r="L217" s="29" t="s">
        <v>318</v>
      </c>
      <c r="M217" s="30" t="s">
        <v>273</v>
      </c>
      <c r="N217" s="30" t="s">
        <v>909</v>
      </c>
      <c r="O217" s="31">
        <v>1</v>
      </c>
      <c r="P217" s="31"/>
      <c r="Q217" s="30"/>
      <c r="S217" s="2">
        <f t="shared" si="119"/>
        <v>0</v>
      </c>
      <c r="T217" s="2">
        <f t="shared" si="120"/>
        <v>0</v>
      </c>
      <c r="U217" s="2">
        <f t="shared" si="121"/>
        <v>0</v>
      </c>
      <c r="V217" s="2">
        <f t="shared" si="122"/>
        <v>0</v>
      </c>
      <c r="W217" s="2">
        <f t="shared" si="123"/>
        <v>0</v>
      </c>
      <c r="X217" s="2">
        <f t="shared" si="124"/>
        <v>0</v>
      </c>
      <c r="Y217" s="2">
        <f t="shared" si="125"/>
        <v>0</v>
      </c>
      <c r="Z217" s="2">
        <f t="shared" si="126"/>
        <v>0</v>
      </c>
      <c r="AA217" s="2">
        <f t="shared" si="127"/>
        <v>0</v>
      </c>
      <c r="AB217" s="2">
        <f t="shared" si="128"/>
        <v>0</v>
      </c>
      <c r="AD217" s="2">
        <f t="shared" si="129"/>
        <v>0</v>
      </c>
      <c r="AE217" s="2">
        <f t="shared" si="130"/>
        <v>1</v>
      </c>
      <c r="AF217" s="2">
        <f t="shared" si="131"/>
        <v>0</v>
      </c>
      <c r="AG217" s="2">
        <f t="shared" si="132"/>
        <v>1</v>
      </c>
      <c r="AH217" s="2">
        <f t="shared" si="133"/>
        <v>0</v>
      </c>
      <c r="AI217" s="2">
        <f t="shared" si="134"/>
        <v>1</v>
      </c>
    </row>
    <row r="218" spans="1:35" ht="14.25" customHeight="1" x14ac:dyDescent="0.25">
      <c r="A218" s="29">
        <v>1</v>
      </c>
      <c r="B218" s="29">
        <v>2</v>
      </c>
      <c r="C218" s="29">
        <v>7</v>
      </c>
      <c r="D218" s="30" t="s">
        <v>427</v>
      </c>
      <c r="E218" s="30" t="s">
        <v>31</v>
      </c>
      <c r="F218" s="30" t="s">
        <v>659</v>
      </c>
      <c r="G218" s="30" t="s">
        <v>660</v>
      </c>
      <c r="H218" s="30" t="s">
        <v>165</v>
      </c>
      <c r="I218" s="29" t="s">
        <v>590</v>
      </c>
      <c r="J218" s="29">
        <v>99</v>
      </c>
      <c r="K218" s="29" t="s">
        <v>318</v>
      </c>
      <c r="L218" s="29" t="s">
        <v>318</v>
      </c>
      <c r="M218" s="30" t="s">
        <v>273</v>
      </c>
      <c r="N218" s="30" t="s">
        <v>909</v>
      </c>
      <c r="O218" s="31">
        <v>1</v>
      </c>
      <c r="P218" s="31"/>
      <c r="Q218" s="30"/>
      <c r="S218" s="2">
        <f t="shared" si="119"/>
        <v>0</v>
      </c>
      <c r="T218" s="2">
        <f t="shared" si="120"/>
        <v>0</v>
      </c>
      <c r="U218" s="2">
        <f t="shared" si="121"/>
        <v>0</v>
      </c>
      <c r="V218" s="2">
        <f t="shared" si="122"/>
        <v>0</v>
      </c>
      <c r="W218" s="2">
        <f t="shared" si="123"/>
        <v>0</v>
      </c>
      <c r="X218" s="2">
        <f t="shared" si="124"/>
        <v>0</v>
      </c>
      <c r="Y218" s="2">
        <f t="shared" si="125"/>
        <v>0</v>
      </c>
      <c r="Z218" s="2">
        <f t="shared" si="126"/>
        <v>0</v>
      </c>
      <c r="AA218" s="2">
        <f t="shared" si="127"/>
        <v>0</v>
      </c>
      <c r="AB218" s="2">
        <f t="shared" si="128"/>
        <v>0</v>
      </c>
      <c r="AD218" s="2">
        <f t="shared" si="129"/>
        <v>0</v>
      </c>
      <c r="AE218" s="2">
        <f t="shared" si="130"/>
        <v>1</v>
      </c>
      <c r="AF218" s="2">
        <f t="shared" si="131"/>
        <v>0</v>
      </c>
      <c r="AG218" s="2">
        <f t="shared" si="132"/>
        <v>0</v>
      </c>
      <c r="AH218" s="2">
        <f t="shared" si="133"/>
        <v>0</v>
      </c>
      <c r="AI218" s="2">
        <f t="shared" si="134"/>
        <v>0</v>
      </c>
    </row>
    <row r="219" spans="1:35" ht="14.25" customHeight="1" x14ac:dyDescent="0.25">
      <c r="A219" s="29">
        <v>0</v>
      </c>
      <c r="B219" s="29">
        <v>2</v>
      </c>
      <c r="C219" s="29">
        <v>7</v>
      </c>
      <c r="D219" s="30" t="s">
        <v>72</v>
      </c>
      <c r="E219" s="30" t="s">
        <v>31</v>
      </c>
      <c r="F219" s="30" t="s">
        <v>151</v>
      </c>
      <c r="G219" s="30" t="s">
        <v>99</v>
      </c>
      <c r="H219" s="30" t="s">
        <v>165</v>
      </c>
      <c r="I219" s="29" t="s">
        <v>195</v>
      </c>
      <c r="J219" s="29">
        <v>3</v>
      </c>
      <c r="K219" s="29" t="s">
        <v>320</v>
      </c>
      <c r="L219" s="29" t="s">
        <v>318</v>
      </c>
      <c r="M219" s="30" t="s">
        <v>273</v>
      </c>
      <c r="N219" s="30" t="s">
        <v>909</v>
      </c>
      <c r="O219" s="31">
        <v>1</v>
      </c>
      <c r="P219" s="31"/>
      <c r="Q219" s="30"/>
      <c r="S219" s="2">
        <f t="shared" si="119"/>
        <v>0</v>
      </c>
      <c r="T219" s="2">
        <f t="shared" si="120"/>
        <v>0</v>
      </c>
      <c r="U219" s="2">
        <f t="shared" si="121"/>
        <v>1</v>
      </c>
      <c r="V219" s="2">
        <f t="shared" si="122"/>
        <v>0</v>
      </c>
      <c r="W219" s="2">
        <f t="shared" si="123"/>
        <v>0</v>
      </c>
      <c r="X219" s="2">
        <f t="shared" si="124"/>
        <v>0</v>
      </c>
      <c r="Y219" s="2">
        <f t="shared" si="125"/>
        <v>0</v>
      </c>
      <c r="Z219" s="2">
        <f t="shared" si="126"/>
        <v>0</v>
      </c>
      <c r="AA219" s="2">
        <f t="shared" si="127"/>
        <v>0</v>
      </c>
      <c r="AB219" s="2">
        <f t="shared" si="128"/>
        <v>0</v>
      </c>
      <c r="AD219" s="2">
        <f t="shared" si="129"/>
        <v>0</v>
      </c>
      <c r="AE219" s="2">
        <f t="shared" si="130"/>
        <v>1</v>
      </c>
      <c r="AF219" s="2">
        <f t="shared" si="131"/>
        <v>0</v>
      </c>
      <c r="AG219" s="2">
        <f t="shared" si="132"/>
        <v>1</v>
      </c>
      <c r="AH219" s="2">
        <f t="shared" si="133"/>
        <v>0</v>
      </c>
      <c r="AI219" s="2">
        <f t="shared" si="134"/>
        <v>1</v>
      </c>
    </row>
    <row r="220" spans="1:35" ht="14.25" customHeight="1" x14ac:dyDescent="0.25">
      <c r="A220" s="29">
        <v>0</v>
      </c>
      <c r="B220" s="29">
        <v>2</v>
      </c>
      <c r="C220" s="29">
        <v>7</v>
      </c>
      <c r="D220" s="30" t="s">
        <v>305</v>
      </c>
      <c r="E220" s="30" t="s">
        <v>31</v>
      </c>
      <c r="F220" s="30" t="s">
        <v>812</v>
      </c>
      <c r="G220" s="30" t="s">
        <v>575</v>
      </c>
      <c r="H220" s="30" t="s">
        <v>165</v>
      </c>
      <c r="I220" s="29" t="s">
        <v>297</v>
      </c>
      <c r="J220" s="29">
        <v>99</v>
      </c>
      <c r="K220" s="29" t="s">
        <v>318</v>
      </c>
      <c r="L220" s="29" t="s">
        <v>318</v>
      </c>
      <c r="M220" s="30" t="s">
        <v>273</v>
      </c>
      <c r="N220" s="30" t="s">
        <v>914</v>
      </c>
      <c r="O220" s="31">
        <v>1</v>
      </c>
      <c r="P220" s="31"/>
      <c r="Q220" s="30"/>
      <c r="S220" s="2">
        <f t="shared" si="119"/>
        <v>0</v>
      </c>
      <c r="T220" s="2">
        <f t="shared" si="120"/>
        <v>0</v>
      </c>
      <c r="U220" s="2">
        <f t="shared" si="121"/>
        <v>0</v>
      </c>
      <c r="V220" s="2">
        <f t="shared" si="122"/>
        <v>0</v>
      </c>
      <c r="W220" s="2">
        <f t="shared" si="123"/>
        <v>0</v>
      </c>
      <c r="X220" s="2">
        <f t="shared" si="124"/>
        <v>0</v>
      </c>
      <c r="Y220" s="2">
        <f t="shared" si="125"/>
        <v>0</v>
      </c>
      <c r="Z220" s="2">
        <f t="shared" si="126"/>
        <v>0</v>
      </c>
      <c r="AA220" s="2">
        <f t="shared" si="127"/>
        <v>0</v>
      </c>
      <c r="AB220" s="2">
        <f t="shared" si="128"/>
        <v>0</v>
      </c>
      <c r="AD220" s="2">
        <f t="shared" si="129"/>
        <v>0</v>
      </c>
      <c r="AE220" s="2">
        <f t="shared" si="130"/>
        <v>1</v>
      </c>
      <c r="AF220" s="2">
        <f t="shared" si="131"/>
        <v>0</v>
      </c>
      <c r="AG220" s="2">
        <f t="shared" si="132"/>
        <v>1</v>
      </c>
      <c r="AH220" s="2">
        <f t="shared" si="133"/>
        <v>0</v>
      </c>
      <c r="AI220" s="2">
        <f t="shared" si="134"/>
        <v>1</v>
      </c>
    </row>
    <row r="221" spans="1:35" ht="14.25" customHeight="1" x14ac:dyDescent="0.25">
      <c r="A221" s="29">
        <v>0</v>
      </c>
      <c r="B221" s="29">
        <v>2</v>
      </c>
      <c r="C221" s="29">
        <v>7</v>
      </c>
      <c r="D221" s="30" t="s">
        <v>73</v>
      </c>
      <c r="E221" s="30" t="s">
        <v>31</v>
      </c>
      <c r="F221" s="30" t="s">
        <v>152</v>
      </c>
      <c r="G221" s="30" t="s">
        <v>120</v>
      </c>
      <c r="H221" s="30" t="s">
        <v>165</v>
      </c>
      <c r="I221" s="29" t="s">
        <v>196</v>
      </c>
      <c r="J221" s="29">
        <v>6</v>
      </c>
      <c r="K221" s="29" t="s">
        <v>320</v>
      </c>
      <c r="L221" s="29" t="s">
        <v>318</v>
      </c>
      <c r="M221" s="30" t="s">
        <v>273</v>
      </c>
      <c r="N221" s="30" t="s">
        <v>888</v>
      </c>
      <c r="O221" s="31">
        <v>1</v>
      </c>
      <c r="P221" s="31"/>
      <c r="Q221" s="30"/>
      <c r="S221" s="2">
        <f t="shared" si="119"/>
        <v>0</v>
      </c>
      <c r="T221" s="2">
        <f t="shared" si="120"/>
        <v>0</v>
      </c>
      <c r="U221" s="2">
        <f t="shared" si="121"/>
        <v>0</v>
      </c>
      <c r="V221" s="2">
        <f t="shared" si="122"/>
        <v>0</v>
      </c>
      <c r="W221" s="2">
        <f t="shared" si="123"/>
        <v>0</v>
      </c>
      <c r="X221" s="2">
        <f t="shared" si="124"/>
        <v>1</v>
      </c>
      <c r="Y221" s="2">
        <f t="shared" si="125"/>
        <v>0</v>
      </c>
      <c r="Z221" s="2">
        <f t="shared" si="126"/>
        <v>0</v>
      </c>
      <c r="AA221" s="2">
        <f t="shared" si="127"/>
        <v>0</v>
      </c>
      <c r="AB221" s="2">
        <f t="shared" si="128"/>
        <v>0</v>
      </c>
      <c r="AD221" s="2">
        <f t="shared" si="129"/>
        <v>0</v>
      </c>
      <c r="AE221" s="2">
        <f t="shared" si="130"/>
        <v>1</v>
      </c>
      <c r="AF221" s="2">
        <f t="shared" si="131"/>
        <v>0</v>
      </c>
      <c r="AG221" s="2">
        <f t="shared" si="132"/>
        <v>1</v>
      </c>
      <c r="AH221" s="2">
        <f t="shared" si="133"/>
        <v>0</v>
      </c>
      <c r="AI221" s="2">
        <f t="shared" si="134"/>
        <v>1</v>
      </c>
    </row>
    <row r="222" spans="1:35" ht="14.25" customHeight="1" x14ac:dyDescent="0.25">
      <c r="A222" s="29">
        <v>1</v>
      </c>
      <c r="B222" s="29">
        <v>2</v>
      </c>
      <c r="C222" s="29">
        <v>7</v>
      </c>
      <c r="D222" s="30" t="s">
        <v>73</v>
      </c>
      <c r="E222" s="30" t="s">
        <v>31</v>
      </c>
      <c r="F222" s="30" t="s">
        <v>310</v>
      </c>
      <c r="G222" s="30" t="s">
        <v>102</v>
      </c>
      <c r="H222" s="30" t="s">
        <v>165</v>
      </c>
      <c r="I222" s="29" t="s">
        <v>316</v>
      </c>
      <c r="J222" s="29">
        <v>4</v>
      </c>
      <c r="K222" s="29" t="s">
        <v>320</v>
      </c>
      <c r="L222" s="29" t="s">
        <v>318</v>
      </c>
      <c r="M222" s="30" t="s">
        <v>273</v>
      </c>
      <c r="N222" s="30" t="s">
        <v>888</v>
      </c>
      <c r="O222" s="31">
        <v>1</v>
      </c>
      <c r="P222" s="31"/>
      <c r="Q222" s="30"/>
      <c r="S222" s="2">
        <f t="shared" si="119"/>
        <v>0</v>
      </c>
      <c r="T222" s="2">
        <f t="shared" si="120"/>
        <v>0</v>
      </c>
      <c r="U222" s="2">
        <f t="shared" si="121"/>
        <v>0</v>
      </c>
      <c r="V222" s="2">
        <f t="shared" si="122"/>
        <v>1</v>
      </c>
      <c r="W222" s="2">
        <f t="shared" si="123"/>
        <v>0</v>
      </c>
      <c r="X222" s="2">
        <f t="shared" si="124"/>
        <v>0</v>
      </c>
      <c r="Y222" s="2">
        <f t="shared" si="125"/>
        <v>0</v>
      </c>
      <c r="Z222" s="2">
        <f t="shared" si="126"/>
        <v>0</v>
      </c>
      <c r="AA222" s="2">
        <f t="shared" si="127"/>
        <v>0</v>
      </c>
      <c r="AB222" s="2">
        <f t="shared" si="128"/>
        <v>0</v>
      </c>
      <c r="AD222" s="2">
        <f t="shared" si="129"/>
        <v>0</v>
      </c>
      <c r="AE222" s="2">
        <f t="shared" si="130"/>
        <v>1</v>
      </c>
      <c r="AF222" s="2">
        <f t="shared" si="131"/>
        <v>0</v>
      </c>
      <c r="AG222" s="2">
        <f t="shared" si="132"/>
        <v>0</v>
      </c>
      <c r="AH222" s="2">
        <f t="shared" si="133"/>
        <v>0</v>
      </c>
      <c r="AI222" s="2">
        <f t="shared" si="134"/>
        <v>0</v>
      </c>
    </row>
    <row r="223" spans="1:35" ht="14.25" customHeight="1" x14ac:dyDescent="0.25">
      <c r="A223" s="29">
        <v>0</v>
      </c>
      <c r="B223" s="29">
        <v>2</v>
      </c>
      <c r="C223" s="29">
        <v>7</v>
      </c>
      <c r="D223" s="30" t="s">
        <v>393</v>
      </c>
      <c r="E223" s="30" t="s">
        <v>31</v>
      </c>
      <c r="F223" s="30" t="s">
        <v>474</v>
      </c>
      <c r="G223" s="30" t="s">
        <v>475</v>
      </c>
      <c r="H223" s="30" t="s">
        <v>165</v>
      </c>
      <c r="I223" s="29" t="s">
        <v>394</v>
      </c>
      <c r="J223" s="29">
        <v>99</v>
      </c>
      <c r="K223" s="29" t="s">
        <v>318</v>
      </c>
      <c r="L223" s="29" t="s">
        <v>318</v>
      </c>
      <c r="M223" s="30" t="s">
        <v>273</v>
      </c>
      <c r="N223" s="30" t="s">
        <v>882</v>
      </c>
      <c r="O223" s="31">
        <v>1</v>
      </c>
      <c r="P223" s="31"/>
      <c r="Q223" s="30"/>
      <c r="S223" s="2">
        <f t="shared" si="119"/>
        <v>0</v>
      </c>
      <c r="T223" s="2">
        <f t="shared" si="120"/>
        <v>0</v>
      </c>
      <c r="U223" s="2">
        <f t="shared" si="121"/>
        <v>0</v>
      </c>
      <c r="V223" s="2">
        <f t="shared" si="122"/>
        <v>0</v>
      </c>
      <c r="W223" s="2">
        <f t="shared" si="123"/>
        <v>0</v>
      </c>
      <c r="X223" s="2">
        <f t="shared" si="124"/>
        <v>0</v>
      </c>
      <c r="Y223" s="2">
        <f t="shared" si="125"/>
        <v>0</v>
      </c>
      <c r="Z223" s="2">
        <f t="shared" si="126"/>
        <v>0</v>
      </c>
      <c r="AA223" s="2">
        <f t="shared" si="127"/>
        <v>0</v>
      </c>
      <c r="AB223" s="2">
        <f t="shared" si="128"/>
        <v>0</v>
      </c>
      <c r="AD223" s="2">
        <f t="shared" si="129"/>
        <v>0</v>
      </c>
      <c r="AE223" s="2">
        <f t="shared" si="130"/>
        <v>1</v>
      </c>
      <c r="AF223" s="2">
        <f t="shared" si="131"/>
        <v>0</v>
      </c>
      <c r="AG223" s="2">
        <f t="shared" si="132"/>
        <v>1</v>
      </c>
      <c r="AH223" s="2">
        <f t="shared" si="133"/>
        <v>0</v>
      </c>
      <c r="AI223" s="2">
        <f t="shared" si="134"/>
        <v>1</v>
      </c>
    </row>
    <row r="224" spans="1:35" ht="14.25" customHeight="1" x14ac:dyDescent="0.25">
      <c r="A224" s="29">
        <v>0</v>
      </c>
      <c r="B224" s="29">
        <v>2</v>
      </c>
      <c r="C224" s="29">
        <v>7</v>
      </c>
      <c r="D224" s="30" t="s">
        <v>566</v>
      </c>
      <c r="E224" s="30" t="s">
        <v>31</v>
      </c>
      <c r="F224" s="30" t="s">
        <v>576</v>
      </c>
      <c r="G224" s="30" t="s">
        <v>132</v>
      </c>
      <c r="H224" s="30" t="s">
        <v>165</v>
      </c>
      <c r="I224" s="29" t="s">
        <v>834</v>
      </c>
      <c r="J224" s="29">
        <v>3</v>
      </c>
      <c r="K224" s="29" t="s">
        <v>320</v>
      </c>
      <c r="L224" s="29" t="s">
        <v>318</v>
      </c>
      <c r="M224" s="30" t="s">
        <v>273</v>
      </c>
      <c r="N224" s="30" t="s">
        <v>909</v>
      </c>
      <c r="O224" s="31">
        <v>1</v>
      </c>
      <c r="P224" s="31"/>
      <c r="Q224" s="30"/>
      <c r="S224" s="2">
        <f t="shared" si="119"/>
        <v>0</v>
      </c>
      <c r="T224" s="2">
        <f t="shared" si="120"/>
        <v>0</v>
      </c>
      <c r="U224" s="2">
        <f t="shared" si="121"/>
        <v>1</v>
      </c>
      <c r="V224" s="2">
        <f t="shared" si="122"/>
        <v>0</v>
      </c>
      <c r="W224" s="2">
        <f t="shared" si="123"/>
        <v>0</v>
      </c>
      <c r="X224" s="2">
        <f t="shared" si="124"/>
        <v>0</v>
      </c>
      <c r="Y224" s="2">
        <f t="shared" si="125"/>
        <v>0</v>
      </c>
      <c r="Z224" s="2">
        <f t="shared" si="126"/>
        <v>0</v>
      </c>
      <c r="AA224" s="2">
        <f t="shared" si="127"/>
        <v>0</v>
      </c>
      <c r="AB224" s="2">
        <f t="shared" si="128"/>
        <v>0</v>
      </c>
      <c r="AD224" s="2">
        <f t="shared" si="129"/>
        <v>0</v>
      </c>
      <c r="AE224" s="2">
        <f t="shared" si="130"/>
        <v>1</v>
      </c>
      <c r="AF224" s="2">
        <f t="shared" si="131"/>
        <v>0</v>
      </c>
      <c r="AG224" s="2">
        <f t="shared" si="132"/>
        <v>1</v>
      </c>
      <c r="AH224" s="2">
        <f t="shared" si="133"/>
        <v>0</v>
      </c>
      <c r="AI224" s="2">
        <f t="shared" si="134"/>
        <v>1</v>
      </c>
    </row>
    <row r="225" spans="1:35" ht="14.25" customHeight="1" x14ac:dyDescent="0.25">
      <c r="A225" s="29">
        <v>0</v>
      </c>
      <c r="B225" s="29">
        <v>2</v>
      </c>
      <c r="C225" s="29">
        <v>7</v>
      </c>
      <c r="D225" s="30" t="s">
        <v>74</v>
      </c>
      <c r="E225" s="30" t="s">
        <v>31</v>
      </c>
      <c r="F225" s="30" t="s">
        <v>311</v>
      </c>
      <c r="G225" s="30" t="s">
        <v>103</v>
      </c>
      <c r="H225" s="30" t="s">
        <v>165</v>
      </c>
      <c r="I225" s="29" t="s">
        <v>835</v>
      </c>
      <c r="J225" s="29">
        <v>6</v>
      </c>
      <c r="K225" s="29" t="s">
        <v>318</v>
      </c>
      <c r="L225" s="29" t="s">
        <v>318</v>
      </c>
      <c r="M225" s="30" t="s">
        <v>273</v>
      </c>
      <c r="N225" s="30" t="s">
        <v>914</v>
      </c>
      <c r="O225" s="31">
        <v>1</v>
      </c>
      <c r="P225" s="31"/>
      <c r="Q225" s="30"/>
      <c r="S225" s="2">
        <f t="shared" si="119"/>
        <v>0</v>
      </c>
      <c r="T225" s="2">
        <f t="shared" si="120"/>
        <v>0</v>
      </c>
      <c r="U225" s="2">
        <f t="shared" si="121"/>
        <v>0</v>
      </c>
      <c r="V225" s="2">
        <f t="shared" si="122"/>
        <v>0</v>
      </c>
      <c r="W225" s="2">
        <f t="shared" si="123"/>
        <v>0</v>
      </c>
      <c r="X225" s="2">
        <f t="shared" si="124"/>
        <v>1</v>
      </c>
      <c r="Y225" s="2">
        <f t="shared" si="125"/>
        <v>0</v>
      </c>
      <c r="Z225" s="2">
        <f t="shared" si="126"/>
        <v>0</v>
      </c>
      <c r="AA225" s="2">
        <f t="shared" si="127"/>
        <v>0</v>
      </c>
      <c r="AB225" s="2">
        <f t="shared" si="128"/>
        <v>0</v>
      </c>
      <c r="AD225" s="2">
        <f t="shared" si="129"/>
        <v>0</v>
      </c>
      <c r="AE225" s="2">
        <f t="shared" si="130"/>
        <v>1</v>
      </c>
      <c r="AF225" s="2">
        <f t="shared" si="131"/>
        <v>0</v>
      </c>
      <c r="AG225" s="2">
        <f t="shared" si="132"/>
        <v>1</v>
      </c>
      <c r="AH225" s="2">
        <f t="shared" si="133"/>
        <v>0</v>
      </c>
      <c r="AI225" s="2">
        <f t="shared" si="134"/>
        <v>1</v>
      </c>
    </row>
    <row r="226" spans="1:35" ht="14.25" customHeight="1" x14ac:dyDescent="0.25">
      <c r="A226" s="29">
        <v>0</v>
      </c>
      <c r="B226" s="29">
        <v>2</v>
      </c>
      <c r="C226" s="29">
        <v>7</v>
      </c>
      <c r="D226" s="30" t="s">
        <v>68</v>
      </c>
      <c r="E226" s="30" t="s">
        <v>90</v>
      </c>
      <c r="F226" s="30" t="s">
        <v>146</v>
      </c>
      <c r="G226" s="30" t="s">
        <v>103</v>
      </c>
      <c r="H226" s="30" t="s">
        <v>165</v>
      </c>
      <c r="I226" s="29" t="s">
        <v>191</v>
      </c>
      <c r="J226" s="29">
        <v>6</v>
      </c>
      <c r="K226" s="29" t="s">
        <v>321</v>
      </c>
      <c r="L226" s="29" t="s">
        <v>333</v>
      </c>
      <c r="M226" s="30" t="s">
        <v>274</v>
      </c>
      <c r="N226" s="30" t="s">
        <v>909</v>
      </c>
      <c r="O226" s="31">
        <v>1</v>
      </c>
      <c r="P226" s="31"/>
      <c r="Q226" s="30"/>
      <c r="S226" s="2">
        <f t="shared" si="119"/>
        <v>0</v>
      </c>
      <c r="T226" s="2">
        <f t="shared" si="120"/>
        <v>0</v>
      </c>
      <c r="U226" s="2">
        <f t="shared" si="121"/>
        <v>0</v>
      </c>
      <c r="V226" s="2">
        <f t="shared" si="122"/>
        <v>0</v>
      </c>
      <c r="W226" s="2">
        <f t="shared" si="123"/>
        <v>0</v>
      </c>
      <c r="X226" s="2">
        <f t="shared" si="124"/>
        <v>1</v>
      </c>
      <c r="Y226" s="2">
        <f t="shared" si="125"/>
        <v>0</v>
      </c>
      <c r="Z226" s="2">
        <f t="shared" si="126"/>
        <v>0</v>
      </c>
      <c r="AA226" s="2">
        <f t="shared" si="127"/>
        <v>0</v>
      </c>
      <c r="AB226" s="2">
        <f t="shared" si="128"/>
        <v>0</v>
      </c>
      <c r="AD226" s="2">
        <f t="shared" si="129"/>
        <v>0</v>
      </c>
      <c r="AE226" s="2">
        <f t="shared" si="130"/>
        <v>1</v>
      </c>
      <c r="AF226" s="2">
        <f t="shared" si="131"/>
        <v>0</v>
      </c>
      <c r="AG226" s="2">
        <f t="shared" si="132"/>
        <v>1</v>
      </c>
      <c r="AH226" s="2">
        <f t="shared" si="133"/>
        <v>0</v>
      </c>
      <c r="AI226" s="2">
        <f t="shared" si="134"/>
        <v>1</v>
      </c>
    </row>
    <row r="227" spans="1:35" ht="14.25" customHeight="1" x14ac:dyDescent="0.25">
      <c r="A227" s="29">
        <v>0</v>
      </c>
      <c r="B227" s="29">
        <v>2</v>
      </c>
      <c r="C227" s="29">
        <v>7</v>
      </c>
      <c r="D227" s="30" t="s">
        <v>462</v>
      </c>
      <c r="E227" s="30" t="s">
        <v>31</v>
      </c>
      <c r="F227" s="30" t="s">
        <v>395</v>
      </c>
      <c r="G227" s="30" t="s">
        <v>478</v>
      </c>
      <c r="H227" s="30" t="s">
        <v>165</v>
      </c>
      <c r="I227" s="29" t="s">
        <v>488</v>
      </c>
      <c r="J227" s="29">
        <v>99</v>
      </c>
      <c r="K227" s="29" t="s">
        <v>376</v>
      </c>
      <c r="L227" s="29" t="s">
        <v>318</v>
      </c>
      <c r="M227" s="30" t="s">
        <v>273</v>
      </c>
      <c r="N227" s="30" t="s">
        <v>914</v>
      </c>
      <c r="O227" s="31">
        <v>1</v>
      </c>
      <c r="P227" s="31"/>
      <c r="Q227" s="30"/>
      <c r="S227" s="2">
        <f t="shared" si="119"/>
        <v>0</v>
      </c>
      <c r="T227" s="2">
        <f t="shared" si="120"/>
        <v>0</v>
      </c>
      <c r="U227" s="2">
        <f t="shared" si="121"/>
        <v>0</v>
      </c>
      <c r="V227" s="2">
        <f t="shared" si="122"/>
        <v>0</v>
      </c>
      <c r="W227" s="2">
        <f t="shared" si="123"/>
        <v>0</v>
      </c>
      <c r="X227" s="2">
        <f t="shared" si="124"/>
        <v>0</v>
      </c>
      <c r="Y227" s="2">
        <f t="shared" si="125"/>
        <v>0</v>
      </c>
      <c r="Z227" s="2">
        <f t="shared" si="126"/>
        <v>0</v>
      </c>
      <c r="AA227" s="2">
        <f t="shared" si="127"/>
        <v>0</v>
      </c>
      <c r="AB227" s="2">
        <f t="shared" si="128"/>
        <v>0</v>
      </c>
      <c r="AD227" s="2">
        <f t="shared" si="129"/>
        <v>0</v>
      </c>
      <c r="AE227" s="2">
        <f t="shared" si="130"/>
        <v>1</v>
      </c>
      <c r="AF227" s="2">
        <f t="shared" si="131"/>
        <v>0</v>
      </c>
      <c r="AG227" s="2">
        <f t="shared" si="132"/>
        <v>1</v>
      </c>
      <c r="AH227" s="2">
        <f t="shared" si="133"/>
        <v>0</v>
      </c>
      <c r="AI227" s="2">
        <f t="shared" si="134"/>
        <v>1</v>
      </c>
    </row>
    <row r="228" spans="1:35" ht="14.25" customHeight="1" x14ac:dyDescent="0.25">
      <c r="A228" s="29">
        <v>0</v>
      </c>
      <c r="B228" s="29">
        <v>2</v>
      </c>
      <c r="C228" s="29">
        <v>7</v>
      </c>
      <c r="D228" s="30" t="s">
        <v>504</v>
      </c>
      <c r="E228" s="30" t="s">
        <v>31</v>
      </c>
      <c r="F228" s="30" t="s">
        <v>505</v>
      </c>
      <c r="G228" s="30" t="s">
        <v>96</v>
      </c>
      <c r="H228" s="30" t="s">
        <v>165</v>
      </c>
      <c r="I228" s="29" t="s">
        <v>506</v>
      </c>
      <c r="J228" s="29">
        <v>3</v>
      </c>
      <c r="K228" s="29" t="s">
        <v>318</v>
      </c>
      <c r="L228" s="29" t="s">
        <v>318</v>
      </c>
      <c r="M228" s="30" t="s">
        <v>273</v>
      </c>
      <c r="N228" s="30" t="s">
        <v>894</v>
      </c>
      <c r="O228" s="31">
        <v>1</v>
      </c>
      <c r="P228" s="31"/>
      <c r="Q228" s="30"/>
      <c r="S228" s="2">
        <f t="shared" si="119"/>
        <v>0</v>
      </c>
      <c r="T228" s="2">
        <f t="shared" si="120"/>
        <v>0</v>
      </c>
      <c r="U228" s="2">
        <f t="shared" si="121"/>
        <v>1</v>
      </c>
      <c r="V228" s="2">
        <f t="shared" si="122"/>
        <v>0</v>
      </c>
      <c r="W228" s="2">
        <f t="shared" si="123"/>
        <v>0</v>
      </c>
      <c r="X228" s="2">
        <f t="shared" si="124"/>
        <v>0</v>
      </c>
      <c r="Y228" s="2">
        <f t="shared" si="125"/>
        <v>0</v>
      </c>
      <c r="Z228" s="2">
        <f t="shared" si="126"/>
        <v>0</v>
      </c>
      <c r="AA228" s="2">
        <f t="shared" si="127"/>
        <v>0</v>
      </c>
      <c r="AB228" s="2">
        <f t="shared" si="128"/>
        <v>0</v>
      </c>
      <c r="AD228" s="2">
        <f t="shared" si="129"/>
        <v>0</v>
      </c>
      <c r="AE228" s="2">
        <f t="shared" si="130"/>
        <v>1</v>
      </c>
      <c r="AF228" s="2">
        <f t="shared" si="131"/>
        <v>0</v>
      </c>
      <c r="AG228" s="2">
        <f t="shared" si="132"/>
        <v>1</v>
      </c>
      <c r="AH228" s="2">
        <f t="shared" si="133"/>
        <v>0</v>
      </c>
      <c r="AI228" s="2">
        <f t="shared" si="134"/>
        <v>1</v>
      </c>
    </row>
    <row r="229" spans="1:35" ht="14.25" customHeight="1" x14ac:dyDescent="0.25">
      <c r="A229" s="29">
        <v>0</v>
      </c>
      <c r="B229" s="29">
        <v>2</v>
      </c>
      <c r="C229" s="29">
        <v>7</v>
      </c>
      <c r="D229" s="30" t="s">
        <v>898</v>
      </c>
      <c r="E229" s="30" t="s">
        <v>899</v>
      </c>
      <c r="F229" s="30" t="s">
        <v>146</v>
      </c>
      <c r="G229" s="30" t="s">
        <v>103</v>
      </c>
      <c r="H229" s="30" t="s">
        <v>165</v>
      </c>
      <c r="I229" s="29" t="s">
        <v>33</v>
      </c>
      <c r="J229" s="29">
        <v>6</v>
      </c>
      <c r="K229" s="29" t="s">
        <v>376</v>
      </c>
      <c r="L229" s="29"/>
      <c r="M229" s="30"/>
      <c r="N229" s="30" t="s">
        <v>880</v>
      </c>
      <c r="O229" s="31">
        <v>1</v>
      </c>
      <c r="P229" s="31">
        <v>1</v>
      </c>
      <c r="Q229" s="30"/>
      <c r="S229" s="2">
        <f t="shared" si="119"/>
        <v>0</v>
      </c>
      <c r="T229" s="2">
        <f t="shared" si="120"/>
        <v>0</v>
      </c>
      <c r="U229" s="2">
        <f t="shared" si="121"/>
        <v>0</v>
      </c>
      <c r="V229" s="2">
        <f t="shared" si="122"/>
        <v>0</v>
      </c>
      <c r="W229" s="2">
        <f t="shared" si="123"/>
        <v>0</v>
      </c>
      <c r="X229" s="2">
        <f t="shared" si="124"/>
        <v>1</v>
      </c>
      <c r="Y229" s="2">
        <f t="shared" si="125"/>
        <v>0</v>
      </c>
      <c r="Z229" s="2">
        <f t="shared" si="126"/>
        <v>0</v>
      </c>
      <c r="AA229" s="2">
        <f t="shared" si="127"/>
        <v>0</v>
      </c>
      <c r="AB229" s="2">
        <f t="shared" si="128"/>
        <v>0</v>
      </c>
      <c r="AD229" s="2">
        <f t="shared" si="129"/>
        <v>1</v>
      </c>
      <c r="AE229" s="2">
        <f t="shared" si="130"/>
        <v>0</v>
      </c>
      <c r="AF229" s="2">
        <f t="shared" si="131"/>
        <v>1</v>
      </c>
      <c r="AG229" s="2">
        <f t="shared" si="132"/>
        <v>0</v>
      </c>
      <c r="AH229" s="2">
        <f t="shared" si="133"/>
        <v>1</v>
      </c>
      <c r="AI229" s="2">
        <f t="shared" si="134"/>
        <v>0</v>
      </c>
    </row>
    <row r="230" spans="1:35" ht="14.25" customHeight="1" x14ac:dyDescent="0.25">
      <c r="A230" s="29">
        <v>1</v>
      </c>
      <c r="B230" s="29">
        <v>2</v>
      </c>
      <c r="C230" s="29">
        <v>7</v>
      </c>
      <c r="D230" s="30" t="s">
        <v>898</v>
      </c>
      <c r="E230" s="30" t="s">
        <v>899</v>
      </c>
      <c r="F230" s="30" t="s">
        <v>900</v>
      </c>
      <c r="G230" s="30" t="s">
        <v>901</v>
      </c>
      <c r="H230" s="30" t="s">
        <v>165</v>
      </c>
      <c r="I230" s="29"/>
      <c r="J230" s="29"/>
      <c r="K230" s="29" t="s">
        <v>376</v>
      </c>
      <c r="L230" s="29"/>
      <c r="M230" s="30"/>
      <c r="N230" s="30" t="s">
        <v>880</v>
      </c>
      <c r="O230" s="31">
        <v>1</v>
      </c>
      <c r="P230" s="31">
        <v>1</v>
      </c>
      <c r="Q230" s="30"/>
      <c r="S230" s="2">
        <f t="shared" si="119"/>
        <v>0</v>
      </c>
      <c r="T230" s="2">
        <f t="shared" si="120"/>
        <v>0</v>
      </c>
      <c r="U230" s="2">
        <f t="shared" si="121"/>
        <v>0</v>
      </c>
      <c r="V230" s="2">
        <f t="shared" si="122"/>
        <v>0</v>
      </c>
      <c r="W230" s="2">
        <f t="shared" si="123"/>
        <v>0</v>
      </c>
      <c r="X230" s="2">
        <f t="shared" si="124"/>
        <v>0</v>
      </c>
      <c r="Y230" s="2">
        <f t="shared" si="125"/>
        <v>0</v>
      </c>
      <c r="Z230" s="2">
        <f t="shared" si="126"/>
        <v>0</v>
      </c>
      <c r="AA230" s="2">
        <f t="shared" si="127"/>
        <v>0</v>
      </c>
      <c r="AB230" s="2">
        <f t="shared" si="128"/>
        <v>0</v>
      </c>
      <c r="AD230" s="2">
        <f t="shared" si="129"/>
        <v>1</v>
      </c>
      <c r="AE230" s="2">
        <f t="shared" si="130"/>
        <v>0</v>
      </c>
      <c r="AF230" s="2">
        <f t="shared" si="131"/>
        <v>0</v>
      </c>
      <c r="AG230" s="2">
        <f t="shared" si="132"/>
        <v>0</v>
      </c>
      <c r="AH230" s="2">
        <f t="shared" si="133"/>
        <v>0</v>
      </c>
      <c r="AI230" s="2">
        <f t="shared" si="134"/>
        <v>0</v>
      </c>
    </row>
    <row r="231" spans="1:35" ht="14.25" customHeight="1" x14ac:dyDescent="0.25">
      <c r="A231" s="29">
        <v>0</v>
      </c>
      <c r="B231" s="29">
        <v>2</v>
      </c>
      <c r="C231" s="29">
        <v>7</v>
      </c>
      <c r="D231" s="30" t="s">
        <v>361</v>
      </c>
      <c r="E231" s="30" t="s">
        <v>31</v>
      </c>
      <c r="F231" s="30" t="s">
        <v>153</v>
      </c>
      <c r="G231" s="30" t="s">
        <v>109</v>
      </c>
      <c r="H231" s="30" t="s">
        <v>165</v>
      </c>
      <c r="I231" s="29" t="s">
        <v>197</v>
      </c>
      <c r="J231" s="29">
        <v>9</v>
      </c>
      <c r="K231" s="29" t="s">
        <v>320</v>
      </c>
      <c r="L231" s="29" t="s">
        <v>318</v>
      </c>
      <c r="M231" s="30" t="s">
        <v>273</v>
      </c>
      <c r="N231" s="30" t="s">
        <v>894</v>
      </c>
      <c r="O231" s="31">
        <v>1</v>
      </c>
      <c r="P231" s="31"/>
      <c r="Q231" s="30"/>
      <c r="S231" s="2">
        <f t="shared" si="119"/>
        <v>0</v>
      </c>
      <c r="T231" s="2">
        <f t="shared" si="120"/>
        <v>0</v>
      </c>
      <c r="U231" s="2">
        <f t="shared" si="121"/>
        <v>0</v>
      </c>
      <c r="V231" s="2">
        <f t="shared" si="122"/>
        <v>0</v>
      </c>
      <c r="W231" s="2">
        <f t="shared" si="123"/>
        <v>0</v>
      </c>
      <c r="X231" s="2">
        <f t="shared" si="124"/>
        <v>0</v>
      </c>
      <c r="Y231" s="2">
        <f t="shared" si="125"/>
        <v>0</v>
      </c>
      <c r="Z231" s="2">
        <f t="shared" si="126"/>
        <v>0</v>
      </c>
      <c r="AA231" s="2">
        <f t="shared" si="127"/>
        <v>1</v>
      </c>
      <c r="AB231" s="2">
        <f t="shared" si="128"/>
        <v>0</v>
      </c>
      <c r="AD231" s="2">
        <f t="shared" si="129"/>
        <v>0</v>
      </c>
      <c r="AE231" s="2">
        <f t="shared" si="130"/>
        <v>1</v>
      </c>
      <c r="AF231" s="2">
        <f t="shared" si="131"/>
        <v>0</v>
      </c>
      <c r="AG231" s="2">
        <f t="shared" si="132"/>
        <v>1</v>
      </c>
      <c r="AH231" s="2">
        <f t="shared" si="133"/>
        <v>0</v>
      </c>
      <c r="AI231" s="2">
        <f t="shared" si="134"/>
        <v>1</v>
      </c>
    </row>
    <row r="232" spans="1:35" ht="14.25" customHeight="1" x14ac:dyDescent="0.25">
      <c r="A232" s="29">
        <v>1</v>
      </c>
      <c r="B232" s="29">
        <v>2</v>
      </c>
      <c r="C232" s="29">
        <v>7</v>
      </c>
      <c r="D232" s="30" t="s">
        <v>361</v>
      </c>
      <c r="E232" s="30" t="s">
        <v>31</v>
      </c>
      <c r="F232" s="30" t="s">
        <v>367</v>
      </c>
      <c r="G232" s="30" t="s">
        <v>109</v>
      </c>
      <c r="H232" s="30" t="s">
        <v>165</v>
      </c>
      <c r="I232" s="29" t="s">
        <v>374</v>
      </c>
      <c r="J232" s="29">
        <v>9</v>
      </c>
      <c r="K232" s="29" t="s">
        <v>320</v>
      </c>
      <c r="L232" s="29" t="s">
        <v>318</v>
      </c>
      <c r="M232" s="30" t="s">
        <v>273</v>
      </c>
      <c r="N232" s="30" t="s">
        <v>894</v>
      </c>
      <c r="O232" s="31">
        <v>1</v>
      </c>
      <c r="P232" s="31"/>
      <c r="Q232" s="30" t="s">
        <v>937</v>
      </c>
      <c r="S232" s="2">
        <f t="shared" si="119"/>
        <v>0</v>
      </c>
      <c r="T232" s="2">
        <f t="shared" si="120"/>
        <v>0</v>
      </c>
      <c r="U232" s="2">
        <f t="shared" si="121"/>
        <v>0</v>
      </c>
      <c r="V232" s="2">
        <f t="shared" si="122"/>
        <v>0</v>
      </c>
      <c r="W232" s="2">
        <f t="shared" si="123"/>
        <v>0</v>
      </c>
      <c r="X232" s="2">
        <f t="shared" si="124"/>
        <v>0</v>
      </c>
      <c r="Y232" s="2">
        <f t="shared" si="125"/>
        <v>0</v>
      </c>
      <c r="Z232" s="2">
        <f t="shared" si="126"/>
        <v>0</v>
      </c>
      <c r="AA232" s="2">
        <f t="shared" si="127"/>
        <v>1</v>
      </c>
      <c r="AB232" s="2">
        <f t="shared" si="128"/>
        <v>0</v>
      </c>
      <c r="AD232" s="2">
        <f t="shared" si="129"/>
        <v>0</v>
      </c>
      <c r="AE232" s="2">
        <f t="shared" si="130"/>
        <v>1</v>
      </c>
      <c r="AF232" s="2">
        <f t="shared" si="131"/>
        <v>0</v>
      </c>
      <c r="AG232" s="2">
        <f t="shared" si="132"/>
        <v>0</v>
      </c>
      <c r="AH232" s="2">
        <f t="shared" si="133"/>
        <v>0</v>
      </c>
      <c r="AI232" s="2">
        <f t="shared" si="134"/>
        <v>0</v>
      </c>
    </row>
    <row r="233" spans="1:35" ht="14.25" customHeight="1" x14ac:dyDescent="0.25">
      <c r="A233" s="29">
        <v>0</v>
      </c>
      <c r="B233" s="29">
        <v>2</v>
      </c>
      <c r="C233" s="29">
        <v>7</v>
      </c>
      <c r="D233" s="30" t="s">
        <v>396</v>
      </c>
      <c r="E233" s="30" t="s">
        <v>31</v>
      </c>
      <c r="F233" s="30" t="s">
        <v>399</v>
      </c>
      <c r="G233" s="30" t="s">
        <v>479</v>
      </c>
      <c r="H233" s="30" t="s">
        <v>165</v>
      </c>
      <c r="I233" s="29" t="s">
        <v>491</v>
      </c>
      <c r="J233" s="29">
        <v>6</v>
      </c>
      <c r="K233" s="29" t="s">
        <v>319</v>
      </c>
      <c r="L233" s="29" t="s">
        <v>318</v>
      </c>
      <c r="M233" s="30" t="s">
        <v>273</v>
      </c>
      <c r="N233" s="30" t="s">
        <v>914</v>
      </c>
      <c r="O233" s="31">
        <v>1</v>
      </c>
      <c r="P233" s="31"/>
      <c r="Q233" s="30"/>
      <c r="S233" s="2">
        <f t="shared" si="119"/>
        <v>0</v>
      </c>
      <c r="T233" s="2">
        <f t="shared" si="120"/>
        <v>0</v>
      </c>
      <c r="U233" s="2">
        <f t="shared" si="121"/>
        <v>0</v>
      </c>
      <c r="V233" s="2">
        <f t="shared" si="122"/>
        <v>0</v>
      </c>
      <c r="W233" s="2">
        <f t="shared" si="123"/>
        <v>0</v>
      </c>
      <c r="X233" s="2">
        <f t="shared" si="124"/>
        <v>1</v>
      </c>
      <c r="Y233" s="2">
        <f t="shared" si="125"/>
        <v>0</v>
      </c>
      <c r="Z233" s="2">
        <f t="shared" si="126"/>
        <v>0</v>
      </c>
      <c r="AA233" s="2">
        <f t="shared" si="127"/>
        <v>0</v>
      </c>
      <c r="AB233" s="2">
        <f t="shared" si="128"/>
        <v>0</v>
      </c>
      <c r="AD233" s="2">
        <f t="shared" si="129"/>
        <v>0</v>
      </c>
      <c r="AE233" s="2">
        <f t="shared" si="130"/>
        <v>1</v>
      </c>
      <c r="AF233" s="2">
        <f t="shared" si="131"/>
        <v>0</v>
      </c>
      <c r="AG233" s="2">
        <f t="shared" si="132"/>
        <v>1</v>
      </c>
      <c r="AH233" s="2">
        <f t="shared" si="133"/>
        <v>0</v>
      </c>
      <c r="AI233" s="2">
        <f t="shared" si="134"/>
        <v>1</v>
      </c>
    </row>
    <row r="234" spans="1:35" ht="14.25" customHeight="1" x14ac:dyDescent="0.25">
      <c r="A234" s="29">
        <v>1</v>
      </c>
      <c r="B234" s="29">
        <v>2</v>
      </c>
      <c r="C234" s="29">
        <v>7</v>
      </c>
      <c r="D234" s="30" t="s">
        <v>396</v>
      </c>
      <c r="E234" s="30" t="s">
        <v>31</v>
      </c>
      <c r="F234" s="30" t="s">
        <v>397</v>
      </c>
      <c r="G234" s="30" t="s">
        <v>124</v>
      </c>
      <c r="H234" s="30" t="s">
        <v>165</v>
      </c>
      <c r="I234" s="29" t="s">
        <v>398</v>
      </c>
      <c r="J234" s="29">
        <v>7</v>
      </c>
      <c r="K234" s="29" t="s">
        <v>319</v>
      </c>
      <c r="L234" s="29" t="s">
        <v>318</v>
      </c>
      <c r="M234" s="30" t="s">
        <v>273</v>
      </c>
      <c r="N234" s="30" t="s">
        <v>914</v>
      </c>
      <c r="O234" s="31">
        <v>1</v>
      </c>
      <c r="P234" s="31"/>
      <c r="Q234" s="30"/>
      <c r="S234" s="2">
        <f t="shared" si="119"/>
        <v>0</v>
      </c>
      <c r="T234" s="2">
        <f t="shared" si="120"/>
        <v>0</v>
      </c>
      <c r="U234" s="2">
        <f t="shared" si="121"/>
        <v>0</v>
      </c>
      <c r="V234" s="2">
        <f t="shared" si="122"/>
        <v>0</v>
      </c>
      <c r="W234" s="2">
        <f t="shared" si="123"/>
        <v>0</v>
      </c>
      <c r="X234" s="2">
        <f t="shared" si="124"/>
        <v>0</v>
      </c>
      <c r="Y234" s="2">
        <f t="shared" si="125"/>
        <v>1</v>
      </c>
      <c r="Z234" s="2">
        <f t="shared" si="126"/>
        <v>0</v>
      </c>
      <c r="AA234" s="2">
        <f t="shared" si="127"/>
        <v>0</v>
      </c>
      <c r="AB234" s="2">
        <f t="shared" si="128"/>
        <v>0</v>
      </c>
      <c r="AD234" s="2">
        <f t="shared" si="129"/>
        <v>0</v>
      </c>
      <c r="AE234" s="2">
        <f t="shared" si="130"/>
        <v>1</v>
      </c>
      <c r="AF234" s="2">
        <f t="shared" si="131"/>
        <v>0</v>
      </c>
      <c r="AG234" s="2">
        <f t="shared" si="132"/>
        <v>0</v>
      </c>
      <c r="AH234" s="2">
        <f t="shared" si="133"/>
        <v>0</v>
      </c>
      <c r="AI234" s="2">
        <f t="shared" si="134"/>
        <v>0</v>
      </c>
    </row>
    <row r="235" spans="1:35" ht="14.25" customHeight="1" x14ac:dyDescent="0.25">
      <c r="A235" s="29">
        <v>1</v>
      </c>
      <c r="B235" s="29">
        <v>2</v>
      </c>
      <c r="C235" s="29">
        <v>7</v>
      </c>
      <c r="D235" s="30" t="s">
        <v>396</v>
      </c>
      <c r="E235" s="30" t="s">
        <v>31</v>
      </c>
      <c r="F235" s="30" t="s">
        <v>400</v>
      </c>
      <c r="G235" s="30" t="s">
        <v>401</v>
      </c>
      <c r="H235" s="30" t="s">
        <v>165</v>
      </c>
      <c r="I235" s="29" t="s">
        <v>492</v>
      </c>
      <c r="J235" s="29">
        <v>99</v>
      </c>
      <c r="K235" s="29" t="s">
        <v>319</v>
      </c>
      <c r="L235" s="29" t="s">
        <v>318</v>
      </c>
      <c r="M235" s="30" t="s">
        <v>273</v>
      </c>
      <c r="N235" s="30" t="s">
        <v>914</v>
      </c>
      <c r="O235" s="31">
        <v>1</v>
      </c>
      <c r="P235" s="31"/>
      <c r="Q235" s="30"/>
      <c r="S235" s="2">
        <f t="shared" si="119"/>
        <v>0</v>
      </c>
      <c r="T235" s="2">
        <f t="shared" si="120"/>
        <v>0</v>
      </c>
      <c r="U235" s="2">
        <f t="shared" si="121"/>
        <v>0</v>
      </c>
      <c r="V235" s="2">
        <f t="shared" si="122"/>
        <v>0</v>
      </c>
      <c r="W235" s="2">
        <f t="shared" si="123"/>
        <v>0</v>
      </c>
      <c r="X235" s="2">
        <f t="shared" si="124"/>
        <v>0</v>
      </c>
      <c r="Y235" s="2">
        <f t="shared" si="125"/>
        <v>0</v>
      </c>
      <c r="Z235" s="2">
        <f t="shared" si="126"/>
        <v>0</v>
      </c>
      <c r="AA235" s="2">
        <f t="shared" si="127"/>
        <v>0</v>
      </c>
      <c r="AB235" s="2">
        <f t="shared" si="128"/>
        <v>0</v>
      </c>
      <c r="AD235" s="2">
        <f t="shared" si="129"/>
        <v>0</v>
      </c>
      <c r="AE235" s="2">
        <f t="shared" si="130"/>
        <v>1</v>
      </c>
      <c r="AF235" s="2">
        <f t="shared" si="131"/>
        <v>0</v>
      </c>
      <c r="AG235" s="2">
        <f t="shared" si="132"/>
        <v>0</v>
      </c>
      <c r="AH235" s="2">
        <f t="shared" si="133"/>
        <v>0</v>
      </c>
      <c r="AI235" s="2">
        <f t="shared" si="134"/>
        <v>0</v>
      </c>
    </row>
    <row r="236" spans="1:35" ht="14.25" customHeight="1" x14ac:dyDescent="0.25">
      <c r="A236" s="29">
        <v>0</v>
      </c>
      <c r="B236" s="29">
        <v>2</v>
      </c>
      <c r="C236" s="29">
        <v>7</v>
      </c>
      <c r="D236" s="30" t="s">
        <v>463</v>
      </c>
      <c r="E236" s="30" t="s">
        <v>31</v>
      </c>
      <c r="F236" s="30" t="s">
        <v>429</v>
      </c>
      <c r="G236" s="30" t="s">
        <v>125</v>
      </c>
      <c r="H236" s="30" t="s">
        <v>165</v>
      </c>
      <c r="I236" s="29" t="s">
        <v>493</v>
      </c>
      <c r="J236" s="29">
        <v>99</v>
      </c>
      <c r="K236" s="29" t="s">
        <v>320</v>
      </c>
      <c r="L236" s="29" t="s">
        <v>318</v>
      </c>
      <c r="M236" s="30" t="s">
        <v>273</v>
      </c>
      <c r="N236" s="30" t="s">
        <v>892</v>
      </c>
      <c r="O236" s="31">
        <v>1</v>
      </c>
      <c r="P236" s="31"/>
      <c r="Q236" s="30"/>
      <c r="S236" s="2">
        <f t="shared" si="119"/>
        <v>0</v>
      </c>
      <c r="T236" s="2">
        <f t="shared" si="120"/>
        <v>0</v>
      </c>
      <c r="U236" s="2">
        <f t="shared" si="121"/>
        <v>0</v>
      </c>
      <c r="V236" s="2">
        <f t="shared" si="122"/>
        <v>0</v>
      </c>
      <c r="W236" s="2">
        <f t="shared" si="123"/>
        <v>0</v>
      </c>
      <c r="X236" s="2">
        <f t="shared" si="124"/>
        <v>0</v>
      </c>
      <c r="Y236" s="2">
        <f t="shared" si="125"/>
        <v>0</v>
      </c>
      <c r="Z236" s="2">
        <f t="shared" si="126"/>
        <v>0</v>
      </c>
      <c r="AA236" s="2">
        <f t="shared" si="127"/>
        <v>0</v>
      </c>
      <c r="AB236" s="2">
        <f t="shared" si="128"/>
        <v>0</v>
      </c>
      <c r="AD236" s="2">
        <f t="shared" si="129"/>
        <v>0</v>
      </c>
      <c r="AE236" s="2">
        <f t="shared" si="130"/>
        <v>1</v>
      </c>
      <c r="AF236" s="2">
        <f t="shared" si="131"/>
        <v>0</v>
      </c>
      <c r="AG236" s="2">
        <f t="shared" si="132"/>
        <v>1</v>
      </c>
      <c r="AH236" s="2">
        <f t="shared" si="133"/>
        <v>0</v>
      </c>
      <c r="AI236" s="2">
        <f t="shared" si="134"/>
        <v>1</v>
      </c>
    </row>
    <row r="237" spans="1:35" ht="14.25" customHeight="1" x14ac:dyDescent="0.25">
      <c r="A237" s="29">
        <v>1</v>
      </c>
      <c r="B237" s="29">
        <v>2</v>
      </c>
      <c r="C237" s="29">
        <v>7</v>
      </c>
      <c r="D237" s="30" t="s">
        <v>463</v>
      </c>
      <c r="E237" s="30" t="s">
        <v>31</v>
      </c>
      <c r="F237" s="30" t="s">
        <v>687</v>
      </c>
      <c r="G237" s="30" t="s">
        <v>140</v>
      </c>
      <c r="H237" s="30" t="s">
        <v>165</v>
      </c>
      <c r="I237" s="29" t="s">
        <v>692</v>
      </c>
      <c r="J237" s="29">
        <v>99</v>
      </c>
      <c r="K237" s="29" t="s">
        <v>320</v>
      </c>
      <c r="L237" s="29" t="s">
        <v>318</v>
      </c>
      <c r="M237" s="30" t="s">
        <v>273</v>
      </c>
      <c r="N237" s="30" t="s">
        <v>892</v>
      </c>
      <c r="O237" s="31">
        <v>1</v>
      </c>
      <c r="P237" s="31"/>
      <c r="Q237" s="30"/>
      <c r="S237" s="2">
        <f t="shared" ref="S237" si="135">IF(J237=$S$7,1,0)</f>
        <v>0</v>
      </c>
      <c r="T237" s="2">
        <f t="shared" ref="T237" si="136">IF(J237=$T$7,1,0)</f>
        <v>0</v>
      </c>
      <c r="U237" s="2">
        <f t="shared" ref="U237" si="137">IF(J237=$U$7,1,0)</f>
        <v>0</v>
      </c>
      <c r="V237" s="2">
        <f t="shared" ref="V237" si="138">IF(J237=$V$7,1,0)</f>
        <v>0</v>
      </c>
      <c r="W237" s="2">
        <f t="shared" ref="W237" si="139">IF(J237=$W$7,1,0)</f>
        <v>0</v>
      </c>
      <c r="X237" s="2">
        <f t="shared" ref="X237" si="140">IF(J237=$X$7,1,0)</f>
        <v>0</v>
      </c>
      <c r="Y237" s="2">
        <f t="shared" ref="Y237" si="141">IF(J237=$Y$7,1,0)</f>
        <v>0</v>
      </c>
      <c r="Z237" s="2">
        <f t="shared" ref="Z237" si="142">IF(J237=$Z$7,1,0)</f>
        <v>0</v>
      </c>
      <c r="AA237" s="2">
        <f t="shared" ref="AA237" si="143">IF(J237=$AA$7,1,0)</f>
        <v>0</v>
      </c>
      <c r="AB237" s="2">
        <f t="shared" ref="AB237" si="144">IF(J237=$AB$7,1,0)</f>
        <v>0</v>
      </c>
      <c r="AD237" s="2">
        <f t="shared" ref="AD237" si="145">+O237*P237</f>
        <v>0</v>
      </c>
      <c r="AE237" s="2">
        <f t="shared" ref="AE237" si="146">O237*(1-P237)</f>
        <v>1</v>
      </c>
      <c r="AF237" s="2">
        <f t="shared" ref="AF237" si="147">+O237*P237*(1-A237)</f>
        <v>0</v>
      </c>
      <c r="AG237" s="2">
        <f t="shared" ref="AG237" si="148">O237*(1-P237)*(1-A237)</f>
        <v>0</v>
      </c>
      <c r="AH237" s="2">
        <f t="shared" ref="AH237" si="149">+P237*(1-A237)</f>
        <v>0</v>
      </c>
      <c r="AI237" s="2">
        <f t="shared" ref="AI237" si="150">+(1-A237)*(1-P237)</f>
        <v>0</v>
      </c>
    </row>
    <row r="238" spans="1:35" ht="14.25" customHeight="1" x14ac:dyDescent="0.25">
      <c r="A238" s="29">
        <v>1</v>
      </c>
      <c r="B238" s="29">
        <v>2</v>
      </c>
      <c r="C238" s="29">
        <v>7</v>
      </c>
      <c r="D238" s="30" t="s">
        <v>463</v>
      </c>
      <c r="E238" s="30" t="s">
        <v>31</v>
      </c>
      <c r="F238" s="30" t="s">
        <v>992</v>
      </c>
      <c r="G238" s="30" t="s">
        <v>103</v>
      </c>
      <c r="H238" s="30" t="s">
        <v>165</v>
      </c>
      <c r="I238" s="29" t="s">
        <v>33</v>
      </c>
      <c r="J238" s="29">
        <v>6</v>
      </c>
      <c r="K238" s="29" t="s">
        <v>320</v>
      </c>
      <c r="L238" s="29" t="s">
        <v>318</v>
      </c>
      <c r="M238" s="30" t="s">
        <v>273</v>
      </c>
      <c r="N238" s="30" t="s">
        <v>892</v>
      </c>
      <c r="O238" s="31">
        <v>1</v>
      </c>
      <c r="P238" s="31"/>
      <c r="Q238" s="30"/>
      <c r="S238" s="2">
        <f t="shared" si="119"/>
        <v>0</v>
      </c>
      <c r="T238" s="2">
        <f t="shared" si="120"/>
        <v>0</v>
      </c>
      <c r="U238" s="2">
        <f t="shared" si="121"/>
        <v>0</v>
      </c>
      <c r="V238" s="2">
        <f t="shared" si="122"/>
        <v>0</v>
      </c>
      <c r="W238" s="2">
        <f t="shared" si="123"/>
        <v>0</v>
      </c>
      <c r="X238" s="2">
        <f t="shared" si="124"/>
        <v>1</v>
      </c>
      <c r="Y238" s="2">
        <f t="shared" si="125"/>
        <v>0</v>
      </c>
      <c r="Z238" s="2">
        <f t="shared" si="126"/>
        <v>0</v>
      </c>
      <c r="AA238" s="2">
        <f t="shared" si="127"/>
        <v>0</v>
      </c>
      <c r="AB238" s="2">
        <f t="shared" si="128"/>
        <v>0</v>
      </c>
      <c r="AD238" s="2">
        <f t="shared" si="129"/>
        <v>0</v>
      </c>
      <c r="AE238" s="2">
        <f t="shared" si="130"/>
        <v>1</v>
      </c>
      <c r="AF238" s="2">
        <f t="shared" si="131"/>
        <v>0</v>
      </c>
      <c r="AG238" s="2">
        <f t="shared" si="132"/>
        <v>0</v>
      </c>
      <c r="AH238" s="2">
        <f t="shared" si="133"/>
        <v>0</v>
      </c>
      <c r="AI238" s="2">
        <f t="shared" si="134"/>
        <v>0</v>
      </c>
    </row>
    <row r="239" spans="1:35" ht="14.25" customHeight="1" x14ac:dyDescent="0.25">
      <c r="A239" s="29">
        <v>0</v>
      </c>
      <c r="B239" s="29">
        <v>2</v>
      </c>
      <c r="C239" s="29">
        <v>7</v>
      </c>
      <c r="D239" s="30" t="s">
        <v>79</v>
      </c>
      <c r="E239" s="30" t="s">
        <v>31</v>
      </c>
      <c r="F239" s="30" t="s">
        <v>162</v>
      </c>
      <c r="G239" s="30" t="s">
        <v>163</v>
      </c>
      <c r="H239" s="30" t="s">
        <v>165</v>
      </c>
      <c r="I239" s="29" t="s">
        <v>202</v>
      </c>
      <c r="J239" s="29">
        <v>5</v>
      </c>
      <c r="K239" s="29" t="s">
        <v>376</v>
      </c>
      <c r="L239" s="29" t="s">
        <v>318</v>
      </c>
      <c r="M239" s="30" t="s">
        <v>273</v>
      </c>
      <c r="N239" s="30" t="s">
        <v>894</v>
      </c>
      <c r="O239" s="31">
        <v>1</v>
      </c>
      <c r="P239" s="31"/>
      <c r="Q239" s="30"/>
      <c r="S239" s="2">
        <f t="shared" si="119"/>
        <v>0</v>
      </c>
      <c r="T239" s="2">
        <f t="shared" si="120"/>
        <v>0</v>
      </c>
      <c r="U239" s="2">
        <f t="shared" si="121"/>
        <v>0</v>
      </c>
      <c r="V239" s="2">
        <f t="shared" si="122"/>
        <v>0</v>
      </c>
      <c r="W239" s="2">
        <f t="shared" si="123"/>
        <v>1</v>
      </c>
      <c r="X239" s="2">
        <f t="shared" si="124"/>
        <v>0</v>
      </c>
      <c r="Y239" s="2">
        <f t="shared" si="125"/>
        <v>0</v>
      </c>
      <c r="Z239" s="2">
        <f t="shared" si="126"/>
        <v>0</v>
      </c>
      <c r="AA239" s="2">
        <f t="shared" si="127"/>
        <v>0</v>
      </c>
      <c r="AB239" s="2">
        <f t="shared" si="128"/>
        <v>0</v>
      </c>
      <c r="AD239" s="2">
        <f t="shared" si="129"/>
        <v>0</v>
      </c>
      <c r="AE239" s="2">
        <f t="shared" si="130"/>
        <v>1</v>
      </c>
      <c r="AF239" s="2">
        <f t="shared" si="131"/>
        <v>0</v>
      </c>
      <c r="AG239" s="2">
        <f t="shared" si="132"/>
        <v>1</v>
      </c>
      <c r="AH239" s="2">
        <f t="shared" si="133"/>
        <v>0</v>
      </c>
      <c r="AI239" s="2">
        <f t="shared" si="134"/>
        <v>1</v>
      </c>
    </row>
    <row r="240" spans="1:35" ht="14.25" customHeight="1" x14ac:dyDescent="0.25">
      <c r="A240" s="29">
        <v>0</v>
      </c>
      <c r="B240" s="29">
        <v>2</v>
      </c>
      <c r="C240" s="29">
        <v>7</v>
      </c>
      <c r="D240" s="30" t="s">
        <v>59</v>
      </c>
      <c r="E240" s="30" t="s">
        <v>87</v>
      </c>
      <c r="F240" s="30" t="s">
        <v>351</v>
      </c>
      <c r="G240" s="30" t="s">
        <v>103</v>
      </c>
      <c r="H240" s="30" t="s">
        <v>165</v>
      </c>
      <c r="I240" s="29" t="s">
        <v>350</v>
      </c>
      <c r="J240" s="29">
        <v>6</v>
      </c>
      <c r="K240" s="29" t="s">
        <v>320</v>
      </c>
      <c r="L240" s="29" t="s">
        <v>336</v>
      </c>
      <c r="M240" s="30" t="s">
        <v>275</v>
      </c>
      <c r="N240" s="30" t="s">
        <v>883</v>
      </c>
      <c r="O240" s="31">
        <v>1</v>
      </c>
      <c r="P240" s="31"/>
      <c r="Q240" s="30"/>
      <c r="S240" s="2">
        <f t="shared" si="119"/>
        <v>0</v>
      </c>
      <c r="T240" s="2">
        <f t="shared" si="120"/>
        <v>0</v>
      </c>
      <c r="U240" s="2">
        <f t="shared" si="121"/>
        <v>0</v>
      </c>
      <c r="V240" s="2">
        <f t="shared" si="122"/>
        <v>0</v>
      </c>
      <c r="W240" s="2">
        <f t="shared" si="123"/>
        <v>0</v>
      </c>
      <c r="X240" s="2">
        <f t="shared" si="124"/>
        <v>1</v>
      </c>
      <c r="Y240" s="2">
        <f t="shared" si="125"/>
        <v>0</v>
      </c>
      <c r="Z240" s="2">
        <f t="shared" si="126"/>
        <v>0</v>
      </c>
      <c r="AA240" s="2">
        <f t="shared" si="127"/>
        <v>0</v>
      </c>
      <c r="AB240" s="2">
        <f t="shared" si="128"/>
        <v>0</v>
      </c>
      <c r="AD240" s="2">
        <f t="shared" si="129"/>
        <v>0</v>
      </c>
      <c r="AE240" s="2">
        <f t="shared" si="130"/>
        <v>1</v>
      </c>
      <c r="AF240" s="2">
        <f t="shared" si="131"/>
        <v>0</v>
      </c>
      <c r="AG240" s="2">
        <f t="shared" si="132"/>
        <v>1</v>
      </c>
      <c r="AH240" s="2">
        <f t="shared" si="133"/>
        <v>0</v>
      </c>
      <c r="AI240" s="2">
        <f t="shared" si="134"/>
        <v>1</v>
      </c>
    </row>
    <row r="241" spans="1:35" ht="14.25" customHeight="1" x14ac:dyDescent="0.25">
      <c r="A241" s="29">
        <v>1</v>
      </c>
      <c r="B241" s="29">
        <v>2</v>
      </c>
      <c r="C241" s="29">
        <v>7</v>
      </c>
      <c r="D241" s="30" t="s">
        <v>59</v>
      </c>
      <c r="E241" s="30" t="s">
        <v>87</v>
      </c>
      <c r="F241" s="30" t="s">
        <v>123</v>
      </c>
      <c r="G241" s="30" t="s">
        <v>124</v>
      </c>
      <c r="H241" s="30" t="s">
        <v>165</v>
      </c>
      <c r="I241" s="29" t="s">
        <v>180</v>
      </c>
      <c r="J241" s="29">
        <v>7</v>
      </c>
      <c r="K241" s="29" t="s">
        <v>320</v>
      </c>
      <c r="L241" s="29" t="s">
        <v>336</v>
      </c>
      <c r="M241" s="30" t="s">
        <v>275</v>
      </c>
      <c r="N241" s="30" t="s">
        <v>883</v>
      </c>
      <c r="O241" s="31">
        <v>1</v>
      </c>
      <c r="P241" s="31"/>
      <c r="Q241" s="30"/>
      <c r="S241" s="2">
        <f t="shared" ref="S241:S242" si="151">IF(J241=$S$7,1,0)</f>
        <v>0</v>
      </c>
      <c r="T241" s="2">
        <f t="shared" ref="T241:T242" si="152">IF(J241=$T$7,1,0)</f>
        <v>0</v>
      </c>
      <c r="U241" s="2">
        <f t="shared" ref="U241:U242" si="153">IF(J241=$U$7,1,0)</f>
        <v>0</v>
      </c>
      <c r="V241" s="2">
        <f t="shared" ref="V241:V242" si="154">IF(J241=$V$7,1,0)</f>
        <v>0</v>
      </c>
      <c r="W241" s="2">
        <f t="shared" ref="W241:W242" si="155">IF(J241=$W$7,1,0)</f>
        <v>0</v>
      </c>
      <c r="X241" s="2">
        <f t="shared" ref="X241:X242" si="156">IF(J241=$X$7,1,0)</f>
        <v>0</v>
      </c>
      <c r="Y241" s="2">
        <f t="shared" ref="Y241:Y242" si="157">IF(J241=$Y$7,1,0)</f>
        <v>1</v>
      </c>
      <c r="Z241" s="2">
        <f t="shared" ref="Z241:Z242" si="158">IF(J241=$Z$7,1,0)</f>
        <v>0</v>
      </c>
      <c r="AA241" s="2">
        <f t="shared" ref="AA241:AA242" si="159">IF(J241=$AA$7,1,0)</f>
        <v>0</v>
      </c>
      <c r="AB241" s="2">
        <f t="shared" ref="AB241:AB242" si="160">IF(J241=$AB$7,1,0)</f>
        <v>0</v>
      </c>
      <c r="AD241" s="2">
        <f t="shared" si="129"/>
        <v>0</v>
      </c>
      <c r="AE241" s="2">
        <f t="shared" si="130"/>
        <v>1</v>
      </c>
      <c r="AF241" s="2">
        <f t="shared" si="131"/>
        <v>0</v>
      </c>
      <c r="AG241" s="2">
        <f t="shared" si="132"/>
        <v>0</v>
      </c>
      <c r="AH241" s="2">
        <f t="shared" si="133"/>
        <v>0</v>
      </c>
      <c r="AI241" s="2">
        <f t="shared" si="134"/>
        <v>0</v>
      </c>
    </row>
    <row r="242" spans="1:35" ht="14.25" customHeight="1" x14ac:dyDescent="0.25">
      <c r="A242" s="29">
        <v>1</v>
      </c>
      <c r="B242" s="29">
        <v>2</v>
      </c>
      <c r="C242" s="29">
        <v>7</v>
      </c>
      <c r="D242" s="30" t="s">
        <v>59</v>
      </c>
      <c r="E242" s="30" t="s">
        <v>87</v>
      </c>
      <c r="F242" s="30" t="s">
        <v>348</v>
      </c>
      <c r="G242" s="30" t="s">
        <v>93</v>
      </c>
      <c r="H242" s="30" t="s">
        <v>165</v>
      </c>
      <c r="I242" s="29" t="s">
        <v>349</v>
      </c>
      <c r="J242" s="29">
        <v>8</v>
      </c>
      <c r="K242" s="29" t="s">
        <v>320</v>
      </c>
      <c r="L242" s="29" t="s">
        <v>336</v>
      </c>
      <c r="M242" s="30" t="s">
        <v>275</v>
      </c>
      <c r="N242" s="30" t="s">
        <v>883</v>
      </c>
      <c r="O242" s="31">
        <v>1</v>
      </c>
      <c r="P242" s="31"/>
      <c r="Q242" s="30"/>
      <c r="S242" s="2">
        <f t="shared" si="151"/>
        <v>0</v>
      </c>
      <c r="T242" s="2">
        <f t="shared" si="152"/>
        <v>0</v>
      </c>
      <c r="U242" s="2">
        <f t="shared" si="153"/>
        <v>0</v>
      </c>
      <c r="V242" s="2">
        <f t="shared" si="154"/>
        <v>0</v>
      </c>
      <c r="W242" s="2">
        <f t="shared" si="155"/>
        <v>0</v>
      </c>
      <c r="X242" s="2">
        <f t="shared" si="156"/>
        <v>0</v>
      </c>
      <c r="Y242" s="2">
        <f t="shared" si="157"/>
        <v>0</v>
      </c>
      <c r="Z242" s="2">
        <f t="shared" si="158"/>
        <v>1</v>
      </c>
      <c r="AA242" s="2">
        <f t="shared" si="159"/>
        <v>0</v>
      </c>
      <c r="AB242" s="2">
        <f t="shared" si="160"/>
        <v>0</v>
      </c>
      <c r="AD242" s="2">
        <f t="shared" si="129"/>
        <v>0</v>
      </c>
      <c r="AE242" s="2">
        <f t="shared" si="130"/>
        <v>1</v>
      </c>
      <c r="AF242" s="2">
        <f t="shared" si="131"/>
        <v>0</v>
      </c>
      <c r="AG242" s="2">
        <f t="shared" si="132"/>
        <v>0</v>
      </c>
      <c r="AH242" s="2">
        <f t="shared" si="133"/>
        <v>0</v>
      </c>
      <c r="AI242" s="2">
        <f t="shared" si="134"/>
        <v>0</v>
      </c>
    </row>
    <row r="243" spans="1:35" ht="14.25" customHeight="1" x14ac:dyDescent="0.25">
      <c r="A243" s="20"/>
      <c r="B243" s="20"/>
      <c r="C243" s="20"/>
      <c r="D243" s="21"/>
      <c r="E243" s="21"/>
      <c r="F243" s="21"/>
      <c r="G243" s="21"/>
      <c r="H243" s="21"/>
      <c r="I243" s="20"/>
      <c r="J243" s="20"/>
      <c r="K243" s="20"/>
      <c r="L243" s="20"/>
      <c r="M243" s="21"/>
      <c r="N243" s="21"/>
      <c r="O243" s="20"/>
      <c r="P243" s="20"/>
      <c r="Q243" s="21"/>
    </row>
    <row r="244" spans="1:35" ht="14.25" customHeight="1" x14ac:dyDescent="0.25">
      <c r="A244" s="20"/>
      <c r="B244" s="20"/>
      <c r="C244" s="20"/>
      <c r="D244" s="21"/>
      <c r="E244" s="21"/>
      <c r="F244" s="21"/>
      <c r="G244" s="21"/>
      <c r="H244" s="21"/>
      <c r="I244" s="20"/>
      <c r="J244" s="20"/>
      <c r="K244" s="20"/>
      <c r="L244" s="20"/>
      <c r="M244" s="21"/>
      <c r="N244" s="21"/>
      <c r="O244" s="20"/>
      <c r="P244" s="20"/>
      <c r="Q244" s="21"/>
    </row>
    <row r="245" spans="1:35" ht="14.25" customHeight="1" x14ac:dyDescent="0.25">
      <c r="A245" s="20"/>
      <c r="B245" s="20"/>
      <c r="C245" s="20"/>
      <c r="D245" s="21"/>
      <c r="E245" s="21"/>
      <c r="F245" s="21"/>
      <c r="G245" s="21"/>
      <c r="H245" s="21"/>
      <c r="I245" s="20"/>
      <c r="J245" s="20"/>
      <c r="K245" s="20"/>
      <c r="L245" s="20"/>
      <c r="M245" s="21"/>
      <c r="N245" s="21"/>
      <c r="O245" s="20"/>
      <c r="P245" s="20"/>
      <c r="Q245" s="21"/>
    </row>
    <row r="246" spans="1:35" ht="14.25" customHeight="1" x14ac:dyDescent="0.25">
      <c r="A246" s="20"/>
      <c r="B246" s="20"/>
      <c r="C246" s="20"/>
      <c r="D246" s="21"/>
      <c r="E246" s="21"/>
      <c r="F246" s="21"/>
      <c r="G246" s="21"/>
      <c r="H246" s="21"/>
      <c r="I246" s="20"/>
      <c r="J246" s="20"/>
      <c r="K246" s="20"/>
      <c r="L246" s="20"/>
      <c r="M246" s="21"/>
      <c r="N246" s="21"/>
      <c r="O246" s="20"/>
      <c r="P246" s="20"/>
      <c r="Q246" s="21"/>
    </row>
    <row r="247" spans="1:35" ht="14.25" customHeight="1" x14ac:dyDescent="0.25">
      <c r="A247" s="20"/>
      <c r="B247" s="20"/>
      <c r="C247" s="20"/>
      <c r="D247" s="21"/>
      <c r="E247" s="21"/>
      <c r="F247" s="21"/>
      <c r="G247" s="21"/>
      <c r="H247" s="21"/>
      <c r="I247" s="20"/>
      <c r="J247" s="20"/>
      <c r="K247" s="20"/>
      <c r="L247" s="20"/>
      <c r="M247" s="21"/>
      <c r="N247" s="21"/>
      <c r="O247" s="20"/>
      <c r="P247" s="20"/>
      <c r="Q247" s="21"/>
    </row>
    <row r="248" spans="1:35" ht="14.25" customHeight="1" x14ac:dyDescent="0.25">
      <c r="A248" s="20"/>
      <c r="B248" s="20"/>
      <c r="C248" s="20"/>
      <c r="D248" s="21"/>
      <c r="E248" s="21"/>
      <c r="F248" s="21"/>
      <c r="G248" s="21"/>
      <c r="H248" s="21"/>
      <c r="I248" s="20"/>
      <c r="J248" s="20"/>
      <c r="K248" s="20"/>
      <c r="L248" s="20"/>
      <c r="M248" s="21"/>
      <c r="N248" s="21"/>
      <c r="O248" s="20"/>
      <c r="P248" s="20"/>
      <c r="Q248" s="21"/>
    </row>
    <row r="249" spans="1:35" ht="14.25" customHeight="1" x14ac:dyDescent="0.25">
      <c r="A249" s="20"/>
      <c r="B249" s="20"/>
      <c r="C249" s="20"/>
      <c r="D249" s="21"/>
      <c r="E249" s="21"/>
      <c r="F249" s="21"/>
      <c r="G249" s="21"/>
      <c r="H249" s="21"/>
      <c r="I249" s="20"/>
      <c r="J249" s="20"/>
      <c r="K249" s="20"/>
      <c r="L249" s="20"/>
      <c r="M249" s="21"/>
      <c r="N249" s="21"/>
      <c r="O249" s="20"/>
      <c r="P249" s="20"/>
      <c r="Q249" s="21"/>
    </row>
    <row r="250" spans="1:35" ht="14.25" customHeight="1" x14ac:dyDescent="0.25">
      <c r="A250" s="20"/>
      <c r="B250" s="20"/>
      <c r="C250" s="20"/>
      <c r="D250" s="21"/>
      <c r="E250" s="21"/>
      <c r="F250" s="21"/>
      <c r="G250" s="21"/>
      <c r="H250" s="21"/>
      <c r="I250" s="20"/>
      <c r="J250" s="20"/>
      <c r="K250" s="20"/>
      <c r="L250" s="20"/>
      <c r="M250" s="21"/>
      <c r="N250" s="21"/>
      <c r="O250" s="20"/>
      <c r="P250" s="20"/>
      <c r="Q250" s="21"/>
    </row>
    <row r="251" spans="1:35" ht="14.25" customHeight="1" x14ac:dyDescent="0.25">
      <c r="A251" s="20"/>
      <c r="B251" s="20"/>
      <c r="C251" s="20"/>
      <c r="D251" s="21"/>
      <c r="E251" s="21"/>
      <c r="F251" s="21"/>
      <c r="G251" s="21"/>
      <c r="H251" s="21"/>
      <c r="I251" s="20"/>
      <c r="J251" s="20"/>
      <c r="K251" s="20"/>
      <c r="L251" s="20"/>
      <c r="M251" s="21"/>
      <c r="N251" s="21"/>
      <c r="O251" s="20"/>
      <c r="P251" s="20"/>
      <c r="Q251" s="21"/>
    </row>
    <row r="252" spans="1:35" ht="14.25" customHeight="1" x14ac:dyDescent="0.25">
      <c r="A252" s="20"/>
      <c r="B252" s="20"/>
      <c r="C252" s="20"/>
      <c r="D252" s="21"/>
      <c r="E252" s="21"/>
      <c r="F252" s="21"/>
      <c r="G252" s="21"/>
      <c r="H252" s="21"/>
      <c r="I252" s="20"/>
      <c r="J252" s="20"/>
      <c r="K252" s="20"/>
      <c r="L252" s="20"/>
      <c r="M252" s="21"/>
      <c r="N252" s="21"/>
      <c r="O252" s="20"/>
      <c r="P252" s="20"/>
      <c r="Q252" s="21"/>
    </row>
    <row r="253" spans="1:35" ht="14.25" customHeight="1" x14ac:dyDescent="0.25">
      <c r="A253" s="20"/>
      <c r="B253" s="20"/>
      <c r="C253" s="20"/>
      <c r="D253" s="21"/>
      <c r="E253" s="21"/>
      <c r="F253" s="21"/>
      <c r="G253" s="21"/>
      <c r="H253" s="21"/>
      <c r="I253" s="20"/>
      <c r="J253" s="20"/>
      <c r="K253" s="20"/>
      <c r="L253" s="20"/>
      <c r="M253" s="21"/>
      <c r="N253" s="21"/>
      <c r="O253" s="20"/>
      <c r="P253" s="20"/>
      <c r="Q253" s="21"/>
    </row>
    <row r="254" spans="1:35" ht="14.25" customHeight="1" x14ac:dyDescent="0.25">
      <c r="A254" s="20"/>
      <c r="B254" s="20"/>
      <c r="C254" s="20"/>
      <c r="D254" s="21"/>
      <c r="E254" s="21"/>
      <c r="F254" s="21"/>
      <c r="G254" s="21"/>
      <c r="H254" s="21"/>
      <c r="I254" s="20"/>
      <c r="J254" s="20"/>
      <c r="K254" s="20"/>
      <c r="L254" s="20"/>
      <c r="M254" s="21"/>
      <c r="N254" s="21"/>
      <c r="O254" s="20"/>
      <c r="P254" s="20"/>
      <c r="Q254" s="21"/>
    </row>
    <row r="255" spans="1:35" ht="14.25" customHeight="1" x14ac:dyDescent="0.25">
      <c r="A255" s="20"/>
      <c r="B255" s="20"/>
      <c r="C255" s="20"/>
      <c r="D255" s="21"/>
      <c r="E255" s="21"/>
      <c r="F255" s="21"/>
      <c r="G255" s="21"/>
      <c r="H255" s="21"/>
      <c r="I255" s="20"/>
      <c r="J255" s="20"/>
      <c r="K255" s="20"/>
      <c r="L255" s="20"/>
      <c r="M255" s="21"/>
      <c r="N255" s="21"/>
      <c r="O255" s="20"/>
      <c r="P255" s="20"/>
      <c r="Q255" s="21"/>
    </row>
    <row r="256" spans="1:35" ht="14.25" customHeight="1" x14ac:dyDescent="0.25">
      <c r="A256" s="20"/>
      <c r="B256" s="20"/>
      <c r="C256" s="20"/>
      <c r="D256" s="21"/>
      <c r="E256" s="21"/>
      <c r="F256" s="21"/>
      <c r="G256" s="21"/>
      <c r="H256" s="21"/>
      <c r="I256" s="20"/>
      <c r="J256" s="20"/>
      <c r="K256" s="20"/>
      <c r="L256" s="20"/>
      <c r="M256" s="21"/>
      <c r="N256" s="21"/>
      <c r="O256" s="20"/>
      <c r="P256" s="20"/>
      <c r="Q256" s="21"/>
    </row>
    <row r="257" spans="1:17" ht="14.25" customHeight="1" x14ac:dyDescent="0.25">
      <c r="A257" s="20"/>
      <c r="B257" s="20"/>
      <c r="C257" s="20"/>
      <c r="D257" s="21"/>
      <c r="E257" s="21"/>
      <c r="F257" s="21"/>
      <c r="G257" s="21"/>
      <c r="H257" s="21"/>
      <c r="I257" s="20"/>
      <c r="J257" s="20"/>
      <c r="K257" s="20"/>
      <c r="L257" s="20"/>
      <c r="M257" s="21"/>
      <c r="N257" s="21"/>
      <c r="O257" s="20"/>
      <c r="P257" s="20"/>
      <c r="Q257" s="21"/>
    </row>
    <row r="258" spans="1:17" ht="14.25" customHeight="1" x14ac:dyDescent="0.25">
      <c r="A258" s="20"/>
      <c r="B258" s="20"/>
      <c r="C258" s="20"/>
      <c r="D258" s="21"/>
      <c r="E258" s="21"/>
      <c r="F258" s="21"/>
      <c r="G258" s="21"/>
      <c r="H258" s="21"/>
      <c r="I258" s="20"/>
      <c r="J258" s="20"/>
      <c r="K258" s="20"/>
      <c r="L258" s="20"/>
      <c r="M258" s="21"/>
      <c r="N258" s="21"/>
      <c r="O258" s="20"/>
      <c r="P258" s="20"/>
      <c r="Q258" s="21"/>
    </row>
    <row r="259" spans="1:17" ht="14.25" customHeight="1" x14ac:dyDescent="0.25">
      <c r="A259" s="20"/>
      <c r="B259" s="20"/>
      <c r="C259" s="20"/>
      <c r="D259" s="21"/>
      <c r="E259" s="21"/>
      <c r="F259" s="21"/>
      <c r="G259" s="21"/>
      <c r="H259" s="21"/>
      <c r="I259" s="20"/>
      <c r="J259" s="20"/>
      <c r="K259" s="20"/>
      <c r="L259" s="20"/>
      <c r="M259" s="21"/>
      <c r="N259" s="21"/>
      <c r="O259" s="20"/>
      <c r="P259" s="20"/>
      <c r="Q259" s="21"/>
    </row>
    <row r="260" spans="1:17" ht="14.25" customHeight="1" x14ac:dyDescent="0.25">
      <c r="A260" s="20"/>
      <c r="B260" s="20"/>
      <c r="C260" s="20"/>
      <c r="D260" s="21"/>
      <c r="E260" s="21"/>
      <c r="F260" s="21"/>
      <c r="G260" s="21"/>
      <c r="H260" s="21"/>
      <c r="I260" s="20"/>
      <c r="J260" s="20"/>
      <c r="K260" s="20"/>
      <c r="L260" s="20"/>
      <c r="M260" s="21"/>
      <c r="N260" s="21"/>
      <c r="O260" s="20"/>
      <c r="P260" s="20"/>
      <c r="Q260" s="21"/>
    </row>
    <row r="261" spans="1:17" ht="14.25" customHeight="1" x14ac:dyDescent="0.25">
      <c r="A261" s="20"/>
      <c r="B261" s="20"/>
      <c r="C261" s="20"/>
      <c r="D261" s="21"/>
      <c r="E261" s="21"/>
      <c r="F261" s="21"/>
      <c r="G261" s="21"/>
      <c r="H261" s="21"/>
      <c r="I261" s="20"/>
      <c r="J261" s="20"/>
      <c r="K261" s="20"/>
      <c r="L261" s="20"/>
      <c r="M261" s="21"/>
      <c r="N261" s="21"/>
      <c r="O261" s="20"/>
      <c r="P261" s="20"/>
      <c r="Q261" s="21"/>
    </row>
    <row r="262" spans="1:17" ht="14.25" customHeight="1" x14ac:dyDescent="0.25">
      <c r="A262" s="20"/>
      <c r="B262" s="20"/>
      <c r="C262" s="20"/>
      <c r="D262" s="21"/>
      <c r="E262" s="21"/>
      <c r="F262" s="21"/>
      <c r="G262" s="21"/>
      <c r="H262" s="21"/>
      <c r="I262" s="20"/>
      <c r="J262" s="20"/>
      <c r="K262" s="20"/>
      <c r="L262" s="20"/>
      <c r="M262" s="21"/>
      <c r="N262" s="21"/>
      <c r="O262" s="20"/>
      <c r="P262" s="20"/>
      <c r="Q262" s="21"/>
    </row>
    <row r="263" spans="1:17" ht="14.25" customHeight="1" x14ac:dyDescent="0.25">
      <c r="A263" s="20"/>
      <c r="B263" s="20"/>
      <c r="C263" s="20"/>
      <c r="D263" s="21"/>
      <c r="E263" s="21"/>
      <c r="F263" s="21"/>
      <c r="G263" s="21"/>
      <c r="H263" s="21"/>
      <c r="I263" s="20"/>
      <c r="J263" s="20"/>
      <c r="K263" s="20"/>
      <c r="L263" s="20"/>
      <c r="M263" s="21"/>
      <c r="N263" s="21"/>
      <c r="O263" s="20"/>
      <c r="P263" s="20"/>
      <c r="Q263" s="21"/>
    </row>
    <row r="264" spans="1:17" ht="14.25" customHeight="1" x14ac:dyDescent="0.25">
      <c r="A264" s="20"/>
      <c r="B264" s="20"/>
      <c r="C264" s="20"/>
      <c r="D264" s="21"/>
      <c r="E264" s="21"/>
      <c r="F264" s="21"/>
      <c r="G264" s="21"/>
      <c r="H264" s="21"/>
      <c r="I264" s="20"/>
      <c r="J264" s="20"/>
      <c r="K264" s="20"/>
      <c r="L264" s="20"/>
      <c r="M264" s="21"/>
      <c r="N264" s="21"/>
      <c r="O264" s="20"/>
      <c r="P264" s="20"/>
      <c r="Q264" s="21"/>
    </row>
    <row r="265" spans="1:17" ht="14.25" customHeight="1" x14ac:dyDescent="0.25">
      <c r="A265" s="20"/>
      <c r="B265" s="20"/>
      <c r="C265" s="20"/>
      <c r="D265" s="21"/>
      <c r="E265" s="21"/>
      <c r="F265" s="21"/>
      <c r="G265" s="21"/>
      <c r="H265" s="21"/>
      <c r="I265" s="20"/>
      <c r="J265" s="20"/>
      <c r="K265" s="20"/>
      <c r="L265" s="20"/>
      <c r="M265" s="21"/>
      <c r="N265" s="21"/>
      <c r="O265" s="20"/>
      <c r="P265" s="20"/>
      <c r="Q265" s="21"/>
    </row>
    <row r="266" spans="1:17" ht="14.25" customHeight="1" x14ac:dyDescent="0.25">
      <c r="A266" s="20"/>
      <c r="B266" s="20"/>
      <c r="C266" s="20"/>
      <c r="D266" s="21"/>
      <c r="E266" s="21"/>
      <c r="F266" s="21"/>
      <c r="G266" s="21"/>
      <c r="H266" s="21"/>
      <c r="I266" s="20"/>
      <c r="J266" s="20"/>
      <c r="K266" s="20"/>
      <c r="L266" s="20"/>
      <c r="M266" s="21"/>
      <c r="N266" s="21"/>
      <c r="O266" s="20"/>
      <c r="P266" s="20"/>
      <c r="Q266" s="21"/>
    </row>
    <row r="267" spans="1:17" ht="14.25" customHeight="1" x14ac:dyDescent="0.25">
      <c r="A267" s="20"/>
      <c r="B267" s="20"/>
      <c r="C267" s="20"/>
      <c r="D267" s="21"/>
      <c r="E267" s="21"/>
      <c r="F267" s="21"/>
      <c r="G267" s="21"/>
      <c r="H267" s="21"/>
      <c r="I267" s="20"/>
      <c r="J267" s="20"/>
      <c r="K267" s="20"/>
      <c r="L267" s="20"/>
      <c r="M267" s="21"/>
      <c r="N267" s="21"/>
      <c r="O267" s="20"/>
      <c r="P267" s="20"/>
      <c r="Q267" s="21"/>
    </row>
    <row r="268" spans="1:17" ht="14.25" customHeight="1" x14ac:dyDescent="0.25">
      <c r="A268" s="20"/>
      <c r="B268" s="20"/>
      <c r="C268" s="20"/>
      <c r="D268" s="21"/>
      <c r="E268" s="21"/>
      <c r="F268" s="21"/>
      <c r="G268" s="21"/>
      <c r="H268" s="21"/>
      <c r="I268" s="20"/>
      <c r="J268" s="20"/>
      <c r="K268" s="20"/>
      <c r="L268" s="20"/>
      <c r="M268" s="21"/>
      <c r="N268" s="21"/>
      <c r="O268" s="20"/>
      <c r="P268" s="20"/>
      <c r="Q268" s="21"/>
    </row>
    <row r="269" spans="1:17" ht="14.25" customHeight="1" x14ac:dyDescent="0.25">
      <c r="A269" s="20"/>
      <c r="B269" s="20"/>
      <c r="C269" s="20"/>
      <c r="D269" s="21"/>
      <c r="E269" s="21"/>
      <c r="F269" s="21"/>
      <c r="G269" s="21"/>
      <c r="H269" s="21"/>
      <c r="I269" s="20"/>
      <c r="J269" s="20"/>
      <c r="K269" s="20"/>
      <c r="L269" s="20"/>
      <c r="M269" s="21"/>
      <c r="N269" s="21"/>
      <c r="O269" s="20"/>
      <c r="P269" s="20"/>
      <c r="Q269" s="21"/>
    </row>
    <row r="270" spans="1:17" ht="14.25" customHeight="1" x14ac:dyDescent="0.25">
      <c r="A270" s="20"/>
      <c r="B270" s="20"/>
      <c r="C270" s="20"/>
      <c r="D270" s="21"/>
      <c r="E270" s="21"/>
      <c r="F270" s="21"/>
      <c r="G270" s="21"/>
      <c r="H270" s="21"/>
      <c r="I270" s="20"/>
      <c r="J270" s="20"/>
      <c r="K270" s="20"/>
      <c r="L270" s="20"/>
      <c r="M270" s="21"/>
      <c r="N270" s="21"/>
      <c r="O270" s="20"/>
      <c r="P270" s="20"/>
      <c r="Q270" s="21"/>
    </row>
    <row r="271" spans="1:17" ht="14.25" customHeight="1" x14ac:dyDescent="0.25">
      <c r="A271" s="20"/>
      <c r="B271" s="20"/>
      <c r="C271" s="20"/>
      <c r="D271" s="21"/>
      <c r="E271" s="21"/>
      <c r="F271" s="21"/>
      <c r="G271" s="21"/>
      <c r="H271" s="21"/>
      <c r="I271" s="20"/>
      <c r="J271" s="20"/>
      <c r="K271" s="20"/>
      <c r="L271" s="20"/>
      <c r="M271" s="21"/>
      <c r="N271" s="21"/>
      <c r="O271" s="20"/>
      <c r="P271" s="20"/>
      <c r="Q271" s="21"/>
    </row>
    <row r="272" spans="1:17" ht="14.25" customHeight="1" x14ac:dyDescent="0.25">
      <c r="A272" s="20"/>
      <c r="B272" s="20"/>
      <c r="C272" s="20"/>
      <c r="D272" s="21"/>
      <c r="E272" s="21"/>
      <c r="F272" s="21"/>
      <c r="G272" s="21"/>
      <c r="H272" s="21"/>
      <c r="I272" s="20"/>
      <c r="J272" s="20"/>
      <c r="K272" s="20"/>
      <c r="L272" s="20"/>
      <c r="M272" s="21"/>
      <c r="N272" s="21"/>
      <c r="O272" s="20"/>
      <c r="P272" s="20"/>
      <c r="Q272" s="21"/>
    </row>
    <row r="273" spans="1:17" ht="14.25" customHeight="1" x14ac:dyDescent="0.25">
      <c r="A273" s="20"/>
      <c r="B273" s="20"/>
      <c r="C273" s="20"/>
      <c r="D273" s="21"/>
      <c r="E273" s="21"/>
      <c r="F273" s="21"/>
      <c r="G273" s="21"/>
      <c r="H273" s="21"/>
      <c r="I273" s="20"/>
      <c r="J273" s="20"/>
      <c r="K273" s="20"/>
      <c r="L273" s="20"/>
      <c r="M273" s="21"/>
      <c r="N273" s="21"/>
      <c r="O273" s="20"/>
      <c r="P273" s="20"/>
      <c r="Q273" s="21"/>
    </row>
    <row r="274" spans="1:17" ht="14.25" customHeight="1" x14ac:dyDescent="0.25">
      <c r="A274" s="20"/>
      <c r="B274" s="20"/>
      <c r="C274" s="20"/>
      <c r="D274" s="21"/>
      <c r="E274" s="21"/>
      <c r="F274" s="21"/>
      <c r="G274" s="21"/>
      <c r="H274" s="21"/>
      <c r="I274" s="20"/>
      <c r="J274" s="20"/>
      <c r="K274" s="20"/>
      <c r="L274" s="20"/>
      <c r="M274" s="21"/>
      <c r="N274" s="21"/>
      <c r="O274" s="20"/>
      <c r="P274" s="20"/>
      <c r="Q274" s="21"/>
    </row>
    <row r="275" spans="1:17" ht="14.25" customHeight="1" x14ac:dyDescent="0.25">
      <c r="A275" s="20"/>
      <c r="B275" s="20"/>
      <c r="C275" s="20"/>
      <c r="D275" s="21"/>
      <c r="E275" s="21"/>
      <c r="F275" s="21"/>
      <c r="G275" s="21"/>
      <c r="H275" s="21"/>
      <c r="I275" s="20"/>
      <c r="J275" s="20"/>
      <c r="K275" s="20"/>
      <c r="L275" s="20"/>
      <c r="M275" s="21"/>
      <c r="N275" s="21"/>
      <c r="O275" s="20"/>
      <c r="P275" s="20"/>
      <c r="Q275" s="21"/>
    </row>
    <row r="276" spans="1:17" ht="14.25" customHeight="1" x14ac:dyDescent="0.25">
      <c r="A276" s="20"/>
      <c r="B276" s="20"/>
      <c r="C276" s="20"/>
      <c r="D276" s="21"/>
      <c r="E276" s="21"/>
      <c r="F276" s="21"/>
      <c r="G276" s="21"/>
      <c r="H276" s="21"/>
      <c r="I276" s="20"/>
      <c r="J276" s="20"/>
      <c r="K276" s="20"/>
      <c r="L276" s="20"/>
      <c r="M276" s="21"/>
      <c r="N276" s="21"/>
      <c r="O276" s="20"/>
      <c r="P276" s="20"/>
      <c r="Q276" s="21"/>
    </row>
    <row r="277" spans="1:17" ht="14.25" customHeight="1" x14ac:dyDescent="0.25">
      <c r="A277" s="20"/>
      <c r="B277" s="20"/>
      <c r="C277" s="20"/>
      <c r="D277" s="21"/>
      <c r="E277" s="21"/>
      <c r="F277" s="21"/>
      <c r="G277" s="21"/>
      <c r="H277" s="21"/>
      <c r="I277" s="20"/>
      <c r="J277" s="20"/>
      <c r="K277" s="20"/>
      <c r="L277" s="20"/>
      <c r="M277" s="21"/>
      <c r="N277" s="21"/>
      <c r="O277" s="20"/>
      <c r="P277" s="20"/>
      <c r="Q277" s="21"/>
    </row>
    <row r="278" spans="1:17" ht="14.25" customHeight="1" x14ac:dyDescent="0.25">
      <c r="A278" s="20"/>
      <c r="B278" s="20"/>
      <c r="C278" s="20"/>
      <c r="D278" s="21"/>
      <c r="E278" s="21"/>
      <c r="F278" s="21"/>
      <c r="G278" s="21"/>
      <c r="H278" s="21"/>
      <c r="I278" s="20"/>
      <c r="J278" s="20"/>
      <c r="K278" s="20"/>
      <c r="L278" s="20"/>
      <c r="M278" s="21"/>
      <c r="N278" s="21"/>
      <c r="O278" s="20"/>
      <c r="P278" s="20"/>
      <c r="Q278" s="21"/>
    </row>
    <row r="279" spans="1:17" ht="14.25" customHeight="1" x14ac:dyDescent="0.25">
      <c r="A279" s="20"/>
      <c r="B279" s="20"/>
      <c r="C279" s="20"/>
      <c r="D279" s="21"/>
      <c r="E279" s="21"/>
      <c r="F279" s="21"/>
      <c r="G279" s="21"/>
      <c r="H279" s="21"/>
      <c r="I279" s="20"/>
      <c r="J279" s="20"/>
      <c r="K279" s="20"/>
      <c r="L279" s="20"/>
      <c r="M279" s="21"/>
      <c r="N279" s="21"/>
      <c r="O279" s="20"/>
      <c r="P279" s="20"/>
      <c r="Q279" s="21"/>
    </row>
    <row r="280" spans="1:17" ht="14.25" customHeight="1" x14ac:dyDescent="0.25">
      <c r="A280" s="20"/>
      <c r="B280" s="20"/>
      <c r="C280" s="20"/>
      <c r="D280" s="21"/>
      <c r="E280" s="21"/>
      <c r="F280" s="21"/>
      <c r="G280" s="21"/>
      <c r="H280" s="21"/>
      <c r="I280" s="20"/>
      <c r="J280" s="20"/>
      <c r="K280" s="20"/>
      <c r="L280" s="20"/>
      <c r="M280" s="21"/>
      <c r="N280" s="21"/>
      <c r="O280" s="20"/>
      <c r="P280" s="20"/>
      <c r="Q280" s="21"/>
    </row>
    <row r="281" spans="1:17" ht="14.25" customHeight="1" x14ac:dyDescent="0.25">
      <c r="A281" s="20"/>
      <c r="B281" s="20"/>
      <c r="C281" s="20"/>
      <c r="D281" s="21"/>
      <c r="E281" s="21"/>
      <c r="F281" s="21"/>
      <c r="G281" s="21"/>
      <c r="H281" s="21"/>
      <c r="I281" s="20"/>
      <c r="J281" s="20"/>
      <c r="K281" s="20"/>
      <c r="L281" s="20"/>
      <c r="M281" s="21"/>
      <c r="N281" s="21"/>
      <c r="O281" s="20"/>
      <c r="P281" s="20"/>
      <c r="Q281" s="21"/>
    </row>
    <row r="282" spans="1:17" ht="14.25" customHeight="1" x14ac:dyDescent="0.25">
      <c r="A282" s="20"/>
      <c r="B282" s="20"/>
      <c r="C282" s="20"/>
      <c r="D282" s="21"/>
      <c r="E282" s="21"/>
      <c r="F282" s="21"/>
      <c r="G282" s="21"/>
      <c r="H282" s="21"/>
      <c r="I282" s="20"/>
      <c r="J282" s="20"/>
      <c r="K282" s="20"/>
      <c r="L282" s="20"/>
      <c r="M282" s="21"/>
      <c r="N282" s="21"/>
      <c r="O282" s="20"/>
      <c r="P282" s="20"/>
      <c r="Q282" s="21"/>
    </row>
    <row r="283" spans="1:17" ht="14.25" customHeight="1" x14ac:dyDescent="0.25">
      <c r="A283" s="20"/>
      <c r="B283" s="20"/>
      <c r="C283" s="20"/>
      <c r="D283" s="21"/>
      <c r="E283" s="21"/>
      <c r="F283" s="21"/>
      <c r="G283" s="21"/>
      <c r="H283" s="21"/>
      <c r="I283" s="20"/>
      <c r="J283" s="20"/>
      <c r="K283" s="20"/>
      <c r="L283" s="20"/>
      <c r="M283" s="21"/>
      <c r="N283" s="21"/>
      <c r="O283" s="20"/>
      <c r="P283" s="20"/>
      <c r="Q283" s="21"/>
    </row>
    <row r="284" spans="1:17" ht="14.25" customHeight="1" x14ac:dyDescent="0.25">
      <c r="A284" s="20"/>
      <c r="B284" s="20"/>
      <c r="C284" s="20"/>
      <c r="D284" s="21"/>
      <c r="E284" s="21"/>
      <c r="F284" s="21"/>
      <c r="G284" s="21"/>
      <c r="H284" s="21"/>
      <c r="I284" s="20"/>
      <c r="J284" s="20"/>
      <c r="K284" s="20"/>
      <c r="L284" s="20"/>
      <c r="M284" s="21"/>
      <c r="N284" s="21"/>
      <c r="O284" s="20"/>
      <c r="P284" s="20"/>
      <c r="Q284" s="21"/>
    </row>
    <row r="285" spans="1:17" ht="14.25" customHeight="1" x14ac:dyDescent="0.25">
      <c r="A285" s="20"/>
      <c r="B285" s="20"/>
      <c r="C285" s="20"/>
      <c r="D285" s="21"/>
      <c r="E285" s="21"/>
      <c r="F285" s="21"/>
      <c r="G285" s="21"/>
      <c r="H285" s="21"/>
      <c r="I285" s="20"/>
      <c r="J285" s="20"/>
      <c r="K285" s="20"/>
      <c r="L285" s="20"/>
      <c r="M285" s="21"/>
      <c r="N285" s="21"/>
      <c r="O285" s="20"/>
      <c r="P285" s="20"/>
      <c r="Q285" s="21"/>
    </row>
    <row r="286" spans="1:17" ht="14.25" customHeight="1" x14ac:dyDescent="0.25">
      <c r="A286" s="20"/>
      <c r="B286" s="20"/>
      <c r="C286" s="20"/>
      <c r="D286" s="21"/>
      <c r="E286" s="21"/>
      <c r="F286" s="21"/>
      <c r="G286" s="21"/>
      <c r="H286" s="21"/>
      <c r="I286" s="20"/>
      <c r="J286" s="20"/>
      <c r="K286" s="20"/>
      <c r="L286" s="20"/>
      <c r="M286" s="21"/>
      <c r="N286" s="21"/>
      <c r="O286" s="20"/>
      <c r="P286" s="20"/>
      <c r="Q286" s="21"/>
    </row>
    <row r="287" spans="1:17" ht="14.25" customHeight="1" x14ac:dyDescent="0.25">
      <c r="A287" s="20"/>
      <c r="B287" s="20"/>
      <c r="C287" s="20"/>
      <c r="D287" s="21"/>
      <c r="E287" s="21"/>
      <c r="F287" s="21"/>
      <c r="G287" s="21"/>
      <c r="H287" s="21"/>
      <c r="I287" s="20"/>
      <c r="J287" s="20"/>
      <c r="K287" s="20"/>
      <c r="L287" s="20"/>
      <c r="M287" s="21"/>
      <c r="N287" s="21"/>
      <c r="O287" s="20"/>
      <c r="P287" s="20"/>
      <c r="Q287" s="21"/>
    </row>
    <row r="288" spans="1:17" ht="14.25" customHeight="1" x14ac:dyDescent="0.25">
      <c r="A288" s="20"/>
      <c r="B288" s="20"/>
      <c r="C288" s="20"/>
      <c r="D288" s="21"/>
      <c r="E288" s="21"/>
      <c r="F288" s="21"/>
      <c r="G288" s="21"/>
      <c r="H288" s="21"/>
      <c r="I288" s="20"/>
      <c r="J288" s="20"/>
      <c r="K288" s="20"/>
      <c r="L288" s="20"/>
      <c r="M288" s="21"/>
      <c r="N288" s="21"/>
      <c r="O288" s="20"/>
      <c r="P288" s="20"/>
      <c r="Q288" s="21"/>
    </row>
    <row r="289" spans="1:17" ht="14.25" customHeight="1" x14ac:dyDescent="0.25">
      <c r="A289" s="20"/>
      <c r="B289" s="20"/>
      <c r="C289" s="20"/>
      <c r="D289" s="21"/>
      <c r="E289" s="21"/>
      <c r="F289" s="21"/>
      <c r="G289" s="21"/>
      <c r="H289" s="21"/>
      <c r="I289" s="20"/>
      <c r="J289" s="20"/>
      <c r="K289" s="20"/>
      <c r="L289" s="20"/>
      <c r="M289" s="21"/>
      <c r="N289" s="21"/>
      <c r="O289" s="20"/>
      <c r="P289" s="20"/>
      <c r="Q289" s="21"/>
    </row>
    <row r="290" spans="1:17" ht="14.25" customHeight="1" x14ac:dyDescent="0.25">
      <c r="A290" s="20"/>
      <c r="B290" s="20"/>
      <c r="C290" s="20"/>
      <c r="D290" s="21"/>
      <c r="E290" s="21"/>
      <c r="F290" s="21"/>
      <c r="G290" s="21"/>
      <c r="H290" s="21"/>
      <c r="I290" s="20"/>
      <c r="J290" s="20"/>
      <c r="K290" s="20"/>
      <c r="L290" s="20"/>
      <c r="M290" s="21"/>
      <c r="N290" s="21"/>
      <c r="O290" s="20"/>
      <c r="P290" s="20"/>
      <c r="Q290" s="21"/>
    </row>
    <row r="291" spans="1:17" ht="14.25" customHeight="1" x14ac:dyDescent="0.25">
      <c r="A291" s="20"/>
      <c r="B291" s="20"/>
      <c r="C291" s="20"/>
      <c r="D291" s="21"/>
      <c r="E291" s="21"/>
      <c r="F291" s="21"/>
      <c r="G291" s="21"/>
      <c r="H291" s="21"/>
      <c r="I291" s="20"/>
      <c r="J291" s="20"/>
      <c r="K291" s="20"/>
      <c r="L291" s="20"/>
      <c r="M291" s="21"/>
      <c r="N291" s="21"/>
      <c r="O291" s="20"/>
      <c r="P291" s="20"/>
      <c r="Q291" s="21"/>
    </row>
    <row r="292" spans="1:17" ht="14.25" customHeight="1" x14ac:dyDescent="0.25">
      <c r="A292" s="20"/>
      <c r="B292" s="20"/>
      <c r="C292" s="20"/>
      <c r="D292" s="21"/>
      <c r="E292" s="21"/>
      <c r="F292" s="21"/>
      <c r="G292" s="21"/>
      <c r="H292" s="21"/>
      <c r="I292" s="20"/>
      <c r="J292" s="20"/>
      <c r="K292" s="20"/>
      <c r="L292" s="20"/>
      <c r="M292" s="21"/>
      <c r="N292" s="21"/>
      <c r="O292" s="20"/>
      <c r="P292" s="20"/>
      <c r="Q292" s="21"/>
    </row>
    <row r="293" spans="1:17" ht="14.25" customHeight="1" x14ac:dyDescent="0.25">
      <c r="A293" s="20"/>
      <c r="B293" s="20"/>
      <c r="C293" s="20"/>
      <c r="D293" s="21"/>
      <c r="E293" s="21"/>
      <c r="F293" s="21"/>
      <c r="G293" s="21"/>
      <c r="H293" s="21"/>
      <c r="I293" s="20"/>
      <c r="J293" s="20"/>
      <c r="K293" s="20"/>
      <c r="L293" s="20"/>
      <c r="M293" s="21"/>
      <c r="N293" s="21"/>
      <c r="O293" s="20"/>
      <c r="P293" s="20"/>
      <c r="Q293" s="21"/>
    </row>
    <row r="294" spans="1:17" ht="14.25" customHeight="1" x14ac:dyDescent="0.25">
      <c r="A294" s="20"/>
      <c r="B294" s="20"/>
      <c r="C294" s="20"/>
      <c r="D294" s="21"/>
      <c r="E294" s="21"/>
      <c r="F294" s="21"/>
      <c r="G294" s="21"/>
      <c r="H294" s="21"/>
      <c r="I294" s="20"/>
      <c r="J294" s="20"/>
      <c r="K294" s="20"/>
      <c r="L294" s="20"/>
      <c r="M294" s="21"/>
      <c r="N294" s="21"/>
      <c r="O294" s="20"/>
      <c r="P294" s="20"/>
      <c r="Q294" s="21"/>
    </row>
    <row r="295" spans="1:17" ht="14.25" customHeight="1" x14ac:dyDescent="0.25">
      <c r="A295" s="20"/>
      <c r="B295" s="20"/>
      <c r="C295" s="20"/>
      <c r="D295" s="21"/>
      <c r="E295" s="21"/>
      <c r="F295" s="21"/>
      <c r="G295" s="21"/>
      <c r="H295" s="21"/>
      <c r="I295" s="20"/>
      <c r="J295" s="20"/>
      <c r="K295" s="20"/>
      <c r="L295" s="20"/>
      <c r="M295" s="21"/>
      <c r="N295" s="21"/>
      <c r="O295" s="20"/>
      <c r="P295" s="20"/>
      <c r="Q295" s="21"/>
    </row>
    <row r="296" spans="1:17" ht="14.25" customHeight="1" x14ac:dyDescent="0.25">
      <c r="A296" s="20"/>
      <c r="B296" s="20"/>
      <c r="C296" s="20"/>
      <c r="D296" s="21"/>
      <c r="E296" s="21"/>
      <c r="F296" s="21"/>
      <c r="G296" s="21"/>
      <c r="H296" s="21"/>
      <c r="I296" s="20"/>
      <c r="J296" s="20"/>
      <c r="K296" s="20"/>
      <c r="L296" s="20"/>
      <c r="M296" s="21"/>
      <c r="N296" s="21"/>
      <c r="O296" s="20"/>
      <c r="P296" s="20"/>
      <c r="Q296" s="21"/>
    </row>
    <row r="297" spans="1:17" ht="14.25" customHeight="1" x14ac:dyDescent="0.25">
      <c r="A297" s="20"/>
      <c r="B297" s="20"/>
      <c r="C297" s="20"/>
      <c r="D297" s="21"/>
      <c r="E297" s="21"/>
      <c r="F297" s="21"/>
      <c r="G297" s="21"/>
      <c r="H297" s="21"/>
      <c r="I297" s="20"/>
      <c r="J297" s="20"/>
      <c r="K297" s="20"/>
      <c r="L297" s="20"/>
      <c r="M297" s="21"/>
      <c r="N297" s="21"/>
      <c r="O297" s="20"/>
      <c r="P297" s="20"/>
      <c r="Q297" s="21"/>
    </row>
    <row r="298" spans="1:17" ht="14.25" customHeight="1" x14ac:dyDescent="0.25">
      <c r="A298" s="20"/>
      <c r="B298" s="20"/>
      <c r="C298" s="20"/>
      <c r="D298" s="21"/>
      <c r="E298" s="21"/>
      <c r="F298" s="21"/>
      <c r="G298" s="21"/>
      <c r="H298" s="21"/>
      <c r="I298" s="20"/>
      <c r="J298" s="20"/>
      <c r="K298" s="20"/>
      <c r="L298" s="20"/>
      <c r="M298" s="21"/>
      <c r="N298" s="21"/>
      <c r="O298" s="20"/>
      <c r="P298" s="20"/>
      <c r="Q298" s="21"/>
    </row>
    <row r="299" spans="1:17" ht="14.25" customHeight="1" x14ac:dyDescent="0.25">
      <c r="A299" s="20"/>
      <c r="B299" s="20"/>
      <c r="C299" s="20"/>
      <c r="D299" s="21"/>
      <c r="E299" s="21"/>
      <c r="F299" s="21"/>
      <c r="G299" s="21"/>
      <c r="H299" s="21"/>
      <c r="I299" s="20"/>
      <c r="J299" s="20"/>
      <c r="K299" s="20"/>
      <c r="L299" s="20"/>
      <c r="M299" s="21"/>
      <c r="N299" s="21"/>
      <c r="O299" s="20"/>
      <c r="P299" s="20"/>
      <c r="Q299" s="21"/>
    </row>
    <row r="300" spans="1:17" ht="14.25" customHeight="1" x14ac:dyDescent="0.25">
      <c r="A300" s="20"/>
      <c r="B300" s="20"/>
      <c r="C300" s="20"/>
      <c r="D300" s="21"/>
      <c r="E300" s="21"/>
      <c r="F300" s="21"/>
      <c r="G300" s="21"/>
      <c r="H300" s="21"/>
      <c r="I300" s="20"/>
      <c r="J300" s="20"/>
      <c r="K300" s="20"/>
      <c r="L300" s="20"/>
      <c r="M300" s="21"/>
      <c r="N300" s="21"/>
      <c r="O300" s="20"/>
      <c r="P300" s="20"/>
      <c r="Q300" s="21"/>
    </row>
    <row r="301" spans="1:17" ht="14.25" customHeight="1" x14ac:dyDescent="0.25">
      <c r="A301" s="20"/>
      <c r="B301" s="20"/>
      <c r="C301" s="20"/>
      <c r="D301" s="21"/>
      <c r="E301" s="21"/>
      <c r="F301" s="21"/>
      <c r="G301" s="21"/>
      <c r="H301" s="21"/>
      <c r="I301" s="20"/>
      <c r="J301" s="20"/>
      <c r="K301" s="20"/>
      <c r="L301" s="20"/>
      <c r="M301" s="21"/>
      <c r="N301" s="21"/>
      <c r="O301" s="20"/>
      <c r="P301" s="20"/>
      <c r="Q301" s="21"/>
    </row>
    <row r="302" spans="1:17" ht="14.25" customHeight="1" x14ac:dyDescent="0.25">
      <c r="A302" s="20"/>
      <c r="B302" s="20"/>
      <c r="C302" s="20"/>
      <c r="D302" s="21"/>
      <c r="E302" s="21"/>
      <c r="F302" s="21"/>
      <c r="G302" s="21"/>
      <c r="H302" s="21"/>
      <c r="I302" s="20"/>
      <c r="J302" s="20"/>
      <c r="K302" s="20"/>
      <c r="L302" s="20"/>
      <c r="M302" s="21"/>
      <c r="N302" s="21"/>
      <c r="O302" s="20"/>
      <c r="P302" s="20"/>
      <c r="Q302" s="21"/>
    </row>
    <row r="303" spans="1:17" ht="14.25" customHeight="1" x14ac:dyDescent="0.25">
      <c r="A303" s="20"/>
      <c r="B303" s="20"/>
      <c r="C303" s="20"/>
      <c r="D303" s="21"/>
      <c r="E303" s="21"/>
      <c r="F303" s="21"/>
      <c r="G303" s="21"/>
      <c r="H303" s="21"/>
      <c r="I303" s="20"/>
      <c r="J303" s="20"/>
      <c r="K303" s="20"/>
      <c r="L303" s="20"/>
      <c r="M303" s="21"/>
      <c r="N303" s="21"/>
      <c r="O303" s="20"/>
      <c r="P303" s="20"/>
      <c r="Q303" s="21"/>
    </row>
    <row r="304" spans="1:17" ht="14.25" customHeight="1" x14ac:dyDescent="0.25">
      <c r="A304" s="20"/>
      <c r="B304" s="20"/>
      <c r="C304" s="20"/>
      <c r="D304" s="21"/>
      <c r="E304" s="21"/>
      <c r="F304" s="21"/>
      <c r="G304" s="21"/>
      <c r="H304" s="21"/>
      <c r="I304" s="20"/>
      <c r="J304" s="20"/>
      <c r="K304" s="20"/>
      <c r="L304" s="20"/>
      <c r="M304" s="21"/>
      <c r="N304" s="21"/>
      <c r="O304" s="20"/>
      <c r="P304" s="20"/>
      <c r="Q304" s="21"/>
    </row>
    <row r="305" spans="1:17" ht="14.25" customHeight="1" x14ac:dyDescent="0.25">
      <c r="A305" s="20"/>
      <c r="B305" s="20"/>
      <c r="C305" s="20"/>
      <c r="D305" s="21"/>
      <c r="E305" s="21"/>
      <c r="F305" s="21"/>
      <c r="G305" s="21"/>
      <c r="H305" s="21"/>
      <c r="I305" s="20"/>
      <c r="J305" s="20"/>
      <c r="K305" s="20"/>
      <c r="L305" s="20"/>
      <c r="M305" s="21"/>
      <c r="N305" s="21"/>
      <c r="O305" s="20"/>
      <c r="P305" s="20"/>
      <c r="Q305" s="21"/>
    </row>
    <row r="306" spans="1:17" ht="14.25" customHeight="1" x14ac:dyDescent="0.25">
      <c r="A306" s="20"/>
      <c r="B306" s="20"/>
      <c r="C306" s="20"/>
      <c r="D306" s="21"/>
      <c r="E306" s="21"/>
      <c r="F306" s="21"/>
      <c r="G306" s="21"/>
      <c r="H306" s="21"/>
      <c r="I306" s="20"/>
      <c r="J306" s="20"/>
      <c r="K306" s="20"/>
      <c r="L306" s="20"/>
      <c r="M306" s="21"/>
      <c r="N306" s="21"/>
      <c r="O306" s="20"/>
      <c r="P306" s="20"/>
      <c r="Q306" s="21"/>
    </row>
    <row r="307" spans="1:17" ht="14.25" customHeight="1" x14ac:dyDescent="0.25">
      <c r="A307" s="20"/>
      <c r="B307" s="20"/>
      <c r="C307" s="20"/>
      <c r="D307" s="21"/>
      <c r="E307" s="21"/>
      <c r="F307" s="21"/>
      <c r="G307" s="21"/>
      <c r="H307" s="21"/>
      <c r="I307" s="20"/>
      <c r="J307" s="20"/>
      <c r="K307" s="20"/>
      <c r="L307" s="20"/>
      <c r="M307" s="21"/>
      <c r="N307" s="21"/>
      <c r="O307" s="20"/>
      <c r="P307" s="20"/>
      <c r="Q307" s="21"/>
    </row>
    <row r="308" spans="1:17" ht="14.25" customHeight="1" x14ac:dyDescent="0.25">
      <c r="A308" s="20"/>
      <c r="B308" s="20"/>
      <c r="C308" s="20"/>
      <c r="D308" s="21"/>
      <c r="E308" s="21"/>
      <c r="F308" s="21"/>
      <c r="G308" s="21"/>
      <c r="H308" s="21"/>
      <c r="I308" s="20"/>
      <c r="J308" s="20"/>
      <c r="K308" s="20"/>
      <c r="L308" s="20"/>
      <c r="M308" s="21"/>
      <c r="N308" s="21"/>
      <c r="O308" s="20"/>
      <c r="P308" s="20"/>
      <c r="Q308" s="21"/>
    </row>
    <row r="309" spans="1:17" ht="14.25" customHeight="1" x14ac:dyDescent="0.25">
      <c r="A309" s="20"/>
      <c r="B309" s="20"/>
      <c r="C309" s="20"/>
      <c r="D309" s="21"/>
      <c r="E309" s="21"/>
      <c r="F309" s="21"/>
      <c r="G309" s="21"/>
      <c r="H309" s="21"/>
      <c r="I309" s="20"/>
      <c r="J309" s="20"/>
      <c r="K309" s="20"/>
      <c r="L309" s="20"/>
      <c r="M309" s="21"/>
      <c r="N309" s="21"/>
      <c r="O309" s="20"/>
      <c r="P309" s="20"/>
      <c r="Q309" s="21"/>
    </row>
    <row r="310" spans="1:17" ht="14.25" customHeight="1" x14ac:dyDescent="0.25">
      <c r="A310" s="20"/>
      <c r="B310" s="20"/>
      <c r="C310" s="20"/>
      <c r="D310" s="21"/>
      <c r="E310" s="21"/>
      <c r="F310" s="21"/>
      <c r="G310" s="21"/>
      <c r="H310" s="21"/>
      <c r="I310" s="20"/>
      <c r="J310" s="20"/>
      <c r="K310" s="20"/>
      <c r="L310" s="20"/>
      <c r="M310" s="21"/>
      <c r="N310" s="21"/>
      <c r="O310" s="20"/>
      <c r="P310" s="20"/>
      <c r="Q310" s="21"/>
    </row>
    <row r="311" spans="1:17" ht="14.25" customHeight="1" x14ac:dyDescent="0.25">
      <c r="A311" s="20"/>
      <c r="B311" s="20"/>
      <c r="C311" s="20"/>
      <c r="D311" s="21"/>
      <c r="E311" s="21"/>
      <c r="F311" s="21"/>
      <c r="G311" s="21"/>
      <c r="H311" s="21"/>
      <c r="I311" s="20"/>
      <c r="J311" s="20"/>
      <c r="K311" s="20"/>
      <c r="L311" s="20"/>
      <c r="M311" s="21"/>
      <c r="N311" s="21"/>
      <c r="O311" s="20"/>
      <c r="P311" s="20"/>
      <c r="Q311" s="21"/>
    </row>
    <row r="312" spans="1:17" ht="14.25" customHeight="1" x14ac:dyDescent="0.25">
      <c r="A312" s="20"/>
      <c r="B312" s="20"/>
      <c r="C312" s="20"/>
      <c r="D312" s="21"/>
      <c r="E312" s="21"/>
      <c r="F312" s="21"/>
      <c r="G312" s="21"/>
      <c r="H312" s="21"/>
      <c r="I312" s="20"/>
      <c r="J312" s="20"/>
      <c r="K312" s="20"/>
      <c r="L312" s="20"/>
      <c r="M312" s="21"/>
      <c r="N312" s="21"/>
      <c r="O312" s="20"/>
      <c r="P312" s="20"/>
      <c r="Q312" s="21"/>
    </row>
    <row r="313" spans="1:17" ht="14.25" customHeight="1" x14ac:dyDescent="0.25">
      <c r="A313" s="20"/>
      <c r="B313" s="20"/>
      <c r="C313" s="20"/>
      <c r="D313" s="21"/>
      <c r="E313" s="21"/>
      <c r="F313" s="21"/>
      <c r="G313" s="21"/>
      <c r="H313" s="21"/>
      <c r="I313" s="20"/>
      <c r="J313" s="20"/>
      <c r="K313" s="20"/>
      <c r="L313" s="20"/>
      <c r="M313" s="21"/>
      <c r="N313" s="21"/>
      <c r="O313" s="20"/>
      <c r="P313" s="20"/>
      <c r="Q313" s="21"/>
    </row>
    <row r="314" spans="1:17" ht="14.25" customHeight="1" x14ac:dyDescent="0.25">
      <c r="A314" s="20"/>
      <c r="B314" s="20"/>
      <c r="C314" s="20"/>
      <c r="D314" s="21"/>
      <c r="E314" s="21"/>
      <c r="F314" s="21"/>
      <c r="G314" s="21"/>
      <c r="H314" s="21"/>
      <c r="I314" s="20"/>
      <c r="J314" s="20"/>
      <c r="K314" s="20"/>
      <c r="L314" s="20"/>
      <c r="M314" s="21"/>
      <c r="N314" s="21"/>
      <c r="O314" s="20"/>
      <c r="P314" s="20"/>
      <c r="Q314" s="21"/>
    </row>
    <row r="315" spans="1:17" ht="14.25" customHeight="1" x14ac:dyDescent="0.25">
      <c r="A315" s="20"/>
      <c r="B315" s="20"/>
      <c r="C315" s="20"/>
      <c r="D315" s="21"/>
      <c r="E315" s="21"/>
      <c r="F315" s="21"/>
      <c r="G315" s="21"/>
      <c r="H315" s="21"/>
      <c r="I315" s="20"/>
      <c r="J315" s="20"/>
      <c r="K315" s="20"/>
      <c r="L315" s="20"/>
      <c r="M315" s="21"/>
      <c r="N315" s="21"/>
      <c r="O315" s="20"/>
      <c r="P315" s="20"/>
      <c r="Q315" s="21"/>
    </row>
    <row r="316" spans="1:17" ht="14.25" customHeight="1" x14ac:dyDescent="0.25">
      <c r="A316" s="20"/>
      <c r="B316" s="20"/>
      <c r="C316" s="20"/>
      <c r="D316" s="21"/>
      <c r="E316" s="21"/>
      <c r="F316" s="21"/>
      <c r="G316" s="21"/>
      <c r="H316" s="21"/>
      <c r="I316" s="20"/>
      <c r="J316" s="20"/>
      <c r="K316" s="20"/>
      <c r="L316" s="20"/>
      <c r="M316" s="21"/>
      <c r="N316" s="21"/>
      <c r="O316" s="20"/>
      <c r="P316" s="20"/>
      <c r="Q316" s="21"/>
    </row>
    <row r="317" spans="1:17" ht="14.25" customHeight="1" x14ac:dyDescent="0.25">
      <c r="A317" s="20"/>
      <c r="B317" s="20"/>
      <c r="C317" s="20"/>
      <c r="D317" s="21"/>
      <c r="E317" s="21"/>
      <c r="F317" s="21"/>
      <c r="G317" s="21"/>
      <c r="H317" s="21"/>
      <c r="I317" s="20"/>
      <c r="J317" s="20"/>
      <c r="K317" s="20"/>
      <c r="L317" s="20"/>
      <c r="M317" s="21"/>
      <c r="N317" s="21"/>
      <c r="O317" s="20"/>
      <c r="P317" s="20"/>
      <c r="Q317" s="21"/>
    </row>
    <row r="318" spans="1:17" ht="14.25" customHeight="1" x14ac:dyDescent="0.25">
      <c r="A318" s="20"/>
      <c r="B318" s="20"/>
      <c r="C318" s="20"/>
      <c r="D318" s="21"/>
      <c r="E318" s="21"/>
      <c r="F318" s="21"/>
      <c r="G318" s="21"/>
      <c r="H318" s="21"/>
      <c r="I318" s="20"/>
      <c r="J318" s="20"/>
      <c r="K318" s="20"/>
      <c r="L318" s="20"/>
      <c r="M318" s="21"/>
      <c r="N318" s="21"/>
      <c r="O318" s="20"/>
      <c r="P318" s="20"/>
      <c r="Q318" s="21"/>
    </row>
    <row r="319" spans="1:17" ht="14.25" customHeight="1" x14ac:dyDescent="0.25">
      <c r="A319" s="20"/>
      <c r="B319" s="20"/>
      <c r="C319" s="20"/>
      <c r="D319" s="21"/>
      <c r="E319" s="21"/>
      <c r="F319" s="21"/>
      <c r="G319" s="21"/>
      <c r="H319" s="21"/>
      <c r="I319" s="20"/>
      <c r="J319" s="20"/>
      <c r="K319" s="20"/>
      <c r="L319" s="20"/>
      <c r="M319" s="21"/>
      <c r="N319" s="21"/>
      <c r="O319" s="20"/>
      <c r="P319" s="20"/>
      <c r="Q319" s="21"/>
    </row>
    <row r="320" spans="1:17" ht="14.25" customHeight="1" x14ac:dyDescent="0.25">
      <c r="A320" s="20"/>
      <c r="B320" s="20"/>
      <c r="C320" s="20"/>
      <c r="D320" s="21"/>
      <c r="E320" s="21"/>
      <c r="F320" s="21"/>
      <c r="G320" s="21"/>
      <c r="H320" s="21"/>
      <c r="I320" s="20"/>
      <c r="J320" s="20"/>
      <c r="K320" s="20"/>
      <c r="L320" s="20"/>
      <c r="M320" s="21"/>
      <c r="N320" s="21"/>
      <c r="O320" s="20"/>
      <c r="P320" s="20"/>
      <c r="Q320" s="21"/>
    </row>
    <row r="321" spans="1:17" ht="14.25" customHeight="1" x14ac:dyDescent="0.25">
      <c r="A321" s="20"/>
      <c r="B321" s="20"/>
      <c r="C321" s="20"/>
      <c r="D321" s="21"/>
      <c r="E321" s="21"/>
      <c r="F321" s="21"/>
      <c r="G321" s="21"/>
      <c r="H321" s="21"/>
      <c r="I321" s="20"/>
      <c r="J321" s="20"/>
      <c r="K321" s="20"/>
      <c r="L321" s="20"/>
      <c r="M321" s="21"/>
      <c r="N321" s="21"/>
      <c r="O321" s="20"/>
      <c r="P321" s="20"/>
      <c r="Q321" s="21"/>
    </row>
    <row r="322" spans="1:17" ht="14.25" customHeight="1" x14ac:dyDescent="0.25">
      <c r="A322" s="20"/>
      <c r="B322" s="20"/>
      <c r="C322" s="20"/>
      <c r="D322" s="21"/>
      <c r="E322" s="21"/>
      <c r="F322" s="21"/>
      <c r="G322" s="21"/>
      <c r="H322" s="21"/>
      <c r="I322" s="20"/>
      <c r="J322" s="20"/>
      <c r="K322" s="20"/>
      <c r="L322" s="20"/>
      <c r="M322" s="21"/>
      <c r="N322" s="21"/>
      <c r="O322" s="20"/>
      <c r="P322" s="20"/>
      <c r="Q322" s="21"/>
    </row>
    <row r="323" spans="1:17" ht="14.25" customHeight="1" x14ac:dyDescent="0.25">
      <c r="A323" s="20"/>
      <c r="B323" s="20"/>
      <c r="C323" s="20"/>
      <c r="D323" s="21"/>
      <c r="E323" s="21"/>
      <c r="F323" s="21"/>
      <c r="G323" s="21"/>
      <c r="H323" s="21"/>
      <c r="I323" s="20"/>
      <c r="J323" s="20"/>
      <c r="K323" s="20"/>
      <c r="L323" s="20"/>
      <c r="M323" s="21"/>
      <c r="N323" s="21"/>
      <c r="O323" s="20"/>
      <c r="P323" s="20"/>
      <c r="Q323" s="21"/>
    </row>
    <row r="324" spans="1:17" ht="14.25" customHeight="1" x14ac:dyDescent="0.25">
      <c r="A324" s="20"/>
      <c r="B324" s="20"/>
      <c r="C324" s="20"/>
      <c r="D324" s="21"/>
      <c r="E324" s="21"/>
      <c r="F324" s="21"/>
      <c r="G324" s="21"/>
      <c r="H324" s="21"/>
      <c r="I324" s="20"/>
      <c r="J324" s="20"/>
      <c r="K324" s="20"/>
      <c r="L324" s="20"/>
      <c r="M324" s="21"/>
      <c r="N324" s="21"/>
      <c r="O324" s="20"/>
      <c r="P324" s="20"/>
      <c r="Q324" s="21"/>
    </row>
    <row r="325" spans="1:17" ht="14.25" customHeight="1" x14ac:dyDescent="0.25">
      <c r="A325" s="20"/>
      <c r="B325" s="20"/>
      <c r="C325" s="20"/>
      <c r="D325" s="21"/>
      <c r="E325" s="21"/>
      <c r="F325" s="21"/>
      <c r="G325" s="21"/>
      <c r="H325" s="21"/>
      <c r="I325" s="20"/>
      <c r="J325" s="20"/>
      <c r="K325" s="20"/>
      <c r="L325" s="20"/>
      <c r="M325" s="21"/>
      <c r="N325" s="21"/>
      <c r="O325" s="20"/>
      <c r="P325" s="20"/>
      <c r="Q325" s="21"/>
    </row>
    <row r="326" spans="1:17" ht="14.25" customHeight="1" x14ac:dyDescent="0.25">
      <c r="A326" s="20"/>
      <c r="B326" s="20"/>
      <c r="C326" s="20"/>
      <c r="D326" s="21"/>
      <c r="E326" s="21"/>
      <c r="F326" s="21"/>
      <c r="G326" s="21"/>
      <c r="H326" s="21"/>
      <c r="I326" s="20"/>
      <c r="J326" s="20"/>
      <c r="K326" s="20"/>
      <c r="L326" s="20"/>
      <c r="M326" s="21"/>
      <c r="N326" s="21"/>
      <c r="O326" s="20"/>
      <c r="P326" s="20"/>
      <c r="Q326" s="21"/>
    </row>
    <row r="327" spans="1:17" ht="14.25" customHeight="1" x14ac:dyDescent="0.25">
      <c r="A327" s="20"/>
      <c r="B327" s="20"/>
      <c r="C327" s="20"/>
      <c r="D327" s="21"/>
      <c r="E327" s="21"/>
      <c r="F327" s="21"/>
      <c r="G327" s="21"/>
      <c r="H327" s="21"/>
      <c r="I327" s="20"/>
      <c r="J327" s="20"/>
      <c r="K327" s="20"/>
      <c r="L327" s="20"/>
      <c r="M327" s="21"/>
      <c r="N327" s="21"/>
      <c r="O327" s="20"/>
      <c r="P327" s="20"/>
      <c r="Q327" s="21"/>
    </row>
    <row r="328" spans="1:17" ht="14.25" customHeight="1" x14ac:dyDescent="0.25">
      <c r="A328" s="20"/>
      <c r="B328" s="20"/>
      <c r="C328" s="20"/>
      <c r="D328" s="21"/>
      <c r="E328" s="21"/>
      <c r="F328" s="21"/>
      <c r="G328" s="21"/>
      <c r="H328" s="21"/>
      <c r="I328" s="20"/>
      <c r="J328" s="20"/>
      <c r="K328" s="20"/>
      <c r="L328" s="20"/>
      <c r="M328" s="21"/>
      <c r="N328" s="21"/>
      <c r="O328" s="20"/>
      <c r="P328" s="20"/>
      <c r="Q328" s="21"/>
    </row>
    <row r="329" spans="1:17" ht="14.25" customHeight="1" x14ac:dyDescent="0.25">
      <c r="A329" s="20"/>
      <c r="B329" s="20"/>
      <c r="C329" s="20"/>
      <c r="D329" s="21"/>
      <c r="E329" s="21"/>
      <c r="F329" s="21"/>
      <c r="G329" s="21"/>
      <c r="H329" s="21"/>
      <c r="I329" s="20"/>
      <c r="J329" s="20"/>
      <c r="K329" s="20"/>
      <c r="L329" s="20"/>
      <c r="M329" s="21"/>
      <c r="N329" s="21"/>
      <c r="O329" s="20"/>
      <c r="P329" s="20"/>
      <c r="Q329" s="21"/>
    </row>
    <row r="330" spans="1:17" ht="14.25" customHeight="1" x14ac:dyDescent="0.25">
      <c r="A330" s="20"/>
      <c r="B330" s="20"/>
      <c r="C330" s="20"/>
      <c r="D330" s="21"/>
      <c r="E330" s="21"/>
      <c r="F330" s="21"/>
      <c r="G330" s="21"/>
      <c r="H330" s="21"/>
      <c r="I330" s="20"/>
      <c r="J330" s="20"/>
      <c r="K330" s="20"/>
      <c r="L330" s="20"/>
      <c r="M330" s="21"/>
      <c r="N330" s="21"/>
      <c r="O330" s="20"/>
      <c r="P330" s="20"/>
      <c r="Q330" s="21"/>
    </row>
    <row r="331" spans="1:17" ht="14.25" customHeight="1" x14ac:dyDescent="0.25">
      <c r="A331" s="20"/>
      <c r="B331" s="20"/>
      <c r="C331" s="20"/>
      <c r="D331" s="21"/>
      <c r="E331" s="21"/>
      <c r="F331" s="21"/>
      <c r="G331" s="21"/>
      <c r="H331" s="21"/>
      <c r="I331" s="20"/>
      <c r="J331" s="20"/>
      <c r="K331" s="20"/>
      <c r="L331" s="20"/>
      <c r="M331" s="21"/>
      <c r="N331" s="21"/>
      <c r="O331" s="20"/>
      <c r="P331" s="20"/>
      <c r="Q331" s="21"/>
    </row>
    <row r="332" spans="1:17" ht="14.25" customHeight="1" x14ac:dyDescent="0.25">
      <c r="A332" s="20"/>
      <c r="B332" s="20"/>
      <c r="C332" s="20"/>
      <c r="D332" s="21"/>
      <c r="E332" s="21"/>
      <c r="F332" s="21"/>
      <c r="G332" s="21"/>
      <c r="H332" s="21"/>
      <c r="I332" s="20"/>
      <c r="J332" s="20"/>
      <c r="K332" s="20"/>
      <c r="L332" s="20"/>
      <c r="M332" s="21"/>
      <c r="N332" s="21"/>
      <c r="O332" s="20"/>
      <c r="P332" s="20"/>
      <c r="Q332" s="21"/>
    </row>
    <row r="333" spans="1:17" ht="14.25" customHeight="1" x14ac:dyDescent="0.25">
      <c r="A333" s="20"/>
      <c r="B333" s="20"/>
      <c r="C333" s="20"/>
      <c r="D333" s="21"/>
      <c r="E333" s="21"/>
      <c r="F333" s="21"/>
      <c r="G333" s="21"/>
      <c r="H333" s="21"/>
      <c r="I333" s="20"/>
      <c r="J333" s="20"/>
      <c r="K333" s="20"/>
      <c r="L333" s="20"/>
      <c r="M333" s="21"/>
      <c r="N333" s="21"/>
      <c r="O333" s="20"/>
      <c r="P333" s="20"/>
      <c r="Q333" s="21"/>
    </row>
    <row r="334" spans="1:17" ht="14.25" customHeight="1" x14ac:dyDescent="0.25">
      <c r="A334" s="20"/>
      <c r="B334" s="20"/>
      <c r="C334" s="20"/>
      <c r="D334" s="21"/>
      <c r="E334" s="21"/>
      <c r="F334" s="21"/>
      <c r="G334" s="21"/>
      <c r="H334" s="21"/>
      <c r="I334" s="20"/>
      <c r="J334" s="20"/>
      <c r="K334" s="20"/>
      <c r="L334" s="20"/>
      <c r="M334" s="21"/>
      <c r="N334" s="21"/>
      <c r="O334" s="20"/>
      <c r="P334" s="20"/>
      <c r="Q334" s="21"/>
    </row>
    <row r="335" spans="1:17" ht="14.25" customHeight="1" x14ac:dyDescent="0.25">
      <c r="A335" s="20"/>
      <c r="B335" s="20"/>
      <c r="C335" s="20"/>
      <c r="D335" s="21"/>
      <c r="E335" s="21"/>
      <c r="F335" s="21"/>
      <c r="G335" s="21"/>
      <c r="H335" s="21"/>
      <c r="I335" s="20"/>
      <c r="J335" s="20"/>
      <c r="K335" s="20"/>
      <c r="L335" s="20"/>
      <c r="M335" s="21"/>
      <c r="N335" s="21"/>
      <c r="O335" s="20"/>
      <c r="P335" s="20"/>
      <c r="Q335" s="21"/>
    </row>
    <row r="336" spans="1:17" ht="14.25" customHeight="1" x14ac:dyDescent="0.25">
      <c r="A336" s="20"/>
      <c r="B336" s="20"/>
      <c r="C336" s="20"/>
      <c r="D336" s="21"/>
      <c r="E336" s="21"/>
      <c r="F336" s="21"/>
      <c r="G336" s="21"/>
      <c r="H336" s="21"/>
      <c r="I336" s="20"/>
      <c r="J336" s="20"/>
      <c r="K336" s="20"/>
      <c r="L336" s="20"/>
      <c r="M336" s="21"/>
      <c r="N336" s="21"/>
      <c r="O336" s="20"/>
      <c r="P336" s="20"/>
      <c r="Q336" s="21"/>
    </row>
    <row r="337" spans="1:17" ht="14.25" customHeight="1" x14ac:dyDescent="0.25">
      <c r="A337" s="20"/>
      <c r="B337" s="20"/>
      <c r="C337" s="20"/>
      <c r="D337" s="21"/>
      <c r="E337" s="21"/>
      <c r="F337" s="21"/>
      <c r="G337" s="21"/>
      <c r="H337" s="21"/>
      <c r="I337" s="20"/>
      <c r="J337" s="20"/>
      <c r="K337" s="20"/>
      <c r="L337" s="20"/>
      <c r="M337" s="21"/>
      <c r="N337" s="21"/>
      <c r="O337" s="20"/>
      <c r="P337" s="20"/>
      <c r="Q337" s="21"/>
    </row>
    <row r="338" spans="1:17" ht="14.25" customHeight="1" x14ac:dyDescent="0.25">
      <c r="A338" s="20"/>
      <c r="B338" s="20"/>
      <c r="C338" s="20"/>
      <c r="D338" s="21"/>
      <c r="E338" s="21"/>
      <c r="F338" s="21"/>
      <c r="G338" s="21"/>
      <c r="H338" s="21"/>
      <c r="I338" s="20"/>
      <c r="J338" s="20"/>
      <c r="K338" s="20"/>
      <c r="L338" s="20"/>
      <c r="M338" s="21"/>
      <c r="N338" s="21"/>
      <c r="O338" s="20"/>
      <c r="P338" s="20"/>
      <c r="Q338" s="21"/>
    </row>
    <row r="339" spans="1:17" ht="14.25" customHeight="1" x14ac:dyDescent="0.25">
      <c r="A339" s="20"/>
      <c r="B339" s="20"/>
      <c r="C339" s="20"/>
      <c r="D339" s="21"/>
      <c r="E339" s="21"/>
      <c r="F339" s="21"/>
      <c r="G339" s="21"/>
      <c r="H339" s="21"/>
      <c r="I339" s="20"/>
      <c r="J339" s="20"/>
      <c r="K339" s="20"/>
      <c r="L339" s="20"/>
      <c r="M339" s="21"/>
      <c r="N339" s="21"/>
      <c r="O339" s="20"/>
      <c r="P339" s="20"/>
      <c r="Q339" s="21"/>
    </row>
    <row r="340" spans="1:17" ht="14.25" customHeight="1" x14ac:dyDescent="0.25">
      <c r="A340" s="20"/>
      <c r="B340" s="20"/>
      <c r="C340" s="20"/>
      <c r="D340" s="21"/>
      <c r="E340" s="21"/>
      <c r="F340" s="21"/>
      <c r="G340" s="21"/>
      <c r="H340" s="21"/>
      <c r="I340" s="20"/>
      <c r="J340" s="20"/>
      <c r="K340" s="20"/>
      <c r="L340" s="20"/>
      <c r="M340" s="21"/>
      <c r="N340" s="21"/>
      <c r="O340" s="20"/>
      <c r="P340" s="20"/>
      <c r="Q340" s="21"/>
    </row>
    <row r="341" spans="1:17" ht="14.25" customHeight="1" x14ac:dyDescent="0.25">
      <c r="A341" s="20"/>
      <c r="B341" s="20"/>
      <c r="C341" s="20"/>
      <c r="D341" s="21"/>
      <c r="E341" s="21"/>
      <c r="F341" s="21"/>
      <c r="G341" s="21"/>
      <c r="H341" s="21"/>
      <c r="I341" s="20"/>
      <c r="J341" s="20"/>
      <c r="K341" s="20"/>
      <c r="L341" s="20"/>
      <c r="M341" s="21"/>
      <c r="N341" s="21"/>
      <c r="O341" s="20"/>
      <c r="P341" s="20"/>
      <c r="Q341" s="21"/>
    </row>
    <row r="342" spans="1:17" ht="14.25" customHeight="1" x14ac:dyDescent="0.25">
      <c r="A342" s="20"/>
      <c r="B342" s="20"/>
      <c r="C342" s="20"/>
      <c r="D342" s="21"/>
      <c r="E342" s="21"/>
      <c r="F342" s="21"/>
      <c r="G342" s="21"/>
      <c r="H342" s="21"/>
      <c r="I342" s="20"/>
      <c r="J342" s="20"/>
      <c r="K342" s="20"/>
      <c r="L342" s="20"/>
      <c r="M342" s="21"/>
      <c r="N342" s="21"/>
      <c r="O342" s="20"/>
      <c r="P342" s="20"/>
      <c r="Q342" s="21"/>
    </row>
    <row r="343" spans="1:17" ht="14.25" customHeight="1" x14ac:dyDescent="0.25">
      <c r="A343" s="20"/>
      <c r="B343" s="20"/>
      <c r="C343" s="20"/>
      <c r="D343" s="21"/>
      <c r="E343" s="21"/>
      <c r="F343" s="21"/>
      <c r="G343" s="21"/>
      <c r="H343" s="21"/>
      <c r="I343" s="20"/>
      <c r="J343" s="20"/>
      <c r="K343" s="20"/>
      <c r="L343" s="20"/>
      <c r="M343" s="21"/>
      <c r="N343" s="21"/>
      <c r="O343" s="20"/>
      <c r="P343" s="20"/>
      <c r="Q343" s="21"/>
    </row>
    <row r="344" spans="1:17" ht="14.25" customHeight="1" x14ac:dyDescent="0.25">
      <c r="A344" s="20"/>
      <c r="B344" s="20"/>
      <c r="C344" s="20"/>
      <c r="D344" s="21"/>
      <c r="E344" s="21"/>
      <c r="F344" s="21"/>
      <c r="G344" s="21"/>
      <c r="H344" s="21"/>
      <c r="I344" s="20"/>
      <c r="J344" s="20"/>
      <c r="K344" s="20"/>
      <c r="L344" s="20"/>
      <c r="M344" s="21"/>
      <c r="N344" s="21"/>
      <c r="O344" s="20"/>
      <c r="P344" s="20"/>
      <c r="Q344" s="21"/>
    </row>
    <row r="345" spans="1:17" ht="14.25" customHeight="1" x14ac:dyDescent="0.25">
      <c r="A345" s="20"/>
      <c r="B345" s="20"/>
      <c r="C345" s="20"/>
      <c r="D345" s="21"/>
      <c r="E345" s="21"/>
      <c r="F345" s="21"/>
      <c r="G345" s="21"/>
      <c r="H345" s="21"/>
      <c r="I345" s="20"/>
      <c r="J345" s="20"/>
      <c r="K345" s="20"/>
      <c r="L345" s="20"/>
      <c r="M345" s="21"/>
      <c r="N345" s="21"/>
      <c r="O345" s="20"/>
      <c r="P345" s="20"/>
      <c r="Q345" s="21"/>
    </row>
    <row r="346" spans="1:17" ht="14.25" customHeight="1" x14ac:dyDescent="0.25">
      <c r="A346" s="20"/>
      <c r="B346" s="20"/>
      <c r="C346" s="20"/>
      <c r="D346" s="21"/>
      <c r="E346" s="21"/>
      <c r="F346" s="21"/>
      <c r="G346" s="21"/>
      <c r="H346" s="21"/>
      <c r="I346" s="20"/>
      <c r="J346" s="20"/>
      <c r="K346" s="20"/>
      <c r="L346" s="20"/>
      <c r="M346" s="21"/>
      <c r="N346" s="21"/>
      <c r="O346" s="20"/>
      <c r="P346" s="20"/>
      <c r="Q346" s="21"/>
    </row>
    <row r="347" spans="1:17" ht="14.25" customHeight="1" x14ac:dyDescent="0.25">
      <c r="A347" s="20"/>
      <c r="B347" s="20"/>
      <c r="C347" s="20"/>
      <c r="D347" s="21"/>
      <c r="E347" s="21"/>
      <c r="F347" s="21"/>
      <c r="G347" s="21"/>
      <c r="H347" s="21"/>
      <c r="I347" s="20"/>
      <c r="J347" s="20"/>
      <c r="K347" s="20"/>
      <c r="L347" s="20"/>
      <c r="M347" s="21"/>
      <c r="N347" s="21"/>
      <c r="O347" s="20"/>
      <c r="P347" s="20"/>
      <c r="Q347" s="21"/>
    </row>
    <row r="348" spans="1:17" ht="14.25" customHeight="1" x14ac:dyDescent="0.25">
      <c r="A348" s="20"/>
      <c r="B348" s="20"/>
      <c r="C348" s="20"/>
      <c r="D348" s="21"/>
      <c r="E348" s="21"/>
      <c r="F348" s="21"/>
      <c r="G348" s="21"/>
      <c r="H348" s="21"/>
      <c r="I348" s="20"/>
      <c r="J348" s="20"/>
      <c r="K348" s="20"/>
      <c r="L348" s="20"/>
      <c r="M348" s="21"/>
      <c r="N348" s="21"/>
      <c r="O348" s="20"/>
      <c r="P348" s="20"/>
      <c r="Q348" s="21"/>
    </row>
    <row r="349" spans="1:17" ht="14.25" customHeight="1" x14ac:dyDescent="0.25">
      <c r="A349" s="20"/>
      <c r="B349" s="20"/>
      <c r="C349" s="20"/>
      <c r="D349" s="21"/>
      <c r="E349" s="21"/>
      <c r="F349" s="21"/>
      <c r="G349" s="21"/>
      <c r="H349" s="21"/>
      <c r="I349" s="20"/>
      <c r="J349" s="20"/>
      <c r="K349" s="20"/>
      <c r="L349" s="20"/>
      <c r="M349" s="21"/>
      <c r="N349" s="21"/>
      <c r="O349" s="20"/>
      <c r="P349" s="20"/>
      <c r="Q349" s="21"/>
    </row>
    <row r="350" spans="1:17" ht="14.25" customHeight="1" x14ac:dyDescent="0.25">
      <c r="A350" s="20"/>
      <c r="B350" s="20"/>
      <c r="C350" s="20"/>
      <c r="D350" s="21"/>
      <c r="E350" s="21"/>
      <c r="F350" s="21"/>
      <c r="G350" s="21"/>
      <c r="H350" s="21"/>
      <c r="I350" s="20"/>
      <c r="J350" s="20"/>
      <c r="K350" s="20"/>
      <c r="L350" s="20"/>
      <c r="M350" s="21"/>
      <c r="N350" s="21"/>
      <c r="O350" s="20"/>
      <c r="P350" s="20"/>
      <c r="Q350" s="21"/>
    </row>
    <row r="351" spans="1:17" ht="14.25" customHeight="1" x14ac:dyDescent="0.25">
      <c r="A351" s="20"/>
      <c r="B351" s="20"/>
      <c r="C351" s="20"/>
      <c r="D351" s="21"/>
      <c r="E351" s="21"/>
      <c r="F351" s="21"/>
      <c r="G351" s="21"/>
      <c r="H351" s="21"/>
      <c r="I351" s="20"/>
      <c r="J351" s="20"/>
      <c r="K351" s="20"/>
      <c r="L351" s="20"/>
      <c r="M351" s="21"/>
      <c r="N351" s="21"/>
      <c r="O351" s="20"/>
      <c r="P351" s="20"/>
      <c r="Q351" s="21"/>
    </row>
    <row r="352" spans="1:17" ht="14.25" customHeight="1" x14ac:dyDescent="0.25">
      <c r="A352" s="20"/>
      <c r="B352" s="20"/>
      <c r="C352" s="20"/>
      <c r="D352" s="21"/>
      <c r="E352" s="21"/>
      <c r="F352" s="21"/>
      <c r="G352" s="21"/>
      <c r="H352" s="21"/>
      <c r="I352" s="20"/>
      <c r="J352" s="20"/>
      <c r="K352" s="20"/>
      <c r="L352" s="20"/>
      <c r="M352" s="21"/>
      <c r="N352" s="21"/>
      <c r="O352" s="20"/>
      <c r="P352" s="20"/>
      <c r="Q352" s="21"/>
    </row>
    <row r="353" spans="1:17" ht="14.25" customHeight="1" x14ac:dyDescent="0.25">
      <c r="A353" s="20"/>
      <c r="B353" s="20"/>
      <c r="C353" s="20"/>
      <c r="D353" s="21"/>
      <c r="E353" s="21"/>
      <c r="F353" s="21"/>
      <c r="G353" s="21"/>
      <c r="H353" s="21"/>
      <c r="I353" s="20"/>
      <c r="J353" s="20"/>
      <c r="K353" s="20"/>
      <c r="L353" s="20"/>
      <c r="M353" s="21"/>
      <c r="N353" s="21"/>
      <c r="O353" s="20"/>
      <c r="P353" s="20"/>
      <c r="Q353" s="21"/>
    </row>
    <row r="354" spans="1:17" ht="14.25" customHeight="1" x14ac:dyDescent="0.25">
      <c r="A354" s="20"/>
      <c r="B354" s="20"/>
      <c r="C354" s="20"/>
      <c r="D354" s="21"/>
      <c r="E354" s="21"/>
      <c r="F354" s="21"/>
      <c r="G354" s="21"/>
      <c r="H354" s="21"/>
      <c r="I354" s="20"/>
      <c r="J354" s="20"/>
      <c r="K354" s="20"/>
      <c r="L354" s="20"/>
      <c r="M354" s="21"/>
      <c r="N354" s="21"/>
      <c r="O354" s="20"/>
      <c r="P354" s="20"/>
      <c r="Q354" s="21"/>
    </row>
    <row r="355" spans="1:17" ht="14.25" customHeight="1" x14ac:dyDescent="0.25">
      <c r="A355" s="20"/>
      <c r="B355" s="20"/>
      <c r="C355" s="20"/>
      <c r="D355" s="21"/>
      <c r="E355" s="21"/>
      <c r="F355" s="21"/>
      <c r="G355" s="21"/>
      <c r="H355" s="21"/>
      <c r="I355" s="20"/>
      <c r="J355" s="20"/>
      <c r="K355" s="20"/>
      <c r="L355" s="20"/>
      <c r="M355" s="21"/>
      <c r="N355" s="21"/>
      <c r="O355" s="20"/>
      <c r="P355" s="20"/>
      <c r="Q355" s="21"/>
    </row>
    <row r="356" spans="1:17" ht="14.25" customHeight="1" x14ac:dyDescent="0.25">
      <c r="A356" s="20"/>
      <c r="B356" s="20"/>
      <c r="C356" s="20"/>
      <c r="D356" s="21"/>
      <c r="E356" s="21"/>
      <c r="F356" s="21"/>
      <c r="G356" s="21"/>
      <c r="H356" s="21"/>
      <c r="I356" s="20"/>
      <c r="J356" s="20"/>
      <c r="K356" s="20"/>
      <c r="L356" s="20"/>
      <c r="M356" s="21"/>
      <c r="N356" s="21"/>
      <c r="O356" s="20"/>
      <c r="P356" s="20"/>
      <c r="Q356" s="21"/>
    </row>
    <row r="357" spans="1:17" ht="14.25" customHeight="1" x14ac:dyDescent="0.25">
      <c r="A357" s="20"/>
      <c r="B357" s="20"/>
      <c r="C357" s="20"/>
      <c r="D357" s="21"/>
      <c r="E357" s="21"/>
      <c r="F357" s="21"/>
      <c r="G357" s="21"/>
      <c r="H357" s="21"/>
      <c r="I357" s="20"/>
      <c r="J357" s="20"/>
      <c r="K357" s="20"/>
      <c r="L357" s="20"/>
      <c r="M357" s="21"/>
      <c r="N357" s="21"/>
      <c r="O357" s="20"/>
      <c r="P357" s="20"/>
      <c r="Q357" s="21"/>
    </row>
    <row r="358" spans="1:17" ht="14.25" customHeight="1" x14ac:dyDescent="0.25">
      <c r="A358" s="20"/>
      <c r="B358" s="20"/>
      <c r="C358" s="20"/>
      <c r="D358" s="21"/>
      <c r="E358" s="21"/>
      <c r="F358" s="21"/>
      <c r="G358" s="21"/>
      <c r="H358" s="21"/>
      <c r="I358" s="20"/>
      <c r="J358" s="20"/>
      <c r="K358" s="20"/>
      <c r="L358" s="20"/>
      <c r="M358" s="21"/>
      <c r="N358" s="21"/>
      <c r="O358" s="20"/>
      <c r="P358" s="20"/>
      <c r="Q358" s="21"/>
    </row>
    <row r="359" spans="1:17" ht="14.25" customHeight="1" x14ac:dyDescent="0.25">
      <c r="A359" s="20"/>
      <c r="B359" s="20"/>
      <c r="C359" s="20"/>
      <c r="D359" s="21"/>
      <c r="E359" s="21"/>
      <c r="F359" s="21"/>
      <c r="G359" s="21"/>
      <c r="H359" s="21"/>
      <c r="I359" s="20"/>
      <c r="J359" s="20"/>
      <c r="K359" s="20"/>
      <c r="L359" s="20"/>
      <c r="M359" s="21"/>
      <c r="N359" s="21"/>
      <c r="O359" s="20"/>
      <c r="P359" s="20"/>
      <c r="Q359" s="21"/>
    </row>
    <row r="360" spans="1:17" ht="14.25" customHeight="1" x14ac:dyDescent="0.25">
      <c r="A360" s="20"/>
      <c r="B360" s="20"/>
      <c r="C360" s="20"/>
      <c r="D360" s="21"/>
      <c r="E360" s="21"/>
      <c r="F360" s="21"/>
      <c r="G360" s="21"/>
      <c r="H360" s="21"/>
      <c r="I360" s="20"/>
      <c r="J360" s="20"/>
      <c r="K360" s="20"/>
      <c r="L360" s="20"/>
      <c r="M360" s="21"/>
      <c r="N360" s="21"/>
      <c r="O360" s="20"/>
      <c r="P360" s="20"/>
      <c r="Q360" s="21"/>
    </row>
    <row r="361" spans="1:17" ht="14.25" customHeight="1" x14ac:dyDescent="0.25">
      <c r="A361" s="20"/>
      <c r="B361" s="20"/>
      <c r="C361" s="20"/>
      <c r="D361" s="21"/>
      <c r="E361" s="21"/>
      <c r="F361" s="21"/>
      <c r="G361" s="21"/>
      <c r="H361" s="21"/>
      <c r="I361" s="20"/>
      <c r="J361" s="20"/>
      <c r="K361" s="20"/>
      <c r="L361" s="20"/>
      <c r="M361" s="21"/>
      <c r="N361" s="21"/>
      <c r="O361" s="20"/>
      <c r="P361" s="20"/>
      <c r="Q361" s="21"/>
    </row>
    <row r="362" spans="1:17" ht="14.25" customHeight="1" x14ac:dyDescent="0.25">
      <c r="A362" s="20"/>
      <c r="B362" s="20"/>
      <c r="C362" s="20"/>
      <c r="D362" s="21"/>
      <c r="E362" s="21"/>
      <c r="F362" s="21"/>
      <c r="G362" s="21"/>
      <c r="H362" s="21"/>
      <c r="I362" s="20"/>
      <c r="J362" s="20"/>
      <c r="K362" s="20"/>
      <c r="L362" s="20"/>
      <c r="M362" s="21"/>
      <c r="N362" s="21"/>
      <c r="O362" s="20"/>
      <c r="P362" s="20"/>
      <c r="Q362" s="21"/>
    </row>
    <row r="363" spans="1:17" ht="14.25" customHeight="1" x14ac:dyDescent="0.25">
      <c r="A363" s="20"/>
      <c r="B363" s="20"/>
      <c r="C363" s="20"/>
      <c r="D363" s="21"/>
      <c r="E363" s="21"/>
      <c r="F363" s="21"/>
      <c r="G363" s="21"/>
      <c r="H363" s="21"/>
      <c r="I363" s="20"/>
      <c r="J363" s="20"/>
      <c r="K363" s="20"/>
      <c r="L363" s="20"/>
      <c r="M363" s="21"/>
      <c r="N363" s="21"/>
      <c r="O363" s="20"/>
      <c r="P363" s="20"/>
      <c r="Q363" s="21"/>
    </row>
    <row r="364" spans="1:17" ht="14.25" customHeight="1" x14ac:dyDescent="0.25">
      <c r="A364" s="20"/>
      <c r="B364" s="20"/>
      <c r="C364" s="20"/>
      <c r="D364" s="21"/>
      <c r="E364" s="21"/>
      <c r="F364" s="21"/>
      <c r="G364" s="21"/>
      <c r="H364" s="21"/>
      <c r="I364" s="20"/>
      <c r="J364" s="20"/>
      <c r="K364" s="20"/>
      <c r="L364" s="20"/>
      <c r="M364" s="21"/>
      <c r="N364" s="21"/>
      <c r="O364" s="20"/>
      <c r="P364" s="20"/>
      <c r="Q364" s="21"/>
    </row>
    <row r="365" spans="1:17" ht="14.25" customHeight="1" x14ac:dyDescent="0.25">
      <c r="A365" s="20"/>
      <c r="B365" s="20"/>
      <c r="C365" s="20"/>
      <c r="D365" s="21"/>
      <c r="E365" s="21"/>
      <c r="F365" s="21"/>
      <c r="G365" s="21"/>
      <c r="H365" s="21"/>
      <c r="I365" s="20"/>
      <c r="J365" s="20"/>
      <c r="K365" s="20"/>
      <c r="L365" s="20"/>
      <c r="M365" s="21"/>
      <c r="N365" s="21"/>
      <c r="O365" s="20"/>
      <c r="P365" s="20"/>
      <c r="Q365" s="21"/>
    </row>
    <row r="366" spans="1:17" ht="14.25" customHeight="1" x14ac:dyDescent="0.25">
      <c r="A366" s="20"/>
      <c r="B366" s="20"/>
      <c r="C366" s="20"/>
      <c r="D366" s="21"/>
      <c r="E366" s="21"/>
      <c r="F366" s="21"/>
      <c r="G366" s="21"/>
      <c r="H366" s="21"/>
      <c r="I366" s="20"/>
      <c r="J366" s="20"/>
      <c r="K366" s="20"/>
      <c r="L366" s="20"/>
      <c r="M366" s="21"/>
      <c r="N366" s="21"/>
      <c r="O366" s="20"/>
      <c r="P366" s="20"/>
      <c r="Q366" s="21"/>
    </row>
    <row r="367" spans="1:17" ht="14.25" customHeight="1" x14ac:dyDescent="0.25">
      <c r="A367" s="20"/>
      <c r="B367" s="20"/>
      <c r="C367" s="20"/>
      <c r="D367" s="21"/>
      <c r="E367" s="21"/>
      <c r="F367" s="21"/>
      <c r="G367" s="21"/>
      <c r="H367" s="21"/>
      <c r="I367" s="20"/>
      <c r="J367" s="20"/>
      <c r="K367" s="20"/>
      <c r="L367" s="20"/>
      <c r="M367" s="21"/>
      <c r="N367" s="21"/>
      <c r="O367" s="20"/>
      <c r="P367" s="20"/>
      <c r="Q367" s="21"/>
    </row>
    <row r="368" spans="1:17" ht="14.25" customHeight="1" x14ac:dyDescent="0.25">
      <c r="A368" s="20"/>
      <c r="B368" s="20"/>
      <c r="C368" s="20"/>
      <c r="D368" s="21"/>
      <c r="E368" s="21"/>
      <c r="F368" s="21"/>
      <c r="G368" s="21"/>
      <c r="H368" s="21"/>
      <c r="I368" s="20"/>
      <c r="J368" s="20"/>
      <c r="K368" s="20"/>
      <c r="L368" s="20"/>
      <c r="M368" s="21"/>
      <c r="N368" s="21"/>
      <c r="O368" s="20"/>
      <c r="P368" s="20"/>
      <c r="Q368" s="21"/>
    </row>
    <row r="369" spans="1:17" ht="14.25" customHeight="1" x14ac:dyDescent="0.25">
      <c r="A369" s="20"/>
      <c r="B369" s="20"/>
      <c r="C369" s="20"/>
      <c r="D369" s="21"/>
      <c r="E369" s="21"/>
      <c r="F369" s="21"/>
      <c r="G369" s="21"/>
      <c r="H369" s="21"/>
      <c r="I369" s="20"/>
      <c r="J369" s="20"/>
      <c r="K369" s="20"/>
      <c r="L369" s="20"/>
      <c r="M369" s="21"/>
      <c r="N369" s="21"/>
      <c r="O369" s="20"/>
      <c r="P369" s="20"/>
      <c r="Q369" s="21"/>
    </row>
    <row r="370" spans="1:17" ht="14.25" customHeight="1" x14ac:dyDescent="0.25">
      <c r="A370" s="20"/>
      <c r="B370" s="20"/>
      <c r="C370" s="20"/>
      <c r="D370" s="21"/>
      <c r="E370" s="21"/>
      <c r="F370" s="21"/>
      <c r="G370" s="21"/>
      <c r="H370" s="21"/>
      <c r="I370" s="20"/>
      <c r="J370" s="20"/>
      <c r="K370" s="20"/>
      <c r="L370" s="20"/>
      <c r="M370" s="21"/>
      <c r="N370" s="21"/>
      <c r="O370" s="20"/>
      <c r="P370" s="20"/>
      <c r="Q370" s="21"/>
    </row>
    <row r="371" spans="1:17" ht="14.25" customHeight="1" x14ac:dyDescent="0.25">
      <c r="A371" s="20"/>
      <c r="B371" s="20"/>
      <c r="C371" s="20"/>
      <c r="D371" s="21"/>
      <c r="E371" s="21"/>
      <c r="F371" s="21"/>
      <c r="G371" s="21"/>
      <c r="H371" s="21"/>
      <c r="I371" s="20"/>
      <c r="J371" s="20"/>
      <c r="K371" s="20"/>
      <c r="L371" s="20"/>
      <c r="M371" s="21"/>
      <c r="N371" s="21"/>
      <c r="O371" s="20"/>
      <c r="P371" s="20"/>
      <c r="Q371" s="21"/>
    </row>
    <row r="372" spans="1:17" ht="14.25" customHeight="1" x14ac:dyDescent="0.25">
      <c r="A372" s="20"/>
      <c r="B372" s="20"/>
      <c r="C372" s="20"/>
      <c r="D372" s="21"/>
      <c r="E372" s="21"/>
      <c r="F372" s="21"/>
      <c r="G372" s="21"/>
      <c r="H372" s="21"/>
      <c r="I372" s="20"/>
      <c r="J372" s="20"/>
      <c r="K372" s="20"/>
      <c r="L372" s="20"/>
      <c r="M372" s="21"/>
      <c r="N372" s="21"/>
      <c r="O372" s="20"/>
      <c r="P372" s="20"/>
      <c r="Q372" s="21"/>
    </row>
    <row r="373" spans="1:17" ht="14.25" customHeight="1" x14ac:dyDescent="0.25">
      <c r="A373" s="20"/>
      <c r="B373" s="20"/>
      <c r="C373" s="20"/>
      <c r="D373" s="21"/>
      <c r="E373" s="21"/>
      <c r="F373" s="21"/>
      <c r="G373" s="21"/>
      <c r="H373" s="21"/>
      <c r="I373" s="20"/>
      <c r="J373" s="20"/>
      <c r="K373" s="20"/>
      <c r="L373" s="20"/>
      <c r="M373" s="21"/>
      <c r="N373" s="21"/>
      <c r="O373" s="20"/>
      <c r="P373" s="20"/>
      <c r="Q373" s="21"/>
    </row>
    <row r="374" spans="1:17" ht="14.25" customHeight="1" x14ac:dyDescent="0.25">
      <c r="A374" s="20"/>
      <c r="B374" s="20"/>
      <c r="C374" s="20"/>
      <c r="D374" s="21"/>
      <c r="E374" s="21"/>
      <c r="F374" s="21"/>
      <c r="G374" s="21"/>
      <c r="H374" s="21"/>
      <c r="I374" s="20"/>
      <c r="J374" s="20"/>
      <c r="K374" s="20"/>
      <c r="L374" s="20"/>
      <c r="M374" s="21"/>
      <c r="N374" s="21"/>
      <c r="O374" s="20"/>
      <c r="P374" s="20"/>
      <c r="Q374" s="21"/>
    </row>
    <row r="375" spans="1:17" ht="14.25" customHeight="1" x14ac:dyDescent="0.25">
      <c r="A375" s="20"/>
      <c r="B375" s="20"/>
      <c r="C375" s="20"/>
      <c r="D375" s="21"/>
      <c r="E375" s="21"/>
      <c r="F375" s="21"/>
      <c r="G375" s="21"/>
      <c r="H375" s="21"/>
      <c r="I375" s="20"/>
      <c r="J375" s="20"/>
      <c r="K375" s="20"/>
      <c r="L375" s="20"/>
      <c r="M375" s="21"/>
      <c r="N375" s="21"/>
      <c r="O375" s="20"/>
      <c r="P375" s="20"/>
      <c r="Q375" s="21"/>
    </row>
    <row r="376" spans="1:17" ht="14.25" customHeight="1" x14ac:dyDescent="0.25">
      <c r="A376" s="20"/>
      <c r="B376" s="20"/>
      <c r="C376" s="20"/>
      <c r="D376" s="21"/>
      <c r="E376" s="21"/>
      <c r="F376" s="21"/>
      <c r="G376" s="21"/>
      <c r="H376" s="21"/>
      <c r="I376" s="20"/>
      <c r="J376" s="20"/>
      <c r="K376" s="20"/>
      <c r="L376" s="20"/>
      <c r="M376" s="21"/>
      <c r="N376" s="21"/>
      <c r="O376" s="20"/>
      <c r="P376" s="20"/>
      <c r="Q376" s="21"/>
    </row>
    <row r="377" spans="1:17" ht="14.25" customHeight="1" x14ac:dyDescent="0.25">
      <c r="A377" s="20"/>
      <c r="B377" s="20"/>
      <c r="C377" s="20"/>
      <c r="D377" s="21"/>
      <c r="E377" s="21"/>
      <c r="F377" s="21"/>
      <c r="G377" s="21"/>
      <c r="H377" s="21"/>
      <c r="I377" s="20"/>
      <c r="J377" s="20"/>
      <c r="K377" s="20"/>
      <c r="L377" s="20"/>
      <c r="M377" s="21"/>
      <c r="N377" s="21"/>
      <c r="O377" s="20"/>
      <c r="P377" s="20"/>
      <c r="Q377" s="21"/>
    </row>
    <row r="378" spans="1:17" ht="14.25" customHeight="1" x14ac:dyDescent="0.25">
      <c r="A378" s="20"/>
      <c r="B378" s="20"/>
      <c r="C378" s="20"/>
      <c r="D378" s="21"/>
      <c r="E378" s="21"/>
      <c r="F378" s="21"/>
      <c r="G378" s="21"/>
      <c r="H378" s="21"/>
      <c r="I378" s="20"/>
      <c r="J378" s="20"/>
      <c r="K378" s="20"/>
      <c r="L378" s="20"/>
      <c r="M378" s="21"/>
      <c r="N378" s="21"/>
      <c r="O378" s="20"/>
      <c r="P378" s="20"/>
      <c r="Q378" s="21"/>
    </row>
    <row r="379" spans="1:17" ht="14.25" customHeight="1" x14ac:dyDescent="0.25">
      <c r="A379" s="20"/>
      <c r="B379" s="20"/>
      <c r="C379" s="20"/>
      <c r="D379" s="21"/>
      <c r="E379" s="21"/>
      <c r="F379" s="21"/>
      <c r="G379" s="21"/>
      <c r="H379" s="21"/>
      <c r="I379" s="20"/>
      <c r="J379" s="20"/>
      <c r="K379" s="20"/>
      <c r="L379" s="20"/>
      <c r="M379" s="21"/>
      <c r="N379" s="21"/>
      <c r="O379" s="20"/>
      <c r="P379" s="20"/>
      <c r="Q379" s="21"/>
    </row>
    <row r="380" spans="1:17" ht="14.25" customHeight="1" x14ac:dyDescent="0.25">
      <c r="A380" s="20"/>
      <c r="B380" s="20"/>
      <c r="C380" s="20"/>
      <c r="D380" s="21"/>
      <c r="E380" s="21"/>
      <c r="F380" s="21"/>
      <c r="G380" s="21"/>
      <c r="H380" s="21"/>
      <c r="I380" s="20"/>
      <c r="J380" s="20"/>
      <c r="K380" s="20"/>
      <c r="L380" s="20"/>
      <c r="M380" s="21"/>
      <c r="N380" s="21"/>
      <c r="O380" s="20"/>
      <c r="P380" s="20"/>
      <c r="Q380" s="21"/>
    </row>
    <row r="381" spans="1:17" ht="14.25" customHeight="1" x14ac:dyDescent="0.25">
      <c r="A381" s="20"/>
      <c r="B381" s="20"/>
      <c r="C381" s="20"/>
      <c r="D381" s="21"/>
      <c r="E381" s="21"/>
      <c r="F381" s="21"/>
      <c r="G381" s="21"/>
      <c r="H381" s="21"/>
      <c r="I381" s="20"/>
      <c r="J381" s="20"/>
      <c r="K381" s="20"/>
      <c r="L381" s="20"/>
      <c r="M381" s="21"/>
      <c r="N381" s="21"/>
      <c r="O381" s="20"/>
      <c r="P381" s="20"/>
      <c r="Q381" s="21"/>
    </row>
    <row r="382" spans="1:17" ht="14.25" customHeight="1" x14ac:dyDescent="0.25">
      <c r="A382" s="20"/>
      <c r="B382" s="20"/>
      <c r="C382" s="20"/>
      <c r="D382" s="21"/>
      <c r="E382" s="21"/>
      <c r="F382" s="21"/>
      <c r="G382" s="21"/>
      <c r="H382" s="21"/>
      <c r="I382" s="20"/>
      <c r="J382" s="20"/>
      <c r="K382" s="20"/>
      <c r="L382" s="20"/>
      <c r="M382" s="21"/>
      <c r="N382" s="21"/>
      <c r="O382" s="20"/>
      <c r="P382" s="20"/>
      <c r="Q382" s="21"/>
    </row>
    <row r="383" spans="1:17" ht="14.25" customHeight="1" x14ac:dyDescent="0.25">
      <c r="A383" s="20"/>
      <c r="B383" s="20"/>
      <c r="C383" s="20"/>
      <c r="D383" s="21"/>
      <c r="E383" s="21"/>
      <c r="F383" s="21"/>
      <c r="G383" s="21"/>
      <c r="H383" s="21"/>
      <c r="I383" s="20"/>
      <c r="J383" s="20"/>
      <c r="K383" s="20"/>
      <c r="L383" s="20"/>
      <c r="M383" s="21"/>
      <c r="N383" s="21"/>
      <c r="O383" s="20"/>
      <c r="P383" s="20"/>
      <c r="Q383" s="21"/>
    </row>
    <row r="384" spans="1:17" ht="14.25" customHeight="1" x14ac:dyDescent="0.25">
      <c r="A384" s="20"/>
      <c r="B384" s="20"/>
      <c r="C384" s="20"/>
      <c r="D384" s="21"/>
      <c r="E384" s="21"/>
      <c r="F384" s="21"/>
      <c r="G384" s="21"/>
      <c r="H384" s="21"/>
      <c r="I384" s="20"/>
      <c r="J384" s="20"/>
      <c r="K384" s="20"/>
      <c r="L384" s="20"/>
      <c r="M384" s="21"/>
      <c r="N384" s="21"/>
      <c r="O384" s="20"/>
      <c r="P384" s="20"/>
      <c r="Q384" s="21"/>
    </row>
    <row r="385" spans="1:17" ht="14.25" customHeight="1" x14ac:dyDescent="0.25">
      <c r="A385" s="20"/>
      <c r="B385" s="20"/>
      <c r="C385" s="20"/>
      <c r="D385" s="21"/>
      <c r="E385" s="21"/>
      <c r="F385" s="21"/>
      <c r="G385" s="21"/>
      <c r="H385" s="21"/>
      <c r="I385" s="20"/>
      <c r="J385" s="20"/>
      <c r="K385" s="20"/>
      <c r="L385" s="20"/>
      <c r="M385" s="21"/>
      <c r="N385" s="21"/>
      <c r="O385" s="20"/>
      <c r="P385" s="20"/>
      <c r="Q385" s="21"/>
    </row>
    <row r="386" spans="1:17" ht="14.25" customHeight="1" x14ac:dyDescent="0.25">
      <c r="A386" s="20"/>
      <c r="B386" s="20"/>
      <c r="C386" s="20"/>
      <c r="D386" s="21"/>
      <c r="E386" s="21"/>
      <c r="F386" s="21"/>
      <c r="G386" s="21"/>
      <c r="H386" s="21"/>
      <c r="I386" s="20"/>
      <c r="J386" s="20"/>
      <c r="K386" s="20"/>
      <c r="L386" s="20"/>
      <c r="M386" s="21"/>
      <c r="N386" s="21"/>
      <c r="O386" s="20"/>
      <c r="P386" s="20"/>
      <c r="Q386" s="21"/>
    </row>
    <row r="387" spans="1:17" ht="14.25" customHeight="1" x14ac:dyDescent="0.25">
      <c r="A387" s="20"/>
      <c r="B387" s="20"/>
      <c r="C387" s="20"/>
      <c r="D387" s="21"/>
      <c r="E387" s="21"/>
      <c r="F387" s="21"/>
      <c r="G387" s="21"/>
      <c r="H387" s="21"/>
      <c r="I387" s="20"/>
      <c r="J387" s="20"/>
      <c r="K387" s="20"/>
      <c r="L387" s="20"/>
      <c r="M387" s="21"/>
      <c r="N387" s="21"/>
      <c r="O387" s="20"/>
      <c r="P387" s="20"/>
      <c r="Q387" s="21"/>
    </row>
    <row r="388" spans="1:17" ht="14.25" customHeight="1" x14ac:dyDescent="0.25">
      <c r="A388" s="20"/>
      <c r="B388" s="20"/>
      <c r="C388" s="20"/>
      <c r="D388" s="21"/>
      <c r="E388" s="21"/>
      <c r="F388" s="21"/>
      <c r="G388" s="21"/>
      <c r="H388" s="21"/>
      <c r="I388" s="20"/>
      <c r="J388" s="20"/>
      <c r="K388" s="20"/>
      <c r="L388" s="20"/>
      <c r="M388" s="21"/>
      <c r="N388" s="21"/>
      <c r="O388" s="20"/>
      <c r="P388" s="20"/>
      <c r="Q388" s="21"/>
    </row>
    <row r="389" spans="1:17" ht="14.25" customHeight="1" x14ac:dyDescent="0.25">
      <c r="A389" s="20"/>
      <c r="B389" s="20"/>
      <c r="C389" s="20"/>
      <c r="D389" s="21"/>
      <c r="E389" s="21"/>
      <c r="F389" s="21"/>
      <c r="G389" s="21"/>
      <c r="H389" s="21"/>
      <c r="I389" s="20"/>
      <c r="J389" s="20"/>
      <c r="K389" s="20"/>
      <c r="L389" s="20"/>
      <c r="M389" s="21"/>
      <c r="N389" s="21"/>
      <c r="O389" s="20"/>
      <c r="P389" s="20"/>
      <c r="Q389" s="21"/>
    </row>
    <row r="390" spans="1:17" ht="14.25" customHeight="1" x14ac:dyDescent="0.25">
      <c r="A390" s="20"/>
      <c r="B390" s="20"/>
      <c r="C390" s="20"/>
      <c r="D390" s="21"/>
      <c r="E390" s="21"/>
      <c r="F390" s="21"/>
      <c r="G390" s="21"/>
      <c r="H390" s="21"/>
      <c r="I390" s="20"/>
      <c r="J390" s="20"/>
      <c r="K390" s="20"/>
      <c r="L390" s="20"/>
      <c r="M390" s="21"/>
      <c r="N390" s="21"/>
      <c r="O390" s="20"/>
      <c r="P390" s="20"/>
      <c r="Q390" s="21"/>
    </row>
    <row r="391" spans="1:17" ht="14.25" customHeight="1" x14ac:dyDescent="0.25">
      <c r="A391" s="20"/>
      <c r="B391" s="20"/>
      <c r="C391" s="20"/>
      <c r="D391" s="21"/>
      <c r="E391" s="21"/>
      <c r="F391" s="21"/>
      <c r="G391" s="21"/>
      <c r="H391" s="21"/>
      <c r="I391" s="20"/>
      <c r="J391" s="20"/>
      <c r="K391" s="20"/>
      <c r="L391" s="20"/>
      <c r="M391" s="21"/>
      <c r="N391" s="21"/>
      <c r="O391" s="20"/>
      <c r="P391" s="20"/>
      <c r="Q391" s="21"/>
    </row>
    <row r="392" spans="1:17" ht="14.25" customHeight="1" x14ac:dyDescent="0.25">
      <c r="A392" s="20"/>
      <c r="B392" s="20"/>
      <c r="C392" s="20"/>
      <c r="D392" s="21"/>
      <c r="E392" s="21"/>
      <c r="F392" s="21"/>
      <c r="G392" s="21"/>
      <c r="H392" s="21"/>
      <c r="I392" s="20"/>
      <c r="J392" s="20"/>
      <c r="K392" s="20"/>
      <c r="L392" s="20"/>
      <c r="M392" s="21"/>
      <c r="N392" s="21"/>
      <c r="O392" s="20"/>
      <c r="P392" s="20"/>
      <c r="Q392" s="21"/>
    </row>
    <row r="393" spans="1:17" ht="14.25" customHeight="1" x14ac:dyDescent="0.25">
      <c r="A393" s="20"/>
      <c r="B393" s="20"/>
      <c r="C393" s="20"/>
      <c r="D393" s="21"/>
      <c r="E393" s="21"/>
      <c r="F393" s="21"/>
      <c r="G393" s="21"/>
      <c r="H393" s="21"/>
      <c r="I393" s="20"/>
      <c r="J393" s="20"/>
      <c r="K393" s="20"/>
      <c r="L393" s="20"/>
      <c r="M393" s="21"/>
      <c r="N393" s="21"/>
      <c r="O393" s="20"/>
      <c r="P393" s="20"/>
      <c r="Q393" s="21"/>
    </row>
    <row r="394" spans="1:17" ht="14.25" customHeight="1" x14ac:dyDescent="0.25">
      <c r="A394" s="20"/>
      <c r="B394" s="20"/>
      <c r="C394" s="20"/>
      <c r="D394" s="21"/>
      <c r="E394" s="21"/>
      <c r="F394" s="21"/>
      <c r="G394" s="21"/>
      <c r="H394" s="21"/>
      <c r="I394" s="20"/>
      <c r="J394" s="20"/>
      <c r="K394" s="20"/>
      <c r="L394" s="20"/>
      <c r="M394" s="21"/>
      <c r="N394" s="21"/>
      <c r="O394" s="20"/>
      <c r="P394" s="20"/>
      <c r="Q394" s="21"/>
    </row>
    <row r="395" spans="1:17" ht="14.25" customHeight="1" x14ac:dyDescent="0.25">
      <c r="A395" s="20"/>
      <c r="B395" s="20"/>
      <c r="C395" s="20"/>
      <c r="D395" s="21"/>
      <c r="E395" s="21"/>
      <c r="F395" s="21"/>
      <c r="G395" s="21"/>
      <c r="H395" s="21"/>
      <c r="I395" s="20"/>
      <c r="J395" s="20"/>
      <c r="K395" s="20"/>
      <c r="L395" s="20"/>
      <c r="M395" s="21"/>
      <c r="N395" s="21"/>
      <c r="O395" s="20"/>
      <c r="P395" s="20"/>
      <c r="Q395" s="21"/>
    </row>
    <row r="396" spans="1:17" ht="14.25" customHeight="1" x14ac:dyDescent="0.25">
      <c r="A396" s="20"/>
      <c r="B396" s="20"/>
      <c r="C396" s="20"/>
      <c r="D396" s="21"/>
      <c r="E396" s="21"/>
      <c r="F396" s="21"/>
      <c r="G396" s="21"/>
      <c r="H396" s="21"/>
      <c r="I396" s="20"/>
      <c r="J396" s="20"/>
      <c r="K396" s="20"/>
      <c r="L396" s="20"/>
      <c r="M396" s="21"/>
      <c r="N396" s="21"/>
      <c r="O396" s="20"/>
      <c r="P396" s="20"/>
      <c r="Q396" s="21"/>
    </row>
    <row r="397" spans="1:17" ht="14.25" customHeight="1" x14ac:dyDescent="0.25">
      <c r="A397" s="20"/>
      <c r="B397" s="20"/>
      <c r="C397" s="20"/>
      <c r="D397" s="21"/>
      <c r="E397" s="21"/>
      <c r="F397" s="21"/>
      <c r="G397" s="21"/>
      <c r="H397" s="21"/>
      <c r="I397" s="20"/>
      <c r="J397" s="20"/>
      <c r="K397" s="20"/>
      <c r="L397" s="20"/>
      <c r="M397" s="21"/>
      <c r="N397" s="21"/>
      <c r="O397" s="20"/>
      <c r="P397" s="20"/>
      <c r="Q397" s="21"/>
    </row>
    <row r="398" spans="1:17" ht="14.25" customHeight="1" x14ac:dyDescent="0.25">
      <c r="A398" s="20"/>
      <c r="B398" s="20"/>
      <c r="C398" s="20"/>
      <c r="D398" s="21"/>
      <c r="E398" s="21"/>
      <c r="F398" s="21"/>
      <c r="G398" s="21"/>
      <c r="H398" s="21"/>
      <c r="I398" s="20"/>
      <c r="J398" s="20"/>
      <c r="K398" s="20"/>
      <c r="L398" s="20"/>
      <c r="M398" s="21"/>
      <c r="N398" s="21"/>
      <c r="O398" s="20"/>
      <c r="P398" s="20"/>
      <c r="Q398" s="21"/>
    </row>
    <row r="399" spans="1:17" ht="14.25" customHeight="1" x14ac:dyDescent="0.25">
      <c r="A399" s="20"/>
      <c r="B399" s="20"/>
      <c r="C399" s="20"/>
      <c r="D399" s="21"/>
      <c r="E399" s="21"/>
      <c r="F399" s="21"/>
      <c r="G399" s="21"/>
      <c r="H399" s="21"/>
      <c r="I399" s="20"/>
      <c r="J399" s="20"/>
      <c r="K399" s="20"/>
      <c r="L399" s="20"/>
      <c r="M399" s="21"/>
      <c r="N399" s="21"/>
      <c r="O399" s="20"/>
      <c r="P399" s="20"/>
      <c r="Q399" s="21"/>
    </row>
    <row r="400" spans="1:17" ht="14.25" customHeight="1" x14ac:dyDescent="0.25">
      <c r="A400" s="20"/>
      <c r="B400" s="20"/>
      <c r="C400" s="20"/>
      <c r="D400" s="21"/>
      <c r="E400" s="21"/>
      <c r="F400" s="21"/>
      <c r="G400" s="21"/>
      <c r="H400" s="21"/>
      <c r="I400" s="20"/>
      <c r="J400" s="20"/>
      <c r="K400" s="20"/>
      <c r="L400" s="20"/>
      <c r="M400" s="21"/>
      <c r="N400" s="21"/>
      <c r="O400" s="20"/>
      <c r="P400" s="20"/>
      <c r="Q400" s="21"/>
    </row>
    <row r="401" spans="1:17" ht="14.25" customHeight="1" x14ac:dyDescent="0.25">
      <c r="A401" s="20"/>
      <c r="B401" s="20"/>
      <c r="C401" s="20"/>
      <c r="D401" s="21"/>
      <c r="E401" s="21"/>
      <c r="F401" s="21"/>
      <c r="G401" s="21"/>
      <c r="H401" s="21"/>
      <c r="I401" s="20"/>
      <c r="J401" s="20"/>
      <c r="K401" s="20"/>
      <c r="L401" s="20"/>
      <c r="M401" s="21"/>
      <c r="N401" s="21"/>
      <c r="O401" s="20"/>
      <c r="P401" s="20"/>
      <c r="Q401" s="21"/>
    </row>
    <row r="402" spans="1:17" ht="14.25" customHeight="1" x14ac:dyDescent="0.25">
      <c r="A402" s="20"/>
      <c r="B402" s="20"/>
      <c r="C402" s="20"/>
      <c r="D402" s="21"/>
      <c r="E402" s="21"/>
      <c r="F402" s="21"/>
      <c r="G402" s="21"/>
      <c r="H402" s="21"/>
      <c r="I402" s="20"/>
      <c r="J402" s="20"/>
      <c r="K402" s="20"/>
      <c r="L402" s="20"/>
      <c r="M402" s="21"/>
      <c r="N402" s="21"/>
      <c r="O402" s="20"/>
      <c r="P402" s="20"/>
      <c r="Q402" s="21"/>
    </row>
    <row r="403" spans="1:17" ht="14.25" customHeight="1" x14ac:dyDescent="0.25">
      <c r="A403" s="20"/>
      <c r="B403" s="20"/>
      <c r="C403" s="20"/>
      <c r="D403" s="21"/>
      <c r="E403" s="21"/>
      <c r="F403" s="21"/>
      <c r="G403" s="21"/>
      <c r="H403" s="21"/>
      <c r="I403" s="20"/>
      <c r="J403" s="20"/>
      <c r="K403" s="20"/>
      <c r="L403" s="20"/>
      <c r="M403" s="21"/>
      <c r="N403" s="21"/>
      <c r="O403" s="20"/>
      <c r="P403" s="20"/>
      <c r="Q403" s="21"/>
    </row>
    <row r="404" spans="1:17" ht="14.25" customHeight="1" x14ac:dyDescent="0.25">
      <c r="A404" s="20"/>
      <c r="B404" s="20"/>
      <c r="C404" s="20"/>
      <c r="D404" s="21"/>
      <c r="E404" s="21"/>
      <c r="F404" s="21"/>
      <c r="G404" s="21"/>
      <c r="H404" s="21"/>
      <c r="I404" s="20"/>
      <c r="J404" s="20"/>
      <c r="K404" s="20"/>
      <c r="L404" s="20"/>
      <c r="M404" s="21"/>
      <c r="N404" s="21"/>
      <c r="O404" s="20"/>
      <c r="P404" s="20"/>
      <c r="Q404" s="21"/>
    </row>
    <row r="405" spans="1:17" ht="14.25" customHeight="1" x14ac:dyDescent="0.25">
      <c r="A405" s="20"/>
      <c r="B405" s="20"/>
      <c r="C405" s="20"/>
      <c r="D405" s="21"/>
      <c r="E405" s="21"/>
      <c r="F405" s="21"/>
      <c r="G405" s="21"/>
      <c r="H405" s="21"/>
      <c r="I405" s="20"/>
      <c r="J405" s="20"/>
      <c r="K405" s="20"/>
      <c r="L405" s="20"/>
      <c r="M405" s="21"/>
      <c r="N405" s="21"/>
      <c r="O405" s="20"/>
      <c r="P405" s="20"/>
      <c r="Q405" s="21"/>
    </row>
    <row r="406" spans="1:17" ht="14.25" customHeight="1" x14ac:dyDescent="0.25">
      <c r="A406" s="20"/>
      <c r="B406" s="20"/>
      <c r="C406" s="20"/>
      <c r="D406" s="21"/>
      <c r="E406" s="21"/>
      <c r="F406" s="21"/>
      <c r="G406" s="21"/>
      <c r="H406" s="21"/>
      <c r="I406" s="20"/>
      <c r="J406" s="20"/>
      <c r="K406" s="20"/>
      <c r="L406" s="20"/>
      <c r="M406" s="21"/>
      <c r="N406" s="21"/>
      <c r="O406" s="20"/>
      <c r="P406" s="20"/>
      <c r="Q406" s="21"/>
    </row>
    <row r="407" spans="1:17" ht="14.25" customHeight="1" x14ac:dyDescent="0.25">
      <c r="A407" s="20"/>
      <c r="B407" s="20"/>
      <c r="C407" s="20"/>
      <c r="D407" s="21"/>
      <c r="E407" s="21"/>
      <c r="F407" s="21"/>
      <c r="G407" s="21"/>
      <c r="H407" s="21"/>
      <c r="I407" s="20"/>
      <c r="J407" s="20"/>
      <c r="K407" s="20"/>
      <c r="L407" s="20"/>
      <c r="M407" s="21"/>
      <c r="N407" s="21"/>
      <c r="O407" s="20"/>
      <c r="P407" s="20"/>
      <c r="Q407" s="21"/>
    </row>
    <row r="408" spans="1:17" ht="14.25" customHeight="1" x14ac:dyDescent="0.25">
      <c r="A408" s="20"/>
      <c r="B408" s="20"/>
      <c r="C408" s="20"/>
      <c r="D408" s="21"/>
      <c r="E408" s="21"/>
      <c r="F408" s="21"/>
      <c r="G408" s="21"/>
      <c r="H408" s="21"/>
      <c r="I408" s="20"/>
      <c r="J408" s="20"/>
      <c r="K408" s="20"/>
      <c r="L408" s="20"/>
      <c r="M408" s="21"/>
      <c r="N408" s="21"/>
      <c r="O408" s="20"/>
      <c r="P408" s="20"/>
      <c r="Q408" s="21"/>
    </row>
    <row r="409" spans="1:17" ht="14.25" customHeight="1" x14ac:dyDescent="0.25">
      <c r="A409" s="20"/>
      <c r="B409" s="20"/>
      <c r="C409" s="20"/>
      <c r="D409" s="21"/>
      <c r="E409" s="21"/>
      <c r="F409" s="21"/>
      <c r="G409" s="21"/>
      <c r="H409" s="21"/>
      <c r="I409" s="20"/>
      <c r="J409" s="20"/>
      <c r="K409" s="20"/>
      <c r="L409" s="20"/>
      <c r="M409" s="21"/>
      <c r="N409" s="21"/>
      <c r="O409" s="20"/>
      <c r="P409" s="20"/>
      <c r="Q409" s="21"/>
    </row>
    <row r="410" spans="1:17" ht="14.25" customHeight="1" x14ac:dyDescent="0.25">
      <c r="A410" s="20"/>
      <c r="B410" s="20"/>
      <c r="C410" s="20"/>
      <c r="D410" s="21"/>
      <c r="E410" s="21"/>
      <c r="F410" s="21"/>
      <c r="G410" s="21"/>
      <c r="H410" s="21"/>
      <c r="I410" s="20"/>
      <c r="J410" s="20"/>
      <c r="K410" s="20"/>
      <c r="L410" s="20"/>
      <c r="M410" s="21"/>
      <c r="N410" s="21"/>
      <c r="O410" s="20"/>
      <c r="P410" s="20"/>
      <c r="Q410" s="21"/>
    </row>
    <row r="411" spans="1:17" ht="14.25" customHeight="1" x14ac:dyDescent="0.25">
      <c r="A411" s="20"/>
      <c r="B411" s="20"/>
      <c r="C411" s="20"/>
      <c r="D411" s="21"/>
      <c r="E411" s="21"/>
      <c r="F411" s="21"/>
      <c r="G411" s="21"/>
      <c r="H411" s="21"/>
      <c r="I411" s="20"/>
      <c r="J411" s="20"/>
      <c r="K411" s="20"/>
      <c r="L411" s="20"/>
      <c r="M411" s="21"/>
      <c r="N411" s="21"/>
      <c r="O411" s="20"/>
      <c r="P411" s="20"/>
      <c r="Q411" s="21"/>
    </row>
    <row r="412" spans="1:17" ht="14.25" customHeight="1" x14ac:dyDescent="0.25">
      <c r="A412" s="20"/>
      <c r="B412" s="20"/>
      <c r="C412" s="20"/>
      <c r="D412" s="21"/>
      <c r="E412" s="21"/>
      <c r="F412" s="21"/>
      <c r="G412" s="21"/>
      <c r="H412" s="21"/>
      <c r="I412" s="20"/>
      <c r="J412" s="20"/>
      <c r="K412" s="20"/>
      <c r="L412" s="20"/>
      <c r="M412" s="21"/>
      <c r="N412" s="21"/>
      <c r="O412" s="20"/>
      <c r="P412" s="20"/>
      <c r="Q412" s="21"/>
    </row>
    <row r="413" spans="1:17" ht="14.25" customHeight="1" x14ac:dyDescent="0.25">
      <c r="A413" s="20"/>
      <c r="B413" s="20"/>
      <c r="C413" s="20"/>
      <c r="D413" s="21"/>
      <c r="E413" s="21"/>
      <c r="F413" s="21"/>
      <c r="G413" s="21"/>
      <c r="H413" s="21"/>
      <c r="I413" s="20"/>
      <c r="J413" s="20"/>
      <c r="K413" s="20"/>
      <c r="L413" s="20"/>
      <c r="M413" s="21"/>
      <c r="N413" s="21"/>
      <c r="O413" s="20"/>
      <c r="P413" s="20"/>
      <c r="Q413" s="21"/>
    </row>
    <row r="414" spans="1:17" ht="14.25" customHeight="1" x14ac:dyDescent="0.25">
      <c r="A414" s="20"/>
      <c r="B414" s="20"/>
      <c r="C414" s="20"/>
      <c r="D414" s="21"/>
      <c r="E414" s="21"/>
      <c r="F414" s="21"/>
      <c r="G414" s="21"/>
      <c r="H414" s="21"/>
      <c r="I414" s="20"/>
      <c r="J414" s="20"/>
      <c r="K414" s="20"/>
      <c r="L414" s="20"/>
      <c r="M414" s="21"/>
      <c r="N414" s="21"/>
      <c r="O414" s="20"/>
      <c r="P414" s="20"/>
      <c r="Q414" s="21"/>
    </row>
    <row r="415" spans="1:17" ht="14.25" customHeight="1" x14ac:dyDescent="0.25">
      <c r="A415" s="20"/>
      <c r="B415" s="20"/>
      <c r="C415" s="20"/>
      <c r="D415" s="21"/>
      <c r="E415" s="21"/>
      <c r="F415" s="21"/>
      <c r="G415" s="21"/>
      <c r="H415" s="21"/>
      <c r="I415" s="20"/>
      <c r="J415" s="20"/>
      <c r="K415" s="20"/>
      <c r="L415" s="20"/>
      <c r="M415" s="21"/>
      <c r="N415" s="21"/>
      <c r="O415" s="20"/>
      <c r="P415" s="20"/>
      <c r="Q415" s="21"/>
    </row>
    <row r="416" spans="1:17" ht="14.25" customHeight="1" x14ac:dyDescent="0.25">
      <c r="A416" s="20"/>
      <c r="B416" s="20"/>
      <c r="C416" s="20"/>
      <c r="D416" s="21"/>
      <c r="E416" s="21"/>
      <c r="F416" s="21"/>
      <c r="G416" s="21"/>
      <c r="H416" s="21"/>
      <c r="I416" s="20"/>
      <c r="J416" s="20"/>
      <c r="K416" s="20"/>
      <c r="L416" s="20"/>
      <c r="M416" s="21"/>
      <c r="N416" s="21"/>
      <c r="O416" s="20"/>
      <c r="P416" s="20"/>
      <c r="Q416" s="21"/>
    </row>
    <row r="417" spans="1:17" ht="14.25" customHeight="1" x14ac:dyDescent="0.25">
      <c r="A417" s="20"/>
      <c r="B417" s="20"/>
      <c r="C417" s="20"/>
      <c r="D417" s="21"/>
      <c r="E417" s="21"/>
      <c r="F417" s="21"/>
      <c r="G417" s="21"/>
      <c r="H417" s="21"/>
      <c r="I417" s="20"/>
      <c r="J417" s="20"/>
      <c r="K417" s="20"/>
      <c r="L417" s="20"/>
      <c r="M417" s="21"/>
      <c r="N417" s="21"/>
      <c r="O417" s="20"/>
      <c r="P417" s="20"/>
      <c r="Q417" s="21"/>
    </row>
    <row r="418" spans="1:17" ht="14.25" customHeight="1" x14ac:dyDescent="0.25">
      <c r="A418" s="20"/>
      <c r="B418" s="20"/>
      <c r="C418" s="20"/>
      <c r="D418" s="21"/>
      <c r="E418" s="21"/>
      <c r="F418" s="21"/>
      <c r="G418" s="21"/>
      <c r="H418" s="21"/>
      <c r="I418" s="20"/>
      <c r="J418" s="20"/>
      <c r="K418" s="20"/>
      <c r="L418" s="20"/>
      <c r="M418" s="21"/>
      <c r="N418" s="21"/>
      <c r="O418" s="20"/>
      <c r="P418" s="20"/>
      <c r="Q418" s="21"/>
    </row>
    <row r="419" spans="1:17" ht="14.25" customHeight="1" x14ac:dyDescent="0.25">
      <c r="A419" s="20"/>
      <c r="B419" s="20"/>
      <c r="C419" s="20"/>
      <c r="D419" s="21"/>
      <c r="E419" s="21"/>
      <c r="F419" s="21"/>
      <c r="G419" s="21"/>
      <c r="H419" s="21"/>
      <c r="I419" s="20"/>
      <c r="J419" s="20"/>
      <c r="K419" s="20"/>
      <c r="L419" s="20"/>
      <c r="M419" s="21"/>
      <c r="N419" s="21"/>
      <c r="O419" s="20"/>
      <c r="P419" s="20"/>
      <c r="Q419" s="21"/>
    </row>
    <row r="420" spans="1:17" ht="14.25" customHeight="1" x14ac:dyDescent="0.25">
      <c r="A420" s="20"/>
      <c r="B420" s="20"/>
      <c r="C420" s="20"/>
      <c r="D420" s="21"/>
      <c r="E420" s="21"/>
      <c r="F420" s="21"/>
      <c r="G420" s="21"/>
      <c r="H420" s="21"/>
      <c r="I420" s="20"/>
      <c r="J420" s="20"/>
      <c r="K420" s="20"/>
      <c r="L420" s="20"/>
      <c r="M420" s="21"/>
      <c r="N420" s="21"/>
      <c r="O420" s="20"/>
      <c r="P420" s="20"/>
      <c r="Q420" s="21"/>
    </row>
    <row r="421" spans="1:17" ht="14.25" customHeight="1" x14ac:dyDescent="0.25">
      <c r="A421" s="20"/>
      <c r="B421" s="20"/>
      <c r="C421" s="20"/>
      <c r="D421" s="21"/>
      <c r="E421" s="21"/>
      <c r="F421" s="21"/>
      <c r="G421" s="21"/>
      <c r="H421" s="21"/>
      <c r="I421" s="20"/>
      <c r="J421" s="20"/>
      <c r="K421" s="20"/>
      <c r="L421" s="20"/>
      <c r="M421" s="21"/>
      <c r="N421" s="21"/>
      <c r="O421" s="20"/>
      <c r="P421" s="20"/>
      <c r="Q421" s="21"/>
    </row>
    <row r="422" spans="1:17" ht="14.25" customHeight="1" x14ac:dyDescent="0.25">
      <c r="A422" s="20"/>
      <c r="B422" s="20"/>
      <c r="C422" s="20"/>
      <c r="D422" s="21"/>
      <c r="E422" s="21"/>
      <c r="F422" s="21"/>
      <c r="G422" s="21"/>
      <c r="H422" s="21"/>
      <c r="I422" s="20"/>
      <c r="J422" s="20"/>
      <c r="K422" s="20"/>
      <c r="L422" s="20"/>
      <c r="M422" s="21"/>
      <c r="N422" s="21"/>
      <c r="O422" s="20"/>
      <c r="P422" s="20"/>
      <c r="Q422" s="21"/>
    </row>
    <row r="423" spans="1:17" ht="14.25" customHeight="1" x14ac:dyDescent="0.25">
      <c r="A423" s="20"/>
      <c r="B423" s="20"/>
      <c r="C423" s="20"/>
      <c r="D423" s="21"/>
      <c r="E423" s="21"/>
      <c r="F423" s="21"/>
      <c r="G423" s="21"/>
      <c r="H423" s="21"/>
      <c r="I423" s="20"/>
      <c r="J423" s="20"/>
      <c r="K423" s="20"/>
      <c r="L423" s="20"/>
      <c r="M423" s="21"/>
      <c r="N423" s="21"/>
      <c r="O423" s="20"/>
      <c r="P423" s="20"/>
      <c r="Q423" s="21"/>
    </row>
    <row r="424" spans="1:17" ht="14.25" customHeight="1" x14ac:dyDescent="0.25">
      <c r="A424" s="20"/>
      <c r="B424" s="20"/>
      <c r="C424" s="20"/>
      <c r="D424" s="21"/>
      <c r="E424" s="21"/>
      <c r="F424" s="21"/>
      <c r="G424" s="21"/>
      <c r="H424" s="21"/>
      <c r="I424" s="20"/>
      <c r="J424" s="20"/>
      <c r="K424" s="20"/>
      <c r="L424" s="20"/>
      <c r="M424" s="21"/>
      <c r="N424" s="21"/>
      <c r="O424" s="20"/>
      <c r="P424" s="20"/>
      <c r="Q424" s="21"/>
    </row>
    <row r="425" spans="1:17" ht="14.25" customHeight="1" x14ac:dyDescent="0.25">
      <c r="A425" s="20"/>
      <c r="B425" s="20"/>
      <c r="C425" s="20"/>
      <c r="D425" s="21"/>
      <c r="E425" s="21"/>
      <c r="F425" s="21"/>
      <c r="G425" s="21"/>
      <c r="H425" s="21"/>
      <c r="I425" s="20"/>
      <c r="J425" s="20"/>
      <c r="K425" s="20"/>
      <c r="L425" s="20"/>
      <c r="M425" s="21"/>
      <c r="N425" s="21"/>
      <c r="O425" s="20"/>
      <c r="P425" s="20"/>
      <c r="Q425" s="21"/>
    </row>
    <row r="426" spans="1:17" ht="14.25" customHeight="1" x14ac:dyDescent="0.25">
      <c r="A426" s="20"/>
      <c r="B426" s="20"/>
      <c r="C426" s="20"/>
      <c r="D426" s="21"/>
      <c r="E426" s="21"/>
      <c r="F426" s="21"/>
      <c r="G426" s="21"/>
      <c r="H426" s="21"/>
      <c r="I426" s="20"/>
      <c r="J426" s="20"/>
      <c r="K426" s="20"/>
      <c r="L426" s="20"/>
      <c r="M426" s="21"/>
      <c r="N426" s="21"/>
      <c r="O426" s="20"/>
      <c r="P426" s="20"/>
      <c r="Q426" s="21"/>
    </row>
    <row r="427" spans="1:17" ht="14.25" customHeight="1" x14ac:dyDescent="0.25">
      <c r="A427" s="20"/>
      <c r="B427" s="20"/>
      <c r="C427" s="20"/>
      <c r="D427" s="21"/>
      <c r="E427" s="21"/>
      <c r="F427" s="21"/>
      <c r="G427" s="21"/>
      <c r="H427" s="21"/>
      <c r="I427" s="20"/>
      <c r="J427" s="20"/>
      <c r="K427" s="20"/>
      <c r="L427" s="20"/>
      <c r="M427" s="21"/>
      <c r="N427" s="21"/>
      <c r="O427" s="20"/>
      <c r="P427" s="20"/>
      <c r="Q427" s="21"/>
    </row>
    <row r="428" spans="1:17" ht="14.25" customHeight="1" x14ac:dyDescent="0.25">
      <c r="A428" s="20"/>
      <c r="B428" s="20"/>
      <c r="C428" s="20"/>
      <c r="D428" s="21"/>
      <c r="E428" s="21"/>
      <c r="F428" s="21"/>
      <c r="G428" s="21"/>
      <c r="H428" s="21"/>
      <c r="I428" s="20"/>
      <c r="J428" s="20"/>
      <c r="K428" s="20"/>
      <c r="L428" s="20"/>
      <c r="M428" s="21"/>
      <c r="N428" s="21"/>
      <c r="O428" s="20"/>
      <c r="P428" s="20"/>
      <c r="Q428" s="21"/>
    </row>
    <row r="429" spans="1:17" ht="14.25" customHeight="1" x14ac:dyDescent="0.25">
      <c r="A429" s="20"/>
      <c r="B429" s="20"/>
      <c r="C429" s="20"/>
      <c r="D429" s="21"/>
      <c r="E429" s="21"/>
      <c r="F429" s="21"/>
      <c r="G429" s="21"/>
      <c r="H429" s="21"/>
      <c r="I429" s="20"/>
      <c r="J429" s="20"/>
      <c r="K429" s="20"/>
      <c r="L429" s="20"/>
      <c r="M429" s="21"/>
      <c r="N429" s="21"/>
      <c r="O429" s="20"/>
      <c r="P429" s="20"/>
      <c r="Q429" s="21"/>
    </row>
    <row r="430" spans="1:17" ht="14.25" customHeight="1" x14ac:dyDescent="0.25">
      <c r="A430" s="20"/>
      <c r="B430" s="20"/>
      <c r="C430" s="20"/>
      <c r="D430" s="21"/>
      <c r="E430" s="21"/>
      <c r="F430" s="21"/>
      <c r="G430" s="21"/>
      <c r="H430" s="21"/>
      <c r="I430" s="20"/>
      <c r="J430" s="20"/>
      <c r="K430" s="20"/>
      <c r="L430" s="20"/>
      <c r="M430" s="21"/>
      <c r="N430" s="21"/>
      <c r="O430" s="20"/>
      <c r="P430" s="20"/>
      <c r="Q430" s="21"/>
    </row>
    <row r="431" spans="1:17" ht="14.25" customHeight="1" x14ac:dyDescent="0.25">
      <c r="A431" s="20"/>
      <c r="B431" s="20"/>
      <c r="C431" s="20"/>
      <c r="D431" s="21"/>
      <c r="E431" s="21"/>
      <c r="F431" s="21"/>
      <c r="G431" s="21"/>
      <c r="H431" s="21"/>
      <c r="I431" s="20"/>
      <c r="J431" s="20"/>
      <c r="K431" s="20"/>
      <c r="L431" s="20"/>
      <c r="M431" s="21"/>
      <c r="N431" s="21"/>
      <c r="O431" s="20"/>
      <c r="P431" s="20"/>
      <c r="Q431" s="21"/>
    </row>
    <row r="432" spans="1:17" ht="14.25" customHeight="1" x14ac:dyDescent="0.25">
      <c r="A432" s="20"/>
      <c r="B432" s="20"/>
      <c r="C432" s="20"/>
      <c r="D432" s="21"/>
      <c r="E432" s="21"/>
      <c r="F432" s="21"/>
      <c r="G432" s="21"/>
      <c r="H432" s="21"/>
      <c r="I432" s="20"/>
      <c r="J432" s="20"/>
      <c r="K432" s="20"/>
      <c r="L432" s="20"/>
      <c r="M432" s="21"/>
      <c r="N432" s="21"/>
      <c r="O432" s="20"/>
      <c r="P432" s="20"/>
      <c r="Q432" s="21"/>
    </row>
    <row r="433" spans="1:17" ht="14.25" customHeight="1" x14ac:dyDescent="0.25">
      <c r="A433" s="20"/>
      <c r="B433" s="20"/>
      <c r="C433" s="20"/>
      <c r="D433" s="21"/>
      <c r="E433" s="21"/>
      <c r="F433" s="21"/>
      <c r="G433" s="21"/>
      <c r="H433" s="21"/>
      <c r="I433" s="20"/>
      <c r="J433" s="20"/>
      <c r="K433" s="20"/>
      <c r="L433" s="20"/>
      <c r="M433" s="21"/>
      <c r="N433" s="21"/>
      <c r="O433" s="20"/>
      <c r="P433" s="20"/>
      <c r="Q433" s="21"/>
    </row>
    <row r="434" spans="1:17" ht="14.25" customHeight="1" x14ac:dyDescent="0.25">
      <c r="A434" s="20"/>
      <c r="B434" s="20"/>
      <c r="C434" s="20"/>
      <c r="D434" s="21"/>
      <c r="E434" s="21"/>
      <c r="F434" s="21"/>
      <c r="G434" s="21"/>
      <c r="H434" s="21"/>
      <c r="I434" s="20"/>
      <c r="J434" s="20"/>
      <c r="K434" s="20"/>
      <c r="L434" s="20"/>
      <c r="M434" s="21"/>
      <c r="N434" s="21"/>
      <c r="O434" s="20"/>
      <c r="P434" s="20"/>
      <c r="Q434" s="21"/>
    </row>
    <row r="435" spans="1:17" ht="14.25" customHeight="1" x14ac:dyDescent="0.25">
      <c r="A435" s="20"/>
      <c r="B435" s="20"/>
      <c r="C435" s="20"/>
      <c r="D435" s="21"/>
      <c r="E435" s="21"/>
      <c r="F435" s="21"/>
      <c r="G435" s="21"/>
      <c r="H435" s="21"/>
      <c r="I435" s="20"/>
      <c r="J435" s="20"/>
      <c r="K435" s="20"/>
      <c r="L435" s="20"/>
      <c r="M435" s="21"/>
      <c r="N435" s="21"/>
      <c r="O435" s="20"/>
      <c r="P435" s="20"/>
      <c r="Q435" s="21"/>
    </row>
    <row r="436" spans="1:17" ht="14.25" customHeight="1" x14ac:dyDescent="0.25">
      <c r="A436" s="20"/>
      <c r="B436" s="20"/>
      <c r="C436" s="20"/>
      <c r="D436" s="21"/>
      <c r="E436" s="21"/>
      <c r="F436" s="21"/>
      <c r="G436" s="21"/>
      <c r="H436" s="21"/>
      <c r="I436" s="20"/>
      <c r="J436" s="20"/>
      <c r="K436" s="20"/>
      <c r="L436" s="20"/>
      <c r="M436" s="21"/>
      <c r="N436" s="21"/>
      <c r="O436" s="20"/>
      <c r="P436" s="20"/>
      <c r="Q436" s="21"/>
    </row>
    <row r="437" spans="1:17" ht="14.25" customHeight="1" x14ac:dyDescent="0.25">
      <c r="A437" s="20"/>
      <c r="B437" s="20"/>
      <c r="C437" s="20"/>
      <c r="D437" s="21"/>
      <c r="E437" s="21"/>
      <c r="F437" s="21"/>
      <c r="G437" s="21"/>
      <c r="H437" s="21"/>
      <c r="I437" s="20"/>
      <c r="J437" s="20"/>
      <c r="K437" s="20"/>
      <c r="L437" s="20"/>
      <c r="M437" s="21"/>
      <c r="N437" s="21"/>
      <c r="O437" s="20"/>
      <c r="P437" s="20"/>
      <c r="Q437" s="21"/>
    </row>
    <row r="438" spans="1:17" ht="14.25" customHeight="1" x14ac:dyDescent="0.25">
      <c r="A438" s="20"/>
      <c r="B438" s="20"/>
      <c r="C438" s="20"/>
      <c r="D438" s="21"/>
      <c r="E438" s="21"/>
      <c r="F438" s="21"/>
      <c r="G438" s="21"/>
      <c r="H438" s="21"/>
      <c r="I438" s="20"/>
      <c r="J438" s="20"/>
      <c r="K438" s="20"/>
      <c r="L438" s="20"/>
      <c r="M438" s="21"/>
      <c r="N438" s="21"/>
      <c r="O438" s="20"/>
      <c r="P438" s="20"/>
      <c r="Q438" s="21"/>
    </row>
    <row r="439" spans="1:17" ht="14.25" customHeight="1" x14ac:dyDescent="0.25">
      <c r="A439" s="20"/>
      <c r="B439" s="20"/>
      <c r="C439" s="20"/>
      <c r="D439" s="21"/>
      <c r="E439" s="21"/>
      <c r="F439" s="21"/>
      <c r="G439" s="21"/>
      <c r="H439" s="21"/>
      <c r="I439" s="20"/>
      <c r="J439" s="20"/>
      <c r="K439" s="20"/>
      <c r="L439" s="20"/>
      <c r="M439" s="21"/>
      <c r="N439" s="21"/>
      <c r="O439" s="20"/>
      <c r="P439" s="20"/>
      <c r="Q439" s="21"/>
    </row>
    <row r="440" spans="1:17" ht="14.25" customHeight="1" x14ac:dyDescent="0.25">
      <c r="A440" s="20"/>
      <c r="B440" s="20"/>
      <c r="C440" s="20"/>
      <c r="D440" s="21"/>
      <c r="E440" s="21"/>
      <c r="F440" s="21"/>
      <c r="G440" s="21"/>
      <c r="H440" s="21"/>
      <c r="I440" s="20"/>
      <c r="J440" s="20"/>
      <c r="K440" s="20"/>
      <c r="L440" s="20"/>
      <c r="M440" s="21"/>
      <c r="N440" s="21"/>
      <c r="O440" s="20"/>
      <c r="P440" s="20"/>
      <c r="Q440" s="21"/>
    </row>
    <row r="441" spans="1:17" ht="14.25" customHeight="1" x14ac:dyDescent="0.25">
      <c r="A441" s="20"/>
      <c r="B441" s="20"/>
      <c r="C441" s="20"/>
      <c r="D441" s="21"/>
      <c r="E441" s="21"/>
      <c r="F441" s="21"/>
      <c r="G441" s="21"/>
      <c r="H441" s="21"/>
      <c r="I441" s="20"/>
      <c r="J441" s="20"/>
      <c r="K441" s="20"/>
      <c r="L441" s="20"/>
      <c r="M441" s="21"/>
      <c r="N441" s="21"/>
      <c r="O441" s="20"/>
      <c r="P441" s="20"/>
      <c r="Q441" s="21"/>
    </row>
    <row r="442" spans="1:17" ht="14.25" customHeight="1" x14ac:dyDescent="0.25">
      <c r="A442" s="20"/>
      <c r="B442" s="20"/>
      <c r="C442" s="20"/>
      <c r="D442" s="21"/>
      <c r="E442" s="21"/>
      <c r="F442" s="21"/>
      <c r="G442" s="21"/>
      <c r="H442" s="21"/>
      <c r="I442" s="20"/>
      <c r="J442" s="20"/>
      <c r="K442" s="20"/>
      <c r="L442" s="20"/>
      <c r="M442" s="21"/>
      <c r="N442" s="21"/>
      <c r="O442" s="20"/>
      <c r="P442" s="20"/>
      <c r="Q442" s="21"/>
    </row>
  </sheetData>
  <autoFilter ref="A7:AI242" xr:uid="{11EDAB9D-D4E1-484F-984E-C23E0F5BA036}">
    <sortState xmlns:xlrd2="http://schemas.microsoft.com/office/spreadsheetml/2017/richdata2" ref="A8:AI171">
      <sortCondition ref="J7:J157"/>
    </sortState>
  </autoFilter>
  <sortState xmlns:xlrd2="http://schemas.microsoft.com/office/spreadsheetml/2017/richdata2" ref="A8:Q242">
    <sortCondition ref="B8:B242"/>
    <sortCondition ref="C8:C242"/>
    <sortCondition ref="D8:D242"/>
    <sortCondition ref="A8:A242"/>
  </sortState>
  <phoneticPr fontId="0" type="noConversion"/>
  <hyperlinks>
    <hyperlink ref="I137" r:id="rId1" display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xr:uid="{D12CC89D-D1C4-46C6-A666-09D692238F70}"/>
  </hyperlinks>
  <pageMargins left="0.35433070866141736" right="0.35433070866141736" top="0.55118110236220474" bottom="0.59055118110236227" header="0.51181102362204722" footer="0.19685039370078741"/>
  <pageSetup paperSize="9" scale="91" fitToHeight="1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2017-07-19T17:39:32Z</cp:lastPrinted>
  <dcterms:created xsi:type="dcterms:W3CDTF">2003-01-08T15:13:21Z</dcterms:created>
  <dcterms:modified xsi:type="dcterms:W3CDTF">2026-10-12T18:24:43Z</dcterms:modified>
</cp:coreProperties>
</file>