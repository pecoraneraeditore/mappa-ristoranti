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2BD0D1DC-5AB0-4AB3-849C-094D2C9103CC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" i="6" l="1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T179" i="6"/>
  <c r="AD179" i="6"/>
  <c r="AE179" i="6"/>
  <c r="AF179" i="6"/>
  <c r="AG179" i="6"/>
  <c r="AH179" i="6"/>
  <c r="AI179" i="6"/>
  <c r="S180" i="6"/>
  <c r="T180" i="6"/>
  <c r="AD180" i="6"/>
  <c r="AE180" i="6"/>
  <c r="AF180" i="6"/>
  <c r="AG180" i="6"/>
  <c r="AH180" i="6"/>
  <c r="AI180" i="6"/>
  <c r="S181" i="6"/>
  <c r="T181" i="6"/>
  <c r="AD181" i="6"/>
  <c r="AE181" i="6"/>
  <c r="AF181" i="6"/>
  <c r="AG181" i="6"/>
  <c r="AH181" i="6"/>
  <c r="AI181" i="6"/>
  <c r="S182" i="6"/>
  <c r="T182" i="6"/>
  <c r="AD182" i="6"/>
  <c r="AE182" i="6"/>
  <c r="AF182" i="6"/>
  <c r="AG182" i="6"/>
  <c r="AH182" i="6"/>
  <c r="AI182" i="6"/>
  <c r="S183" i="6"/>
  <c r="T183" i="6"/>
  <c r="AD183" i="6"/>
  <c r="AE183" i="6"/>
  <c r="AF183" i="6"/>
  <c r="AG183" i="6"/>
  <c r="AH183" i="6"/>
  <c r="AI183" i="6"/>
  <c r="S184" i="6"/>
  <c r="T184" i="6"/>
  <c r="AD184" i="6"/>
  <c r="AE184" i="6"/>
  <c r="AF184" i="6"/>
  <c r="AG184" i="6"/>
  <c r="AH184" i="6"/>
  <c r="AI184" i="6"/>
  <c r="S185" i="6"/>
  <c r="T185" i="6"/>
  <c r="AD185" i="6"/>
  <c r="AE185" i="6"/>
  <c r="AF185" i="6"/>
  <c r="AG185" i="6"/>
  <c r="AH185" i="6"/>
  <c r="AI185" i="6"/>
  <c r="S186" i="6"/>
  <c r="T186" i="6"/>
  <c r="AD186" i="6"/>
  <c r="AE186" i="6"/>
  <c r="AF186" i="6"/>
  <c r="AG186" i="6"/>
  <c r="AH186" i="6"/>
  <c r="AI186" i="6"/>
  <c r="S187" i="6"/>
  <c r="T187" i="6"/>
  <c r="AD187" i="6"/>
  <c r="AE187" i="6"/>
  <c r="AF187" i="6"/>
  <c r="AG187" i="6"/>
  <c r="AH187" i="6"/>
  <c r="AI187" i="6"/>
  <c r="S188" i="6"/>
  <c r="T188" i="6"/>
  <c r="AD188" i="6"/>
  <c r="AE188" i="6"/>
  <c r="AF188" i="6"/>
  <c r="AG188" i="6"/>
  <c r="AH188" i="6"/>
  <c r="AI188" i="6"/>
  <c r="S189" i="6"/>
  <c r="T189" i="6"/>
  <c r="AD189" i="6"/>
  <c r="AE189" i="6"/>
  <c r="AF189" i="6"/>
  <c r="AG189" i="6"/>
  <c r="AH189" i="6"/>
  <c r="AI189" i="6"/>
  <c r="S190" i="6"/>
  <c r="T190" i="6"/>
  <c r="AD190" i="6"/>
  <c r="AE190" i="6"/>
  <c r="AF190" i="6"/>
  <c r="AG190" i="6"/>
  <c r="AH190" i="6"/>
  <c r="AI190" i="6"/>
  <c r="S191" i="6"/>
  <c r="T191" i="6"/>
  <c r="AD191" i="6"/>
  <c r="AE191" i="6"/>
  <c r="AF191" i="6"/>
  <c r="AG191" i="6"/>
  <c r="AH191" i="6"/>
  <c r="AI191" i="6"/>
  <c r="S192" i="6"/>
  <c r="T192" i="6"/>
  <c r="AD192" i="6"/>
  <c r="AE192" i="6"/>
  <c r="AF192" i="6"/>
  <c r="AG192" i="6"/>
  <c r="AH192" i="6"/>
  <c r="AI192" i="6"/>
  <c r="S193" i="6"/>
  <c r="T193" i="6"/>
  <c r="AD193" i="6"/>
  <c r="AE193" i="6"/>
  <c r="AF193" i="6"/>
  <c r="AG193" i="6"/>
  <c r="AH193" i="6"/>
  <c r="AI193" i="6"/>
  <c r="S194" i="6"/>
  <c r="T194" i="6"/>
  <c r="AD194" i="6"/>
  <c r="AE194" i="6"/>
  <c r="AF194" i="6"/>
  <c r="AG194" i="6"/>
  <c r="AH194" i="6"/>
  <c r="AI194" i="6"/>
  <c r="S195" i="6"/>
  <c r="T195" i="6"/>
  <c r="AD195" i="6"/>
  <c r="AE195" i="6"/>
  <c r="AF195" i="6"/>
  <c r="AG195" i="6"/>
  <c r="AH195" i="6"/>
  <c r="AI195" i="6"/>
  <c r="S196" i="6"/>
  <c r="T196" i="6"/>
  <c r="AD196" i="6"/>
  <c r="AE196" i="6"/>
  <c r="AF196" i="6"/>
  <c r="AG196" i="6"/>
  <c r="AH196" i="6"/>
  <c r="AI196" i="6"/>
  <c r="S197" i="6"/>
  <c r="T197" i="6"/>
  <c r="AD197" i="6"/>
  <c r="AE197" i="6"/>
  <c r="AF197" i="6"/>
  <c r="AG197" i="6"/>
  <c r="AH197" i="6"/>
  <c r="AI197" i="6"/>
  <c r="S198" i="6"/>
  <c r="T198" i="6"/>
  <c r="AD198" i="6"/>
  <c r="AE198" i="6"/>
  <c r="AF198" i="6"/>
  <c r="AG198" i="6"/>
  <c r="AH198" i="6"/>
  <c r="AI198" i="6"/>
  <c r="S199" i="6"/>
  <c r="T199" i="6"/>
  <c r="AD199" i="6"/>
  <c r="AE199" i="6"/>
  <c r="AF199" i="6"/>
  <c r="AG199" i="6"/>
  <c r="AH199" i="6"/>
  <c r="AI199" i="6"/>
  <c r="S200" i="6"/>
  <c r="T200" i="6"/>
  <c r="AD200" i="6"/>
  <c r="AE200" i="6"/>
  <c r="AF200" i="6"/>
  <c r="AG200" i="6"/>
  <c r="AH200" i="6"/>
  <c r="AI200" i="6"/>
  <c r="S201" i="6"/>
  <c r="T201" i="6"/>
  <c r="AD201" i="6"/>
  <c r="AE201" i="6"/>
  <c r="AF201" i="6"/>
  <c r="AG201" i="6"/>
  <c r="AH201" i="6"/>
  <c r="AI201" i="6"/>
  <c r="S202" i="6"/>
  <c r="T202" i="6"/>
  <c r="AD202" i="6"/>
  <c r="AE202" i="6"/>
  <c r="AF202" i="6"/>
  <c r="AG202" i="6"/>
  <c r="AH202" i="6"/>
  <c r="AI202" i="6"/>
  <c r="S203" i="6"/>
  <c r="T203" i="6"/>
  <c r="AD203" i="6"/>
  <c r="AE203" i="6"/>
  <c r="AF203" i="6"/>
  <c r="AG203" i="6"/>
  <c r="AH203" i="6"/>
  <c r="AI203" i="6"/>
  <c r="S204" i="6"/>
  <c r="T204" i="6"/>
  <c r="AD204" i="6"/>
  <c r="AE204" i="6"/>
  <c r="AF204" i="6"/>
  <c r="AG204" i="6"/>
  <c r="AH204" i="6"/>
  <c r="AI204" i="6"/>
  <c r="S205" i="6"/>
  <c r="T205" i="6"/>
  <c r="AD205" i="6"/>
  <c r="AE205" i="6"/>
  <c r="AF205" i="6"/>
  <c r="AG205" i="6"/>
  <c r="AH205" i="6"/>
  <c r="AI205" i="6"/>
  <c r="S206" i="6"/>
  <c r="T206" i="6"/>
  <c r="AD206" i="6"/>
  <c r="AE206" i="6"/>
  <c r="AF206" i="6"/>
  <c r="AG206" i="6"/>
  <c r="AH206" i="6"/>
  <c r="AI206" i="6"/>
  <c r="S207" i="6"/>
  <c r="T207" i="6"/>
  <c r="AD207" i="6"/>
  <c r="AE207" i="6"/>
  <c r="AF207" i="6"/>
  <c r="AG207" i="6"/>
  <c r="AH207" i="6"/>
  <c r="AI207" i="6"/>
  <c r="S208" i="6"/>
  <c r="T208" i="6"/>
  <c r="AD208" i="6"/>
  <c r="AE208" i="6"/>
  <c r="AF208" i="6"/>
  <c r="AG208" i="6"/>
  <c r="AH208" i="6"/>
  <c r="AI208" i="6"/>
  <c r="S209" i="6"/>
  <c r="T209" i="6"/>
  <c r="AD209" i="6"/>
  <c r="AE209" i="6"/>
  <c r="AF209" i="6"/>
  <c r="AG209" i="6"/>
  <c r="AH209" i="6"/>
  <c r="AI209" i="6"/>
  <c r="S210" i="6"/>
  <c r="T210" i="6"/>
  <c r="AD210" i="6"/>
  <c r="AE210" i="6"/>
  <c r="AF210" i="6"/>
  <c r="AG210" i="6"/>
  <c r="AH210" i="6"/>
  <c r="AI210" i="6"/>
  <c r="S211" i="6"/>
  <c r="T211" i="6"/>
  <c r="AD211" i="6"/>
  <c r="AE211" i="6"/>
  <c r="AF211" i="6"/>
  <c r="AG211" i="6"/>
  <c r="AH211" i="6"/>
  <c r="AI211" i="6"/>
  <c r="S212" i="6"/>
  <c r="T212" i="6"/>
  <c r="AD212" i="6"/>
  <c r="AE212" i="6"/>
  <c r="AF212" i="6"/>
  <c r="AG212" i="6"/>
  <c r="AH212" i="6"/>
  <c r="AI212" i="6"/>
  <c r="S213" i="6"/>
  <c r="T213" i="6"/>
  <c r="AD213" i="6"/>
  <c r="AE213" i="6"/>
  <c r="AF213" i="6"/>
  <c r="AG213" i="6"/>
  <c r="AH213" i="6"/>
  <c r="AI213" i="6"/>
  <c r="S214" i="6"/>
  <c r="T214" i="6"/>
  <c r="AD214" i="6"/>
  <c r="AE214" i="6"/>
  <c r="AF214" i="6"/>
  <c r="AG214" i="6"/>
  <c r="AH214" i="6"/>
  <c r="AI214" i="6"/>
  <c r="S215" i="6"/>
  <c r="T215" i="6"/>
  <c r="AD215" i="6"/>
  <c r="AE215" i="6"/>
  <c r="AF215" i="6"/>
  <c r="AG215" i="6"/>
  <c r="AH215" i="6"/>
  <c r="AI215" i="6"/>
  <c r="S216" i="6"/>
  <c r="T216" i="6"/>
  <c r="AD216" i="6"/>
  <c r="AE216" i="6"/>
  <c r="AF216" i="6"/>
  <c r="AG216" i="6"/>
  <c r="AH216" i="6"/>
  <c r="AI216" i="6"/>
  <c r="S217" i="6"/>
  <c r="T217" i="6"/>
  <c r="AD217" i="6"/>
  <c r="AE217" i="6"/>
  <c r="AF217" i="6"/>
  <c r="AG217" i="6"/>
  <c r="AH217" i="6"/>
  <c r="AI217" i="6"/>
  <c r="S218" i="6"/>
  <c r="T218" i="6"/>
  <c r="AD218" i="6"/>
  <c r="AE218" i="6"/>
  <c r="AF218" i="6"/>
  <c r="AG218" i="6"/>
  <c r="AH218" i="6"/>
  <c r="AI218" i="6"/>
  <c r="S219" i="6"/>
  <c r="T219" i="6"/>
  <c r="AD219" i="6"/>
  <c r="AE219" i="6"/>
  <c r="AF219" i="6"/>
  <c r="AG219" i="6"/>
  <c r="AH219" i="6"/>
  <c r="AI219" i="6"/>
  <c r="S220" i="6"/>
  <c r="T220" i="6"/>
  <c r="AD220" i="6"/>
  <c r="AE220" i="6"/>
  <c r="AF220" i="6"/>
  <c r="AG220" i="6"/>
  <c r="AH220" i="6"/>
  <c r="AI220" i="6"/>
  <c r="S221" i="6"/>
  <c r="T221" i="6"/>
  <c r="AD221" i="6"/>
  <c r="AE221" i="6"/>
  <c r="AF221" i="6"/>
  <c r="AG221" i="6"/>
  <c r="AH221" i="6"/>
  <c r="AI221" i="6"/>
  <c r="S222" i="6"/>
  <c r="T222" i="6"/>
  <c r="AD222" i="6"/>
  <c r="AE222" i="6"/>
  <c r="AF222" i="6"/>
  <c r="AG222" i="6"/>
  <c r="AH222" i="6"/>
  <c r="AI222" i="6"/>
  <c r="S223" i="6"/>
  <c r="T223" i="6"/>
  <c r="AD223" i="6"/>
  <c r="AE223" i="6"/>
  <c r="AF223" i="6"/>
  <c r="AG223" i="6"/>
  <c r="AH223" i="6"/>
  <c r="AI223" i="6"/>
  <c r="S224" i="6"/>
  <c r="T224" i="6"/>
  <c r="AD224" i="6"/>
  <c r="AE224" i="6"/>
  <c r="AF224" i="6"/>
  <c r="AG224" i="6"/>
  <c r="AH224" i="6"/>
  <c r="AI224" i="6"/>
  <c r="S225" i="6"/>
  <c r="T225" i="6"/>
  <c r="AD225" i="6"/>
  <c r="AE225" i="6"/>
  <c r="AF225" i="6"/>
  <c r="AG225" i="6"/>
  <c r="AH225" i="6"/>
  <c r="AI225" i="6"/>
  <c r="S226" i="6"/>
  <c r="T226" i="6"/>
  <c r="AD226" i="6"/>
  <c r="AE226" i="6"/>
  <c r="AF226" i="6"/>
  <c r="AG226" i="6"/>
  <c r="AH226" i="6"/>
  <c r="AI226" i="6"/>
  <c r="S227" i="6"/>
  <c r="T227" i="6"/>
  <c r="AD227" i="6"/>
  <c r="AE227" i="6"/>
  <c r="AF227" i="6"/>
  <c r="AG227" i="6"/>
  <c r="AH227" i="6"/>
  <c r="AI227" i="6"/>
  <c r="S228" i="6"/>
  <c r="T228" i="6"/>
  <c r="AD228" i="6"/>
  <c r="AE228" i="6"/>
  <c r="AF228" i="6"/>
  <c r="AG228" i="6"/>
  <c r="AH228" i="6"/>
  <c r="AI228" i="6"/>
  <c r="S229" i="6"/>
  <c r="T229" i="6"/>
  <c r="AD229" i="6"/>
  <c r="AE229" i="6"/>
  <c r="AF229" i="6"/>
  <c r="AG229" i="6"/>
  <c r="AH229" i="6"/>
  <c r="AI229" i="6"/>
  <c r="S230" i="6"/>
  <c r="T230" i="6"/>
  <c r="AD230" i="6"/>
  <c r="AE230" i="6"/>
  <c r="AF230" i="6"/>
  <c r="AG230" i="6"/>
  <c r="AH230" i="6"/>
  <c r="AI230" i="6"/>
  <c r="S231" i="6"/>
  <c r="T231" i="6"/>
  <c r="AD231" i="6"/>
  <c r="AE231" i="6"/>
  <c r="AF231" i="6"/>
  <c r="AG231" i="6"/>
  <c r="AH231" i="6"/>
  <c r="AI231" i="6"/>
  <c r="S232" i="6"/>
  <c r="T232" i="6"/>
  <c r="AD232" i="6"/>
  <c r="AE232" i="6"/>
  <c r="AF232" i="6"/>
  <c r="AG232" i="6"/>
  <c r="AH232" i="6"/>
  <c r="AI232" i="6"/>
  <c r="S233" i="6"/>
  <c r="T233" i="6"/>
  <c r="AD233" i="6"/>
  <c r="AE233" i="6"/>
  <c r="AF233" i="6"/>
  <c r="AG233" i="6"/>
  <c r="AH233" i="6"/>
  <c r="AI233" i="6"/>
  <c r="S234" i="6"/>
  <c r="T234" i="6"/>
  <c r="AD234" i="6"/>
  <c r="AE234" i="6"/>
  <c r="AF234" i="6"/>
  <c r="AG234" i="6"/>
  <c r="AH234" i="6"/>
  <c r="AI234" i="6"/>
  <c r="S235" i="6"/>
  <c r="T235" i="6"/>
  <c r="AD235" i="6"/>
  <c r="AE235" i="6"/>
  <c r="AF235" i="6"/>
  <c r="AG235" i="6"/>
  <c r="AH235" i="6"/>
  <c r="AI235" i="6"/>
  <c r="S236" i="6"/>
  <c r="T236" i="6"/>
  <c r="AD236" i="6"/>
  <c r="AE236" i="6"/>
  <c r="AF236" i="6"/>
  <c r="AG236" i="6"/>
  <c r="AH236" i="6"/>
  <c r="AI236" i="6"/>
  <c r="S237" i="6"/>
  <c r="T237" i="6"/>
  <c r="AD237" i="6"/>
  <c r="AE237" i="6"/>
  <c r="AF237" i="6"/>
  <c r="AG237" i="6"/>
  <c r="AH237" i="6"/>
  <c r="AI237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11" i="6" l="1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1" i="6" l="1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95" i="6"/>
  <c r="U235" i="6"/>
  <c r="U215" i="6"/>
  <c r="U223" i="6"/>
  <c r="U221" i="6"/>
  <c r="U183" i="6"/>
  <c r="U191" i="6"/>
  <c r="U199" i="6"/>
  <c r="U207" i="6"/>
  <c r="U218" i="6"/>
  <c r="U232" i="6"/>
  <c r="U212" i="6"/>
  <c r="U233" i="6"/>
  <c r="U229" i="6"/>
  <c r="U180" i="6"/>
  <c r="U188" i="6"/>
  <c r="U196" i="6"/>
  <c r="U204" i="6"/>
  <c r="U220" i="6"/>
  <c r="U231" i="6"/>
  <c r="U237" i="6"/>
  <c r="U227" i="6"/>
  <c r="U205" i="6"/>
  <c r="U185" i="6"/>
  <c r="U193" i="6"/>
  <c r="U201" i="6"/>
  <c r="U209" i="6"/>
  <c r="U217" i="6"/>
  <c r="U225" i="6"/>
  <c r="U228" i="6"/>
  <c r="U234" i="6"/>
  <c r="U202" i="6"/>
  <c r="U182" i="6"/>
  <c r="U190" i="6"/>
  <c r="U198" i="6"/>
  <c r="U206" i="6"/>
  <c r="U214" i="6"/>
  <c r="U222" i="6"/>
  <c r="U213" i="6"/>
  <c r="U226" i="6"/>
  <c r="U187" i="6"/>
  <c r="U195" i="6"/>
  <c r="U203" i="6"/>
  <c r="U211" i="6"/>
  <c r="U219" i="6"/>
  <c r="U230" i="6"/>
  <c r="U189" i="6"/>
  <c r="U184" i="6"/>
  <c r="U192" i="6"/>
  <c r="U200" i="6"/>
  <c r="U208" i="6"/>
  <c r="U216" i="6"/>
  <c r="U224" i="6"/>
  <c r="U236" i="6"/>
  <c r="U197" i="6"/>
  <c r="U186" i="6"/>
  <c r="U181" i="6"/>
  <c r="U210" i="6"/>
  <c r="U194" i="6"/>
  <c r="T5" i="6"/>
  <c r="U8" i="6"/>
  <c r="V7" i="6"/>
  <c r="U10" i="6"/>
  <c r="U9" i="6"/>
  <c r="H4" i="6"/>
  <c r="H3" i="6"/>
  <c r="E5" i="6"/>
  <c r="F5" i="6"/>
  <c r="G5" i="6"/>
  <c r="V11" i="6" l="1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92" i="6"/>
  <c r="V95" i="6"/>
  <c r="V94" i="6"/>
  <c r="V91" i="6"/>
  <c r="V93" i="6"/>
  <c r="V90" i="6"/>
  <c r="V186" i="6"/>
  <c r="V194" i="6"/>
  <c r="V202" i="6"/>
  <c r="V210" i="6"/>
  <c r="V218" i="6"/>
  <c r="V226" i="6"/>
  <c r="V229" i="6"/>
  <c r="V232" i="6"/>
  <c r="V235" i="6"/>
  <c r="V222" i="6"/>
  <c r="V183" i="6"/>
  <c r="V191" i="6"/>
  <c r="V199" i="6"/>
  <c r="V207" i="6"/>
  <c r="V215" i="6"/>
  <c r="V223" i="6"/>
  <c r="V214" i="6"/>
  <c r="V206" i="6"/>
  <c r="V216" i="6"/>
  <c r="V180" i="6"/>
  <c r="V188" i="6"/>
  <c r="V196" i="6"/>
  <c r="V204" i="6"/>
  <c r="V212" i="6"/>
  <c r="V220" i="6"/>
  <c r="V190" i="6"/>
  <c r="V200" i="6"/>
  <c r="V231" i="6"/>
  <c r="V217" i="6"/>
  <c r="V225" i="6"/>
  <c r="V228" i="6"/>
  <c r="V234" i="6"/>
  <c r="V237" i="6"/>
  <c r="V211" i="6"/>
  <c r="V185" i="6"/>
  <c r="V193" i="6"/>
  <c r="V201" i="6"/>
  <c r="V209" i="6"/>
  <c r="V195" i="6"/>
  <c r="V236" i="6"/>
  <c r="V182" i="6"/>
  <c r="V198" i="6"/>
  <c r="V219" i="6"/>
  <c r="V187" i="6"/>
  <c r="V203" i="6"/>
  <c r="V227" i="6"/>
  <c r="V230" i="6"/>
  <c r="V233" i="6"/>
  <c r="V192" i="6"/>
  <c r="V224" i="6"/>
  <c r="V184" i="6"/>
  <c r="V208" i="6"/>
  <c r="V181" i="6"/>
  <c r="V189" i="6"/>
  <c r="V197" i="6"/>
  <c r="V205" i="6"/>
  <c r="V213" i="6"/>
  <c r="V221" i="6"/>
  <c r="V9" i="6"/>
  <c r="V8" i="6"/>
  <c r="V10" i="6"/>
  <c r="W7" i="6"/>
  <c r="U5" i="6"/>
  <c r="H5" i="6"/>
  <c r="W11" i="6" l="1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5" i="6"/>
  <c r="W236" i="6"/>
  <c r="W237" i="6"/>
  <c r="V5" i="6"/>
  <c r="W10" i="6"/>
  <c r="W8" i="6"/>
  <c r="X7" i="6"/>
  <c r="W9" i="6"/>
  <c r="X11" i="6" l="1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50" i="6"/>
  <c r="X166" i="6"/>
  <c r="X137" i="6"/>
  <c r="X153" i="6"/>
  <c r="X169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5" i="6"/>
  <c r="X236" i="6"/>
  <c r="X237" i="6"/>
  <c r="X140" i="6"/>
  <c r="X156" i="6"/>
  <c r="X172" i="6"/>
  <c r="X143" i="6"/>
  <c r="X159" i="6"/>
  <c r="X175" i="6"/>
  <c r="X146" i="6"/>
  <c r="X162" i="6"/>
  <c r="X178" i="6"/>
  <c r="X149" i="6"/>
  <c r="X165" i="6"/>
  <c r="X152" i="6"/>
  <c r="X168" i="6"/>
  <c r="X139" i="6"/>
  <c r="X155" i="6"/>
  <c r="X171" i="6"/>
  <c r="X142" i="6"/>
  <c r="X158" i="6"/>
  <c r="X174" i="6"/>
  <c r="X145" i="6"/>
  <c r="X161" i="6"/>
  <c r="X177" i="6"/>
  <c r="X148" i="6"/>
  <c r="X164" i="6"/>
  <c r="X151" i="6"/>
  <c r="X167" i="6"/>
  <c r="X138" i="6"/>
  <c r="X154" i="6"/>
  <c r="X170" i="6"/>
  <c r="X147" i="6"/>
  <c r="X141" i="6"/>
  <c r="X176" i="6"/>
  <c r="X160" i="6"/>
  <c r="X144" i="6"/>
  <c r="X173" i="6"/>
  <c r="X157" i="6"/>
  <c r="X163" i="6"/>
  <c r="X10" i="6"/>
  <c r="X8" i="6"/>
  <c r="X9" i="6"/>
  <c r="Y7" i="6"/>
  <c r="W5" i="6"/>
  <c r="Y11" i="6" l="1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94" i="6"/>
  <c r="Y147" i="6"/>
  <c r="Y163" i="6"/>
  <c r="Y150" i="6"/>
  <c r="Y166" i="6"/>
  <c r="Y137" i="6"/>
  <c r="Y153" i="6"/>
  <c r="Y169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5" i="6"/>
  <c r="Y236" i="6"/>
  <c r="Y237" i="6"/>
  <c r="Y93" i="6"/>
  <c r="Y140" i="6"/>
  <c r="Y156" i="6"/>
  <c r="Y172" i="6"/>
  <c r="Y143" i="6"/>
  <c r="Y159" i="6"/>
  <c r="Y175" i="6"/>
  <c r="Y146" i="6"/>
  <c r="Y162" i="6"/>
  <c r="Y178" i="6"/>
  <c r="Y149" i="6"/>
  <c r="Y165" i="6"/>
  <c r="Y152" i="6"/>
  <c r="Y168" i="6"/>
  <c r="Y139" i="6"/>
  <c r="Y155" i="6"/>
  <c r="Y171" i="6"/>
  <c r="Y142" i="6"/>
  <c r="Y158" i="6"/>
  <c r="Y174" i="6"/>
  <c r="Y145" i="6"/>
  <c r="Y161" i="6"/>
  <c r="Y177" i="6"/>
  <c r="Y148" i="6"/>
  <c r="Y164" i="6"/>
  <c r="Y151" i="6"/>
  <c r="Y167" i="6"/>
  <c r="Y157" i="6"/>
  <c r="Y170" i="6"/>
  <c r="Y141" i="6"/>
  <c r="Y176" i="6"/>
  <c r="Y154" i="6"/>
  <c r="Y160" i="6"/>
  <c r="Y138" i="6"/>
  <c r="Y144" i="6"/>
  <c r="Y173" i="6"/>
  <c r="Y10" i="6"/>
  <c r="Y9" i="6"/>
  <c r="Y8" i="6"/>
  <c r="Z7" i="6"/>
  <c r="X5" i="6"/>
  <c r="Z11" i="6" l="1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44" i="6"/>
  <c r="Z160" i="6"/>
  <c r="Z176" i="6"/>
  <c r="Z221" i="6"/>
  <c r="Z225" i="6"/>
  <c r="Z228" i="6"/>
  <c r="Z231" i="6"/>
  <c r="Z235" i="6"/>
  <c r="Z147" i="6"/>
  <c r="Z163" i="6"/>
  <c r="Z222" i="6"/>
  <c r="Z227" i="6"/>
  <c r="Z233" i="6"/>
  <c r="Z237" i="6"/>
  <c r="Z150" i="6"/>
  <c r="Z166" i="6"/>
  <c r="Z219" i="6"/>
  <c r="Z224" i="6"/>
  <c r="Z229" i="6"/>
  <c r="Z232" i="6"/>
  <c r="Z236" i="6"/>
  <c r="Z137" i="6"/>
  <c r="Z153" i="6"/>
  <c r="Z169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20" i="6"/>
  <c r="Z223" i="6"/>
  <c r="Z226" i="6"/>
  <c r="Z230" i="6"/>
  <c r="Z234" i="6"/>
  <c r="Z140" i="6"/>
  <c r="Z156" i="6"/>
  <c r="Z172" i="6"/>
  <c r="Z143" i="6"/>
  <c r="Z159" i="6"/>
  <c r="Z175" i="6"/>
  <c r="Z146" i="6"/>
  <c r="Z162" i="6"/>
  <c r="Z178" i="6"/>
  <c r="Z149" i="6"/>
  <c r="Z165" i="6"/>
  <c r="Z152" i="6"/>
  <c r="Z168" i="6"/>
  <c r="Z139" i="6"/>
  <c r="Z155" i="6"/>
  <c r="Z171" i="6"/>
  <c r="Z142" i="6"/>
  <c r="Z158" i="6"/>
  <c r="Z174" i="6"/>
  <c r="Z145" i="6"/>
  <c r="Z161" i="6"/>
  <c r="Z177" i="6"/>
  <c r="Z148" i="6"/>
  <c r="Z164" i="6"/>
  <c r="Z151" i="6"/>
  <c r="Z157" i="6"/>
  <c r="Z170" i="6"/>
  <c r="Z141" i="6"/>
  <c r="Z154" i="6"/>
  <c r="Z173" i="6"/>
  <c r="Z138" i="6"/>
  <c r="Z167" i="6"/>
  <c r="Z8" i="6"/>
  <c r="Z10" i="6"/>
  <c r="AA7" i="6"/>
  <c r="Z9" i="6"/>
  <c r="Y5" i="6"/>
  <c r="AA11" i="6" l="1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91" i="6"/>
  <c r="AA94" i="6"/>
  <c r="AA141" i="6"/>
  <c r="AA157" i="6"/>
  <c r="AA173" i="6"/>
  <c r="AA210" i="6"/>
  <c r="AA214" i="6"/>
  <c r="AA218" i="6"/>
  <c r="AA222" i="6"/>
  <c r="AA226" i="6"/>
  <c r="AA230" i="6"/>
  <c r="AA235" i="6"/>
  <c r="AA129" i="6"/>
  <c r="AA131" i="6"/>
  <c r="AA133" i="6"/>
  <c r="AA135" i="6"/>
  <c r="AA144" i="6"/>
  <c r="AA160" i="6"/>
  <c r="AA176" i="6"/>
  <c r="AA208" i="6"/>
  <c r="AA212" i="6"/>
  <c r="AA219" i="6"/>
  <c r="AA223" i="6"/>
  <c r="AA227" i="6"/>
  <c r="AA233" i="6"/>
  <c r="AA237" i="6"/>
  <c r="AA147" i="6"/>
  <c r="AA163" i="6"/>
  <c r="AA206" i="6"/>
  <c r="AA213" i="6"/>
  <c r="AA217" i="6"/>
  <c r="AA221" i="6"/>
  <c r="AA225" i="6"/>
  <c r="AA228" i="6"/>
  <c r="AA232" i="6"/>
  <c r="AA236" i="6"/>
  <c r="AA150" i="6"/>
  <c r="AA166" i="6"/>
  <c r="AA207" i="6"/>
  <c r="AA215" i="6"/>
  <c r="AA220" i="6"/>
  <c r="AA224" i="6"/>
  <c r="AA229" i="6"/>
  <c r="AA234" i="6"/>
  <c r="AA93" i="6"/>
  <c r="AA137" i="6"/>
  <c r="AA153" i="6"/>
  <c r="AA169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9" i="6"/>
  <c r="AA211" i="6"/>
  <c r="AA216" i="6"/>
  <c r="AA231" i="6"/>
  <c r="AA140" i="6"/>
  <c r="AA156" i="6"/>
  <c r="AA172" i="6"/>
  <c r="AA143" i="6"/>
  <c r="AA159" i="6"/>
  <c r="AA175" i="6"/>
  <c r="AA146" i="6"/>
  <c r="AA162" i="6"/>
  <c r="AA178" i="6"/>
  <c r="AA149" i="6"/>
  <c r="AA165" i="6"/>
  <c r="AA130" i="6"/>
  <c r="AA132" i="6"/>
  <c r="AA134" i="6"/>
  <c r="AA136" i="6"/>
  <c r="AA152" i="6"/>
  <c r="AA168" i="6"/>
  <c r="AA139" i="6"/>
  <c r="AA155" i="6"/>
  <c r="AA171" i="6"/>
  <c r="AA142" i="6"/>
  <c r="AA158" i="6"/>
  <c r="AA174" i="6"/>
  <c r="AA145" i="6"/>
  <c r="AA161" i="6"/>
  <c r="AA177" i="6"/>
  <c r="AA86" i="6"/>
  <c r="AA151" i="6"/>
  <c r="AA167" i="6"/>
  <c r="AA170" i="6"/>
  <c r="AA164" i="6"/>
  <c r="AA154" i="6"/>
  <c r="AA148" i="6"/>
  <c r="AA88" i="6"/>
  <c r="AA138" i="6"/>
  <c r="Z5" i="6"/>
  <c r="AA9" i="6"/>
  <c r="AA8" i="6"/>
  <c r="AB7" i="6"/>
  <c r="AA10" i="6"/>
  <c r="AB11" i="6" l="1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91" i="6"/>
  <c r="AB94" i="6"/>
  <c r="AB214" i="6"/>
  <c r="AB219" i="6"/>
  <c r="AB224" i="6"/>
  <c r="AB228" i="6"/>
  <c r="AB230" i="6"/>
  <c r="AB217" i="6"/>
  <c r="AB221" i="6"/>
  <c r="AB216" i="6"/>
  <c r="AB223" i="6"/>
  <c r="AB215" i="6"/>
  <c r="AB222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8" i="6"/>
  <c r="AB220" i="6"/>
  <c r="AB225" i="6"/>
  <c r="AB226" i="6"/>
  <c r="AB229" i="6"/>
  <c r="AB232" i="6"/>
  <c r="AB235" i="6"/>
  <c r="AB233" i="6"/>
  <c r="AB236" i="6"/>
  <c r="AB231" i="6"/>
  <c r="AB234" i="6"/>
  <c r="AB237" i="6"/>
  <c r="AB227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<sst xmlns="http://schemas.openxmlformats.org/spreadsheetml/2006/main" count="2202" uniqueCount="1004">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</sst>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8"/>
  <sheetViews>
    <sheetView tabSelected="1" zoomScale="110" zoomScaleNormal="110" workbookViewId="0">
      <pane ySplit="7" topLeftCell="A45" activePane="bottomLeft" state="frozen"/>
      <selection pane="bottomLeft" activeCell="F56" sqref="F56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103</v>
      </c>
      <c r="G4" s="9">
        <f>+AG6</f>
        <v>80</v>
      </c>
      <c r="H4" s="7">
        <f>+E4-G4</f>
        <v>61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162</v>
      </c>
      <c r="G5" s="11">
        <f>+G3+G4</f>
        <v>126</v>
      </c>
      <c r="H5" s="11">
        <f>+H3+H4</f>
        <v>66</v>
      </c>
      <c r="I5" s="25" t="s">
        <v>43</v>
      </c>
      <c r="J5" s="12"/>
      <c r="K5" s="12"/>
      <c r="N5" s="13"/>
      <c r="R5" s="12"/>
      <c r="S5" s="12">
        <f t="shared" ref="S5:AB5" si="0">SUM(S8:S1880)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SUM(AD8:AD1879)</f>
        <v>59</v>
      </c>
      <c r="AE6" s="2">
        <f t="shared" si="1"/>
        <v>103</v>
      </c>
      <c r="AF6" s="2">
        <f t="shared" si="1"/>
        <v>46</v>
      </c>
      <c r="AG6" s="2">
        <f t="shared" si="1"/>
        <v>80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25">
      <c r="A7" s="35" t="s">
        <v>706</v>
      </c>
      <c r="B7" s="35" t="s">
        <v>703</v>
      </c>
      <c r="C7" s="35" t="s">
        <v>704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861</v>
      </c>
      <c r="L7" s="35" t="s">
        <v>19</v>
      </c>
      <c r="M7" s="36" t="s">
        <v>705</v>
      </c>
      <c r="N7" s="37" t="s">
        <v>0</v>
      </c>
      <c r="O7" s="36" t="s">
        <v>1</v>
      </c>
      <c r="P7" s="36" t="s">
        <v>2</v>
      </c>
      <c r="Q7" s="36" t="s">
        <v>956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260</v>
      </c>
      <c r="M8" s="30" t="s">
        <v>876</v>
      </c>
      <c r="N8" s="30" t="s">
        <v>907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893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893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896</v>
      </c>
      <c r="O11" s="34"/>
      <c r="P11" s="34"/>
      <c r="Q11" s="33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0</v>
      </c>
      <c r="AF11" s="2">
        <f t="shared" ref="AF11:AF74" si="19">+O11*P11*(1-A11)</f>
        <v>0</v>
      </c>
      <c r="AG11" s="2">
        <f t="shared" ref="AG11:AG74" si="20">O11*(1-P11)*(1-A11)</f>
        <v>0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764</v>
      </c>
      <c r="E12" s="30" t="s">
        <v>260</v>
      </c>
      <c r="F12" s="30" t="s">
        <v>517</v>
      </c>
      <c r="G12" s="30" t="s">
        <v>587</v>
      </c>
      <c r="H12" s="30" t="s">
        <v>165</v>
      </c>
      <c r="I12" s="29" t="s">
        <v>518</v>
      </c>
      <c r="J12" s="29">
        <v>1</v>
      </c>
      <c r="K12" s="29" t="s">
        <v>378</v>
      </c>
      <c r="L12" s="29">
        <v>160</v>
      </c>
      <c r="M12" s="30" t="s">
        <v>877</v>
      </c>
      <c r="N12" s="30" t="s">
        <v>907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810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878</v>
      </c>
      <c r="N13" s="33" t="s">
        <v>894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19"/>
        <v>0</v>
      </c>
      <c r="AG13" s="2">
        <f t="shared" si="20"/>
        <v>0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893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859</v>
      </c>
      <c r="M15" s="33" t="s">
        <v>736</v>
      </c>
      <c r="N15" s="33" t="s">
        <v>928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857</v>
      </c>
      <c r="M16" s="21" t="s">
        <v>737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892</v>
      </c>
      <c r="N17" s="33" t="s">
        <v>897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893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848</v>
      </c>
      <c r="J19" s="32">
        <v>99</v>
      </c>
      <c r="K19" s="32" t="s">
        <v>328</v>
      </c>
      <c r="L19" s="32" t="s">
        <v>857</v>
      </c>
      <c r="M19" s="33" t="s">
        <v>739</v>
      </c>
      <c r="N19" s="33" t="s">
        <v>895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858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902</v>
      </c>
      <c r="N21" s="33" t="s">
        <v>929</v>
      </c>
      <c r="O21" s="34"/>
      <c r="P21" s="34"/>
      <c r="Q21" s="3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833</v>
      </c>
      <c r="G22" s="33" t="s">
        <v>834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928</v>
      </c>
      <c r="O22" s="34"/>
      <c r="P22" s="34"/>
      <c r="Q22" s="33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0</v>
      </c>
      <c r="AF22" s="2">
        <f t="shared" si="19"/>
        <v>0</v>
      </c>
      <c r="AG22" s="2">
        <f t="shared" si="20"/>
        <v>0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840</v>
      </c>
      <c r="J23" s="32">
        <v>99</v>
      </c>
      <c r="K23" s="32" t="s">
        <v>325</v>
      </c>
      <c r="L23" s="32">
        <v>45</v>
      </c>
      <c r="M23" s="33" t="s">
        <v>904</v>
      </c>
      <c r="N23" s="33" t="s">
        <v>929</v>
      </c>
      <c r="O23" s="34"/>
      <c r="P23" s="34"/>
      <c r="Q23" s="3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0</v>
      </c>
      <c r="AF23" s="2">
        <f t="shared" si="19"/>
        <v>0</v>
      </c>
      <c r="AG23" s="2">
        <f t="shared" si="20"/>
        <v>0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525</v>
      </c>
      <c r="E24" s="33" t="s">
        <v>263</v>
      </c>
      <c r="F24" s="33" t="s">
        <v>526</v>
      </c>
      <c r="G24" s="33" t="s">
        <v>154</v>
      </c>
      <c r="H24" s="33" t="s">
        <v>165</v>
      </c>
      <c r="I24" s="32" t="s">
        <v>527</v>
      </c>
      <c r="J24" s="32">
        <v>99</v>
      </c>
      <c r="K24" s="32" t="s">
        <v>330</v>
      </c>
      <c r="L24" s="32" t="s">
        <v>855</v>
      </c>
      <c r="M24" s="33" t="s">
        <v>738</v>
      </c>
      <c r="N24" s="33" t="s">
        <v>900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406</v>
      </c>
      <c r="E25" s="21" t="s">
        <v>263</v>
      </c>
      <c r="F25" s="21" t="s">
        <v>407</v>
      </c>
      <c r="G25" s="21" t="s">
        <v>405</v>
      </c>
      <c r="H25" s="21" t="s">
        <v>165</v>
      </c>
      <c r="I25" s="20" t="s">
        <v>408</v>
      </c>
      <c r="J25" s="20">
        <v>99</v>
      </c>
      <c r="K25" s="20" t="s">
        <v>329</v>
      </c>
      <c r="L25" s="20" t="s">
        <v>855</v>
      </c>
      <c r="M25" s="21" t="s">
        <v>779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384</v>
      </c>
      <c r="E26" s="30" t="s">
        <v>262</v>
      </c>
      <c r="F26" s="30" t="s">
        <v>385</v>
      </c>
      <c r="G26" s="30" t="s">
        <v>588</v>
      </c>
      <c r="H26" s="30" t="s">
        <v>165</v>
      </c>
      <c r="I26" s="29" t="s">
        <v>386</v>
      </c>
      <c r="J26" s="29">
        <v>99</v>
      </c>
      <c r="K26" s="29" t="s">
        <v>378</v>
      </c>
      <c r="L26" s="29">
        <v>40</v>
      </c>
      <c r="M26" s="30" t="s">
        <v>206</v>
      </c>
      <c r="N26" s="30" t="s">
        <v>908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893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894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435</v>
      </c>
      <c r="E29" s="33" t="s">
        <v>262</v>
      </c>
      <c r="F29" s="33" t="s">
        <v>434</v>
      </c>
      <c r="G29" s="33" t="s">
        <v>125</v>
      </c>
      <c r="H29" s="33" t="s">
        <v>165</v>
      </c>
      <c r="I29" s="32" t="s">
        <v>436</v>
      </c>
      <c r="J29" s="32">
        <v>99</v>
      </c>
      <c r="K29" s="32" t="s">
        <v>378</v>
      </c>
      <c r="L29" s="32">
        <v>150</v>
      </c>
      <c r="M29" s="33" t="s">
        <v>879</v>
      </c>
      <c r="N29" s="33" t="s">
        <v>897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364</v>
      </c>
      <c r="G30" s="30" t="s">
        <v>40</v>
      </c>
      <c r="H30" s="30" t="s">
        <v>165</v>
      </c>
      <c r="I30" s="29" t="s">
        <v>371</v>
      </c>
      <c r="J30" s="29">
        <v>99</v>
      </c>
      <c r="K30" s="29" t="s">
        <v>322</v>
      </c>
      <c r="L30" s="29">
        <v>90</v>
      </c>
      <c r="M30" s="30" t="s">
        <v>905</v>
      </c>
      <c r="N30" s="30" t="s">
        <v>912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901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802</v>
      </c>
      <c r="E32" s="21" t="s">
        <v>262</v>
      </c>
      <c r="F32" s="21" t="s">
        <v>753</v>
      </c>
      <c r="G32" s="21" t="s">
        <v>689</v>
      </c>
      <c r="H32" s="21" t="s">
        <v>165</v>
      </c>
      <c r="I32" s="20" t="s">
        <v>845</v>
      </c>
      <c r="J32" s="20">
        <v>4</v>
      </c>
      <c r="K32" s="20" t="s">
        <v>326</v>
      </c>
      <c r="L32" s="20">
        <v>130</v>
      </c>
      <c r="M32" s="21" t="s">
        <v>880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415</v>
      </c>
      <c r="E33" s="30" t="s">
        <v>262</v>
      </c>
      <c r="F33" s="30" t="s">
        <v>416</v>
      </c>
      <c r="G33" s="30" t="s">
        <v>96</v>
      </c>
      <c r="H33" s="30" t="s">
        <v>165</v>
      </c>
      <c r="I33" s="29" t="s">
        <v>417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893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633</v>
      </c>
      <c r="E34" s="30" t="s">
        <v>262</v>
      </c>
      <c r="F34" s="30" t="s">
        <v>691</v>
      </c>
      <c r="G34" s="30" t="s">
        <v>93</v>
      </c>
      <c r="H34" s="30" t="s">
        <v>165</v>
      </c>
      <c r="I34" s="29" t="s">
        <v>634</v>
      </c>
      <c r="J34" s="29">
        <v>8</v>
      </c>
      <c r="K34" s="29" t="s">
        <v>325</v>
      </c>
      <c r="L34" s="29">
        <v>45</v>
      </c>
      <c r="M34" s="30" t="s">
        <v>881</v>
      </c>
      <c r="N34" s="30" t="s">
        <v>906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387</v>
      </c>
      <c r="E35" s="21" t="s">
        <v>259</v>
      </c>
      <c r="F35" s="21" t="s">
        <v>388</v>
      </c>
      <c r="G35" s="21" t="s">
        <v>157</v>
      </c>
      <c r="H35" s="21" t="s">
        <v>165</v>
      </c>
      <c r="I35" s="20" t="s">
        <v>389</v>
      </c>
      <c r="J35" s="20">
        <v>99</v>
      </c>
      <c r="K35" s="20" t="s">
        <v>330</v>
      </c>
      <c r="L35" s="20">
        <v>65</v>
      </c>
      <c r="M35" s="21" t="s">
        <v>740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378</v>
      </c>
      <c r="L36" s="29">
        <v>90</v>
      </c>
      <c r="M36" s="30" t="s">
        <v>598</v>
      </c>
      <c r="N36" s="30" t="s">
        <v>912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438</v>
      </c>
      <c r="E37" s="30" t="s">
        <v>259</v>
      </c>
      <c r="F37" s="30" t="s">
        <v>439</v>
      </c>
      <c r="G37" s="30" t="s">
        <v>440</v>
      </c>
      <c r="H37" s="30" t="s">
        <v>165</v>
      </c>
      <c r="I37" s="29" t="s">
        <v>441</v>
      </c>
      <c r="J37" s="29">
        <v>99</v>
      </c>
      <c r="K37" s="29" t="s">
        <v>378</v>
      </c>
      <c r="L37" s="29">
        <v>60</v>
      </c>
      <c r="M37" s="30" t="s">
        <v>599</v>
      </c>
      <c r="N37" s="30" t="s">
        <v>893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809</v>
      </c>
      <c r="E38" s="21" t="s">
        <v>499</v>
      </c>
      <c r="F38" s="21" t="s">
        <v>500</v>
      </c>
      <c r="G38" s="21" t="s">
        <v>93</v>
      </c>
      <c r="H38" s="21" t="s">
        <v>165</v>
      </c>
      <c r="I38" s="20" t="s">
        <v>501</v>
      </c>
      <c r="J38" s="20">
        <v>8</v>
      </c>
      <c r="K38" s="20" t="s">
        <v>329</v>
      </c>
      <c r="L38" s="20" t="s">
        <v>852</v>
      </c>
      <c r="M38" s="21" t="s">
        <v>599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512</v>
      </c>
      <c r="E39" s="30" t="s">
        <v>676</v>
      </c>
      <c r="F39" s="30" t="s">
        <v>513</v>
      </c>
      <c r="G39" s="30" t="s">
        <v>39</v>
      </c>
      <c r="H39" s="30" t="s">
        <v>165</v>
      </c>
      <c r="I39" s="29" t="s">
        <v>514</v>
      </c>
      <c r="J39" s="29">
        <v>8</v>
      </c>
      <c r="K39" s="29" t="s">
        <v>326</v>
      </c>
      <c r="L39" s="29" t="s">
        <v>856</v>
      </c>
      <c r="M39" s="30" t="s">
        <v>741</v>
      </c>
      <c r="N39" s="30" t="s">
        <v>912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860</v>
      </c>
      <c r="M40" s="33" t="s">
        <v>783</v>
      </c>
      <c r="N40" s="33" t="s">
        <v>909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754</v>
      </c>
      <c r="E41" s="30" t="s">
        <v>755</v>
      </c>
      <c r="F41" s="30" t="s">
        <v>756</v>
      </c>
      <c r="G41" s="30" t="s">
        <v>92</v>
      </c>
      <c r="H41" s="30" t="s">
        <v>165</v>
      </c>
      <c r="I41" s="29" t="s">
        <v>757</v>
      </c>
      <c r="J41" s="29">
        <v>1</v>
      </c>
      <c r="K41" s="29" t="s">
        <v>378</v>
      </c>
      <c r="L41" s="29">
        <v>35</v>
      </c>
      <c r="M41" s="30" t="s">
        <v>758</v>
      </c>
      <c r="N41" s="30" t="s">
        <v>901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413</v>
      </c>
      <c r="E42" s="30" t="s">
        <v>259</v>
      </c>
      <c r="F42" s="30" t="s">
        <v>589</v>
      </c>
      <c r="G42" s="30" t="s">
        <v>284</v>
      </c>
      <c r="H42" s="30" t="s">
        <v>165</v>
      </c>
      <c r="I42" s="29" t="s">
        <v>414</v>
      </c>
      <c r="J42" s="29">
        <v>99</v>
      </c>
      <c r="K42" s="29" t="s">
        <v>331</v>
      </c>
      <c r="L42" s="29" t="s">
        <v>341</v>
      </c>
      <c r="M42" s="30" t="s">
        <v>741</v>
      </c>
      <c r="N42" s="30" t="s">
        <v>907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32">
        <v>0</v>
      </c>
      <c r="B43" s="32">
        <v>1</v>
      </c>
      <c r="C43" s="32">
        <v>3</v>
      </c>
      <c r="D43" s="33" t="s">
        <v>683</v>
      </c>
      <c r="E43" s="33" t="s">
        <v>624</v>
      </c>
      <c r="F43" s="33" t="s">
        <v>622</v>
      </c>
      <c r="G43" s="33" t="s">
        <v>40</v>
      </c>
      <c r="H43" s="33" t="s">
        <v>623</v>
      </c>
      <c r="I43" s="32" t="s">
        <v>625</v>
      </c>
      <c r="J43" s="32">
        <v>99</v>
      </c>
      <c r="K43" s="32" t="s">
        <v>378</v>
      </c>
      <c r="L43" s="32">
        <v>60</v>
      </c>
      <c r="M43" s="33" t="s">
        <v>599</v>
      </c>
      <c r="N43" s="33" t="s">
        <v>900</v>
      </c>
      <c r="O43" s="34"/>
      <c r="P43" s="34"/>
      <c r="Q43" s="33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572</v>
      </c>
      <c r="E44" s="30" t="s">
        <v>509</v>
      </c>
      <c r="F44" s="30" t="s">
        <v>591</v>
      </c>
      <c r="G44" s="30" t="s">
        <v>93</v>
      </c>
      <c r="H44" s="30" t="s">
        <v>165</v>
      </c>
      <c r="I44" s="29" t="s">
        <v>596</v>
      </c>
      <c r="J44" s="29">
        <v>8</v>
      </c>
      <c r="K44" s="29" t="s">
        <v>378</v>
      </c>
      <c r="L44" s="29" t="s">
        <v>346</v>
      </c>
      <c r="M44" s="30" t="s">
        <v>510</v>
      </c>
      <c r="N44" s="30" t="s">
        <v>907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1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772</v>
      </c>
      <c r="E45" s="30" t="s">
        <v>259</v>
      </c>
      <c r="F45" s="30" t="s">
        <v>773</v>
      </c>
      <c r="G45" s="30" t="s">
        <v>103</v>
      </c>
      <c r="H45" s="30" t="s">
        <v>165</v>
      </c>
      <c r="I45" s="29" t="s">
        <v>774</v>
      </c>
      <c r="J45" s="29">
        <v>6</v>
      </c>
      <c r="K45" s="29" t="s">
        <v>378</v>
      </c>
      <c r="L45" s="29">
        <v>70</v>
      </c>
      <c r="M45" s="30" t="s">
        <v>775</v>
      </c>
      <c r="N45" s="30" t="s">
        <v>912</v>
      </c>
      <c r="O45" s="31">
        <v>1</v>
      </c>
      <c r="P45" s="31"/>
      <c r="Q45" s="30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609</v>
      </c>
      <c r="E46" s="33" t="s">
        <v>259</v>
      </c>
      <c r="F46" s="33" t="s">
        <v>610</v>
      </c>
      <c r="G46" s="33" t="s">
        <v>826</v>
      </c>
      <c r="H46" s="33" t="s">
        <v>165</v>
      </c>
      <c r="I46" s="32" t="s">
        <v>611</v>
      </c>
      <c r="J46" s="32">
        <v>99</v>
      </c>
      <c r="K46" s="32" t="s">
        <v>332</v>
      </c>
      <c r="L46" s="32" t="s">
        <v>341</v>
      </c>
      <c r="M46" s="33" t="s">
        <v>741</v>
      </c>
      <c r="N46" s="33" t="s">
        <v>894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686</v>
      </c>
      <c r="E47" s="30" t="s">
        <v>263</v>
      </c>
      <c r="F47" s="30" t="s">
        <v>690</v>
      </c>
      <c r="G47" s="30" t="s">
        <v>93</v>
      </c>
      <c r="H47" s="30" t="s">
        <v>165</v>
      </c>
      <c r="I47" s="29" t="s">
        <v>511</v>
      </c>
      <c r="J47" s="29">
        <v>8</v>
      </c>
      <c r="K47" s="29" t="s">
        <v>332</v>
      </c>
      <c r="L47" s="29" t="s">
        <v>597</v>
      </c>
      <c r="M47" s="30" t="s">
        <v>206</v>
      </c>
      <c r="N47" s="30" t="s">
        <v>907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687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907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D49" s="2">
        <f t="shared" si="17"/>
        <v>0</v>
      </c>
      <c r="AE49" s="2">
        <f t="shared" si="18"/>
        <v>0</v>
      </c>
      <c r="AF49" s="2">
        <f t="shared" si="19"/>
        <v>0</v>
      </c>
      <c r="AG49" s="2">
        <f t="shared" si="20"/>
        <v>0</v>
      </c>
      <c r="AH49" s="2">
        <f t="shared" si="21"/>
        <v>1</v>
      </c>
      <c r="AI49" s="2">
        <f t="shared" si="22"/>
        <v>0</v>
      </c>
    </row>
    <row r="50" spans="1:35" ht="14.25" customHeight="1" x14ac:dyDescent="0.25">
      <c r="A50" s="29">
        <v>0</v>
      </c>
      <c r="B50" s="29">
        <v>1</v>
      </c>
      <c r="C50" s="29">
        <v>3</v>
      </c>
      <c r="D50" s="30" t="s">
        <v>637</v>
      </c>
      <c r="E50" s="30" t="s">
        <v>638</v>
      </c>
      <c r="F50" s="30" t="s">
        <v>639</v>
      </c>
      <c r="G50" s="30" t="s">
        <v>516</v>
      </c>
      <c r="H50" s="30" t="s">
        <v>165</v>
      </c>
      <c r="I50" s="29" t="s">
        <v>640</v>
      </c>
      <c r="J50" s="29"/>
      <c r="K50" s="29" t="s">
        <v>378</v>
      </c>
      <c r="L50" s="29">
        <v>55</v>
      </c>
      <c r="M50" s="30" t="s">
        <v>641</v>
      </c>
      <c r="N50" s="30" t="s">
        <v>935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35" ht="14.25" customHeight="1" x14ac:dyDescent="0.25">
      <c r="A51" s="32">
        <v>0</v>
      </c>
      <c r="B51" s="32">
        <v>1</v>
      </c>
      <c r="C51" s="32">
        <v>3</v>
      </c>
      <c r="D51" s="33" t="s">
        <v>728</v>
      </c>
      <c r="E51" s="33" t="s">
        <v>259</v>
      </c>
      <c r="F51" s="33" t="s">
        <v>832</v>
      </c>
      <c r="G51" s="33" t="s">
        <v>731</v>
      </c>
      <c r="H51" s="33" t="s">
        <v>165</v>
      </c>
      <c r="I51" s="32" t="s">
        <v>730</v>
      </c>
      <c r="J51" s="32">
        <v>99</v>
      </c>
      <c r="K51" s="32" t="s">
        <v>331</v>
      </c>
      <c r="L51" s="32" t="s">
        <v>346</v>
      </c>
      <c r="M51" s="33" t="s">
        <v>729</v>
      </c>
      <c r="N51" s="33" t="s">
        <v>900</v>
      </c>
      <c r="O51" s="34"/>
      <c r="P51" s="34"/>
      <c r="Q51" s="33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19"/>
        <v>0</v>
      </c>
      <c r="AG51" s="2">
        <f t="shared" si="20"/>
        <v>0</v>
      </c>
      <c r="AH51" s="2">
        <f t="shared" si="21"/>
        <v>0</v>
      </c>
      <c r="AI51" s="2">
        <f t="shared" si="22"/>
        <v>1</v>
      </c>
    </row>
    <row r="52" spans="1:35" ht="14.25" customHeight="1" x14ac:dyDescent="0.25">
      <c r="A52" s="20">
        <v>0</v>
      </c>
      <c r="B52" s="20">
        <v>1</v>
      </c>
      <c r="C52" s="20">
        <v>3</v>
      </c>
      <c r="D52" s="21" t="s">
        <v>985</v>
      </c>
      <c r="E52" s="21" t="s">
        <v>259</v>
      </c>
      <c r="F52" s="21" t="s">
        <v>986</v>
      </c>
      <c r="G52" s="21" t="s">
        <v>987</v>
      </c>
      <c r="H52" s="21" t="s">
        <v>165</v>
      </c>
      <c r="I52" s="20" t="s">
        <v>988</v>
      </c>
      <c r="J52" s="20"/>
      <c r="K52" s="20" t="s">
        <v>378</v>
      </c>
      <c r="L52" s="20">
        <v>65</v>
      </c>
      <c r="M52" s="21" t="s">
        <v>989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35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736</v>
      </c>
      <c r="N53" s="30" t="s">
        <v>935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910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35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781</v>
      </c>
      <c r="N55" s="30" t="s">
        <v>893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35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378</v>
      </c>
      <c r="L56" s="32" t="s">
        <v>334</v>
      </c>
      <c r="M56" s="33" t="s">
        <v>266</v>
      </c>
      <c r="N56" s="33" t="s">
        <v>929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713</v>
      </c>
      <c r="E57" s="21" t="s">
        <v>710</v>
      </c>
      <c r="F57" s="21" t="s">
        <v>709</v>
      </c>
      <c r="G57" s="21" t="s">
        <v>303</v>
      </c>
      <c r="H57" s="21" t="s">
        <v>165</v>
      </c>
      <c r="I57" s="20" t="s">
        <v>711</v>
      </c>
      <c r="J57" s="20">
        <v>99</v>
      </c>
      <c r="K57" s="20" t="s">
        <v>378</v>
      </c>
      <c r="L57" s="20">
        <v>55</v>
      </c>
      <c r="M57" s="21" t="s">
        <v>708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35" ht="14.25" customHeight="1" x14ac:dyDescent="0.25">
      <c r="A58" s="29">
        <v>0</v>
      </c>
      <c r="B58" s="29">
        <v>1</v>
      </c>
      <c r="C58" s="29">
        <v>5</v>
      </c>
      <c r="D58" s="30" t="s">
        <v>887</v>
      </c>
      <c r="E58" s="30" t="s">
        <v>890</v>
      </c>
      <c r="F58" s="30" t="s">
        <v>888</v>
      </c>
      <c r="G58" s="30" t="s">
        <v>403</v>
      </c>
      <c r="H58" s="30" t="s">
        <v>165</v>
      </c>
      <c r="I58" s="29" t="s">
        <v>889</v>
      </c>
      <c r="J58" s="29"/>
      <c r="K58" s="29" t="s">
        <v>378</v>
      </c>
      <c r="L58" s="29">
        <v>55</v>
      </c>
      <c r="M58" s="30" t="s">
        <v>891</v>
      </c>
      <c r="N58" s="30" t="s">
        <v>935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872</v>
      </c>
      <c r="E59" s="30" t="s">
        <v>803</v>
      </c>
      <c r="F59" s="30" t="s">
        <v>873</v>
      </c>
      <c r="G59" s="30" t="s">
        <v>309</v>
      </c>
      <c r="H59" s="30" t="s">
        <v>165</v>
      </c>
      <c r="I59" s="29" t="s">
        <v>874</v>
      </c>
      <c r="J59" s="29"/>
      <c r="K59" s="29" t="s">
        <v>378</v>
      </c>
      <c r="L59" s="29">
        <v>50</v>
      </c>
      <c r="M59" s="30" t="s">
        <v>875</v>
      </c>
      <c r="N59" s="30" t="s">
        <v>935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804</v>
      </c>
      <c r="E60" s="21" t="s">
        <v>803</v>
      </c>
      <c r="F60" s="21" t="s">
        <v>837</v>
      </c>
      <c r="G60" s="21" t="s">
        <v>93</v>
      </c>
      <c r="H60" s="21" t="s">
        <v>165</v>
      </c>
      <c r="I60" s="20" t="s">
        <v>851</v>
      </c>
      <c r="J60" s="20">
        <v>8</v>
      </c>
      <c r="K60" s="20" t="s">
        <v>332</v>
      </c>
      <c r="L60" s="20">
        <v>50</v>
      </c>
      <c r="M60" s="21" t="s">
        <v>875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35" ht="14.25" customHeight="1" x14ac:dyDescent="0.25">
      <c r="A61" s="29">
        <v>0</v>
      </c>
      <c r="B61" s="29">
        <v>1</v>
      </c>
      <c r="C61" s="29">
        <v>5</v>
      </c>
      <c r="D61" s="30" t="s">
        <v>869</v>
      </c>
      <c r="E61" s="30" t="s">
        <v>803</v>
      </c>
      <c r="F61" s="30" t="s">
        <v>870</v>
      </c>
      <c r="G61" s="30" t="s">
        <v>370</v>
      </c>
      <c r="H61" s="30" t="s">
        <v>165</v>
      </c>
      <c r="I61" s="29" t="s">
        <v>871</v>
      </c>
      <c r="J61" s="29"/>
      <c r="K61" s="29" t="s">
        <v>378</v>
      </c>
      <c r="L61" s="29">
        <v>45</v>
      </c>
      <c r="M61" s="30" t="s">
        <v>420</v>
      </c>
      <c r="N61" s="30" t="s">
        <v>893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378</v>
      </c>
      <c r="L62" s="29">
        <v>30</v>
      </c>
      <c r="M62" s="30" t="s">
        <v>266</v>
      </c>
      <c r="N62" s="30" t="s">
        <v>912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358</v>
      </c>
      <c r="E63" s="30" t="s">
        <v>363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378</v>
      </c>
      <c r="L63" s="29">
        <v>42</v>
      </c>
      <c r="M63" s="30" t="s">
        <v>420</v>
      </c>
      <c r="N63" s="30" t="s">
        <v>912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557</v>
      </c>
      <c r="E64" s="30" t="s">
        <v>296</v>
      </c>
      <c r="F64" s="30" t="s">
        <v>558</v>
      </c>
      <c r="G64" s="30" t="s">
        <v>592</v>
      </c>
      <c r="H64" s="30" t="s">
        <v>165</v>
      </c>
      <c r="I64" s="29" t="s">
        <v>559</v>
      </c>
      <c r="J64" s="29">
        <v>99</v>
      </c>
      <c r="K64" s="29" t="s">
        <v>330</v>
      </c>
      <c r="L64" s="29" t="s">
        <v>597</v>
      </c>
      <c r="M64" s="30" t="s">
        <v>420</v>
      </c>
      <c r="N64" s="30" t="s">
        <v>912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372</v>
      </c>
      <c r="J65" s="29">
        <v>99</v>
      </c>
      <c r="K65" s="29" t="s">
        <v>329</v>
      </c>
      <c r="L65" s="29" t="s">
        <v>341</v>
      </c>
      <c r="M65" s="30" t="s">
        <v>785</v>
      </c>
      <c r="N65" s="30" t="s">
        <v>912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378</v>
      </c>
      <c r="L66" s="29" t="s">
        <v>335</v>
      </c>
      <c r="M66" s="30" t="s">
        <v>496</v>
      </c>
      <c r="N66" s="30" t="s">
        <v>930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742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469</v>
      </c>
      <c r="F68" s="30" t="s">
        <v>693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420</v>
      </c>
      <c r="N68" s="30" t="s">
        <v>899</v>
      </c>
      <c r="O68" s="31">
        <v>1</v>
      </c>
      <c r="P68" s="31"/>
      <c r="Q68" s="30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814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894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815</v>
      </c>
      <c r="E70" s="21" t="s">
        <v>803</v>
      </c>
      <c r="F70" s="21" t="s">
        <v>805</v>
      </c>
      <c r="G70" s="21" t="s">
        <v>117</v>
      </c>
      <c r="H70" s="21" t="s">
        <v>165</v>
      </c>
      <c r="I70" s="20" t="s">
        <v>806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815</v>
      </c>
      <c r="E71" s="21" t="s">
        <v>803</v>
      </c>
      <c r="F71" s="21" t="s">
        <v>838</v>
      </c>
      <c r="G71" s="21" t="s">
        <v>96</v>
      </c>
      <c r="H71" s="21" t="s">
        <v>165</v>
      </c>
      <c r="I71" s="20" t="s">
        <v>807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808</v>
      </c>
      <c r="E72" s="30" t="s">
        <v>261</v>
      </c>
      <c r="F72" s="30" t="s">
        <v>770</v>
      </c>
      <c r="G72" s="30" t="s">
        <v>519</v>
      </c>
      <c r="H72" s="30" t="s">
        <v>165</v>
      </c>
      <c r="I72" s="29" t="s">
        <v>771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893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893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674</v>
      </c>
      <c r="F74" s="30" t="s">
        <v>666</v>
      </c>
      <c r="G74" s="30" t="s">
        <v>667</v>
      </c>
      <c r="H74" s="30" t="s">
        <v>165</v>
      </c>
      <c r="I74" s="29" t="s">
        <v>668</v>
      </c>
      <c r="J74" s="29"/>
      <c r="K74" s="29" t="s">
        <v>332</v>
      </c>
      <c r="L74" s="29">
        <v>45</v>
      </c>
      <c r="M74" s="30" t="s">
        <v>752</v>
      </c>
      <c r="N74" s="30" t="s">
        <v>899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752</v>
      </c>
      <c r="N75" s="30" t="s">
        <v>899</v>
      </c>
      <c r="O75" s="31">
        <v>1</v>
      </c>
      <c r="P75" s="31"/>
      <c r="Q75" s="30"/>
      <c r="S75" s="2">
        <f t="shared" ref="S75:S138" si="23">IF(J75=$S$7,1,0)</f>
        <v>0</v>
      </c>
      <c r="T75" s="2">
        <f t="shared" ref="T75:T138" si="24">IF(J75=$T$7,1,0)</f>
        <v>0</v>
      </c>
      <c r="U75" s="2">
        <f t="shared" ref="U75:U138" si="25">IF(J75=$U$7,1,0)</f>
        <v>0</v>
      </c>
      <c r="V75" s="2">
        <f t="shared" ref="V75:V138" si="26">IF(J75=$V$7,1,0)</f>
        <v>0</v>
      </c>
      <c r="W75" s="2">
        <f t="shared" ref="W75:W138" si="27">IF(J75=$W$7,1,0)</f>
        <v>0</v>
      </c>
      <c r="X75" s="2">
        <f t="shared" ref="X75:X138" si="28">IF(J75=$X$7,1,0)</f>
        <v>1</v>
      </c>
      <c r="Y75" s="2">
        <f t="shared" ref="Y75:Y138" si="29">IF(J75=$Y$7,1,0)</f>
        <v>0</v>
      </c>
      <c r="Z75" s="2">
        <f t="shared" ref="Z75:Z138" si="30">IF(J75=$Z$7,1,0)</f>
        <v>0</v>
      </c>
      <c r="AA75" s="2">
        <f t="shared" ref="AA75:AA138" si="31">IF(J75=$AA$7,1,0)</f>
        <v>0</v>
      </c>
      <c r="AB75" s="2">
        <f t="shared" ref="AB75:AB138" si="32">IF(J75=$AB$7,1,0)</f>
        <v>0</v>
      </c>
      <c r="AD75" s="2">
        <f t="shared" ref="AD75:AD138" si="33">+O75*P75</f>
        <v>0</v>
      </c>
      <c r="AE75" s="2">
        <f t="shared" ref="AE75:AE138" si="34">O75*(1-P75)</f>
        <v>1</v>
      </c>
      <c r="AF75" s="2">
        <f t="shared" ref="AF75:AF138" si="35">+O75*P75*(1-A75)</f>
        <v>0</v>
      </c>
      <c r="AG75" s="2">
        <f t="shared" ref="AG75:AG138" si="36">O75*(1-P75)*(1-A75)</f>
        <v>0</v>
      </c>
      <c r="AH75" s="2">
        <f t="shared" ref="AH75:AH138" si="37">+P75*(1-A75)</f>
        <v>0</v>
      </c>
      <c r="AI75" s="2">
        <f t="shared" ref="AI75:AI138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717</v>
      </c>
      <c r="E76" s="30" t="s">
        <v>258</v>
      </c>
      <c r="F76" s="30" t="s">
        <v>718</v>
      </c>
      <c r="G76" s="30" t="s">
        <v>130</v>
      </c>
      <c r="H76" s="30" t="s">
        <v>165</v>
      </c>
      <c r="I76" s="29" t="s">
        <v>719</v>
      </c>
      <c r="J76" s="29"/>
      <c r="K76" s="29" t="s">
        <v>329</v>
      </c>
      <c r="L76" s="29">
        <v>35</v>
      </c>
      <c r="M76" s="30" t="s">
        <v>882</v>
      </c>
      <c r="N76" s="30" t="s">
        <v>899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934</v>
      </c>
      <c r="N77" s="30" t="s">
        <v>899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893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359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487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929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893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841</v>
      </c>
      <c r="J81" s="29">
        <v>3</v>
      </c>
      <c r="K81" s="29" t="s">
        <v>330</v>
      </c>
      <c r="L81" s="29" t="s">
        <v>346</v>
      </c>
      <c r="M81" s="30" t="s">
        <v>765</v>
      </c>
      <c r="N81" s="30" t="s">
        <v>901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854</v>
      </c>
      <c r="M82" s="30" t="s">
        <v>700</v>
      </c>
      <c r="N82" s="30" t="s">
        <v>901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590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749</v>
      </c>
      <c r="N83" s="30" t="s">
        <v>899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733</v>
      </c>
      <c r="E86" s="21" t="s">
        <v>258</v>
      </c>
      <c r="F86" s="21" t="s">
        <v>734</v>
      </c>
      <c r="G86" s="21" t="s">
        <v>735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732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541</v>
      </c>
      <c r="E87" s="33" t="s">
        <v>575</v>
      </c>
      <c r="F87" s="33" t="s">
        <v>829</v>
      </c>
      <c r="G87" s="33" t="s">
        <v>542</v>
      </c>
      <c r="H87" s="33" t="s">
        <v>165</v>
      </c>
      <c r="I87" s="32" t="s">
        <v>543</v>
      </c>
      <c r="J87" s="32">
        <v>99</v>
      </c>
      <c r="K87" s="32" t="s">
        <v>330</v>
      </c>
      <c r="L87" s="32" t="s">
        <v>334</v>
      </c>
      <c r="M87" s="33" t="s">
        <v>743</v>
      </c>
      <c r="N87" s="33" t="s">
        <v>900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360</v>
      </c>
      <c r="E88" s="30" t="s">
        <v>576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378</v>
      </c>
      <c r="L88" s="29">
        <v>92</v>
      </c>
      <c r="M88" s="30" t="s">
        <v>782</v>
      </c>
      <c r="N88" s="30" t="s">
        <v>907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981</v>
      </c>
      <c r="E89" s="27" t="s">
        <v>258</v>
      </c>
      <c r="F89" s="27" t="s">
        <v>982</v>
      </c>
      <c r="G89" s="27" t="s">
        <v>983</v>
      </c>
      <c r="H89" s="27" t="s">
        <v>165</v>
      </c>
      <c r="I89" s="26" t="s">
        <v>984</v>
      </c>
      <c r="J89" s="26"/>
      <c r="K89" s="26" t="s">
        <v>378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366</v>
      </c>
      <c r="G91" s="30" t="s">
        <v>91</v>
      </c>
      <c r="H91" s="30" t="s">
        <v>165</v>
      </c>
      <c r="I91" s="29" t="s">
        <v>374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912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912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912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671</v>
      </c>
      <c r="G94" s="30" t="s">
        <v>673</v>
      </c>
      <c r="H94" s="30" t="s">
        <v>165</v>
      </c>
      <c r="I94" s="29" t="s">
        <v>672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912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365</v>
      </c>
      <c r="G95" s="30" t="s">
        <v>93</v>
      </c>
      <c r="H95" s="30" t="s">
        <v>165</v>
      </c>
      <c r="I95" s="29" t="s">
        <v>373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912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912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571</v>
      </c>
      <c r="E97" s="30" t="s">
        <v>32</v>
      </c>
      <c r="F97" s="30" t="s">
        <v>586</v>
      </c>
      <c r="G97" s="30" t="s">
        <v>309</v>
      </c>
      <c r="H97" s="30" t="s">
        <v>165</v>
      </c>
      <c r="I97" s="29" t="s">
        <v>528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893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908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669</v>
      </c>
      <c r="G99" s="30" t="s">
        <v>96</v>
      </c>
      <c r="H99" s="30" t="s">
        <v>165</v>
      </c>
      <c r="I99" s="29" t="s">
        <v>839</v>
      </c>
      <c r="J99" s="29">
        <v>1</v>
      </c>
      <c r="K99" s="29" t="s">
        <v>320</v>
      </c>
      <c r="L99" s="29" t="s">
        <v>343</v>
      </c>
      <c r="M99" s="30" t="s">
        <v>750</v>
      </c>
      <c r="N99" s="30" t="s">
        <v>901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750</v>
      </c>
      <c r="N100" s="30" t="s">
        <v>901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473</v>
      </c>
      <c r="G101" s="30" t="s">
        <v>92</v>
      </c>
      <c r="H101" s="30" t="s">
        <v>165</v>
      </c>
      <c r="I101" s="29" t="s">
        <v>485</v>
      </c>
      <c r="J101" s="29">
        <v>2</v>
      </c>
      <c r="K101" s="29" t="s">
        <v>320</v>
      </c>
      <c r="L101" s="29" t="s">
        <v>343</v>
      </c>
      <c r="M101" s="30" t="s">
        <v>750</v>
      </c>
      <c r="N101" s="30" t="s">
        <v>901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446</v>
      </c>
      <c r="E102" s="30" t="s">
        <v>32</v>
      </c>
      <c r="F102" s="30" t="s">
        <v>657</v>
      </c>
      <c r="G102" s="30" t="s">
        <v>96</v>
      </c>
      <c r="H102" s="30" t="s">
        <v>165</v>
      </c>
      <c r="I102" s="29" t="s">
        <v>658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893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447</v>
      </c>
      <c r="G103" s="30" t="s">
        <v>145</v>
      </c>
      <c r="H103" s="30" t="s">
        <v>165</v>
      </c>
      <c r="I103" s="29" t="s">
        <v>448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893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835</v>
      </c>
      <c r="G104" s="30" t="s">
        <v>124</v>
      </c>
      <c r="H104" s="30" t="s">
        <v>165</v>
      </c>
      <c r="I104" s="29" t="s">
        <v>849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893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836</v>
      </c>
      <c r="G105" s="30" t="s">
        <v>103</v>
      </c>
      <c r="H105" s="30" t="s">
        <v>165</v>
      </c>
      <c r="I105" s="29" t="s">
        <v>850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893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929</v>
      </c>
      <c r="O106" s="34"/>
      <c r="P106" s="34"/>
      <c r="Q106" s="33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929</v>
      </c>
      <c r="O107" s="34"/>
      <c r="P107" s="34"/>
      <c r="Q107" s="33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946</v>
      </c>
      <c r="E108" s="30" t="s">
        <v>32</v>
      </c>
      <c r="F108" s="30" t="s">
        <v>947</v>
      </c>
      <c r="G108" s="30"/>
      <c r="H108" s="30" t="s">
        <v>165</v>
      </c>
      <c r="I108" s="29" t="s">
        <v>948</v>
      </c>
      <c r="J108" s="29"/>
      <c r="K108" s="29" t="s">
        <v>378</v>
      </c>
      <c r="L108" s="29">
        <v>30</v>
      </c>
      <c r="M108" s="30" t="s">
        <v>949</v>
      </c>
      <c r="N108" s="30" t="s">
        <v>893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32">
        <v>0</v>
      </c>
      <c r="B109" s="32">
        <v>1</v>
      </c>
      <c r="C109" s="32">
        <v>7</v>
      </c>
      <c r="D109" s="33" t="s">
        <v>961</v>
      </c>
      <c r="E109" s="33" t="s">
        <v>32</v>
      </c>
      <c r="F109" s="33" t="s">
        <v>962</v>
      </c>
      <c r="G109" s="33" t="s">
        <v>130</v>
      </c>
      <c r="H109" s="33" t="s">
        <v>165</v>
      </c>
      <c r="I109" s="32" t="s">
        <v>963</v>
      </c>
      <c r="J109" s="32">
        <v>10</v>
      </c>
      <c r="K109" s="32" t="s">
        <v>378</v>
      </c>
      <c r="L109" s="32">
        <v>40</v>
      </c>
      <c r="M109" s="33" t="s">
        <v>1003</v>
      </c>
      <c r="N109" s="33" t="s">
        <v>909</v>
      </c>
      <c r="O109" s="34"/>
      <c r="P109" s="34"/>
      <c r="Q109" s="3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0</v>
      </c>
      <c r="AF109" s="2">
        <f t="shared" si="35"/>
        <v>0</v>
      </c>
      <c r="AG109" s="2">
        <f t="shared" si="36"/>
        <v>0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32">
        <v>0</v>
      </c>
      <c r="B110" s="32">
        <v>1</v>
      </c>
      <c r="C110" s="32">
        <v>7</v>
      </c>
      <c r="D110" s="33" t="s">
        <v>647</v>
      </c>
      <c r="E110" s="33" t="s">
        <v>32</v>
      </c>
      <c r="F110" s="33" t="s">
        <v>649</v>
      </c>
      <c r="G110" s="33" t="s">
        <v>117</v>
      </c>
      <c r="H110" s="33" t="s">
        <v>165</v>
      </c>
      <c r="I110" s="32" t="s">
        <v>694</v>
      </c>
      <c r="J110" s="32">
        <v>1</v>
      </c>
      <c r="K110" s="32" t="s">
        <v>320</v>
      </c>
      <c r="L110" s="32" t="s">
        <v>335</v>
      </c>
      <c r="M110" s="33" t="s">
        <v>648</v>
      </c>
      <c r="N110" s="33" t="s">
        <v>895</v>
      </c>
      <c r="O110" s="34"/>
      <c r="P110" s="34"/>
      <c r="Q110" s="3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0</v>
      </c>
      <c r="AF110" s="2">
        <f t="shared" si="35"/>
        <v>0</v>
      </c>
      <c r="AG110" s="2">
        <f t="shared" si="36"/>
        <v>0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548</v>
      </c>
      <c r="E111" s="30" t="s">
        <v>32</v>
      </c>
      <c r="F111" s="30" t="s">
        <v>549</v>
      </c>
      <c r="G111" s="30" t="s">
        <v>550</v>
      </c>
      <c r="H111" s="30" t="s">
        <v>165</v>
      </c>
      <c r="I111" s="29" t="s">
        <v>551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913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662</v>
      </c>
      <c r="G112" s="30" t="s">
        <v>40</v>
      </c>
      <c r="H112" s="30" t="s">
        <v>165</v>
      </c>
      <c r="I112" s="29" t="s">
        <v>695</v>
      </c>
      <c r="J112" s="29"/>
      <c r="K112" s="29" t="s">
        <v>320</v>
      </c>
      <c r="L112" s="29">
        <v>30</v>
      </c>
      <c r="M112" s="30" t="s">
        <v>298</v>
      </c>
      <c r="N112" s="30" t="s">
        <v>913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964</v>
      </c>
      <c r="E113" s="21" t="s">
        <v>32</v>
      </c>
      <c r="F113" s="21" t="s">
        <v>965</v>
      </c>
      <c r="G113" s="21" t="s">
        <v>403</v>
      </c>
      <c r="H113" s="21" t="s">
        <v>165</v>
      </c>
      <c r="I113" s="20" t="s">
        <v>966</v>
      </c>
      <c r="J113" s="20"/>
      <c r="K113" s="20" t="s">
        <v>378</v>
      </c>
      <c r="L113" s="20">
        <v>50</v>
      </c>
      <c r="M113" s="21" t="s">
        <v>967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670</v>
      </c>
      <c r="E114" s="30" t="s">
        <v>44</v>
      </c>
      <c r="F114" s="30" t="s">
        <v>619</v>
      </c>
      <c r="G114" s="30" t="s">
        <v>471</v>
      </c>
      <c r="H114" s="30" t="s">
        <v>165</v>
      </c>
      <c r="I114" s="29" t="s">
        <v>620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893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621</v>
      </c>
      <c r="G115" s="30" t="s">
        <v>91</v>
      </c>
      <c r="H115" s="30" t="s">
        <v>165</v>
      </c>
      <c r="I115" s="29" t="s">
        <v>620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893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990</v>
      </c>
      <c r="E116" s="30" t="s">
        <v>44</v>
      </c>
      <c r="F116" s="30" t="s">
        <v>991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378</v>
      </c>
      <c r="L116" s="29"/>
      <c r="M116" s="30"/>
      <c r="N116" s="30" t="s">
        <v>893</v>
      </c>
      <c r="O116" s="31">
        <v>1</v>
      </c>
      <c r="P116" s="31">
        <v>1</v>
      </c>
      <c r="Q116" s="30" t="s">
        <v>992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793</v>
      </c>
      <c r="E117" s="21" t="s">
        <v>470</v>
      </c>
      <c r="F117" s="21" t="s">
        <v>794</v>
      </c>
      <c r="G117" s="21" t="s">
        <v>114</v>
      </c>
      <c r="H117" s="21" t="s">
        <v>165</v>
      </c>
      <c r="I117" s="20" t="s">
        <v>795</v>
      </c>
      <c r="J117" s="20">
        <v>99</v>
      </c>
      <c r="K117" s="20" t="s">
        <v>378</v>
      </c>
      <c r="L117" s="20">
        <v>6</v>
      </c>
      <c r="M117" s="21" t="s">
        <v>942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788</v>
      </c>
      <c r="E118" s="30" t="s">
        <v>470</v>
      </c>
      <c r="F118" s="30" t="s">
        <v>789</v>
      </c>
      <c r="G118" s="30" t="s">
        <v>103</v>
      </c>
      <c r="H118" s="30" t="s">
        <v>165</v>
      </c>
      <c r="I118" s="29" t="s">
        <v>790</v>
      </c>
      <c r="J118" s="29">
        <v>2</v>
      </c>
      <c r="K118" s="29" t="s">
        <v>321</v>
      </c>
      <c r="L118" s="29">
        <v>15</v>
      </c>
      <c r="M118" s="30" t="s">
        <v>862</v>
      </c>
      <c r="N118" s="30" t="s">
        <v>893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531</v>
      </c>
      <c r="E119" s="30" t="s">
        <v>470</v>
      </c>
      <c r="F119" s="30" t="s">
        <v>536</v>
      </c>
      <c r="G119" s="30" t="s">
        <v>471</v>
      </c>
      <c r="H119" s="30" t="s">
        <v>165</v>
      </c>
      <c r="I119" s="29" t="s">
        <v>538</v>
      </c>
      <c r="J119" s="29">
        <v>99</v>
      </c>
      <c r="K119" s="29" t="s">
        <v>318</v>
      </c>
      <c r="L119" s="29">
        <v>13</v>
      </c>
      <c r="M119" s="30" t="s">
        <v>862</v>
      </c>
      <c r="N119" s="30" t="s">
        <v>893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532</v>
      </c>
      <c r="G120" s="30" t="s">
        <v>92</v>
      </c>
      <c r="H120" s="30" t="s">
        <v>165</v>
      </c>
      <c r="I120" s="29" t="s">
        <v>533</v>
      </c>
      <c r="J120" s="29">
        <v>2</v>
      </c>
      <c r="K120" s="29" t="s">
        <v>318</v>
      </c>
      <c r="L120" s="29">
        <v>13</v>
      </c>
      <c r="M120" s="30" t="s">
        <v>863</v>
      </c>
      <c r="N120" s="30" t="s">
        <v>893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537</v>
      </c>
      <c r="G121" s="30" t="s">
        <v>405</v>
      </c>
      <c r="H121" s="30" t="s">
        <v>165</v>
      </c>
      <c r="I121" s="29" t="s">
        <v>539</v>
      </c>
      <c r="J121" s="29">
        <v>99</v>
      </c>
      <c r="K121" s="29" t="s">
        <v>318</v>
      </c>
      <c r="L121" s="29">
        <v>13</v>
      </c>
      <c r="M121" s="30" t="s">
        <v>864</v>
      </c>
      <c r="N121" s="30" t="s">
        <v>893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776</v>
      </c>
      <c r="G122" s="30" t="s">
        <v>777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865</v>
      </c>
      <c r="N122" s="30" t="s">
        <v>893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778</v>
      </c>
      <c r="G123" s="30" t="s">
        <v>818</v>
      </c>
      <c r="H123" s="30" t="s">
        <v>165</v>
      </c>
      <c r="I123" s="29" t="s">
        <v>538</v>
      </c>
      <c r="J123" s="29">
        <v>3</v>
      </c>
      <c r="K123" s="29" t="s">
        <v>318</v>
      </c>
      <c r="L123" s="29">
        <v>13</v>
      </c>
      <c r="M123" s="30" t="s">
        <v>866</v>
      </c>
      <c r="N123" s="30" t="s">
        <v>893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663</v>
      </c>
      <c r="E124" s="30" t="s">
        <v>35</v>
      </c>
      <c r="F124" s="30" t="s">
        <v>635</v>
      </c>
      <c r="G124" s="30" t="s">
        <v>688</v>
      </c>
      <c r="H124" s="30" t="s">
        <v>165</v>
      </c>
      <c r="I124" s="29" t="s">
        <v>636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899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936</v>
      </c>
      <c r="E125" s="30" t="s">
        <v>470</v>
      </c>
      <c r="F125" s="30" t="s">
        <v>937</v>
      </c>
      <c r="G125" s="30" t="s">
        <v>38</v>
      </c>
      <c r="H125" s="30" t="s">
        <v>165</v>
      </c>
      <c r="I125" s="29" t="s">
        <v>938</v>
      </c>
      <c r="J125" s="29">
        <v>1</v>
      </c>
      <c r="K125" s="29" t="s">
        <v>378</v>
      </c>
      <c r="L125" s="29"/>
      <c r="M125" s="30"/>
      <c r="N125" s="30" t="s">
        <v>893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759</v>
      </c>
      <c r="E126" s="30" t="s">
        <v>470</v>
      </c>
      <c r="F126" s="30" t="s">
        <v>760</v>
      </c>
      <c r="G126" s="30" t="s">
        <v>819</v>
      </c>
      <c r="H126" s="30" t="s">
        <v>165</v>
      </c>
      <c r="I126" s="29" t="s">
        <v>761</v>
      </c>
      <c r="J126" s="29">
        <v>99</v>
      </c>
      <c r="K126" s="29" t="s">
        <v>320</v>
      </c>
      <c r="L126" s="29"/>
      <c r="M126" s="30" t="s">
        <v>707</v>
      </c>
      <c r="N126" s="30" t="s">
        <v>893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680</v>
      </c>
      <c r="E127" s="30" t="s">
        <v>211</v>
      </c>
      <c r="F127" s="30" t="s">
        <v>223</v>
      </c>
      <c r="G127" s="30" t="s">
        <v>96</v>
      </c>
      <c r="H127" s="30" t="s">
        <v>165</v>
      </c>
      <c r="I127" s="29" t="s">
        <v>486</v>
      </c>
      <c r="J127" s="29">
        <v>3</v>
      </c>
      <c r="K127" s="29" t="s">
        <v>319</v>
      </c>
      <c r="L127" s="29" t="s">
        <v>318</v>
      </c>
      <c r="M127" s="30" t="s">
        <v>269</v>
      </c>
      <c r="N127" s="30" t="s">
        <v>893</v>
      </c>
      <c r="O127" s="31">
        <v>1</v>
      </c>
      <c r="P127" s="31">
        <v>1</v>
      </c>
      <c r="Q127" s="30"/>
      <c r="S127" s="2">
        <f t="shared" si="23"/>
        <v>0</v>
      </c>
      <c r="T127" s="2">
        <f t="shared" si="24"/>
        <v>0</v>
      </c>
      <c r="U127" s="2">
        <f t="shared" si="25"/>
        <v>1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1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651</v>
      </c>
      <c r="G128" s="30" t="s">
        <v>92</v>
      </c>
      <c r="H128" s="30" t="s">
        <v>165</v>
      </c>
      <c r="I128" s="29" t="s">
        <v>652</v>
      </c>
      <c r="J128" s="29">
        <v>2</v>
      </c>
      <c r="K128" s="29" t="s">
        <v>319</v>
      </c>
      <c r="L128" s="29" t="s">
        <v>318</v>
      </c>
      <c r="M128" s="30" t="s">
        <v>269</v>
      </c>
      <c r="N128" s="30" t="s">
        <v>893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1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650</v>
      </c>
      <c r="G129" s="30" t="s">
        <v>40</v>
      </c>
      <c r="H129" s="30" t="s">
        <v>165</v>
      </c>
      <c r="I129" s="29" t="s">
        <v>653</v>
      </c>
      <c r="J129" s="29">
        <v>4</v>
      </c>
      <c r="K129" s="29" t="s">
        <v>319</v>
      </c>
      <c r="L129" s="29" t="s">
        <v>318</v>
      </c>
      <c r="M129" s="30" t="s">
        <v>269</v>
      </c>
      <c r="N129" s="30" t="s">
        <v>893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0</v>
      </c>
      <c r="U129" s="2">
        <f t="shared" si="25"/>
        <v>0</v>
      </c>
      <c r="V129" s="2">
        <f t="shared" si="26"/>
        <v>1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973</v>
      </c>
      <c r="E130" s="30" t="s">
        <v>470</v>
      </c>
      <c r="F130" s="30" t="s">
        <v>974</v>
      </c>
      <c r="G130" s="30"/>
      <c r="H130" s="30" t="s">
        <v>165</v>
      </c>
      <c r="I130" s="29" t="s">
        <v>975</v>
      </c>
      <c r="J130" s="29"/>
      <c r="K130" s="29" t="s">
        <v>378</v>
      </c>
      <c r="L130" s="29"/>
      <c r="M130" s="30"/>
      <c r="N130" s="30" t="s">
        <v>893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461</v>
      </c>
      <c r="E131" s="30" t="s">
        <v>468</v>
      </c>
      <c r="F131" s="30" t="s">
        <v>474</v>
      </c>
      <c r="G131" s="30" t="s">
        <v>475</v>
      </c>
      <c r="H131" s="30" t="s">
        <v>165</v>
      </c>
      <c r="I131" s="29" t="s">
        <v>409</v>
      </c>
      <c r="J131" s="29">
        <v>99</v>
      </c>
      <c r="K131" s="29" t="s">
        <v>320</v>
      </c>
      <c r="L131" s="29" t="s">
        <v>318</v>
      </c>
      <c r="M131" s="30" t="s">
        <v>269</v>
      </c>
      <c r="N131" s="30" t="s">
        <v>930</v>
      </c>
      <c r="O131" s="31">
        <v>1</v>
      </c>
      <c r="P131" s="31"/>
      <c r="Q131" s="30"/>
      <c r="R131" s="20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0</v>
      </c>
      <c r="AE131" s="2">
        <f t="shared" si="34"/>
        <v>1</v>
      </c>
      <c r="AF131" s="2">
        <f t="shared" si="35"/>
        <v>0</v>
      </c>
      <c r="AG131" s="2">
        <f t="shared" si="36"/>
        <v>1</v>
      </c>
      <c r="AH131" s="2">
        <f t="shared" si="37"/>
        <v>0</v>
      </c>
      <c r="AI131" s="2">
        <f t="shared" si="38"/>
        <v>1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1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939</v>
      </c>
      <c r="E133" s="30" t="s">
        <v>940</v>
      </c>
      <c r="F133" s="30" t="s">
        <v>941</v>
      </c>
      <c r="G133" s="30"/>
      <c r="H133" s="30" t="s">
        <v>165</v>
      </c>
      <c r="I133" s="29" t="s">
        <v>33</v>
      </c>
      <c r="J133" s="29"/>
      <c r="K133" s="29" t="s">
        <v>378</v>
      </c>
      <c r="L133" s="29"/>
      <c r="M133" s="30"/>
      <c r="N133" s="30" t="s">
        <v>893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914</v>
      </c>
      <c r="E134" s="30" t="s">
        <v>35</v>
      </c>
      <c r="F134" s="30" t="s">
        <v>915</v>
      </c>
      <c r="G134" s="30"/>
      <c r="H134" s="30" t="s">
        <v>165</v>
      </c>
      <c r="I134" s="29" t="s">
        <v>916</v>
      </c>
      <c r="J134" s="29">
        <v>99</v>
      </c>
      <c r="K134" s="29" t="s">
        <v>378</v>
      </c>
      <c r="L134" s="29"/>
      <c r="M134" s="30"/>
      <c r="N134" s="30" t="s">
        <v>893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552</v>
      </c>
      <c r="E135" s="30" t="s">
        <v>211</v>
      </c>
      <c r="F135" s="30" t="s">
        <v>553</v>
      </c>
      <c r="G135" s="30" t="s">
        <v>554</v>
      </c>
      <c r="H135" s="30" t="s">
        <v>165</v>
      </c>
      <c r="I135" s="29" t="s">
        <v>33</v>
      </c>
      <c r="J135" s="29">
        <v>99</v>
      </c>
      <c r="K135" s="29" t="s">
        <v>321</v>
      </c>
      <c r="L135" s="29">
        <v>8</v>
      </c>
      <c r="M135" s="30" t="s">
        <v>862</v>
      </c>
      <c r="N135" s="30" t="s">
        <v>893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225</v>
      </c>
      <c r="E136" s="30" t="s">
        <v>44</v>
      </c>
      <c r="F136" s="30" t="s">
        <v>823</v>
      </c>
      <c r="G136" s="30" t="s">
        <v>130</v>
      </c>
      <c r="H136" s="30" t="s">
        <v>165</v>
      </c>
      <c r="I136" s="29" t="s">
        <v>226</v>
      </c>
      <c r="J136" s="29">
        <v>10</v>
      </c>
      <c r="K136" s="29" t="s">
        <v>321</v>
      </c>
      <c r="L136" s="29">
        <v>5</v>
      </c>
      <c r="M136" s="30" t="s">
        <v>269</v>
      </c>
      <c r="N136" s="30" t="s">
        <v>893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1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352</v>
      </c>
      <c r="E137" s="30" t="s">
        <v>470</v>
      </c>
      <c r="F137" s="30" t="s">
        <v>353</v>
      </c>
      <c r="G137" s="30" t="s">
        <v>243</v>
      </c>
      <c r="H137" s="30" t="s">
        <v>165</v>
      </c>
      <c r="I137" s="29" t="s">
        <v>488</v>
      </c>
      <c r="J137" s="29">
        <v>9</v>
      </c>
      <c r="K137" s="29" t="s">
        <v>320</v>
      </c>
      <c r="L137" s="29">
        <v>11</v>
      </c>
      <c r="M137" s="30" t="s">
        <v>867</v>
      </c>
      <c r="N137" s="30" t="s">
        <v>899</v>
      </c>
      <c r="O137" s="31">
        <v>1</v>
      </c>
      <c r="P137" s="31"/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1</v>
      </c>
      <c r="AB137" s="2">
        <f t="shared" si="32"/>
        <v>0</v>
      </c>
      <c r="AC137" s="2"/>
      <c r="AD137" s="2">
        <f t="shared" si="33"/>
        <v>0</v>
      </c>
      <c r="AE137" s="2">
        <f t="shared" si="34"/>
        <v>1</v>
      </c>
      <c r="AF137" s="2">
        <f t="shared" si="35"/>
        <v>0</v>
      </c>
      <c r="AG137" s="2">
        <f t="shared" si="36"/>
        <v>1</v>
      </c>
      <c r="AH137" s="2">
        <f t="shared" si="37"/>
        <v>0</v>
      </c>
      <c r="AI137" s="2">
        <f t="shared" si="38"/>
        <v>1</v>
      </c>
    </row>
    <row r="138" spans="1:16384" s="3" customFormat="1" ht="14.25" customHeight="1" x14ac:dyDescent="0.25">
      <c r="A138" s="29">
        <v>1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581</v>
      </c>
      <c r="G138" s="30" t="s">
        <v>555</v>
      </c>
      <c r="H138" s="30" t="s">
        <v>165</v>
      </c>
      <c r="I138" s="29" t="s">
        <v>556</v>
      </c>
      <c r="J138" s="29">
        <v>99</v>
      </c>
      <c r="K138" s="29" t="s">
        <v>320</v>
      </c>
      <c r="L138" s="29">
        <v>11</v>
      </c>
      <c r="M138" s="30" t="s">
        <v>868</v>
      </c>
      <c r="N138" s="30" t="s">
        <v>899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0</v>
      </c>
      <c r="AH138" s="2">
        <f t="shared" si="37"/>
        <v>0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247</v>
      </c>
      <c r="E139" s="30" t="s">
        <v>35</v>
      </c>
      <c r="F139" s="30" t="s">
        <v>209</v>
      </c>
      <c r="G139" s="30" t="s">
        <v>93</v>
      </c>
      <c r="H139" s="30" t="s">
        <v>165</v>
      </c>
      <c r="I139" s="29" t="s">
        <v>210</v>
      </c>
      <c r="J139" s="29">
        <v>8</v>
      </c>
      <c r="K139" s="29" t="s">
        <v>319</v>
      </c>
      <c r="L139" s="29" t="s">
        <v>318</v>
      </c>
      <c r="M139" s="30" t="s">
        <v>269</v>
      </c>
      <c r="N139" s="30" t="s">
        <v>893</v>
      </c>
      <c r="O139" s="31">
        <v>1</v>
      </c>
      <c r="P139" s="31">
        <v>1</v>
      </c>
      <c r="Q139" s="30"/>
      <c r="R139" s="2"/>
      <c r="S139" s="2">
        <f t="shared" ref="S139:S202" si="39">IF(J139=$S$7,1,0)</f>
        <v>0</v>
      </c>
      <c r="T139" s="2">
        <f t="shared" ref="T139:T202" si="40">IF(J139=$T$7,1,0)</f>
        <v>0</v>
      </c>
      <c r="U139" s="2">
        <f t="shared" ref="U139:U202" si="41">IF(J139=$U$7,1,0)</f>
        <v>0</v>
      </c>
      <c r="V139" s="2">
        <f t="shared" ref="V139:V202" si="42">IF(J139=$V$7,1,0)</f>
        <v>0</v>
      </c>
      <c r="W139" s="2">
        <f t="shared" ref="W139:W202" si="43">IF(J139=$W$7,1,0)</f>
        <v>0</v>
      </c>
      <c r="X139" s="2">
        <f t="shared" ref="X139:X202" si="44">IF(J139=$X$7,1,0)</f>
        <v>0</v>
      </c>
      <c r="Y139" s="2">
        <f t="shared" ref="Y139:Y202" si="45">IF(J139=$Y$7,1,0)</f>
        <v>0</v>
      </c>
      <c r="Z139" s="2">
        <f t="shared" ref="Z139:Z202" si="46">IF(J139=$Z$7,1,0)</f>
        <v>1</v>
      </c>
      <c r="AA139" s="2">
        <f t="shared" ref="AA139:AA202" si="47">IF(J139=$AA$7,1,0)</f>
        <v>0</v>
      </c>
      <c r="AB139" s="2">
        <f t="shared" ref="AB139:AB202" si="48">IF(J139=$AB$7,1,0)</f>
        <v>0</v>
      </c>
      <c r="AC139" s="2"/>
      <c r="AD139" s="2">
        <f t="shared" ref="AD139:AD202" si="49">+O139*P139</f>
        <v>1</v>
      </c>
      <c r="AE139" s="2">
        <f t="shared" ref="AE139:AE202" si="50">O139*(1-P139)</f>
        <v>0</v>
      </c>
      <c r="AF139" s="2">
        <f t="shared" ref="AF139:AF202" si="51">+O139*P139*(1-A139)</f>
        <v>1</v>
      </c>
      <c r="AG139" s="2">
        <f t="shared" ref="AG139:AG202" si="52">O139*(1-P139)*(1-A139)</f>
        <v>0</v>
      </c>
      <c r="AH139" s="2">
        <f t="shared" ref="AH139:AH202" si="53">+P139*(1-A139)</f>
        <v>1</v>
      </c>
      <c r="AI139" s="2">
        <f t="shared" ref="AI139:AI202" si="54">+(1-A139)*(1-P139)</f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361</v>
      </c>
      <c r="E140" s="30" t="s">
        <v>470</v>
      </c>
      <c r="F140" s="30" t="s">
        <v>583</v>
      </c>
      <c r="G140" s="30" t="s">
        <v>91</v>
      </c>
      <c r="H140" s="30" t="s">
        <v>165</v>
      </c>
      <c r="I140" s="29" t="s">
        <v>357</v>
      </c>
      <c r="J140" s="29">
        <v>1</v>
      </c>
      <c r="K140" s="29" t="s">
        <v>321</v>
      </c>
      <c r="L140" s="29" t="s">
        <v>325</v>
      </c>
      <c r="M140" s="30" t="s">
        <v>497</v>
      </c>
      <c r="N140" s="30" t="s">
        <v>893</v>
      </c>
      <c r="O140" s="31">
        <v>1</v>
      </c>
      <c r="P140" s="31">
        <v>1</v>
      </c>
      <c r="Q140" s="30"/>
      <c r="R140" s="2"/>
      <c r="S140" s="2">
        <f t="shared" si="39"/>
        <v>1</v>
      </c>
      <c r="T140" s="2">
        <f t="shared" si="40"/>
        <v>0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51"/>
        <v>1</v>
      </c>
      <c r="AG140" s="2">
        <f t="shared" si="52"/>
        <v>0</v>
      </c>
      <c r="AH140" s="2">
        <f t="shared" si="53"/>
        <v>1</v>
      </c>
      <c r="AI140" s="2">
        <f t="shared" si="54"/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55</v>
      </c>
      <c r="E141" s="30" t="s">
        <v>470</v>
      </c>
      <c r="F141" s="30" t="s">
        <v>110</v>
      </c>
      <c r="G141" s="30" t="s">
        <v>99</v>
      </c>
      <c r="H141" s="30" t="s">
        <v>165</v>
      </c>
      <c r="I141" s="29" t="s">
        <v>174</v>
      </c>
      <c r="J141" s="29">
        <v>3</v>
      </c>
      <c r="K141" s="29" t="s">
        <v>320</v>
      </c>
      <c r="L141" s="29" t="s">
        <v>325</v>
      </c>
      <c r="M141" s="30" t="s">
        <v>497</v>
      </c>
      <c r="N141" s="30" t="s">
        <v>893</v>
      </c>
      <c r="O141" s="31">
        <v>1</v>
      </c>
      <c r="P141" s="31">
        <v>1</v>
      </c>
      <c r="Q141" s="30"/>
      <c r="R141" s="2"/>
      <c r="S141" s="2">
        <f t="shared" si="39"/>
        <v>0</v>
      </c>
      <c r="T141" s="2">
        <f t="shared" si="40"/>
        <v>0</v>
      </c>
      <c r="U141" s="2">
        <f t="shared" si="41"/>
        <v>1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si="51"/>
        <v>1</v>
      </c>
      <c r="AG141" s="2">
        <f t="shared" si="52"/>
        <v>0</v>
      </c>
      <c r="AH141" s="2">
        <f t="shared" si="53"/>
        <v>1</v>
      </c>
      <c r="AI141" s="2">
        <f t="shared" si="54"/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47</v>
      </c>
      <c r="E142" s="30" t="s">
        <v>82</v>
      </c>
      <c r="F142" s="30" t="s">
        <v>827</v>
      </c>
      <c r="G142" s="30" t="s">
        <v>93</v>
      </c>
      <c r="H142" s="30" t="s">
        <v>165</v>
      </c>
      <c r="I142" s="29" t="s">
        <v>167</v>
      </c>
      <c r="J142" s="29">
        <v>8</v>
      </c>
      <c r="K142" s="29" t="s">
        <v>320</v>
      </c>
      <c r="L142" s="29" t="s">
        <v>318</v>
      </c>
      <c r="M142" s="30" t="s">
        <v>269</v>
      </c>
      <c r="N142" s="30" t="s">
        <v>913</v>
      </c>
      <c r="O142" s="31">
        <v>1</v>
      </c>
      <c r="P142" s="31"/>
      <c r="Q142" s="30"/>
      <c r="R142" s="2"/>
      <c r="S142" s="2">
        <f t="shared" si="39"/>
        <v>0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1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0</v>
      </c>
      <c r="AE142" s="2">
        <f t="shared" si="50"/>
        <v>1</v>
      </c>
      <c r="AF142" s="2">
        <f t="shared" si="51"/>
        <v>0</v>
      </c>
      <c r="AG142" s="2">
        <f t="shared" si="52"/>
        <v>1</v>
      </c>
      <c r="AH142" s="2">
        <f t="shared" si="53"/>
        <v>0</v>
      </c>
      <c r="AI142" s="2">
        <f t="shared" si="54"/>
        <v>1</v>
      </c>
    </row>
    <row r="143" spans="1:16384" s="3" customFormat="1" ht="14.25" customHeight="1" x14ac:dyDescent="0.25">
      <c r="A143" s="29">
        <v>1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98</v>
      </c>
      <c r="G143" s="30" t="s">
        <v>99</v>
      </c>
      <c r="H143" s="30" t="s">
        <v>165</v>
      </c>
      <c r="I143" s="29" t="s">
        <v>492</v>
      </c>
      <c r="J143" s="29">
        <v>3</v>
      </c>
      <c r="K143" s="29" t="s">
        <v>320</v>
      </c>
      <c r="L143" s="29" t="s">
        <v>318</v>
      </c>
      <c r="M143" s="30" t="s">
        <v>269</v>
      </c>
      <c r="N143" s="30" t="s">
        <v>913</v>
      </c>
      <c r="O143" s="31">
        <v>1</v>
      </c>
      <c r="P143" s="31"/>
      <c r="Q143" s="30"/>
      <c r="R143" s="2"/>
      <c r="S143" s="2">
        <f t="shared" si="39"/>
        <v>0</v>
      </c>
      <c r="T143" s="2">
        <f t="shared" si="40"/>
        <v>0</v>
      </c>
      <c r="U143" s="2">
        <f t="shared" si="41"/>
        <v>1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0</v>
      </c>
      <c r="AE143" s="2">
        <f t="shared" si="50"/>
        <v>1</v>
      </c>
      <c r="AF143" s="2">
        <f t="shared" si="51"/>
        <v>0</v>
      </c>
      <c r="AG143" s="2">
        <f t="shared" si="52"/>
        <v>0</v>
      </c>
      <c r="AH143" s="2">
        <f t="shared" si="53"/>
        <v>0</v>
      </c>
      <c r="AI143" s="2">
        <f t="shared" si="54"/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921</v>
      </c>
      <c r="E144" s="30" t="s">
        <v>35</v>
      </c>
      <c r="F144" s="30" t="s">
        <v>922</v>
      </c>
      <c r="G144" s="30" t="s">
        <v>132</v>
      </c>
      <c r="H144" s="30" t="s">
        <v>165</v>
      </c>
      <c r="I144" s="29" t="s">
        <v>923</v>
      </c>
      <c r="J144" s="29">
        <v>99</v>
      </c>
      <c r="K144" s="29" t="s">
        <v>378</v>
      </c>
      <c r="L144" s="29"/>
      <c r="M144" s="30"/>
      <c r="N144" s="30" t="s">
        <v>893</v>
      </c>
      <c r="O144" s="31">
        <v>1</v>
      </c>
      <c r="P144" s="31">
        <v>1</v>
      </c>
      <c r="Q144" s="30"/>
      <c r="R144" s="2"/>
      <c r="S144" s="2">
        <f t="shared" si="39"/>
        <v>0</v>
      </c>
      <c r="T144" s="2">
        <f t="shared" si="40"/>
        <v>0</v>
      </c>
      <c r="U144" s="2">
        <f t="shared" si="41"/>
        <v>0</v>
      </c>
      <c r="V144" s="2">
        <f t="shared" si="42"/>
        <v>0</v>
      </c>
      <c r="W144" s="2">
        <f t="shared" si="43"/>
        <v>0</v>
      </c>
      <c r="X144" s="2">
        <f t="shared" si="44"/>
        <v>0</v>
      </c>
      <c r="Y144" s="2">
        <f t="shared" si="45"/>
        <v>0</v>
      </c>
      <c r="Z144" s="2">
        <f t="shared" si="46"/>
        <v>0</v>
      </c>
      <c r="AA144" s="2">
        <f t="shared" si="47"/>
        <v>0</v>
      </c>
      <c r="AB144" s="2">
        <f t="shared" si="48"/>
        <v>0</v>
      </c>
      <c r="AC144" s="2"/>
      <c r="AD144" s="2">
        <f t="shared" si="49"/>
        <v>1</v>
      </c>
      <c r="AE144" s="2">
        <f t="shared" si="50"/>
        <v>0</v>
      </c>
      <c r="AF144" s="2">
        <f t="shared" si="51"/>
        <v>1</v>
      </c>
      <c r="AG144" s="2">
        <f t="shared" si="52"/>
        <v>0</v>
      </c>
      <c r="AH144" s="2">
        <f t="shared" si="53"/>
        <v>1</v>
      </c>
      <c r="AI144" s="2">
        <f t="shared" si="54"/>
        <v>0</v>
      </c>
    </row>
    <row r="145" spans="1:16384" s="3" customFormat="1" ht="14.25" customHeight="1" x14ac:dyDescent="0.25">
      <c r="A145" s="29">
        <v>0</v>
      </c>
      <c r="B145" s="29">
        <v>2</v>
      </c>
      <c r="C145" s="29">
        <v>1</v>
      </c>
      <c r="D145" s="30" t="s">
        <v>455</v>
      </c>
      <c r="E145" s="30" t="s">
        <v>456</v>
      </c>
      <c r="F145" s="30" t="s">
        <v>457</v>
      </c>
      <c r="G145" s="30" t="s">
        <v>458</v>
      </c>
      <c r="H145" s="30" t="s">
        <v>165</v>
      </c>
      <c r="I145" s="29" t="s">
        <v>459</v>
      </c>
      <c r="J145" s="29">
        <v>99</v>
      </c>
      <c r="K145" s="29" t="s">
        <v>318</v>
      </c>
      <c r="L145" s="29" t="s">
        <v>321</v>
      </c>
      <c r="M145" s="30" t="s">
        <v>269</v>
      </c>
      <c r="N145" s="30" t="s">
        <v>893</v>
      </c>
      <c r="O145" s="31">
        <v>1</v>
      </c>
      <c r="P145" s="31">
        <v>1</v>
      </c>
      <c r="Q145" s="30"/>
      <c r="R145" s="2"/>
      <c r="S145" s="2">
        <f t="shared" si="39"/>
        <v>0</v>
      </c>
      <c r="T145" s="2">
        <f t="shared" si="40"/>
        <v>0</v>
      </c>
      <c r="U145" s="2">
        <f t="shared" si="41"/>
        <v>0</v>
      </c>
      <c r="V145" s="2">
        <f t="shared" si="42"/>
        <v>0</v>
      </c>
      <c r="W145" s="2">
        <f t="shared" si="43"/>
        <v>0</v>
      </c>
      <c r="X145" s="2">
        <f t="shared" si="44"/>
        <v>0</v>
      </c>
      <c r="Y145" s="2">
        <f t="shared" si="45"/>
        <v>0</v>
      </c>
      <c r="Z145" s="2">
        <f t="shared" si="46"/>
        <v>0</v>
      </c>
      <c r="AA145" s="2">
        <f t="shared" si="47"/>
        <v>0</v>
      </c>
      <c r="AB145" s="2">
        <f t="shared" si="48"/>
        <v>0</v>
      </c>
      <c r="AC145" s="2"/>
      <c r="AD145" s="2">
        <f t="shared" si="49"/>
        <v>1</v>
      </c>
      <c r="AE145" s="2">
        <f t="shared" si="50"/>
        <v>0</v>
      </c>
      <c r="AF145" s="2">
        <f t="shared" si="51"/>
        <v>1</v>
      </c>
      <c r="AG145" s="2">
        <f t="shared" si="52"/>
        <v>0</v>
      </c>
      <c r="AH145" s="2">
        <f t="shared" si="53"/>
        <v>1</v>
      </c>
      <c r="AI145" s="2">
        <f t="shared" si="54"/>
        <v>0</v>
      </c>
    </row>
    <row r="146" spans="1:16384" s="3" customFormat="1" ht="14.25" customHeight="1" x14ac:dyDescent="0.25">
      <c r="A146" s="29">
        <v>0</v>
      </c>
      <c r="B146" s="29">
        <v>2</v>
      </c>
      <c r="C146" s="29">
        <v>1</v>
      </c>
      <c r="D146" s="30" t="s">
        <v>560</v>
      </c>
      <c r="E146" s="30" t="s">
        <v>35</v>
      </c>
      <c r="F146" s="30" t="s">
        <v>830</v>
      </c>
      <c r="G146" s="30" t="s">
        <v>519</v>
      </c>
      <c r="H146" s="30" t="s">
        <v>165</v>
      </c>
      <c r="I146" s="29" t="s">
        <v>561</v>
      </c>
      <c r="J146" s="29">
        <v>99</v>
      </c>
      <c r="K146" s="29" t="s">
        <v>318</v>
      </c>
      <c r="L146" s="29">
        <v>5</v>
      </c>
      <c r="M146" s="30" t="s">
        <v>269</v>
      </c>
      <c r="N146" s="30" t="s">
        <v>899</v>
      </c>
      <c r="O146" s="31">
        <v>1</v>
      </c>
      <c r="P146" s="31"/>
      <c r="Q146" s="30" t="s">
        <v>957</v>
      </c>
      <c r="R146" s="2"/>
      <c r="S146" s="2">
        <f t="shared" si="39"/>
        <v>0</v>
      </c>
      <c r="T146" s="2">
        <f t="shared" si="40"/>
        <v>0</v>
      </c>
      <c r="U146" s="2">
        <f t="shared" si="41"/>
        <v>0</v>
      </c>
      <c r="V146" s="2">
        <f t="shared" si="42"/>
        <v>0</v>
      </c>
      <c r="W146" s="2">
        <f t="shared" si="43"/>
        <v>0</v>
      </c>
      <c r="X146" s="2">
        <f t="shared" si="44"/>
        <v>0</v>
      </c>
      <c r="Y146" s="2">
        <f t="shared" si="45"/>
        <v>0</v>
      </c>
      <c r="Z146" s="2">
        <f t="shared" si="46"/>
        <v>0</v>
      </c>
      <c r="AA146" s="2">
        <f t="shared" si="47"/>
        <v>0</v>
      </c>
      <c r="AB146" s="2">
        <f t="shared" si="48"/>
        <v>0</v>
      </c>
      <c r="AC146" s="2"/>
      <c r="AD146" s="2">
        <f t="shared" si="49"/>
        <v>0</v>
      </c>
      <c r="AE146" s="2">
        <f t="shared" si="50"/>
        <v>1</v>
      </c>
      <c r="AF146" s="2">
        <f t="shared" si="51"/>
        <v>0</v>
      </c>
      <c r="AG146" s="2">
        <f t="shared" si="52"/>
        <v>1</v>
      </c>
      <c r="AH146" s="2">
        <f t="shared" si="53"/>
        <v>0</v>
      </c>
      <c r="AI146" s="2">
        <f t="shared" si="54"/>
        <v>1</v>
      </c>
    </row>
    <row r="147" spans="1:16384" s="3" customFormat="1" ht="14.25" customHeight="1" x14ac:dyDescent="0.25">
      <c r="A147" s="29">
        <v>0</v>
      </c>
      <c r="B147" s="29">
        <v>2</v>
      </c>
      <c r="C147" s="29">
        <v>1</v>
      </c>
      <c r="D147" s="30" t="s">
        <v>392</v>
      </c>
      <c r="E147" s="30" t="s">
        <v>37</v>
      </c>
      <c r="F147" s="30" t="s">
        <v>483</v>
      </c>
      <c r="G147" s="30" t="s">
        <v>130</v>
      </c>
      <c r="H147" s="30" t="s">
        <v>165</v>
      </c>
      <c r="I147" s="29" t="s">
        <v>393</v>
      </c>
      <c r="J147" s="29">
        <v>10</v>
      </c>
      <c r="K147" s="29" t="s">
        <v>319</v>
      </c>
      <c r="L147" s="29">
        <v>5</v>
      </c>
      <c r="M147" s="30" t="s">
        <v>269</v>
      </c>
      <c r="N147" s="30" t="s">
        <v>899</v>
      </c>
      <c r="O147" s="31">
        <v>1</v>
      </c>
      <c r="P147" s="31"/>
      <c r="Q147" s="30"/>
      <c r="R147" s="2"/>
      <c r="S147" s="2">
        <f t="shared" si="39"/>
        <v>0</v>
      </c>
      <c r="T147" s="2">
        <f t="shared" si="40"/>
        <v>0</v>
      </c>
      <c r="U147" s="2">
        <f t="shared" si="41"/>
        <v>0</v>
      </c>
      <c r="V147" s="2">
        <f t="shared" si="42"/>
        <v>0</v>
      </c>
      <c r="W147" s="2">
        <f t="shared" si="43"/>
        <v>0</v>
      </c>
      <c r="X147" s="2">
        <f t="shared" si="44"/>
        <v>0</v>
      </c>
      <c r="Y147" s="2">
        <f t="shared" si="45"/>
        <v>0</v>
      </c>
      <c r="Z147" s="2">
        <f t="shared" si="46"/>
        <v>0</v>
      </c>
      <c r="AA147" s="2">
        <f t="shared" si="47"/>
        <v>0</v>
      </c>
      <c r="AB147" s="2">
        <f t="shared" si="48"/>
        <v>1</v>
      </c>
      <c r="AC147" s="2"/>
      <c r="AD147" s="2">
        <f t="shared" si="49"/>
        <v>0</v>
      </c>
      <c r="AE147" s="2">
        <f t="shared" si="50"/>
        <v>1</v>
      </c>
      <c r="AF147" s="2">
        <f t="shared" si="51"/>
        <v>0</v>
      </c>
      <c r="AG147" s="2">
        <f t="shared" si="52"/>
        <v>1</v>
      </c>
      <c r="AH147" s="2">
        <f t="shared" si="53"/>
        <v>0</v>
      </c>
      <c r="AI147" s="2">
        <f t="shared" si="54"/>
        <v>1</v>
      </c>
    </row>
    <row r="148" spans="1:16384" s="3" customFormat="1" ht="14.25" customHeight="1" x14ac:dyDescent="0.25">
      <c r="A148" s="29">
        <v>0</v>
      </c>
      <c r="B148" s="29">
        <v>2</v>
      </c>
      <c r="C148" s="29">
        <v>1</v>
      </c>
      <c r="D148" s="30" t="s">
        <v>248</v>
      </c>
      <c r="E148" s="30" t="s">
        <v>37</v>
      </c>
      <c r="F148" s="30" t="s">
        <v>232</v>
      </c>
      <c r="G148" s="30" t="s">
        <v>585</v>
      </c>
      <c r="H148" s="30" t="s">
        <v>165</v>
      </c>
      <c r="I148" s="29" t="s">
        <v>265</v>
      </c>
      <c r="J148" s="29">
        <v>99</v>
      </c>
      <c r="K148" s="29" t="s">
        <v>320</v>
      </c>
      <c r="L148" s="29">
        <v>5</v>
      </c>
      <c r="M148" s="30" t="s">
        <v>269</v>
      </c>
      <c r="N148" s="30" t="s">
        <v>899</v>
      </c>
      <c r="O148" s="31">
        <v>1</v>
      </c>
      <c r="P148" s="31"/>
      <c r="Q148" s="30"/>
      <c r="R148" s="2"/>
      <c r="S148" s="2">
        <f t="shared" si="39"/>
        <v>0</v>
      </c>
      <c r="T148" s="2">
        <f t="shared" si="40"/>
        <v>0</v>
      </c>
      <c r="U148" s="2">
        <f t="shared" si="41"/>
        <v>0</v>
      </c>
      <c r="V148" s="2">
        <f t="shared" si="42"/>
        <v>0</v>
      </c>
      <c r="W148" s="2">
        <f t="shared" si="43"/>
        <v>0</v>
      </c>
      <c r="X148" s="2">
        <f t="shared" si="44"/>
        <v>0</v>
      </c>
      <c r="Y148" s="2">
        <f t="shared" si="45"/>
        <v>0</v>
      </c>
      <c r="Z148" s="2">
        <f t="shared" si="46"/>
        <v>0</v>
      </c>
      <c r="AA148" s="2">
        <f t="shared" si="47"/>
        <v>0</v>
      </c>
      <c r="AB148" s="2">
        <f t="shared" si="48"/>
        <v>0</v>
      </c>
      <c r="AC148" s="2"/>
      <c r="AD148" s="2">
        <f t="shared" si="49"/>
        <v>0</v>
      </c>
      <c r="AE148" s="2">
        <f t="shared" si="50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</row>
    <row r="149" spans="1:16384" s="3" customFormat="1" ht="14.25" customHeight="1" x14ac:dyDescent="0.25">
      <c r="A149" s="20">
        <v>0</v>
      </c>
      <c r="B149" s="20">
        <v>2</v>
      </c>
      <c r="C149" s="20">
        <v>2</v>
      </c>
      <c r="D149" s="21" t="s">
        <v>722</v>
      </c>
      <c r="E149" s="21" t="s">
        <v>816</v>
      </c>
      <c r="F149" s="21" t="s">
        <v>723</v>
      </c>
      <c r="G149" s="21" t="s">
        <v>96</v>
      </c>
      <c r="H149" s="21" t="s">
        <v>165</v>
      </c>
      <c r="I149" s="20" t="s">
        <v>724</v>
      </c>
      <c r="J149" s="20">
        <v>3</v>
      </c>
      <c r="K149" s="20" t="s">
        <v>319</v>
      </c>
      <c r="L149" s="20">
        <v>35</v>
      </c>
      <c r="M149" s="21" t="s">
        <v>883</v>
      </c>
      <c r="N149" s="21"/>
      <c r="O149" s="7"/>
      <c r="P149" s="7"/>
      <c r="Q149" s="21"/>
      <c r="R149" s="2"/>
      <c r="S149" s="2">
        <f t="shared" si="39"/>
        <v>0</v>
      </c>
      <c r="T149" s="2">
        <f t="shared" si="40"/>
        <v>0</v>
      </c>
      <c r="U149" s="2">
        <f t="shared" si="41"/>
        <v>1</v>
      </c>
      <c r="V149" s="2">
        <f t="shared" si="42"/>
        <v>0</v>
      </c>
      <c r="W149" s="2">
        <f t="shared" si="43"/>
        <v>0</v>
      </c>
      <c r="X149" s="2">
        <f t="shared" si="44"/>
        <v>0</v>
      </c>
      <c r="Y149" s="2">
        <f t="shared" si="45"/>
        <v>0</v>
      </c>
      <c r="Z149" s="2">
        <f t="shared" si="46"/>
        <v>0</v>
      </c>
      <c r="AA149" s="2">
        <f t="shared" si="47"/>
        <v>0</v>
      </c>
      <c r="AB149" s="2">
        <f t="shared" si="48"/>
        <v>0</v>
      </c>
      <c r="AC149" s="2"/>
      <c r="AD149" s="2">
        <f t="shared" si="49"/>
        <v>0</v>
      </c>
      <c r="AE149" s="2">
        <f t="shared" si="50"/>
        <v>0</v>
      </c>
      <c r="AF149" s="2">
        <f t="shared" si="51"/>
        <v>0</v>
      </c>
      <c r="AG149" s="2">
        <f t="shared" si="52"/>
        <v>0</v>
      </c>
      <c r="AH149" s="2">
        <f t="shared" si="53"/>
        <v>0</v>
      </c>
      <c r="AI149" s="2">
        <f t="shared" si="54"/>
        <v>1</v>
      </c>
    </row>
    <row r="150" spans="1:16384" s="3" customFormat="1" ht="14.25" customHeight="1" x14ac:dyDescent="0.25">
      <c r="A150" s="29">
        <v>0</v>
      </c>
      <c r="B150" s="29">
        <v>2</v>
      </c>
      <c r="C150" s="29">
        <v>2</v>
      </c>
      <c r="D150" s="30" t="s">
        <v>503</v>
      </c>
      <c r="E150" s="30" t="s">
        <v>675</v>
      </c>
      <c r="F150" s="30" t="s">
        <v>504</v>
      </c>
      <c r="G150" s="30" t="s">
        <v>137</v>
      </c>
      <c r="H150" s="30" t="s">
        <v>165</v>
      </c>
      <c r="I150" s="29" t="s">
        <v>505</v>
      </c>
      <c r="J150" s="29">
        <v>1</v>
      </c>
      <c r="K150" s="29" t="s">
        <v>318</v>
      </c>
      <c r="L150" s="29">
        <v>45</v>
      </c>
      <c r="M150" s="30" t="s">
        <v>884</v>
      </c>
      <c r="N150" s="30" t="s">
        <v>899</v>
      </c>
      <c r="O150" s="31">
        <v>1</v>
      </c>
      <c r="P150" s="31"/>
      <c r="Q150" s="30"/>
      <c r="R150" s="2"/>
      <c r="S150" s="2">
        <f t="shared" si="39"/>
        <v>1</v>
      </c>
      <c r="T150" s="2">
        <f t="shared" si="40"/>
        <v>0</v>
      </c>
      <c r="U150" s="2">
        <f t="shared" si="41"/>
        <v>0</v>
      </c>
      <c r="V150" s="2">
        <f t="shared" si="42"/>
        <v>0</v>
      </c>
      <c r="W150" s="2">
        <f t="shared" si="43"/>
        <v>0</v>
      </c>
      <c r="X150" s="2">
        <f t="shared" si="44"/>
        <v>0</v>
      </c>
      <c r="Y150" s="2">
        <f t="shared" si="45"/>
        <v>0</v>
      </c>
      <c r="Z150" s="2">
        <f t="shared" si="46"/>
        <v>0</v>
      </c>
      <c r="AA150" s="2">
        <f t="shared" si="47"/>
        <v>0</v>
      </c>
      <c r="AB150" s="2">
        <f t="shared" si="48"/>
        <v>0</v>
      </c>
      <c r="AC150" s="2"/>
      <c r="AD150" s="2">
        <f t="shared" si="49"/>
        <v>0</v>
      </c>
      <c r="AE150" s="2">
        <f t="shared" si="50"/>
        <v>1</v>
      </c>
      <c r="AF150" s="2">
        <f t="shared" si="51"/>
        <v>0</v>
      </c>
      <c r="AG150" s="2">
        <f t="shared" si="52"/>
        <v>1</v>
      </c>
      <c r="AH150" s="2">
        <f t="shared" si="53"/>
        <v>0</v>
      </c>
      <c r="AI150" s="2">
        <f t="shared" si="54"/>
        <v>1</v>
      </c>
    </row>
    <row r="151" spans="1:16384" s="3" customFormat="1" ht="14.25" customHeight="1" x14ac:dyDescent="0.25">
      <c r="A151" s="32">
        <v>0</v>
      </c>
      <c r="B151" s="32">
        <v>2</v>
      </c>
      <c r="C151" s="32">
        <v>2</v>
      </c>
      <c r="D151" s="33" t="s">
        <v>796</v>
      </c>
      <c r="E151" s="33"/>
      <c r="F151" s="33" t="s">
        <v>797</v>
      </c>
      <c r="G151" s="33" t="s">
        <v>309</v>
      </c>
      <c r="H151" s="33" t="s">
        <v>165</v>
      </c>
      <c r="I151" s="32" t="s">
        <v>33</v>
      </c>
      <c r="J151" s="32">
        <v>1</v>
      </c>
      <c r="K151" s="32" t="s">
        <v>378</v>
      </c>
      <c r="L151" s="32">
        <v>40</v>
      </c>
      <c r="M151" s="33" t="s">
        <v>798</v>
      </c>
      <c r="N151" s="33" t="s">
        <v>929</v>
      </c>
      <c r="O151" s="34"/>
      <c r="P151" s="34"/>
      <c r="Q151" s="33"/>
      <c r="R151" s="2"/>
      <c r="S151" s="2">
        <f t="shared" si="39"/>
        <v>1</v>
      </c>
      <c r="T151" s="2">
        <f t="shared" si="40"/>
        <v>0</v>
      </c>
      <c r="U151" s="2">
        <f t="shared" si="41"/>
        <v>0</v>
      </c>
      <c r="V151" s="2">
        <f t="shared" si="42"/>
        <v>0</v>
      </c>
      <c r="W151" s="2">
        <f t="shared" si="43"/>
        <v>0</v>
      </c>
      <c r="X151" s="2">
        <f t="shared" si="44"/>
        <v>0</v>
      </c>
      <c r="Y151" s="2">
        <f t="shared" si="45"/>
        <v>0</v>
      </c>
      <c r="Z151" s="2">
        <f t="shared" si="46"/>
        <v>0</v>
      </c>
      <c r="AA151" s="2">
        <f t="shared" si="47"/>
        <v>0</v>
      </c>
      <c r="AB151" s="2">
        <f t="shared" si="48"/>
        <v>0</v>
      </c>
      <c r="AC151" s="2"/>
      <c r="AD151" s="2">
        <f t="shared" si="49"/>
        <v>0</v>
      </c>
      <c r="AE151" s="2">
        <f t="shared" si="50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1</v>
      </c>
    </row>
    <row r="152" spans="1:16384" s="3" customFormat="1" ht="14.25" customHeight="1" x14ac:dyDescent="0.25">
      <c r="A152" s="29">
        <v>0</v>
      </c>
      <c r="B152" s="29">
        <v>2</v>
      </c>
      <c r="C152" s="29">
        <v>2</v>
      </c>
      <c r="D152" s="30" t="s">
        <v>726</v>
      </c>
      <c r="E152" s="30" t="s">
        <v>30</v>
      </c>
      <c r="F152" s="30" t="s">
        <v>787</v>
      </c>
      <c r="G152" s="30" t="s">
        <v>40</v>
      </c>
      <c r="H152" s="30" t="s">
        <v>165</v>
      </c>
      <c r="I152" s="29" t="s">
        <v>33</v>
      </c>
      <c r="J152" s="29">
        <v>99</v>
      </c>
      <c r="K152" s="29" t="s">
        <v>320</v>
      </c>
      <c r="L152" s="29" t="s">
        <v>345</v>
      </c>
      <c r="M152" s="30" t="s">
        <v>727</v>
      </c>
      <c r="N152" s="30" t="s">
        <v>899</v>
      </c>
      <c r="O152" s="31">
        <v>1</v>
      </c>
      <c r="P152" s="31"/>
      <c r="Q152" s="30"/>
      <c r="R152" s="2"/>
      <c r="S152" s="2">
        <f t="shared" si="39"/>
        <v>0</v>
      </c>
      <c r="T152" s="2">
        <f t="shared" si="40"/>
        <v>0</v>
      </c>
      <c r="U152" s="2">
        <f t="shared" si="41"/>
        <v>0</v>
      </c>
      <c r="V152" s="2">
        <f t="shared" si="42"/>
        <v>0</v>
      </c>
      <c r="W152" s="2">
        <f t="shared" si="43"/>
        <v>0</v>
      </c>
      <c r="X152" s="2">
        <f t="shared" si="44"/>
        <v>0</v>
      </c>
      <c r="Y152" s="2">
        <f t="shared" si="45"/>
        <v>0</v>
      </c>
      <c r="Z152" s="2">
        <f t="shared" si="46"/>
        <v>0</v>
      </c>
      <c r="AA152" s="2">
        <f t="shared" si="47"/>
        <v>0</v>
      </c>
      <c r="AB152" s="2">
        <f t="shared" si="48"/>
        <v>0</v>
      </c>
      <c r="AC152" s="2"/>
      <c r="AD152" s="2">
        <f t="shared" si="49"/>
        <v>0</v>
      </c>
      <c r="AE152" s="2">
        <f t="shared" si="50"/>
        <v>1</v>
      </c>
      <c r="AF152" s="2">
        <f t="shared" si="51"/>
        <v>0</v>
      </c>
      <c r="AG152" s="2">
        <f t="shared" si="52"/>
        <v>1</v>
      </c>
      <c r="AH152" s="2">
        <f t="shared" si="53"/>
        <v>0</v>
      </c>
      <c r="AI152" s="2">
        <f t="shared" si="54"/>
        <v>1</v>
      </c>
    </row>
    <row r="153" spans="1:16384" s="3" customFormat="1" ht="14.25" customHeight="1" x14ac:dyDescent="0.25">
      <c r="A153" s="29">
        <v>0</v>
      </c>
      <c r="B153" s="29">
        <v>2</v>
      </c>
      <c r="C153" s="29">
        <v>2</v>
      </c>
      <c r="D153" s="30" t="s">
        <v>523</v>
      </c>
      <c r="E153" s="30" t="s">
        <v>524</v>
      </c>
      <c r="F153" s="30" t="s">
        <v>515</v>
      </c>
      <c r="G153" s="30" t="s">
        <v>516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40</v>
      </c>
      <c r="M153" s="30" t="s">
        <v>40</v>
      </c>
      <c r="N153" s="30" t="s">
        <v>893</v>
      </c>
      <c r="O153" s="31">
        <v>1</v>
      </c>
      <c r="P153" s="31">
        <v>1</v>
      </c>
      <c r="Q153" s="30"/>
      <c r="R153" s="2"/>
      <c r="S153" s="2">
        <f t="shared" si="39"/>
        <v>0</v>
      </c>
      <c r="T153" s="2">
        <f t="shared" si="40"/>
        <v>0</v>
      </c>
      <c r="U153" s="2">
        <f t="shared" si="41"/>
        <v>0</v>
      </c>
      <c r="V153" s="2">
        <f t="shared" si="42"/>
        <v>0</v>
      </c>
      <c r="W153" s="2">
        <f t="shared" si="43"/>
        <v>0</v>
      </c>
      <c r="X153" s="2">
        <f t="shared" si="44"/>
        <v>0</v>
      </c>
      <c r="Y153" s="2">
        <f t="shared" si="45"/>
        <v>0</v>
      </c>
      <c r="Z153" s="2">
        <f t="shared" si="46"/>
        <v>0</v>
      </c>
      <c r="AA153" s="2">
        <f t="shared" si="47"/>
        <v>0</v>
      </c>
      <c r="AB153" s="2">
        <f t="shared" si="48"/>
        <v>0</v>
      </c>
      <c r="AC153" s="2"/>
      <c r="AD153" s="2">
        <f t="shared" si="49"/>
        <v>1</v>
      </c>
      <c r="AE153" s="2">
        <f t="shared" si="50"/>
        <v>0</v>
      </c>
      <c r="AF153" s="2">
        <f t="shared" si="51"/>
        <v>1</v>
      </c>
      <c r="AG153" s="2">
        <f t="shared" si="52"/>
        <v>0</v>
      </c>
      <c r="AH153" s="2">
        <f t="shared" si="53"/>
        <v>1</v>
      </c>
      <c r="AI153" s="2">
        <f t="shared" si="54"/>
        <v>0</v>
      </c>
    </row>
    <row r="154" spans="1:16384" s="3" customFormat="1" ht="14.25" customHeight="1" x14ac:dyDescent="0.25">
      <c r="A154" s="29">
        <v>1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780</v>
      </c>
      <c r="G154" s="30" t="s">
        <v>130</v>
      </c>
      <c r="H154" s="30" t="s">
        <v>165</v>
      </c>
      <c r="I154" s="29" t="s">
        <v>33</v>
      </c>
      <c r="J154" s="29"/>
      <c r="K154" s="29" t="s">
        <v>320</v>
      </c>
      <c r="L154" s="29" t="s">
        <v>40</v>
      </c>
      <c r="M154" s="30" t="s">
        <v>40</v>
      </c>
      <c r="N154" s="30" t="s">
        <v>893</v>
      </c>
      <c r="O154" s="31">
        <v>1</v>
      </c>
      <c r="P154" s="31">
        <v>1</v>
      </c>
      <c r="Q154" s="30"/>
      <c r="R154" s="2"/>
      <c r="S154" s="2">
        <f t="shared" si="39"/>
        <v>0</v>
      </c>
      <c r="T154" s="2">
        <f t="shared" si="40"/>
        <v>0</v>
      </c>
      <c r="U154" s="2">
        <f t="shared" si="41"/>
        <v>0</v>
      </c>
      <c r="V154" s="2">
        <f t="shared" si="42"/>
        <v>0</v>
      </c>
      <c r="W154" s="2">
        <f t="shared" si="43"/>
        <v>0</v>
      </c>
      <c r="X154" s="2">
        <f t="shared" si="44"/>
        <v>0</v>
      </c>
      <c r="Y154" s="2">
        <f t="shared" si="45"/>
        <v>0</v>
      </c>
      <c r="Z154" s="2">
        <f t="shared" si="46"/>
        <v>0</v>
      </c>
      <c r="AA154" s="2">
        <f t="shared" si="47"/>
        <v>0</v>
      </c>
      <c r="AB154" s="2">
        <f t="shared" si="48"/>
        <v>0</v>
      </c>
      <c r="AC154" s="2"/>
      <c r="AD154" s="2">
        <f t="shared" si="49"/>
        <v>1</v>
      </c>
      <c r="AE154" s="2">
        <f t="shared" si="50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0</v>
      </c>
    </row>
    <row r="155" spans="1:16384" s="3" customFormat="1" ht="14.25" customHeight="1" x14ac:dyDescent="0.25">
      <c r="A155" s="29">
        <v>0</v>
      </c>
      <c r="B155" s="29">
        <v>2</v>
      </c>
      <c r="C155" s="29">
        <v>2</v>
      </c>
      <c r="D155" s="30" t="s">
        <v>54</v>
      </c>
      <c r="E155" s="30" t="s">
        <v>84</v>
      </c>
      <c r="F155" s="30" t="s">
        <v>108</v>
      </c>
      <c r="G155" s="30" t="s">
        <v>40</v>
      </c>
      <c r="H155" s="30" t="s">
        <v>165</v>
      </c>
      <c r="I155" s="29" t="s">
        <v>173</v>
      </c>
      <c r="J155" s="29">
        <v>4</v>
      </c>
      <c r="K155" s="29" t="s">
        <v>320</v>
      </c>
      <c r="L155" s="29" t="s">
        <v>336</v>
      </c>
      <c r="M155" s="30" t="s">
        <v>337</v>
      </c>
      <c r="N155" s="30" t="s">
        <v>911</v>
      </c>
      <c r="O155" s="31">
        <v>1</v>
      </c>
      <c r="P155" s="31"/>
      <c r="Q155" s="30"/>
      <c r="R155" s="2"/>
      <c r="S155" s="2">
        <f t="shared" si="39"/>
        <v>0</v>
      </c>
      <c r="T155" s="2">
        <f t="shared" si="40"/>
        <v>0</v>
      </c>
      <c r="U155" s="2">
        <f t="shared" si="41"/>
        <v>0</v>
      </c>
      <c r="V155" s="2">
        <f t="shared" si="42"/>
        <v>1</v>
      </c>
      <c r="W155" s="2">
        <f t="shared" si="43"/>
        <v>0</v>
      </c>
      <c r="X155" s="2">
        <f t="shared" si="44"/>
        <v>0</v>
      </c>
      <c r="Y155" s="2">
        <f t="shared" si="45"/>
        <v>0</v>
      </c>
      <c r="Z155" s="2">
        <f t="shared" si="46"/>
        <v>0</v>
      </c>
      <c r="AA155" s="2">
        <f t="shared" si="47"/>
        <v>0</v>
      </c>
      <c r="AB155" s="2">
        <f t="shared" si="48"/>
        <v>0</v>
      </c>
      <c r="AC155" s="2"/>
      <c r="AD155" s="2">
        <f t="shared" si="49"/>
        <v>0</v>
      </c>
      <c r="AE155" s="2">
        <f t="shared" si="50"/>
        <v>1</v>
      </c>
      <c r="AF155" s="2">
        <f t="shared" si="51"/>
        <v>0</v>
      </c>
      <c r="AG155" s="2">
        <f t="shared" si="52"/>
        <v>1</v>
      </c>
      <c r="AH155" s="2">
        <f t="shared" si="53"/>
        <v>0</v>
      </c>
      <c r="AI155" s="2">
        <f t="shared" si="54"/>
        <v>1</v>
      </c>
    </row>
    <row r="156" spans="1:16384" s="3" customFormat="1" ht="14.25" customHeight="1" x14ac:dyDescent="0.25">
      <c r="A156" s="29">
        <v>1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725</v>
      </c>
      <c r="G156" s="30" t="s">
        <v>585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336</v>
      </c>
      <c r="M156" s="30" t="s">
        <v>337</v>
      </c>
      <c r="N156" s="30" t="s">
        <v>911</v>
      </c>
      <c r="O156" s="31">
        <v>1</v>
      </c>
      <c r="P156" s="31"/>
      <c r="Q156" s="30"/>
      <c r="R156" s="2"/>
      <c r="S156" s="2">
        <f t="shared" si="39"/>
        <v>0</v>
      </c>
      <c r="T156" s="2">
        <f t="shared" si="40"/>
        <v>0</v>
      </c>
      <c r="U156" s="2">
        <f t="shared" si="41"/>
        <v>0</v>
      </c>
      <c r="V156" s="2">
        <f t="shared" si="42"/>
        <v>0</v>
      </c>
      <c r="W156" s="2">
        <f t="shared" si="43"/>
        <v>0</v>
      </c>
      <c r="X156" s="2">
        <f t="shared" si="44"/>
        <v>0</v>
      </c>
      <c r="Y156" s="2">
        <f t="shared" si="45"/>
        <v>0</v>
      </c>
      <c r="Z156" s="2">
        <f t="shared" si="46"/>
        <v>0</v>
      </c>
      <c r="AA156" s="2">
        <f t="shared" si="47"/>
        <v>0</v>
      </c>
      <c r="AB156" s="2">
        <f t="shared" si="48"/>
        <v>0</v>
      </c>
      <c r="AC156" s="2"/>
      <c r="AD156" s="2">
        <f t="shared" si="49"/>
        <v>0</v>
      </c>
      <c r="AE156" s="2">
        <f t="shared" si="50"/>
        <v>1</v>
      </c>
      <c r="AF156" s="2">
        <f t="shared" si="51"/>
        <v>0</v>
      </c>
      <c r="AG156" s="2">
        <f t="shared" si="52"/>
        <v>0</v>
      </c>
      <c r="AH156" s="2">
        <f t="shared" si="53"/>
        <v>0</v>
      </c>
      <c r="AI156" s="2">
        <f t="shared" si="54"/>
        <v>0</v>
      </c>
    </row>
    <row r="157" spans="1:16384" s="3" customFormat="1" ht="14.25" customHeight="1" x14ac:dyDescent="0.25">
      <c r="A157" s="29">
        <v>0</v>
      </c>
      <c r="B157" s="29">
        <v>2</v>
      </c>
      <c r="C157" s="29">
        <v>2</v>
      </c>
      <c r="D157" s="30" t="s">
        <v>682</v>
      </c>
      <c r="E157" s="30" t="s">
        <v>677</v>
      </c>
      <c r="F157" s="30" t="s">
        <v>478</v>
      </c>
      <c r="G157" s="30" t="s">
        <v>122</v>
      </c>
      <c r="H157" s="30" t="s">
        <v>165</v>
      </c>
      <c r="I157" s="29" t="s">
        <v>419</v>
      </c>
      <c r="J157" s="29">
        <v>6</v>
      </c>
      <c r="K157" s="29" t="s">
        <v>319</v>
      </c>
      <c r="L157" s="29" t="s">
        <v>339</v>
      </c>
      <c r="M157" s="30" t="s">
        <v>744</v>
      </c>
      <c r="N157" s="30" t="s">
        <v>901</v>
      </c>
      <c r="O157" s="31">
        <v>1</v>
      </c>
      <c r="P157" s="31"/>
      <c r="Q157" s="30"/>
      <c r="R157" s="2"/>
      <c r="S157" s="2">
        <f t="shared" si="39"/>
        <v>0</v>
      </c>
      <c r="T157" s="2">
        <f t="shared" si="40"/>
        <v>0</v>
      </c>
      <c r="U157" s="2">
        <f t="shared" si="41"/>
        <v>0</v>
      </c>
      <c r="V157" s="2">
        <f t="shared" si="42"/>
        <v>0</v>
      </c>
      <c r="W157" s="2">
        <f t="shared" si="43"/>
        <v>0</v>
      </c>
      <c r="X157" s="2">
        <f t="shared" si="44"/>
        <v>1</v>
      </c>
      <c r="Y157" s="2">
        <f t="shared" si="45"/>
        <v>0</v>
      </c>
      <c r="Z157" s="2">
        <f t="shared" si="46"/>
        <v>0</v>
      </c>
      <c r="AA157" s="2">
        <f t="shared" si="47"/>
        <v>0</v>
      </c>
      <c r="AB157" s="2">
        <f t="shared" si="48"/>
        <v>0</v>
      </c>
      <c r="AC157" s="2"/>
      <c r="AD157" s="2">
        <f t="shared" si="49"/>
        <v>0</v>
      </c>
      <c r="AE157" s="2">
        <f t="shared" si="50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</row>
    <row r="158" spans="1:16384" s="3" customFormat="1" ht="14.25" customHeight="1" x14ac:dyDescent="0.25">
      <c r="A158" s="29">
        <v>0</v>
      </c>
      <c r="B158" s="29">
        <v>2</v>
      </c>
      <c r="C158" s="29">
        <v>2</v>
      </c>
      <c r="D158" s="30" t="s">
        <v>437</v>
      </c>
      <c r="E158" s="30" t="s">
        <v>30</v>
      </c>
      <c r="F158" s="30" t="s">
        <v>953</v>
      </c>
      <c r="G158" s="30" t="s">
        <v>580</v>
      </c>
      <c r="H158" s="30" t="s">
        <v>165</v>
      </c>
      <c r="I158" s="29" t="s">
        <v>594</v>
      </c>
      <c r="J158" s="29">
        <v>99</v>
      </c>
      <c r="K158" s="29" t="s">
        <v>378</v>
      </c>
      <c r="L158" s="29">
        <v>35</v>
      </c>
      <c r="M158" s="30" t="s">
        <v>600</v>
      </c>
      <c r="N158" s="30" t="s">
        <v>935</v>
      </c>
      <c r="O158" s="31">
        <v>1</v>
      </c>
      <c r="P158" s="31"/>
      <c r="Q158" s="30"/>
      <c r="R158" s="2"/>
      <c r="S158" s="2">
        <f t="shared" si="39"/>
        <v>0</v>
      </c>
      <c r="T158" s="2">
        <f t="shared" si="40"/>
        <v>0</v>
      </c>
      <c r="U158" s="2">
        <f t="shared" si="41"/>
        <v>0</v>
      </c>
      <c r="V158" s="2">
        <f t="shared" si="42"/>
        <v>0</v>
      </c>
      <c r="W158" s="2">
        <f t="shared" si="43"/>
        <v>0</v>
      </c>
      <c r="X158" s="2">
        <f t="shared" si="44"/>
        <v>0</v>
      </c>
      <c r="Y158" s="2">
        <f t="shared" si="45"/>
        <v>0</v>
      </c>
      <c r="Z158" s="2">
        <f t="shared" si="46"/>
        <v>0</v>
      </c>
      <c r="AA158" s="2">
        <f t="shared" si="47"/>
        <v>0</v>
      </c>
      <c r="AB158" s="2">
        <f t="shared" si="48"/>
        <v>0</v>
      </c>
      <c r="AC158" s="2"/>
      <c r="AD158" s="2">
        <f t="shared" si="49"/>
        <v>0</v>
      </c>
      <c r="AE158" s="2">
        <f t="shared" si="50"/>
        <v>1</v>
      </c>
      <c r="AF158" s="2">
        <f t="shared" si="51"/>
        <v>0</v>
      </c>
      <c r="AG158" s="2">
        <f t="shared" si="52"/>
        <v>1</v>
      </c>
      <c r="AH158" s="2">
        <f t="shared" si="53"/>
        <v>0</v>
      </c>
      <c r="AI158" s="2">
        <f t="shared" si="54"/>
        <v>1</v>
      </c>
    </row>
    <row r="159" spans="1:16384" s="3" customFormat="1" ht="14.25" customHeight="1" x14ac:dyDescent="0.25">
      <c r="A159" s="29">
        <v>0</v>
      </c>
      <c r="B159" s="29">
        <v>2</v>
      </c>
      <c r="C159" s="29">
        <v>2</v>
      </c>
      <c r="D159" s="30" t="s">
        <v>562</v>
      </c>
      <c r="E159" s="30" t="s">
        <v>563</v>
      </c>
      <c r="F159" s="30" t="s">
        <v>564</v>
      </c>
      <c r="G159" s="30" t="s">
        <v>565</v>
      </c>
      <c r="H159" s="30" t="s">
        <v>165</v>
      </c>
      <c r="I159" s="29" t="s">
        <v>566</v>
      </c>
      <c r="J159" s="29">
        <v>99</v>
      </c>
      <c r="K159" s="29" t="s">
        <v>320</v>
      </c>
      <c r="L159" s="29" t="s">
        <v>40</v>
      </c>
      <c r="M159" s="30" t="s">
        <v>40</v>
      </c>
      <c r="N159" s="30" t="s">
        <v>893</v>
      </c>
      <c r="O159" s="31">
        <v>1</v>
      </c>
      <c r="P159" s="31">
        <v>1</v>
      </c>
      <c r="Q159" s="30"/>
      <c r="R159" s="2"/>
      <c r="S159" s="2">
        <f t="shared" si="39"/>
        <v>0</v>
      </c>
      <c r="T159" s="2">
        <f t="shared" si="40"/>
        <v>0</v>
      </c>
      <c r="U159" s="2">
        <f t="shared" si="41"/>
        <v>0</v>
      </c>
      <c r="V159" s="2">
        <f t="shared" si="42"/>
        <v>0</v>
      </c>
      <c r="W159" s="2">
        <f t="shared" si="43"/>
        <v>0</v>
      </c>
      <c r="X159" s="2">
        <f t="shared" si="44"/>
        <v>0</v>
      </c>
      <c r="Y159" s="2">
        <f t="shared" si="45"/>
        <v>0</v>
      </c>
      <c r="Z159" s="2">
        <f t="shared" si="46"/>
        <v>0</v>
      </c>
      <c r="AA159" s="2">
        <f t="shared" si="47"/>
        <v>0</v>
      </c>
      <c r="AB159" s="2">
        <f t="shared" si="48"/>
        <v>0</v>
      </c>
      <c r="AC159" s="2"/>
      <c r="AD159" s="2">
        <f t="shared" si="49"/>
        <v>1</v>
      </c>
      <c r="AE159" s="2">
        <f t="shared" si="50"/>
        <v>0</v>
      </c>
      <c r="AF159" s="2">
        <f t="shared" si="51"/>
        <v>1</v>
      </c>
      <c r="AG159" s="2">
        <f t="shared" si="52"/>
        <v>0</v>
      </c>
      <c r="AH159" s="2">
        <f t="shared" si="53"/>
        <v>1</v>
      </c>
      <c r="AI159" s="2">
        <f t="shared" si="54"/>
        <v>0</v>
      </c>
    </row>
    <row r="160" spans="1:16384" s="3" customFormat="1" ht="14.25" customHeight="1" x14ac:dyDescent="0.25">
      <c r="A160" s="26">
        <v>0</v>
      </c>
      <c r="B160" s="26">
        <v>2</v>
      </c>
      <c r="C160" s="26">
        <v>2</v>
      </c>
      <c r="D160" s="27" t="s">
        <v>968</v>
      </c>
      <c r="E160" s="27" t="s">
        <v>969</v>
      </c>
      <c r="F160" s="27" t="s">
        <v>970</v>
      </c>
      <c r="G160" s="27" t="s">
        <v>971</v>
      </c>
      <c r="H160" s="27" t="s">
        <v>165</v>
      </c>
      <c r="I160" s="26" t="s">
        <v>972</v>
      </c>
      <c r="J160" s="26"/>
      <c r="K160" s="26" t="s">
        <v>378</v>
      </c>
      <c r="L160" s="26"/>
      <c r="M160" s="27"/>
      <c r="N160" s="27"/>
      <c r="O160" s="28"/>
      <c r="P160" s="28">
        <v>1</v>
      </c>
      <c r="Q160" s="27"/>
      <c r="R160" s="20"/>
      <c r="S160" s="2">
        <f t="shared" si="39"/>
        <v>0</v>
      </c>
      <c r="T160" s="2">
        <f t="shared" si="40"/>
        <v>0</v>
      </c>
      <c r="U160" s="2">
        <f t="shared" si="41"/>
        <v>0</v>
      </c>
      <c r="V160" s="2">
        <f t="shared" si="42"/>
        <v>0</v>
      </c>
      <c r="W160" s="2">
        <f t="shared" si="43"/>
        <v>0</v>
      </c>
      <c r="X160" s="2">
        <f t="shared" si="44"/>
        <v>0</v>
      </c>
      <c r="Y160" s="2">
        <f t="shared" si="45"/>
        <v>0</v>
      </c>
      <c r="Z160" s="2">
        <f t="shared" si="46"/>
        <v>0</v>
      </c>
      <c r="AA160" s="2">
        <f t="shared" si="47"/>
        <v>0</v>
      </c>
      <c r="AB160" s="2">
        <f t="shared" si="48"/>
        <v>0</v>
      </c>
      <c r="AC160" s="2"/>
      <c r="AD160" s="2">
        <f t="shared" si="49"/>
        <v>0</v>
      </c>
      <c r="AE160" s="2">
        <f t="shared" si="50"/>
        <v>0</v>
      </c>
      <c r="AF160" s="2">
        <f t="shared" si="51"/>
        <v>0</v>
      </c>
      <c r="AG160" s="2">
        <f t="shared" si="52"/>
        <v>0</v>
      </c>
      <c r="AH160" s="2">
        <f t="shared" si="53"/>
        <v>1</v>
      </c>
      <c r="AI160" s="2">
        <f t="shared" si="54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996</v>
      </c>
      <c r="E161" s="30" t="s">
        <v>993</v>
      </c>
      <c r="F161" s="30" t="s">
        <v>994</v>
      </c>
      <c r="G161" s="30" t="s">
        <v>137</v>
      </c>
      <c r="H161" s="30" t="s">
        <v>165</v>
      </c>
      <c r="I161" s="29" t="s">
        <v>995</v>
      </c>
      <c r="J161" s="29">
        <v>1</v>
      </c>
      <c r="K161" s="29" t="s">
        <v>378</v>
      </c>
      <c r="L161" s="29"/>
      <c r="M161" s="30"/>
      <c r="N161" s="30" t="s">
        <v>893</v>
      </c>
      <c r="O161" s="31">
        <v>1</v>
      </c>
      <c r="P161" s="31">
        <v>1</v>
      </c>
      <c r="Q161" s="30" t="s">
        <v>997</v>
      </c>
      <c r="R161" s="2"/>
      <c r="S161" s="2">
        <f t="shared" si="39"/>
        <v>1</v>
      </c>
      <c r="T161" s="2">
        <f t="shared" si="40"/>
        <v>0</v>
      </c>
      <c r="U161" s="2">
        <f t="shared" si="41"/>
        <v>0</v>
      </c>
      <c r="V161" s="2">
        <f t="shared" si="42"/>
        <v>0</v>
      </c>
      <c r="W161" s="2">
        <f t="shared" si="43"/>
        <v>0</v>
      </c>
      <c r="X161" s="2">
        <f t="shared" si="44"/>
        <v>0</v>
      </c>
      <c r="Y161" s="2">
        <f t="shared" si="45"/>
        <v>0</v>
      </c>
      <c r="Z161" s="2">
        <f t="shared" si="46"/>
        <v>0</v>
      </c>
      <c r="AA161" s="2">
        <f t="shared" si="47"/>
        <v>0</v>
      </c>
      <c r="AB161" s="2">
        <f t="shared" si="48"/>
        <v>0</v>
      </c>
      <c r="AC161" s="2"/>
      <c r="AD161" s="2">
        <f t="shared" si="49"/>
        <v>1</v>
      </c>
      <c r="AE161" s="2">
        <f t="shared" si="50"/>
        <v>0</v>
      </c>
      <c r="AF161" s="2">
        <f t="shared" si="51"/>
        <v>1</v>
      </c>
      <c r="AG161" s="2">
        <f t="shared" si="52"/>
        <v>0</v>
      </c>
      <c r="AH161" s="2">
        <f t="shared" si="53"/>
        <v>1</v>
      </c>
      <c r="AI161" s="2">
        <f t="shared" si="54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943</v>
      </c>
      <c r="E162" s="30" t="s">
        <v>470</v>
      </c>
      <c r="F162" s="30" t="s">
        <v>944</v>
      </c>
      <c r="G162" s="30" t="s">
        <v>96</v>
      </c>
      <c r="H162" s="30" t="s">
        <v>165</v>
      </c>
      <c r="I162" s="29" t="s">
        <v>945</v>
      </c>
      <c r="J162" s="29"/>
      <c r="K162" s="29" t="s">
        <v>378</v>
      </c>
      <c r="L162" s="29"/>
      <c r="M162" s="30"/>
      <c r="N162" s="30" t="s">
        <v>893</v>
      </c>
      <c r="O162" s="31">
        <v>1</v>
      </c>
      <c r="P162" s="31">
        <v>1</v>
      </c>
      <c r="Q162" s="30" t="s">
        <v>999</v>
      </c>
      <c r="R162" s="20"/>
      <c r="S162" s="2">
        <f t="shared" si="39"/>
        <v>0</v>
      </c>
      <c r="T162" s="2">
        <f t="shared" si="40"/>
        <v>0</v>
      </c>
      <c r="U162" s="2">
        <f t="shared" si="41"/>
        <v>0</v>
      </c>
      <c r="V162" s="2">
        <f t="shared" si="42"/>
        <v>0</v>
      </c>
      <c r="W162" s="2">
        <f t="shared" si="43"/>
        <v>0</v>
      </c>
      <c r="X162" s="2">
        <f t="shared" si="44"/>
        <v>0</v>
      </c>
      <c r="Y162" s="2">
        <f t="shared" si="45"/>
        <v>0</v>
      </c>
      <c r="Z162" s="2">
        <f t="shared" si="46"/>
        <v>0</v>
      </c>
      <c r="AA162" s="2">
        <f t="shared" si="47"/>
        <v>0</v>
      </c>
      <c r="AB162" s="2">
        <f t="shared" si="48"/>
        <v>0</v>
      </c>
      <c r="AC162" s="2"/>
      <c r="AD162" s="2">
        <f t="shared" si="49"/>
        <v>1</v>
      </c>
      <c r="AE162" s="2">
        <f t="shared" si="50"/>
        <v>0</v>
      </c>
      <c r="AF162" s="2">
        <f t="shared" si="51"/>
        <v>1</v>
      </c>
      <c r="AG162" s="2">
        <f t="shared" si="52"/>
        <v>0</v>
      </c>
      <c r="AH162" s="2">
        <f t="shared" si="53"/>
        <v>1</v>
      </c>
      <c r="AI162" s="2">
        <f t="shared" si="54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712</v>
      </c>
      <c r="E163" s="30" t="s">
        <v>30</v>
      </c>
      <c r="F163" s="30" t="s">
        <v>714</v>
      </c>
      <c r="G163" s="30" t="s">
        <v>715</v>
      </c>
      <c r="H163" s="30" t="s">
        <v>165</v>
      </c>
      <c r="I163" s="29" t="s">
        <v>716</v>
      </c>
      <c r="J163" s="29">
        <v>99</v>
      </c>
      <c r="K163" s="29" t="s">
        <v>320</v>
      </c>
      <c r="L163" s="29">
        <v>55</v>
      </c>
      <c r="M163" s="30" t="s">
        <v>1000</v>
      </c>
      <c r="N163" s="30" t="s">
        <v>913</v>
      </c>
      <c r="O163" s="31">
        <v>1</v>
      </c>
      <c r="P163" s="31"/>
      <c r="Q163" s="30" t="s">
        <v>998</v>
      </c>
      <c r="R163" s="2"/>
      <c r="S163" s="2">
        <f t="shared" si="39"/>
        <v>0</v>
      </c>
      <c r="T163" s="2">
        <f t="shared" si="40"/>
        <v>0</v>
      </c>
      <c r="U163" s="2">
        <f t="shared" si="41"/>
        <v>0</v>
      </c>
      <c r="V163" s="2">
        <f t="shared" si="42"/>
        <v>0</v>
      </c>
      <c r="W163" s="2">
        <f t="shared" si="43"/>
        <v>0</v>
      </c>
      <c r="X163" s="2">
        <f t="shared" si="44"/>
        <v>0</v>
      </c>
      <c r="Y163" s="2">
        <f t="shared" si="45"/>
        <v>0</v>
      </c>
      <c r="Z163" s="2">
        <f t="shared" si="46"/>
        <v>0</v>
      </c>
      <c r="AA163" s="2">
        <f t="shared" si="47"/>
        <v>0</v>
      </c>
      <c r="AB163" s="2">
        <f t="shared" si="48"/>
        <v>0</v>
      </c>
      <c r="AC163" s="2"/>
      <c r="AD163" s="2">
        <f t="shared" si="49"/>
        <v>0</v>
      </c>
      <c r="AE163" s="2">
        <f t="shared" si="50"/>
        <v>1</v>
      </c>
      <c r="AF163" s="2">
        <f t="shared" si="51"/>
        <v>0</v>
      </c>
      <c r="AG163" s="2">
        <f t="shared" si="52"/>
        <v>1</v>
      </c>
      <c r="AH163" s="2">
        <f t="shared" si="53"/>
        <v>0</v>
      </c>
      <c r="AI163" s="2">
        <f t="shared" si="54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442</v>
      </c>
      <c r="E164" s="30" t="s">
        <v>443</v>
      </c>
      <c r="F164" s="30" t="s">
        <v>445</v>
      </c>
      <c r="G164" s="30" t="s">
        <v>93</v>
      </c>
      <c r="H164" s="30" t="s">
        <v>165</v>
      </c>
      <c r="I164" s="29" t="s">
        <v>444</v>
      </c>
      <c r="J164" s="29">
        <v>8</v>
      </c>
      <c r="K164" s="29" t="s">
        <v>318</v>
      </c>
      <c r="L164" s="29">
        <v>40</v>
      </c>
      <c r="M164" s="30" t="s">
        <v>885</v>
      </c>
      <c r="N164" s="30" t="s">
        <v>907</v>
      </c>
      <c r="O164" s="31">
        <v>1</v>
      </c>
      <c r="P164" s="31"/>
      <c r="Q164" s="30"/>
      <c r="R164" s="2"/>
      <c r="S164" s="2">
        <f t="shared" si="39"/>
        <v>0</v>
      </c>
      <c r="T164" s="2">
        <f t="shared" si="40"/>
        <v>0</v>
      </c>
      <c r="U164" s="2">
        <f t="shared" si="41"/>
        <v>0</v>
      </c>
      <c r="V164" s="2">
        <f t="shared" si="42"/>
        <v>0</v>
      </c>
      <c r="W164" s="2">
        <f t="shared" si="43"/>
        <v>0</v>
      </c>
      <c r="X164" s="2">
        <f t="shared" si="44"/>
        <v>0</v>
      </c>
      <c r="Y164" s="2">
        <f t="shared" si="45"/>
        <v>0</v>
      </c>
      <c r="Z164" s="2">
        <f t="shared" si="46"/>
        <v>1</v>
      </c>
      <c r="AA164" s="2">
        <f t="shared" si="47"/>
        <v>0</v>
      </c>
      <c r="AB164" s="2">
        <f t="shared" si="48"/>
        <v>0</v>
      </c>
      <c r="AC164" s="2"/>
      <c r="AD164" s="2">
        <f t="shared" si="49"/>
        <v>0</v>
      </c>
      <c r="AE164" s="2">
        <f t="shared" si="50"/>
        <v>1</v>
      </c>
      <c r="AF164" s="2">
        <f t="shared" si="51"/>
        <v>0</v>
      </c>
      <c r="AG164" s="2">
        <f t="shared" si="52"/>
        <v>1</v>
      </c>
      <c r="AH164" s="2">
        <f t="shared" si="53"/>
        <v>0</v>
      </c>
      <c r="AI164" s="2">
        <f t="shared" si="54"/>
        <v>1</v>
      </c>
    </row>
    <row r="165" spans="1:16384" s="3" customFormat="1" ht="14.25" customHeight="1" x14ac:dyDescent="0.25">
      <c r="A165" s="32">
        <v>0</v>
      </c>
      <c r="B165" s="32">
        <v>2</v>
      </c>
      <c r="C165" s="32">
        <v>2</v>
      </c>
      <c r="D165" s="33" t="s">
        <v>813</v>
      </c>
      <c r="E165" s="33" t="s">
        <v>456</v>
      </c>
      <c r="F165" s="33" t="s">
        <v>792</v>
      </c>
      <c r="G165" s="33" t="s">
        <v>673</v>
      </c>
      <c r="H165" s="33" t="s">
        <v>165</v>
      </c>
      <c r="I165" s="32" t="s">
        <v>791</v>
      </c>
      <c r="J165" s="32">
        <v>99</v>
      </c>
      <c r="K165" s="32" t="s">
        <v>319</v>
      </c>
      <c r="L165" s="32">
        <v>20</v>
      </c>
      <c r="M165" s="33" t="s">
        <v>898</v>
      </c>
      <c r="N165" s="33" t="s">
        <v>900</v>
      </c>
      <c r="O165" s="34"/>
      <c r="P165" s="34"/>
      <c r="Q165" s="33"/>
      <c r="R165" s="2"/>
      <c r="S165" s="2">
        <f t="shared" si="39"/>
        <v>0</v>
      </c>
      <c r="T165" s="2">
        <f t="shared" si="40"/>
        <v>0</v>
      </c>
      <c r="U165" s="2">
        <f t="shared" si="41"/>
        <v>0</v>
      </c>
      <c r="V165" s="2">
        <f t="shared" si="42"/>
        <v>0</v>
      </c>
      <c r="W165" s="2">
        <f t="shared" si="43"/>
        <v>0</v>
      </c>
      <c r="X165" s="2">
        <f t="shared" si="44"/>
        <v>0</v>
      </c>
      <c r="Y165" s="2">
        <f t="shared" si="45"/>
        <v>0</v>
      </c>
      <c r="Z165" s="2">
        <f t="shared" si="46"/>
        <v>0</v>
      </c>
      <c r="AA165" s="2">
        <f t="shared" si="47"/>
        <v>0</v>
      </c>
      <c r="AB165" s="2">
        <f t="shared" si="48"/>
        <v>0</v>
      </c>
      <c r="AC165" s="2"/>
      <c r="AD165" s="2">
        <f t="shared" si="49"/>
        <v>0</v>
      </c>
      <c r="AE165" s="2">
        <f t="shared" si="50"/>
        <v>0</v>
      </c>
      <c r="AF165" s="2">
        <f t="shared" si="51"/>
        <v>0</v>
      </c>
      <c r="AG165" s="2">
        <f t="shared" si="52"/>
        <v>0</v>
      </c>
      <c r="AH165" s="2">
        <f t="shared" si="53"/>
        <v>0</v>
      </c>
      <c r="AI165" s="2">
        <f t="shared" si="54"/>
        <v>1</v>
      </c>
    </row>
    <row r="166" spans="1:16384" s="3" customFormat="1" ht="14.25" customHeight="1" x14ac:dyDescent="0.25">
      <c r="A166" s="32">
        <v>0</v>
      </c>
      <c r="B166" s="32">
        <v>2</v>
      </c>
      <c r="C166" s="32">
        <v>2</v>
      </c>
      <c r="D166" s="33" t="s">
        <v>720</v>
      </c>
      <c r="E166" s="33" t="s">
        <v>817</v>
      </c>
      <c r="F166" s="33" t="s">
        <v>831</v>
      </c>
      <c r="G166" s="33" t="s">
        <v>137</v>
      </c>
      <c r="H166" s="33" t="s">
        <v>165</v>
      </c>
      <c r="I166" s="32" t="s">
        <v>721</v>
      </c>
      <c r="J166" s="32">
        <v>1</v>
      </c>
      <c r="K166" s="32" t="s">
        <v>318</v>
      </c>
      <c r="L166" s="32">
        <v>40</v>
      </c>
      <c r="M166" s="33" t="s">
        <v>886</v>
      </c>
      <c r="N166" s="33" t="s">
        <v>895</v>
      </c>
      <c r="O166" s="34"/>
      <c r="P166" s="34"/>
      <c r="Q166" s="33"/>
      <c r="R166" s="2"/>
      <c r="S166" s="2">
        <f t="shared" si="39"/>
        <v>1</v>
      </c>
      <c r="T166" s="2">
        <f t="shared" si="40"/>
        <v>0</v>
      </c>
      <c r="U166" s="2">
        <f t="shared" si="41"/>
        <v>0</v>
      </c>
      <c r="V166" s="2">
        <f t="shared" si="42"/>
        <v>0</v>
      </c>
      <c r="W166" s="2">
        <f t="shared" si="43"/>
        <v>0</v>
      </c>
      <c r="X166" s="2">
        <f t="shared" si="44"/>
        <v>0</v>
      </c>
      <c r="Y166" s="2">
        <f t="shared" si="45"/>
        <v>0</v>
      </c>
      <c r="Z166" s="2">
        <f t="shared" si="46"/>
        <v>0</v>
      </c>
      <c r="AA166" s="2">
        <f t="shared" si="47"/>
        <v>0</v>
      </c>
      <c r="AB166" s="2">
        <f t="shared" si="48"/>
        <v>0</v>
      </c>
      <c r="AC166" s="2"/>
      <c r="AD166" s="2">
        <f t="shared" si="49"/>
        <v>0</v>
      </c>
      <c r="AE166" s="2">
        <f t="shared" si="50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</row>
    <row r="167" spans="1:16384" s="3" customFormat="1" ht="14.25" customHeight="1" x14ac:dyDescent="0.25">
      <c r="A167" s="26">
        <v>0</v>
      </c>
      <c r="B167" s="26">
        <v>2</v>
      </c>
      <c r="C167" s="26">
        <v>2</v>
      </c>
      <c r="D167" s="27" t="s">
        <v>466</v>
      </c>
      <c r="E167" s="27" t="s">
        <v>30</v>
      </c>
      <c r="F167" s="27" t="s">
        <v>424</v>
      </c>
      <c r="G167" s="27" t="s">
        <v>160</v>
      </c>
      <c r="H167" s="27" t="s">
        <v>165</v>
      </c>
      <c r="I167" s="26" t="s">
        <v>425</v>
      </c>
      <c r="J167" s="26">
        <v>1</v>
      </c>
      <c r="K167" s="26" t="s">
        <v>321</v>
      </c>
      <c r="L167" s="26" t="s">
        <v>40</v>
      </c>
      <c r="M167" s="27" t="s">
        <v>40</v>
      </c>
      <c r="N167" s="27"/>
      <c r="O167" s="28"/>
      <c r="P167" s="28">
        <v>1</v>
      </c>
      <c r="Q167" s="27"/>
      <c r="R167" s="2"/>
      <c r="S167" s="2">
        <f t="shared" si="39"/>
        <v>1</v>
      </c>
      <c r="T167" s="2">
        <f t="shared" si="40"/>
        <v>0</v>
      </c>
      <c r="U167" s="2">
        <f t="shared" si="41"/>
        <v>0</v>
      </c>
      <c r="V167" s="2">
        <f t="shared" si="42"/>
        <v>0</v>
      </c>
      <c r="W167" s="2">
        <f t="shared" si="43"/>
        <v>0</v>
      </c>
      <c r="X167" s="2">
        <f t="shared" si="44"/>
        <v>0</v>
      </c>
      <c r="Y167" s="2">
        <f t="shared" si="45"/>
        <v>0</v>
      </c>
      <c r="Z167" s="2">
        <f t="shared" si="46"/>
        <v>0</v>
      </c>
      <c r="AA167" s="2">
        <f t="shared" si="47"/>
        <v>0</v>
      </c>
      <c r="AB167" s="2">
        <f t="shared" si="48"/>
        <v>0</v>
      </c>
      <c r="AC167" s="2"/>
      <c r="AD167" s="2">
        <f t="shared" si="49"/>
        <v>0</v>
      </c>
      <c r="AE167" s="2">
        <f t="shared" si="50"/>
        <v>0</v>
      </c>
      <c r="AF167" s="2">
        <f t="shared" si="51"/>
        <v>0</v>
      </c>
      <c r="AG167" s="2">
        <f t="shared" si="52"/>
        <v>0</v>
      </c>
      <c r="AH167" s="2">
        <f t="shared" si="53"/>
        <v>1</v>
      </c>
      <c r="AI167" s="2">
        <f t="shared" si="54"/>
        <v>0</v>
      </c>
    </row>
    <row r="168" spans="1:16384" s="3" customFormat="1" ht="14.25" customHeight="1" x14ac:dyDescent="0.25">
      <c r="A168" s="29">
        <v>0</v>
      </c>
      <c r="B168" s="29">
        <v>2</v>
      </c>
      <c r="C168" s="29">
        <v>3</v>
      </c>
      <c r="D168" s="30" t="s">
        <v>354</v>
      </c>
      <c r="E168" s="30" t="s">
        <v>83</v>
      </c>
      <c r="F168" s="30" t="s">
        <v>355</v>
      </c>
      <c r="G168" s="30" t="s">
        <v>370</v>
      </c>
      <c r="H168" s="30" t="s">
        <v>165</v>
      </c>
      <c r="I168" s="29" t="s">
        <v>356</v>
      </c>
      <c r="J168" s="29">
        <v>99</v>
      </c>
      <c r="K168" s="29" t="s">
        <v>321</v>
      </c>
      <c r="L168" s="29" t="s">
        <v>40</v>
      </c>
      <c r="M168" s="30" t="s">
        <v>40</v>
      </c>
      <c r="N168" s="30" t="s">
        <v>893</v>
      </c>
      <c r="O168" s="31">
        <v>1</v>
      </c>
      <c r="P168" s="31">
        <v>1</v>
      </c>
      <c r="Q168" s="30"/>
      <c r="R168" s="2"/>
      <c r="S168" s="2">
        <f t="shared" si="39"/>
        <v>0</v>
      </c>
      <c r="T168" s="2">
        <f t="shared" si="40"/>
        <v>0</v>
      </c>
      <c r="U168" s="2">
        <f t="shared" si="41"/>
        <v>0</v>
      </c>
      <c r="V168" s="2">
        <f t="shared" si="42"/>
        <v>0</v>
      </c>
      <c r="W168" s="2">
        <f t="shared" si="43"/>
        <v>0</v>
      </c>
      <c r="X168" s="2">
        <f t="shared" si="44"/>
        <v>0</v>
      </c>
      <c r="Y168" s="2">
        <f t="shared" si="45"/>
        <v>0</v>
      </c>
      <c r="Z168" s="2">
        <f t="shared" si="46"/>
        <v>0</v>
      </c>
      <c r="AA168" s="2">
        <f t="shared" si="47"/>
        <v>0</v>
      </c>
      <c r="AB168" s="2">
        <f t="shared" si="48"/>
        <v>0</v>
      </c>
      <c r="AC168" s="2"/>
      <c r="AD168" s="2">
        <f t="shared" si="49"/>
        <v>1</v>
      </c>
      <c r="AE168" s="2">
        <f t="shared" si="50"/>
        <v>0</v>
      </c>
      <c r="AF168" s="2">
        <f t="shared" si="51"/>
        <v>1</v>
      </c>
      <c r="AG168" s="2">
        <f t="shared" si="52"/>
        <v>0</v>
      </c>
      <c r="AH168" s="2">
        <f t="shared" si="53"/>
        <v>1</v>
      </c>
      <c r="AI168" s="2">
        <f t="shared" si="54"/>
        <v>0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3</v>
      </c>
      <c r="D169" s="30" t="s">
        <v>799</v>
      </c>
      <c r="E169" s="30" t="s">
        <v>573</v>
      </c>
      <c r="F169" s="30" t="s">
        <v>955</v>
      </c>
      <c r="G169" s="30" t="s">
        <v>38</v>
      </c>
      <c r="H169" s="30" t="s">
        <v>165</v>
      </c>
      <c r="I169" s="29">
        <v>2799979385</v>
      </c>
      <c r="J169" s="29">
        <v>1</v>
      </c>
      <c r="K169" s="29" t="s">
        <v>318</v>
      </c>
      <c r="L169" s="29" t="s">
        <v>329</v>
      </c>
      <c r="M169" s="30" t="s">
        <v>270</v>
      </c>
      <c r="N169" s="30" t="s">
        <v>893</v>
      </c>
      <c r="O169" s="31">
        <v>1</v>
      </c>
      <c r="P169" s="31">
        <v>1</v>
      </c>
      <c r="Q169" s="30"/>
      <c r="R169" s="2"/>
      <c r="S169" s="2">
        <f t="shared" si="39"/>
        <v>1</v>
      </c>
      <c r="T169" s="2">
        <f t="shared" si="40"/>
        <v>0</v>
      </c>
      <c r="U169" s="2">
        <f t="shared" si="41"/>
        <v>0</v>
      </c>
      <c r="V169" s="2">
        <f t="shared" si="42"/>
        <v>0</v>
      </c>
      <c r="W169" s="2">
        <f t="shared" si="43"/>
        <v>0</v>
      </c>
      <c r="X169" s="2">
        <f t="shared" si="44"/>
        <v>0</v>
      </c>
      <c r="Y169" s="2">
        <f t="shared" si="45"/>
        <v>0</v>
      </c>
      <c r="Z169" s="2">
        <f t="shared" si="46"/>
        <v>0</v>
      </c>
      <c r="AA169" s="2">
        <f t="shared" si="47"/>
        <v>0</v>
      </c>
      <c r="AB169" s="2">
        <f t="shared" si="48"/>
        <v>0</v>
      </c>
      <c r="AC169" s="2"/>
      <c r="AD169" s="2">
        <f t="shared" si="49"/>
        <v>1</v>
      </c>
      <c r="AE169" s="2">
        <f t="shared" si="50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</row>
    <row r="170" spans="1:16384" s="3" customFormat="1" ht="14.25" customHeight="1" x14ac:dyDescent="0.25">
      <c r="A170" s="29">
        <v>1</v>
      </c>
      <c r="B170" s="29">
        <v>2</v>
      </c>
      <c r="C170" s="29">
        <v>3</v>
      </c>
      <c r="D170" s="30" t="s">
        <v>799</v>
      </c>
      <c r="E170" s="30" t="s">
        <v>573</v>
      </c>
      <c r="F170" s="30" t="s">
        <v>822</v>
      </c>
      <c r="G170" s="30" t="s">
        <v>160</v>
      </c>
      <c r="H170" s="30" t="s">
        <v>165</v>
      </c>
      <c r="I170" s="29" t="s">
        <v>502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893</v>
      </c>
      <c r="O170" s="31">
        <v>1</v>
      </c>
      <c r="P170" s="31">
        <v>1</v>
      </c>
      <c r="Q170" s="30"/>
      <c r="R170" s="2"/>
      <c r="S170" s="2">
        <f t="shared" si="39"/>
        <v>1</v>
      </c>
      <c r="T170" s="2">
        <f t="shared" si="40"/>
        <v>0</v>
      </c>
      <c r="U170" s="2">
        <f t="shared" si="41"/>
        <v>0</v>
      </c>
      <c r="V170" s="2">
        <f t="shared" si="42"/>
        <v>0</v>
      </c>
      <c r="W170" s="2">
        <f t="shared" si="43"/>
        <v>0</v>
      </c>
      <c r="X170" s="2">
        <f t="shared" si="44"/>
        <v>0</v>
      </c>
      <c r="Y170" s="2">
        <f t="shared" si="45"/>
        <v>0</v>
      </c>
      <c r="Z170" s="2">
        <f t="shared" si="46"/>
        <v>0</v>
      </c>
      <c r="AA170" s="2">
        <f t="shared" si="47"/>
        <v>0</v>
      </c>
      <c r="AB170" s="2">
        <f t="shared" si="48"/>
        <v>0</v>
      </c>
      <c r="AC170" s="2"/>
      <c r="AD170" s="2">
        <f t="shared" si="49"/>
        <v>1</v>
      </c>
      <c r="AE170" s="2">
        <f t="shared" si="50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</row>
    <row r="171" spans="1:16384" s="3" customFormat="1" ht="14.25" customHeight="1" x14ac:dyDescent="0.25">
      <c r="A171" s="20">
        <v>0</v>
      </c>
      <c r="B171" s="20">
        <v>2</v>
      </c>
      <c r="C171" s="20">
        <v>3</v>
      </c>
      <c r="D171" s="21" t="s">
        <v>449</v>
      </c>
      <c r="E171" s="21" t="s">
        <v>450</v>
      </c>
      <c r="F171" s="21" t="s">
        <v>451</v>
      </c>
      <c r="G171" s="21" t="s">
        <v>107</v>
      </c>
      <c r="H171" s="21" t="s">
        <v>165</v>
      </c>
      <c r="I171" s="20" t="s">
        <v>452</v>
      </c>
      <c r="J171" s="20">
        <v>99</v>
      </c>
      <c r="K171" s="20" t="s">
        <v>378</v>
      </c>
      <c r="L171" s="20">
        <v>10</v>
      </c>
      <c r="M171" s="21" t="s">
        <v>601</v>
      </c>
      <c r="N171" s="21"/>
      <c r="O171" s="7"/>
      <c r="P171" s="7"/>
      <c r="Q171" s="21"/>
      <c r="R171" s="2"/>
      <c r="S171" s="2">
        <f t="shared" si="39"/>
        <v>0</v>
      </c>
      <c r="T171" s="2">
        <f t="shared" si="40"/>
        <v>0</v>
      </c>
      <c r="U171" s="2">
        <f t="shared" si="41"/>
        <v>0</v>
      </c>
      <c r="V171" s="2">
        <f t="shared" si="42"/>
        <v>0</v>
      </c>
      <c r="W171" s="2">
        <f t="shared" si="43"/>
        <v>0</v>
      </c>
      <c r="X171" s="2">
        <f t="shared" si="44"/>
        <v>0</v>
      </c>
      <c r="Y171" s="2">
        <f t="shared" si="45"/>
        <v>0</v>
      </c>
      <c r="Z171" s="2">
        <f t="shared" si="46"/>
        <v>0</v>
      </c>
      <c r="AA171" s="2">
        <f t="shared" si="47"/>
        <v>0</v>
      </c>
      <c r="AB171" s="2">
        <f t="shared" si="48"/>
        <v>0</v>
      </c>
      <c r="AC171" s="2"/>
      <c r="AD171" s="2">
        <f t="shared" si="49"/>
        <v>0</v>
      </c>
      <c r="AE171" s="2">
        <f t="shared" si="50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48</v>
      </c>
      <c r="E172" s="30" t="s">
        <v>83</v>
      </c>
      <c r="F172" s="30" t="s">
        <v>100</v>
      </c>
      <c r="G172" s="30" t="s">
        <v>96</v>
      </c>
      <c r="H172" s="30" t="s">
        <v>165</v>
      </c>
      <c r="I172" s="29" t="s">
        <v>168</v>
      </c>
      <c r="J172" s="29">
        <v>3</v>
      </c>
      <c r="K172" s="29" t="s">
        <v>321</v>
      </c>
      <c r="L172" s="29" t="s">
        <v>329</v>
      </c>
      <c r="M172" s="30" t="s">
        <v>270</v>
      </c>
      <c r="N172" s="30" t="s">
        <v>893</v>
      </c>
      <c r="O172" s="31">
        <v>1</v>
      </c>
      <c r="P172" s="31">
        <v>1</v>
      </c>
      <c r="Q172" s="30"/>
      <c r="R172" s="2"/>
      <c r="S172" s="2">
        <f t="shared" si="39"/>
        <v>0</v>
      </c>
      <c r="T172" s="2">
        <f t="shared" si="40"/>
        <v>0</v>
      </c>
      <c r="U172" s="2">
        <f t="shared" si="41"/>
        <v>1</v>
      </c>
      <c r="V172" s="2">
        <f t="shared" si="42"/>
        <v>0</v>
      </c>
      <c r="W172" s="2">
        <f t="shared" si="43"/>
        <v>0</v>
      </c>
      <c r="X172" s="2">
        <f t="shared" si="44"/>
        <v>0</v>
      </c>
      <c r="Y172" s="2">
        <f t="shared" si="45"/>
        <v>0</v>
      </c>
      <c r="Z172" s="2">
        <f t="shared" si="46"/>
        <v>0</v>
      </c>
      <c r="AA172" s="2">
        <f t="shared" si="47"/>
        <v>0</v>
      </c>
      <c r="AB172" s="2">
        <f t="shared" si="48"/>
        <v>0</v>
      </c>
      <c r="AC172" s="2"/>
      <c r="AD172" s="2">
        <f t="shared" si="49"/>
        <v>1</v>
      </c>
      <c r="AE172" s="2">
        <f t="shared" si="50"/>
        <v>0</v>
      </c>
      <c r="AF172" s="2">
        <f t="shared" si="51"/>
        <v>1</v>
      </c>
      <c r="AG172" s="2">
        <f t="shared" si="52"/>
        <v>0</v>
      </c>
      <c r="AH172" s="2">
        <f t="shared" si="53"/>
        <v>1</v>
      </c>
      <c r="AI172" s="2">
        <f t="shared" si="54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931</v>
      </c>
      <c r="E173" s="30"/>
      <c r="F173" s="30" t="s">
        <v>932</v>
      </c>
      <c r="G173" s="30"/>
      <c r="H173" s="30" t="s">
        <v>165</v>
      </c>
      <c r="I173" s="29" t="s">
        <v>933</v>
      </c>
      <c r="J173" s="29"/>
      <c r="K173" s="29" t="s">
        <v>378</v>
      </c>
      <c r="L173" s="29"/>
      <c r="M173" s="30"/>
      <c r="N173" s="30" t="s">
        <v>893</v>
      </c>
      <c r="O173" s="31">
        <v>1</v>
      </c>
      <c r="P173" s="31">
        <v>1</v>
      </c>
      <c r="Q173" s="30"/>
      <c r="R173" s="2"/>
      <c r="S173" s="2">
        <f t="shared" si="39"/>
        <v>0</v>
      </c>
      <c r="T173" s="2">
        <f t="shared" si="40"/>
        <v>0</v>
      </c>
      <c r="U173" s="2">
        <f t="shared" si="41"/>
        <v>0</v>
      </c>
      <c r="V173" s="2">
        <f t="shared" si="42"/>
        <v>0</v>
      </c>
      <c r="W173" s="2">
        <f t="shared" si="43"/>
        <v>0</v>
      </c>
      <c r="X173" s="2">
        <f t="shared" si="44"/>
        <v>0</v>
      </c>
      <c r="Y173" s="2">
        <f t="shared" si="45"/>
        <v>0</v>
      </c>
      <c r="Z173" s="2">
        <f t="shared" si="46"/>
        <v>0</v>
      </c>
      <c r="AA173" s="2">
        <f t="shared" si="47"/>
        <v>0</v>
      </c>
      <c r="AB173" s="2">
        <f t="shared" si="48"/>
        <v>0</v>
      </c>
      <c r="AC173" s="2"/>
      <c r="AD173" s="2">
        <f t="shared" si="49"/>
        <v>1</v>
      </c>
      <c r="AE173" s="2">
        <f t="shared" si="50"/>
        <v>0</v>
      </c>
      <c r="AF173" s="2">
        <f t="shared" si="51"/>
        <v>1</v>
      </c>
      <c r="AG173" s="2">
        <f t="shared" si="52"/>
        <v>0</v>
      </c>
      <c r="AH173" s="2">
        <f t="shared" si="53"/>
        <v>1</v>
      </c>
      <c r="AI173" s="2">
        <f t="shared" si="54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654</v>
      </c>
      <c r="E174" s="21" t="s">
        <v>37</v>
      </c>
      <c r="F174" s="21" t="s">
        <v>655</v>
      </c>
      <c r="G174" s="21" t="s">
        <v>117</v>
      </c>
      <c r="H174" s="21" t="s">
        <v>165</v>
      </c>
      <c r="I174" s="20" t="s">
        <v>656</v>
      </c>
      <c r="J174" s="20">
        <v>1</v>
      </c>
      <c r="K174" s="20" t="s">
        <v>319</v>
      </c>
      <c r="L174" s="20" t="s">
        <v>329</v>
      </c>
      <c r="M174" s="21" t="s">
        <v>270</v>
      </c>
      <c r="N174" s="21"/>
      <c r="O174" s="7"/>
      <c r="P174" s="7"/>
      <c r="Q174" s="21"/>
      <c r="R174" s="2"/>
      <c r="S174" s="2">
        <f t="shared" si="39"/>
        <v>1</v>
      </c>
      <c r="T174" s="2">
        <f t="shared" si="40"/>
        <v>0</v>
      </c>
      <c r="U174" s="2">
        <f t="shared" si="41"/>
        <v>0</v>
      </c>
      <c r="V174" s="2">
        <f t="shared" si="42"/>
        <v>0</v>
      </c>
      <c r="W174" s="2">
        <f t="shared" si="43"/>
        <v>0</v>
      </c>
      <c r="X174" s="2">
        <f t="shared" si="44"/>
        <v>0</v>
      </c>
      <c r="Y174" s="2">
        <f t="shared" si="45"/>
        <v>0</v>
      </c>
      <c r="Z174" s="2">
        <f t="shared" si="46"/>
        <v>0</v>
      </c>
      <c r="AA174" s="2">
        <f t="shared" si="47"/>
        <v>0</v>
      </c>
      <c r="AB174" s="2">
        <f t="shared" si="48"/>
        <v>0</v>
      </c>
      <c r="AC174" s="2"/>
      <c r="AD174" s="2">
        <f t="shared" si="49"/>
        <v>0</v>
      </c>
      <c r="AE174" s="2">
        <f t="shared" si="50"/>
        <v>0</v>
      </c>
      <c r="AF174" s="2">
        <f t="shared" si="51"/>
        <v>0</v>
      </c>
      <c r="AG174" s="2">
        <f t="shared" si="52"/>
        <v>0</v>
      </c>
      <c r="AH174" s="2">
        <f t="shared" si="53"/>
        <v>0</v>
      </c>
      <c r="AI174" s="2">
        <f t="shared" si="54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4</v>
      </c>
      <c r="D175" s="30" t="s">
        <v>546</v>
      </c>
      <c r="E175" s="30" t="s">
        <v>29</v>
      </c>
      <c r="F175" s="30" t="s">
        <v>407</v>
      </c>
      <c r="G175" s="30" t="s">
        <v>405</v>
      </c>
      <c r="H175" s="30" t="s">
        <v>165</v>
      </c>
      <c r="I175" s="29" t="s">
        <v>547</v>
      </c>
      <c r="J175" s="29">
        <v>99</v>
      </c>
      <c r="K175" s="29" t="s">
        <v>378</v>
      </c>
      <c r="L175" s="29">
        <v>35</v>
      </c>
      <c r="M175" s="30" t="s">
        <v>926</v>
      </c>
      <c r="N175" s="30" t="s">
        <v>935</v>
      </c>
      <c r="O175" s="31">
        <v>1</v>
      </c>
      <c r="P175" s="31"/>
      <c r="Q175" s="30"/>
      <c r="R175" s="2"/>
      <c r="S175" s="2">
        <f t="shared" si="39"/>
        <v>0</v>
      </c>
      <c r="T175" s="2">
        <f t="shared" si="40"/>
        <v>0</v>
      </c>
      <c r="U175" s="2">
        <f t="shared" si="41"/>
        <v>0</v>
      </c>
      <c r="V175" s="2">
        <f t="shared" si="42"/>
        <v>0</v>
      </c>
      <c r="W175" s="2">
        <f t="shared" si="43"/>
        <v>0</v>
      </c>
      <c r="X175" s="2">
        <f t="shared" si="44"/>
        <v>0</v>
      </c>
      <c r="Y175" s="2">
        <f t="shared" si="45"/>
        <v>0</v>
      </c>
      <c r="Z175" s="2">
        <f t="shared" si="46"/>
        <v>0</v>
      </c>
      <c r="AA175" s="2">
        <f t="shared" si="47"/>
        <v>0</v>
      </c>
      <c r="AB175" s="2">
        <f t="shared" si="48"/>
        <v>0</v>
      </c>
      <c r="AC175" s="2"/>
      <c r="AD175" s="2">
        <f t="shared" si="49"/>
        <v>0</v>
      </c>
      <c r="AE175" s="2">
        <f t="shared" si="50"/>
        <v>1</v>
      </c>
      <c r="AF175" s="2">
        <f t="shared" si="51"/>
        <v>0</v>
      </c>
      <c r="AG175" s="2">
        <f t="shared" si="52"/>
        <v>1</v>
      </c>
      <c r="AH175" s="2">
        <f t="shared" si="53"/>
        <v>0</v>
      </c>
      <c r="AI175" s="2">
        <f t="shared" si="54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4</v>
      </c>
      <c r="D176" s="30" t="s">
        <v>62</v>
      </c>
      <c r="E176" s="30" t="s">
        <v>36</v>
      </c>
      <c r="F176" s="30" t="s">
        <v>134</v>
      </c>
      <c r="G176" s="30" t="s">
        <v>40</v>
      </c>
      <c r="H176" s="30" t="s">
        <v>165</v>
      </c>
      <c r="I176" s="29" t="s">
        <v>183</v>
      </c>
      <c r="J176" s="29">
        <v>4</v>
      </c>
      <c r="K176" s="29" t="s">
        <v>320</v>
      </c>
      <c r="L176" s="29" t="s">
        <v>853</v>
      </c>
      <c r="M176" s="30" t="s">
        <v>745</v>
      </c>
      <c r="N176" s="30" t="s">
        <v>930</v>
      </c>
      <c r="O176" s="31">
        <v>1</v>
      </c>
      <c r="P176" s="31"/>
      <c r="Q176" s="30"/>
      <c r="R176" s="2"/>
      <c r="S176" s="2">
        <f t="shared" si="39"/>
        <v>0</v>
      </c>
      <c r="T176" s="2">
        <f t="shared" si="40"/>
        <v>0</v>
      </c>
      <c r="U176" s="2">
        <f t="shared" si="41"/>
        <v>0</v>
      </c>
      <c r="V176" s="2">
        <f t="shared" si="42"/>
        <v>1</v>
      </c>
      <c r="W176" s="2">
        <f t="shared" si="43"/>
        <v>0</v>
      </c>
      <c r="X176" s="2">
        <f t="shared" si="44"/>
        <v>0</v>
      </c>
      <c r="Y176" s="2">
        <f t="shared" si="45"/>
        <v>0</v>
      </c>
      <c r="Z176" s="2">
        <f t="shared" si="46"/>
        <v>0</v>
      </c>
      <c r="AA176" s="2">
        <f t="shared" si="47"/>
        <v>0</v>
      </c>
      <c r="AB176" s="2">
        <f t="shared" si="48"/>
        <v>0</v>
      </c>
      <c r="AC176" s="2"/>
      <c r="AD176" s="2">
        <f t="shared" si="49"/>
        <v>0</v>
      </c>
      <c r="AE176" s="2">
        <f t="shared" si="50"/>
        <v>1</v>
      </c>
      <c r="AF176" s="2">
        <f t="shared" si="51"/>
        <v>0</v>
      </c>
      <c r="AG176" s="2">
        <f t="shared" si="52"/>
        <v>1</v>
      </c>
      <c r="AH176" s="2">
        <f t="shared" si="53"/>
        <v>0</v>
      </c>
      <c r="AI176" s="2">
        <f t="shared" si="54"/>
        <v>1</v>
      </c>
    </row>
    <row r="177" spans="1:35" ht="14.25" customHeight="1" x14ac:dyDescent="0.25">
      <c r="A177" s="32">
        <v>0</v>
      </c>
      <c r="B177" s="32">
        <v>2</v>
      </c>
      <c r="C177" s="32">
        <v>4</v>
      </c>
      <c r="D177" s="33" t="s">
        <v>65</v>
      </c>
      <c r="E177" s="33" t="s">
        <v>88</v>
      </c>
      <c r="F177" s="33" t="s">
        <v>141</v>
      </c>
      <c r="G177" s="33" t="s">
        <v>140</v>
      </c>
      <c r="H177" s="33" t="s">
        <v>165</v>
      </c>
      <c r="I177" s="32" t="s">
        <v>186</v>
      </c>
      <c r="J177" s="32">
        <v>99</v>
      </c>
      <c r="K177" s="32" t="s">
        <v>320</v>
      </c>
      <c r="L177" s="32" t="s">
        <v>338</v>
      </c>
      <c r="M177" s="33" t="s">
        <v>205</v>
      </c>
      <c r="N177" s="33" t="s">
        <v>895</v>
      </c>
      <c r="O177" s="34"/>
      <c r="P177" s="34"/>
      <c r="Q177" s="33"/>
      <c r="S177" s="2">
        <f t="shared" si="39"/>
        <v>0</v>
      </c>
      <c r="T177" s="2">
        <f t="shared" si="40"/>
        <v>0</v>
      </c>
      <c r="U177" s="2">
        <f t="shared" si="41"/>
        <v>0</v>
      </c>
      <c r="V177" s="2">
        <f t="shared" si="42"/>
        <v>0</v>
      </c>
      <c r="W177" s="2">
        <f t="shared" si="43"/>
        <v>0</v>
      </c>
      <c r="X177" s="2">
        <f t="shared" si="44"/>
        <v>0</v>
      </c>
      <c r="Y177" s="2">
        <f t="shared" si="45"/>
        <v>0</v>
      </c>
      <c r="Z177" s="2">
        <f t="shared" si="46"/>
        <v>0</v>
      </c>
      <c r="AA177" s="2">
        <f t="shared" si="47"/>
        <v>0</v>
      </c>
      <c r="AB177" s="2">
        <f t="shared" si="48"/>
        <v>0</v>
      </c>
      <c r="AD177" s="2">
        <f t="shared" si="49"/>
        <v>0</v>
      </c>
      <c r="AE177" s="2">
        <f t="shared" si="50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</row>
    <row r="178" spans="1:35" ht="14.25" customHeight="1" x14ac:dyDescent="0.25">
      <c r="A178" s="29">
        <v>0</v>
      </c>
      <c r="B178" s="29">
        <v>2</v>
      </c>
      <c r="C178" s="29">
        <v>4</v>
      </c>
      <c r="D178" s="30" t="s">
        <v>81</v>
      </c>
      <c r="E178" s="30" t="s">
        <v>36</v>
      </c>
      <c r="F178" s="30" t="s">
        <v>367</v>
      </c>
      <c r="G178" s="30" t="s">
        <v>642</v>
      </c>
      <c r="H178" s="30" t="s">
        <v>165</v>
      </c>
      <c r="I178" s="29" t="s">
        <v>204</v>
      </c>
      <c r="J178" s="29">
        <v>4</v>
      </c>
      <c r="K178" s="29" t="s">
        <v>318</v>
      </c>
      <c r="L178" s="29" t="s">
        <v>854</v>
      </c>
      <c r="M178" s="30" t="s">
        <v>746</v>
      </c>
      <c r="N178" s="30" t="s">
        <v>930</v>
      </c>
      <c r="O178" s="31">
        <v>1</v>
      </c>
      <c r="P178" s="31"/>
      <c r="Q178" s="30"/>
      <c r="S178" s="2">
        <f t="shared" si="39"/>
        <v>0</v>
      </c>
      <c r="T178" s="2">
        <f t="shared" si="40"/>
        <v>0</v>
      </c>
      <c r="U178" s="2">
        <f t="shared" si="41"/>
        <v>0</v>
      </c>
      <c r="V178" s="2">
        <f t="shared" si="42"/>
        <v>1</v>
      </c>
      <c r="W178" s="2">
        <f t="shared" si="43"/>
        <v>0</v>
      </c>
      <c r="X178" s="2">
        <f t="shared" si="44"/>
        <v>0</v>
      </c>
      <c r="Y178" s="2">
        <f t="shared" si="45"/>
        <v>0</v>
      </c>
      <c r="Z178" s="2">
        <f t="shared" si="46"/>
        <v>0</v>
      </c>
      <c r="AA178" s="2">
        <f t="shared" si="47"/>
        <v>0</v>
      </c>
      <c r="AB178" s="2">
        <f t="shared" si="48"/>
        <v>0</v>
      </c>
      <c r="AD178" s="2">
        <f t="shared" si="49"/>
        <v>0</v>
      </c>
      <c r="AE178" s="2">
        <f t="shared" si="50"/>
        <v>1</v>
      </c>
      <c r="AF178" s="2">
        <f t="shared" si="51"/>
        <v>0</v>
      </c>
      <c r="AG178" s="2">
        <f t="shared" si="52"/>
        <v>1</v>
      </c>
      <c r="AH178" s="2">
        <f t="shared" si="53"/>
        <v>0</v>
      </c>
      <c r="AI178" s="2">
        <f t="shared" si="54"/>
        <v>1</v>
      </c>
    </row>
    <row r="179" spans="1:35" ht="14.25" customHeight="1" x14ac:dyDescent="0.25">
      <c r="A179" s="29">
        <v>1</v>
      </c>
      <c r="B179" s="29">
        <v>2</v>
      </c>
      <c r="C179" s="29">
        <v>4</v>
      </c>
      <c r="D179" s="30" t="s">
        <v>81</v>
      </c>
      <c r="E179" s="30" t="s">
        <v>36</v>
      </c>
      <c r="F179" s="30" t="s">
        <v>164</v>
      </c>
      <c r="G179" s="30" t="s">
        <v>130</v>
      </c>
      <c r="H179" s="30" t="s">
        <v>165</v>
      </c>
      <c r="I179" s="29" t="s">
        <v>204</v>
      </c>
      <c r="J179" s="29">
        <v>10</v>
      </c>
      <c r="K179" s="29" t="s">
        <v>318</v>
      </c>
      <c r="L179" s="29" t="s">
        <v>854</v>
      </c>
      <c r="M179" s="30" t="s">
        <v>746</v>
      </c>
      <c r="N179" s="30" t="s">
        <v>930</v>
      </c>
      <c r="O179" s="31">
        <v>1</v>
      </c>
      <c r="P179" s="31"/>
      <c r="Q179" s="30"/>
      <c r="S179" s="2">
        <f t="shared" si="39"/>
        <v>0</v>
      </c>
      <c r="T179" s="2">
        <f t="shared" si="40"/>
        <v>0</v>
      </c>
      <c r="U179" s="2">
        <f t="shared" si="41"/>
        <v>0</v>
      </c>
      <c r="V179" s="2">
        <f t="shared" si="42"/>
        <v>0</v>
      </c>
      <c r="W179" s="2">
        <f t="shared" si="43"/>
        <v>0</v>
      </c>
      <c r="X179" s="2">
        <f t="shared" si="44"/>
        <v>0</v>
      </c>
      <c r="Y179" s="2">
        <f t="shared" si="45"/>
        <v>0</v>
      </c>
      <c r="Z179" s="2">
        <f t="shared" si="46"/>
        <v>0</v>
      </c>
      <c r="AA179" s="2">
        <f t="shared" si="47"/>
        <v>0</v>
      </c>
      <c r="AB179" s="2">
        <f t="shared" si="48"/>
        <v>1</v>
      </c>
      <c r="AD179" s="2">
        <f t="shared" si="49"/>
        <v>0</v>
      </c>
      <c r="AE179" s="2">
        <f t="shared" si="50"/>
        <v>1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0</v>
      </c>
    </row>
    <row r="180" spans="1:35" ht="14.25" customHeight="1" x14ac:dyDescent="0.25">
      <c r="A180" s="29">
        <v>1</v>
      </c>
      <c r="B180" s="29">
        <v>2</v>
      </c>
      <c r="C180" s="29">
        <v>4</v>
      </c>
      <c r="D180" s="30" t="s">
        <v>81</v>
      </c>
      <c r="E180" s="30" t="s">
        <v>36</v>
      </c>
      <c r="F180" s="30" t="s">
        <v>800</v>
      </c>
      <c r="G180" s="30" t="s">
        <v>107</v>
      </c>
      <c r="H180" s="30" t="s">
        <v>165</v>
      </c>
      <c r="I180" s="29" t="s">
        <v>801</v>
      </c>
      <c r="J180" s="29">
        <v>99</v>
      </c>
      <c r="K180" s="29" t="s">
        <v>318</v>
      </c>
      <c r="L180" s="29" t="s">
        <v>854</v>
      </c>
      <c r="M180" s="30" t="s">
        <v>746</v>
      </c>
      <c r="N180" s="30" t="s">
        <v>930</v>
      </c>
      <c r="O180" s="31">
        <v>1</v>
      </c>
      <c r="P180" s="31"/>
      <c r="Q180" s="30"/>
      <c r="S180" s="2">
        <f t="shared" si="39"/>
        <v>0</v>
      </c>
      <c r="T180" s="2">
        <f t="shared" si="40"/>
        <v>0</v>
      </c>
      <c r="U180" s="2">
        <f t="shared" si="41"/>
        <v>0</v>
      </c>
      <c r="V180" s="2">
        <f t="shared" si="42"/>
        <v>0</v>
      </c>
      <c r="W180" s="2">
        <f t="shared" si="43"/>
        <v>0</v>
      </c>
      <c r="X180" s="2">
        <f t="shared" si="44"/>
        <v>0</v>
      </c>
      <c r="Y180" s="2">
        <f t="shared" si="45"/>
        <v>0</v>
      </c>
      <c r="Z180" s="2">
        <f t="shared" si="46"/>
        <v>0</v>
      </c>
      <c r="AA180" s="2">
        <f t="shared" si="47"/>
        <v>0</v>
      </c>
      <c r="AB180" s="2">
        <f t="shared" si="48"/>
        <v>0</v>
      </c>
      <c r="AD180" s="2">
        <f t="shared" si="49"/>
        <v>0</v>
      </c>
      <c r="AE180" s="2">
        <f t="shared" si="50"/>
        <v>1</v>
      </c>
      <c r="AF180" s="2">
        <f t="shared" si="51"/>
        <v>0</v>
      </c>
      <c r="AG180" s="2">
        <f t="shared" si="52"/>
        <v>0</v>
      </c>
      <c r="AH180" s="2">
        <f t="shared" si="53"/>
        <v>0</v>
      </c>
      <c r="AI180" s="2">
        <f t="shared" si="54"/>
        <v>0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976</v>
      </c>
      <c r="E181" s="21" t="s">
        <v>977</v>
      </c>
      <c r="F181" s="21" t="s">
        <v>978</v>
      </c>
      <c r="G181" s="21" t="s">
        <v>979</v>
      </c>
      <c r="H181" s="21" t="s">
        <v>165</v>
      </c>
      <c r="I181" s="20"/>
      <c r="J181" s="20"/>
      <c r="K181" s="20" t="s">
        <v>378</v>
      </c>
      <c r="L181" s="20">
        <v>35</v>
      </c>
      <c r="M181" s="21" t="s">
        <v>980</v>
      </c>
      <c r="N181" s="21"/>
      <c r="O181" s="20"/>
      <c r="P181" s="20"/>
      <c r="Q181" s="21"/>
      <c r="S181" s="2">
        <f t="shared" si="39"/>
        <v>0</v>
      </c>
      <c r="T181" s="2">
        <f t="shared" si="40"/>
        <v>0</v>
      </c>
      <c r="U181" s="2">
        <f t="shared" si="41"/>
        <v>0</v>
      </c>
      <c r="V181" s="2">
        <f t="shared" si="42"/>
        <v>0</v>
      </c>
      <c r="W181" s="2">
        <f t="shared" si="43"/>
        <v>0</v>
      </c>
      <c r="X181" s="2">
        <f t="shared" si="44"/>
        <v>0</v>
      </c>
      <c r="Y181" s="2">
        <f t="shared" si="45"/>
        <v>0</v>
      </c>
      <c r="Z181" s="2">
        <f t="shared" si="46"/>
        <v>0</v>
      </c>
      <c r="AA181" s="2">
        <f t="shared" si="47"/>
        <v>0</v>
      </c>
      <c r="AB181" s="2">
        <f t="shared" si="48"/>
        <v>0</v>
      </c>
      <c r="AD181" s="2">
        <f t="shared" si="49"/>
        <v>0</v>
      </c>
      <c r="AE181" s="2">
        <f t="shared" si="50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1</v>
      </c>
    </row>
    <row r="182" spans="1:35" ht="14.25" customHeight="1" x14ac:dyDescent="0.25">
      <c r="A182" s="20">
        <v>0</v>
      </c>
      <c r="B182" s="20">
        <v>2</v>
      </c>
      <c r="C182" s="20">
        <v>4</v>
      </c>
      <c r="D182" s="21" t="s">
        <v>288</v>
      </c>
      <c r="E182" s="21" t="s">
        <v>85</v>
      </c>
      <c r="F182" s="21" t="s">
        <v>368</v>
      </c>
      <c r="G182" s="21" t="s">
        <v>308</v>
      </c>
      <c r="H182" s="21" t="s">
        <v>165</v>
      </c>
      <c r="I182" s="20" t="s">
        <v>289</v>
      </c>
      <c r="J182" s="20">
        <v>6</v>
      </c>
      <c r="K182" s="20" t="s">
        <v>319</v>
      </c>
      <c r="L182" s="20">
        <v>30</v>
      </c>
      <c r="M182" s="38" t="s">
        <v>903</v>
      </c>
      <c r="N182" s="21"/>
      <c r="O182" s="7"/>
      <c r="P182" s="7"/>
      <c r="Q182" s="21"/>
      <c r="S182" s="2">
        <f t="shared" si="39"/>
        <v>0</v>
      </c>
      <c r="T182" s="2">
        <f t="shared" si="40"/>
        <v>0</v>
      </c>
      <c r="U182" s="2">
        <f t="shared" si="41"/>
        <v>0</v>
      </c>
      <c r="V182" s="2">
        <f t="shared" si="42"/>
        <v>0</v>
      </c>
      <c r="W182" s="2">
        <f t="shared" si="43"/>
        <v>0</v>
      </c>
      <c r="X182" s="2">
        <f t="shared" si="44"/>
        <v>1</v>
      </c>
      <c r="Y182" s="2">
        <f t="shared" si="45"/>
        <v>0</v>
      </c>
      <c r="Z182" s="2">
        <f t="shared" si="46"/>
        <v>0</v>
      </c>
      <c r="AA182" s="2">
        <f t="shared" si="47"/>
        <v>0</v>
      </c>
      <c r="AB182" s="2">
        <f t="shared" si="48"/>
        <v>0</v>
      </c>
      <c r="AD182" s="2">
        <f t="shared" si="49"/>
        <v>0</v>
      </c>
      <c r="AE182" s="2">
        <f t="shared" si="50"/>
        <v>0</v>
      </c>
      <c r="AF182" s="2">
        <f t="shared" si="51"/>
        <v>0</v>
      </c>
      <c r="AG182" s="2">
        <f t="shared" si="52"/>
        <v>0</v>
      </c>
      <c r="AH182" s="2">
        <f t="shared" si="53"/>
        <v>0</v>
      </c>
      <c r="AI182" s="2">
        <f t="shared" si="54"/>
        <v>1</v>
      </c>
    </row>
    <row r="183" spans="1:35" ht="14.25" customHeight="1" x14ac:dyDescent="0.25">
      <c r="A183" s="29">
        <v>0</v>
      </c>
      <c r="B183" s="29">
        <v>2</v>
      </c>
      <c r="C183" s="29">
        <v>4</v>
      </c>
      <c r="D183" s="30" t="s">
        <v>567</v>
      </c>
      <c r="E183" s="30" t="s">
        <v>36</v>
      </c>
      <c r="F183" s="30" t="s">
        <v>529</v>
      </c>
      <c r="G183" s="30" t="s">
        <v>103</v>
      </c>
      <c r="H183" s="30" t="s">
        <v>165</v>
      </c>
      <c r="I183" s="29" t="s">
        <v>530</v>
      </c>
      <c r="J183" s="29">
        <v>6</v>
      </c>
      <c r="K183" s="29" t="s">
        <v>318</v>
      </c>
      <c r="L183" s="29">
        <v>35</v>
      </c>
      <c r="M183" s="30" t="s">
        <v>699</v>
      </c>
      <c r="N183" s="30" t="s">
        <v>935</v>
      </c>
      <c r="O183" s="31">
        <v>1</v>
      </c>
      <c r="P183" s="31"/>
      <c r="Q183" s="30"/>
      <c r="S183" s="2">
        <f t="shared" si="39"/>
        <v>0</v>
      </c>
      <c r="T183" s="2">
        <f t="shared" si="40"/>
        <v>0</v>
      </c>
      <c r="U183" s="2">
        <f t="shared" si="41"/>
        <v>0</v>
      </c>
      <c r="V183" s="2">
        <f t="shared" si="42"/>
        <v>0</v>
      </c>
      <c r="W183" s="2">
        <f t="shared" si="43"/>
        <v>0</v>
      </c>
      <c r="X183" s="2">
        <f t="shared" si="44"/>
        <v>1</v>
      </c>
      <c r="Y183" s="2">
        <f t="shared" si="45"/>
        <v>0</v>
      </c>
      <c r="Z183" s="2">
        <f t="shared" si="46"/>
        <v>0</v>
      </c>
      <c r="AA183" s="2">
        <f t="shared" si="47"/>
        <v>0</v>
      </c>
      <c r="AB183" s="2">
        <f t="shared" si="48"/>
        <v>0</v>
      </c>
      <c r="AD183" s="2">
        <f t="shared" si="49"/>
        <v>0</v>
      </c>
      <c r="AE183" s="2">
        <f t="shared" si="50"/>
        <v>1</v>
      </c>
      <c r="AF183" s="2">
        <f t="shared" si="51"/>
        <v>0</v>
      </c>
      <c r="AG183" s="2">
        <f t="shared" si="52"/>
        <v>1</v>
      </c>
      <c r="AH183" s="2">
        <f t="shared" si="53"/>
        <v>0</v>
      </c>
      <c r="AI183" s="2">
        <f t="shared" si="54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811</v>
      </c>
      <c r="E184" s="21" t="s">
        <v>29</v>
      </c>
      <c r="F184" s="21" t="s">
        <v>824</v>
      </c>
      <c r="G184" s="21" t="s">
        <v>825</v>
      </c>
      <c r="H184" s="21" t="s">
        <v>165</v>
      </c>
      <c r="I184" s="20" t="s">
        <v>844</v>
      </c>
      <c r="J184" s="20">
        <v>99</v>
      </c>
      <c r="K184" s="20" t="s">
        <v>318</v>
      </c>
      <c r="L184" s="20" t="s">
        <v>343</v>
      </c>
      <c r="M184" s="21" t="s">
        <v>646</v>
      </c>
      <c r="N184" s="21"/>
      <c r="O184" s="7"/>
      <c r="P184" s="7"/>
      <c r="Q184" s="21"/>
      <c r="S184" s="2">
        <f t="shared" si="39"/>
        <v>0</v>
      </c>
      <c r="T184" s="2">
        <f t="shared" si="40"/>
        <v>0</v>
      </c>
      <c r="U184" s="2">
        <f t="shared" si="41"/>
        <v>0</v>
      </c>
      <c r="V184" s="2">
        <f t="shared" si="42"/>
        <v>0</v>
      </c>
      <c r="W184" s="2">
        <f t="shared" si="43"/>
        <v>0</v>
      </c>
      <c r="X184" s="2">
        <f t="shared" si="44"/>
        <v>0</v>
      </c>
      <c r="Y184" s="2">
        <f t="shared" si="45"/>
        <v>0</v>
      </c>
      <c r="Z184" s="2">
        <f t="shared" si="46"/>
        <v>0</v>
      </c>
      <c r="AA184" s="2">
        <f t="shared" si="47"/>
        <v>0</v>
      </c>
      <c r="AB184" s="2">
        <f t="shared" si="48"/>
        <v>0</v>
      </c>
      <c r="AD184" s="2">
        <f t="shared" si="49"/>
        <v>0</v>
      </c>
      <c r="AE184" s="2">
        <f t="shared" si="50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569</v>
      </c>
      <c r="E185" s="21" t="s">
        <v>36</v>
      </c>
      <c r="F185" s="21" t="s">
        <v>582</v>
      </c>
      <c r="G185" s="21" t="s">
        <v>519</v>
      </c>
      <c r="H185" s="21" t="s">
        <v>165</v>
      </c>
      <c r="I185" s="20" t="s">
        <v>540</v>
      </c>
      <c r="J185" s="20">
        <v>7</v>
      </c>
      <c r="K185" s="20" t="s">
        <v>378</v>
      </c>
      <c r="L185" s="20">
        <v>30</v>
      </c>
      <c r="M185" s="21" t="s">
        <v>602</v>
      </c>
      <c r="N185" s="21"/>
      <c r="O185" s="7"/>
      <c r="P185" s="7"/>
      <c r="Q185" s="21"/>
      <c r="S185" s="2">
        <f t="shared" si="39"/>
        <v>0</v>
      </c>
      <c r="T185" s="2">
        <f t="shared" si="40"/>
        <v>0</v>
      </c>
      <c r="U185" s="2">
        <f t="shared" si="41"/>
        <v>0</v>
      </c>
      <c r="V185" s="2">
        <f t="shared" si="42"/>
        <v>0</v>
      </c>
      <c r="W185" s="2">
        <f t="shared" si="43"/>
        <v>0</v>
      </c>
      <c r="X185" s="2">
        <f t="shared" si="44"/>
        <v>0</v>
      </c>
      <c r="Y185" s="2">
        <f t="shared" si="45"/>
        <v>1</v>
      </c>
      <c r="Z185" s="2">
        <f t="shared" si="46"/>
        <v>0</v>
      </c>
      <c r="AA185" s="2">
        <f t="shared" si="47"/>
        <v>0</v>
      </c>
      <c r="AB185" s="2">
        <f t="shared" si="48"/>
        <v>0</v>
      </c>
      <c r="AD185" s="2">
        <f t="shared" si="49"/>
        <v>0</v>
      </c>
      <c r="AE185" s="2">
        <f t="shared" si="50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</row>
    <row r="186" spans="1:35" ht="14.25" customHeight="1" x14ac:dyDescent="0.25">
      <c r="A186" s="32">
        <v>0</v>
      </c>
      <c r="B186" s="32">
        <v>2</v>
      </c>
      <c r="C186" s="32">
        <v>4</v>
      </c>
      <c r="D186" s="33" t="s">
        <v>684</v>
      </c>
      <c r="E186" s="33" t="s">
        <v>678</v>
      </c>
      <c r="F186" s="33" t="s">
        <v>615</v>
      </c>
      <c r="G186" s="33" t="s">
        <v>125</v>
      </c>
      <c r="H186" s="33" t="s">
        <v>165</v>
      </c>
      <c r="I186" s="32" t="s">
        <v>616</v>
      </c>
      <c r="J186" s="32">
        <v>99</v>
      </c>
      <c r="K186" s="32" t="s">
        <v>318</v>
      </c>
      <c r="L186" s="32" t="s">
        <v>343</v>
      </c>
      <c r="M186" s="33" t="s">
        <v>786</v>
      </c>
      <c r="N186" s="33" t="s">
        <v>929</v>
      </c>
      <c r="O186" s="34"/>
      <c r="P186" s="34"/>
      <c r="Q186" s="33"/>
      <c r="S186" s="2">
        <f t="shared" si="39"/>
        <v>0</v>
      </c>
      <c r="T186" s="2">
        <f t="shared" si="40"/>
        <v>0</v>
      </c>
      <c r="U186" s="2">
        <f t="shared" si="41"/>
        <v>0</v>
      </c>
      <c r="V186" s="2">
        <f t="shared" si="42"/>
        <v>0</v>
      </c>
      <c r="W186" s="2">
        <f t="shared" si="43"/>
        <v>0</v>
      </c>
      <c r="X186" s="2">
        <f t="shared" si="44"/>
        <v>0</v>
      </c>
      <c r="Y186" s="2">
        <f t="shared" si="45"/>
        <v>0</v>
      </c>
      <c r="Z186" s="2">
        <f t="shared" si="46"/>
        <v>0</v>
      </c>
      <c r="AA186" s="2">
        <f t="shared" si="47"/>
        <v>0</v>
      </c>
      <c r="AB186" s="2">
        <f t="shared" si="48"/>
        <v>0</v>
      </c>
      <c r="AD186" s="2">
        <f t="shared" si="49"/>
        <v>0</v>
      </c>
      <c r="AE186" s="2">
        <f t="shared" si="50"/>
        <v>0</v>
      </c>
      <c r="AF186" s="2">
        <f t="shared" si="51"/>
        <v>0</v>
      </c>
      <c r="AG186" s="2">
        <f t="shared" si="52"/>
        <v>0</v>
      </c>
      <c r="AH186" s="2">
        <f t="shared" si="53"/>
        <v>0</v>
      </c>
      <c r="AI186" s="2">
        <f t="shared" si="54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766</v>
      </c>
      <c r="E187" s="30" t="s">
        <v>767</v>
      </c>
      <c r="F187" s="30" t="s">
        <v>768</v>
      </c>
      <c r="G187" s="30"/>
      <c r="H187" s="30" t="s">
        <v>165</v>
      </c>
      <c r="I187" s="29" t="s">
        <v>769</v>
      </c>
      <c r="J187" s="29">
        <v>99</v>
      </c>
      <c r="K187" s="29" t="s">
        <v>378</v>
      </c>
      <c r="L187" s="29">
        <v>35</v>
      </c>
      <c r="M187" s="30" t="s">
        <v>950</v>
      </c>
      <c r="N187" s="30" t="s">
        <v>899</v>
      </c>
      <c r="O187" s="31">
        <v>1</v>
      </c>
      <c r="P187" s="31"/>
      <c r="Q187" s="30"/>
      <c r="S187" s="2">
        <f t="shared" si="39"/>
        <v>0</v>
      </c>
      <c r="T187" s="2">
        <f t="shared" si="40"/>
        <v>0</v>
      </c>
      <c r="U187" s="2">
        <f t="shared" si="41"/>
        <v>0</v>
      </c>
      <c r="V187" s="2">
        <f t="shared" si="42"/>
        <v>0</v>
      </c>
      <c r="W187" s="2">
        <f t="shared" si="43"/>
        <v>0</v>
      </c>
      <c r="X187" s="2">
        <f t="shared" si="44"/>
        <v>0</v>
      </c>
      <c r="Y187" s="2">
        <f t="shared" si="45"/>
        <v>0</v>
      </c>
      <c r="Z187" s="2">
        <f t="shared" si="46"/>
        <v>0</v>
      </c>
      <c r="AA187" s="2">
        <f t="shared" si="47"/>
        <v>0</v>
      </c>
      <c r="AB187" s="2">
        <f t="shared" si="48"/>
        <v>0</v>
      </c>
      <c r="AD187" s="2">
        <f t="shared" si="49"/>
        <v>0</v>
      </c>
      <c r="AE187" s="2">
        <f t="shared" si="50"/>
        <v>1</v>
      </c>
      <c r="AF187" s="2">
        <f t="shared" si="51"/>
        <v>0</v>
      </c>
      <c r="AG187" s="2">
        <f t="shared" si="52"/>
        <v>1</v>
      </c>
      <c r="AH187" s="2">
        <f t="shared" si="53"/>
        <v>0</v>
      </c>
      <c r="AI187" s="2">
        <f t="shared" si="54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</v>
      </c>
      <c r="E188" s="30" t="s">
        <v>89</v>
      </c>
      <c r="F188" s="30" t="s">
        <v>144</v>
      </c>
      <c r="G188" s="30" t="s">
        <v>129</v>
      </c>
      <c r="H188" s="30" t="s">
        <v>165</v>
      </c>
      <c r="I188" s="29" t="s">
        <v>190</v>
      </c>
      <c r="J188" s="29">
        <v>99</v>
      </c>
      <c r="K188" s="29" t="s">
        <v>321</v>
      </c>
      <c r="L188" s="29">
        <v>25</v>
      </c>
      <c r="M188" s="30" t="s">
        <v>1001</v>
      </c>
      <c r="N188" s="30" t="s">
        <v>899</v>
      </c>
      <c r="O188" s="31">
        <v>1</v>
      </c>
      <c r="P188" s="31"/>
      <c r="Q188" s="30"/>
      <c r="S188" s="2">
        <f t="shared" si="39"/>
        <v>0</v>
      </c>
      <c r="T188" s="2">
        <f t="shared" si="40"/>
        <v>0</v>
      </c>
      <c r="U188" s="2">
        <f t="shared" si="41"/>
        <v>0</v>
      </c>
      <c r="V188" s="2">
        <f t="shared" si="42"/>
        <v>0</v>
      </c>
      <c r="W188" s="2">
        <f t="shared" si="43"/>
        <v>0</v>
      </c>
      <c r="X188" s="2">
        <f t="shared" si="44"/>
        <v>0</v>
      </c>
      <c r="Y188" s="2">
        <f t="shared" si="45"/>
        <v>0</v>
      </c>
      <c r="Z188" s="2">
        <f t="shared" si="46"/>
        <v>0</v>
      </c>
      <c r="AA188" s="2">
        <f t="shared" si="47"/>
        <v>0</v>
      </c>
      <c r="AB188" s="2">
        <f t="shared" si="48"/>
        <v>0</v>
      </c>
      <c r="AD188" s="2">
        <f t="shared" si="49"/>
        <v>0</v>
      </c>
      <c r="AE188" s="2">
        <f t="shared" si="50"/>
        <v>1</v>
      </c>
      <c r="AF188" s="2">
        <f t="shared" si="51"/>
        <v>0</v>
      </c>
      <c r="AG188" s="2">
        <f t="shared" si="52"/>
        <v>1</v>
      </c>
      <c r="AH188" s="2">
        <f t="shared" si="53"/>
        <v>0</v>
      </c>
      <c r="AI188" s="2">
        <f t="shared" si="54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426</v>
      </c>
      <c r="E189" s="30" t="s">
        <v>234</v>
      </c>
      <c r="F189" s="30" t="s">
        <v>427</v>
      </c>
      <c r="G189" s="30" t="s">
        <v>96</v>
      </c>
      <c r="H189" s="30" t="s">
        <v>165</v>
      </c>
      <c r="I189" s="29" t="s">
        <v>428</v>
      </c>
      <c r="J189" s="29">
        <v>3</v>
      </c>
      <c r="K189" s="29" t="s">
        <v>318</v>
      </c>
      <c r="L189" s="29" t="s">
        <v>339</v>
      </c>
      <c r="M189" s="30" t="s">
        <v>747</v>
      </c>
      <c r="N189" s="30" t="s">
        <v>912</v>
      </c>
      <c r="O189" s="31">
        <v>1</v>
      </c>
      <c r="P189" s="31"/>
      <c r="Q189" s="30"/>
      <c r="S189" s="2">
        <f t="shared" si="39"/>
        <v>0</v>
      </c>
      <c r="T189" s="2">
        <f t="shared" si="40"/>
        <v>0</v>
      </c>
      <c r="U189" s="2">
        <f t="shared" si="41"/>
        <v>1</v>
      </c>
      <c r="V189" s="2">
        <f t="shared" si="42"/>
        <v>0</v>
      </c>
      <c r="W189" s="2">
        <f t="shared" si="43"/>
        <v>0</v>
      </c>
      <c r="X189" s="2">
        <f t="shared" si="44"/>
        <v>0</v>
      </c>
      <c r="Y189" s="2">
        <f t="shared" si="45"/>
        <v>0</v>
      </c>
      <c r="Z189" s="2">
        <f t="shared" si="46"/>
        <v>0</v>
      </c>
      <c r="AA189" s="2">
        <f t="shared" si="47"/>
        <v>0</v>
      </c>
      <c r="AB189" s="2">
        <f t="shared" si="48"/>
        <v>0</v>
      </c>
      <c r="AD189" s="2">
        <f t="shared" si="49"/>
        <v>0</v>
      </c>
      <c r="AE189" s="2">
        <f t="shared" si="50"/>
        <v>1</v>
      </c>
      <c r="AF189" s="2">
        <f t="shared" si="51"/>
        <v>0</v>
      </c>
      <c r="AG189" s="2">
        <f t="shared" si="52"/>
        <v>1</v>
      </c>
      <c r="AH189" s="2">
        <f t="shared" si="53"/>
        <v>0</v>
      </c>
      <c r="AI189" s="2">
        <f t="shared" si="54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214</v>
      </c>
      <c r="E190" s="30" t="s">
        <v>36</v>
      </c>
      <c r="F190" s="30" t="s">
        <v>213</v>
      </c>
      <c r="G190" s="30" t="s">
        <v>97</v>
      </c>
      <c r="H190" s="30" t="s">
        <v>165</v>
      </c>
      <c r="I190" s="29" t="s">
        <v>212</v>
      </c>
      <c r="J190" s="29">
        <v>99</v>
      </c>
      <c r="K190" s="29" t="s">
        <v>378</v>
      </c>
      <c r="L190" s="29">
        <v>25</v>
      </c>
      <c r="M190" s="30" t="s">
        <v>927</v>
      </c>
      <c r="N190" s="30" t="s">
        <v>935</v>
      </c>
      <c r="O190" s="31">
        <v>1</v>
      </c>
      <c r="P190" s="31"/>
      <c r="Q190" s="30"/>
      <c r="S190" s="2">
        <f t="shared" si="39"/>
        <v>0</v>
      </c>
      <c r="T190" s="2">
        <f t="shared" si="40"/>
        <v>0</v>
      </c>
      <c r="U190" s="2">
        <f t="shared" si="41"/>
        <v>0</v>
      </c>
      <c r="V190" s="2">
        <f t="shared" si="42"/>
        <v>0</v>
      </c>
      <c r="W190" s="2">
        <f t="shared" si="43"/>
        <v>0</v>
      </c>
      <c r="X190" s="2">
        <f t="shared" si="44"/>
        <v>0</v>
      </c>
      <c r="Y190" s="2">
        <f t="shared" si="45"/>
        <v>0</v>
      </c>
      <c r="Z190" s="2">
        <f t="shared" si="46"/>
        <v>0</v>
      </c>
      <c r="AA190" s="2">
        <f t="shared" si="47"/>
        <v>0</v>
      </c>
      <c r="AB190" s="2">
        <f t="shared" si="48"/>
        <v>0</v>
      </c>
      <c r="AD190" s="2">
        <f t="shared" si="49"/>
        <v>0</v>
      </c>
      <c r="AE190" s="2">
        <f t="shared" si="50"/>
        <v>1</v>
      </c>
      <c r="AF190" s="2">
        <f t="shared" si="51"/>
        <v>0</v>
      </c>
      <c r="AG190" s="2">
        <f t="shared" si="52"/>
        <v>1</v>
      </c>
      <c r="AH190" s="2">
        <f t="shared" si="53"/>
        <v>0</v>
      </c>
      <c r="AI190" s="2">
        <f t="shared" si="54"/>
        <v>1</v>
      </c>
    </row>
    <row r="191" spans="1:35" ht="14.25" customHeight="1" x14ac:dyDescent="0.25">
      <c r="A191" s="32">
        <v>0</v>
      </c>
      <c r="B191" s="32">
        <v>2</v>
      </c>
      <c r="C191" s="32">
        <v>4</v>
      </c>
      <c r="D191" s="33" t="s">
        <v>215</v>
      </c>
      <c r="E191" s="33" t="s">
        <v>216</v>
      </c>
      <c r="F191" s="33" t="s">
        <v>217</v>
      </c>
      <c r="G191" s="33" t="s">
        <v>107</v>
      </c>
      <c r="H191" s="33" t="s">
        <v>165</v>
      </c>
      <c r="I191" s="32" t="s">
        <v>218</v>
      </c>
      <c r="J191" s="32">
        <v>99</v>
      </c>
      <c r="K191" s="32" t="s">
        <v>378</v>
      </c>
      <c r="L191" s="32">
        <v>25</v>
      </c>
      <c r="M191" s="33" t="s">
        <v>498</v>
      </c>
      <c r="N191" s="33" t="s">
        <v>929</v>
      </c>
      <c r="O191" s="34"/>
      <c r="P191" s="34"/>
      <c r="Q191" s="33"/>
      <c r="S191" s="2">
        <f t="shared" si="39"/>
        <v>0</v>
      </c>
      <c r="T191" s="2">
        <f t="shared" si="40"/>
        <v>0</v>
      </c>
      <c r="U191" s="2">
        <f t="shared" si="41"/>
        <v>0</v>
      </c>
      <c r="V191" s="2">
        <f t="shared" si="42"/>
        <v>0</v>
      </c>
      <c r="W191" s="2">
        <f t="shared" si="43"/>
        <v>0</v>
      </c>
      <c r="X191" s="2">
        <f t="shared" si="44"/>
        <v>0</v>
      </c>
      <c r="Y191" s="2">
        <f t="shared" si="45"/>
        <v>0</v>
      </c>
      <c r="Z191" s="2">
        <f t="shared" si="46"/>
        <v>0</v>
      </c>
      <c r="AA191" s="2">
        <f t="shared" si="47"/>
        <v>0</v>
      </c>
      <c r="AB191" s="2">
        <f t="shared" si="48"/>
        <v>0</v>
      </c>
      <c r="AD191" s="2">
        <f t="shared" si="49"/>
        <v>0</v>
      </c>
      <c r="AE191" s="2">
        <f t="shared" si="50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1</v>
      </c>
    </row>
    <row r="192" spans="1:35" ht="14.25" customHeight="1" x14ac:dyDescent="0.25">
      <c r="A192" s="32">
        <v>0</v>
      </c>
      <c r="B192" s="32">
        <v>2</v>
      </c>
      <c r="C192" s="32">
        <v>5</v>
      </c>
      <c r="D192" s="33" t="s">
        <v>421</v>
      </c>
      <c r="E192" s="33" t="s">
        <v>423</v>
      </c>
      <c r="F192" s="33" t="s">
        <v>577</v>
      </c>
      <c r="G192" s="33" t="s">
        <v>154</v>
      </c>
      <c r="H192" s="33" t="s">
        <v>165</v>
      </c>
      <c r="I192" s="32" t="s">
        <v>422</v>
      </c>
      <c r="J192" s="32">
        <v>99</v>
      </c>
      <c r="K192" s="32" t="s">
        <v>378</v>
      </c>
      <c r="L192" s="32">
        <v>30</v>
      </c>
      <c r="M192" s="33" t="s">
        <v>603</v>
      </c>
      <c r="N192" s="33" t="s">
        <v>929</v>
      </c>
      <c r="O192" s="34"/>
      <c r="P192" s="34"/>
      <c r="Q192" s="33"/>
      <c r="S192" s="2">
        <f t="shared" si="39"/>
        <v>0</v>
      </c>
      <c r="T192" s="2">
        <f t="shared" si="40"/>
        <v>0</v>
      </c>
      <c r="U192" s="2">
        <f t="shared" si="41"/>
        <v>0</v>
      </c>
      <c r="V192" s="2">
        <f t="shared" si="42"/>
        <v>0</v>
      </c>
      <c r="W192" s="2">
        <f t="shared" si="43"/>
        <v>0</v>
      </c>
      <c r="X192" s="2">
        <f t="shared" si="44"/>
        <v>0</v>
      </c>
      <c r="Y192" s="2">
        <f t="shared" si="45"/>
        <v>0</v>
      </c>
      <c r="Z192" s="2">
        <f t="shared" si="46"/>
        <v>0</v>
      </c>
      <c r="AA192" s="2">
        <f t="shared" si="47"/>
        <v>0</v>
      </c>
      <c r="AB192" s="2">
        <f t="shared" si="48"/>
        <v>0</v>
      </c>
      <c r="AD192" s="2">
        <f t="shared" si="49"/>
        <v>0</v>
      </c>
      <c r="AE192" s="2">
        <f t="shared" si="50"/>
        <v>0</v>
      </c>
      <c r="AF192" s="2">
        <f t="shared" si="51"/>
        <v>0</v>
      </c>
      <c r="AG192" s="2">
        <f t="shared" si="52"/>
        <v>0</v>
      </c>
      <c r="AH192" s="2">
        <f t="shared" si="53"/>
        <v>0</v>
      </c>
      <c r="AI192" s="2">
        <f t="shared" si="54"/>
        <v>1</v>
      </c>
    </row>
    <row r="193" spans="1:35" ht="14.25" customHeight="1" x14ac:dyDescent="0.25">
      <c r="A193" s="29">
        <v>0</v>
      </c>
      <c r="B193" s="29">
        <v>2</v>
      </c>
      <c r="C193" s="29">
        <v>5</v>
      </c>
      <c r="D193" s="30" t="s">
        <v>762</v>
      </c>
      <c r="E193" s="30" t="s">
        <v>263</v>
      </c>
      <c r="F193" s="30" t="s">
        <v>763</v>
      </c>
      <c r="G193" s="30" t="s">
        <v>458</v>
      </c>
      <c r="H193" s="30" t="s">
        <v>165</v>
      </c>
      <c r="I193" s="29" t="s">
        <v>33</v>
      </c>
      <c r="J193" s="29">
        <v>99</v>
      </c>
      <c r="K193" s="29" t="s">
        <v>698</v>
      </c>
      <c r="L193" s="29">
        <v>45</v>
      </c>
      <c r="M193" s="30" t="s">
        <v>1002</v>
      </c>
      <c r="N193" s="30" t="s">
        <v>906</v>
      </c>
      <c r="O193" s="31">
        <v>1</v>
      </c>
      <c r="P193" s="31"/>
      <c r="Q193" s="30"/>
      <c r="S193" s="2">
        <f t="shared" si="39"/>
        <v>0</v>
      </c>
      <c r="T193" s="2">
        <f t="shared" si="40"/>
        <v>0</v>
      </c>
      <c r="U193" s="2">
        <f t="shared" si="41"/>
        <v>0</v>
      </c>
      <c r="V193" s="2">
        <f t="shared" si="42"/>
        <v>0</v>
      </c>
      <c r="W193" s="2">
        <f t="shared" si="43"/>
        <v>0</v>
      </c>
      <c r="X193" s="2">
        <f t="shared" si="44"/>
        <v>0</v>
      </c>
      <c r="Y193" s="2">
        <f t="shared" si="45"/>
        <v>0</v>
      </c>
      <c r="Z193" s="2">
        <f t="shared" si="46"/>
        <v>0</v>
      </c>
      <c r="AA193" s="2">
        <f t="shared" si="47"/>
        <v>0</v>
      </c>
      <c r="AB193" s="2">
        <f t="shared" si="48"/>
        <v>0</v>
      </c>
      <c r="AD193" s="2">
        <f t="shared" si="49"/>
        <v>0</v>
      </c>
      <c r="AE193" s="2">
        <f t="shared" si="50"/>
        <v>1</v>
      </c>
      <c r="AF193" s="2">
        <f t="shared" si="51"/>
        <v>0</v>
      </c>
      <c r="AG193" s="2">
        <f t="shared" si="52"/>
        <v>1</v>
      </c>
      <c r="AH193" s="2">
        <f t="shared" si="53"/>
        <v>0</v>
      </c>
      <c r="AI193" s="2">
        <f t="shared" si="54"/>
        <v>1</v>
      </c>
    </row>
    <row r="194" spans="1:35" ht="14.25" customHeight="1" x14ac:dyDescent="0.25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751</v>
      </c>
      <c r="N194" s="30" t="s">
        <v>899</v>
      </c>
      <c r="O194" s="31">
        <v>1</v>
      </c>
      <c r="P194" s="31"/>
      <c r="Q194" s="30"/>
      <c r="S194" s="2">
        <f t="shared" si="39"/>
        <v>0</v>
      </c>
      <c r="T194" s="2">
        <f t="shared" si="40"/>
        <v>0</v>
      </c>
      <c r="U194" s="2">
        <f t="shared" si="41"/>
        <v>1</v>
      </c>
      <c r="V194" s="2">
        <f t="shared" si="42"/>
        <v>0</v>
      </c>
      <c r="W194" s="2">
        <f t="shared" si="43"/>
        <v>0</v>
      </c>
      <c r="X194" s="2">
        <f t="shared" si="44"/>
        <v>0</v>
      </c>
      <c r="Y194" s="2">
        <f t="shared" si="45"/>
        <v>0</v>
      </c>
      <c r="Z194" s="2">
        <f t="shared" si="46"/>
        <v>0</v>
      </c>
      <c r="AA194" s="2">
        <f t="shared" si="47"/>
        <v>0</v>
      </c>
      <c r="AB194" s="2">
        <f t="shared" si="48"/>
        <v>0</v>
      </c>
      <c r="AD194" s="2">
        <f t="shared" si="49"/>
        <v>0</v>
      </c>
      <c r="AE194" s="2">
        <f t="shared" si="50"/>
        <v>1</v>
      </c>
      <c r="AF194" s="2">
        <f t="shared" si="51"/>
        <v>0</v>
      </c>
      <c r="AG194" s="2">
        <f t="shared" si="52"/>
        <v>1</v>
      </c>
      <c r="AH194" s="2">
        <f t="shared" si="53"/>
        <v>0</v>
      </c>
      <c r="AI194" s="2">
        <f t="shared" si="54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959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913</v>
      </c>
      <c r="O195" s="31">
        <v>1</v>
      </c>
      <c r="P195" s="31"/>
      <c r="Q195" s="30" t="s">
        <v>960</v>
      </c>
      <c r="S195" s="2">
        <f t="shared" si="39"/>
        <v>0</v>
      </c>
      <c r="T195" s="2">
        <f t="shared" si="40"/>
        <v>0</v>
      </c>
      <c r="U195" s="2">
        <f t="shared" si="41"/>
        <v>0</v>
      </c>
      <c r="V195" s="2">
        <f t="shared" si="42"/>
        <v>0</v>
      </c>
      <c r="W195" s="2">
        <f t="shared" si="43"/>
        <v>0</v>
      </c>
      <c r="X195" s="2">
        <f t="shared" si="44"/>
        <v>0</v>
      </c>
      <c r="Y195" s="2">
        <f t="shared" si="45"/>
        <v>0</v>
      </c>
      <c r="Z195" s="2">
        <f t="shared" si="46"/>
        <v>0</v>
      </c>
      <c r="AA195" s="2">
        <f t="shared" si="47"/>
        <v>0</v>
      </c>
      <c r="AB195" s="2">
        <f t="shared" si="48"/>
        <v>0</v>
      </c>
      <c r="AD195" s="2">
        <f t="shared" si="49"/>
        <v>0</v>
      </c>
      <c r="AE195" s="2">
        <f t="shared" si="50"/>
        <v>1</v>
      </c>
      <c r="AF195" s="2">
        <f t="shared" si="51"/>
        <v>0</v>
      </c>
      <c r="AG195" s="2">
        <f t="shared" si="52"/>
        <v>1</v>
      </c>
      <c r="AH195" s="2">
        <f t="shared" si="53"/>
        <v>0</v>
      </c>
      <c r="AI195" s="2">
        <f t="shared" si="54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39"/>
        <v>0</v>
      </c>
      <c r="T196" s="2">
        <f t="shared" si="40"/>
        <v>0</v>
      </c>
      <c r="U196" s="2">
        <f t="shared" si="41"/>
        <v>0</v>
      </c>
      <c r="V196" s="2">
        <f t="shared" si="42"/>
        <v>0</v>
      </c>
      <c r="W196" s="2">
        <f t="shared" si="43"/>
        <v>0</v>
      </c>
      <c r="X196" s="2">
        <f t="shared" si="44"/>
        <v>0</v>
      </c>
      <c r="Y196" s="2">
        <f t="shared" si="45"/>
        <v>0</v>
      </c>
      <c r="Z196" s="2">
        <f t="shared" si="46"/>
        <v>0</v>
      </c>
      <c r="AA196" s="2">
        <f t="shared" si="47"/>
        <v>0</v>
      </c>
      <c r="AB196" s="2">
        <f t="shared" si="48"/>
        <v>1</v>
      </c>
      <c r="AD196" s="2">
        <f t="shared" si="49"/>
        <v>0</v>
      </c>
      <c r="AE196" s="2">
        <f t="shared" si="50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1</v>
      </c>
    </row>
    <row r="197" spans="1:35" ht="14.25" customHeight="1" x14ac:dyDescent="0.25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828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784</v>
      </c>
      <c r="N197" s="33" t="s">
        <v>900</v>
      </c>
      <c r="O197" s="34"/>
      <c r="P197" s="34"/>
      <c r="Q197" s="33"/>
      <c r="S197" s="2">
        <f t="shared" si="39"/>
        <v>0</v>
      </c>
      <c r="T197" s="2">
        <f t="shared" si="40"/>
        <v>0</v>
      </c>
      <c r="U197" s="2">
        <f t="shared" si="41"/>
        <v>0</v>
      </c>
      <c r="V197" s="2">
        <f t="shared" si="42"/>
        <v>0</v>
      </c>
      <c r="W197" s="2">
        <f t="shared" si="43"/>
        <v>0</v>
      </c>
      <c r="X197" s="2">
        <f t="shared" si="44"/>
        <v>0</v>
      </c>
      <c r="Y197" s="2">
        <f t="shared" si="45"/>
        <v>0</v>
      </c>
      <c r="Z197" s="2">
        <f t="shared" si="46"/>
        <v>0</v>
      </c>
      <c r="AA197" s="2">
        <f t="shared" si="47"/>
        <v>0</v>
      </c>
      <c r="AB197" s="2">
        <f t="shared" si="48"/>
        <v>0</v>
      </c>
      <c r="AD197" s="2">
        <f t="shared" si="49"/>
        <v>0</v>
      </c>
      <c r="AE197" s="2">
        <f t="shared" si="50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</row>
    <row r="198" spans="1:35" ht="14.25" customHeight="1" x14ac:dyDescent="0.25">
      <c r="A198" s="29">
        <v>0</v>
      </c>
      <c r="B198" s="29">
        <v>2</v>
      </c>
      <c r="C198" s="29">
        <v>5</v>
      </c>
      <c r="D198" s="30" t="s">
        <v>812</v>
      </c>
      <c r="E198" s="30" t="s">
        <v>29</v>
      </c>
      <c r="F198" s="30" t="s">
        <v>644</v>
      </c>
      <c r="G198" s="30" t="s">
        <v>516</v>
      </c>
      <c r="H198" s="30" t="s">
        <v>165</v>
      </c>
      <c r="I198" s="29" t="s">
        <v>645</v>
      </c>
      <c r="J198" s="29">
        <v>99</v>
      </c>
      <c r="K198" s="29" t="s">
        <v>320</v>
      </c>
      <c r="L198" s="29" t="s">
        <v>346</v>
      </c>
      <c r="M198" s="30" t="s">
        <v>643</v>
      </c>
      <c r="N198" s="30" t="s">
        <v>913</v>
      </c>
      <c r="O198" s="31">
        <v>1</v>
      </c>
      <c r="P198" s="31"/>
      <c r="Q198" s="30"/>
      <c r="S198" s="2">
        <f t="shared" si="39"/>
        <v>0</v>
      </c>
      <c r="T198" s="2">
        <f t="shared" si="40"/>
        <v>0</v>
      </c>
      <c r="U198" s="2">
        <f t="shared" si="41"/>
        <v>0</v>
      </c>
      <c r="V198" s="2">
        <f t="shared" si="42"/>
        <v>0</v>
      </c>
      <c r="W198" s="2">
        <f t="shared" si="43"/>
        <v>0</v>
      </c>
      <c r="X198" s="2">
        <f t="shared" si="44"/>
        <v>0</v>
      </c>
      <c r="Y198" s="2">
        <f t="shared" si="45"/>
        <v>0</v>
      </c>
      <c r="Z198" s="2">
        <f t="shared" si="46"/>
        <v>0</v>
      </c>
      <c r="AA198" s="2">
        <f t="shared" si="47"/>
        <v>0</v>
      </c>
      <c r="AB198" s="2">
        <f t="shared" si="48"/>
        <v>0</v>
      </c>
      <c r="AD198" s="2">
        <f t="shared" si="49"/>
        <v>0</v>
      </c>
      <c r="AE198" s="2">
        <f t="shared" si="50"/>
        <v>1</v>
      </c>
      <c r="AF198" s="2">
        <f t="shared" si="51"/>
        <v>0</v>
      </c>
      <c r="AG198" s="2">
        <f t="shared" si="52"/>
        <v>1</v>
      </c>
      <c r="AH198" s="2">
        <f t="shared" si="53"/>
        <v>0</v>
      </c>
      <c r="AI198" s="2">
        <f t="shared" si="54"/>
        <v>1</v>
      </c>
    </row>
    <row r="199" spans="1:35" ht="14.25" customHeight="1" x14ac:dyDescent="0.25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821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929</v>
      </c>
      <c r="O199" s="34"/>
      <c r="P199" s="34"/>
      <c r="Q199" s="33"/>
      <c r="S199" s="2">
        <f t="shared" si="39"/>
        <v>1</v>
      </c>
      <c r="T199" s="2">
        <f t="shared" si="40"/>
        <v>0</v>
      </c>
      <c r="U199" s="2">
        <f t="shared" si="41"/>
        <v>0</v>
      </c>
      <c r="V199" s="2">
        <f t="shared" si="42"/>
        <v>0</v>
      </c>
      <c r="W199" s="2">
        <f t="shared" si="43"/>
        <v>0</v>
      </c>
      <c r="X199" s="2">
        <f t="shared" si="44"/>
        <v>0</v>
      </c>
      <c r="Y199" s="2">
        <f t="shared" si="45"/>
        <v>0</v>
      </c>
      <c r="Z199" s="2">
        <f t="shared" si="46"/>
        <v>0</v>
      </c>
      <c r="AA199" s="2">
        <f t="shared" si="47"/>
        <v>0</v>
      </c>
      <c r="AB199" s="2">
        <f t="shared" si="48"/>
        <v>0</v>
      </c>
      <c r="AD199" s="2">
        <f t="shared" si="49"/>
        <v>0</v>
      </c>
      <c r="AE199" s="2">
        <f t="shared" si="50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1</v>
      </c>
    </row>
    <row r="200" spans="1:35" ht="14.25" customHeight="1" x14ac:dyDescent="0.25">
      <c r="A200" s="29">
        <v>0</v>
      </c>
      <c r="B200" s="29">
        <v>2</v>
      </c>
      <c r="C200" s="29">
        <v>6</v>
      </c>
      <c r="D200" s="30" t="s">
        <v>52</v>
      </c>
      <c r="E200" s="30" t="s">
        <v>34</v>
      </c>
      <c r="F200" s="30" t="s">
        <v>105</v>
      </c>
      <c r="G200" s="30" t="s">
        <v>39</v>
      </c>
      <c r="H200" s="30" t="s">
        <v>165</v>
      </c>
      <c r="I200" s="29" t="s">
        <v>847</v>
      </c>
      <c r="J200" s="29">
        <v>8</v>
      </c>
      <c r="K200" s="29" t="s">
        <v>318</v>
      </c>
      <c r="L200" s="29" t="s">
        <v>339</v>
      </c>
      <c r="M200" s="30" t="s">
        <v>272</v>
      </c>
      <c r="N200" s="30" t="s">
        <v>912</v>
      </c>
      <c r="O200" s="31">
        <v>1</v>
      </c>
      <c r="P200" s="31"/>
      <c r="Q200" s="30"/>
      <c r="S200" s="2">
        <f t="shared" si="39"/>
        <v>0</v>
      </c>
      <c r="T200" s="2">
        <f t="shared" si="40"/>
        <v>0</v>
      </c>
      <c r="U200" s="2">
        <f t="shared" si="41"/>
        <v>0</v>
      </c>
      <c r="V200" s="2">
        <f t="shared" si="42"/>
        <v>0</v>
      </c>
      <c r="W200" s="2">
        <f t="shared" si="43"/>
        <v>0</v>
      </c>
      <c r="X200" s="2">
        <f t="shared" si="44"/>
        <v>0</v>
      </c>
      <c r="Y200" s="2">
        <f t="shared" si="45"/>
        <v>0</v>
      </c>
      <c r="Z200" s="2">
        <f t="shared" si="46"/>
        <v>1</v>
      </c>
      <c r="AA200" s="2">
        <f t="shared" si="47"/>
        <v>0</v>
      </c>
      <c r="AB200" s="2">
        <f t="shared" si="48"/>
        <v>0</v>
      </c>
      <c r="AD200" s="2">
        <f t="shared" si="49"/>
        <v>0</v>
      </c>
      <c r="AE200" s="2">
        <f t="shared" si="50"/>
        <v>1</v>
      </c>
      <c r="AF200" s="2">
        <f t="shared" si="51"/>
        <v>0</v>
      </c>
      <c r="AG200" s="2">
        <f t="shared" si="52"/>
        <v>1</v>
      </c>
      <c r="AH200" s="2">
        <f t="shared" si="53"/>
        <v>0</v>
      </c>
      <c r="AI200" s="2">
        <f t="shared" si="54"/>
        <v>1</v>
      </c>
    </row>
    <row r="201" spans="1:35" ht="14.25" customHeight="1" x14ac:dyDescent="0.25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954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701</v>
      </c>
      <c r="N201" s="30" t="s">
        <v>935</v>
      </c>
      <c r="O201" s="31">
        <v>1</v>
      </c>
      <c r="P201" s="31"/>
      <c r="Q201" s="30"/>
      <c r="S201" s="2">
        <f t="shared" si="39"/>
        <v>0</v>
      </c>
      <c r="T201" s="2">
        <f t="shared" si="40"/>
        <v>0</v>
      </c>
      <c r="U201" s="2">
        <f t="shared" si="41"/>
        <v>0</v>
      </c>
      <c r="V201" s="2">
        <f t="shared" si="42"/>
        <v>0</v>
      </c>
      <c r="W201" s="2">
        <f t="shared" si="43"/>
        <v>0</v>
      </c>
      <c r="X201" s="2">
        <f t="shared" si="44"/>
        <v>1</v>
      </c>
      <c r="Y201" s="2">
        <f t="shared" si="45"/>
        <v>0</v>
      </c>
      <c r="Z201" s="2">
        <f t="shared" si="46"/>
        <v>0</v>
      </c>
      <c r="AA201" s="2">
        <f t="shared" si="47"/>
        <v>0</v>
      </c>
      <c r="AB201" s="2">
        <f t="shared" si="48"/>
        <v>0</v>
      </c>
      <c r="AD201" s="2">
        <f t="shared" si="49"/>
        <v>0</v>
      </c>
      <c r="AE201" s="2">
        <f t="shared" si="50"/>
        <v>1</v>
      </c>
      <c r="AF201" s="2">
        <f t="shared" si="51"/>
        <v>0</v>
      </c>
      <c r="AG201" s="2">
        <f t="shared" si="52"/>
        <v>1</v>
      </c>
      <c r="AH201" s="2">
        <f t="shared" si="53"/>
        <v>0</v>
      </c>
      <c r="AI201" s="2">
        <f t="shared" si="54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748</v>
      </c>
      <c r="N202" s="30" t="s">
        <v>912</v>
      </c>
      <c r="O202" s="31">
        <v>1</v>
      </c>
      <c r="P202" s="31"/>
      <c r="Q202" s="30"/>
      <c r="S202" s="2">
        <f t="shared" si="39"/>
        <v>0</v>
      </c>
      <c r="T202" s="2">
        <f t="shared" si="40"/>
        <v>0</v>
      </c>
      <c r="U202" s="2">
        <f t="shared" si="41"/>
        <v>0</v>
      </c>
      <c r="V202" s="2">
        <f t="shared" si="42"/>
        <v>0</v>
      </c>
      <c r="W202" s="2">
        <f t="shared" si="43"/>
        <v>1</v>
      </c>
      <c r="X202" s="2">
        <f t="shared" si="44"/>
        <v>0</v>
      </c>
      <c r="Y202" s="2">
        <f t="shared" si="45"/>
        <v>0</v>
      </c>
      <c r="Z202" s="2">
        <f t="shared" si="46"/>
        <v>0</v>
      </c>
      <c r="AA202" s="2">
        <f t="shared" si="47"/>
        <v>0</v>
      </c>
      <c r="AB202" s="2">
        <f t="shared" si="48"/>
        <v>0</v>
      </c>
      <c r="AD202" s="2">
        <f t="shared" si="49"/>
        <v>0</v>
      </c>
      <c r="AE202" s="2">
        <f t="shared" si="50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702</v>
      </c>
      <c r="N203" s="30" t="s">
        <v>935</v>
      </c>
      <c r="O203" s="31">
        <v>1</v>
      </c>
      <c r="P203" s="31"/>
      <c r="Q203" s="30"/>
      <c r="S203" s="2">
        <f t="shared" ref="S203:S237" si="55">IF(J203=$S$7,1,0)</f>
        <v>0</v>
      </c>
      <c r="T203" s="2">
        <f t="shared" ref="T203:T237" si="56">IF(J203=$T$7,1,0)</f>
        <v>0</v>
      </c>
      <c r="U203" s="2">
        <f t="shared" ref="U203:U237" si="57">IF(J203=$U$7,1,0)</f>
        <v>0</v>
      </c>
      <c r="V203" s="2">
        <f t="shared" ref="V203:V237" si="58">IF(J203=$V$7,1,0)</f>
        <v>0</v>
      </c>
      <c r="W203" s="2">
        <f t="shared" ref="W203:W237" si="59">IF(J203=$W$7,1,0)</f>
        <v>0</v>
      </c>
      <c r="X203" s="2">
        <f t="shared" ref="X203:X237" si="60">IF(J203=$X$7,1,0)</f>
        <v>1</v>
      </c>
      <c r="Y203" s="2">
        <f t="shared" ref="Y203:Y237" si="61">IF(J203=$Y$7,1,0)</f>
        <v>0</v>
      </c>
      <c r="Z203" s="2">
        <f t="shared" ref="Z203:Z237" si="62">IF(J203=$Z$7,1,0)</f>
        <v>0</v>
      </c>
      <c r="AA203" s="2">
        <f t="shared" ref="AA203:AA237" si="63">IF(J203=$AA$7,1,0)</f>
        <v>0</v>
      </c>
      <c r="AB203" s="2">
        <f t="shared" ref="AB203:AB237" si="64">IF(J203=$AB$7,1,0)</f>
        <v>0</v>
      </c>
      <c r="AD203" s="2">
        <f t="shared" ref="AD203:AD237" si="65">+O203*P203</f>
        <v>0</v>
      </c>
      <c r="AE203" s="2">
        <f t="shared" ref="AE203:AE237" si="66">O203*(1-P203)</f>
        <v>1</v>
      </c>
      <c r="AF203" s="2">
        <f t="shared" ref="AF203:AF237" si="67">+O203*P203*(1-A203)</f>
        <v>0</v>
      </c>
      <c r="AG203" s="2">
        <f t="shared" ref="AG203:AG237" si="68">O203*(1-P203)*(1-A203)</f>
        <v>1</v>
      </c>
      <c r="AH203" s="2">
        <f t="shared" ref="AH203:AH237" si="69">+P203*(1-A203)</f>
        <v>0</v>
      </c>
      <c r="AI203" s="2">
        <f t="shared" ref="AI203:AI237" si="70">+(1-A203)*(1-P203)</f>
        <v>1</v>
      </c>
    </row>
    <row r="204" spans="1:35" ht="14.25" customHeight="1" x14ac:dyDescent="0.25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896</v>
      </c>
      <c r="O204" s="34"/>
      <c r="P204" s="34"/>
      <c r="Q204" s="3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0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D204" s="2">
        <f t="shared" si="65"/>
        <v>0</v>
      </c>
      <c r="AE204" s="2">
        <f t="shared" si="66"/>
        <v>0</v>
      </c>
      <c r="AF204" s="2">
        <f t="shared" si="67"/>
        <v>0</v>
      </c>
      <c r="AG204" s="2">
        <f t="shared" si="68"/>
        <v>0</v>
      </c>
      <c r="AH204" s="2">
        <f t="shared" si="69"/>
        <v>0</v>
      </c>
      <c r="AI204" s="2">
        <f t="shared" si="70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951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907</v>
      </c>
      <c r="O205" s="31">
        <v>1</v>
      </c>
      <c r="P205" s="31"/>
      <c r="Q205" s="30"/>
      <c r="S205" s="2">
        <f t="shared" si="55"/>
        <v>0</v>
      </c>
      <c r="T205" s="2">
        <f t="shared" si="56"/>
        <v>1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D205" s="2">
        <f t="shared" si="65"/>
        <v>0</v>
      </c>
      <c r="AE205" s="2">
        <f t="shared" si="66"/>
        <v>1</v>
      </c>
      <c r="AF205" s="2">
        <f t="shared" si="67"/>
        <v>0</v>
      </c>
      <c r="AG205" s="2">
        <f t="shared" si="68"/>
        <v>1</v>
      </c>
      <c r="AH205" s="2">
        <f t="shared" si="69"/>
        <v>0</v>
      </c>
      <c r="AI205" s="2">
        <f t="shared" si="70"/>
        <v>1</v>
      </c>
    </row>
    <row r="206" spans="1:35" ht="14.25" customHeight="1" x14ac:dyDescent="0.25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952</v>
      </c>
      <c r="G206" s="30" t="s">
        <v>103</v>
      </c>
      <c r="H206" s="30" t="s">
        <v>165</v>
      </c>
      <c r="I206" s="29" t="s">
        <v>846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907</v>
      </c>
      <c r="O206" s="31">
        <v>1</v>
      </c>
      <c r="P206" s="31"/>
      <c r="Q206" s="30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0</v>
      </c>
      <c r="W206" s="2">
        <f t="shared" si="59"/>
        <v>0</v>
      </c>
      <c r="X206" s="2">
        <f t="shared" si="60"/>
        <v>1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0</v>
      </c>
      <c r="AH206" s="2">
        <f t="shared" si="69"/>
        <v>0</v>
      </c>
      <c r="AI206" s="2">
        <f t="shared" si="70"/>
        <v>0</v>
      </c>
    </row>
    <row r="207" spans="1:35" ht="14.25" customHeight="1" x14ac:dyDescent="0.25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893</v>
      </c>
      <c r="O207" s="31">
        <v>1</v>
      </c>
      <c r="P207" s="31">
        <v>1</v>
      </c>
      <c r="Q207" s="30"/>
      <c r="S207" s="2">
        <f t="shared" si="55"/>
        <v>0</v>
      </c>
      <c r="T207" s="2">
        <f t="shared" si="56"/>
        <v>0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1</v>
      </c>
      <c r="AB207" s="2">
        <f t="shared" si="64"/>
        <v>0</v>
      </c>
      <c r="AD207" s="2">
        <f t="shared" si="65"/>
        <v>1</v>
      </c>
      <c r="AE207" s="2">
        <f t="shared" si="66"/>
        <v>0</v>
      </c>
      <c r="AF207" s="2">
        <f t="shared" si="67"/>
        <v>1</v>
      </c>
      <c r="AG207" s="2">
        <f t="shared" si="68"/>
        <v>0</v>
      </c>
      <c r="AH207" s="2">
        <f t="shared" si="69"/>
        <v>1</v>
      </c>
      <c r="AI207" s="2">
        <f t="shared" si="70"/>
        <v>0</v>
      </c>
    </row>
    <row r="208" spans="1:35" ht="14.25" customHeight="1" x14ac:dyDescent="0.25">
      <c r="A208" s="29">
        <v>0</v>
      </c>
      <c r="B208" s="29">
        <v>2</v>
      </c>
      <c r="C208" s="29">
        <v>7</v>
      </c>
      <c r="D208" s="30" t="s">
        <v>924</v>
      </c>
      <c r="E208" s="30" t="s">
        <v>918</v>
      </c>
      <c r="F208" s="30" t="s">
        <v>922</v>
      </c>
      <c r="G208" s="30" t="s">
        <v>132</v>
      </c>
      <c r="H208" s="30" t="s">
        <v>165</v>
      </c>
      <c r="I208" s="29" t="s">
        <v>925</v>
      </c>
      <c r="J208" s="29">
        <v>99</v>
      </c>
      <c r="K208" s="29" t="s">
        <v>378</v>
      </c>
      <c r="L208" s="29"/>
      <c r="M208" s="30"/>
      <c r="N208" s="30" t="s">
        <v>893</v>
      </c>
      <c r="O208" s="31">
        <v>1</v>
      </c>
      <c r="P208" s="31">
        <v>1</v>
      </c>
      <c r="Q208" s="30"/>
      <c r="S208" s="2">
        <f t="shared" si="55"/>
        <v>0</v>
      </c>
      <c r="T208" s="2">
        <f t="shared" si="56"/>
        <v>0</v>
      </c>
      <c r="U208" s="2">
        <f t="shared" si="57"/>
        <v>0</v>
      </c>
      <c r="V208" s="2">
        <f t="shared" si="58"/>
        <v>0</v>
      </c>
      <c r="W208" s="2">
        <f t="shared" si="59"/>
        <v>0</v>
      </c>
      <c r="X208" s="2">
        <f t="shared" si="60"/>
        <v>0</v>
      </c>
      <c r="Y208" s="2">
        <f t="shared" si="61"/>
        <v>0</v>
      </c>
      <c r="Z208" s="2">
        <f t="shared" si="62"/>
        <v>0</v>
      </c>
      <c r="AA208" s="2">
        <f t="shared" si="63"/>
        <v>0</v>
      </c>
      <c r="AB208" s="2">
        <f t="shared" si="64"/>
        <v>0</v>
      </c>
      <c r="AD208" s="2">
        <f t="shared" si="65"/>
        <v>1</v>
      </c>
      <c r="AE208" s="2">
        <f t="shared" si="66"/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899</v>
      </c>
      <c r="O209" s="31">
        <v>1</v>
      </c>
      <c r="P209" s="31"/>
      <c r="Q209" s="30"/>
      <c r="S209" s="2">
        <f t="shared" si="55"/>
        <v>0</v>
      </c>
      <c r="T209" s="2">
        <f t="shared" si="56"/>
        <v>0</v>
      </c>
      <c r="U209" s="2">
        <f t="shared" si="57"/>
        <v>0</v>
      </c>
      <c r="V209" s="2">
        <f t="shared" si="58"/>
        <v>0</v>
      </c>
      <c r="W209" s="2">
        <f t="shared" si="59"/>
        <v>0</v>
      </c>
      <c r="X209" s="2">
        <f t="shared" si="60"/>
        <v>0</v>
      </c>
      <c r="Y209" s="2">
        <f t="shared" si="61"/>
        <v>1</v>
      </c>
      <c r="Z209" s="2">
        <f t="shared" si="62"/>
        <v>0</v>
      </c>
      <c r="AA209" s="2">
        <f t="shared" si="63"/>
        <v>0</v>
      </c>
      <c r="AB209" s="2">
        <f t="shared" si="64"/>
        <v>0</v>
      </c>
      <c r="AD209" s="2">
        <f t="shared" si="65"/>
        <v>0</v>
      </c>
      <c r="AE209" s="2">
        <f t="shared" si="66"/>
        <v>1</v>
      </c>
      <c r="AF209" s="2">
        <f t="shared" si="67"/>
        <v>0</v>
      </c>
      <c r="AG209" s="2">
        <f t="shared" si="68"/>
        <v>1</v>
      </c>
      <c r="AH209" s="2">
        <f t="shared" si="69"/>
        <v>0</v>
      </c>
      <c r="AI209" s="2">
        <f t="shared" si="70"/>
        <v>1</v>
      </c>
    </row>
    <row r="210" spans="1:35" ht="14.25" customHeight="1" x14ac:dyDescent="0.25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929</v>
      </c>
      <c r="O210" s="34"/>
      <c r="P210" s="34"/>
      <c r="Q210" s="33"/>
      <c r="S210" s="2">
        <f t="shared" si="55"/>
        <v>1</v>
      </c>
      <c r="T210" s="2">
        <f t="shared" si="56"/>
        <v>0</v>
      </c>
      <c r="U210" s="2">
        <f t="shared" si="57"/>
        <v>0</v>
      </c>
      <c r="V210" s="2">
        <f t="shared" si="58"/>
        <v>0</v>
      </c>
      <c r="W210" s="2">
        <f t="shared" si="59"/>
        <v>0</v>
      </c>
      <c r="X210" s="2">
        <f t="shared" si="60"/>
        <v>0</v>
      </c>
      <c r="Y210" s="2">
        <f t="shared" si="61"/>
        <v>0</v>
      </c>
      <c r="Z210" s="2">
        <f t="shared" si="62"/>
        <v>0</v>
      </c>
      <c r="AA210" s="2">
        <f t="shared" si="63"/>
        <v>0</v>
      </c>
      <c r="AB210" s="2">
        <f t="shared" si="64"/>
        <v>0</v>
      </c>
      <c r="AD210" s="2">
        <f t="shared" si="65"/>
        <v>0</v>
      </c>
      <c r="AE210" s="2">
        <f t="shared" si="66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893</v>
      </c>
      <c r="O211" s="31">
        <v>1</v>
      </c>
      <c r="P211" s="31">
        <v>1</v>
      </c>
      <c r="Q211" s="30"/>
      <c r="S211" s="2">
        <f t="shared" si="55"/>
        <v>0</v>
      </c>
      <c r="T211" s="2">
        <f t="shared" si="56"/>
        <v>0</v>
      </c>
      <c r="U211" s="2">
        <f t="shared" si="57"/>
        <v>0</v>
      </c>
      <c r="V211" s="2">
        <f t="shared" si="58"/>
        <v>0</v>
      </c>
      <c r="W211" s="2">
        <f t="shared" si="59"/>
        <v>0</v>
      </c>
      <c r="X211" s="2">
        <f t="shared" si="60"/>
        <v>1</v>
      </c>
      <c r="Y211" s="2">
        <f t="shared" si="61"/>
        <v>0</v>
      </c>
      <c r="Z211" s="2">
        <f t="shared" si="62"/>
        <v>0</v>
      </c>
      <c r="AA211" s="2">
        <f t="shared" si="63"/>
        <v>0</v>
      </c>
      <c r="AB211" s="2">
        <f t="shared" si="64"/>
        <v>0</v>
      </c>
      <c r="AD211" s="2">
        <f t="shared" si="65"/>
        <v>1</v>
      </c>
      <c r="AE211" s="2">
        <f t="shared" si="66"/>
        <v>0</v>
      </c>
      <c r="AF211" s="2">
        <f t="shared" si="67"/>
        <v>1</v>
      </c>
      <c r="AG211" s="2">
        <f t="shared" si="68"/>
        <v>0</v>
      </c>
      <c r="AH211" s="2">
        <f t="shared" si="69"/>
        <v>1</v>
      </c>
      <c r="AI211" s="2">
        <f t="shared" si="70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893</v>
      </c>
      <c r="O212" s="31">
        <v>1</v>
      </c>
      <c r="P212" s="31">
        <v>1</v>
      </c>
      <c r="Q212" s="30"/>
      <c r="S212" s="2">
        <f t="shared" si="55"/>
        <v>0</v>
      </c>
      <c r="T212" s="2">
        <f t="shared" si="56"/>
        <v>0</v>
      </c>
      <c r="U212" s="2">
        <f t="shared" si="57"/>
        <v>0</v>
      </c>
      <c r="V212" s="2">
        <f t="shared" si="58"/>
        <v>0</v>
      </c>
      <c r="W212" s="2">
        <f t="shared" si="59"/>
        <v>0</v>
      </c>
      <c r="X212" s="2">
        <f t="shared" si="60"/>
        <v>0</v>
      </c>
      <c r="Y212" s="2">
        <f t="shared" si="61"/>
        <v>0</v>
      </c>
      <c r="Z212" s="2">
        <f t="shared" si="62"/>
        <v>0</v>
      </c>
      <c r="AA212" s="2">
        <f t="shared" si="63"/>
        <v>0</v>
      </c>
      <c r="AB212" s="2">
        <f t="shared" si="64"/>
        <v>0</v>
      </c>
      <c r="AD212" s="2">
        <f t="shared" si="65"/>
        <v>1</v>
      </c>
      <c r="AE212" s="2">
        <f t="shared" si="66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930</v>
      </c>
      <c r="O213" s="31">
        <v>1</v>
      </c>
      <c r="P213" s="31"/>
      <c r="Q213" s="30"/>
      <c r="S213" s="2">
        <f t="shared" si="55"/>
        <v>0</v>
      </c>
      <c r="T213" s="2">
        <f t="shared" si="56"/>
        <v>0</v>
      </c>
      <c r="U213" s="2">
        <f t="shared" si="57"/>
        <v>0</v>
      </c>
      <c r="V213" s="2">
        <f t="shared" si="58"/>
        <v>0</v>
      </c>
      <c r="W213" s="2">
        <f t="shared" si="59"/>
        <v>0</v>
      </c>
      <c r="X213" s="2">
        <f t="shared" si="60"/>
        <v>0</v>
      </c>
      <c r="Y213" s="2">
        <f t="shared" si="61"/>
        <v>0</v>
      </c>
      <c r="Z213" s="2">
        <f t="shared" si="62"/>
        <v>0</v>
      </c>
      <c r="AA213" s="2">
        <f t="shared" si="63"/>
        <v>0</v>
      </c>
      <c r="AB213" s="2">
        <f t="shared" si="64"/>
        <v>0</v>
      </c>
      <c r="AD213" s="2">
        <f t="shared" si="65"/>
        <v>0</v>
      </c>
      <c r="AE213" s="2">
        <f t="shared" si="66"/>
        <v>1</v>
      </c>
      <c r="AF213" s="2">
        <f t="shared" si="67"/>
        <v>0</v>
      </c>
      <c r="AG213" s="2">
        <f t="shared" si="68"/>
        <v>1</v>
      </c>
      <c r="AH213" s="2">
        <f t="shared" si="69"/>
        <v>0</v>
      </c>
      <c r="AI213" s="2">
        <f t="shared" si="70"/>
        <v>1</v>
      </c>
    </row>
    <row r="214" spans="1:35" ht="14.25" customHeight="1" x14ac:dyDescent="0.25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930</v>
      </c>
      <c r="O214" s="31">
        <v>1</v>
      </c>
      <c r="P214" s="31"/>
      <c r="Q214" s="30"/>
      <c r="S214" s="2">
        <f t="shared" si="55"/>
        <v>0</v>
      </c>
      <c r="T214" s="2">
        <f t="shared" si="56"/>
        <v>0</v>
      </c>
      <c r="U214" s="2">
        <f t="shared" si="57"/>
        <v>0</v>
      </c>
      <c r="V214" s="2">
        <f t="shared" si="58"/>
        <v>0</v>
      </c>
      <c r="W214" s="2">
        <f t="shared" si="59"/>
        <v>0</v>
      </c>
      <c r="X214" s="2">
        <f t="shared" si="60"/>
        <v>0</v>
      </c>
      <c r="Y214" s="2">
        <f t="shared" si="61"/>
        <v>0</v>
      </c>
      <c r="Z214" s="2">
        <f t="shared" si="62"/>
        <v>0</v>
      </c>
      <c r="AA214" s="2">
        <f t="shared" si="63"/>
        <v>0</v>
      </c>
      <c r="AB214" s="2">
        <f t="shared" si="64"/>
        <v>0</v>
      </c>
      <c r="AD214" s="2">
        <f t="shared" si="65"/>
        <v>0</v>
      </c>
      <c r="AE214" s="2">
        <f t="shared" si="66"/>
        <v>1</v>
      </c>
      <c r="AF214" s="2">
        <f t="shared" si="67"/>
        <v>0</v>
      </c>
      <c r="AG214" s="2">
        <f t="shared" si="68"/>
        <v>0</v>
      </c>
      <c r="AH214" s="2">
        <f t="shared" si="69"/>
        <v>0</v>
      </c>
      <c r="AI214" s="2">
        <f t="shared" si="70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930</v>
      </c>
      <c r="O215" s="31">
        <v>1</v>
      </c>
      <c r="P215" s="31"/>
      <c r="Q215" s="30"/>
      <c r="S215" s="2">
        <f t="shared" si="55"/>
        <v>0</v>
      </c>
      <c r="T215" s="2">
        <f t="shared" si="56"/>
        <v>0</v>
      </c>
      <c r="U215" s="2">
        <f t="shared" si="57"/>
        <v>1</v>
      </c>
      <c r="V215" s="2">
        <f t="shared" si="58"/>
        <v>0</v>
      </c>
      <c r="W215" s="2">
        <f t="shared" si="59"/>
        <v>0</v>
      </c>
      <c r="X215" s="2">
        <f t="shared" si="60"/>
        <v>0</v>
      </c>
      <c r="Y215" s="2">
        <f t="shared" si="61"/>
        <v>0</v>
      </c>
      <c r="Z215" s="2">
        <f t="shared" si="62"/>
        <v>0</v>
      </c>
      <c r="AA215" s="2">
        <f t="shared" si="63"/>
        <v>0</v>
      </c>
      <c r="AB215" s="2">
        <f t="shared" si="64"/>
        <v>0</v>
      </c>
      <c r="AD215" s="2">
        <f t="shared" si="65"/>
        <v>0</v>
      </c>
      <c r="AE215" s="2">
        <f t="shared" si="66"/>
        <v>1</v>
      </c>
      <c r="AF215" s="2">
        <f t="shared" si="67"/>
        <v>0</v>
      </c>
      <c r="AG215" s="2">
        <f t="shared" si="68"/>
        <v>1</v>
      </c>
      <c r="AH215" s="2">
        <f t="shared" si="69"/>
        <v>0</v>
      </c>
      <c r="AI215" s="2">
        <f t="shared" si="70"/>
        <v>1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820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935</v>
      </c>
      <c r="O216" s="31">
        <v>1</v>
      </c>
      <c r="P216" s="31"/>
      <c r="Q216" s="30"/>
      <c r="S216" s="2">
        <f t="shared" si="55"/>
        <v>0</v>
      </c>
      <c r="T216" s="2">
        <f t="shared" si="56"/>
        <v>0</v>
      </c>
      <c r="U216" s="2">
        <f t="shared" si="57"/>
        <v>0</v>
      </c>
      <c r="V216" s="2">
        <f t="shared" si="58"/>
        <v>0</v>
      </c>
      <c r="W216" s="2">
        <f t="shared" si="59"/>
        <v>0</v>
      </c>
      <c r="X216" s="2">
        <f t="shared" si="60"/>
        <v>0</v>
      </c>
      <c r="Y216" s="2">
        <f t="shared" si="61"/>
        <v>0</v>
      </c>
      <c r="Z216" s="2">
        <f t="shared" si="62"/>
        <v>0</v>
      </c>
      <c r="AA216" s="2">
        <f t="shared" si="63"/>
        <v>0</v>
      </c>
      <c r="AB216" s="2">
        <f t="shared" si="64"/>
        <v>0</v>
      </c>
      <c r="AD216" s="2">
        <f t="shared" si="65"/>
        <v>0</v>
      </c>
      <c r="AE216" s="2">
        <f t="shared" si="66"/>
        <v>1</v>
      </c>
      <c r="AF216" s="2">
        <f t="shared" si="67"/>
        <v>0</v>
      </c>
      <c r="AG216" s="2">
        <f t="shared" si="68"/>
        <v>1</v>
      </c>
      <c r="AH216" s="2">
        <f t="shared" si="69"/>
        <v>0</v>
      </c>
      <c r="AI216" s="2">
        <f t="shared" si="70"/>
        <v>1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906</v>
      </c>
      <c r="O217" s="31">
        <v>1</v>
      </c>
      <c r="P217" s="31"/>
      <c r="Q217" s="30"/>
      <c r="S217" s="2">
        <f t="shared" si="55"/>
        <v>0</v>
      </c>
      <c r="T217" s="2">
        <f t="shared" si="56"/>
        <v>0</v>
      </c>
      <c r="U217" s="2">
        <f t="shared" si="57"/>
        <v>0</v>
      </c>
      <c r="V217" s="2">
        <f t="shared" si="58"/>
        <v>0</v>
      </c>
      <c r="W217" s="2">
        <f t="shared" si="59"/>
        <v>0</v>
      </c>
      <c r="X217" s="2">
        <f t="shared" si="60"/>
        <v>1</v>
      </c>
      <c r="Y217" s="2">
        <f t="shared" si="61"/>
        <v>0</v>
      </c>
      <c r="Z217" s="2">
        <f t="shared" si="62"/>
        <v>0</v>
      </c>
      <c r="AA217" s="2">
        <f t="shared" si="63"/>
        <v>0</v>
      </c>
      <c r="AB217" s="2">
        <f t="shared" si="64"/>
        <v>0</v>
      </c>
      <c r="AD217" s="2">
        <f t="shared" si="65"/>
        <v>0</v>
      </c>
      <c r="AE217" s="2">
        <f t="shared" si="66"/>
        <v>1</v>
      </c>
      <c r="AF217" s="2">
        <f t="shared" si="67"/>
        <v>0</v>
      </c>
      <c r="AG217" s="2">
        <f t="shared" si="68"/>
        <v>1</v>
      </c>
      <c r="AH217" s="2">
        <f t="shared" si="69"/>
        <v>0</v>
      </c>
      <c r="AI217" s="2">
        <f t="shared" si="70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906</v>
      </c>
      <c r="O218" s="31">
        <v>1</v>
      </c>
      <c r="P218" s="31"/>
      <c r="Q218" s="30"/>
      <c r="S218" s="2">
        <f t="shared" si="55"/>
        <v>0</v>
      </c>
      <c r="T218" s="2">
        <f t="shared" si="56"/>
        <v>0</v>
      </c>
      <c r="U218" s="2">
        <f t="shared" si="57"/>
        <v>0</v>
      </c>
      <c r="V218" s="2">
        <f t="shared" si="58"/>
        <v>1</v>
      </c>
      <c r="W218" s="2">
        <f t="shared" si="59"/>
        <v>0</v>
      </c>
      <c r="X218" s="2">
        <f t="shared" si="60"/>
        <v>0</v>
      </c>
      <c r="Y218" s="2">
        <f t="shared" si="61"/>
        <v>0</v>
      </c>
      <c r="Z218" s="2">
        <f t="shared" si="62"/>
        <v>0</v>
      </c>
      <c r="AA218" s="2">
        <f t="shared" si="63"/>
        <v>0</v>
      </c>
      <c r="AB218" s="2">
        <f t="shared" si="64"/>
        <v>0</v>
      </c>
      <c r="AD218" s="2">
        <f t="shared" si="65"/>
        <v>0</v>
      </c>
      <c r="AE218" s="2">
        <f t="shared" si="66"/>
        <v>1</v>
      </c>
      <c r="AF218" s="2">
        <f t="shared" si="67"/>
        <v>0</v>
      </c>
      <c r="AG218" s="2">
        <f t="shared" si="68"/>
        <v>0</v>
      </c>
      <c r="AH218" s="2">
        <f t="shared" si="69"/>
        <v>0</v>
      </c>
      <c r="AI218" s="2">
        <f t="shared" si="70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899</v>
      </c>
      <c r="O219" s="31">
        <v>1</v>
      </c>
      <c r="P219" s="31"/>
      <c r="Q219" s="30"/>
      <c r="S219" s="2">
        <f t="shared" si="55"/>
        <v>0</v>
      </c>
      <c r="T219" s="2">
        <f t="shared" si="56"/>
        <v>0</v>
      </c>
      <c r="U219" s="2">
        <f t="shared" si="57"/>
        <v>0</v>
      </c>
      <c r="V219" s="2">
        <f t="shared" si="58"/>
        <v>0</v>
      </c>
      <c r="W219" s="2">
        <f t="shared" si="59"/>
        <v>0</v>
      </c>
      <c r="X219" s="2">
        <f t="shared" si="60"/>
        <v>0</v>
      </c>
      <c r="Y219" s="2">
        <f t="shared" si="61"/>
        <v>0</v>
      </c>
      <c r="Z219" s="2">
        <f t="shared" si="62"/>
        <v>0</v>
      </c>
      <c r="AA219" s="2">
        <f t="shared" si="63"/>
        <v>0</v>
      </c>
      <c r="AB219" s="2">
        <f t="shared" si="64"/>
        <v>0</v>
      </c>
      <c r="AD219" s="2">
        <f t="shared" si="65"/>
        <v>0</v>
      </c>
      <c r="AE219" s="2">
        <f t="shared" si="66"/>
        <v>1</v>
      </c>
      <c r="AF219" s="2">
        <f t="shared" si="67"/>
        <v>0</v>
      </c>
      <c r="AG219" s="2">
        <f t="shared" si="68"/>
        <v>1</v>
      </c>
      <c r="AH219" s="2">
        <f t="shared" si="69"/>
        <v>0</v>
      </c>
      <c r="AI219" s="2">
        <f t="shared" si="70"/>
        <v>1</v>
      </c>
    </row>
    <row r="220" spans="1:35" ht="14.25" customHeight="1" x14ac:dyDescent="0.25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842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929</v>
      </c>
      <c r="O220" s="34"/>
      <c r="P220" s="34"/>
      <c r="Q220" s="33"/>
      <c r="S220" s="2">
        <f t="shared" si="55"/>
        <v>0</v>
      </c>
      <c r="T220" s="2">
        <f t="shared" si="56"/>
        <v>0</v>
      </c>
      <c r="U220" s="2">
        <f t="shared" si="57"/>
        <v>1</v>
      </c>
      <c r="V220" s="2">
        <f t="shared" si="58"/>
        <v>0</v>
      </c>
      <c r="W220" s="2">
        <f t="shared" si="59"/>
        <v>0</v>
      </c>
      <c r="X220" s="2">
        <f t="shared" si="60"/>
        <v>0</v>
      </c>
      <c r="Y220" s="2">
        <f t="shared" si="61"/>
        <v>0</v>
      </c>
      <c r="Z220" s="2">
        <f t="shared" si="62"/>
        <v>0</v>
      </c>
      <c r="AA220" s="2">
        <f t="shared" si="63"/>
        <v>0</v>
      </c>
      <c r="AB220" s="2">
        <f t="shared" si="64"/>
        <v>0</v>
      </c>
      <c r="AD220" s="2">
        <f t="shared" si="65"/>
        <v>0</v>
      </c>
      <c r="AE220" s="2">
        <f t="shared" si="66"/>
        <v>0</v>
      </c>
      <c r="AF220" s="2">
        <f t="shared" si="67"/>
        <v>0</v>
      </c>
      <c r="AG220" s="2">
        <f t="shared" si="68"/>
        <v>0</v>
      </c>
      <c r="AH220" s="2">
        <f t="shared" si="69"/>
        <v>0</v>
      </c>
      <c r="AI220" s="2">
        <f t="shared" si="70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843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935</v>
      </c>
      <c r="O221" s="31">
        <v>1</v>
      </c>
      <c r="P221" s="31"/>
      <c r="Q221" s="30"/>
      <c r="S221" s="2">
        <f t="shared" si="55"/>
        <v>0</v>
      </c>
      <c r="T221" s="2">
        <f t="shared" si="56"/>
        <v>0</v>
      </c>
      <c r="U221" s="2">
        <f t="shared" si="57"/>
        <v>0</v>
      </c>
      <c r="V221" s="2">
        <f t="shared" si="58"/>
        <v>0</v>
      </c>
      <c r="W221" s="2">
        <f t="shared" si="59"/>
        <v>0</v>
      </c>
      <c r="X221" s="2">
        <f t="shared" si="60"/>
        <v>1</v>
      </c>
      <c r="Y221" s="2">
        <f t="shared" si="61"/>
        <v>0</v>
      </c>
      <c r="Z221" s="2">
        <f t="shared" si="62"/>
        <v>0</v>
      </c>
      <c r="AA221" s="2">
        <f t="shared" si="63"/>
        <v>0</v>
      </c>
      <c r="AB221" s="2">
        <f t="shared" si="64"/>
        <v>0</v>
      </c>
      <c r="AD221" s="2">
        <f t="shared" si="65"/>
        <v>0</v>
      </c>
      <c r="AE221" s="2">
        <f t="shared" si="66"/>
        <v>1</v>
      </c>
      <c r="AF221" s="2">
        <f t="shared" si="67"/>
        <v>0</v>
      </c>
      <c r="AG221" s="2">
        <f t="shared" si="68"/>
        <v>1</v>
      </c>
      <c r="AH221" s="2">
        <f t="shared" si="69"/>
        <v>0</v>
      </c>
      <c r="AI221" s="2">
        <f t="shared" si="70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929</v>
      </c>
      <c r="O222" s="34"/>
      <c r="P222" s="34"/>
      <c r="Q222" s="33"/>
      <c r="S222" s="2">
        <f t="shared" si="55"/>
        <v>0</v>
      </c>
      <c r="T222" s="2">
        <f t="shared" si="56"/>
        <v>0</v>
      </c>
      <c r="U222" s="2">
        <f t="shared" si="57"/>
        <v>0</v>
      </c>
      <c r="V222" s="2">
        <f t="shared" si="58"/>
        <v>0</v>
      </c>
      <c r="W222" s="2">
        <f t="shared" si="59"/>
        <v>0</v>
      </c>
      <c r="X222" s="2">
        <f t="shared" si="60"/>
        <v>1</v>
      </c>
      <c r="Y222" s="2">
        <f t="shared" si="61"/>
        <v>0</v>
      </c>
      <c r="Z222" s="2">
        <f t="shared" si="62"/>
        <v>0</v>
      </c>
      <c r="AA222" s="2">
        <f t="shared" si="63"/>
        <v>0</v>
      </c>
      <c r="AB222" s="2">
        <f t="shared" si="64"/>
        <v>0</v>
      </c>
      <c r="AD222" s="2">
        <f t="shared" si="65"/>
        <v>0</v>
      </c>
      <c r="AE222" s="2">
        <f t="shared" si="66"/>
        <v>0</v>
      </c>
      <c r="AF222" s="2">
        <f t="shared" si="67"/>
        <v>0</v>
      </c>
      <c r="AG222" s="2">
        <f t="shared" si="68"/>
        <v>0</v>
      </c>
      <c r="AH222" s="2">
        <f t="shared" si="69"/>
        <v>0</v>
      </c>
      <c r="AI222" s="2">
        <f t="shared" si="70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935</v>
      </c>
      <c r="O223" s="31">
        <v>1</v>
      </c>
      <c r="P223" s="31"/>
      <c r="Q223" s="30"/>
      <c r="S223" s="2">
        <f t="shared" si="55"/>
        <v>0</v>
      </c>
      <c r="T223" s="2">
        <f t="shared" si="56"/>
        <v>0</v>
      </c>
      <c r="U223" s="2">
        <f t="shared" si="57"/>
        <v>0</v>
      </c>
      <c r="V223" s="2">
        <f t="shared" si="58"/>
        <v>0</v>
      </c>
      <c r="W223" s="2">
        <f t="shared" si="59"/>
        <v>0</v>
      </c>
      <c r="X223" s="2">
        <f t="shared" si="60"/>
        <v>0</v>
      </c>
      <c r="Y223" s="2">
        <f t="shared" si="61"/>
        <v>0</v>
      </c>
      <c r="Z223" s="2">
        <f t="shared" si="62"/>
        <v>0</v>
      </c>
      <c r="AA223" s="2">
        <f t="shared" si="63"/>
        <v>0</v>
      </c>
      <c r="AB223" s="2">
        <f t="shared" si="64"/>
        <v>0</v>
      </c>
      <c r="AD223" s="2">
        <f t="shared" si="65"/>
        <v>0</v>
      </c>
      <c r="AE223" s="2">
        <f t="shared" si="66"/>
        <v>1</v>
      </c>
      <c r="AF223" s="2">
        <f t="shared" si="67"/>
        <v>0</v>
      </c>
      <c r="AG223" s="2">
        <f t="shared" si="68"/>
        <v>1</v>
      </c>
      <c r="AH223" s="2">
        <f t="shared" si="69"/>
        <v>0</v>
      </c>
      <c r="AI223" s="2">
        <f t="shared" si="70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913</v>
      </c>
      <c r="O224" s="31">
        <v>1</v>
      </c>
      <c r="P224" s="31"/>
      <c r="Q224" s="30"/>
      <c r="S224" s="2">
        <f t="shared" si="55"/>
        <v>0</v>
      </c>
      <c r="T224" s="2">
        <f t="shared" si="56"/>
        <v>0</v>
      </c>
      <c r="U224" s="2">
        <f t="shared" si="57"/>
        <v>1</v>
      </c>
      <c r="V224" s="2">
        <f t="shared" si="58"/>
        <v>0</v>
      </c>
      <c r="W224" s="2">
        <f t="shared" si="59"/>
        <v>0</v>
      </c>
      <c r="X224" s="2">
        <f t="shared" si="60"/>
        <v>0</v>
      </c>
      <c r="Y224" s="2">
        <f t="shared" si="61"/>
        <v>0</v>
      </c>
      <c r="Z224" s="2">
        <f t="shared" si="62"/>
        <v>0</v>
      </c>
      <c r="AA224" s="2">
        <f t="shared" si="63"/>
        <v>0</v>
      </c>
      <c r="AB224" s="2">
        <f t="shared" si="64"/>
        <v>0</v>
      </c>
      <c r="AD224" s="2">
        <f t="shared" si="65"/>
        <v>0</v>
      </c>
      <c r="AE224" s="2">
        <f t="shared" si="66"/>
        <v>1</v>
      </c>
      <c r="AF224" s="2">
        <f t="shared" si="67"/>
        <v>0</v>
      </c>
      <c r="AG224" s="2">
        <f t="shared" si="68"/>
        <v>1</v>
      </c>
      <c r="AH224" s="2">
        <f t="shared" si="69"/>
        <v>0</v>
      </c>
      <c r="AI224" s="2">
        <f t="shared" si="70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917</v>
      </c>
      <c r="E225" s="30" t="s">
        <v>918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893</v>
      </c>
      <c r="O225" s="31">
        <v>1</v>
      </c>
      <c r="P225" s="31">
        <v>1</v>
      </c>
      <c r="Q225" s="30"/>
      <c r="S225" s="2">
        <f t="shared" si="55"/>
        <v>0</v>
      </c>
      <c r="T225" s="2">
        <f t="shared" si="56"/>
        <v>0</v>
      </c>
      <c r="U225" s="2">
        <f t="shared" si="57"/>
        <v>0</v>
      </c>
      <c r="V225" s="2">
        <f t="shared" si="58"/>
        <v>0</v>
      </c>
      <c r="W225" s="2">
        <f t="shared" si="59"/>
        <v>0</v>
      </c>
      <c r="X225" s="2">
        <f t="shared" si="60"/>
        <v>1</v>
      </c>
      <c r="Y225" s="2">
        <f t="shared" si="61"/>
        <v>0</v>
      </c>
      <c r="Z225" s="2">
        <f t="shared" si="62"/>
        <v>0</v>
      </c>
      <c r="AA225" s="2">
        <f t="shared" si="63"/>
        <v>0</v>
      </c>
      <c r="AB225" s="2">
        <f t="shared" si="64"/>
        <v>0</v>
      </c>
      <c r="AD225" s="2">
        <f t="shared" si="65"/>
        <v>1</v>
      </c>
      <c r="AE225" s="2">
        <f t="shared" si="66"/>
        <v>0</v>
      </c>
      <c r="AF225" s="2">
        <f t="shared" si="67"/>
        <v>1</v>
      </c>
      <c r="AG225" s="2">
        <f t="shared" si="68"/>
        <v>0</v>
      </c>
      <c r="AH225" s="2">
        <f t="shared" si="69"/>
        <v>1</v>
      </c>
      <c r="AI225" s="2">
        <f t="shared" si="70"/>
        <v>0</v>
      </c>
    </row>
    <row r="226" spans="1:35" ht="14.25" customHeight="1" x14ac:dyDescent="0.25">
      <c r="A226" s="29">
        <v>1</v>
      </c>
      <c r="B226" s="29">
        <v>2</v>
      </c>
      <c r="C226" s="29">
        <v>7</v>
      </c>
      <c r="D226" s="30" t="s">
        <v>917</v>
      </c>
      <c r="E226" s="30" t="s">
        <v>918</v>
      </c>
      <c r="F226" s="30" t="s">
        <v>919</v>
      </c>
      <c r="G226" s="30" t="s">
        <v>920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893</v>
      </c>
      <c r="O226" s="31">
        <v>1</v>
      </c>
      <c r="P226" s="31">
        <v>1</v>
      </c>
      <c r="Q226" s="30"/>
      <c r="S226" s="2">
        <f t="shared" si="55"/>
        <v>0</v>
      </c>
      <c r="T226" s="2">
        <f t="shared" si="56"/>
        <v>0</v>
      </c>
      <c r="U226" s="2">
        <f t="shared" si="57"/>
        <v>0</v>
      </c>
      <c r="V226" s="2">
        <f t="shared" si="58"/>
        <v>0</v>
      </c>
      <c r="W226" s="2">
        <f t="shared" si="59"/>
        <v>0</v>
      </c>
      <c r="X226" s="2">
        <f t="shared" si="60"/>
        <v>0</v>
      </c>
      <c r="Y226" s="2">
        <f t="shared" si="61"/>
        <v>0</v>
      </c>
      <c r="Z226" s="2">
        <f t="shared" si="62"/>
        <v>0</v>
      </c>
      <c r="AA226" s="2">
        <f t="shared" si="63"/>
        <v>0</v>
      </c>
      <c r="AB226" s="2">
        <f t="shared" si="64"/>
        <v>0</v>
      </c>
      <c r="AD226" s="2">
        <f t="shared" si="65"/>
        <v>1</v>
      </c>
      <c r="AE226" s="2">
        <f t="shared" si="66"/>
        <v>0</v>
      </c>
      <c r="AF226" s="2">
        <f t="shared" si="67"/>
        <v>0</v>
      </c>
      <c r="AG226" s="2">
        <f t="shared" si="68"/>
        <v>0</v>
      </c>
      <c r="AH226" s="2">
        <f t="shared" si="69"/>
        <v>0</v>
      </c>
      <c r="AI226" s="2">
        <f t="shared" si="70"/>
        <v>0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913</v>
      </c>
      <c r="O227" s="31">
        <v>1</v>
      </c>
      <c r="P227" s="31"/>
      <c r="Q227" s="30"/>
      <c r="S227" s="2">
        <f t="shared" si="55"/>
        <v>0</v>
      </c>
      <c r="T227" s="2">
        <f t="shared" si="56"/>
        <v>0</v>
      </c>
      <c r="U227" s="2">
        <f t="shared" si="57"/>
        <v>0</v>
      </c>
      <c r="V227" s="2">
        <f t="shared" si="58"/>
        <v>0</v>
      </c>
      <c r="W227" s="2">
        <f t="shared" si="59"/>
        <v>0</v>
      </c>
      <c r="X227" s="2">
        <f t="shared" si="60"/>
        <v>0</v>
      </c>
      <c r="Y227" s="2">
        <f t="shared" si="61"/>
        <v>0</v>
      </c>
      <c r="Z227" s="2">
        <f t="shared" si="62"/>
        <v>0</v>
      </c>
      <c r="AA227" s="2">
        <f t="shared" si="63"/>
        <v>1</v>
      </c>
      <c r="AB227" s="2">
        <f t="shared" si="64"/>
        <v>0</v>
      </c>
      <c r="AD227" s="2">
        <f t="shared" si="65"/>
        <v>0</v>
      </c>
      <c r="AE227" s="2">
        <f t="shared" si="66"/>
        <v>1</v>
      </c>
      <c r="AF227" s="2">
        <f t="shared" si="67"/>
        <v>0</v>
      </c>
      <c r="AG227" s="2">
        <f t="shared" si="68"/>
        <v>1</v>
      </c>
      <c r="AH227" s="2">
        <f t="shared" si="69"/>
        <v>0</v>
      </c>
      <c r="AI227" s="2">
        <f t="shared" si="70"/>
        <v>1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913</v>
      </c>
      <c r="O228" s="31">
        <v>1</v>
      </c>
      <c r="P228" s="31"/>
      <c r="Q228" s="30" t="s">
        <v>958</v>
      </c>
      <c r="S228" s="2">
        <f t="shared" si="55"/>
        <v>0</v>
      </c>
      <c r="T228" s="2">
        <f t="shared" si="56"/>
        <v>0</v>
      </c>
      <c r="U228" s="2">
        <f t="shared" si="57"/>
        <v>0</v>
      </c>
      <c r="V228" s="2">
        <f t="shared" si="58"/>
        <v>0</v>
      </c>
      <c r="W228" s="2">
        <f t="shared" si="59"/>
        <v>0</v>
      </c>
      <c r="X228" s="2">
        <f t="shared" si="60"/>
        <v>0</v>
      </c>
      <c r="Y228" s="2">
        <f t="shared" si="61"/>
        <v>0</v>
      </c>
      <c r="Z228" s="2">
        <f t="shared" si="62"/>
        <v>0</v>
      </c>
      <c r="AA228" s="2">
        <f t="shared" si="63"/>
        <v>1</v>
      </c>
      <c r="AB228" s="2">
        <f t="shared" si="64"/>
        <v>0</v>
      </c>
      <c r="AD228" s="2">
        <f t="shared" si="65"/>
        <v>0</v>
      </c>
      <c r="AE228" s="2">
        <f t="shared" si="66"/>
        <v>1</v>
      </c>
      <c r="AF228" s="2">
        <f t="shared" si="67"/>
        <v>0</v>
      </c>
      <c r="AG228" s="2">
        <f t="shared" si="68"/>
        <v>0</v>
      </c>
      <c r="AH228" s="2">
        <f t="shared" si="69"/>
        <v>0</v>
      </c>
      <c r="AI228" s="2">
        <f t="shared" si="70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935</v>
      </c>
      <c r="O229" s="31">
        <v>1</v>
      </c>
      <c r="P229" s="31"/>
      <c r="Q229" s="30"/>
      <c r="S229" s="2">
        <f t="shared" si="55"/>
        <v>0</v>
      </c>
      <c r="T229" s="2">
        <f t="shared" si="56"/>
        <v>0</v>
      </c>
      <c r="U229" s="2">
        <f t="shared" si="57"/>
        <v>0</v>
      </c>
      <c r="V229" s="2">
        <f t="shared" si="58"/>
        <v>0</v>
      </c>
      <c r="W229" s="2">
        <f t="shared" si="59"/>
        <v>0</v>
      </c>
      <c r="X229" s="2">
        <f t="shared" si="60"/>
        <v>1</v>
      </c>
      <c r="Y229" s="2">
        <f t="shared" si="61"/>
        <v>0</v>
      </c>
      <c r="Z229" s="2">
        <f t="shared" si="62"/>
        <v>0</v>
      </c>
      <c r="AA229" s="2">
        <f t="shared" si="63"/>
        <v>0</v>
      </c>
      <c r="AB229" s="2">
        <f t="shared" si="64"/>
        <v>0</v>
      </c>
      <c r="AD229" s="2">
        <f t="shared" si="65"/>
        <v>0</v>
      </c>
      <c r="AE229" s="2">
        <f t="shared" si="66"/>
        <v>1</v>
      </c>
      <c r="AF229" s="2">
        <f t="shared" si="67"/>
        <v>0</v>
      </c>
      <c r="AG229" s="2">
        <f t="shared" si="68"/>
        <v>1</v>
      </c>
      <c r="AH229" s="2">
        <f t="shared" si="69"/>
        <v>0</v>
      </c>
      <c r="AI229" s="2">
        <f t="shared" si="70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935</v>
      </c>
      <c r="O230" s="31">
        <v>1</v>
      </c>
      <c r="P230" s="31"/>
      <c r="Q230" s="30"/>
      <c r="S230" s="2">
        <f t="shared" si="55"/>
        <v>0</v>
      </c>
      <c r="T230" s="2">
        <f t="shared" si="56"/>
        <v>0</v>
      </c>
      <c r="U230" s="2">
        <f t="shared" si="57"/>
        <v>0</v>
      </c>
      <c r="V230" s="2">
        <f t="shared" si="58"/>
        <v>0</v>
      </c>
      <c r="W230" s="2">
        <f t="shared" si="59"/>
        <v>0</v>
      </c>
      <c r="X230" s="2">
        <f t="shared" si="60"/>
        <v>0</v>
      </c>
      <c r="Y230" s="2">
        <f t="shared" si="61"/>
        <v>1</v>
      </c>
      <c r="Z230" s="2">
        <f t="shared" si="62"/>
        <v>0</v>
      </c>
      <c r="AA230" s="2">
        <f t="shared" si="63"/>
        <v>0</v>
      </c>
      <c r="AB230" s="2">
        <f t="shared" si="64"/>
        <v>0</v>
      </c>
      <c r="AD230" s="2">
        <f t="shared" si="65"/>
        <v>0</v>
      </c>
      <c r="AE230" s="2">
        <f t="shared" si="66"/>
        <v>1</v>
      </c>
      <c r="AF230" s="2">
        <f t="shared" si="67"/>
        <v>0</v>
      </c>
      <c r="AG230" s="2">
        <f t="shared" si="68"/>
        <v>0</v>
      </c>
      <c r="AH230" s="2">
        <f t="shared" si="69"/>
        <v>0</v>
      </c>
      <c r="AI230" s="2">
        <f t="shared" si="70"/>
        <v>0</v>
      </c>
    </row>
    <row r="231" spans="1:35" ht="14.25" customHeight="1" x14ac:dyDescent="0.25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935</v>
      </c>
      <c r="O231" s="31">
        <v>1</v>
      </c>
      <c r="P231" s="31"/>
      <c r="Q231" s="30"/>
      <c r="S231" s="2">
        <f t="shared" si="55"/>
        <v>0</v>
      </c>
      <c r="T231" s="2">
        <f t="shared" si="56"/>
        <v>0</v>
      </c>
      <c r="U231" s="2">
        <f t="shared" si="57"/>
        <v>0</v>
      </c>
      <c r="V231" s="2">
        <f t="shared" si="58"/>
        <v>0</v>
      </c>
      <c r="W231" s="2">
        <f t="shared" si="59"/>
        <v>0</v>
      </c>
      <c r="X231" s="2">
        <f t="shared" si="60"/>
        <v>0</v>
      </c>
      <c r="Y231" s="2">
        <f t="shared" si="61"/>
        <v>0</v>
      </c>
      <c r="Z231" s="2">
        <f t="shared" si="62"/>
        <v>0</v>
      </c>
      <c r="AA231" s="2">
        <f t="shared" si="63"/>
        <v>0</v>
      </c>
      <c r="AB231" s="2">
        <f t="shared" si="64"/>
        <v>0</v>
      </c>
      <c r="AD231" s="2">
        <f t="shared" si="65"/>
        <v>0</v>
      </c>
      <c r="AE231" s="2">
        <f t="shared" si="66"/>
        <v>1</v>
      </c>
      <c r="AF231" s="2">
        <f t="shared" si="67"/>
        <v>0</v>
      </c>
      <c r="AG231" s="2">
        <f t="shared" si="68"/>
        <v>0</v>
      </c>
      <c r="AH231" s="2">
        <f t="shared" si="69"/>
        <v>0</v>
      </c>
      <c r="AI231" s="2">
        <f t="shared" si="70"/>
        <v>0</v>
      </c>
    </row>
    <row r="232" spans="1:35" ht="14.25" customHeight="1" x14ac:dyDescent="0.25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911</v>
      </c>
      <c r="O232" s="31">
        <v>1</v>
      </c>
      <c r="P232" s="31"/>
      <c r="Q232" s="30"/>
      <c r="S232" s="2">
        <f t="shared" si="55"/>
        <v>0</v>
      </c>
      <c r="T232" s="2">
        <f t="shared" si="56"/>
        <v>0</v>
      </c>
      <c r="U232" s="2">
        <f t="shared" si="57"/>
        <v>0</v>
      </c>
      <c r="V232" s="2">
        <f t="shared" si="58"/>
        <v>0</v>
      </c>
      <c r="W232" s="2">
        <f t="shared" si="59"/>
        <v>0</v>
      </c>
      <c r="X232" s="2">
        <f t="shared" si="60"/>
        <v>0</v>
      </c>
      <c r="Y232" s="2">
        <f t="shared" si="61"/>
        <v>0</v>
      </c>
      <c r="Z232" s="2">
        <f t="shared" si="62"/>
        <v>0</v>
      </c>
      <c r="AA232" s="2">
        <f t="shared" si="63"/>
        <v>0</v>
      </c>
      <c r="AB232" s="2">
        <f t="shared" si="64"/>
        <v>0</v>
      </c>
      <c r="AD232" s="2">
        <f t="shared" si="65"/>
        <v>0</v>
      </c>
      <c r="AE232" s="2">
        <f t="shared" si="66"/>
        <v>1</v>
      </c>
      <c r="AF232" s="2">
        <f t="shared" si="67"/>
        <v>0</v>
      </c>
      <c r="AG232" s="2">
        <f t="shared" si="68"/>
        <v>1</v>
      </c>
      <c r="AH232" s="2">
        <f t="shared" si="69"/>
        <v>0</v>
      </c>
      <c r="AI232" s="2">
        <f t="shared" si="70"/>
        <v>1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911</v>
      </c>
      <c r="O233" s="31">
        <v>1</v>
      </c>
      <c r="P233" s="31"/>
      <c r="Q233" s="30"/>
      <c r="S233" s="2">
        <f t="shared" si="55"/>
        <v>0</v>
      </c>
      <c r="T233" s="2">
        <f t="shared" si="56"/>
        <v>0</v>
      </c>
      <c r="U233" s="2">
        <f t="shared" si="57"/>
        <v>0</v>
      </c>
      <c r="V233" s="2">
        <f t="shared" si="58"/>
        <v>0</v>
      </c>
      <c r="W233" s="2">
        <f t="shared" si="59"/>
        <v>0</v>
      </c>
      <c r="X233" s="2">
        <f t="shared" si="60"/>
        <v>0</v>
      </c>
      <c r="Y233" s="2">
        <f t="shared" si="61"/>
        <v>0</v>
      </c>
      <c r="Z233" s="2">
        <f t="shared" si="62"/>
        <v>0</v>
      </c>
      <c r="AA233" s="2">
        <f t="shared" si="63"/>
        <v>0</v>
      </c>
      <c r="AB233" s="2">
        <f t="shared" si="64"/>
        <v>0</v>
      </c>
      <c r="AD233" s="2">
        <f t="shared" si="65"/>
        <v>0</v>
      </c>
      <c r="AE233" s="2">
        <f t="shared" si="66"/>
        <v>1</v>
      </c>
      <c r="AF233" s="2">
        <f t="shared" si="67"/>
        <v>0</v>
      </c>
      <c r="AG233" s="2">
        <f t="shared" si="68"/>
        <v>0</v>
      </c>
      <c r="AH233" s="2">
        <f t="shared" si="69"/>
        <v>0</v>
      </c>
      <c r="AI233" s="2">
        <f t="shared" si="70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913</v>
      </c>
      <c r="O234" s="31">
        <v>1</v>
      </c>
      <c r="P234" s="31"/>
      <c r="Q234" s="30"/>
      <c r="S234" s="2">
        <f t="shared" si="55"/>
        <v>0</v>
      </c>
      <c r="T234" s="2">
        <f t="shared" si="56"/>
        <v>0</v>
      </c>
      <c r="U234" s="2">
        <f t="shared" si="57"/>
        <v>0</v>
      </c>
      <c r="V234" s="2">
        <f t="shared" si="58"/>
        <v>0</v>
      </c>
      <c r="W234" s="2">
        <f t="shared" si="59"/>
        <v>1</v>
      </c>
      <c r="X234" s="2">
        <f t="shared" si="60"/>
        <v>0</v>
      </c>
      <c r="Y234" s="2">
        <f t="shared" si="61"/>
        <v>0</v>
      </c>
      <c r="Z234" s="2">
        <f t="shared" si="62"/>
        <v>0</v>
      </c>
      <c r="AA234" s="2">
        <f t="shared" si="63"/>
        <v>0</v>
      </c>
      <c r="AB234" s="2">
        <f t="shared" si="64"/>
        <v>0</v>
      </c>
      <c r="AD234" s="2">
        <f t="shared" si="65"/>
        <v>0</v>
      </c>
      <c r="AE234" s="2">
        <f t="shared" si="66"/>
        <v>1</v>
      </c>
      <c r="AF234" s="2">
        <f t="shared" si="67"/>
        <v>0</v>
      </c>
      <c r="AG234" s="2">
        <f t="shared" si="68"/>
        <v>1</v>
      </c>
      <c r="AH234" s="2">
        <f t="shared" si="69"/>
        <v>0</v>
      </c>
      <c r="AI234" s="2">
        <f t="shared" si="70"/>
        <v>1</v>
      </c>
    </row>
    <row r="235" spans="1:35" ht="14.25" customHeight="1" x14ac:dyDescent="0.25">
      <c r="A235" s="29">
        <v>0</v>
      </c>
      <c r="B235" s="29">
        <v>2</v>
      </c>
      <c r="C235" s="29">
        <v>7</v>
      </c>
      <c r="D235" s="30" t="s">
        <v>59</v>
      </c>
      <c r="E235" s="30" t="s">
        <v>87</v>
      </c>
      <c r="F235" s="30" t="s">
        <v>351</v>
      </c>
      <c r="G235" s="30" t="s">
        <v>103</v>
      </c>
      <c r="H235" s="30" t="s">
        <v>165</v>
      </c>
      <c r="I235" s="29" t="s">
        <v>350</v>
      </c>
      <c r="J235" s="29">
        <v>6</v>
      </c>
      <c r="K235" s="29" t="s">
        <v>320</v>
      </c>
      <c r="L235" s="29" t="s">
        <v>336</v>
      </c>
      <c r="M235" s="30" t="s">
        <v>275</v>
      </c>
      <c r="N235" s="30" t="s">
        <v>901</v>
      </c>
      <c r="O235" s="31">
        <v>1</v>
      </c>
      <c r="P235" s="31"/>
      <c r="Q235" s="30"/>
      <c r="S235" s="2">
        <f t="shared" si="55"/>
        <v>0</v>
      </c>
      <c r="T235" s="2">
        <f t="shared" si="56"/>
        <v>0</v>
      </c>
      <c r="U235" s="2">
        <f t="shared" si="57"/>
        <v>0</v>
      </c>
      <c r="V235" s="2">
        <f t="shared" si="58"/>
        <v>0</v>
      </c>
      <c r="W235" s="2">
        <f t="shared" si="59"/>
        <v>0</v>
      </c>
      <c r="X235" s="2">
        <f t="shared" si="60"/>
        <v>1</v>
      </c>
      <c r="Y235" s="2">
        <f t="shared" si="61"/>
        <v>0</v>
      </c>
      <c r="Z235" s="2">
        <f t="shared" si="62"/>
        <v>0</v>
      </c>
      <c r="AA235" s="2">
        <f t="shared" si="63"/>
        <v>0</v>
      </c>
      <c r="AB235" s="2">
        <f t="shared" si="64"/>
        <v>0</v>
      </c>
      <c r="AD235" s="2">
        <f t="shared" si="65"/>
        <v>0</v>
      </c>
      <c r="AE235" s="2">
        <f t="shared" si="66"/>
        <v>1</v>
      </c>
      <c r="AF235" s="2">
        <f t="shared" si="67"/>
        <v>0</v>
      </c>
      <c r="AG235" s="2">
        <f t="shared" si="68"/>
        <v>1</v>
      </c>
      <c r="AH235" s="2">
        <f t="shared" si="69"/>
        <v>0</v>
      </c>
      <c r="AI235" s="2">
        <f t="shared" si="70"/>
        <v>1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59</v>
      </c>
      <c r="E236" s="30" t="s">
        <v>87</v>
      </c>
      <c r="F236" s="30" t="s">
        <v>123</v>
      </c>
      <c r="G236" s="30" t="s">
        <v>124</v>
      </c>
      <c r="H236" s="30" t="s">
        <v>165</v>
      </c>
      <c r="I236" s="29" t="s">
        <v>180</v>
      </c>
      <c r="J236" s="29">
        <v>7</v>
      </c>
      <c r="K236" s="29" t="s">
        <v>320</v>
      </c>
      <c r="L236" s="29" t="s">
        <v>336</v>
      </c>
      <c r="M236" s="30" t="s">
        <v>275</v>
      </c>
      <c r="N236" s="30" t="s">
        <v>901</v>
      </c>
      <c r="O236" s="31">
        <v>1</v>
      </c>
      <c r="P236" s="31"/>
      <c r="Q236" s="30"/>
      <c r="S236" s="2">
        <f t="shared" si="55"/>
        <v>0</v>
      </c>
      <c r="T236" s="2">
        <f t="shared" si="56"/>
        <v>0</v>
      </c>
      <c r="U236" s="2">
        <f t="shared" si="57"/>
        <v>0</v>
      </c>
      <c r="V236" s="2">
        <f t="shared" si="58"/>
        <v>0</v>
      </c>
      <c r="W236" s="2">
        <f t="shared" si="59"/>
        <v>0</v>
      </c>
      <c r="X236" s="2">
        <f t="shared" si="60"/>
        <v>0</v>
      </c>
      <c r="Y236" s="2">
        <f t="shared" si="61"/>
        <v>1</v>
      </c>
      <c r="Z236" s="2">
        <f t="shared" si="62"/>
        <v>0</v>
      </c>
      <c r="AA236" s="2">
        <f t="shared" si="63"/>
        <v>0</v>
      </c>
      <c r="AB236" s="2">
        <f t="shared" si="64"/>
        <v>0</v>
      </c>
      <c r="AD236" s="2">
        <f t="shared" si="65"/>
        <v>0</v>
      </c>
      <c r="AE236" s="2">
        <f t="shared" si="66"/>
        <v>1</v>
      </c>
      <c r="AF236" s="2">
        <f t="shared" si="67"/>
        <v>0</v>
      </c>
      <c r="AG236" s="2">
        <f t="shared" si="68"/>
        <v>0</v>
      </c>
      <c r="AH236" s="2">
        <f t="shared" si="69"/>
        <v>0</v>
      </c>
      <c r="AI236" s="2">
        <f t="shared" si="70"/>
        <v>0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59</v>
      </c>
      <c r="E237" s="30" t="s">
        <v>87</v>
      </c>
      <c r="F237" s="30" t="s">
        <v>348</v>
      </c>
      <c r="G237" s="30" t="s">
        <v>93</v>
      </c>
      <c r="H237" s="30" t="s">
        <v>165</v>
      </c>
      <c r="I237" s="29" t="s">
        <v>349</v>
      </c>
      <c r="J237" s="29">
        <v>8</v>
      </c>
      <c r="K237" s="29" t="s">
        <v>320</v>
      </c>
      <c r="L237" s="29" t="s">
        <v>336</v>
      </c>
      <c r="M237" s="30" t="s">
        <v>275</v>
      </c>
      <c r="N237" s="30" t="s">
        <v>901</v>
      </c>
      <c r="O237" s="31">
        <v>1</v>
      </c>
      <c r="P237" s="31"/>
      <c r="Q237" s="30"/>
      <c r="S237" s="2">
        <f t="shared" si="55"/>
        <v>0</v>
      </c>
      <c r="T237" s="2">
        <f t="shared" si="56"/>
        <v>0</v>
      </c>
      <c r="U237" s="2">
        <f t="shared" si="57"/>
        <v>0</v>
      </c>
      <c r="V237" s="2">
        <f t="shared" si="58"/>
        <v>0</v>
      </c>
      <c r="W237" s="2">
        <f t="shared" si="59"/>
        <v>0</v>
      </c>
      <c r="X237" s="2">
        <f t="shared" si="60"/>
        <v>0</v>
      </c>
      <c r="Y237" s="2">
        <f t="shared" si="61"/>
        <v>0</v>
      </c>
      <c r="Z237" s="2">
        <f t="shared" si="62"/>
        <v>1</v>
      </c>
      <c r="AA237" s="2">
        <f t="shared" si="63"/>
        <v>0</v>
      </c>
      <c r="AB237" s="2">
        <f t="shared" si="64"/>
        <v>0</v>
      </c>
      <c r="AD237" s="2">
        <f t="shared" si="65"/>
        <v>0</v>
      </c>
      <c r="AE237" s="2">
        <f t="shared" si="66"/>
        <v>1</v>
      </c>
      <c r="AF237" s="2">
        <f t="shared" si="67"/>
        <v>0</v>
      </c>
      <c r="AG237" s="2">
        <f t="shared" si="68"/>
        <v>0</v>
      </c>
      <c r="AH237" s="2">
        <f t="shared" si="69"/>
        <v>0</v>
      </c>
      <c r="AI237" s="2">
        <f t="shared" si="70"/>
        <v>0</v>
      </c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2026-09-17T09:29:48Z</dcterms:modified>
</cp:coreProperties>
</file>