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32E69E2-A535-40F9-BF4E-1087F475B68B}" xr6:coauthVersionLast="47" xr6:coauthVersionMax="47" xr10:uidLastSave="{00000000-0000-0000-0000-000000000000}"/>
  <bookViews>
    <workbookView xWindow="-108" yWindow="-108" windowWidth="23256" windowHeight="12576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5" i="6" l="1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232" i="6" l="1"/>
  <c r="T233" i="6"/>
  <c r="T237" i="6"/>
  <c r="T236" i="6"/>
  <c r="T235" i="6"/>
  <c r="T234" i="6"/>
  <c r="T231" i="6"/>
  <c r="T104" i="6"/>
  <c r="T224" i="6"/>
  <c r="T74" i="6"/>
  <c r="T60" i="6"/>
  <c r="T96" i="6"/>
  <c r="T225" i="6"/>
  <c r="T215" i="6"/>
  <c r="T211" i="6"/>
  <c r="T207" i="6"/>
  <c r="T199" i="6"/>
  <c r="T195" i="6"/>
  <c r="T191" i="6"/>
  <c r="T187" i="6"/>
  <c r="T219" i="6"/>
  <c r="T203" i="6"/>
  <c r="T230" i="6"/>
  <c r="T229" i="6"/>
  <c r="T228" i="6"/>
  <c r="T227" i="6"/>
  <c r="T226" i="6"/>
  <c r="T220" i="6"/>
  <c r="T216" i="6"/>
  <c r="T212" i="6"/>
  <c r="T208" i="6"/>
  <c r="T204" i="6"/>
  <c r="T200" i="6"/>
  <c r="T196" i="6"/>
  <c r="T192" i="6"/>
  <c r="T188" i="6"/>
  <c r="T1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91" i="6"/>
  <c r="T98" i="6"/>
  <c r="T106" i="6"/>
  <c r="T93" i="6"/>
  <c r="T103" i="6"/>
  <c r="T63" i="6"/>
  <c r="T111" i="6"/>
  <c r="T88" i="6"/>
  <c r="T100" i="6"/>
  <c r="T108" i="6"/>
  <c r="T114" i="6"/>
  <c r="T77" i="6"/>
  <c r="T55" i="6"/>
  <c r="T105" i="6"/>
  <c r="T83" i="6"/>
  <c r="T90" i="6"/>
  <c r="T102" i="6"/>
  <c r="T110" i="6"/>
  <c r="T113" i="6"/>
  <c r="T72" i="6"/>
  <c r="T99" i="6"/>
  <c r="T107" i="6"/>
  <c r="T101" i="6"/>
  <c r="T217" i="6"/>
  <c r="T197" i="6"/>
  <c r="T193" i="6"/>
  <c r="T189" i="6"/>
  <c r="T185" i="6"/>
  <c r="T222" i="6"/>
  <c r="T221" i="6"/>
  <c r="T213" i="6"/>
  <c r="T209" i="6"/>
  <c r="T205" i="6"/>
  <c r="T201" i="6"/>
  <c r="T109" i="6"/>
  <c r="T223" i="6"/>
  <c r="T218" i="6"/>
  <c r="T214" i="6"/>
  <c r="T210" i="6"/>
  <c r="T206" i="6"/>
  <c r="T202" i="6"/>
  <c r="T198" i="6"/>
  <c r="T194" i="6"/>
  <c r="T190" i="6"/>
  <c r="T186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31" i="6" l="1"/>
  <c r="U232" i="6"/>
  <c r="U233" i="6"/>
  <c r="U234" i="6"/>
  <c r="U235" i="6"/>
  <c r="U236" i="6"/>
  <c r="U237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86" i="6"/>
  <c r="U88" i="6"/>
  <c r="U83" i="6"/>
  <c r="U94" i="6"/>
  <c r="U72" i="6"/>
  <c r="U85" i="6"/>
  <c r="U224" i="6"/>
  <c r="U203" i="6"/>
  <c r="U217" i="6"/>
  <c r="U211" i="6"/>
  <c r="U186" i="6"/>
  <c r="U190" i="6"/>
  <c r="U194" i="6"/>
  <c r="U198" i="6"/>
  <c r="U202" i="6"/>
  <c r="U206" i="6"/>
  <c r="U210" i="6"/>
  <c r="U214" i="6"/>
  <c r="U218" i="6"/>
  <c r="U223" i="6"/>
  <c r="U219" i="6"/>
  <c r="U222" i="6"/>
  <c r="U185" i="6"/>
  <c r="U189" i="6"/>
  <c r="U193" i="6"/>
  <c r="U197" i="6"/>
  <c r="U201" i="6"/>
  <c r="U205" i="6"/>
  <c r="U209" i="6"/>
  <c r="U213" i="6"/>
  <c r="U195" i="6"/>
  <c r="U207" i="6"/>
  <c r="U221" i="6"/>
  <c r="U225" i="6"/>
  <c r="U188" i="6"/>
  <c r="U192" i="6"/>
  <c r="U196" i="6"/>
  <c r="U200" i="6"/>
  <c r="U204" i="6"/>
  <c r="U208" i="6"/>
  <c r="U212" i="6"/>
  <c r="U216" i="6"/>
  <c r="U220" i="6"/>
  <c r="U191" i="6"/>
  <c r="U78" i="6"/>
  <c r="U227" i="6"/>
  <c r="U229" i="6"/>
  <c r="U187" i="6"/>
  <c r="U199" i="6"/>
  <c r="U226" i="6"/>
  <c r="U228" i="6"/>
  <c r="U230" i="6"/>
  <c r="U215" i="6"/>
  <c r="T5" i="6"/>
  <c r="U8" i="6"/>
  <c r="U11" i="6"/>
  <c r="V7" i="6"/>
  <c r="U12" i="6"/>
  <c r="U10" i="6"/>
  <c r="U9" i="6"/>
  <c r="H4" i="6"/>
  <c r="H3" i="6"/>
  <c r="E5" i="6"/>
  <c r="F5" i="6"/>
  <c r="G5" i="6"/>
  <c r="V231" i="6" l="1"/>
  <c r="V232" i="6"/>
  <c r="V233" i="6"/>
  <c r="V234" i="6"/>
  <c r="V235" i="6"/>
  <c r="V236" i="6"/>
  <c r="V237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223" i="6"/>
  <c r="V224" i="6"/>
  <c r="V97" i="6"/>
  <c r="V227" i="6"/>
  <c r="V225" i="6"/>
  <c r="V229" i="6"/>
  <c r="V226" i="6"/>
  <c r="V228" i="6"/>
  <c r="V230" i="6"/>
  <c r="V9" i="6"/>
  <c r="V11" i="6"/>
  <c r="V8" i="6"/>
  <c r="V10" i="6"/>
  <c r="W7" i="6"/>
  <c r="V12" i="6"/>
  <c r="U5" i="6"/>
  <c r="H5" i="6"/>
  <c r="W231" i="6" l="1"/>
  <c r="W232" i="6"/>
  <c r="W233" i="6"/>
  <c r="W234" i="6"/>
  <c r="W235" i="6"/>
  <c r="W236" i="6"/>
  <c r="W237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98" i="6"/>
  <c r="W106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103" i="6"/>
  <c r="W111" i="6"/>
  <c r="W100" i="6"/>
  <c r="W108" i="6"/>
  <c r="W114" i="6"/>
  <c r="W105" i="6"/>
  <c r="W102" i="6"/>
  <c r="W110" i="6"/>
  <c r="W94" i="6"/>
  <c r="W113" i="6"/>
  <c r="W99" i="6"/>
  <c r="W107" i="6"/>
  <c r="W229" i="6"/>
  <c r="W228" i="6"/>
  <c r="W227" i="6"/>
  <c r="W230" i="6"/>
  <c r="W104" i="6"/>
  <c r="W226" i="6"/>
  <c r="V5" i="6"/>
  <c r="W11" i="6"/>
  <c r="W10" i="6"/>
  <c r="W12" i="6"/>
  <c r="W8" i="6"/>
  <c r="X7" i="6"/>
  <c r="W9" i="6"/>
  <c r="X231" i="6" l="1"/>
  <c r="X232" i="6"/>
  <c r="X233" i="6"/>
  <c r="X234" i="6"/>
  <c r="X235" i="6"/>
  <c r="X236" i="6"/>
  <c r="X237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5" i="6"/>
  <c r="X226" i="6"/>
  <c r="X227" i="6"/>
  <c r="X228" i="6"/>
  <c r="X229" i="6"/>
  <c r="X230" i="6"/>
  <c r="X224" i="6"/>
  <c r="X223" i="6"/>
  <c r="X222" i="6"/>
  <c r="X12" i="6"/>
  <c r="X10" i="6"/>
  <c r="X11" i="6"/>
  <c r="X8" i="6"/>
  <c r="X9" i="6"/>
  <c r="Y7" i="6"/>
  <c r="W5" i="6"/>
  <c r="Y231" i="6" l="1"/>
  <c r="Y232" i="6"/>
  <c r="Y233" i="6"/>
  <c r="Y234" i="6"/>
  <c r="Y235" i="6"/>
  <c r="Y236" i="6"/>
  <c r="Y237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79" i="6"/>
  <c r="Y96" i="6"/>
  <c r="Y53" i="6"/>
  <c r="Y58" i="6"/>
  <c r="Y66" i="6"/>
  <c r="Y69" i="6"/>
  <c r="Y84" i="6"/>
  <c r="Y80" i="6"/>
  <c r="Y73" i="6"/>
  <c r="Y95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63" i="6"/>
  <c r="Y55" i="6"/>
  <c r="Y83" i="6"/>
  <c r="Y94" i="6"/>
  <c r="Y225" i="6"/>
  <c r="Y226" i="6"/>
  <c r="Y227" i="6"/>
  <c r="Y228" i="6"/>
  <c r="Y229" i="6"/>
  <c r="Y230" i="6"/>
  <c r="Y224" i="6"/>
  <c r="Y220" i="6"/>
  <c r="Y222" i="6"/>
  <c r="Y221" i="6"/>
  <c r="Y223" i="6"/>
  <c r="Y89" i="6"/>
  <c r="Y78" i="6"/>
  <c r="Y12" i="6"/>
  <c r="Y10" i="6"/>
  <c r="Y9" i="6"/>
  <c r="Y11" i="6"/>
  <c r="Y8" i="6"/>
  <c r="Z7" i="6"/>
  <c r="X5" i="6"/>
  <c r="Z231" i="6" l="1"/>
  <c r="Z232" i="6"/>
  <c r="Z233" i="6"/>
  <c r="Z234" i="6"/>
  <c r="Z235" i="6"/>
  <c r="Z236" i="6"/>
  <c r="Z237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12" i="6"/>
  <c r="Z84" i="6"/>
  <c r="Z91" i="6"/>
  <c r="Z69" i="6"/>
  <c r="Z73" i="6"/>
  <c r="Z95" i="6"/>
  <c r="Z111" i="6"/>
  <c r="Z75" i="6"/>
  <c r="Z114" i="6"/>
  <c r="Z92" i="6"/>
  <c r="Z110" i="6"/>
  <c r="Z70" i="6"/>
  <c r="Z113" i="6"/>
  <c r="Z208" i="6"/>
  <c r="Z225" i="6"/>
  <c r="Z226" i="6"/>
  <c r="Z227" i="6"/>
  <c r="Z228" i="6"/>
  <c r="Z229" i="6"/>
  <c r="Z230" i="6"/>
  <c r="Z214" i="6"/>
  <c r="Z218" i="6"/>
  <c r="Z188" i="6"/>
  <c r="Z211" i="6"/>
  <c r="Z186" i="6"/>
  <c r="Z190" i="6"/>
  <c r="Z194" i="6"/>
  <c r="Z198" i="6"/>
  <c r="Z202" i="6"/>
  <c r="Z206" i="6"/>
  <c r="Z210" i="6"/>
  <c r="Z224" i="6"/>
  <c r="Z223" i="6"/>
  <c r="Z212" i="6"/>
  <c r="Z195" i="6"/>
  <c r="Z192" i="6"/>
  <c r="Z204" i="6"/>
  <c r="Z203" i="6"/>
  <c r="Z200" i="6"/>
  <c r="Z185" i="6"/>
  <c r="Z189" i="6"/>
  <c r="Z193" i="6"/>
  <c r="Z197" i="6"/>
  <c r="Z201" i="6"/>
  <c r="Z205" i="6"/>
  <c r="Z209" i="6"/>
  <c r="Z213" i="6"/>
  <c r="Z217" i="6"/>
  <c r="Z222" i="6"/>
  <c r="Z191" i="6"/>
  <c r="Z219" i="6"/>
  <c r="Z221" i="6"/>
  <c r="Z196" i="6"/>
  <c r="Z216" i="6"/>
  <c r="Z187" i="6"/>
  <c r="Z199" i="6"/>
  <c r="Z207" i="6"/>
  <c r="Z215" i="6"/>
  <c r="Z220" i="6"/>
  <c r="Z89" i="6"/>
  <c r="Z8" i="6"/>
  <c r="Z10" i="6"/>
  <c r="AA7" i="6"/>
  <c r="Z11" i="6"/>
  <c r="Z9" i="6"/>
  <c r="Z12" i="6"/>
  <c r="Y5" i="6"/>
  <c r="AA231" i="6" l="1"/>
  <c r="AA232" i="6"/>
  <c r="AA233" i="6"/>
  <c r="AA234" i="6"/>
  <c r="AA235" i="6"/>
  <c r="AA236" i="6"/>
  <c r="AA237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89" i="6"/>
  <c r="AA84" i="6"/>
  <c r="AA86" i="6"/>
  <c r="AA73" i="6"/>
  <c r="AA95" i="6"/>
  <c r="AA79" i="6"/>
  <c r="AA96" i="6"/>
  <c r="AA187" i="6"/>
  <c r="AA191" i="6"/>
  <c r="AA195" i="6"/>
  <c r="AA199" i="6"/>
  <c r="AA203" i="6"/>
  <c r="AA207" i="6"/>
  <c r="AA211" i="6"/>
  <c r="AA215" i="6"/>
  <c r="AA219" i="6"/>
  <c r="AA201" i="6"/>
  <c r="AA225" i="6"/>
  <c r="AA227" i="6"/>
  <c r="AA229" i="6"/>
  <c r="AA193" i="6"/>
  <c r="AA205" i="6"/>
  <c r="AA222" i="6"/>
  <c r="AA226" i="6"/>
  <c r="AA228" i="6"/>
  <c r="AA230" i="6"/>
  <c r="AA186" i="6"/>
  <c r="AA190" i="6"/>
  <c r="AA194" i="6"/>
  <c r="AA198" i="6"/>
  <c r="AA202" i="6"/>
  <c r="AA206" i="6"/>
  <c r="AA210" i="6"/>
  <c r="AA214" i="6"/>
  <c r="AA218" i="6"/>
  <c r="AA224" i="6"/>
  <c r="AA223" i="6"/>
  <c r="AA197" i="6"/>
  <c r="AA213" i="6"/>
  <c r="AA189" i="6"/>
  <c r="AA209" i="6"/>
  <c r="AA185" i="6"/>
  <c r="AA217" i="6"/>
  <c r="AA221" i="6"/>
  <c r="AA188" i="6"/>
  <c r="AA192" i="6"/>
  <c r="AA196" i="6"/>
  <c r="AA200" i="6"/>
  <c r="AA204" i="6"/>
  <c r="AA208" i="6"/>
  <c r="AA212" i="6"/>
  <c r="AA216" i="6"/>
  <c r="AA220" i="6"/>
  <c r="AA87" i="6"/>
  <c r="Z5" i="6"/>
  <c r="AA9" i="6"/>
  <c r="AA12" i="6"/>
  <c r="AA8" i="6"/>
  <c r="AB7" i="6"/>
  <c r="AA10" i="6"/>
  <c r="AA11" i="6"/>
  <c r="AB231" i="6" l="1"/>
  <c r="AB232" i="6"/>
  <c r="AB233" i="6"/>
  <c r="AB234" i="6"/>
  <c r="AB235" i="6"/>
  <c r="AB236" i="6"/>
  <c r="AB237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01" i="6"/>
  <c r="AB109" i="6"/>
  <c r="AB112" i="6"/>
  <c r="AB98" i="6"/>
  <c r="AB106" i="6"/>
  <c r="AB67" i="6"/>
  <c r="AB69" i="6"/>
  <c r="AB84" i="6"/>
  <c r="AB103" i="6"/>
  <c r="AB63" i="6"/>
  <c r="AB100" i="6"/>
  <c r="AB108" i="6"/>
  <c r="AB111" i="6"/>
  <c r="AB55" i="6"/>
  <c r="AB79" i="6"/>
  <c r="AB81" i="6"/>
  <c r="AB90" i="6"/>
  <c r="AB97" i="6"/>
  <c r="AB105" i="6"/>
  <c r="AB102" i="6"/>
  <c r="AB66" i="6"/>
  <c r="AB110" i="6"/>
  <c r="AB113" i="6"/>
  <c r="AB187" i="6"/>
  <c r="AB191" i="6"/>
  <c r="AB195" i="6"/>
  <c r="AB199" i="6"/>
  <c r="AB203" i="6"/>
  <c r="AB207" i="6"/>
  <c r="AB211" i="6"/>
  <c r="AB215" i="6"/>
  <c r="AB219" i="6"/>
  <c r="AB186" i="6"/>
  <c r="AB190" i="6"/>
  <c r="AB194" i="6"/>
  <c r="AB198" i="6"/>
  <c r="AB218" i="6"/>
  <c r="AB223" i="6"/>
  <c r="AB107" i="6"/>
  <c r="AB202" i="6"/>
  <c r="AB206" i="6"/>
  <c r="AB221" i="6"/>
  <c r="AB74" i="6"/>
  <c r="AB225" i="6"/>
  <c r="AB226" i="6"/>
  <c r="AB227" i="6"/>
  <c r="AB228" i="6"/>
  <c r="AB229" i="6"/>
  <c r="AB230" i="6"/>
  <c r="AB210" i="6"/>
  <c r="AB214" i="6"/>
  <c r="AB224" i="6"/>
  <c r="AB99" i="6"/>
  <c r="AB220" i="6"/>
  <c r="AB114" i="6"/>
  <c r="AB185" i="6"/>
  <c r="AB189" i="6"/>
  <c r="AB193" i="6"/>
  <c r="AB197" i="6"/>
  <c r="AB201" i="6"/>
  <c r="AB205" i="6"/>
  <c r="AB209" i="6"/>
  <c r="AB213" i="6"/>
  <c r="AB217" i="6"/>
  <c r="AB222" i="6"/>
  <c r="AB58" i="6"/>
  <c r="AB216" i="6"/>
  <c r="AB104" i="6"/>
  <c r="AB188" i="6"/>
  <c r="AB192" i="6"/>
  <c r="AB196" i="6"/>
  <c r="AB200" i="6"/>
  <c r="AB204" i="6"/>
  <c r="AB208" i="6"/>
  <c r="AB212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<sst xmlns="http://schemas.openxmlformats.org/spreadsheetml/2006/main" count="2202" uniqueCount="1003">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</sst>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163" activePane="bottomLeft" state="frozen"/>
      <selection pane="bottomLeft" activeCell="J242" sqref="J242"/>
    </sheetView>
  </sheetViews>
  <sheetFormatPr defaultColWidth="9.109375" defaultRowHeight="14.25" customHeight="1" x14ac:dyDescent="0.25"/>
  <cols>
    <col min="1" max="1" width="4.109375" style="2" customWidth="1"/>
    <col min="2" max="3" width="6.33203125" style="2" customWidth="1"/>
    <col min="4" max="4" width="35.109375" style="3" customWidth="1"/>
    <col min="5" max="5" width="24.109375" style="2" customWidth="1"/>
    <col min="6" max="6" width="25.33203125" style="3" customWidth="1"/>
    <col min="7" max="7" width="16.6640625" style="2" customWidth="1"/>
    <col min="8" max="8" width="12.33203125" style="2" customWidth="1"/>
    <col min="9" max="9" width="16.109375" style="2" customWidth="1"/>
    <col min="10" max="11" width="8.33203125" style="2" customWidth="1"/>
    <col min="12" max="12" width="10.109375" style="14" customWidth="1"/>
    <col min="13" max="13" width="29" style="15" customWidth="1"/>
    <col min="14" max="14" width="17.44140625" style="3" customWidth="1"/>
    <col min="15" max="15" width="7.109375" style="2" customWidth="1"/>
    <col min="16" max="16" width="7" style="2" customWidth="1"/>
    <col min="17" max="17" width="12.33203125" style="2" customWidth="1"/>
    <col min="18" max="18" width="7.44140625" style="2" customWidth="1"/>
    <col min="19" max="19" width="9.33203125" style="2" customWidth="1"/>
    <col min="20" max="20" width="8.33203125" style="2" customWidth="1"/>
    <col min="21" max="21" width="5.6640625" style="2" customWidth="1"/>
    <col min="22" max="27" width="9.44140625" style="2" bestFit="1" customWidth="1"/>
    <col min="28" max="28" width="10.88671875" style="2" bestFit="1" customWidth="1"/>
    <col min="29" max="29" width="7" style="2" customWidth="1"/>
    <col min="30" max="30" width="21.88671875" style="2" customWidth="1"/>
    <col min="31" max="31" width="27.33203125" style="2" customWidth="1"/>
    <col min="32" max="32" width="14.33203125" style="2" customWidth="1"/>
    <col min="33" max="33" width="19.88671875" style="2" customWidth="1"/>
    <col min="34" max="34" width="15.109375" style="2" customWidth="1"/>
    <col min="35" max="35" width="18.109375" style="2" customWidth="1"/>
    <col min="36" max="16384" width="9.109375" style="3"/>
  </cols>
  <sheetData>
    <row r="1" spans="1:35" ht="14.25" customHeight="1" x14ac:dyDescent="0.25">
      <c r="F1" s="2"/>
    </row>
    <row r="2" spans="1:35" ht="14.25" customHeight="1" x14ac:dyDescent="0.25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5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3">
      <c r="D4" s="18" t="s">
        <v>3</v>
      </c>
      <c r="E4" s="9">
        <f>+AI6</f>
        <v>141</v>
      </c>
      <c r="F4" s="9">
        <f>+AE6</f>
        <v>87</v>
      </c>
      <c r="G4" s="9">
        <f>+AG6</f>
        <v>68</v>
      </c>
      <c r="H4" s="7">
        <f>+E4-G4</f>
        <v>73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5">
      <c r="D5" s="19" t="s">
        <v>12</v>
      </c>
      <c r="E5" s="11">
        <f>+E3+E4</f>
        <v>192</v>
      </c>
      <c r="F5" s="11">
        <f>+F3+F4</f>
        <v>146</v>
      </c>
      <c r="G5" s="11">
        <f>+G3+G4</f>
        <v>114</v>
      </c>
      <c r="H5" s="11">
        <f>+H3+H4</f>
        <v>78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5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87</v>
      </c>
      <c r="AF6" s="2">
        <f t="shared" si="1"/>
        <v>46</v>
      </c>
      <c r="AG6" s="2">
        <f t="shared" si="1"/>
        <v>68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3">
      <c r="A7" s="35" t="s">
        <v>707</v>
      </c>
      <c r="B7" s="35" t="s">
        <v>704</v>
      </c>
      <c r="C7" s="35" t="s">
        <v>705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862</v>
      </c>
      <c r="L7" s="35" t="s">
        <v>19</v>
      </c>
      <c r="M7" s="36" t="s">
        <v>706</v>
      </c>
      <c r="N7" s="37" t="s">
        <v>0</v>
      </c>
      <c r="O7" s="36" t="s">
        <v>1</v>
      </c>
      <c r="P7" s="36" t="s">
        <v>2</v>
      </c>
      <c r="Q7" s="36" t="s">
        <v>957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3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205</v>
      </c>
      <c r="M8" s="30" t="s">
        <v>877</v>
      </c>
      <c r="N8" s="30" t="s">
        <v>908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3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894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3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894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3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897</v>
      </c>
      <c r="O11" s="34"/>
      <c r="P11" s="34"/>
      <c r="Q11" s="33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3">
      <c r="A12" s="32">
        <v>0</v>
      </c>
      <c r="B12" s="32">
        <v>1</v>
      </c>
      <c r="C12" s="32">
        <v>1</v>
      </c>
      <c r="D12" s="33" t="s">
        <v>765</v>
      </c>
      <c r="E12" s="33" t="s">
        <v>260</v>
      </c>
      <c r="F12" s="33" t="s">
        <v>517</v>
      </c>
      <c r="G12" s="33" t="s">
        <v>587</v>
      </c>
      <c r="H12" s="33" t="s">
        <v>165</v>
      </c>
      <c r="I12" s="32" t="s">
        <v>518</v>
      </c>
      <c r="J12" s="32">
        <v>1</v>
      </c>
      <c r="K12" s="32" t="s">
        <v>378</v>
      </c>
      <c r="L12" s="32">
        <v>160</v>
      </c>
      <c r="M12" s="33" t="s">
        <v>878</v>
      </c>
      <c r="N12" s="33" t="s">
        <v>898</v>
      </c>
      <c r="O12" s="34"/>
      <c r="P12" s="34"/>
      <c r="Q12" s="33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3">
      <c r="A13" s="32">
        <v>0</v>
      </c>
      <c r="B13" s="32">
        <v>1</v>
      </c>
      <c r="C13" s="32">
        <v>1</v>
      </c>
      <c r="D13" s="33" t="s">
        <v>811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879</v>
      </c>
      <c r="N13" s="33" t="s">
        <v>895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3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894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3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860</v>
      </c>
      <c r="M15" s="33" t="s">
        <v>737</v>
      </c>
      <c r="N15" s="33" t="s">
        <v>929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3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858</v>
      </c>
      <c r="M16" s="21" t="s">
        <v>738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3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893</v>
      </c>
      <c r="N17" s="33" t="s">
        <v>898</v>
      </c>
      <c r="O17" s="34"/>
      <c r="P17" s="34"/>
      <c r="Q17" s="33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3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894</v>
      </c>
      <c r="O18" s="31">
        <v>1</v>
      </c>
      <c r="P18" s="31">
        <v>1</v>
      </c>
      <c r="Q18" s="30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3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849</v>
      </c>
      <c r="J19" s="32">
        <v>99</v>
      </c>
      <c r="K19" s="32" t="s">
        <v>328</v>
      </c>
      <c r="L19" s="32" t="s">
        <v>858</v>
      </c>
      <c r="M19" s="33" t="s">
        <v>740</v>
      </c>
      <c r="N19" s="33" t="s">
        <v>896</v>
      </c>
      <c r="O19" s="34"/>
      <c r="P19" s="34"/>
      <c r="Q19" s="33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3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859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3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903</v>
      </c>
      <c r="N21" s="33" t="s">
        <v>930</v>
      </c>
      <c r="O21" s="34"/>
      <c r="P21" s="34"/>
      <c r="Q21" s="33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3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834</v>
      </c>
      <c r="G22" s="33" t="s">
        <v>835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929</v>
      </c>
      <c r="O22" s="34"/>
      <c r="P22" s="34"/>
      <c r="Q22" s="33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3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841</v>
      </c>
      <c r="J23" s="32">
        <v>99</v>
      </c>
      <c r="K23" s="32" t="s">
        <v>325</v>
      </c>
      <c r="L23" s="32">
        <v>45</v>
      </c>
      <c r="M23" s="33" t="s">
        <v>905</v>
      </c>
      <c r="N23" s="33" t="s">
        <v>930</v>
      </c>
      <c r="O23" s="34"/>
      <c r="P23" s="34"/>
      <c r="Q23" s="33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</row>
    <row r="24" spans="1:35" ht="14.25" customHeight="1" x14ac:dyDescent="0.3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856</v>
      </c>
      <c r="M24" s="33" t="s">
        <v>739</v>
      </c>
      <c r="N24" s="33" t="s">
        <v>901</v>
      </c>
      <c r="O24" s="34"/>
      <c r="P24" s="34"/>
      <c r="Q24" s="33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3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856</v>
      </c>
      <c r="M25" s="21" t="s">
        <v>780</v>
      </c>
      <c r="N25" s="21"/>
      <c r="O25" s="7"/>
      <c r="P25" s="7"/>
      <c r="Q25" s="21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3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909</v>
      </c>
      <c r="O26" s="31">
        <v>1</v>
      </c>
      <c r="P26" s="31"/>
      <c r="Q26" s="30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</row>
    <row r="27" spans="1:35" ht="14.25" customHeight="1" x14ac:dyDescent="0.3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894</v>
      </c>
      <c r="O27" s="31">
        <v>1</v>
      </c>
      <c r="P27" s="31">
        <v>1</v>
      </c>
      <c r="Q27" s="30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1</v>
      </c>
      <c r="AE27" s="2">
        <f t="shared" si="30"/>
        <v>0</v>
      </c>
      <c r="AF27" s="2">
        <f t="shared" si="3"/>
        <v>1</v>
      </c>
      <c r="AG27" s="2">
        <f t="shared" si="4"/>
        <v>0</v>
      </c>
      <c r="AH27" s="2">
        <f t="shared" si="5"/>
        <v>1</v>
      </c>
      <c r="AI27" s="2">
        <f t="shared" si="6"/>
        <v>0</v>
      </c>
    </row>
    <row r="28" spans="1:35" ht="14.25" customHeight="1" x14ac:dyDescent="0.3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895</v>
      </c>
      <c r="O28" s="34"/>
      <c r="P28" s="34"/>
      <c r="Q28" s="33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0</v>
      </c>
      <c r="AE28" s="2">
        <f t="shared" si="30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</row>
    <row r="29" spans="1:35" ht="14.25" customHeight="1" x14ac:dyDescent="0.3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880</v>
      </c>
      <c r="N29" s="33" t="s">
        <v>898</v>
      </c>
      <c r="O29" s="34"/>
      <c r="P29" s="34"/>
      <c r="Q29" s="33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3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906</v>
      </c>
      <c r="N30" s="30" t="s">
        <v>913</v>
      </c>
      <c r="O30" s="31">
        <v>1</v>
      </c>
      <c r="P30" s="31"/>
      <c r="Q30" s="30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1</v>
      </c>
      <c r="AF30" s="2">
        <f t="shared" si="3"/>
        <v>0</v>
      </c>
      <c r="AG30" s="2">
        <f t="shared" si="4"/>
        <v>1</v>
      </c>
      <c r="AH30" s="2">
        <f t="shared" si="5"/>
        <v>0</v>
      </c>
      <c r="AI30" s="2">
        <f t="shared" si="6"/>
        <v>1</v>
      </c>
    </row>
    <row r="31" spans="1:35" ht="14.25" customHeight="1" x14ac:dyDescent="0.3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902</v>
      </c>
      <c r="O31" s="31">
        <v>1</v>
      </c>
      <c r="P31" s="31"/>
      <c r="Q31" s="30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1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3">
      <c r="A32" s="20">
        <v>0</v>
      </c>
      <c r="B32" s="20">
        <v>1</v>
      </c>
      <c r="C32" s="20">
        <v>2</v>
      </c>
      <c r="D32" s="21" t="s">
        <v>803</v>
      </c>
      <c r="E32" s="21" t="s">
        <v>262</v>
      </c>
      <c r="F32" s="21" t="s">
        <v>754</v>
      </c>
      <c r="G32" s="21" t="s">
        <v>689</v>
      </c>
      <c r="H32" s="21" t="s">
        <v>165</v>
      </c>
      <c r="I32" s="20" t="s">
        <v>846</v>
      </c>
      <c r="J32" s="20">
        <v>4</v>
      </c>
      <c r="K32" s="20" t="s">
        <v>326</v>
      </c>
      <c r="L32" s="20">
        <v>130</v>
      </c>
      <c r="M32" s="21" t="s">
        <v>881</v>
      </c>
      <c r="N32" s="21"/>
      <c r="O32" s="7"/>
      <c r="P32" s="7"/>
      <c r="Q32" s="21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1</v>
      </c>
      <c r="W32" s="2">
        <f t="shared" si="23"/>
        <v>0</v>
      </c>
      <c r="X32" s="2">
        <f t="shared" si="24"/>
        <v>0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16384" s="3" customFormat="1" ht="14.25" customHeight="1" x14ac:dyDescent="0.3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894</v>
      </c>
      <c r="O33" s="31">
        <v>1</v>
      </c>
      <c r="P33" s="31">
        <v>1</v>
      </c>
      <c r="Q33" s="30"/>
      <c r="R33" s="2"/>
      <c r="S33" s="2">
        <f t="shared" si="19"/>
        <v>0</v>
      </c>
      <c r="T33" s="2">
        <f t="shared" si="20"/>
        <v>0</v>
      </c>
      <c r="U33" s="2">
        <f t="shared" si="21"/>
        <v>1</v>
      </c>
      <c r="V33" s="2">
        <f t="shared" si="22"/>
        <v>0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C33" s="2"/>
      <c r="AD33" s="2">
        <f t="shared" si="29"/>
        <v>1</v>
      </c>
      <c r="AE33" s="2">
        <f t="shared" si="30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</row>
    <row r="34" spans="1:16384" s="3" customFormat="1" ht="14.25" customHeight="1" x14ac:dyDescent="0.3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882</v>
      </c>
      <c r="N34" s="30" t="s">
        <v>907</v>
      </c>
      <c r="O34" s="31">
        <v>1</v>
      </c>
      <c r="P34" s="31"/>
      <c r="Q34" s="30"/>
      <c r="R34" s="2"/>
      <c r="S34" s="2">
        <f t="shared" si="19"/>
        <v>0</v>
      </c>
      <c r="T34" s="2">
        <f t="shared" si="20"/>
        <v>0</v>
      </c>
      <c r="U34" s="2">
        <f t="shared" si="21"/>
        <v>0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1</v>
      </c>
      <c r="AA34" s="2">
        <f t="shared" si="27"/>
        <v>0</v>
      </c>
      <c r="AB34" s="2">
        <f t="shared" si="28"/>
        <v>0</v>
      </c>
      <c r="AC34" s="2"/>
      <c r="AD34" s="2">
        <f t="shared" si="29"/>
        <v>0</v>
      </c>
      <c r="AE34" s="2">
        <f t="shared" si="30"/>
        <v>1</v>
      </c>
      <c r="AF34" s="2">
        <f t="shared" si="3"/>
        <v>0</v>
      </c>
      <c r="AG34" s="2">
        <f t="shared" si="4"/>
        <v>1</v>
      </c>
      <c r="AH34" s="2">
        <f t="shared" si="5"/>
        <v>0</v>
      </c>
      <c r="AI34" s="2">
        <f t="shared" si="6"/>
        <v>1</v>
      </c>
    </row>
    <row r="35" spans="1:16384" s="3" customFormat="1" ht="14.25" customHeight="1" x14ac:dyDescent="0.3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741</v>
      </c>
      <c r="N35" s="21"/>
      <c r="O35" s="7"/>
      <c r="P35" s="7"/>
      <c r="Q35" s="21"/>
      <c r="R35" s="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0</v>
      </c>
      <c r="AA35" s="2">
        <f t="shared" si="27"/>
        <v>0</v>
      </c>
      <c r="AB35" s="2">
        <f t="shared" si="28"/>
        <v>0</v>
      </c>
      <c r="AC35" s="2"/>
      <c r="AD35" s="2">
        <f t="shared" si="29"/>
        <v>0</v>
      </c>
      <c r="AE35" s="2">
        <f t="shared" si="30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</row>
    <row r="36" spans="1:16384" s="3" customFormat="1" ht="14.25" customHeight="1" x14ac:dyDescent="0.3">
      <c r="A36" s="32">
        <v>0</v>
      </c>
      <c r="B36" s="32">
        <v>1</v>
      </c>
      <c r="C36" s="32">
        <v>3</v>
      </c>
      <c r="D36" s="33" t="s">
        <v>302</v>
      </c>
      <c r="E36" s="33" t="s">
        <v>263</v>
      </c>
      <c r="F36" s="33" t="s">
        <v>312</v>
      </c>
      <c r="G36" s="33" t="s">
        <v>40</v>
      </c>
      <c r="H36" s="33" t="s">
        <v>303</v>
      </c>
      <c r="I36" s="32" t="s">
        <v>304</v>
      </c>
      <c r="J36" s="32">
        <v>99</v>
      </c>
      <c r="K36" s="32" t="s">
        <v>378</v>
      </c>
      <c r="L36" s="32">
        <v>90</v>
      </c>
      <c r="M36" s="33" t="s">
        <v>598</v>
      </c>
      <c r="N36" s="33" t="s">
        <v>910</v>
      </c>
      <c r="O36" s="34"/>
      <c r="P36" s="34"/>
      <c r="Q36" s="33"/>
      <c r="R36" s="2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C36" s="2"/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16384" s="3" customFormat="1" ht="14.25" customHeight="1" x14ac:dyDescent="0.3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894</v>
      </c>
      <c r="O37" s="31">
        <v>1</v>
      </c>
      <c r="P37" s="31">
        <v>1</v>
      </c>
      <c r="Q37" s="30"/>
      <c r="R37" s="2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C37" s="2"/>
      <c r="AD37" s="2">
        <f t="shared" si="29"/>
        <v>1</v>
      </c>
      <c r="AE37" s="2">
        <f t="shared" si="30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</row>
    <row r="38" spans="1:16384" s="3" customFormat="1" ht="14.25" customHeight="1" x14ac:dyDescent="0.3">
      <c r="A38" s="20">
        <v>0</v>
      </c>
      <c r="B38" s="20">
        <v>1</v>
      </c>
      <c r="C38" s="20">
        <v>3</v>
      </c>
      <c r="D38" s="21" t="s">
        <v>810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853</v>
      </c>
      <c r="M38" s="21" t="s">
        <v>599</v>
      </c>
      <c r="N38" s="21"/>
      <c r="O38" s="7"/>
      <c r="P38" s="7"/>
      <c r="Q38" s="21"/>
      <c r="R38" s="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1</v>
      </c>
      <c r="AA38" s="2">
        <f t="shared" si="27"/>
        <v>0</v>
      </c>
      <c r="AB38" s="2">
        <f t="shared" si="28"/>
        <v>0</v>
      </c>
      <c r="AC38" s="2"/>
      <c r="AD38" s="2">
        <f t="shared" si="29"/>
        <v>0</v>
      </c>
      <c r="AE38" s="2">
        <f t="shared" si="30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</row>
    <row r="39" spans="1:16384" s="3" customFormat="1" ht="14.25" customHeight="1" x14ac:dyDescent="0.3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857</v>
      </c>
      <c r="M39" s="30" t="s">
        <v>742</v>
      </c>
      <c r="N39" s="30" t="s">
        <v>913</v>
      </c>
      <c r="O39" s="31">
        <v>1</v>
      </c>
      <c r="P39" s="31"/>
      <c r="Q39" s="30"/>
      <c r="R39" s="2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C39" s="2"/>
      <c r="AD39" s="2">
        <f t="shared" si="29"/>
        <v>0</v>
      </c>
      <c r="AE39" s="2">
        <f t="shared" si="30"/>
        <v>1</v>
      </c>
      <c r="AF39" s="2">
        <f t="shared" si="3"/>
        <v>0</v>
      </c>
      <c r="AG39" s="2">
        <f t="shared" si="4"/>
        <v>1</v>
      </c>
      <c r="AH39" s="2">
        <f t="shared" si="5"/>
        <v>0</v>
      </c>
      <c r="AI39" s="2">
        <f t="shared" si="6"/>
        <v>1</v>
      </c>
    </row>
    <row r="40" spans="1:16384" s="3" customFormat="1" ht="14.25" customHeight="1" x14ac:dyDescent="0.3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861</v>
      </c>
      <c r="M40" s="33" t="s">
        <v>784</v>
      </c>
      <c r="N40" s="33" t="s">
        <v>910</v>
      </c>
      <c r="O40" s="34"/>
      <c r="P40" s="34"/>
      <c r="Q40" s="33"/>
      <c r="R40" s="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0</v>
      </c>
      <c r="AA40" s="2">
        <f t="shared" si="27"/>
        <v>0</v>
      </c>
      <c r="AB40" s="2">
        <f t="shared" si="28"/>
        <v>0</v>
      </c>
      <c r="AC40" s="2"/>
      <c r="AD40" s="2">
        <f t="shared" si="29"/>
        <v>0</v>
      </c>
      <c r="AE40" s="2">
        <f t="shared" si="30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</row>
    <row r="41" spans="1:16384" s="3" customFormat="1" ht="14.25" customHeight="1" x14ac:dyDescent="0.3">
      <c r="A41" s="29">
        <v>0</v>
      </c>
      <c r="B41" s="29">
        <v>1</v>
      </c>
      <c r="C41" s="29">
        <v>3</v>
      </c>
      <c r="D41" s="30" t="s">
        <v>755</v>
      </c>
      <c r="E41" s="30" t="s">
        <v>756</v>
      </c>
      <c r="F41" s="30" t="s">
        <v>757</v>
      </c>
      <c r="G41" s="30" t="s">
        <v>92</v>
      </c>
      <c r="H41" s="30" t="s">
        <v>165</v>
      </c>
      <c r="I41" s="29" t="s">
        <v>758</v>
      </c>
      <c r="J41" s="29">
        <v>1</v>
      </c>
      <c r="K41" s="29" t="s">
        <v>378</v>
      </c>
      <c r="L41" s="29">
        <v>35</v>
      </c>
      <c r="M41" s="30" t="s">
        <v>759</v>
      </c>
      <c r="N41" s="30" t="s">
        <v>902</v>
      </c>
      <c r="O41" s="31">
        <v>1</v>
      </c>
      <c r="P41" s="31"/>
      <c r="Q41" s="30"/>
      <c r="R41" s="2"/>
      <c r="S41" s="2">
        <f t="shared" si="19"/>
        <v>1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C41" s="2"/>
      <c r="AD41" s="2">
        <f t="shared" si="29"/>
        <v>0</v>
      </c>
      <c r="AE41" s="2">
        <f t="shared" si="30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</row>
    <row r="42" spans="1:16384" s="3" customFormat="1" ht="14.25" customHeight="1" x14ac:dyDescent="0.3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742</v>
      </c>
      <c r="N42" s="30" t="s">
        <v>908</v>
      </c>
      <c r="O42" s="31">
        <v>1</v>
      </c>
      <c r="P42" s="31"/>
      <c r="Q42" s="30"/>
      <c r="R42" s="2"/>
      <c r="S42" s="2">
        <f t="shared" si="19"/>
        <v>0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C42" s="2"/>
      <c r="AD42" s="2">
        <f t="shared" si="29"/>
        <v>0</v>
      </c>
      <c r="AE42" s="2">
        <f t="shared" si="30"/>
        <v>1</v>
      </c>
      <c r="AF42" s="2">
        <f t="shared" si="3"/>
        <v>0</v>
      </c>
      <c r="AG42" s="2">
        <f t="shared" si="4"/>
        <v>1</v>
      </c>
      <c r="AH42" s="2">
        <f t="shared" si="5"/>
        <v>0</v>
      </c>
      <c r="AI42" s="2">
        <f t="shared" si="6"/>
        <v>1</v>
      </c>
    </row>
    <row r="43" spans="1:16384" s="3" customFormat="1" ht="14.25" customHeight="1" x14ac:dyDescent="0.3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901</v>
      </c>
      <c r="O43" s="34"/>
      <c r="P43" s="34"/>
      <c r="Q43" s="33"/>
      <c r="R43" s="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C43" s="2"/>
      <c r="AD43" s="2">
        <f t="shared" si="29"/>
        <v>0</v>
      </c>
      <c r="AE43" s="2">
        <f t="shared" si="30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</row>
    <row r="44" spans="1:16384" s="3" customFormat="1" ht="14.25" customHeight="1" x14ac:dyDescent="0.3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908</v>
      </c>
      <c r="O44" s="31">
        <v>1</v>
      </c>
      <c r="P44" s="31"/>
      <c r="Q44" s="30"/>
      <c r="R44" s="2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1</v>
      </c>
      <c r="AA44" s="2">
        <f t="shared" si="27"/>
        <v>0</v>
      </c>
      <c r="AB44" s="2">
        <f t="shared" si="28"/>
        <v>0</v>
      </c>
      <c r="AC44" s="2"/>
      <c r="AD44" s="2">
        <f t="shared" si="29"/>
        <v>0</v>
      </c>
      <c r="AE44" s="2">
        <f t="shared" si="30"/>
        <v>1</v>
      </c>
      <c r="AF44" s="2">
        <f t="shared" si="3"/>
        <v>0</v>
      </c>
      <c r="AG44" s="2">
        <f t="shared" si="4"/>
        <v>1</v>
      </c>
      <c r="AH44" s="2">
        <f t="shared" si="5"/>
        <v>0</v>
      </c>
      <c r="AI44" s="2">
        <f t="shared" si="6"/>
        <v>1</v>
      </c>
    </row>
    <row r="45" spans="1:16384" s="3" customFormat="1" ht="14.25" customHeight="1" x14ac:dyDescent="0.3">
      <c r="A45" s="32">
        <v>0</v>
      </c>
      <c r="B45" s="32">
        <v>1</v>
      </c>
      <c r="C45" s="32">
        <v>3</v>
      </c>
      <c r="D45" s="33" t="s">
        <v>773</v>
      </c>
      <c r="E45" s="33" t="s">
        <v>259</v>
      </c>
      <c r="F45" s="33" t="s">
        <v>774</v>
      </c>
      <c r="G45" s="33" t="s">
        <v>103</v>
      </c>
      <c r="H45" s="33" t="s">
        <v>165</v>
      </c>
      <c r="I45" s="32" t="s">
        <v>775</v>
      </c>
      <c r="J45" s="32">
        <v>6</v>
      </c>
      <c r="K45" s="32" t="s">
        <v>378</v>
      </c>
      <c r="L45" s="32">
        <v>70</v>
      </c>
      <c r="M45" s="33" t="s">
        <v>776</v>
      </c>
      <c r="N45" s="33" t="s">
        <v>910</v>
      </c>
      <c r="O45" s="34"/>
      <c r="P45" s="34"/>
      <c r="Q45" s="33"/>
      <c r="R45" s="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1</v>
      </c>
      <c r="Y45" s="2">
        <f t="shared" si="25"/>
        <v>0</v>
      </c>
      <c r="Z45" s="2">
        <f t="shared" si="26"/>
        <v>0</v>
      </c>
      <c r="AA45" s="2">
        <f t="shared" si="27"/>
        <v>0</v>
      </c>
      <c r="AB45" s="2">
        <f t="shared" si="28"/>
        <v>0</v>
      </c>
      <c r="AC45" s="2"/>
      <c r="AD45" s="2">
        <f t="shared" si="29"/>
        <v>0</v>
      </c>
      <c r="AE45" s="2">
        <f t="shared" si="30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</row>
    <row r="46" spans="1:16384" s="3" customFormat="1" ht="14.25" customHeight="1" x14ac:dyDescent="0.3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827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742</v>
      </c>
      <c r="N46" s="33" t="s">
        <v>895</v>
      </c>
      <c r="O46" s="34"/>
      <c r="P46" s="34"/>
      <c r="Q46" s="33"/>
      <c r="R46" s="2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0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C46" s="2"/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16384" s="3" customFormat="1" ht="14.25" customHeight="1" x14ac:dyDescent="0.3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908</v>
      </c>
      <c r="O47" s="31">
        <v>1</v>
      </c>
      <c r="P47" s="31"/>
      <c r="Q47" s="30"/>
      <c r="R47" s="2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1</v>
      </c>
      <c r="AA47" s="2">
        <f t="shared" si="27"/>
        <v>0</v>
      </c>
      <c r="AB47" s="2">
        <f t="shared" si="28"/>
        <v>0</v>
      </c>
      <c r="AC47" s="2"/>
      <c r="AD47" s="2">
        <f t="shared" si="29"/>
        <v>0</v>
      </c>
      <c r="AE47" s="2">
        <f t="shared" si="30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</row>
    <row r="48" spans="1:16384" s="3" customFormat="1" ht="14.25" customHeight="1" x14ac:dyDescent="0.3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908</v>
      </c>
      <c r="O48" s="31">
        <v>1</v>
      </c>
      <c r="P48" s="31"/>
      <c r="Q48" s="30"/>
      <c r="R48" s="20"/>
      <c r="S48" s="20">
        <f t="shared" si="19"/>
        <v>0</v>
      </c>
      <c r="T48" s="20">
        <f t="shared" si="20"/>
        <v>0</v>
      </c>
      <c r="U48" s="21">
        <f t="shared" si="21"/>
        <v>0</v>
      </c>
      <c r="V48" s="21">
        <f t="shared" si="22"/>
        <v>0</v>
      </c>
      <c r="W48" s="21">
        <f t="shared" si="23"/>
        <v>0</v>
      </c>
      <c r="X48" s="21">
        <f t="shared" si="24"/>
        <v>0</v>
      </c>
      <c r="Y48" s="21">
        <f t="shared" si="25"/>
        <v>0</v>
      </c>
      <c r="Z48" s="20">
        <f t="shared" si="26"/>
        <v>1</v>
      </c>
      <c r="AA48" s="20">
        <f t="shared" si="27"/>
        <v>0</v>
      </c>
      <c r="AB48" s="20">
        <f t="shared" si="28"/>
        <v>0</v>
      </c>
      <c r="AC48" s="20"/>
      <c r="AD48" s="21">
        <f t="shared" si="29"/>
        <v>0</v>
      </c>
      <c r="AE48" s="21">
        <f t="shared" si="30"/>
        <v>1</v>
      </c>
      <c r="AF48" s="7">
        <f t="shared" si="3"/>
        <v>0</v>
      </c>
      <c r="AG48" s="7">
        <f t="shared" si="4"/>
        <v>1</v>
      </c>
      <c r="AH48" s="21">
        <f t="shared" si="5"/>
        <v>0</v>
      </c>
      <c r="AI48" s="20">
        <f t="shared" si="6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3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0</v>
      </c>
      <c r="AA49" s="2">
        <f t="shared" si="27"/>
        <v>0</v>
      </c>
      <c r="AB49" s="2">
        <f t="shared" si="28"/>
        <v>1</v>
      </c>
      <c r="AD49" s="2">
        <f t="shared" si="29"/>
        <v>0</v>
      </c>
      <c r="AE49" s="2">
        <f t="shared" si="30"/>
        <v>0</v>
      </c>
      <c r="AF49" s="2">
        <f t="shared" si="3"/>
        <v>0</v>
      </c>
      <c r="AG49" s="2">
        <f t="shared" si="4"/>
        <v>0</v>
      </c>
      <c r="AH49" s="2">
        <f t="shared" si="5"/>
        <v>1</v>
      </c>
      <c r="AI49" s="2">
        <f t="shared" si="6"/>
        <v>0</v>
      </c>
    </row>
    <row r="50" spans="1:35" ht="14.25" customHeight="1" x14ac:dyDescent="0.3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936</v>
      </c>
      <c r="O50" s="31">
        <v>1</v>
      </c>
      <c r="P50" s="31"/>
      <c r="Q50" s="30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0</v>
      </c>
      <c r="AD50" s="2">
        <f t="shared" si="29"/>
        <v>0</v>
      </c>
      <c r="AE50" s="2">
        <f t="shared" si="30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</row>
    <row r="51" spans="1:35" ht="14.25" customHeight="1" x14ac:dyDescent="0.3">
      <c r="A51" s="32">
        <v>0</v>
      </c>
      <c r="B51" s="32">
        <v>1</v>
      </c>
      <c r="C51" s="32">
        <v>3</v>
      </c>
      <c r="D51" s="33" t="s">
        <v>729</v>
      </c>
      <c r="E51" s="33" t="s">
        <v>259</v>
      </c>
      <c r="F51" s="33" t="s">
        <v>833</v>
      </c>
      <c r="G51" s="33" t="s">
        <v>732</v>
      </c>
      <c r="H51" s="33" t="s">
        <v>165</v>
      </c>
      <c r="I51" s="32" t="s">
        <v>731</v>
      </c>
      <c r="J51" s="32">
        <v>99</v>
      </c>
      <c r="K51" s="32" t="s">
        <v>331</v>
      </c>
      <c r="L51" s="32" t="s">
        <v>346</v>
      </c>
      <c r="M51" s="33" t="s">
        <v>730</v>
      </c>
      <c r="N51" s="33" t="s">
        <v>929</v>
      </c>
      <c r="O51" s="34"/>
      <c r="P51" s="34"/>
      <c r="Q51" s="33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3">
      <c r="A52" s="20">
        <v>0</v>
      </c>
      <c r="B52" s="20">
        <v>1</v>
      </c>
      <c r="C52" s="20">
        <v>3</v>
      </c>
      <c r="D52" s="21" t="s">
        <v>987</v>
      </c>
      <c r="E52" s="21" t="s">
        <v>259</v>
      </c>
      <c r="F52" s="21" t="s">
        <v>988</v>
      </c>
      <c r="G52" s="21" t="s">
        <v>989</v>
      </c>
      <c r="H52" s="21" t="s">
        <v>165</v>
      </c>
      <c r="I52" s="20" t="s">
        <v>990</v>
      </c>
      <c r="J52" s="20"/>
      <c r="K52" s="20" t="s">
        <v>378</v>
      </c>
      <c r="L52" s="20">
        <v>65</v>
      </c>
      <c r="M52" s="21" t="s">
        <v>991</v>
      </c>
      <c r="N52" s="21"/>
      <c r="O52" s="20"/>
      <c r="P52" s="20"/>
      <c r="Q52" s="21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3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737</v>
      </c>
      <c r="N53" s="33" t="s">
        <v>929</v>
      </c>
      <c r="O53" s="34"/>
      <c r="P53" s="34"/>
      <c r="Q53" s="33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3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911</v>
      </c>
      <c r="N54" s="21"/>
      <c r="O54" s="7"/>
      <c r="P54" s="7"/>
      <c r="Q54" s="21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1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3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782</v>
      </c>
      <c r="N55" s="30" t="s">
        <v>894</v>
      </c>
      <c r="O55" s="31">
        <v>1</v>
      </c>
      <c r="P55" s="31">
        <v>1</v>
      </c>
      <c r="Q55" s="30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0</v>
      </c>
      <c r="AA55" s="2">
        <f t="shared" si="27"/>
        <v>1</v>
      </c>
      <c r="AB55" s="2">
        <f t="shared" si="28"/>
        <v>0</v>
      </c>
      <c r="AD55" s="2">
        <f t="shared" si="29"/>
        <v>1</v>
      </c>
      <c r="AE55" s="2">
        <f t="shared" si="30"/>
        <v>0</v>
      </c>
      <c r="AF55" s="2">
        <f t="shared" si="3"/>
        <v>1</v>
      </c>
      <c r="AG55" s="2">
        <f t="shared" si="4"/>
        <v>0</v>
      </c>
      <c r="AH55" s="2">
        <f t="shared" si="5"/>
        <v>1</v>
      </c>
      <c r="AI55" s="2">
        <f t="shared" si="6"/>
        <v>0</v>
      </c>
    </row>
    <row r="56" spans="1:35" ht="14.25" customHeight="1" x14ac:dyDescent="0.3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930</v>
      </c>
      <c r="O56" s="34"/>
      <c r="P56" s="34"/>
      <c r="Q56" s="33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0</v>
      </c>
      <c r="AB56" s="2">
        <f t="shared" si="28"/>
        <v>0</v>
      </c>
      <c r="AD56" s="2">
        <f t="shared" si="29"/>
        <v>0</v>
      </c>
      <c r="AE56" s="2">
        <f t="shared" si="30"/>
        <v>0</v>
      </c>
      <c r="AF56" s="2">
        <f t="shared" si="3"/>
        <v>0</v>
      </c>
      <c r="AG56" s="2">
        <f t="shared" si="4"/>
        <v>0</v>
      </c>
      <c r="AH56" s="2">
        <f t="shared" si="5"/>
        <v>0</v>
      </c>
      <c r="AI56" s="2">
        <f t="shared" si="6"/>
        <v>1</v>
      </c>
    </row>
    <row r="57" spans="1:35" ht="14.25" customHeight="1" x14ac:dyDescent="0.3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0" t="s">
        <v>712</v>
      </c>
      <c r="J57" s="20">
        <v>99</v>
      </c>
      <c r="K57" s="20" t="s">
        <v>378</v>
      </c>
      <c r="L57" s="20">
        <v>55</v>
      </c>
      <c r="M57" s="21" t="s">
        <v>709</v>
      </c>
      <c r="N57" s="21"/>
      <c r="O57" s="7"/>
      <c r="P57" s="7"/>
      <c r="Q57" s="21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3">
      <c r="A58" s="29">
        <v>0</v>
      </c>
      <c r="B58" s="29">
        <v>1</v>
      </c>
      <c r="C58" s="29">
        <v>5</v>
      </c>
      <c r="D58" s="30" t="s">
        <v>888</v>
      </c>
      <c r="E58" s="30" t="s">
        <v>891</v>
      </c>
      <c r="F58" s="30" t="s">
        <v>889</v>
      </c>
      <c r="G58" s="30" t="s">
        <v>403</v>
      </c>
      <c r="H58" s="30" t="s">
        <v>165</v>
      </c>
      <c r="I58" s="29" t="s">
        <v>890</v>
      </c>
      <c r="J58" s="29"/>
      <c r="K58" s="29" t="s">
        <v>378</v>
      </c>
      <c r="L58" s="29">
        <v>55</v>
      </c>
      <c r="M58" s="30" t="s">
        <v>892</v>
      </c>
      <c r="N58" s="30" t="s">
        <v>936</v>
      </c>
      <c r="O58" s="31">
        <v>1</v>
      </c>
      <c r="P58" s="31"/>
      <c r="Q58" s="30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1</v>
      </c>
      <c r="AF58" s="2">
        <f t="shared" si="3"/>
        <v>0</v>
      </c>
      <c r="AG58" s="2">
        <f t="shared" si="4"/>
        <v>1</v>
      </c>
      <c r="AH58" s="2">
        <f t="shared" si="5"/>
        <v>0</v>
      </c>
      <c r="AI58" s="2">
        <f t="shared" si="6"/>
        <v>1</v>
      </c>
    </row>
    <row r="59" spans="1:35" ht="14.25" customHeight="1" x14ac:dyDescent="0.3">
      <c r="A59" s="29">
        <v>0</v>
      </c>
      <c r="B59" s="29">
        <v>1</v>
      </c>
      <c r="C59" s="29">
        <v>5</v>
      </c>
      <c r="D59" s="30" t="s">
        <v>873</v>
      </c>
      <c r="E59" s="30" t="s">
        <v>804</v>
      </c>
      <c r="F59" s="30" t="s">
        <v>874</v>
      </c>
      <c r="G59" s="30" t="s">
        <v>309</v>
      </c>
      <c r="H59" s="30" t="s">
        <v>165</v>
      </c>
      <c r="I59" s="29" t="s">
        <v>875</v>
      </c>
      <c r="J59" s="29"/>
      <c r="K59" s="29" t="s">
        <v>378</v>
      </c>
      <c r="L59" s="29">
        <v>50</v>
      </c>
      <c r="M59" s="30" t="s">
        <v>876</v>
      </c>
      <c r="N59" s="30" t="s">
        <v>936</v>
      </c>
      <c r="O59" s="31">
        <v>1</v>
      </c>
      <c r="P59" s="31"/>
      <c r="Q59" s="30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3">
      <c r="A60" s="20">
        <v>0</v>
      </c>
      <c r="B60" s="20">
        <v>1</v>
      </c>
      <c r="C60" s="20">
        <v>5</v>
      </c>
      <c r="D60" s="21" t="s">
        <v>805</v>
      </c>
      <c r="E60" s="21" t="s">
        <v>804</v>
      </c>
      <c r="F60" s="21" t="s">
        <v>838</v>
      </c>
      <c r="G60" s="21" t="s">
        <v>93</v>
      </c>
      <c r="H60" s="21" t="s">
        <v>165</v>
      </c>
      <c r="I60" s="20" t="s">
        <v>852</v>
      </c>
      <c r="J60" s="20">
        <v>8</v>
      </c>
      <c r="K60" s="20" t="s">
        <v>332</v>
      </c>
      <c r="L60" s="20">
        <v>50</v>
      </c>
      <c r="M60" s="21" t="s">
        <v>876</v>
      </c>
      <c r="N60" s="21"/>
      <c r="O60" s="7"/>
      <c r="P60" s="7"/>
      <c r="Q60" s="21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1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</row>
    <row r="61" spans="1:35" ht="14.25" customHeight="1" x14ac:dyDescent="0.3">
      <c r="A61" s="29">
        <v>0</v>
      </c>
      <c r="B61" s="29">
        <v>1</v>
      </c>
      <c r="C61" s="29">
        <v>5</v>
      </c>
      <c r="D61" s="30" t="s">
        <v>870</v>
      </c>
      <c r="E61" s="30" t="s">
        <v>804</v>
      </c>
      <c r="F61" s="30" t="s">
        <v>871</v>
      </c>
      <c r="G61" s="30" t="s">
        <v>370</v>
      </c>
      <c r="H61" s="30" t="s">
        <v>165</v>
      </c>
      <c r="I61" s="29" t="s">
        <v>872</v>
      </c>
      <c r="J61" s="29"/>
      <c r="K61" s="29" t="s">
        <v>378</v>
      </c>
      <c r="L61" s="29">
        <v>45</v>
      </c>
      <c r="M61" s="30" t="s">
        <v>420</v>
      </c>
      <c r="N61" s="30" t="s">
        <v>894</v>
      </c>
      <c r="O61" s="31">
        <v>1</v>
      </c>
      <c r="P61" s="31">
        <v>1</v>
      </c>
      <c r="Q61" s="30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0</v>
      </c>
      <c r="AA61" s="2">
        <f t="shared" si="27"/>
        <v>0</v>
      </c>
      <c r="AB61" s="2">
        <f t="shared" si="28"/>
        <v>0</v>
      </c>
      <c r="AD61" s="2">
        <f t="shared" si="29"/>
        <v>1</v>
      </c>
      <c r="AE61" s="2">
        <f t="shared" si="30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</row>
    <row r="62" spans="1:35" ht="14.25" customHeight="1" x14ac:dyDescent="0.3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913</v>
      </c>
      <c r="O62" s="31">
        <v>1</v>
      </c>
      <c r="P62" s="31"/>
      <c r="Q62" s="30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0</v>
      </c>
      <c r="AE62" s="2">
        <f t="shared" si="30"/>
        <v>1</v>
      </c>
      <c r="AF62" s="2">
        <f t="shared" si="3"/>
        <v>0</v>
      </c>
      <c r="AG62" s="2">
        <f t="shared" si="4"/>
        <v>1</v>
      </c>
      <c r="AH62" s="2">
        <f t="shared" si="5"/>
        <v>0</v>
      </c>
      <c r="AI62" s="2">
        <f t="shared" si="6"/>
        <v>1</v>
      </c>
    </row>
    <row r="63" spans="1:35" ht="14.25" customHeight="1" x14ac:dyDescent="0.3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913</v>
      </c>
      <c r="O63" s="31">
        <v>1</v>
      </c>
      <c r="P63" s="31"/>
      <c r="Q63" s="30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3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913</v>
      </c>
      <c r="O64" s="31">
        <v>1</v>
      </c>
      <c r="P64" s="31"/>
      <c r="Q64" s="30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3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786</v>
      </c>
      <c r="N65" s="30" t="s">
        <v>913</v>
      </c>
      <c r="O65" s="31">
        <v>1</v>
      </c>
      <c r="P65" s="31"/>
      <c r="Q65" s="30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3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931</v>
      </c>
      <c r="O66" s="31">
        <v>1</v>
      </c>
      <c r="P66" s="31"/>
      <c r="Q66" s="30"/>
      <c r="S66" s="2">
        <f t="shared" si="19"/>
        <v>0</v>
      </c>
      <c r="T66" s="2">
        <f t="shared" si="20"/>
        <v>0</v>
      </c>
      <c r="U66" s="2">
        <f t="shared" si="21"/>
        <v>1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3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743</v>
      </c>
      <c r="N67" s="21"/>
      <c r="O67" s="7"/>
      <c r="P67" s="7"/>
      <c r="Q67" s="21"/>
      <c r="S67" s="2">
        <f t="shared" si="19"/>
        <v>0</v>
      </c>
      <c r="T67" s="2">
        <f t="shared" si="20"/>
        <v>0</v>
      </c>
      <c r="U67" s="2">
        <f t="shared" si="21"/>
        <v>0</v>
      </c>
      <c r="V67" s="2">
        <f t="shared" si="22"/>
        <v>0</v>
      </c>
      <c r="W67" s="2">
        <f t="shared" si="23"/>
        <v>1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</row>
    <row r="68" spans="1:35" ht="14.25" customHeight="1" x14ac:dyDescent="0.3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895</v>
      </c>
      <c r="O68" s="34"/>
      <c r="P68" s="34"/>
      <c r="Q68" s="33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0</v>
      </c>
      <c r="X68" s="2">
        <f t="shared" si="24"/>
        <v>0</v>
      </c>
      <c r="Y68" s="2">
        <f t="shared" si="25"/>
        <v>0</v>
      </c>
      <c r="Z68" s="2">
        <f t="shared" si="26"/>
        <v>1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3">
      <c r="A69" s="32">
        <v>0</v>
      </c>
      <c r="B69" s="32">
        <v>1</v>
      </c>
      <c r="C69" s="32">
        <v>5</v>
      </c>
      <c r="D69" s="33" t="s">
        <v>815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895</v>
      </c>
      <c r="O69" s="34"/>
      <c r="P69" s="34"/>
      <c r="Q69" s="33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3">
      <c r="A70" s="20">
        <v>0</v>
      </c>
      <c r="B70" s="20">
        <v>1</v>
      </c>
      <c r="C70" s="20">
        <v>5</v>
      </c>
      <c r="D70" s="21" t="s">
        <v>816</v>
      </c>
      <c r="E70" s="21" t="s">
        <v>804</v>
      </c>
      <c r="F70" s="21" t="s">
        <v>806</v>
      </c>
      <c r="G70" s="21" t="s">
        <v>117</v>
      </c>
      <c r="H70" s="21" t="s">
        <v>165</v>
      </c>
      <c r="I70" s="20" t="s">
        <v>807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19"/>
        <v>1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0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3">
      <c r="A71" s="20">
        <v>1</v>
      </c>
      <c r="B71" s="20">
        <v>1</v>
      </c>
      <c r="C71" s="20">
        <v>5</v>
      </c>
      <c r="D71" s="21" t="s">
        <v>816</v>
      </c>
      <c r="E71" s="21" t="s">
        <v>804</v>
      </c>
      <c r="F71" s="21" t="s">
        <v>839</v>
      </c>
      <c r="G71" s="21" t="s">
        <v>96</v>
      </c>
      <c r="H71" s="21" t="s">
        <v>165</v>
      </c>
      <c r="I71" s="20" t="s">
        <v>808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0</v>
      </c>
      <c r="T71" s="2">
        <f t="shared" si="20"/>
        <v>0</v>
      </c>
      <c r="U71" s="2">
        <f t="shared" si="21"/>
        <v>1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0</v>
      </c>
    </row>
    <row r="72" spans="1:35" ht="14.25" customHeight="1" x14ac:dyDescent="0.3">
      <c r="A72" s="29">
        <v>0</v>
      </c>
      <c r="B72" s="29">
        <v>1</v>
      </c>
      <c r="C72" s="29">
        <v>6</v>
      </c>
      <c r="D72" s="30" t="s">
        <v>809</v>
      </c>
      <c r="E72" s="30" t="s">
        <v>261</v>
      </c>
      <c r="F72" s="30" t="s">
        <v>771</v>
      </c>
      <c r="G72" s="30" t="s">
        <v>519</v>
      </c>
      <c r="H72" s="30" t="s">
        <v>165</v>
      </c>
      <c r="I72" s="29" t="s">
        <v>772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894</v>
      </c>
      <c r="O72" s="31">
        <v>1</v>
      </c>
      <c r="P72" s="31">
        <v>1</v>
      </c>
      <c r="Q72" s="30"/>
      <c r="S72" s="2">
        <f t="shared" si="19"/>
        <v>0</v>
      </c>
      <c r="T72" s="2">
        <f t="shared" si="20"/>
        <v>0</v>
      </c>
      <c r="U72" s="2">
        <f t="shared" si="21"/>
        <v>0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1</v>
      </c>
      <c r="AE72" s="2">
        <f t="shared" si="30"/>
        <v>0</v>
      </c>
      <c r="AF72" s="2">
        <f t="shared" ref="AF72:AF114" si="31">+O72*P72*(1-A72)</f>
        <v>1</v>
      </c>
      <c r="AG72" s="2">
        <f t="shared" ref="AG72:AG114" si="32">O72*(1-P72)*(1-A72)</f>
        <v>0</v>
      </c>
      <c r="AH72" s="2">
        <f t="shared" ref="AH72:AH114" si="33">+P72*(1-A72)</f>
        <v>1</v>
      </c>
      <c r="AI72" s="2">
        <f t="shared" ref="AI72:AI114" si="34">+(1-A72)*(1-P72)</f>
        <v>0</v>
      </c>
    </row>
    <row r="73" spans="1:35" ht="14.25" customHeight="1" x14ac:dyDescent="0.3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894</v>
      </c>
      <c r="O73" s="31">
        <v>1</v>
      </c>
      <c r="P73" s="31">
        <v>1</v>
      </c>
      <c r="Q73" s="30"/>
      <c r="S73" s="2">
        <f t="shared" si="19"/>
        <v>1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3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753</v>
      </c>
      <c r="N74" s="30" t="s">
        <v>900</v>
      </c>
      <c r="O74" s="31">
        <v>1</v>
      </c>
      <c r="P74" s="31"/>
      <c r="Q74" s="30"/>
      <c r="S74" s="2">
        <f t="shared" si="19"/>
        <v>0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0</v>
      </c>
      <c r="AE74" s="2">
        <f t="shared" si="30"/>
        <v>1</v>
      </c>
      <c r="AF74" s="2">
        <f t="shared" si="31"/>
        <v>0</v>
      </c>
      <c r="AG74" s="2">
        <f t="shared" si="32"/>
        <v>1</v>
      </c>
      <c r="AH74" s="2">
        <f t="shared" si="33"/>
        <v>0</v>
      </c>
      <c r="AI74" s="2">
        <f t="shared" si="34"/>
        <v>1</v>
      </c>
    </row>
    <row r="75" spans="1:35" ht="14.25" customHeight="1" x14ac:dyDescent="0.3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753</v>
      </c>
      <c r="N75" s="30" t="s">
        <v>900</v>
      </c>
      <c r="O75" s="31">
        <v>1</v>
      </c>
      <c r="P75" s="31"/>
      <c r="Q75" s="30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1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0</v>
      </c>
      <c r="AH75" s="2">
        <f t="shared" si="33"/>
        <v>0</v>
      </c>
      <c r="AI75" s="2">
        <f t="shared" si="34"/>
        <v>0</v>
      </c>
    </row>
    <row r="76" spans="1:35" ht="14.25" customHeight="1" x14ac:dyDescent="0.3">
      <c r="A76" s="29">
        <v>0</v>
      </c>
      <c r="B76" s="29">
        <v>1</v>
      </c>
      <c r="C76" s="29">
        <v>6</v>
      </c>
      <c r="D76" s="30" t="s">
        <v>718</v>
      </c>
      <c r="E76" s="30" t="s">
        <v>258</v>
      </c>
      <c r="F76" s="30" t="s">
        <v>719</v>
      </c>
      <c r="G76" s="30" t="s">
        <v>130</v>
      </c>
      <c r="H76" s="30" t="s">
        <v>165</v>
      </c>
      <c r="I76" s="29" t="s">
        <v>720</v>
      </c>
      <c r="J76" s="29"/>
      <c r="K76" s="29" t="s">
        <v>329</v>
      </c>
      <c r="L76" s="29">
        <v>35</v>
      </c>
      <c r="M76" s="30" t="s">
        <v>883</v>
      </c>
      <c r="N76" s="30" t="s">
        <v>900</v>
      </c>
      <c r="O76" s="31">
        <v>1</v>
      </c>
      <c r="P76" s="31"/>
      <c r="Q76" s="30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0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1</v>
      </c>
      <c r="AH76" s="2">
        <f t="shared" si="33"/>
        <v>0</v>
      </c>
      <c r="AI76" s="2">
        <f t="shared" si="34"/>
        <v>1</v>
      </c>
    </row>
    <row r="77" spans="1:35" ht="14.25" customHeight="1" x14ac:dyDescent="0.3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935</v>
      </c>
      <c r="N77" s="30" t="s">
        <v>900</v>
      </c>
      <c r="O77" s="31">
        <v>1</v>
      </c>
      <c r="P77" s="31"/>
      <c r="Q77" s="30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1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3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894</v>
      </c>
      <c r="O78" s="31">
        <v>1</v>
      </c>
      <c r="P78" s="31">
        <v>1</v>
      </c>
      <c r="Q78" s="30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1</v>
      </c>
      <c r="AB78" s="2">
        <f t="shared" si="28"/>
        <v>0</v>
      </c>
      <c r="AD78" s="2">
        <f t="shared" si="29"/>
        <v>1</v>
      </c>
      <c r="AE78" s="2">
        <f t="shared" si="30"/>
        <v>0</v>
      </c>
      <c r="AF78" s="2">
        <f t="shared" si="31"/>
        <v>1</v>
      </c>
      <c r="AG78" s="2">
        <f t="shared" si="32"/>
        <v>0</v>
      </c>
      <c r="AH78" s="2">
        <f t="shared" si="33"/>
        <v>1</v>
      </c>
      <c r="AI78" s="2">
        <f t="shared" si="34"/>
        <v>0</v>
      </c>
    </row>
    <row r="79" spans="1:35" ht="14.25" customHeight="1" x14ac:dyDescent="0.3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930</v>
      </c>
      <c r="O79" s="34"/>
      <c r="P79" s="34"/>
      <c r="Q79" s="33"/>
      <c r="S79" s="2">
        <f t="shared" si="19"/>
        <v>0</v>
      </c>
      <c r="T79" s="2">
        <f t="shared" si="20"/>
        <v>1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0</v>
      </c>
      <c r="AB79" s="2">
        <f t="shared" si="28"/>
        <v>0</v>
      </c>
      <c r="AD79" s="2">
        <f t="shared" si="29"/>
        <v>0</v>
      </c>
      <c r="AE79" s="2">
        <f t="shared" si="30"/>
        <v>0</v>
      </c>
      <c r="AF79" s="2">
        <f t="shared" si="31"/>
        <v>0</v>
      </c>
      <c r="AG79" s="2">
        <f t="shared" si="32"/>
        <v>0</v>
      </c>
      <c r="AH79" s="2">
        <f t="shared" si="33"/>
        <v>0</v>
      </c>
      <c r="AI79" s="2">
        <f t="shared" si="34"/>
        <v>1</v>
      </c>
    </row>
    <row r="80" spans="1:35" ht="14.25" customHeight="1" x14ac:dyDescent="0.3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894</v>
      </c>
      <c r="O80" s="31">
        <v>1</v>
      </c>
      <c r="P80" s="31">
        <v>1</v>
      </c>
      <c r="Q80" s="30"/>
      <c r="S80" s="2">
        <f t="shared" si="19"/>
        <v>0</v>
      </c>
      <c r="T80" s="2">
        <f t="shared" si="20"/>
        <v>0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1</v>
      </c>
      <c r="AE80" s="2">
        <f t="shared" si="30"/>
        <v>0</v>
      </c>
      <c r="AF80" s="2">
        <f t="shared" si="31"/>
        <v>1</v>
      </c>
      <c r="AG80" s="2">
        <f t="shared" si="32"/>
        <v>0</v>
      </c>
      <c r="AH80" s="2">
        <f t="shared" si="33"/>
        <v>1</v>
      </c>
      <c r="AI80" s="2">
        <f t="shared" si="34"/>
        <v>0</v>
      </c>
    </row>
    <row r="81" spans="1:16384" s="3" customFormat="1" ht="14.25" customHeight="1" x14ac:dyDescent="0.3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842</v>
      </c>
      <c r="J81" s="29">
        <v>3</v>
      </c>
      <c r="K81" s="29" t="s">
        <v>330</v>
      </c>
      <c r="L81" s="29" t="s">
        <v>346</v>
      </c>
      <c r="M81" s="30" t="s">
        <v>766</v>
      </c>
      <c r="N81" s="30" t="s">
        <v>902</v>
      </c>
      <c r="O81" s="31">
        <v>1</v>
      </c>
      <c r="P81" s="31"/>
      <c r="Q81" s="30"/>
      <c r="R81" s="20"/>
      <c r="S81" s="20">
        <f t="shared" ref="S81:S114" si="35">IF(J81=$S$7,1,0)</f>
        <v>0</v>
      </c>
      <c r="T81" s="20">
        <f t="shared" ref="T81:T114" si="36">IF(J81=$T$7,1,0)</f>
        <v>0</v>
      </c>
      <c r="U81" s="21">
        <f t="shared" ref="U81:U114" si="37">IF(J81=$U$7,1,0)</f>
        <v>1</v>
      </c>
      <c r="V81" s="21">
        <f t="shared" ref="V81:V114" si="38">IF(J81=$V$7,1,0)</f>
        <v>0</v>
      </c>
      <c r="W81" s="21">
        <f t="shared" ref="W81:W114" si="39">IF(J81=$W$7,1,0)</f>
        <v>0</v>
      </c>
      <c r="X81" s="21">
        <f t="shared" ref="X81:X114" si="40">IF(J81=$X$7,1,0)</f>
        <v>0</v>
      </c>
      <c r="Y81" s="21">
        <f t="shared" ref="Y81:Y114" si="41">IF(J81=$Y$7,1,0)</f>
        <v>0</v>
      </c>
      <c r="Z81" s="20">
        <f t="shared" ref="Z81:Z114" si="42">IF(J81=$Z$7,1,0)</f>
        <v>0</v>
      </c>
      <c r="AA81" s="20">
        <f t="shared" ref="AA81:AA114" si="43">IF(J81=$AA$7,1,0)</f>
        <v>0</v>
      </c>
      <c r="AB81" s="20">
        <f t="shared" ref="AB81:AB114" si="44">IF(J81=$AB$7,1,0)</f>
        <v>0</v>
      </c>
      <c r="AC81" s="20"/>
      <c r="AD81" s="21">
        <f t="shared" ref="AD81:AD114" si="45">+O81*P81</f>
        <v>0</v>
      </c>
      <c r="AE81" s="21">
        <f t="shared" ref="AE81:AE114" si="46">O81*(1-P81)</f>
        <v>1</v>
      </c>
      <c r="AF81" s="7">
        <f t="shared" si="31"/>
        <v>0</v>
      </c>
      <c r="AG81" s="7">
        <f t="shared" si="32"/>
        <v>1</v>
      </c>
      <c r="AH81" s="21">
        <f t="shared" si="33"/>
        <v>0</v>
      </c>
      <c r="AI81" s="20">
        <f t="shared" si="34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3">
      <c r="A82" s="32">
        <v>0</v>
      </c>
      <c r="B82" s="32">
        <v>1</v>
      </c>
      <c r="C82" s="32">
        <v>6</v>
      </c>
      <c r="D82" s="33" t="s">
        <v>61</v>
      </c>
      <c r="E82" s="33" t="s">
        <v>261</v>
      </c>
      <c r="F82" s="33" t="s">
        <v>131</v>
      </c>
      <c r="G82" s="33" t="s">
        <v>132</v>
      </c>
      <c r="H82" s="33" t="s">
        <v>165</v>
      </c>
      <c r="I82" s="32" t="s">
        <v>182</v>
      </c>
      <c r="J82" s="32">
        <v>99</v>
      </c>
      <c r="K82" s="32" t="s">
        <v>329</v>
      </c>
      <c r="L82" s="32" t="s">
        <v>855</v>
      </c>
      <c r="M82" s="33" t="s">
        <v>700</v>
      </c>
      <c r="N82" s="33" t="s">
        <v>901</v>
      </c>
      <c r="O82" s="34"/>
      <c r="P82" s="34"/>
      <c r="Q82" s="33"/>
      <c r="R82" s="2"/>
      <c r="S82" s="2">
        <f t="shared" si="35"/>
        <v>0</v>
      </c>
      <c r="T82" s="2">
        <f t="shared" si="36"/>
        <v>0</v>
      </c>
      <c r="U82" s="2">
        <f t="shared" si="37"/>
        <v>0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C82" s="2"/>
      <c r="AD82" s="2">
        <f t="shared" si="45"/>
        <v>0</v>
      </c>
      <c r="AE82" s="2">
        <f t="shared" si="46"/>
        <v>0</v>
      </c>
      <c r="AF82" s="2">
        <f t="shared" si="31"/>
        <v>0</v>
      </c>
      <c r="AG82" s="2">
        <f t="shared" si="32"/>
        <v>0</v>
      </c>
      <c r="AH82" s="2">
        <f t="shared" si="33"/>
        <v>0</v>
      </c>
      <c r="AI82" s="2">
        <f t="shared" si="34"/>
        <v>1</v>
      </c>
    </row>
    <row r="83" spans="1:16384" s="3" customFormat="1" ht="14.25" customHeight="1" x14ac:dyDescent="0.3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750</v>
      </c>
      <c r="N83" s="30" t="s">
        <v>900</v>
      </c>
      <c r="O83" s="31">
        <v>1</v>
      </c>
      <c r="P83" s="31"/>
      <c r="Q83" s="30"/>
      <c r="R83" s="2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C83" s="2"/>
      <c r="AD83" s="2">
        <f t="shared" si="45"/>
        <v>0</v>
      </c>
      <c r="AE83" s="2">
        <f t="shared" si="46"/>
        <v>1</v>
      </c>
      <c r="AF83" s="2">
        <f t="shared" si="31"/>
        <v>0</v>
      </c>
      <c r="AG83" s="2">
        <f t="shared" si="32"/>
        <v>1</v>
      </c>
      <c r="AH83" s="2">
        <f t="shared" si="33"/>
        <v>0</v>
      </c>
      <c r="AI83" s="2">
        <f t="shared" si="34"/>
        <v>1</v>
      </c>
    </row>
    <row r="84" spans="1:16384" s="3" customFormat="1" ht="14.25" customHeight="1" x14ac:dyDescent="0.3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C84" s="2"/>
      <c r="AD84" s="2">
        <f t="shared" si="45"/>
        <v>0</v>
      </c>
      <c r="AE84" s="2">
        <f t="shared" si="46"/>
        <v>0</v>
      </c>
      <c r="AF84" s="2">
        <f t="shared" si="31"/>
        <v>0</v>
      </c>
      <c r="AG84" s="2">
        <f t="shared" si="32"/>
        <v>0</v>
      </c>
      <c r="AH84" s="2">
        <f t="shared" si="33"/>
        <v>0</v>
      </c>
      <c r="AI84" s="2">
        <f t="shared" si="34"/>
        <v>1</v>
      </c>
    </row>
    <row r="85" spans="1:16384" s="3" customFormat="1" ht="14.25" customHeight="1" x14ac:dyDescent="0.3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C85" s="2"/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1</v>
      </c>
      <c r="AI85" s="2">
        <f t="shared" si="34"/>
        <v>0</v>
      </c>
    </row>
    <row r="86" spans="1:16384" s="3" customFormat="1" ht="14.25" customHeight="1" x14ac:dyDescent="0.3">
      <c r="A86" s="20">
        <v>0</v>
      </c>
      <c r="B86" s="20">
        <v>1</v>
      </c>
      <c r="C86" s="20">
        <v>6</v>
      </c>
      <c r="D86" s="21" t="s">
        <v>734</v>
      </c>
      <c r="E86" s="21" t="s">
        <v>258</v>
      </c>
      <c r="F86" s="21" t="s">
        <v>735</v>
      </c>
      <c r="G86" s="21" t="s">
        <v>736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733</v>
      </c>
      <c r="N86" s="21"/>
      <c r="O86" s="7"/>
      <c r="P86" s="7"/>
      <c r="Q86" s="21"/>
      <c r="R86" s="2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C86" s="2"/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0</v>
      </c>
      <c r="AI86" s="2">
        <f t="shared" si="34"/>
        <v>1</v>
      </c>
    </row>
    <row r="87" spans="1:16384" s="3" customFormat="1" ht="14.25" customHeight="1" x14ac:dyDescent="0.3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830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744</v>
      </c>
      <c r="N87" s="33" t="s">
        <v>901</v>
      </c>
      <c r="O87" s="34"/>
      <c r="P87" s="34"/>
      <c r="Q87" s="33"/>
      <c r="R87" s="2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C87" s="2"/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16384" s="3" customFormat="1" ht="14.25" customHeight="1" x14ac:dyDescent="0.3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783</v>
      </c>
      <c r="N88" s="30" t="s">
        <v>908</v>
      </c>
      <c r="O88" s="31">
        <v>1</v>
      </c>
      <c r="P88" s="31"/>
      <c r="Q88" s="30"/>
      <c r="R88" s="2"/>
      <c r="S88" s="2">
        <f t="shared" si="35"/>
        <v>1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C88" s="2"/>
      <c r="AD88" s="2">
        <f t="shared" si="45"/>
        <v>0</v>
      </c>
      <c r="AE88" s="2">
        <f t="shared" si="46"/>
        <v>1</v>
      </c>
      <c r="AF88" s="2">
        <f t="shared" si="31"/>
        <v>0</v>
      </c>
      <c r="AG88" s="2">
        <f t="shared" si="32"/>
        <v>1</v>
      </c>
      <c r="AH88" s="2">
        <f t="shared" si="33"/>
        <v>0</v>
      </c>
      <c r="AI88" s="2">
        <f t="shared" si="34"/>
        <v>1</v>
      </c>
    </row>
    <row r="89" spans="1:16384" s="3" customFormat="1" ht="14.25" customHeight="1" x14ac:dyDescent="0.3">
      <c r="A89" s="26">
        <v>0</v>
      </c>
      <c r="B89" s="26">
        <v>1</v>
      </c>
      <c r="C89" s="26">
        <v>6</v>
      </c>
      <c r="D89" s="27" t="s">
        <v>983</v>
      </c>
      <c r="E89" s="27" t="s">
        <v>258</v>
      </c>
      <c r="F89" s="27" t="s">
        <v>984</v>
      </c>
      <c r="G89" s="27" t="s">
        <v>985</v>
      </c>
      <c r="H89" s="27" t="s">
        <v>165</v>
      </c>
      <c r="I89" s="26" t="s">
        <v>986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35"/>
        <v>0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C89" s="2"/>
      <c r="AD89" s="2">
        <f t="shared" si="45"/>
        <v>0</v>
      </c>
      <c r="AE89" s="2">
        <f t="shared" si="46"/>
        <v>0</v>
      </c>
      <c r="AF89" s="2">
        <f t="shared" si="31"/>
        <v>0</v>
      </c>
      <c r="AG89" s="2">
        <f t="shared" si="32"/>
        <v>0</v>
      </c>
      <c r="AH89" s="2">
        <f t="shared" si="33"/>
        <v>1</v>
      </c>
      <c r="AI89" s="2">
        <f t="shared" si="34"/>
        <v>0</v>
      </c>
    </row>
    <row r="90" spans="1:16384" s="3" customFormat="1" ht="14.25" customHeight="1" x14ac:dyDescent="0.3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35"/>
        <v>0</v>
      </c>
      <c r="T90" s="2">
        <f t="shared" si="36"/>
        <v>1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C90" s="2"/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0</v>
      </c>
      <c r="AI90" s="2">
        <f t="shared" si="34"/>
        <v>1</v>
      </c>
    </row>
    <row r="91" spans="1:16384" s="3" customFormat="1" ht="14.25" customHeight="1" x14ac:dyDescent="0.3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913</v>
      </c>
      <c r="O91" s="31">
        <v>1</v>
      </c>
      <c r="P91" s="31"/>
      <c r="Q91" s="30"/>
      <c r="R91" s="2"/>
      <c r="S91" s="2">
        <f t="shared" si="35"/>
        <v>0</v>
      </c>
      <c r="T91" s="2">
        <f t="shared" si="36"/>
        <v>0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1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C91" s="2"/>
      <c r="AD91" s="2">
        <f t="shared" si="45"/>
        <v>0</v>
      </c>
      <c r="AE91" s="2">
        <f t="shared" si="46"/>
        <v>1</v>
      </c>
      <c r="AF91" s="2">
        <f t="shared" si="31"/>
        <v>0</v>
      </c>
      <c r="AG91" s="2">
        <f t="shared" si="32"/>
        <v>1</v>
      </c>
      <c r="AH91" s="2">
        <f t="shared" si="33"/>
        <v>0</v>
      </c>
      <c r="AI91" s="2">
        <f t="shared" si="34"/>
        <v>1</v>
      </c>
    </row>
    <row r="92" spans="1:16384" s="3" customFormat="1" ht="14.25" customHeight="1" x14ac:dyDescent="0.3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913</v>
      </c>
      <c r="O92" s="31">
        <v>1</v>
      </c>
      <c r="P92" s="31"/>
      <c r="Q92" s="30"/>
      <c r="R92" s="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0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1</v>
      </c>
      <c r="AC92" s="2"/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0</v>
      </c>
      <c r="AH92" s="2">
        <f t="shared" si="33"/>
        <v>0</v>
      </c>
      <c r="AI92" s="2">
        <f t="shared" si="34"/>
        <v>0</v>
      </c>
    </row>
    <row r="93" spans="1:16384" s="3" customFormat="1" ht="14.25" customHeight="1" x14ac:dyDescent="0.3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913</v>
      </c>
      <c r="O93" s="31">
        <v>1</v>
      </c>
      <c r="P93" s="31"/>
      <c r="Q93" s="30"/>
      <c r="R93" s="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1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0</v>
      </c>
      <c r="AC93" s="2"/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16384" s="3" customFormat="1" ht="14.25" customHeight="1" x14ac:dyDescent="0.3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913</v>
      </c>
      <c r="O94" s="31">
        <v>1</v>
      </c>
      <c r="P94" s="31"/>
      <c r="Q94" s="30"/>
      <c r="R94" s="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0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C94" s="2"/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16384" s="3" customFormat="1" ht="14.25" customHeight="1" x14ac:dyDescent="0.3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913</v>
      </c>
      <c r="O95" s="31">
        <v>1</v>
      </c>
      <c r="P95" s="31"/>
      <c r="Q95" s="30"/>
      <c r="R95" s="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1</v>
      </c>
      <c r="AA95" s="2">
        <f t="shared" si="43"/>
        <v>0</v>
      </c>
      <c r="AB95" s="2">
        <f t="shared" si="44"/>
        <v>0</v>
      </c>
      <c r="AC95" s="2"/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16384" s="3" customFormat="1" ht="14.25" customHeight="1" x14ac:dyDescent="0.3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913</v>
      </c>
      <c r="O96" s="31">
        <v>1</v>
      </c>
      <c r="P96" s="31"/>
      <c r="Q96" s="30"/>
      <c r="R96" s="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0</v>
      </c>
      <c r="AA96" s="2">
        <f t="shared" si="43"/>
        <v>0</v>
      </c>
      <c r="AB96" s="2">
        <f t="shared" si="44"/>
        <v>0</v>
      </c>
      <c r="AC96" s="2"/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3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894</v>
      </c>
      <c r="O97" s="31">
        <v>1</v>
      </c>
      <c r="P97" s="31">
        <v>1</v>
      </c>
      <c r="Q97" s="30"/>
      <c r="S97" s="2">
        <f t="shared" si="35"/>
        <v>1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1</v>
      </c>
      <c r="AE97" s="2">
        <f t="shared" si="46"/>
        <v>0</v>
      </c>
      <c r="AF97" s="2">
        <f t="shared" si="31"/>
        <v>1</v>
      </c>
      <c r="AG97" s="2">
        <f t="shared" si="32"/>
        <v>0</v>
      </c>
      <c r="AH97" s="2">
        <f t="shared" si="33"/>
        <v>1</v>
      </c>
      <c r="AI97" s="2">
        <f t="shared" si="34"/>
        <v>0</v>
      </c>
    </row>
    <row r="98" spans="1:35" ht="14.25" customHeight="1" x14ac:dyDescent="0.3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909</v>
      </c>
      <c r="O98" s="31">
        <v>1</v>
      </c>
      <c r="P98" s="31"/>
      <c r="Q98" s="30"/>
      <c r="S98" s="2">
        <f t="shared" si="35"/>
        <v>0</v>
      </c>
      <c r="T98" s="2">
        <f t="shared" si="36"/>
        <v>0</v>
      </c>
      <c r="U98" s="2">
        <f t="shared" si="37"/>
        <v>1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0</v>
      </c>
      <c r="AE98" s="2">
        <f t="shared" si="46"/>
        <v>1</v>
      </c>
      <c r="AF98" s="2">
        <f t="shared" si="31"/>
        <v>0</v>
      </c>
      <c r="AG98" s="2">
        <f t="shared" si="32"/>
        <v>1</v>
      </c>
      <c r="AH98" s="2">
        <f t="shared" si="33"/>
        <v>0</v>
      </c>
      <c r="AI98" s="2">
        <f t="shared" si="34"/>
        <v>1</v>
      </c>
    </row>
    <row r="99" spans="1:35" ht="14.25" customHeight="1" x14ac:dyDescent="0.3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840</v>
      </c>
      <c r="J99" s="29">
        <v>1</v>
      </c>
      <c r="K99" s="29" t="s">
        <v>320</v>
      </c>
      <c r="L99" s="29" t="s">
        <v>343</v>
      </c>
      <c r="M99" s="30" t="s">
        <v>751</v>
      </c>
      <c r="N99" s="30" t="s">
        <v>902</v>
      </c>
      <c r="O99" s="31">
        <v>1</v>
      </c>
      <c r="P99" s="31"/>
      <c r="Q99" s="30"/>
      <c r="S99" s="2">
        <f t="shared" si="35"/>
        <v>1</v>
      </c>
      <c r="T99" s="2">
        <f t="shared" si="36"/>
        <v>0</v>
      </c>
      <c r="U99" s="2">
        <f t="shared" si="37"/>
        <v>0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3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751</v>
      </c>
      <c r="N100" s="30" t="s">
        <v>902</v>
      </c>
      <c r="O100" s="31">
        <v>1</v>
      </c>
      <c r="P100" s="31"/>
      <c r="Q100" s="30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0</v>
      </c>
      <c r="AH100" s="2">
        <f t="shared" si="33"/>
        <v>0</v>
      </c>
      <c r="AI100" s="2">
        <f t="shared" si="34"/>
        <v>0</v>
      </c>
    </row>
    <row r="101" spans="1:35" ht="14.25" customHeight="1" x14ac:dyDescent="0.3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751</v>
      </c>
      <c r="N101" s="30" t="s">
        <v>902</v>
      </c>
      <c r="O101" s="31">
        <v>1</v>
      </c>
      <c r="P101" s="31"/>
      <c r="Q101" s="30"/>
      <c r="S101" s="2">
        <f t="shared" si="35"/>
        <v>0</v>
      </c>
      <c r="T101" s="2">
        <f t="shared" si="36"/>
        <v>1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3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894</v>
      </c>
      <c r="O102" s="31">
        <v>1</v>
      </c>
      <c r="P102" s="31">
        <v>1</v>
      </c>
      <c r="Q102" s="30"/>
      <c r="S102" s="2">
        <f t="shared" si="35"/>
        <v>0</v>
      </c>
      <c r="T102" s="2">
        <f t="shared" si="36"/>
        <v>0</v>
      </c>
      <c r="U102" s="2">
        <f t="shared" si="37"/>
        <v>1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1</v>
      </c>
      <c r="AE102" s="2">
        <f t="shared" si="46"/>
        <v>0</v>
      </c>
      <c r="AF102" s="2">
        <f t="shared" si="31"/>
        <v>1</v>
      </c>
      <c r="AG102" s="2">
        <f t="shared" si="32"/>
        <v>0</v>
      </c>
      <c r="AH102" s="2">
        <f t="shared" si="33"/>
        <v>1</v>
      </c>
      <c r="AI102" s="2">
        <f t="shared" si="34"/>
        <v>0</v>
      </c>
    </row>
    <row r="103" spans="1:35" ht="14.25" customHeight="1" x14ac:dyDescent="0.3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894</v>
      </c>
      <c r="O103" s="31">
        <v>1</v>
      </c>
      <c r="P103" s="31">
        <v>1</v>
      </c>
      <c r="Q103" s="30"/>
      <c r="S103" s="2">
        <f t="shared" si="35"/>
        <v>0</v>
      </c>
      <c r="T103" s="2">
        <f t="shared" si="36"/>
        <v>1</v>
      </c>
      <c r="U103" s="2">
        <f t="shared" si="37"/>
        <v>0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0</v>
      </c>
      <c r="AG103" s="2">
        <f t="shared" si="32"/>
        <v>0</v>
      </c>
      <c r="AH103" s="2">
        <f t="shared" si="33"/>
        <v>0</v>
      </c>
      <c r="AI103" s="2">
        <f t="shared" si="34"/>
        <v>0</v>
      </c>
    </row>
    <row r="104" spans="1:35" ht="14.25" customHeight="1" x14ac:dyDescent="0.3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836</v>
      </c>
      <c r="G104" s="30" t="s">
        <v>124</v>
      </c>
      <c r="H104" s="30" t="s">
        <v>165</v>
      </c>
      <c r="I104" s="29" t="s">
        <v>850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894</v>
      </c>
      <c r="O104" s="31">
        <v>1</v>
      </c>
      <c r="P104" s="31">
        <v>1</v>
      </c>
      <c r="Q104" s="30"/>
      <c r="S104" s="2">
        <f t="shared" si="35"/>
        <v>0</v>
      </c>
      <c r="T104" s="2">
        <f t="shared" si="36"/>
        <v>0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3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837</v>
      </c>
      <c r="G105" s="30" t="s">
        <v>103</v>
      </c>
      <c r="H105" s="30" t="s">
        <v>165</v>
      </c>
      <c r="I105" s="29" t="s">
        <v>851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894</v>
      </c>
      <c r="O105" s="31">
        <v>1</v>
      </c>
      <c r="P105" s="31">
        <v>1</v>
      </c>
      <c r="Q105" s="30"/>
      <c r="S105" s="2">
        <f t="shared" si="35"/>
        <v>0</v>
      </c>
      <c r="T105" s="2">
        <f t="shared" si="36"/>
        <v>1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3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930</v>
      </c>
      <c r="O106" s="34"/>
      <c r="P106" s="34"/>
      <c r="Q106" s="33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0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1</v>
      </c>
    </row>
    <row r="107" spans="1:35" ht="14.25" customHeight="1" x14ac:dyDescent="0.3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930</v>
      </c>
      <c r="O107" s="34"/>
      <c r="P107" s="34"/>
      <c r="Q107" s="33"/>
      <c r="S107" s="2">
        <f t="shared" si="35"/>
        <v>0</v>
      </c>
      <c r="T107" s="2">
        <f t="shared" si="36"/>
        <v>0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0</v>
      </c>
    </row>
    <row r="108" spans="1:35" ht="14.25" customHeight="1" x14ac:dyDescent="0.3">
      <c r="A108" s="29">
        <v>0</v>
      </c>
      <c r="B108" s="29">
        <v>1</v>
      </c>
      <c r="C108" s="29">
        <v>7</v>
      </c>
      <c r="D108" s="30" t="s">
        <v>947</v>
      </c>
      <c r="E108" s="30" t="s">
        <v>32</v>
      </c>
      <c r="F108" s="30" t="s">
        <v>948</v>
      </c>
      <c r="G108" s="30"/>
      <c r="H108" s="30" t="s">
        <v>165</v>
      </c>
      <c r="I108" s="29" t="s">
        <v>949</v>
      </c>
      <c r="J108" s="29"/>
      <c r="K108" s="29" t="s">
        <v>378</v>
      </c>
      <c r="L108" s="29">
        <v>30</v>
      </c>
      <c r="M108" s="30" t="s">
        <v>950</v>
      </c>
      <c r="N108" s="30" t="s">
        <v>894</v>
      </c>
      <c r="O108" s="31">
        <v>1</v>
      </c>
      <c r="P108" s="31">
        <v>1</v>
      </c>
      <c r="Q108" s="30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1</v>
      </c>
      <c r="AE108" s="2">
        <f t="shared" si="46"/>
        <v>0</v>
      </c>
      <c r="AF108" s="2">
        <f t="shared" si="31"/>
        <v>1</v>
      </c>
      <c r="AG108" s="2">
        <f t="shared" si="32"/>
        <v>0</v>
      </c>
      <c r="AH108" s="2">
        <f t="shared" si="33"/>
        <v>1</v>
      </c>
      <c r="AI108" s="2">
        <f t="shared" si="34"/>
        <v>0</v>
      </c>
    </row>
    <row r="109" spans="1:35" ht="14.25" customHeight="1" x14ac:dyDescent="0.3">
      <c r="A109" s="20">
        <v>0</v>
      </c>
      <c r="B109" s="20">
        <v>1</v>
      </c>
      <c r="C109" s="20">
        <v>7</v>
      </c>
      <c r="D109" s="21" t="s">
        <v>962</v>
      </c>
      <c r="E109" s="21" t="s">
        <v>32</v>
      </c>
      <c r="F109" s="21" t="s">
        <v>963</v>
      </c>
      <c r="G109" s="21"/>
      <c r="H109" s="21" t="s">
        <v>165</v>
      </c>
      <c r="I109" s="20" t="s">
        <v>964</v>
      </c>
      <c r="J109" s="20"/>
      <c r="K109" s="20" t="s">
        <v>378</v>
      </c>
      <c r="L109" s="20">
        <v>40</v>
      </c>
      <c r="M109" s="21" t="s">
        <v>965</v>
      </c>
      <c r="N109" s="21"/>
      <c r="O109" s="7"/>
      <c r="P109" s="7"/>
      <c r="Q109" s="21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0</v>
      </c>
      <c r="AE109" s="2">
        <f t="shared" si="46"/>
        <v>0</v>
      </c>
      <c r="AF109" s="2">
        <f t="shared" si="31"/>
        <v>0</v>
      </c>
      <c r="AG109" s="2">
        <f t="shared" si="32"/>
        <v>0</v>
      </c>
      <c r="AH109" s="2">
        <f t="shared" si="33"/>
        <v>0</v>
      </c>
      <c r="AI109" s="2">
        <f t="shared" si="34"/>
        <v>1</v>
      </c>
    </row>
    <row r="110" spans="1:35" ht="14.25" customHeight="1" x14ac:dyDescent="0.3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896</v>
      </c>
      <c r="O110" s="34"/>
      <c r="P110" s="34"/>
      <c r="Q110" s="33"/>
      <c r="S110" s="2">
        <f t="shared" si="35"/>
        <v>1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3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914</v>
      </c>
      <c r="O111" s="31">
        <v>1</v>
      </c>
      <c r="P111" s="31"/>
      <c r="Q111" s="30"/>
      <c r="S111" s="2">
        <f t="shared" si="35"/>
        <v>0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1</v>
      </c>
      <c r="AF111" s="2">
        <f t="shared" si="31"/>
        <v>0</v>
      </c>
      <c r="AG111" s="2">
        <f t="shared" si="32"/>
        <v>1</v>
      </c>
      <c r="AH111" s="2">
        <f t="shared" si="33"/>
        <v>0</v>
      </c>
      <c r="AI111" s="2">
        <f t="shared" si="34"/>
        <v>1</v>
      </c>
    </row>
    <row r="112" spans="1:35" ht="14.25" customHeight="1" x14ac:dyDescent="0.3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914</v>
      </c>
      <c r="O112" s="31">
        <v>1</v>
      </c>
      <c r="P112" s="31"/>
      <c r="Q112" s="30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0</v>
      </c>
      <c r="AH112" s="2">
        <f t="shared" si="33"/>
        <v>0</v>
      </c>
      <c r="AI112" s="2">
        <f t="shared" si="34"/>
        <v>0</v>
      </c>
    </row>
    <row r="113" spans="1:35" ht="14.25" customHeight="1" x14ac:dyDescent="0.3">
      <c r="A113" s="20">
        <v>0</v>
      </c>
      <c r="B113" s="20">
        <v>1</v>
      </c>
      <c r="C113" s="20">
        <v>7</v>
      </c>
      <c r="D113" s="21" t="s">
        <v>966</v>
      </c>
      <c r="E113" s="21" t="s">
        <v>32</v>
      </c>
      <c r="F113" s="21" t="s">
        <v>967</v>
      </c>
      <c r="G113" s="21" t="s">
        <v>403</v>
      </c>
      <c r="H113" s="21" t="s">
        <v>165</v>
      </c>
      <c r="I113" s="20" t="s">
        <v>968</v>
      </c>
      <c r="J113" s="20"/>
      <c r="K113" s="20" t="s">
        <v>378</v>
      </c>
      <c r="L113" s="20">
        <v>50</v>
      </c>
      <c r="M113" s="21" t="s">
        <v>969</v>
      </c>
      <c r="N113" s="21"/>
      <c r="O113" s="7"/>
      <c r="P113" s="7"/>
      <c r="Q113" s="21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0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1</v>
      </c>
    </row>
    <row r="114" spans="1:35" ht="14.25" customHeight="1" x14ac:dyDescent="0.3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894</v>
      </c>
      <c r="O114" s="31">
        <v>1</v>
      </c>
      <c r="P114" s="31">
        <v>1</v>
      </c>
      <c r="Q114" s="30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1</v>
      </c>
      <c r="AE114" s="2">
        <f t="shared" si="46"/>
        <v>0</v>
      </c>
      <c r="AF114" s="2">
        <f t="shared" si="31"/>
        <v>1</v>
      </c>
      <c r="AG114" s="2">
        <f t="shared" si="32"/>
        <v>0</v>
      </c>
      <c r="AH114" s="2">
        <f t="shared" si="33"/>
        <v>1</v>
      </c>
      <c r="AI114" s="2">
        <f t="shared" si="34"/>
        <v>0</v>
      </c>
    </row>
    <row r="115" spans="1:35" ht="14.25" customHeight="1" x14ac:dyDescent="0.3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894</v>
      </c>
      <c r="O115" s="31">
        <v>1</v>
      </c>
      <c r="P115" s="31">
        <v>1</v>
      </c>
      <c r="Q115" s="30"/>
      <c r="S115" s="2">
        <f t="shared" ref="S115:S178" si="47">IF(J115=$S$7,1,0)</f>
        <v>1</v>
      </c>
      <c r="T115" s="2">
        <f t="shared" ref="T115:T178" si="48">IF(J115=$T$7,1,0)</f>
        <v>0</v>
      </c>
      <c r="U115" s="2">
        <f t="shared" ref="U115:U178" si="49">IF(J115=$U$7,1,0)</f>
        <v>0</v>
      </c>
      <c r="V115" s="2">
        <f t="shared" ref="V115:V178" si="50">IF(J115=$V$7,1,0)</f>
        <v>0</v>
      </c>
      <c r="W115" s="2">
        <f t="shared" ref="W115:W178" si="51">IF(J115=$W$7,1,0)</f>
        <v>0</v>
      </c>
      <c r="X115" s="2">
        <f t="shared" ref="X115:X178" si="52">IF(J115=$X$7,1,0)</f>
        <v>0</v>
      </c>
      <c r="Y115" s="2">
        <f t="shared" ref="Y115:Y178" si="53">IF(J115=$Y$7,1,0)</f>
        <v>0</v>
      </c>
      <c r="Z115" s="2">
        <f t="shared" ref="Z115:Z178" si="54">IF(J115=$Z$7,1,0)</f>
        <v>0</v>
      </c>
      <c r="AA115" s="2">
        <f t="shared" ref="AA115:AA178" si="55">IF(J115=$AA$7,1,0)</f>
        <v>0</v>
      </c>
      <c r="AB115" s="2">
        <f t="shared" ref="AB115:AB178" si="56">IF(J115=$AB$7,1,0)</f>
        <v>0</v>
      </c>
      <c r="AD115" s="2">
        <f t="shared" ref="AD115:AD178" si="57">+O115*P115</f>
        <v>1</v>
      </c>
      <c r="AE115" s="2">
        <f t="shared" ref="AE115:AE178" si="58">O115*(1-P115)</f>
        <v>0</v>
      </c>
      <c r="AF115" s="2">
        <f t="shared" ref="AF115:AF178" si="59">+O115*P115*(1-A115)</f>
        <v>0</v>
      </c>
      <c r="AG115" s="2">
        <f t="shared" ref="AG115:AG178" si="60">O115*(1-P115)*(1-A115)</f>
        <v>0</v>
      </c>
      <c r="AH115" s="2">
        <f t="shared" ref="AH115:AH178" si="61">+P115*(1-A115)</f>
        <v>0</v>
      </c>
      <c r="AI115" s="2">
        <f t="shared" ref="AI115:AI178" si="62">+(1-A115)*(1-P115)</f>
        <v>0</v>
      </c>
    </row>
    <row r="116" spans="1:35" ht="14.25" customHeight="1" x14ac:dyDescent="0.3">
      <c r="A116" s="29">
        <v>0</v>
      </c>
      <c r="B116" s="29">
        <v>2</v>
      </c>
      <c r="C116" s="29">
        <v>1</v>
      </c>
      <c r="D116" s="30" t="s">
        <v>992</v>
      </c>
      <c r="E116" s="30" t="s">
        <v>44</v>
      </c>
      <c r="F116" s="30" t="s">
        <v>993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894</v>
      </c>
      <c r="O116" s="31">
        <v>1</v>
      </c>
      <c r="P116" s="31">
        <v>1</v>
      </c>
      <c r="Q116" s="30" t="s">
        <v>994</v>
      </c>
      <c r="S116" s="2">
        <f t="shared" si="47"/>
        <v>1</v>
      </c>
      <c r="T116" s="2">
        <f t="shared" si="48"/>
        <v>0</v>
      </c>
      <c r="U116" s="2">
        <f t="shared" si="49"/>
        <v>0</v>
      </c>
      <c r="V116" s="2">
        <f t="shared" si="50"/>
        <v>0</v>
      </c>
      <c r="W116" s="2">
        <f t="shared" si="51"/>
        <v>0</v>
      </c>
      <c r="X116" s="2">
        <f t="shared" si="52"/>
        <v>0</v>
      </c>
      <c r="Y116" s="2">
        <f t="shared" si="53"/>
        <v>0</v>
      </c>
      <c r="Z116" s="2">
        <f t="shared" si="54"/>
        <v>0</v>
      </c>
      <c r="AA116" s="2">
        <f t="shared" si="55"/>
        <v>0</v>
      </c>
      <c r="AB116" s="2">
        <f t="shared" si="56"/>
        <v>0</v>
      </c>
      <c r="AD116" s="2">
        <f t="shared" si="57"/>
        <v>1</v>
      </c>
      <c r="AE116" s="2">
        <f t="shared" si="58"/>
        <v>0</v>
      </c>
      <c r="AF116" s="2">
        <f t="shared" si="59"/>
        <v>1</v>
      </c>
      <c r="AG116" s="2">
        <f t="shared" si="60"/>
        <v>0</v>
      </c>
      <c r="AH116" s="2">
        <f t="shared" si="61"/>
        <v>1</v>
      </c>
      <c r="AI116" s="2">
        <f t="shared" si="62"/>
        <v>0</v>
      </c>
    </row>
    <row r="117" spans="1:35" ht="14.25" customHeight="1" x14ac:dyDescent="0.3">
      <c r="A117" s="20">
        <v>0</v>
      </c>
      <c r="B117" s="20">
        <v>2</v>
      </c>
      <c r="C117" s="20">
        <v>1</v>
      </c>
      <c r="D117" s="21" t="s">
        <v>794</v>
      </c>
      <c r="E117" s="21" t="s">
        <v>470</v>
      </c>
      <c r="F117" s="21" t="s">
        <v>795</v>
      </c>
      <c r="G117" s="21" t="s">
        <v>114</v>
      </c>
      <c r="H117" s="21" t="s">
        <v>165</v>
      </c>
      <c r="I117" s="20" t="s">
        <v>796</v>
      </c>
      <c r="J117" s="20">
        <v>99</v>
      </c>
      <c r="K117" s="20" t="s">
        <v>378</v>
      </c>
      <c r="L117" s="20">
        <v>6</v>
      </c>
      <c r="M117" s="21" t="s">
        <v>943</v>
      </c>
      <c r="N117" s="21"/>
      <c r="O117" s="7"/>
      <c r="P117" s="7"/>
      <c r="Q117" s="21"/>
      <c r="S117" s="2">
        <f t="shared" si="47"/>
        <v>0</v>
      </c>
      <c r="T117" s="2">
        <f t="shared" si="48"/>
        <v>0</v>
      </c>
      <c r="U117" s="2">
        <f t="shared" si="49"/>
        <v>0</v>
      </c>
      <c r="V117" s="2">
        <f t="shared" si="50"/>
        <v>0</v>
      </c>
      <c r="W117" s="2">
        <f t="shared" si="51"/>
        <v>0</v>
      </c>
      <c r="X117" s="2">
        <f t="shared" si="52"/>
        <v>0</v>
      </c>
      <c r="Y117" s="2">
        <f t="shared" si="53"/>
        <v>0</v>
      </c>
      <c r="Z117" s="2">
        <f t="shared" si="54"/>
        <v>0</v>
      </c>
      <c r="AA117" s="2">
        <f t="shared" si="55"/>
        <v>0</v>
      </c>
      <c r="AB117" s="2">
        <f t="shared" si="56"/>
        <v>0</v>
      </c>
      <c r="AD117" s="2">
        <f t="shared" si="57"/>
        <v>0</v>
      </c>
      <c r="AE117" s="2">
        <f t="shared" si="58"/>
        <v>0</v>
      </c>
      <c r="AF117" s="2">
        <f t="shared" si="59"/>
        <v>0</v>
      </c>
      <c r="AG117" s="2">
        <f t="shared" si="60"/>
        <v>0</v>
      </c>
      <c r="AH117" s="2">
        <f t="shared" si="61"/>
        <v>0</v>
      </c>
      <c r="AI117" s="2">
        <f t="shared" si="62"/>
        <v>1</v>
      </c>
    </row>
    <row r="118" spans="1:35" ht="14.25" customHeight="1" x14ac:dyDescent="0.3">
      <c r="A118" s="29">
        <v>0</v>
      </c>
      <c r="B118" s="29">
        <v>2</v>
      </c>
      <c r="C118" s="29">
        <v>1</v>
      </c>
      <c r="D118" s="30" t="s">
        <v>789</v>
      </c>
      <c r="E118" s="30" t="s">
        <v>470</v>
      </c>
      <c r="F118" s="30" t="s">
        <v>790</v>
      </c>
      <c r="G118" s="30" t="s">
        <v>103</v>
      </c>
      <c r="H118" s="30" t="s">
        <v>165</v>
      </c>
      <c r="I118" s="29" t="s">
        <v>791</v>
      </c>
      <c r="J118" s="29">
        <v>2</v>
      </c>
      <c r="K118" s="29" t="s">
        <v>321</v>
      </c>
      <c r="L118" s="29">
        <v>15</v>
      </c>
      <c r="M118" s="30" t="s">
        <v>863</v>
      </c>
      <c r="N118" s="30" t="s">
        <v>894</v>
      </c>
      <c r="O118" s="31">
        <v>1</v>
      </c>
      <c r="P118" s="31">
        <v>1</v>
      </c>
      <c r="Q118" s="30"/>
      <c r="S118" s="2">
        <f t="shared" si="47"/>
        <v>0</v>
      </c>
      <c r="T118" s="2">
        <f t="shared" si="48"/>
        <v>1</v>
      </c>
      <c r="U118" s="2">
        <f t="shared" si="49"/>
        <v>0</v>
      </c>
      <c r="V118" s="2">
        <f t="shared" si="50"/>
        <v>0</v>
      </c>
      <c r="W118" s="2">
        <f t="shared" si="51"/>
        <v>0</v>
      </c>
      <c r="X118" s="2">
        <f t="shared" si="52"/>
        <v>0</v>
      </c>
      <c r="Y118" s="2">
        <f t="shared" si="53"/>
        <v>0</v>
      </c>
      <c r="Z118" s="2">
        <f t="shared" si="54"/>
        <v>0</v>
      </c>
      <c r="AA118" s="2">
        <f t="shared" si="55"/>
        <v>0</v>
      </c>
      <c r="AB118" s="2">
        <f t="shared" si="56"/>
        <v>0</v>
      </c>
      <c r="AD118" s="2">
        <f t="shared" si="57"/>
        <v>1</v>
      </c>
      <c r="AE118" s="2">
        <f t="shared" si="58"/>
        <v>0</v>
      </c>
      <c r="AF118" s="2">
        <f t="shared" si="59"/>
        <v>1</v>
      </c>
      <c r="AG118" s="2">
        <f t="shared" si="60"/>
        <v>0</v>
      </c>
      <c r="AH118" s="2">
        <f t="shared" si="61"/>
        <v>1</v>
      </c>
      <c r="AI118" s="2">
        <f t="shared" si="62"/>
        <v>0</v>
      </c>
    </row>
    <row r="119" spans="1:35" ht="14.25" customHeight="1" x14ac:dyDescent="0.3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863</v>
      </c>
      <c r="N119" s="30" t="s">
        <v>894</v>
      </c>
      <c r="O119" s="31">
        <v>1</v>
      </c>
      <c r="P119" s="31">
        <v>1</v>
      </c>
      <c r="Q119" s="30"/>
      <c r="S119" s="2">
        <f t="shared" si="47"/>
        <v>0</v>
      </c>
      <c r="T119" s="2">
        <f t="shared" si="48"/>
        <v>0</v>
      </c>
      <c r="U119" s="2">
        <f t="shared" si="49"/>
        <v>0</v>
      </c>
      <c r="V119" s="2">
        <f t="shared" si="50"/>
        <v>0</v>
      </c>
      <c r="W119" s="2">
        <f t="shared" si="51"/>
        <v>0</v>
      </c>
      <c r="X119" s="2">
        <f t="shared" si="52"/>
        <v>0</v>
      </c>
      <c r="Y119" s="2">
        <f t="shared" si="53"/>
        <v>0</v>
      </c>
      <c r="Z119" s="2">
        <f t="shared" si="54"/>
        <v>0</v>
      </c>
      <c r="AA119" s="2">
        <f t="shared" si="55"/>
        <v>0</v>
      </c>
      <c r="AB119" s="2">
        <f t="shared" si="56"/>
        <v>0</v>
      </c>
      <c r="AD119" s="2">
        <f t="shared" si="57"/>
        <v>1</v>
      </c>
      <c r="AE119" s="2">
        <f t="shared" si="58"/>
        <v>0</v>
      </c>
      <c r="AF119" s="2">
        <f t="shared" si="59"/>
        <v>1</v>
      </c>
      <c r="AG119" s="2">
        <f t="shared" si="60"/>
        <v>0</v>
      </c>
      <c r="AH119" s="2">
        <f t="shared" si="61"/>
        <v>1</v>
      </c>
      <c r="AI119" s="2">
        <f t="shared" si="62"/>
        <v>0</v>
      </c>
    </row>
    <row r="120" spans="1:35" ht="14.25" customHeight="1" x14ac:dyDescent="0.3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864</v>
      </c>
      <c r="N120" s="30" t="s">
        <v>894</v>
      </c>
      <c r="O120" s="31">
        <v>1</v>
      </c>
      <c r="P120" s="31">
        <v>1</v>
      </c>
      <c r="Q120" s="30"/>
      <c r="S120" s="2">
        <f t="shared" si="47"/>
        <v>0</v>
      </c>
      <c r="T120" s="2">
        <f t="shared" si="48"/>
        <v>1</v>
      </c>
      <c r="U120" s="2">
        <f t="shared" si="49"/>
        <v>0</v>
      </c>
      <c r="V120" s="2">
        <f t="shared" si="50"/>
        <v>0</v>
      </c>
      <c r="W120" s="2">
        <f t="shared" si="51"/>
        <v>0</v>
      </c>
      <c r="X120" s="2">
        <f t="shared" si="52"/>
        <v>0</v>
      </c>
      <c r="Y120" s="2">
        <f t="shared" si="53"/>
        <v>0</v>
      </c>
      <c r="Z120" s="2">
        <f t="shared" si="54"/>
        <v>0</v>
      </c>
      <c r="AA120" s="2">
        <f t="shared" si="55"/>
        <v>0</v>
      </c>
      <c r="AB120" s="2">
        <f t="shared" si="56"/>
        <v>0</v>
      </c>
      <c r="AD120" s="2">
        <f t="shared" si="57"/>
        <v>1</v>
      </c>
      <c r="AE120" s="2">
        <f t="shared" si="58"/>
        <v>0</v>
      </c>
      <c r="AF120" s="2">
        <f t="shared" si="59"/>
        <v>0</v>
      </c>
      <c r="AG120" s="2">
        <f t="shared" si="60"/>
        <v>0</v>
      </c>
      <c r="AH120" s="2">
        <f t="shared" si="61"/>
        <v>0</v>
      </c>
      <c r="AI120" s="2">
        <f t="shared" si="62"/>
        <v>0</v>
      </c>
    </row>
    <row r="121" spans="1:35" ht="14.25" customHeight="1" x14ac:dyDescent="0.3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865</v>
      </c>
      <c r="N121" s="30" t="s">
        <v>894</v>
      </c>
      <c r="O121" s="31">
        <v>1</v>
      </c>
      <c r="P121" s="31">
        <v>1</v>
      </c>
      <c r="Q121" s="30"/>
      <c r="S121" s="2">
        <f t="shared" si="47"/>
        <v>0</v>
      </c>
      <c r="T121" s="2">
        <f t="shared" si="48"/>
        <v>0</v>
      </c>
      <c r="U121" s="2">
        <f t="shared" si="49"/>
        <v>0</v>
      </c>
      <c r="V121" s="2">
        <f t="shared" si="50"/>
        <v>0</v>
      </c>
      <c r="W121" s="2">
        <f t="shared" si="51"/>
        <v>0</v>
      </c>
      <c r="X121" s="2">
        <f t="shared" si="52"/>
        <v>0</v>
      </c>
      <c r="Y121" s="2">
        <f t="shared" si="53"/>
        <v>0</v>
      </c>
      <c r="Z121" s="2">
        <f t="shared" si="54"/>
        <v>0</v>
      </c>
      <c r="AA121" s="2">
        <f t="shared" si="55"/>
        <v>0</v>
      </c>
      <c r="AB121" s="2">
        <f t="shared" si="56"/>
        <v>0</v>
      </c>
      <c r="AD121" s="2">
        <f t="shared" si="57"/>
        <v>1</v>
      </c>
      <c r="AE121" s="2">
        <f t="shared" si="58"/>
        <v>0</v>
      </c>
      <c r="AF121" s="2">
        <f t="shared" si="59"/>
        <v>0</v>
      </c>
      <c r="AG121" s="2">
        <f t="shared" si="60"/>
        <v>0</v>
      </c>
      <c r="AH121" s="2">
        <f t="shared" si="61"/>
        <v>0</v>
      </c>
      <c r="AI121" s="2">
        <f t="shared" si="62"/>
        <v>0</v>
      </c>
    </row>
    <row r="122" spans="1:35" ht="14.25" customHeight="1" x14ac:dyDescent="0.3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777</v>
      </c>
      <c r="G122" s="30" t="s">
        <v>778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866</v>
      </c>
      <c r="N122" s="30" t="s">
        <v>894</v>
      </c>
      <c r="O122" s="31">
        <v>1</v>
      </c>
      <c r="P122" s="31">
        <v>1</v>
      </c>
      <c r="Q122" s="30"/>
      <c r="S122" s="2">
        <f t="shared" si="47"/>
        <v>0</v>
      </c>
      <c r="T122" s="2">
        <f t="shared" si="48"/>
        <v>0</v>
      </c>
      <c r="U122" s="2">
        <f t="shared" si="49"/>
        <v>0</v>
      </c>
      <c r="V122" s="2">
        <f t="shared" si="50"/>
        <v>0</v>
      </c>
      <c r="W122" s="2">
        <f t="shared" si="51"/>
        <v>0</v>
      </c>
      <c r="X122" s="2">
        <f t="shared" si="52"/>
        <v>0</v>
      </c>
      <c r="Y122" s="2">
        <f t="shared" si="53"/>
        <v>0</v>
      </c>
      <c r="Z122" s="2">
        <f t="shared" si="54"/>
        <v>0</v>
      </c>
      <c r="AA122" s="2">
        <f t="shared" si="55"/>
        <v>0</v>
      </c>
      <c r="AB122" s="2">
        <f t="shared" si="56"/>
        <v>0</v>
      </c>
      <c r="AD122" s="2">
        <f t="shared" si="57"/>
        <v>1</v>
      </c>
      <c r="AE122" s="2">
        <f t="shared" si="58"/>
        <v>0</v>
      </c>
      <c r="AF122" s="2">
        <f t="shared" si="59"/>
        <v>0</v>
      </c>
      <c r="AG122" s="2">
        <f t="shared" si="60"/>
        <v>0</v>
      </c>
      <c r="AH122" s="2">
        <f t="shared" si="61"/>
        <v>0</v>
      </c>
      <c r="AI122" s="2">
        <f t="shared" si="62"/>
        <v>0</v>
      </c>
    </row>
    <row r="123" spans="1:35" ht="14.25" customHeight="1" x14ac:dyDescent="0.3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779</v>
      </c>
      <c r="G123" s="30" t="s">
        <v>819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867</v>
      </c>
      <c r="N123" s="30" t="s">
        <v>894</v>
      </c>
      <c r="O123" s="31">
        <v>1</v>
      </c>
      <c r="P123" s="31">
        <v>1</v>
      </c>
      <c r="Q123" s="30"/>
      <c r="S123" s="2">
        <f t="shared" si="47"/>
        <v>0</v>
      </c>
      <c r="T123" s="2">
        <f t="shared" si="48"/>
        <v>0</v>
      </c>
      <c r="U123" s="2">
        <f t="shared" si="49"/>
        <v>1</v>
      </c>
      <c r="V123" s="2">
        <f t="shared" si="50"/>
        <v>0</v>
      </c>
      <c r="W123" s="2">
        <f t="shared" si="51"/>
        <v>0</v>
      </c>
      <c r="X123" s="2">
        <f t="shared" si="52"/>
        <v>0</v>
      </c>
      <c r="Y123" s="2">
        <f t="shared" si="53"/>
        <v>0</v>
      </c>
      <c r="Z123" s="2">
        <f t="shared" si="54"/>
        <v>0</v>
      </c>
      <c r="AA123" s="2">
        <f t="shared" si="55"/>
        <v>0</v>
      </c>
      <c r="AB123" s="2">
        <f t="shared" si="56"/>
        <v>0</v>
      </c>
      <c r="AD123" s="2">
        <f t="shared" si="57"/>
        <v>1</v>
      </c>
      <c r="AE123" s="2">
        <f t="shared" si="58"/>
        <v>0</v>
      </c>
      <c r="AF123" s="2">
        <f t="shared" si="59"/>
        <v>0</v>
      </c>
      <c r="AG123" s="2">
        <f t="shared" si="60"/>
        <v>0</v>
      </c>
      <c r="AH123" s="2">
        <f t="shared" si="61"/>
        <v>0</v>
      </c>
      <c r="AI123" s="2">
        <f t="shared" si="62"/>
        <v>0</v>
      </c>
    </row>
    <row r="124" spans="1:35" ht="14.25" customHeight="1" x14ac:dyDescent="0.3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900</v>
      </c>
      <c r="O124" s="31">
        <v>1</v>
      </c>
      <c r="P124" s="31"/>
      <c r="Q124" s="30"/>
      <c r="S124" s="2">
        <f t="shared" si="47"/>
        <v>0</v>
      </c>
      <c r="T124" s="2">
        <f t="shared" si="48"/>
        <v>0</v>
      </c>
      <c r="U124" s="2">
        <f t="shared" si="49"/>
        <v>0</v>
      </c>
      <c r="V124" s="2">
        <f t="shared" si="50"/>
        <v>0</v>
      </c>
      <c r="W124" s="2">
        <f t="shared" si="51"/>
        <v>0</v>
      </c>
      <c r="X124" s="2">
        <f t="shared" si="52"/>
        <v>0</v>
      </c>
      <c r="Y124" s="2">
        <f t="shared" si="53"/>
        <v>0</v>
      </c>
      <c r="Z124" s="2">
        <f t="shared" si="54"/>
        <v>0</v>
      </c>
      <c r="AA124" s="2">
        <f t="shared" si="55"/>
        <v>0</v>
      </c>
      <c r="AB124" s="2">
        <f t="shared" si="56"/>
        <v>0</v>
      </c>
      <c r="AD124" s="2">
        <f t="shared" si="57"/>
        <v>0</v>
      </c>
      <c r="AE124" s="2">
        <f t="shared" si="58"/>
        <v>1</v>
      </c>
      <c r="AF124" s="2">
        <f t="shared" si="59"/>
        <v>0</v>
      </c>
      <c r="AG124" s="2">
        <f t="shared" si="60"/>
        <v>1</v>
      </c>
      <c r="AH124" s="2">
        <f t="shared" si="61"/>
        <v>0</v>
      </c>
      <c r="AI124" s="2">
        <f t="shared" si="62"/>
        <v>1</v>
      </c>
    </row>
    <row r="125" spans="1:35" ht="14.25" customHeight="1" x14ac:dyDescent="0.3">
      <c r="A125" s="29">
        <v>0</v>
      </c>
      <c r="B125" s="29">
        <v>2</v>
      </c>
      <c r="C125" s="29">
        <v>1</v>
      </c>
      <c r="D125" s="30" t="s">
        <v>937</v>
      </c>
      <c r="E125" s="30" t="s">
        <v>470</v>
      </c>
      <c r="F125" s="30" t="s">
        <v>938</v>
      </c>
      <c r="G125" s="30" t="s">
        <v>38</v>
      </c>
      <c r="H125" s="30" t="s">
        <v>165</v>
      </c>
      <c r="I125" s="29" t="s">
        <v>939</v>
      </c>
      <c r="J125" s="29">
        <v>1</v>
      </c>
      <c r="K125" s="29" t="s">
        <v>378</v>
      </c>
      <c r="L125" s="29"/>
      <c r="M125" s="30"/>
      <c r="N125" s="30" t="s">
        <v>894</v>
      </c>
      <c r="O125" s="31">
        <v>1</v>
      </c>
      <c r="P125" s="31">
        <v>1</v>
      </c>
      <c r="Q125" s="30"/>
      <c r="S125" s="2">
        <f t="shared" si="47"/>
        <v>1</v>
      </c>
      <c r="T125" s="2">
        <f t="shared" si="48"/>
        <v>0</v>
      </c>
      <c r="U125" s="2">
        <f t="shared" si="49"/>
        <v>0</v>
      </c>
      <c r="V125" s="2">
        <f t="shared" si="50"/>
        <v>0</v>
      </c>
      <c r="W125" s="2">
        <f t="shared" si="51"/>
        <v>0</v>
      </c>
      <c r="X125" s="2">
        <f t="shared" si="52"/>
        <v>0</v>
      </c>
      <c r="Y125" s="2">
        <f t="shared" si="53"/>
        <v>0</v>
      </c>
      <c r="Z125" s="2">
        <f t="shared" si="54"/>
        <v>0</v>
      </c>
      <c r="AA125" s="2">
        <f t="shared" si="55"/>
        <v>0</v>
      </c>
      <c r="AB125" s="2">
        <f t="shared" si="56"/>
        <v>0</v>
      </c>
      <c r="AD125" s="2">
        <f t="shared" si="57"/>
        <v>1</v>
      </c>
      <c r="AE125" s="2">
        <f t="shared" si="58"/>
        <v>0</v>
      </c>
      <c r="AF125" s="2">
        <f t="shared" si="59"/>
        <v>1</v>
      </c>
      <c r="AG125" s="2">
        <f t="shared" si="60"/>
        <v>0</v>
      </c>
      <c r="AH125" s="2">
        <f t="shared" si="61"/>
        <v>1</v>
      </c>
      <c r="AI125" s="2">
        <f t="shared" si="62"/>
        <v>0</v>
      </c>
    </row>
    <row r="126" spans="1:35" ht="14.25" customHeight="1" x14ac:dyDescent="0.3">
      <c r="A126" s="29">
        <v>0</v>
      </c>
      <c r="B126" s="29">
        <v>2</v>
      </c>
      <c r="C126" s="29">
        <v>1</v>
      </c>
      <c r="D126" s="30" t="s">
        <v>760</v>
      </c>
      <c r="E126" s="30" t="s">
        <v>470</v>
      </c>
      <c r="F126" s="30" t="s">
        <v>761</v>
      </c>
      <c r="G126" s="30" t="s">
        <v>820</v>
      </c>
      <c r="H126" s="30" t="s">
        <v>165</v>
      </c>
      <c r="I126" s="29" t="s">
        <v>762</v>
      </c>
      <c r="J126" s="29">
        <v>99</v>
      </c>
      <c r="K126" s="29" t="s">
        <v>320</v>
      </c>
      <c r="L126" s="29"/>
      <c r="M126" s="30" t="s">
        <v>708</v>
      </c>
      <c r="N126" s="30" t="s">
        <v>894</v>
      </c>
      <c r="O126" s="31">
        <v>1</v>
      </c>
      <c r="P126" s="31">
        <v>1</v>
      </c>
      <c r="Q126" s="30"/>
      <c r="S126" s="2">
        <f t="shared" si="47"/>
        <v>0</v>
      </c>
      <c r="T126" s="2">
        <f t="shared" si="48"/>
        <v>0</v>
      </c>
      <c r="U126" s="2">
        <f t="shared" si="49"/>
        <v>0</v>
      </c>
      <c r="V126" s="2">
        <f t="shared" si="50"/>
        <v>0</v>
      </c>
      <c r="W126" s="2">
        <f t="shared" si="51"/>
        <v>0</v>
      </c>
      <c r="X126" s="2">
        <f t="shared" si="52"/>
        <v>0</v>
      </c>
      <c r="Y126" s="2">
        <f t="shared" si="53"/>
        <v>0</v>
      </c>
      <c r="Z126" s="2">
        <f t="shared" si="54"/>
        <v>0</v>
      </c>
      <c r="AA126" s="2">
        <f t="shared" si="55"/>
        <v>0</v>
      </c>
      <c r="AB126" s="2">
        <f t="shared" si="56"/>
        <v>0</v>
      </c>
      <c r="AD126" s="2">
        <f t="shared" si="57"/>
        <v>1</v>
      </c>
      <c r="AE126" s="2">
        <f t="shared" si="58"/>
        <v>0</v>
      </c>
      <c r="AF126" s="2">
        <f t="shared" si="59"/>
        <v>1</v>
      </c>
      <c r="AG126" s="2">
        <f t="shared" si="60"/>
        <v>0</v>
      </c>
      <c r="AH126" s="2">
        <f t="shared" si="61"/>
        <v>1</v>
      </c>
      <c r="AI126" s="2">
        <f t="shared" si="62"/>
        <v>0</v>
      </c>
    </row>
    <row r="127" spans="1:35" ht="14.25" customHeight="1" x14ac:dyDescent="0.3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894</v>
      </c>
      <c r="O127" s="31">
        <v>1</v>
      </c>
      <c r="P127" s="31">
        <v>1</v>
      </c>
      <c r="Q127" s="30"/>
      <c r="S127" s="2">
        <f t="shared" si="47"/>
        <v>0</v>
      </c>
      <c r="T127" s="2">
        <f t="shared" si="48"/>
        <v>0</v>
      </c>
      <c r="U127" s="2">
        <f t="shared" si="49"/>
        <v>1</v>
      </c>
      <c r="V127" s="2">
        <f t="shared" si="50"/>
        <v>0</v>
      </c>
      <c r="W127" s="2">
        <f t="shared" si="51"/>
        <v>0</v>
      </c>
      <c r="X127" s="2">
        <f t="shared" si="52"/>
        <v>0</v>
      </c>
      <c r="Y127" s="2">
        <f t="shared" si="53"/>
        <v>0</v>
      </c>
      <c r="Z127" s="2">
        <f t="shared" si="54"/>
        <v>0</v>
      </c>
      <c r="AA127" s="2">
        <f t="shared" si="55"/>
        <v>0</v>
      </c>
      <c r="AB127" s="2">
        <f t="shared" si="56"/>
        <v>0</v>
      </c>
      <c r="AD127" s="2">
        <f t="shared" si="57"/>
        <v>1</v>
      </c>
      <c r="AE127" s="2">
        <f t="shared" si="58"/>
        <v>0</v>
      </c>
      <c r="AF127" s="2">
        <f t="shared" si="59"/>
        <v>1</v>
      </c>
      <c r="AG127" s="2">
        <f t="shared" si="60"/>
        <v>0</v>
      </c>
      <c r="AH127" s="2">
        <f t="shared" si="61"/>
        <v>1</v>
      </c>
      <c r="AI127" s="2">
        <f t="shared" si="62"/>
        <v>0</v>
      </c>
    </row>
    <row r="128" spans="1:35" ht="14.25" customHeight="1" x14ac:dyDescent="0.3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894</v>
      </c>
      <c r="O128" s="31">
        <v>1</v>
      </c>
      <c r="P128" s="31">
        <v>1</v>
      </c>
      <c r="Q128" s="30"/>
      <c r="S128" s="2">
        <f t="shared" si="47"/>
        <v>0</v>
      </c>
      <c r="T128" s="2">
        <f t="shared" si="48"/>
        <v>1</v>
      </c>
      <c r="U128" s="2">
        <f t="shared" si="49"/>
        <v>0</v>
      </c>
      <c r="V128" s="2">
        <f t="shared" si="50"/>
        <v>0</v>
      </c>
      <c r="W128" s="2">
        <f t="shared" si="51"/>
        <v>0</v>
      </c>
      <c r="X128" s="2">
        <f t="shared" si="52"/>
        <v>0</v>
      </c>
      <c r="Y128" s="2">
        <f t="shared" si="53"/>
        <v>0</v>
      </c>
      <c r="Z128" s="2">
        <f t="shared" si="54"/>
        <v>0</v>
      </c>
      <c r="AA128" s="2">
        <f t="shared" si="55"/>
        <v>0</v>
      </c>
      <c r="AB128" s="2">
        <f t="shared" si="56"/>
        <v>0</v>
      </c>
      <c r="AD128" s="2">
        <f t="shared" si="57"/>
        <v>1</v>
      </c>
      <c r="AE128" s="2">
        <f t="shared" si="58"/>
        <v>0</v>
      </c>
      <c r="AF128" s="2">
        <f t="shared" si="59"/>
        <v>0</v>
      </c>
      <c r="AG128" s="2">
        <f t="shared" si="60"/>
        <v>0</v>
      </c>
      <c r="AH128" s="2">
        <f t="shared" si="61"/>
        <v>0</v>
      </c>
      <c r="AI128" s="2">
        <f t="shared" si="62"/>
        <v>0</v>
      </c>
    </row>
    <row r="129" spans="1:16384" s="3" customFormat="1" ht="14.25" customHeight="1" x14ac:dyDescent="0.3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894</v>
      </c>
      <c r="O129" s="31">
        <v>1</v>
      </c>
      <c r="P129" s="31">
        <v>1</v>
      </c>
      <c r="Q129" s="30"/>
      <c r="R129" s="2"/>
      <c r="S129" s="2">
        <f t="shared" si="47"/>
        <v>0</v>
      </c>
      <c r="T129" s="2">
        <f t="shared" si="48"/>
        <v>0</v>
      </c>
      <c r="U129" s="2">
        <f t="shared" si="49"/>
        <v>0</v>
      </c>
      <c r="V129" s="2">
        <f t="shared" si="50"/>
        <v>1</v>
      </c>
      <c r="W129" s="2">
        <f t="shared" si="51"/>
        <v>0</v>
      </c>
      <c r="X129" s="2">
        <f t="shared" si="52"/>
        <v>0</v>
      </c>
      <c r="Y129" s="2">
        <f t="shared" si="53"/>
        <v>0</v>
      </c>
      <c r="Z129" s="2">
        <f t="shared" si="54"/>
        <v>0</v>
      </c>
      <c r="AA129" s="2">
        <f t="shared" si="55"/>
        <v>0</v>
      </c>
      <c r="AB129" s="2">
        <f t="shared" si="56"/>
        <v>0</v>
      </c>
      <c r="AC129" s="2"/>
      <c r="AD129" s="2">
        <f t="shared" si="57"/>
        <v>1</v>
      </c>
      <c r="AE129" s="2">
        <f t="shared" si="58"/>
        <v>0</v>
      </c>
      <c r="AF129" s="2">
        <f t="shared" si="59"/>
        <v>0</v>
      </c>
      <c r="AG129" s="2">
        <f t="shared" si="60"/>
        <v>0</v>
      </c>
      <c r="AH129" s="2">
        <f t="shared" si="61"/>
        <v>0</v>
      </c>
      <c r="AI129" s="2">
        <f t="shared" si="62"/>
        <v>0</v>
      </c>
    </row>
    <row r="130" spans="1:16384" s="3" customFormat="1" ht="14.25" customHeight="1" x14ac:dyDescent="0.3">
      <c r="A130" s="29">
        <v>0</v>
      </c>
      <c r="B130" s="29">
        <v>2</v>
      </c>
      <c r="C130" s="29">
        <v>1</v>
      </c>
      <c r="D130" s="30" t="s">
        <v>975</v>
      </c>
      <c r="E130" s="30" t="s">
        <v>470</v>
      </c>
      <c r="F130" s="30" t="s">
        <v>976</v>
      </c>
      <c r="G130" s="30"/>
      <c r="H130" s="30" t="s">
        <v>165</v>
      </c>
      <c r="I130" s="29" t="s">
        <v>977</v>
      </c>
      <c r="J130" s="29"/>
      <c r="K130" s="29" t="s">
        <v>378</v>
      </c>
      <c r="L130" s="29"/>
      <c r="M130" s="30"/>
      <c r="N130" s="30" t="s">
        <v>894</v>
      </c>
      <c r="O130" s="31">
        <v>1</v>
      </c>
      <c r="P130" s="31">
        <v>1</v>
      </c>
      <c r="Q130" s="30"/>
      <c r="R130" s="2"/>
      <c r="S130" s="2">
        <f t="shared" si="47"/>
        <v>0</v>
      </c>
      <c r="T130" s="2">
        <f t="shared" si="48"/>
        <v>0</v>
      </c>
      <c r="U130" s="2">
        <f t="shared" si="49"/>
        <v>0</v>
      </c>
      <c r="V130" s="2">
        <f t="shared" si="50"/>
        <v>0</v>
      </c>
      <c r="W130" s="2">
        <f t="shared" si="51"/>
        <v>0</v>
      </c>
      <c r="X130" s="2">
        <f t="shared" si="52"/>
        <v>0</v>
      </c>
      <c r="Y130" s="2">
        <f t="shared" si="53"/>
        <v>0</v>
      </c>
      <c r="Z130" s="2">
        <f t="shared" si="54"/>
        <v>0</v>
      </c>
      <c r="AA130" s="2">
        <f t="shared" si="55"/>
        <v>0</v>
      </c>
      <c r="AB130" s="2">
        <f t="shared" si="56"/>
        <v>0</v>
      </c>
      <c r="AC130" s="2"/>
      <c r="AD130" s="2">
        <f t="shared" si="57"/>
        <v>1</v>
      </c>
      <c r="AE130" s="2">
        <f t="shared" si="58"/>
        <v>0</v>
      </c>
      <c r="AF130" s="2">
        <f t="shared" si="59"/>
        <v>1</v>
      </c>
      <c r="AG130" s="2">
        <f t="shared" si="60"/>
        <v>0</v>
      </c>
      <c r="AH130" s="2">
        <f t="shared" si="61"/>
        <v>1</v>
      </c>
      <c r="AI130" s="2">
        <f t="shared" si="62"/>
        <v>0</v>
      </c>
    </row>
    <row r="131" spans="1:16384" s="3" customFormat="1" ht="14.25" customHeight="1" x14ac:dyDescent="0.3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931</v>
      </c>
      <c r="O131" s="31">
        <v>1</v>
      </c>
      <c r="P131" s="31"/>
      <c r="Q131" s="30"/>
      <c r="R131" s="20"/>
      <c r="S131" s="2">
        <f t="shared" si="47"/>
        <v>0</v>
      </c>
      <c r="T131" s="2">
        <f t="shared" si="48"/>
        <v>0</v>
      </c>
      <c r="U131" s="2">
        <f t="shared" si="49"/>
        <v>0</v>
      </c>
      <c r="V131" s="2">
        <f t="shared" si="50"/>
        <v>0</v>
      </c>
      <c r="W131" s="2">
        <f t="shared" si="51"/>
        <v>0</v>
      </c>
      <c r="X131" s="2">
        <f t="shared" si="52"/>
        <v>0</v>
      </c>
      <c r="Y131" s="2">
        <f t="shared" si="53"/>
        <v>0</v>
      </c>
      <c r="Z131" s="2">
        <f t="shared" si="54"/>
        <v>0</v>
      </c>
      <c r="AA131" s="2">
        <f t="shared" si="55"/>
        <v>0</v>
      </c>
      <c r="AB131" s="2">
        <f t="shared" si="56"/>
        <v>0</v>
      </c>
      <c r="AC131" s="2"/>
      <c r="AD131" s="2">
        <f t="shared" si="57"/>
        <v>0</v>
      </c>
      <c r="AE131" s="2">
        <f t="shared" si="58"/>
        <v>1</v>
      </c>
      <c r="AF131" s="2">
        <f t="shared" si="59"/>
        <v>0</v>
      </c>
      <c r="AG131" s="2">
        <f t="shared" si="60"/>
        <v>1</v>
      </c>
      <c r="AH131" s="2">
        <f t="shared" si="61"/>
        <v>0</v>
      </c>
      <c r="AI131" s="2">
        <f t="shared" si="62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3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47"/>
        <v>0</v>
      </c>
      <c r="T132" s="2">
        <f t="shared" si="48"/>
        <v>0</v>
      </c>
      <c r="U132" s="2">
        <f t="shared" si="49"/>
        <v>0</v>
      </c>
      <c r="V132" s="2">
        <f t="shared" si="50"/>
        <v>1</v>
      </c>
      <c r="W132" s="2">
        <f t="shared" si="51"/>
        <v>0</v>
      </c>
      <c r="X132" s="2">
        <f t="shared" si="52"/>
        <v>0</v>
      </c>
      <c r="Y132" s="2">
        <f t="shared" si="53"/>
        <v>0</v>
      </c>
      <c r="Z132" s="2">
        <f t="shared" si="54"/>
        <v>0</v>
      </c>
      <c r="AA132" s="2">
        <f t="shared" si="55"/>
        <v>0</v>
      </c>
      <c r="AB132" s="2">
        <f t="shared" si="56"/>
        <v>0</v>
      </c>
      <c r="AC132" s="2"/>
      <c r="AD132" s="2">
        <f t="shared" si="57"/>
        <v>0</v>
      </c>
      <c r="AE132" s="2">
        <f t="shared" si="58"/>
        <v>0</v>
      </c>
      <c r="AF132" s="2">
        <f t="shared" si="59"/>
        <v>0</v>
      </c>
      <c r="AG132" s="2">
        <f t="shared" si="60"/>
        <v>0</v>
      </c>
      <c r="AH132" s="2">
        <f t="shared" si="61"/>
        <v>0</v>
      </c>
      <c r="AI132" s="2">
        <f t="shared" si="62"/>
        <v>1</v>
      </c>
    </row>
    <row r="133" spans="1:16384" s="3" customFormat="1" ht="14.25" customHeight="1" x14ac:dyDescent="0.3">
      <c r="A133" s="29">
        <v>0</v>
      </c>
      <c r="B133" s="29">
        <v>2</v>
      </c>
      <c r="C133" s="29">
        <v>1</v>
      </c>
      <c r="D133" s="30" t="s">
        <v>940</v>
      </c>
      <c r="E133" s="30" t="s">
        <v>941</v>
      </c>
      <c r="F133" s="30" t="s">
        <v>942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894</v>
      </c>
      <c r="O133" s="31">
        <v>1</v>
      </c>
      <c r="P133" s="31">
        <v>1</v>
      </c>
      <c r="Q133" s="30"/>
      <c r="R133" s="2"/>
      <c r="S133" s="2">
        <f t="shared" si="47"/>
        <v>0</v>
      </c>
      <c r="T133" s="2">
        <f t="shared" si="48"/>
        <v>0</v>
      </c>
      <c r="U133" s="2">
        <f t="shared" si="49"/>
        <v>0</v>
      </c>
      <c r="V133" s="2">
        <f t="shared" si="50"/>
        <v>0</v>
      </c>
      <c r="W133" s="2">
        <f t="shared" si="51"/>
        <v>0</v>
      </c>
      <c r="X133" s="2">
        <f t="shared" si="52"/>
        <v>0</v>
      </c>
      <c r="Y133" s="2">
        <f t="shared" si="53"/>
        <v>0</v>
      </c>
      <c r="Z133" s="2">
        <f t="shared" si="54"/>
        <v>0</v>
      </c>
      <c r="AA133" s="2">
        <f t="shared" si="55"/>
        <v>0</v>
      </c>
      <c r="AB133" s="2">
        <f t="shared" si="56"/>
        <v>0</v>
      </c>
      <c r="AC133" s="2"/>
      <c r="AD133" s="2">
        <f t="shared" si="57"/>
        <v>1</v>
      </c>
      <c r="AE133" s="2">
        <f t="shared" si="58"/>
        <v>0</v>
      </c>
      <c r="AF133" s="2">
        <f t="shared" si="59"/>
        <v>1</v>
      </c>
      <c r="AG133" s="2">
        <f t="shared" si="60"/>
        <v>0</v>
      </c>
      <c r="AH133" s="2">
        <f t="shared" si="61"/>
        <v>1</v>
      </c>
      <c r="AI133" s="2">
        <f t="shared" si="62"/>
        <v>0</v>
      </c>
    </row>
    <row r="134" spans="1:16384" s="3" customFormat="1" ht="14.25" customHeight="1" x14ac:dyDescent="0.3">
      <c r="A134" s="29">
        <v>0</v>
      </c>
      <c r="B134" s="29">
        <v>2</v>
      </c>
      <c r="C134" s="29">
        <v>1</v>
      </c>
      <c r="D134" s="30" t="s">
        <v>915</v>
      </c>
      <c r="E134" s="30" t="s">
        <v>35</v>
      </c>
      <c r="F134" s="30" t="s">
        <v>916</v>
      </c>
      <c r="G134" s="30"/>
      <c r="H134" s="30" t="s">
        <v>165</v>
      </c>
      <c r="I134" s="29" t="s">
        <v>917</v>
      </c>
      <c r="J134" s="29">
        <v>99</v>
      </c>
      <c r="K134" s="29" t="s">
        <v>378</v>
      </c>
      <c r="L134" s="29"/>
      <c r="M134" s="30"/>
      <c r="N134" s="30" t="s">
        <v>894</v>
      </c>
      <c r="O134" s="31">
        <v>1</v>
      </c>
      <c r="P134" s="31">
        <v>1</v>
      </c>
      <c r="Q134" s="30"/>
      <c r="R134" s="2"/>
      <c r="S134" s="2">
        <f t="shared" si="47"/>
        <v>0</v>
      </c>
      <c r="T134" s="2">
        <f t="shared" si="48"/>
        <v>0</v>
      </c>
      <c r="U134" s="2">
        <f t="shared" si="49"/>
        <v>0</v>
      </c>
      <c r="V134" s="2">
        <f t="shared" si="50"/>
        <v>0</v>
      </c>
      <c r="W134" s="2">
        <f t="shared" si="51"/>
        <v>0</v>
      </c>
      <c r="X134" s="2">
        <f t="shared" si="52"/>
        <v>0</v>
      </c>
      <c r="Y134" s="2">
        <f t="shared" si="53"/>
        <v>0</v>
      </c>
      <c r="Z134" s="2">
        <f t="shared" si="54"/>
        <v>0</v>
      </c>
      <c r="AA134" s="2">
        <f t="shared" si="55"/>
        <v>0</v>
      </c>
      <c r="AB134" s="2">
        <f t="shared" si="56"/>
        <v>0</v>
      </c>
      <c r="AC134" s="2"/>
      <c r="AD134" s="2">
        <f t="shared" si="57"/>
        <v>1</v>
      </c>
      <c r="AE134" s="2">
        <f t="shared" si="58"/>
        <v>0</v>
      </c>
      <c r="AF134" s="2">
        <f t="shared" si="59"/>
        <v>1</v>
      </c>
      <c r="AG134" s="2">
        <f t="shared" si="60"/>
        <v>0</v>
      </c>
      <c r="AH134" s="2">
        <f t="shared" si="61"/>
        <v>1</v>
      </c>
      <c r="AI134" s="2">
        <f t="shared" si="62"/>
        <v>0</v>
      </c>
    </row>
    <row r="135" spans="1:16384" s="3" customFormat="1" ht="14.25" customHeight="1" x14ac:dyDescent="0.3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863</v>
      </c>
      <c r="N135" s="30" t="s">
        <v>894</v>
      </c>
      <c r="O135" s="31">
        <v>1</v>
      </c>
      <c r="P135" s="31">
        <v>1</v>
      </c>
      <c r="Q135" s="30"/>
      <c r="R135" s="2"/>
      <c r="S135" s="2">
        <f t="shared" si="47"/>
        <v>0</v>
      </c>
      <c r="T135" s="2">
        <f t="shared" si="48"/>
        <v>0</v>
      </c>
      <c r="U135" s="2">
        <f t="shared" si="49"/>
        <v>0</v>
      </c>
      <c r="V135" s="2">
        <f t="shared" si="50"/>
        <v>0</v>
      </c>
      <c r="W135" s="2">
        <f t="shared" si="51"/>
        <v>0</v>
      </c>
      <c r="X135" s="2">
        <f t="shared" si="52"/>
        <v>0</v>
      </c>
      <c r="Y135" s="2">
        <f t="shared" si="53"/>
        <v>0</v>
      </c>
      <c r="Z135" s="2">
        <f t="shared" si="54"/>
        <v>0</v>
      </c>
      <c r="AA135" s="2">
        <f t="shared" si="55"/>
        <v>0</v>
      </c>
      <c r="AB135" s="2">
        <f t="shared" si="56"/>
        <v>0</v>
      </c>
      <c r="AC135" s="2"/>
      <c r="AD135" s="2">
        <f t="shared" si="57"/>
        <v>1</v>
      </c>
      <c r="AE135" s="2">
        <f t="shared" si="58"/>
        <v>0</v>
      </c>
      <c r="AF135" s="2">
        <f t="shared" si="59"/>
        <v>1</v>
      </c>
      <c r="AG135" s="2">
        <f t="shared" si="60"/>
        <v>0</v>
      </c>
      <c r="AH135" s="2">
        <f t="shared" si="61"/>
        <v>1</v>
      </c>
      <c r="AI135" s="2">
        <f t="shared" si="62"/>
        <v>0</v>
      </c>
    </row>
    <row r="136" spans="1:16384" s="3" customFormat="1" ht="14.25" customHeight="1" x14ac:dyDescent="0.3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824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894</v>
      </c>
      <c r="O136" s="31">
        <v>1</v>
      </c>
      <c r="P136" s="31">
        <v>1</v>
      </c>
      <c r="Q136" s="30"/>
      <c r="R136" s="2"/>
      <c r="S136" s="2">
        <f t="shared" si="47"/>
        <v>0</v>
      </c>
      <c r="T136" s="2">
        <f t="shared" si="48"/>
        <v>0</v>
      </c>
      <c r="U136" s="2">
        <f t="shared" si="49"/>
        <v>0</v>
      </c>
      <c r="V136" s="2">
        <f t="shared" si="50"/>
        <v>0</v>
      </c>
      <c r="W136" s="2">
        <f t="shared" si="51"/>
        <v>0</v>
      </c>
      <c r="X136" s="2">
        <f t="shared" si="52"/>
        <v>0</v>
      </c>
      <c r="Y136" s="2">
        <f t="shared" si="53"/>
        <v>0</v>
      </c>
      <c r="Z136" s="2">
        <f t="shared" si="54"/>
        <v>0</v>
      </c>
      <c r="AA136" s="2">
        <f t="shared" si="55"/>
        <v>0</v>
      </c>
      <c r="AB136" s="2">
        <f t="shared" si="56"/>
        <v>1</v>
      </c>
      <c r="AC136" s="2"/>
      <c r="AD136" s="2">
        <f t="shared" si="57"/>
        <v>1</v>
      </c>
      <c r="AE136" s="2">
        <f t="shared" si="58"/>
        <v>0</v>
      </c>
      <c r="AF136" s="2">
        <f t="shared" si="59"/>
        <v>1</v>
      </c>
      <c r="AG136" s="2">
        <f t="shared" si="60"/>
        <v>0</v>
      </c>
      <c r="AH136" s="2">
        <f t="shared" si="61"/>
        <v>1</v>
      </c>
      <c r="AI136" s="2">
        <f t="shared" si="62"/>
        <v>0</v>
      </c>
    </row>
    <row r="137" spans="1:16384" s="3" customFormat="1" ht="14.25" customHeight="1" x14ac:dyDescent="0.3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868</v>
      </c>
      <c r="N137" s="30" t="s">
        <v>900</v>
      </c>
      <c r="O137" s="31">
        <v>1</v>
      </c>
      <c r="P137" s="31"/>
      <c r="Q137" s="30"/>
      <c r="R137" s="2"/>
      <c r="S137" s="2">
        <f t="shared" si="47"/>
        <v>0</v>
      </c>
      <c r="T137" s="2">
        <f t="shared" si="48"/>
        <v>0</v>
      </c>
      <c r="U137" s="2">
        <f t="shared" si="49"/>
        <v>0</v>
      </c>
      <c r="V137" s="2">
        <f t="shared" si="50"/>
        <v>0</v>
      </c>
      <c r="W137" s="2">
        <f t="shared" si="51"/>
        <v>0</v>
      </c>
      <c r="X137" s="2">
        <f t="shared" si="52"/>
        <v>0</v>
      </c>
      <c r="Y137" s="2">
        <f t="shared" si="53"/>
        <v>0</v>
      </c>
      <c r="Z137" s="2">
        <f t="shared" si="54"/>
        <v>0</v>
      </c>
      <c r="AA137" s="2">
        <f t="shared" si="55"/>
        <v>1</v>
      </c>
      <c r="AB137" s="2">
        <f t="shared" si="56"/>
        <v>0</v>
      </c>
      <c r="AC137" s="2"/>
      <c r="AD137" s="2">
        <f t="shared" si="57"/>
        <v>0</v>
      </c>
      <c r="AE137" s="2">
        <f t="shared" si="58"/>
        <v>1</v>
      </c>
      <c r="AF137" s="2">
        <f t="shared" si="59"/>
        <v>0</v>
      </c>
      <c r="AG137" s="2">
        <f t="shared" si="60"/>
        <v>1</v>
      </c>
      <c r="AH137" s="2">
        <f t="shared" si="61"/>
        <v>0</v>
      </c>
      <c r="AI137" s="2">
        <f t="shared" si="62"/>
        <v>1</v>
      </c>
    </row>
    <row r="138" spans="1:16384" s="3" customFormat="1" ht="14.25" customHeight="1" x14ac:dyDescent="0.3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869</v>
      </c>
      <c r="N138" s="30" t="s">
        <v>900</v>
      </c>
      <c r="O138" s="31">
        <v>1</v>
      </c>
      <c r="P138" s="31"/>
      <c r="Q138" s="30"/>
      <c r="R138" s="2"/>
      <c r="S138" s="2">
        <f t="shared" si="47"/>
        <v>0</v>
      </c>
      <c r="T138" s="2">
        <f t="shared" si="48"/>
        <v>0</v>
      </c>
      <c r="U138" s="2">
        <f t="shared" si="49"/>
        <v>0</v>
      </c>
      <c r="V138" s="2">
        <f t="shared" si="50"/>
        <v>0</v>
      </c>
      <c r="W138" s="2">
        <f t="shared" si="51"/>
        <v>0</v>
      </c>
      <c r="X138" s="2">
        <f t="shared" si="52"/>
        <v>0</v>
      </c>
      <c r="Y138" s="2">
        <f t="shared" si="53"/>
        <v>0</v>
      </c>
      <c r="Z138" s="2">
        <f t="shared" si="54"/>
        <v>0</v>
      </c>
      <c r="AA138" s="2">
        <f t="shared" si="55"/>
        <v>0</v>
      </c>
      <c r="AB138" s="2">
        <f t="shared" si="56"/>
        <v>0</v>
      </c>
      <c r="AC138" s="2"/>
      <c r="AD138" s="2">
        <f t="shared" si="57"/>
        <v>0</v>
      </c>
      <c r="AE138" s="2">
        <f t="shared" si="58"/>
        <v>1</v>
      </c>
      <c r="AF138" s="2">
        <f t="shared" si="59"/>
        <v>0</v>
      </c>
      <c r="AG138" s="2">
        <f t="shared" si="60"/>
        <v>0</v>
      </c>
      <c r="AH138" s="2">
        <f t="shared" si="61"/>
        <v>0</v>
      </c>
      <c r="AI138" s="2">
        <f t="shared" si="62"/>
        <v>0</v>
      </c>
    </row>
    <row r="139" spans="1:16384" s="3" customFormat="1" ht="14.25" customHeight="1" x14ac:dyDescent="0.3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894</v>
      </c>
      <c r="O139" s="31">
        <v>1</v>
      </c>
      <c r="P139" s="31">
        <v>1</v>
      </c>
      <c r="Q139" s="30"/>
      <c r="R139" s="2"/>
      <c r="S139" s="2">
        <f t="shared" si="47"/>
        <v>0</v>
      </c>
      <c r="T139" s="2">
        <f t="shared" si="48"/>
        <v>0</v>
      </c>
      <c r="U139" s="2">
        <f t="shared" si="49"/>
        <v>0</v>
      </c>
      <c r="V139" s="2">
        <f t="shared" si="50"/>
        <v>0</v>
      </c>
      <c r="W139" s="2">
        <f t="shared" si="51"/>
        <v>0</v>
      </c>
      <c r="X139" s="2">
        <f t="shared" si="52"/>
        <v>0</v>
      </c>
      <c r="Y139" s="2">
        <f t="shared" si="53"/>
        <v>0</v>
      </c>
      <c r="Z139" s="2">
        <f t="shared" si="54"/>
        <v>1</v>
      </c>
      <c r="AA139" s="2">
        <f t="shared" si="55"/>
        <v>0</v>
      </c>
      <c r="AB139" s="2">
        <f t="shared" si="56"/>
        <v>0</v>
      </c>
      <c r="AC139" s="2"/>
      <c r="AD139" s="2">
        <f t="shared" si="57"/>
        <v>1</v>
      </c>
      <c r="AE139" s="2">
        <f t="shared" si="58"/>
        <v>0</v>
      </c>
      <c r="AF139" s="2">
        <f t="shared" si="59"/>
        <v>1</v>
      </c>
      <c r="AG139" s="2">
        <f t="shared" si="60"/>
        <v>0</v>
      </c>
      <c r="AH139" s="2">
        <f t="shared" si="61"/>
        <v>1</v>
      </c>
      <c r="AI139" s="2">
        <f t="shared" si="62"/>
        <v>0</v>
      </c>
    </row>
    <row r="140" spans="1:16384" s="3" customFormat="1" ht="14.25" customHeight="1" x14ac:dyDescent="0.3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894</v>
      </c>
      <c r="O140" s="31">
        <v>1</v>
      </c>
      <c r="P140" s="31">
        <v>1</v>
      </c>
      <c r="Q140" s="30"/>
      <c r="R140" s="2"/>
      <c r="S140" s="2">
        <f t="shared" si="47"/>
        <v>1</v>
      </c>
      <c r="T140" s="2">
        <f t="shared" si="48"/>
        <v>0</v>
      </c>
      <c r="U140" s="2">
        <f t="shared" si="49"/>
        <v>0</v>
      </c>
      <c r="V140" s="2">
        <f t="shared" si="50"/>
        <v>0</v>
      </c>
      <c r="W140" s="2">
        <f t="shared" si="51"/>
        <v>0</v>
      </c>
      <c r="X140" s="2">
        <f t="shared" si="52"/>
        <v>0</v>
      </c>
      <c r="Y140" s="2">
        <f t="shared" si="53"/>
        <v>0</v>
      </c>
      <c r="Z140" s="2">
        <f t="shared" si="54"/>
        <v>0</v>
      </c>
      <c r="AA140" s="2">
        <f t="shared" si="55"/>
        <v>0</v>
      </c>
      <c r="AB140" s="2">
        <f t="shared" si="56"/>
        <v>0</v>
      </c>
      <c r="AC140" s="2"/>
      <c r="AD140" s="2">
        <f t="shared" si="57"/>
        <v>1</v>
      </c>
      <c r="AE140" s="2">
        <f t="shared" si="58"/>
        <v>0</v>
      </c>
      <c r="AF140" s="2">
        <f t="shared" si="59"/>
        <v>1</v>
      </c>
      <c r="AG140" s="2">
        <f t="shared" si="60"/>
        <v>0</v>
      </c>
      <c r="AH140" s="2">
        <f t="shared" si="61"/>
        <v>1</v>
      </c>
      <c r="AI140" s="2">
        <f t="shared" si="62"/>
        <v>0</v>
      </c>
    </row>
    <row r="141" spans="1:16384" s="3" customFormat="1" ht="14.25" customHeight="1" x14ac:dyDescent="0.3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894</v>
      </c>
      <c r="O141" s="31">
        <v>1</v>
      </c>
      <c r="P141" s="31">
        <v>1</v>
      </c>
      <c r="Q141" s="30"/>
      <c r="R141" s="2"/>
      <c r="S141" s="2">
        <f t="shared" si="47"/>
        <v>0</v>
      </c>
      <c r="T141" s="2">
        <f t="shared" si="48"/>
        <v>0</v>
      </c>
      <c r="U141" s="2">
        <f t="shared" si="49"/>
        <v>1</v>
      </c>
      <c r="V141" s="2">
        <f t="shared" si="50"/>
        <v>0</v>
      </c>
      <c r="W141" s="2">
        <f t="shared" si="51"/>
        <v>0</v>
      </c>
      <c r="X141" s="2">
        <f t="shared" si="52"/>
        <v>0</v>
      </c>
      <c r="Y141" s="2">
        <f t="shared" si="53"/>
        <v>0</v>
      </c>
      <c r="Z141" s="2">
        <f t="shared" si="54"/>
        <v>0</v>
      </c>
      <c r="AA141" s="2">
        <f t="shared" si="55"/>
        <v>0</v>
      </c>
      <c r="AB141" s="2">
        <f t="shared" si="56"/>
        <v>0</v>
      </c>
      <c r="AC141" s="2"/>
      <c r="AD141" s="2">
        <f t="shared" si="57"/>
        <v>1</v>
      </c>
      <c r="AE141" s="2">
        <f t="shared" si="58"/>
        <v>0</v>
      </c>
      <c r="AF141" s="2">
        <f t="shared" si="59"/>
        <v>1</v>
      </c>
      <c r="AG141" s="2">
        <f t="shared" si="60"/>
        <v>0</v>
      </c>
      <c r="AH141" s="2">
        <f t="shared" si="61"/>
        <v>1</v>
      </c>
      <c r="AI141" s="2">
        <f t="shared" si="62"/>
        <v>0</v>
      </c>
    </row>
    <row r="142" spans="1:16384" s="3" customFormat="1" ht="14.25" customHeight="1" x14ac:dyDescent="0.3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828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914</v>
      </c>
      <c r="O142" s="31">
        <v>1</v>
      </c>
      <c r="P142" s="31"/>
      <c r="Q142" s="30"/>
      <c r="R142" s="2"/>
      <c r="S142" s="2">
        <f t="shared" si="47"/>
        <v>0</v>
      </c>
      <c r="T142" s="2">
        <f t="shared" si="48"/>
        <v>0</v>
      </c>
      <c r="U142" s="2">
        <f t="shared" si="49"/>
        <v>0</v>
      </c>
      <c r="V142" s="2">
        <f t="shared" si="50"/>
        <v>0</v>
      </c>
      <c r="W142" s="2">
        <f t="shared" si="51"/>
        <v>0</v>
      </c>
      <c r="X142" s="2">
        <f t="shared" si="52"/>
        <v>0</v>
      </c>
      <c r="Y142" s="2">
        <f t="shared" si="53"/>
        <v>0</v>
      </c>
      <c r="Z142" s="2">
        <f t="shared" si="54"/>
        <v>1</v>
      </c>
      <c r="AA142" s="2">
        <f t="shared" si="55"/>
        <v>0</v>
      </c>
      <c r="AB142" s="2">
        <f t="shared" si="56"/>
        <v>0</v>
      </c>
      <c r="AC142" s="2"/>
      <c r="AD142" s="2">
        <f t="shared" si="57"/>
        <v>0</v>
      </c>
      <c r="AE142" s="2">
        <f t="shared" si="58"/>
        <v>1</v>
      </c>
      <c r="AF142" s="2">
        <f t="shared" si="59"/>
        <v>0</v>
      </c>
      <c r="AG142" s="2">
        <f t="shared" si="60"/>
        <v>1</v>
      </c>
      <c r="AH142" s="2">
        <f t="shared" si="61"/>
        <v>0</v>
      </c>
      <c r="AI142" s="2">
        <f t="shared" si="62"/>
        <v>1</v>
      </c>
    </row>
    <row r="143" spans="1:16384" s="3" customFormat="1" ht="14.25" customHeight="1" x14ac:dyDescent="0.3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914</v>
      </c>
      <c r="O143" s="31">
        <v>1</v>
      </c>
      <c r="P143" s="31"/>
      <c r="Q143" s="30"/>
      <c r="R143" s="2"/>
      <c r="S143" s="2">
        <f t="shared" si="47"/>
        <v>0</v>
      </c>
      <c r="T143" s="2">
        <f t="shared" si="48"/>
        <v>0</v>
      </c>
      <c r="U143" s="2">
        <f t="shared" si="49"/>
        <v>1</v>
      </c>
      <c r="V143" s="2">
        <f t="shared" si="50"/>
        <v>0</v>
      </c>
      <c r="W143" s="2">
        <f t="shared" si="51"/>
        <v>0</v>
      </c>
      <c r="X143" s="2">
        <f t="shared" si="52"/>
        <v>0</v>
      </c>
      <c r="Y143" s="2">
        <f t="shared" si="53"/>
        <v>0</v>
      </c>
      <c r="Z143" s="2">
        <f t="shared" si="54"/>
        <v>0</v>
      </c>
      <c r="AA143" s="2">
        <f t="shared" si="55"/>
        <v>0</v>
      </c>
      <c r="AB143" s="2">
        <f t="shared" si="56"/>
        <v>0</v>
      </c>
      <c r="AC143" s="2"/>
      <c r="AD143" s="2">
        <f t="shared" si="57"/>
        <v>0</v>
      </c>
      <c r="AE143" s="2">
        <f t="shared" si="58"/>
        <v>1</v>
      </c>
      <c r="AF143" s="2">
        <f t="shared" si="59"/>
        <v>0</v>
      </c>
      <c r="AG143" s="2">
        <f t="shared" si="60"/>
        <v>0</v>
      </c>
      <c r="AH143" s="2">
        <f t="shared" si="61"/>
        <v>0</v>
      </c>
      <c r="AI143" s="2">
        <f t="shared" si="62"/>
        <v>0</v>
      </c>
    </row>
    <row r="144" spans="1:16384" s="3" customFormat="1" ht="14.25" customHeight="1" x14ac:dyDescent="0.3">
      <c r="A144" s="29">
        <v>0</v>
      </c>
      <c r="B144" s="29">
        <v>2</v>
      </c>
      <c r="C144" s="29">
        <v>1</v>
      </c>
      <c r="D144" s="30" t="s">
        <v>922</v>
      </c>
      <c r="E144" s="30" t="s">
        <v>35</v>
      </c>
      <c r="F144" s="30" t="s">
        <v>923</v>
      </c>
      <c r="G144" s="30" t="s">
        <v>132</v>
      </c>
      <c r="H144" s="30" t="s">
        <v>165</v>
      </c>
      <c r="I144" s="29" t="s">
        <v>924</v>
      </c>
      <c r="J144" s="29">
        <v>99</v>
      </c>
      <c r="K144" s="29" t="s">
        <v>378</v>
      </c>
      <c r="L144" s="29"/>
      <c r="M144" s="30"/>
      <c r="N144" s="30" t="s">
        <v>894</v>
      </c>
      <c r="O144" s="31">
        <v>1</v>
      </c>
      <c r="P144" s="31">
        <v>1</v>
      </c>
      <c r="Q144" s="30"/>
      <c r="R144" s="2"/>
      <c r="S144" s="2">
        <f t="shared" si="47"/>
        <v>0</v>
      </c>
      <c r="T144" s="2">
        <f t="shared" si="48"/>
        <v>0</v>
      </c>
      <c r="U144" s="2">
        <f t="shared" si="49"/>
        <v>0</v>
      </c>
      <c r="V144" s="2">
        <f t="shared" si="50"/>
        <v>0</v>
      </c>
      <c r="W144" s="2">
        <f t="shared" si="51"/>
        <v>0</v>
      </c>
      <c r="X144" s="2">
        <f t="shared" si="52"/>
        <v>0</v>
      </c>
      <c r="Y144" s="2">
        <f t="shared" si="53"/>
        <v>0</v>
      </c>
      <c r="Z144" s="2">
        <f t="shared" si="54"/>
        <v>0</v>
      </c>
      <c r="AA144" s="2">
        <f t="shared" si="55"/>
        <v>0</v>
      </c>
      <c r="AB144" s="2">
        <f t="shared" si="56"/>
        <v>0</v>
      </c>
      <c r="AC144" s="2"/>
      <c r="AD144" s="2">
        <f t="shared" si="57"/>
        <v>1</v>
      </c>
      <c r="AE144" s="2">
        <f t="shared" si="58"/>
        <v>0</v>
      </c>
      <c r="AF144" s="2">
        <f t="shared" si="59"/>
        <v>1</v>
      </c>
      <c r="AG144" s="2">
        <f t="shared" si="60"/>
        <v>0</v>
      </c>
      <c r="AH144" s="2">
        <f t="shared" si="61"/>
        <v>1</v>
      </c>
      <c r="AI144" s="2">
        <f t="shared" si="62"/>
        <v>0</v>
      </c>
    </row>
    <row r="145" spans="1:16384" s="3" customFormat="1" ht="14.25" customHeight="1" x14ac:dyDescent="0.3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894</v>
      </c>
      <c r="O145" s="31">
        <v>1</v>
      </c>
      <c r="P145" s="31">
        <v>1</v>
      </c>
      <c r="Q145" s="30"/>
      <c r="R145" s="2"/>
      <c r="S145" s="2">
        <f t="shared" si="47"/>
        <v>0</v>
      </c>
      <c r="T145" s="2">
        <f t="shared" si="48"/>
        <v>0</v>
      </c>
      <c r="U145" s="2">
        <f t="shared" si="49"/>
        <v>0</v>
      </c>
      <c r="V145" s="2">
        <f t="shared" si="50"/>
        <v>0</v>
      </c>
      <c r="W145" s="2">
        <f t="shared" si="51"/>
        <v>0</v>
      </c>
      <c r="X145" s="2">
        <f t="shared" si="52"/>
        <v>0</v>
      </c>
      <c r="Y145" s="2">
        <f t="shared" si="53"/>
        <v>0</v>
      </c>
      <c r="Z145" s="2">
        <f t="shared" si="54"/>
        <v>0</v>
      </c>
      <c r="AA145" s="2">
        <f t="shared" si="55"/>
        <v>0</v>
      </c>
      <c r="AB145" s="2">
        <f t="shared" si="56"/>
        <v>0</v>
      </c>
      <c r="AC145" s="2"/>
      <c r="AD145" s="2">
        <f t="shared" si="57"/>
        <v>1</v>
      </c>
      <c r="AE145" s="2">
        <f t="shared" si="58"/>
        <v>0</v>
      </c>
      <c r="AF145" s="2">
        <f t="shared" si="59"/>
        <v>1</v>
      </c>
      <c r="AG145" s="2">
        <f t="shared" si="60"/>
        <v>0</v>
      </c>
      <c r="AH145" s="2">
        <f t="shared" si="61"/>
        <v>1</v>
      </c>
      <c r="AI145" s="2">
        <f t="shared" si="62"/>
        <v>0</v>
      </c>
    </row>
    <row r="146" spans="1:16384" s="3" customFormat="1" ht="14.25" customHeight="1" x14ac:dyDescent="0.3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831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900</v>
      </c>
      <c r="O146" s="31">
        <v>1</v>
      </c>
      <c r="P146" s="31"/>
      <c r="Q146" s="30" t="s">
        <v>958</v>
      </c>
      <c r="R146" s="2"/>
      <c r="S146" s="2">
        <f t="shared" si="47"/>
        <v>0</v>
      </c>
      <c r="T146" s="2">
        <f t="shared" si="48"/>
        <v>0</v>
      </c>
      <c r="U146" s="2">
        <f t="shared" si="49"/>
        <v>0</v>
      </c>
      <c r="V146" s="2">
        <f t="shared" si="50"/>
        <v>0</v>
      </c>
      <c r="W146" s="2">
        <f t="shared" si="51"/>
        <v>0</v>
      </c>
      <c r="X146" s="2">
        <f t="shared" si="52"/>
        <v>0</v>
      </c>
      <c r="Y146" s="2">
        <f t="shared" si="53"/>
        <v>0</v>
      </c>
      <c r="Z146" s="2">
        <f t="shared" si="54"/>
        <v>0</v>
      </c>
      <c r="AA146" s="2">
        <f t="shared" si="55"/>
        <v>0</v>
      </c>
      <c r="AB146" s="2">
        <f t="shared" si="56"/>
        <v>0</v>
      </c>
      <c r="AC146" s="2"/>
      <c r="AD146" s="2">
        <f t="shared" si="57"/>
        <v>0</v>
      </c>
      <c r="AE146" s="2">
        <f t="shared" si="58"/>
        <v>1</v>
      </c>
      <c r="AF146" s="2">
        <f t="shared" si="59"/>
        <v>0</v>
      </c>
      <c r="AG146" s="2">
        <f t="shared" si="60"/>
        <v>1</v>
      </c>
      <c r="AH146" s="2">
        <f t="shared" si="61"/>
        <v>0</v>
      </c>
      <c r="AI146" s="2">
        <f t="shared" si="62"/>
        <v>1</v>
      </c>
    </row>
    <row r="147" spans="1:16384" s="3" customFormat="1" ht="14.25" customHeight="1" x14ac:dyDescent="0.3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900</v>
      </c>
      <c r="O147" s="31">
        <v>1</v>
      </c>
      <c r="P147" s="31"/>
      <c r="Q147" s="30"/>
      <c r="R147" s="2"/>
      <c r="S147" s="2">
        <f t="shared" si="47"/>
        <v>0</v>
      </c>
      <c r="T147" s="2">
        <f t="shared" si="48"/>
        <v>0</v>
      </c>
      <c r="U147" s="2">
        <f t="shared" si="49"/>
        <v>0</v>
      </c>
      <c r="V147" s="2">
        <f t="shared" si="50"/>
        <v>0</v>
      </c>
      <c r="W147" s="2">
        <f t="shared" si="51"/>
        <v>0</v>
      </c>
      <c r="X147" s="2">
        <f t="shared" si="52"/>
        <v>0</v>
      </c>
      <c r="Y147" s="2">
        <f t="shared" si="53"/>
        <v>0</v>
      </c>
      <c r="Z147" s="2">
        <f t="shared" si="54"/>
        <v>0</v>
      </c>
      <c r="AA147" s="2">
        <f t="shared" si="55"/>
        <v>0</v>
      </c>
      <c r="AB147" s="2">
        <f t="shared" si="56"/>
        <v>1</v>
      </c>
      <c r="AC147" s="2"/>
      <c r="AD147" s="2">
        <f t="shared" si="57"/>
        <v>0</v>
      </c>
      <c r="AE147" s="2">
        <f t="shared" si="58"/>
        <v>1</v>
      </c>
      <c r="AF147" s="2">
        <f t="shared" si="59"/>
        <v>0</v>
      </c>
      <c r="AG147" s="2">
        <f t="shared" si="60"/>
        <v>1</v>
      </c>
      <c r="AH147" s="2">
        <f t="shared" si="61"/>
        <v>0</v>
      </c>
      <c r="AI147" s="2">
        <f t="shared" si="62"/>
        <v>1</v>
      </c>
    </row>
    <row r="148" spans="1:16384" s="3" customFormat="1" ht="14.25" customHeight="1" x14ac:dyDescent="0.3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900</v>
      </c>
      <c r="O148" s="31">
        <v>1</v>
      </c>
      <c r="P148" s="31"/>
      <c r="Q148" s="30"/>
      <c r="R148" s="2"/>
      <c r="S148" s="2">
        <f t="shared" si="47"/>
        <v>0</v>
      </c>
      <c r="T148" s="2">
        <f t="shared" si="48"/>
        <v>0</v>
      </c>
      <c r="U148" s="2">
        <f t="shared" si="49"/>
        <v>0</v>
      </c>
      <c r="V148" s="2">
        <f t="shared" si="50"/>
        <v>0</v>
      </c>
      <c r="W148" s="2">
        <f t="shared" si="51"/>
        <v>0</v>
      </c>
      <c r="X148" s="2">
        <f t="shared" si="52"/>
        <v>0</v>
      </c>
      <c r="Y148" s="2">
        <f t="shared" si="53"/>
        <v>0</v>
      </c>
      <c r="Z148" s="2">
        <f t="shared" si="54"/>
        <v>0</v>
      </c>
      <c r="AA148" s="2">
        <f t="shared" si="55"/>
        <v>0</v>
      </c>
      <c r="AB148" s="2">
        <f t="shared" si="56"/>
        <v>0</v>
      </c>
      <c r="AC148" s="2"/>
      <c r="AD148" s="2">
        <f t="shared" si="57"/>
        <v>0</v>
      </c>
      <c r="AE148" s="2">
        <f t="shared" si="58"/>
        <v>1</v>
      </c>
      <c r="AF148" s="2">
        <f t="shared" si="59"/>
        <v>0</v>
      </c>
      <c r="AG148" s="2">
        <f t="shared" si="60"/>
        <v>1</v>
      </c>
      <c r="AH148" s="2">
        <f t="shared" si="61"/>
        <v>0</v>
      </c>
      <c r="AI148" s="2">
        <f t="shared" si="62"/>
        <v>1</v>
      </c>
    </row>
    <row r="149" spans="1:16384" s="3" customFormat="1" ht="14.25" customHeight="1" x14ac:dyDescent="0.3">
      <c r="A149" s="20">
        <v>0</v>
      </c>
      <c r="B149" s="20">
        <v>2</v>
      </c>
      <c r="C149" s="20">
        <v>2</v>
      </c>
      <c r="D149" s="21" t="s">
        <v>723</v>
      </c>
      <c r="E149" s="21" t="s">
        <v>817</v>
      </c>
      <c r="F149" s="21" t="s">
        <v>724</v>
      </c>
      <c r="G149" s="21" t="s">
        <v>96</v>
      </c>
      <c r="H149" s="21" t="s">
        <v>165</v>
      </c>
      <c r="I149" s="20" t="s">
        <v>725</v>
      </c>
      <c r="J149" s="20">
        <v>3</v>
      </c>
      <c r="K149" s="20" t="s">
        <v>319</v>
      </c>
      <c r="L149" s="20">
        <v>35</v>
      </c>
      <c r="M149" s="21" t="s">
        <v>884</v>
      </c>
      <c r="N149" s="21"/>
      <c r="O149" s="7"/>
      <c r="P149" s="7"/>
      <c r="Q149" s="21"/>
      <c r="R149" s="2"/>
      <c r="S149" s="2">
        <f t="shared" si="47"/>
        <v>0</v>
      </c>
      <c r="T149" s="2">
        <f t="shared" si="48"/>
        <v>0</v>
      </c>
      <c r="U149" s="2">
        <f t="shared" si="49"/>
        <v>1</v>
      </c>
      <c r="V149" s="2">
        <f t="shared" si="50"/>
        <v>0</v>
      </c>
      <c r="W149" s="2">
        <f t="shared" si="51"/>
        <v>0</v>
      </c>
      <c r="X149" s="2">
        <f t="shared" si="52"/>
        <v>0</v>
      </c>
      <c r="Y149" s="2">
        <f t="shared" si="53"/>
        <v>0</v>
      </c>
      <c r="Z149" s="2">
        <f t="shared" si="54"/>
        <v>0</v>
      </c>
      <c r="AA149" s="2">
        <f t="shared" si="55"/>
        <v>0</v>
      </c>
      <c r="AB149" s="2">
        <f t="shared" si="56"/>
        <v>0</v>
      </c>
      <c r="AC149" s="2"/>
      <c r="AD149" s="2">
        <f t="shared" si="57"/>
        <v>0</v>
      </c>
      <c r="AE149" s="2">
        <f t="shared" si="58"/>
        <v>0</v>
      </c>
      <c r="AF149" s="2">
        <f t="shared" si="59"/>
        <v>0</v>
      </c>
      <c r="AG149" s="2">
        <f t="shared" si="60"/>
        <v>0</v>
      </c>
      <c r="AH149" s="2">
        <f t="shared" si="61"/>
        <v>0</v>
      </c>
      <c r="AI149" s="2">
        <f t="shared" si="62"/>
        <v>1</v>
      </c>
    </row>
    <row r="150" spans="1:16384" s="3" customFormat="1" ht="14.25" customHeight="1" x14ac:dyDescent="0.3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885</v>
      </c>
      <c r="N150" s="30" t="s">
        <v>900</v>
      </c>
      <c r="O150" s="31">
        <v>1</v>
      </c>
      <c r="P150" s="31"/>
      <c r="Q150" s="30"/>
      <c r="R150" s="2"/>
      <c r="S150" s="2">
        <f t="shared" si="47"/>
        <v>1</v>
      </c>
      <c r="T150" s="2">
        <f t="shared" si="48"/>
        <v>0</v>
      </c>
      <c r="U150" s="2">
        <f t="shared" si="49"/>
        <v>0</v>
      </c>
      <c r="V150" s="2">
        <f t="shared" si="50"/>
        <v>0</v>
      </c>
      <c r="W150" s="2">
        <f t="shared" si="51"/>
        <v>0</v>
      </c>
      <c r="X150" s="2">
        <f t="shared" si="52"/>
        <v>0</v>
      </c>
      <c r="Y150" s="2">
        <f t="shared" si="53"/>
        <v>0</v>
      </c>
      <c r="Z150" s="2">
        <f t="shared" si="54"/>
        <v>0</v>
      </c>
      <c r="AA150" s="2">
        <f t="shared" si="55"/>
        <v>0</v>
      </c>
      <c r="AB150" s="2">
        <f t="shared" si="56"/>
        <v>0</v>
      </c>
      <c r="AC150" s="2"/>
      <c r="AD150" s="2">
        <f t="shared" si="57"/>
        <v>0</v>
      </c>
      <c r="AE150" s="2">
        <f t="shared" si="58"/>
        <v>1</v>
      </c>
      <c r="AF150" s="2">
        <f t="shared" si="59"/>
        <v>0</v>
      </c>
      <c r="AG150" s="2">
        <f t="shared" si="60"/>
        <v>1</v>
      </c>
      <c r="AH150" s="2">
        <f t="shared" si="61"/>
        <v>0</v>
      </c>
      <c r="AI150" s="2">
        <f t="shared" si="62"/>
        <v>1</v>
      </c>
    </row>
    <row r="151" spans="1:16384" s="3" customFormat="1" ht="14.25" customHeight="1" x14ac:dyDescent="0.3">
      <c r="A151" s="32">
        <v>0</v>
      </c>
      <c r="B151" s="32">
        <v>2</v>
      </c>
      <c r="C151" s="32">
        <v>2</v>
      </c>
      <c r="D151" s="33" t="s">
        <v>797</v>
      </c>
      <c r="E151" s="33"/>
      <c r="F151" s="33" t="s">
        <v>798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799</v>
      </c>
      <c r="N151" s="33" t="s">
        <v>930</v>
      </c>
      <c r="O151" s="34"/>
      <c r="P151" s="34"/>
      <c r="Q151" s="33"/>
      <c r="R151" s="2"/>
      <c r="S151" s="2">
        <f t="shared" si="47"/>
        <v>1</v>
      </c>
      <c r="T151" s="2">
        <f t="shared" si="48"/>
        <v>0</v>
      </c>
      <c r="U151" s="2">
        <f t="shared" si="49"/>
        <v>0</v>
      </c>
      <c r="V151" s="2">
        <f t="shared" si="50"/>
        <v>0</v>
      </c>
      <c r="W151" s="2">
        <f t="shared" si="51"/>
        <v>0</v>
      </c>
      <c r="X151" s="2">
        <f t="shared" si="52"/>
        <v>0</v>
      </c>
      <c r="Y151" s="2">
        <f t="shared" si="53"/>
        <v>0</v>
      </c>
      <c r="Z151" s="2">
        <f t="shared" si="54"/>
        <v>0</v>
      </c>
      <c r="AA151" s="2">
        <f t="shared" si="55"/>
        <v>0</v>
      </c>
      <c r="AB151" s="2">
        <f t="shared" si="56"/>
        <v>0</v>
      </c>
      <c r="AC151" s="2"/>
      <c r="AD151" s="2">
        <f t="shared" si="57"/>
        <v>0</v>
      </c>
      <c r="AE151" s="2">
        <f t="shared" si="58"/>
        <v>0</v>
      </c>
      <c r="AF151" s="2">
        <f t="shared" si="59"/>
        <v>0</v>
      </c>
      <c r="AG151" s="2">
        <f t="shared" si="60"/>
        <v>0</v>
      </c>
      <c r="AH151" s="2">
        <f t="shared" si="61"/>
        <v>0</v>
      </c>
      <c r="AI151" s="2">
        <f t="shared" si="62"/>
        <v>1</v>
      </c>
    </row>
    <row r="152" spans="1:16384" s="3" customFormat="1" ht="14.25" customHeight="1" x14ac:dyDescent="0.3">
      <c r="A152" s="29">
        <v>0</v>
      </c>
      <c r="B152" s="29">
        <v>2</v>
      </c>
      <c r="C152" s="29">
        <v>2</v>
      </c>
      <c r="D152" s="30" t="s">
        <v>727</v>
      </c>
      <c r="E152" s="30" t="s">
        <v>30</v>
      </c>
      <c r="F152" s="30" t="s">
        <v>788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728</v>
      </c>
      <c r="N152" s="30" t="s">
        <v>900</v>
      </c>
      <c r="O152" s="31">
        <v>1</v>
      </c>
      <c r="P152" s="31"/>
      <c r="Q152" s="30"/>
      <c r="R152" s="2"/>
      <c r="S152" s="2">
        <f t="shared" si="47"/>
        <v>0</v>
      </c>
      <c r="T152" s="2">
        <f t="shared" si="48"/>
        <v>0</v>
      </c>
      <c r="U152" s="2">
        <f t="shared" si="49"/>
        <v>0</v>
      </c>
      <c r="V152" s="2">
        <f t="shared" si="50"/>
        <v>0</v>
      </c>
      <c r="W152" s="2">
        <f t="shared" si="51"/>
        <v>0</v>
      </c>
      <c r="X152" s="2">
        <f t="shared" si="52"/>
        <v>0</v>
      </c>
      <c r="Y152" s="2">
        <f t="shared" si="53"/>
        <v>0</v>
      </c>
      <c r="Z152" s="2">
        <f t="shared" si="54"/>
        <v>0</v>
      </c>
      <c r="AA152" s="2">
        <f t="shared" si="55"/>
        <v>0</v>
      </c>
      <c r="AB152" s="2">
        <f t="shared" si="56"/>
        <v>0</v>
      </c>
      <c r="AC152" s="2"/>
      <c r="AD152" s="2">
        <f t="shared" si="57"/>
        <v>0</v>
      </c>
      <c r="AE152" s="2">
        <f t="shared" si="58"/>
        <v>1</v>
      </c>
      <c r="AF152" s="2">
        <f t="shared" si="59"/>
        <v>0</v>
      </c>
      <c r="AG152" s="2">
        <f t="shared" si="60"/>
        <v>1</v>
      </c>
      <c r="AH152" s="2">
        <f t="shared" si="61"/>
        <v>0</v>
      </c>
      <c r="AI152" s="2">
        <f t="shared" si="62"/>
        <v>1</v>
      </c>
    </row>
    <row r="153" spans="1:16384" s="3" customFormat="1" ht="14.25" customHeight="1" x14ac:dyDescent="0.3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894</v>
      </c>
      <c r="O153" s="31">
        <v>1</v>
      </c>
      <c r="P153" s="31">
        <v>1</v>
      </c>
      <c r="Q153" s="30"/>
      <c r="R153" s="2"/>
      <c r="S153" s="2">
        <f t="shared" si="47"/>
        <v>0</v>
      </c>
      <c r="T153" s="2">
        <f t="shared" si="48"/>
        <v>0</v>
      </c>
      <c r="U153" s="2">
        <f t="shared" si="49"/>
        <v>0</v>
      </c>
      <c r="V153" s="2">
        <f t="shared" si="50"/>
        <v>0</v>
      </c>
      <c r="W153" s="2">
        <f t="shared" si="51"/>
        <v>0</v>
      </c>
      <c r="X153" s="2">
        <f t="shared" si="52"/>
        <v>0</v>
      </c>
      <c r="Y153" s="2">
        <f t="shared" si="53"/>
        <v>0</v>
      </c>
      <c r="Z153" s="2">
        <f t="shared" si="54"/>
        <v>0</v>
      </c>
      <c r="AA153" s="2">
        <f t="shared" si="55"/>
        <v>0</v>
      </c>
      <c r="AB153" s="2">
        <f t="shared" si="56"/>
        <v>0</v>
      </c>
      <c r="AC153" s="2"/>
      <c r="AD153" s="2">
        <f t="shared" si="57"/>
        <v>1</v>
      </c>
      <c r="AE153" s="2">
        <f t="shared" si="58"/>
        <v>0</v>
      </c>
      <c r="AF153" s="2">
        <f t="shared" si="59"/>
        <v>1</v>
      </c>
      <c r="AG153" s="2">
        <f t="shared" si="60"/>
        <v>0</v>
      </c>
      <c r="AH153" s="2">
        <f t="shared" si="61"/>
        <v>1</v>
      </c>
      <c r="AI153" s="2">
        <f t="shared" si="62"/>
        <v>0</v>
      </c>
    </row>
    <row r="154" spans="1:16384" s="3" customFormat="1" ht="14.25" customHeight="1" x14ac:dyDescent="0.3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781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894</v>
      </c>
      <c r="O154" s="31">
        <v>1</v>
      </c>
      <c r="P154" s="31">
        <v>1</v>
      </c>
      <c r="Q154" s="30"/>
      <c r="R154" s="2"/>
      <c r="S154" s="2">
        <f t="shared" si="47"/>
        <v>0</v>
      </c>
      <c r="T154" s="2">
        <f t="shared" si="48"/>
        <v>0</v>
      </c>
      <c r="U154" s="2">
        <f t="shared" si="49"/>
        <v>0</v>
      </c>
      <c r="V154" s="2">
        <f t="shared" si="50"/>
        <v>0</v>
      </c>
      <c r="W154" s="2">
        <f t="shared" si="51"/>
        <v>0</v>
      </c>
      <c r="X154" s="2">
        <f t="shared" si="52"/>
        <v>0</v>
      </c>
      <c r="Y154" s="2">
        <f t="shared" si="53"/>
        <v>0</v>
      </c>
      <c r="Z154" s="2">
        <f t="shared" si="54"/>
        <v>0</v>
      </c>
      <c r="AA154" s="2">
        <f t="shared" si="55"/>
        <v>0</v>
      </c>
      <c r="AB154" s="2">
        <f t="shared" si="56"/>
        <v>0</v>
      </c>
      <c r="AC154" s="2"/>
      <c r="AD154" s="2">
        <f t="shared" si="57"/>
        <v>1</v>
      </c>
      <c r="AE154" s="2">
        <f t="shared" si="58"/>
        <v>0</v>
      </c>
      <c r="AF154" s="2">
        <f t="shared" si="59"/>
        <v>0</v>
      </c>
      <c r="AG154" s="2">
        <f t="shared" si="60"/>
        <v>0</v>
      </c>
      <c r="AH154" s="2">
        <f t="shared" si="61"/>
        <v>0</v>
      </c>
      <c r="AI154" s="2">
        <f t="shared" si="62"/>
        <v>0</v>
      </c>
    </row>
    <row r="155" spans="1:16384" s="3" customFormat="1" ht="14.25" customHeight="1" x14ac:dyDescent="0.3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912</v>
      </c>
      <c r="O155" s="31">
        <v>1</v>
      </c>
      <c r="P155" s="31"/>
      <c r="Q155" s="30"/>
      <c r="R155" s="2"/>
      <c r="S155" s="2">
        <f t="shared" si="47"/>
        <v>0</v>
      </c>
      <c r="T155" s="2">
        <f t="shared" si="48"/>
        <v>0</v>
      </c>
      <c r="U155" s="2">
        <f t="shared" si="49"/>
        <v>0</v>
      </c>
      <c r="V155" s="2">
        <f t="shared" si="50"/>
        <v>1</v>
      </c>
      <c r="W155" s="2">
        <f t="shared" si="51"/>
        <v>0</v>
      </c>
      <c r="X155" s="2">
        <f t="shared" si="52"/>
        <v>0</v>
      </c>
      <c r="Y155" s="2">
        <f t="shared" si="53"/>
        <v>0</v>
      </c>
      <c r="Z155" s="2">
        <f t="shared" si="54"/>
        <v>0</v>
      </c>
      <c r="AA155" s="2">
        <f t="shared" si="55"/>
        <v>0</v>
      </c>
      <c r="AB155" s="2">
        <f t="shared" si="56"/>
        <v>0</v>
      </c>
      <c r="AC155" s="2"/>
      <c r="AD155" s="2">
        <f t="shared" si="57"/>
        <v>0</v>
      </c>
      <c r="AE155" s="2">
        <f t="shared" si="58"/>
        <v>1</v>
      </c>
      <c r="AF155" s="2">
        <f t="shared" si="59"/>
        <v>0</v>
      </c>
      <c r="AG155" s="2">
        <f t="shared" si="60"/>
        <v>1</v>
      </c>
      <c r="AH155" s="2">
        <f t="shared" si="61"/>
        <v>0</v>
      </c>
      <c r="AI155" s="2">
        <f t="shared" si="62"/>
        <v>1</v>
      </c>
    </row>
    <row r="156" spans="1:16384" s="3" customFormat="1" ht="14.25" customHeight="1" x14ac:dyDescent="0.3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726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912</v>
      </c>
      <c r="O156" s="31">
        <v>1</v>
      </c>
      <c r="P156" s="31"/>
      <c r="Q156" s="30"/>
      <c r="R156" s="2"/>
      <c r="S156" s="2">
        <f t="shared" si="47"/>
        <v>0</v>
      </c>
      <c r="T156" s="2">
        <f t="shared" si="48"/>
        <v>0</v>
      </c>
      <c r="U156" s="2">
        <f t="shared" si="49"/>
        <v>0</v>
      </c>
      <c r="V156" s="2">
        <f t="shared" si="50"/>
        <v>0</v>
      </c>
      <c r="W156" s="2">
        <f t="shared" si="51"/>
        <v>0</v>
      </c>
      <c r="X156" s="2">
        <f t="shared" si="52"/>
        <v>0</v>
      </c>
      <c r="Y156" s="2">
        <f t="shared" si="53"/>
        <v>0</v>
      </c>
      <c r="Z156" s="2">
        <f t="shared" si="54"/>
        <v>0</v>
      </c>
      <c r="AA156" s="2">
        <f t="shared" si="55"/>
        <v>0</v>
      </c>
      <c r="AB156" s="2">
        <f t="shared" si="56"/>
        <v>0</v>
      </c>
      <c r="AC156" s="2"/>
      <c r="AD156" s="2">
        <f t="shared" si="57"/>
        <v>0</v>
      </c>
      <c r="AE156" s="2">
        <f t="shared" si="58"/>
        <v>1</v>
      </c>
      <c r="AF156" s="2">
        <f t="shared" si="59"/>
        <v>0</v>
      </c>
      <c r="AG156" s="2">
        <f t="shared" si="60"/>
        <v>0</v>
      </c>
      <c r="AH156" s="2">
        <f t="shared" si="61"/>
        <v>0</v>
      </c>
      <c r="AI156" s="2">
        <f t="shared" si="62"/>
        <v>0</v>
      </c>
    </row>
    <row r="157" spans="1:16384" s="3" customFormat="1" ht="14.25" customHeight="1" x14ac:dyDescent="0.3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745</v>
      </c>
      <c r="N157" s="30" t="s">
        <v>902</v>
      </c>
      <c r="O157" s="31">
        <v>1</v>
      </c>
      <c r="P157" s="31"/>
      <c r="Q157" s="30"/>
      <c r="R157" s="2"/>
      <c r="S157" s="2">
        <f t="shared" si="47"/>
        <v>0</v>
      </c>
      <c r="T157" s="2">
        <f t="shared" si="48"/>
        <v>0</v>
      </c>
      <c r="U157" s="2">
        <f t="shared" si="49"/>
        <v>0</v>
      </c>
      <c r="V157" s="2">
        <f t="shared" si="50"/>
        <v>0</v>
      </c>
      <c r="W157" s="2">
        <f t="shared" si="51"/>
        <v>0</v>
      </c>
      <c r="X157" s="2">
        <f t="shared" si="52"/>
        <v>1</v>
      </c>
      <c r="Y157" s="2">
        <f t="shared" si="53"/>
        <v>0</v>
      </c>
      <c r="Z157" s="2">
        <f t="shared" si="54"/>
        <v>0</v>
      </c>
      <c r="AA157" s="2">
        <f t="shared" si="55"/>
        <v>0</v>
      </c>
      <c r="AB157" s="2">
        <f t="shared" si="56"/>
        <v>0</v>
      </c>
      <c r="AC157" s="2"/>
      <c r="AD157" s="2">
        <f t="shared" si="57"/>
        <v>0</v>
      </c>
      <c r="AE157" s="2">
        <f t="shared" si="58"/>
        <v>1</v>
      </c>
      <c r="AF157" s="2">
        <f t="shared" si="59"/>
        <v>0</v>
      </c>
      <c r="AG157" s="2">
        <f t="shared" si="60"/>
        <v>1</v>
      </c>
      <c r="AH157" s="2">
        <f t="shared" si="61"/>
        <v>0</v>
      </c>
      <c r="AI157" s="2">
        <f t="shared" si="62"/>
        <v>1</v>
      </c>
    </row>
    <row r="158" spans="1:16384" s="3" customFormat="1" ht="14.25" customHeight="1" x14ac:dyDescent="0.3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954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901</v>
      </c>
      <c r="O158" s="34"/>
      <c r="P158" s="34"/>
      <c r="Q158" s="33"/>
      <c r="R158" s="2"/>
      <c r="S158" s="2">
        <f t="shared" si="47"/>
        <v>0</v>
      </c>
      <c r="T158" s="2">
        <f t="shared" si="48"/>
        <v>0</v>
      </c>
      <c r="U158" s="2">
        <f t="shared" si="49"/>
        <v>0</v>
      </c>
      <c r="V158" s="2">
        <f t="shared" si="50"/>
        <v>0</v>
      </c>
      <c r="W158" s="2">
        <f t="shared" si="51"/>
        <v>0</v>
      </c>
      <c r="X158" s="2">
        <f t="shared" si="52"/>
        <v>0</v>
      </c>
      <c r="Y158" s="2">
        <f t="shared" si="53"/>
        <v>0</v>
      </c>
      <c r="Z158" s="2">
        <f t="shared" si="54"/>
        <v>0</v>
      </c>
      <c r="AA158" s="2">
        <f t="shared" si="55"/>
        <v>0</v>
      </c>
      <c r="AB158" s="2">
        <f t="shared" si="56"/>
        <v>0</v>
      </c>
      <c r="AC158" s="2"/>
      <c r="AD158" s="2">
        <f t="shared" si="57"/>
        <v>0</v>
      </c>
      <c r="AE158" s="2">
        <f t="shared" si="58"/>
        <v>0</v>
      </c>
      <c r="AF158" s="2">
        <f t="shared" si="59"/>
        <v>0</v>
      </c>
      <c r="AG158" s="2">
        <f t="shared" si="60"/>
        <v>0</v>
      </c>
      <c r="AH158" s="2">
        <f t="shared" si="61"/>
        <v>0</v>
      </c>
      <c r="AI158" s="2">
        <f t="shared" si="62"/>
        <v>1</v>
      </c>
    </row>
    <row r="159" spans="1:16384" s="3" customFormat="1" ht="14.25" customHeight="1" x14ac:dyDescent="0.3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894</v>
      </c>
      <c r="O159" s="31">
        <v>1</v>
      </c>
      <c r="P159" s="31">
        <v>1</v>
      </c>
      <c r="Q159" s="30"/>
      <c r="R159" s="2"/>
      <c r="S159" s="2">
        <f t="shared" si="47"/>
        <v>0</v>
      </c>
      <c r="T159" s="2">
        <f t="shared" si="48"/>
        <v>0</v>
      </c>
      <c r="U159" s="2">
        <f t="shared" si="49"/>
        <v>0</v>
      </c>
      <c r="V159" s="2">
        <f t="shared" si="50"/>
        <v>0</v>
      </c>
      <c r="W159" s="2">
        <f t="shared" si="51"/>
        <v>0</v>
      </c>
      <c r="X159" s="2">
        <f t="shared" si="52"/>
        <v>0</v>
      </c>
      <c r="Y159" s="2">
        <f t="shared" si="53"/>
        <v>0</v>
      </c>
      <c r="Z159" s="2">
        <f t="shared" si="54"/>
        <v>0</v>
      </c>
      <c r="AA159" s="2">
        <f t="shared" si="55"/>
        <v>0</v>
      </c>
      <c r="AB159" s="2">
        <f t="shared" si="56"/>
        <v>0</v>
      </c>
      <c r="AC159" s="2"/>
      <c r="AD159" s="2">
        <f t="shared" si="57"/>
        <v>1</v>
      </c>
      <c r="AE159" s="2">
        <f t="shared" si="58"/>
        <v>0</v>
      </c>
      <c r="AF159" s="2">
        <f t="shared" si="59"/>
        <v>1</v>
      </c>
      <c r="AG159" s="2">
        <f t="shared" si="60"/>
        <v>0</v>
      </c>
      <c r="AH159" s="2">
        <f t="shared" si="61"/>
        <v>1</v>
      </c>
      <c r="AI159" s="2">
        <f t="shared" si="62"/>
        <v>0</v>
      </c>
    </row>
    <row r="160" spans="1:16384" s="3" customFormat="1" ht="14.25" customHeight="1" x14ac:dyDescent="0.3">
      <c r="A160" s="26">
        <v>0</v>
      </c>
      <c r="B160" s="26">
        <v>2</v>
      </c>
      <c r="C160" s="26">
        <v>2</v>
      </c>
      <c r="D160" s="27" t="s">
        <v>970</v>
      </c>
      <c r="E160" s="27" t="s">
        <v>971</v>
      </c>
      <c r="F160" s="27" t="s">
        <v>972</v>
      </c>
      <c r="G160" s="27" t="s">
        <v>973</v>
      </c>
      <c r="H160" s="27" t="s">
        <v>165</v>
      </c>
      <c r="I160" s="26" t="s">
        <v>974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47"/>
        <v>0</v>
      </c>
      <c r="T160" s="2">
        <f t="shared" si="48"/>
        <v>0</v>
      </c>
      <c r="U160" s="2">
        <f t="shared" si="49"/>
        <v>0</v>
      </c>
      <c r="V160" s="2">
        <f t="shared" si="50"/>
        <v>0</v>
      </c>
      <c r="W160" s="2">
        <f t="shared" si="51"/>
        <v>0</v>
      </c>
      <c r="X160" s="2">
        <f t="shared" si="52"/>
        <v>0</v>
      </c>
      <c r="Y160" s="2">
        <f t="shared" si="53"/>
        <v>0</v>
      </c>
      <c r="Z160" s="2">
        <f t="shared" si="54"/>
        <v>0</v>
      </c>
      <c r="AA160" s="2">
        <f t="shared" si="55"/>
        <v>0</v>
      </c>
      <c r="AB160" s="2">
        <f t="shared" si="56"/>
        <v>0</v>
      </c>
      <c r="AC160" s="2"/>
      <c r="AD160" s="2">
        <f t="shared" si="57"/>
        <v>0</v>
      </c>
      <c r="AE160" s="2">
        <f t="shared" si="58"/>
        <v>0</v>
      </c>
      <c r="AF160" s="2">
        <f t="shared" si="59"/>
        <v>0</v>
      </c>
      <c r="AG160" s="2">
        <f t="shared" si="60"/>
        <v>0</v>
      </c>
      <c r="AH160" s="2">
        <f t="shared" si="61"/>
        <v>1</v>
      </c>
      <c r="AI160" s="2">
        <f t="shared" si="62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3">
      <c r="A161" s="29">
        <v>0</v>
      </c>
      <c r="B161" s="29">
        <v>2</v>
      </c>
      <c r="C161" s="29">
        <v>2</v>
      </c>
      <c r="D161" s="30" t="s">
        <v>998</v>
      </c>
      <c r="E161" s="30" t="s">
        <v>995</v>
      </c>
      <c r="F161" s="30" t="s">
        <v>996</v>
      </c>
      <c r="G161" s="30" t="s">
        <v>137</v>
      </c>
      <c r="H161" s="30" t="s">
        <v>165</v>
      </c>
      <c r="I161" s="29" t="s">
        <v>997</v>
      </c>
      <c r="J161" s="29">
        <v>1</v>
      </c>
      <c r="K161" s="29" t="s">
        <v>378</v>
      </c>
      <c r="L161" s="29"/>
      <c r="M161" s="30"/>
      <c r="N161" s="30" t="s">
        <v>894</v>
      </c>
      <c r="O161" s="31">
        <v>1</v>
      </c>
      <c r="P161" s="31">
        <v>1</v>
      </c>
      <c r="Q161" s="30" t="s">
        <v>999</v>
      </c>
      <c r="R161" s="2"/>
      <c r="S161" s="2">
        <f t="shared" si="47"/>
        <v>1</v>
      </c>
      <c r="T161" s="2">
        <f t="shared" si="48"/>
        <v>0</v>
      </c>
      <c r="U161" s="2">
        <f t="shared" si="49"/>
        <v>0</v>
      </c>
      <c r="V161" s="2">
        <f t="shared" si="50"/>
        <v>0</v>
      </c>
      <c r="W161" s="2">
        <f t="shared" si="51"/>
        <v>0</v>
      </c>
      <c r="X161" s="2">
        <f t="shared" si="52"/>
        <v>0</v>
      </c>
      <c r="Y161" s="2">
        <f t="shared" si="53"/>
        <v>0</v>
      </c>
      <c r="Z161" s="2">
        <f t="shared" si="54"/>
        <v>0</v>
      </c>
      <c r="AA161" s="2">
        <f t="shared" si="55"/>
        <v>0</v>
      </c>
      <c r="AB161" s="2">
        <f t="shared" si="56"/>
        <v>0</v>
      </c>
      <c r="AC161" s="2"/>
      <c r="AD161" s="2">
        <f t="shared" si="57"/>
        <v>1</v>
      </c>
      <c r="AE161" s="2">
        <f t="shared" si="58"/>
        <v>0</v>
      </c>
      <c r="AF161" s="2">
        <f t="shared" si="59"/>
        <v>1</v>
      </c>
      <c r="AG161" s="2">
        <f t="shared" si="60"/>
        <v>0</v>
      </c>
      <c r="AH161" s="2">
        <f t="shared" si="61"/>
        <v>1</v>
      </c>
      <c r="AI161" s="2">
        <f t="shared" si="62"/>
        <v>0</v>
      </c>
    </row>
    <row r="162" spans="1:16384" s="3" customFormat="1" ht="14.25" customHeight="1" x14ac:dyDescent="0.3">
      <c r="A162" s="29">
        <v>0</v>
      </c>
      <c r="B162" s="29">
        <v>2</v>
      </c>
      <c r="C162" s="29">
        <v>2</v>
      </c>
      <c r="D162" s="30" t="s">
        <v>944</v>
      </c>
      <c r="E162" s="30" t="s">
        <v>470</v>
      </c>
      <c r="F162" s="30" t="s">
        <v>945</v>
      </c>
      <c r="G162" s="30" t="s">
        <v>96</v>
      </c>
      <c r="H162" s="30" t="s">
        <v>165</v>
      </c>
      <c r="I162" s="29" t="s">
        <v>946</v>
      </c>
      <c r="J162" s="29"/>
      <c r="K162" s="29" t="s">
        <v>378</v>
      </c>
      <c r="L162" s="29"/>
      <c r="M162" s="30"/>
      <c r="N162" s="30" t="s">
        <v>894</v>
      </c>
      <c r="O162" s="31">
        <v>1</v>
      </c>
      <c r="P162" s="31">
        <v>1</v>
      </c>
      <c r="Q162" s="30" t="s">
        <v>1001</v>
      </c>
      <c r="R162" s="20"/>
      <c r="S162" s="2">
        <f t="shared" si="47"/>
        <v>0</v>
      </c>
      <c r="T162" s="2">
        <f t="shared" si="48"/>
        <v>0</v>
      </c>
      <c r="U162" s="2">
        <f t="shared" si="49"/>
        <v>0</v>
      </c>
      <c r="V162" s="2">
        <f t="shared" si="50"/>
        <v>0</v>
      </c>
      <c r="W162" s="2">
        <f t="shared" si="51"/>
        <v>0</v>
      </c>
      <c r="X162" s="2">
        <f t="shared" si="52"/>
        <v>0</v>
      </c>
      <c r="Y162" s="2">
        <f t="shared" si="53"/>
        <v>0</v>
      </c>
      <c r="Z162" s="2">
        <f t="shared" si="54"/>
        <v>0</v>
      </c>
      <c r="AA162" s="2">
        <f t="shared" si="55"/>
        <v>0</v>
      </c>
      <c r="AB162" s="2">
        <f t="shared" si="56"/>
        <v>0</v>
      </c>
      <c r="AC162" s="2"/>
      <c r="AD162" s="2">
        <f t="shared" si="57"/>
        <v>1</v>
      </c>
      <c r="AE162" s="2">
        <f t="shared" si="58"/>
        <v>0</v>
      </c>
      <c r="AF162" s="2">
        <f t="shared" si="59"/>
        <v>1</v>
      </c>
      <c r="AG162" s="2">
        <f t="shared" si="60"/>
        <v>0</v>
      </c>
      <c r="AH162" s="2">
        <f t="shared" si="61"/>
        <v>1</v>
      </c>
      <c r="AI162" s="2">
        <f t="shared" si="62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3">
      <c r="A163" s="29">
        <v>0</v>
      </c>
      <c r="B163" s="29">
        <v>2</v>
      </c>
      <c r="C163" s="29">
        <v>2</v>
      </c>
      <c r="D163" s="30" t="s">
        <v>713</v>
      </c>
      <c r="E163" s="30" t="s">
        <v>30</v>
      </c>
      <c r="F163" s="30" t="s">
        <v>715</v>
      </c>
      <c r="G163" s="30" t="s">
        <v>716</v>
      </c>
      <c r="H163" s="30" t="s">
        <v>165</v>
      </c>
      <c r="I163" s="29" t="s">
        <v>717</v>
      </c>
      <c r="J163" s="29">
        <v>99</v>
      </c>
      <c r="K163" s="29" t="s">
        <v>320</v>
      </c>
      <c r="L163" s="29">
        <v>55</v>
      </c>
      <c r="M163" s="30" t="s">
        <v>1002</v>
      </c>
      <c r="N163" s="30" t="s">
        <v>914</v>
      </c>
      <c r="O163" s="31">
        <v>1</v>
      </c>
      <c r="P163" s="31"/>
      <c r="Q163" s="30" t="s">
        <v>1000</v>
      </c>
      <c r="R163" s="2"/>
      <c r="S163" s="2">
        <f t="shared" si="47"/>
        <v>0</v>
      </c>
      <c r="T163" s="2">
        <f t="shared" si="48"/>
        <v>0</v>
      </c>
      <c r="U163" s="2">
        <f t="shared" si="49"/>
        <v>0</v>
      </c>
      <c r="V163" s="2">
        <f t="shared" si="50"/>
        <v>0</v>
      </c>
      <c r="W163" s="2">
        <f t="shared" si="51"/>
        <v>0</v>
      </c>
      <c r="X163" s="2">
        <f t="shared" si="52"/>
        <v>0</v>
      </c>
      <c r="Y163" s="2">
        <f t="shared" si="53"/>
        <v>0</v>
      </c>
      <c r="Z163" s="2">
        <f t="shared" si="54"/>
        <v>0</v>
      </c>
      <c r="AA163" s="2">
        <f t="shared" si="55"/>
        <v>0</v>
      </c>
      <c r="AB163" s="2">
        <f t="shared" si="56"/>
        <v>0</v>
      </c>
      <c r="AC163" s="2"/>
      <c r="AD163" s="2">
        <f t="shared" si="57"/>
        <v>0</v>
      </c>
      <c r="AE163" s="2">
        <f t="shared" si="58"/>
        <v>1</v>
      </c>
      <c r="AF163" s="2">
        <f t="shared" si="59"/>
        <v>0</v>
      </c>
      <c r="AG163" s="2">
        <f t="shared" si="60"/>
        <v>1</v>
      </c>
      <c r="AH163" s="2">
        <f t="shared" si="61"/>
        <v>0</v>
      </c>
      <c r="AI163" s="2">
        <f t="shared" si="62"/>
        <v>1</v>
      </c>
    </row>
    <row r="164" spans="1:16384" s="3" customFormat="1" ht="14.25" customHeight="1" x14ac:dyDescent="0.3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886</v>
      </c>
      <c r="N164" s="30" t="s">
        <v>908</v>
      </c>
      <c r="O164" s="31">
        <v>1</v>
      </c>
      <c r="P164" s="31"/>
      <c r="Q164" s="30"/>
      <c r="R164" s="2"/>
      <c r="S164" s="2">
        <f t="shared" si="47"/>
        <v>0</v>
      </c>
      <c r="T164" s="2">
        <f t="shared" si="48"/>
        <v>0</v>
      </c>
      <c r="U164" s="2">
        <f t="shared" si="49"/>
        <v>0</v>
      </c>
      <c r="V164" s="2">
        <f t="shared" si="50"/>
        <v>0</v>
      </c>
      <c r="W164" s="2">
        <f t="shared" si="51"/>
        <v>0</v>
      </c>
      <c r="X164" s="2">
        <f t="shared" si="52"/>
        <v>0</v>
      </c>
      <c r="Y164" s="2">
        <f t="shared" si="53"/>
        <v>0</v>
      </c>
      <c r="Z164" s="2">
        <f t="shared" si="54"/>
        <v>1</v>
      </c>
      <c r="AA164" s="2">
        <f t="shared" si="55"/>
        <v>0</v>
      </c>
      <c r="AB164" s="2">
        <f t="shared" si="56"/>
        <v>0</v>
      </c>
      <c r="AC164" s="2"/>
      <c r="AD164" s="2">
        <f t="shared" si="57"/>
        <v>0</v>
      </c>
      <c r="AE164" s="2">
        <f t="shared" si="58"/>
        <v>1</v>
      </c>
      <c r="AF164" s="2">
        <f t="shared" si="59"/>
        <v>0</v>
      </c>
      <c r="AG164" s="2">
        <f t="shared" si="60"/>
        <v>1</v>
      </c>
      <c r="AH164" s="2">
        <f t="shared" si="61"/>
        <v>0</v>
      </c>
      <c r="AI164" s="2">
        <f t="shared" si="62"/>
        <v>1</v>
      </c>
    </row>
    <row r="165" spans="1:16384" s="3" customFormat="1" ht="14.25" customHeight="1" x14ac:dyDescent="0.3">
      <c r="A165" s="32">
        <v>0</v>
      </c>
      <c r="B165" s="32">
        <v>2</v>
      </c>
      <c r="C165" s="32">
        <v>2</v>
      </c>
      <c r="D165" s="33" t="s">
        <v>814</v>
      </c>
      <c r="E165" s="33" t="s">
        <v>456</v>
      </c>
      <c r="F165" s="33" t="s">
        <v>793</v>
      </c>
      <c r="G165" s="33" t="s">
        <v>673</v>
      </c>
      <c r="H165" s="33" t="s">
        <v>165</v>
      </c>
      <c r="I165" s="32" t="s">
        <v>792</v>
      </c>
      <c r="J165" s="32">
        <v>99</v>
      </c>
      <c r="K165" s="32" t="s">
        <v>319</v>
      </c>
      <c r="L165" s="32">
        <v>20</v>
      </c>
      <c r="M165" s="33" t="s">
        <v>899</v>
      </c>
      <c r="N165" s="33" t="s">
        <v>901</v>
      </c>
      <c r="O165" s="34"/>
      <c r="P165" s="34"/>
      <c r="Q165" s="33"/>
      <c r="R165" s="2"/>
      <c r="S165" s="2">
        <f t="shared" si="47"/>
        <v>0</v>
      </c>
      <c r="T165" s="2">
        <f t="shared" si="48"/>
        <v>0</v>
      </c>
      <c r="U165" s="2">
        <f t="shared" si="49"/>
        <v>0</v>
      </c>
      <c r="V165" s="2">
        <f t="shared" si="50"/>
        <v>0</v>
      </c>
      <c r="W165" s="2">
        <f t="shared" si="51"/>
        <v>0</v>
      </c>
      <c r="X165" s="2">
        <f t="shared" si="52"/>
        <v>0</v>
      </c>
      <c r="Y165" s="2">
        <f t="shared" si="53"/>
        <v>0</v>
      </c>
      <c r="Z165" s="2">
        <f t="shared" si="54"/>
        <v>0</v>
      </c>
      <c r="AA165" s="2">
        <f t="shared" si="55"/>
        <v>0</v>
      </c>
      <c r="AB165" s="2">
        <f t="shared" si="56"/>
        <v>0</v>
      </c>
      <c r="AC165" s="2"/>
      <c r="AD165" s="2">
        <f t="shared" si="57"/>
        <v>0</v>
      </c>
      <c r="AE165" s="2">
        <f t="shared" si="58"/>
        <v>0</v>
      </c>
      <c r="AF165" s="2">
        <f t="shared" si="59"/>
        <v>0</v>
      </c>
      <c r="AG165" s="2">
        <f t="shared" si="60"/>
        <v>0</v>
      </c>
      <c r="AH165" s="2">
        <f t="shared" si="61"/>
        <v>0</v>
      </c>
      <c r="AI165" s="2">
        <f t="shared" si="62"/>
        <v>1</v>
      </c>
    </row>
    <row r="166" spans="1:16384" s="3" customFormat="1" ht="14.25" customHeight="1" x14ac:dyDescent="0.3">
      <c r="A166" s="32">
        <v>0</v>
      </c>
      <c r="B166" s="32">
        <v>2</v>
      </c>
      <c r="C166" s="32">
        <v>2</v>
      </c>
      <c r="D166" s="33" t="s">
        <v>721</v>
      </c>
      <c r="E166" s="33" t="s">
        <v>818</v>
      </c>
      <c r="F166" s="33" t="s">
        <v>832</v>
      </c>
      <c r="G166" s="33" t="s">
        <v>137</v>
      </c>
      <c r="H166" s="33" t="s">
        <v>165</v>
      </c>
      <c r="I166" s="32" t="s">
        <v>722</v>
      </c>
      <c r="J166" s="32">
        <v>1</v>
      </c>
      <c r="K166" s="32" t="s">
        <v>318</v>
      </c>
      <c r="L166" s="32">
        <v>40</v>
      </c>
      <c r="M166" s="33" t="s">
        <v>887</v>
      </c>
      <c r="N166" s="33" t="s">
        <v>896</v>
      </c>
      <c r="O166" s="34"/>
      <c r="P166" s="34"/>
      <c r="Q166" s="33"/>
      <c r="R166" s="2"/>
      <c r="S166" s="2">
        <f t="shared" si="47"/>
        <v>1</v>
      </c>
      <c r="T166" s="2">
        <f t="shared" si="48"/>
        <v>0</v>
      </c>
      <c r="U166" s="2">
        <f t="shared" si="49"/>
        <v>0</v>
      </c>
      <c r="V166" s="2">
        <f t="shared" si="50"/>
        <v>0</v>
      </c>
      <c r="W166" s="2">
        <f t="shared" si="51"/>
        <v>0</v>
      </c>
      <c r="X166" s="2">
        <f t="shared" si="52"/>
        <v>0</v>
      </c>
      <c r="Y166" s="2">
        <f t="shared" si="53"/>
        <v>0</v>
      </c>
      <c r="Z166" s="2">
        <f t="shared" si="54"/>
        <v>0</v>
      </c>
      <c r="AA166" s="2">
        <f t="shared" si="55"/>
        <v>0</v>
      </c>
      <c r="AB166" s="2">
        <f t="shared" si="56"/>
        <v>0</v>
      </c>
      <c r="AC166" s="2"/>
      <c r="AD166" s="2">
        <f t="shared" si="57"/>
        <v>0</v>
      </c>
      <c r="AE166" s="2">
        <f t="shared" si="58"/>
        <v>0</v>
      </c>
      <c r="AF166" s="2">
        <f t="shared" si="59"/>
        <v>0</v>
      </c>
      <c r="AG166" s="2">
        <f t="shared" si="60"/>
        <v>0</v>
      </c>
      <c r="AH166" s="2">
        <f t="shared" si="61"/>
        <v>0</v>
      </c>
      <c r="AI166" s="2">
        <f t="shared" si="62"/>
        <v>1</v>
      </c>
    </row>
    <row r="167" spans="1:16384" s="3" customFormat="1" ht="14.25" customHeight="1" x14ac:dyDescent="0.3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47"/>
        <v>1</v>
      </c>
      <c r="T167" s="2">
        <f t="shared" si="48"/>
        <v>0</v>
      </c>
      <c r="U167" s="2">
        <f t="shared" si="49"/>
        <v>0</v>
      </c>
      <c r="V167" s="2">
        <f t="shared" si="50"/>
        <v>0</v>
      </c>
      <c r="W167" s="2">
        <f t="shared" si="51"/>
        <v>0</v>
      </c>
      <c r="X167" s="2">
        <f t="shared" si="52"/>
        <v>0</v>
      </c>
      <c r="Y167" s="2">
        <f t="shared" si="53"/>
        <v>0</v>
      </c>
      <c r="Z167" s="2">
        <f t="shared" si="54"/>
        <v>0</v>
      </c>
      <c r="AA167" s="2">
        <f t="shared" si="55"/>
        <v>0</v>
      </c>
      <c r="AB167" s="2">
        <f t="shared" si="56"/>
        <v>0</v>
      </c>
      <c r="AC167" s="2"/>
      <c r="AD167" s="2">
        <f t="shared" si="57"/>
        <v>0</v>
      </c>
      <c r="AE167" s="2">
        <f t="shared" si="58"/>
        <v>0</v>
      </c>
      <c r="AF167" s="2">
        <f t="shared" si="59"/>
        <v>0</v>
      </c>
      <c r="AG167" s="2">
        <f t="shared" si="60"/>
        <v>0</v>
      </c>
      <c r="AH167" s="2">
        <f t="shared" si="61"/>
        <v>1</v>
      </c>
      <c r="AI167" s="2">
        <f t="shared" si="62"/>
        <v>0</v>
      </c>
    </row>
    <row r="168" spans="1:16384" s="3" customFormat="1" ht="14.25" customHeight="1" x14ac:dyDescent="0.3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894</v>
      </c>
      <c r="O168" s="31">
        <v>1</v>
      </c>
      <c r="P168" s="31">
        <v>1</v>
      </c>
      <c r="Q168" s="30"/>
      <c r="R168" s="2"/>
      <c r="S168" s="2">
        <f t="shared" si="47"/>
        <v>0</v>
      </c>
      <c r="T168" s="2">
        <f t="shared" si="48"/>
        <v>0</v>
      </c>
      <c r="U168" s="2">
        <f t="shared" si="49"/>
        <v>0</v>
      </c>
      <c r="V168" s="2">
        <f t="shared" si="50"/>
        <v>0</v>
      </c>
      <c r="W168" s="2">
        <f t="shared" si="51"/>
        <v>0</v>
      </c>
      <c r="X168" s="2">
        <f t="shared" si="52"/>
        <v>0</v>
      </c>
      <c r="Y168" s="2">
        <f t="shared" si="53"/>
        <v>0</v>
      </c>
      <c r="Z168" s="2">
        <f t="shared" si="54"/>
        <v>0</v>
      </c>
      <c r="AA168" s="2">
        <f t="shared" si="55"/>
        <v>0</v>
      </c>
      <c r="AB168" s="2">
        <f t="shared" si="56"/>
        <v>0</v>
      </c>
      <c r="AC168" s="2"/>
      <c r="AD168" s="2">
        <f t="shared" si="57"/>
        <v>1</v>
      </c>
      <c r="AE168" s="2">
        <f t="shared" si="58"/>
        <v>0</v>
      </c>
      <c r="AF168" s="2">
        <f t="shared" si="59"/>
        <v>1</v>
      </c>
      <c r="AG168" s="2">
        <f t="shared" si="60"/>
        <v>0</v>
      </c>
      <c r="AH168" s="2">
        <f t="shared" si="61"/>
        <v>1</v>
      </c>
      <c r="AI168" s="2">
        <f t="shared" si="62"/>
        <v>0</v>
      </c>
    </row>
    <row r="169" spans="1:16384" s="3" customFormat="1" ht="14.25" customHeight="1" x14ac:dyDescent="0.3">
      <c r="A169" s="29">
        <v>0</v>
      </c>
      <c r="B169" s="29">
        <v>2</v>
      </c>
      <c r="C169" s="29">
        <v>3</v>
      </c>
      <c r="D169" s="30" t="s">
        <v>800</v>
      </c>
      <c r="E169" s="30" t="s">
        <v>573</v>
      </c>
      <c r="F169" s="30" t="s">
        <v>956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894</v>
      </c>
      <c r="O169" s="31">
        <v>1</v>
      </c>
      <c r="P169" s="31">
        <v>1</v>
      </c>
      <c r="Q169" s="30"/>
      <c r="R169" s="2"/>
      <c r="S169" s="2">
        <f t="shared" si="47"/>
        <v>1</v>
      </c>
      <c r="T169" s="2">
        <f t="shared" si="48"/>
        <v>0</v>
      </c>
      <c r="U169" s="2">
        <f t="shared" si="49"/>
        <v>0</v>
      </c>
      <c r="V169" s="2">
        <f t="shared" si="50"/>
        <v>0</v>
      </c>
      <c r="W169" s="2">
        <f t="shared" si="51"/>
        <v>0</v>
      </c>
      <c r="X169" s="2">
        <f t="shared" si="52"/>
        <v>0</v>
      </c>
      <c r="Y169" s="2">
        <f t="shared" si="53"/>
        <v>0</v>
      </c>
      <c r="Z169" s="2">
        <f t="shared" si="54"/>
        <v>0</v>
      </c>
      <c r="AA169" s="2">
        <f t="shared" si="55"/>
        <v>0</v>
      </c>
      <c r="AB169" s="2">
        <f t="shared" si="56"/>
        <v>0</v>
      </c>
      <c r="AC169" s="2"/>
      <c r="AD169" s="2">
        <f t="shared" si="57"/>
        <v>1</v>
      </c>
      <c r="AE169" s="2">
        <f t="shared" si="58"/>
        <v>0</v>
      </c>
      <c r="AF169" s="2">
        <f t="shared" si="59"/>
        <v>1</v>
      </c>
      <c r="AG169" s="2">
        <f t="shared" si="60"/>
        <v>0</v>
      </c>
      <c r="AH169" s="2">
        <f t="shared" si="61"/>
        <v>1</v>
      </c>
      <c r="AI169" s="2">
        <f t="shared" si="62"/>
        <v>0</v>
      </c>
    </row>
    <row r="170" spans="1:16384" s="3" customFormat="1" ht="14.25" customHeight="1" x14ac:dyDescent="0.3">
      <c r="A170" s="29">
        <v>1</v>
      </c>
      <c r="B170" s="29">
        <v>2</v>
      </c>
      <c r="C170" s="29">
        <v>3</v>
      </c>
      <c r="D170" s="30" t="s">
        <v>800</v>
      </c>
      <c r="E170" s="30" t="s">
        <v>573</v>
      </c>
      <c r="F170" s="30" t="s">
        <v>823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894</v>
      </c>
      <c r="O170" s="31">
        <v>1</v>
      </c>
      <c r="P170" s="31">
        <v>1</v>
      </c>
      <c r="Q170" s="30"/>
      <c r="R170" s="2"/>
      <c r="S170" s="2">
        <f t="shared" si="47"/>
        <v>1</v>
      </c>
      <c r="T170" s="2">
        <f t="shared" si="48"/>
        <v>0</v>
      </c>
      <c r="U170" s="2">
        <f t="shared" si="49"/>
        <v>0</v>
      </c>
      <c r="V170" s="2">
        <f t="shared" si="50"/>
        <v>0</v>
      </c>
      <c r="W170" s="2">
        <f t="shared" si="51"/>
        <v>0</v>
      </c>
      <c r="X170" s="2">
        <f t="shared" si="52"/>
        <v>0</v>
      </c>
      <c r="Y170" s="2">
        <f t="shared" si="53"/>
        <v>0</v>
      </c>
      <c r="Z170" s="2">
        <f t="shared" si="54"/>
        <v>0</v>
      </c>
      <c r="AA170" s="2">
        <f t="shared" si="55"/>
        <v>0</v>
      </c>
      <c r="AB170" s="2">
        <f t="shared" si="56"/>
        <v>0</v>
      </c>
      <c r="AC170" s="2"/>
      <c r="AD170" s="2">
        <f t="shared" si="57"/>
        <v>1</v>
      </c>
      <c r="AE170" s="2">
        <f t="shared" si="58"/>
        <v>0</v>
      </c>
      <c r="AF170" s="2">
        <f t="shared" si="59"/>
        <v>0</v>
      </c>
      <c r="AG170" s="2">
        <f t="shared" si="60"/>
        <v>0</v>
      </c>
      <c r="AH170" s="2">
        <f t="shared" si="61"/>
        <v>0</v>
      </c>
      <c r="AI170" s="2">
        <f t="shared" si="62"/>
        <v>0</v>
      </c>
    </row>
    <row r="171" spans="1:16384" s="3" customFormat="1" ht="14.25" customHeight="1" x14ac:dyDescent="0.3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47"/>
        <v>0</v>
      </c>
      <c r="T171" s="2">
        <f t="shared" si="48"/>
        <v>0</v>
      </c>
      <c r="U171" s="2">
        <f t="shared" si="49"/>
        <v>0</v>
      </c>
      <c r="V171" s="2">
        <f t="shared" si="50"/>
        <v>0</v>
      </c>
      <c r="W171" s="2">
        <f t="shared" si="51"/>
        <v>0</v>
      </c>
      <c r="X171" s="2">
        <f t="shared" si="52"/>
        <v>0</v>
      </c>
      <c r="Y171" s="2">
        <f t="shared" si="53"/>
        <v>0</v>
      </c>
      <c r="Z171" s="2">
        <f t="shared" si="54"/>
        <v>0</v>
      </c>
      <c r="AA171" s="2">
        <f t="shared" si="55"/>
        <v>0</v>
      </c>
      <c r="AB171" s="2">
        <f t="shared" si="56"/>
        <v>0</v>
      </c>
      <c r="AC171" s="2"/>
      <c r="AD171" s="2">
        <f t="shared" si="57"/>
        <v>0</v>
      </c>
      <c r="AE171" s="2">
        <f t="shared" si="58"/>
        <v>0</v>
      </c>
      <c r="AF171" s="2">
        <f t="shared" si="59"/>
        <v>0</v>
      </c>
      <c r="AG171" s="2">
        <f t="shared" si="60"/>
        <v>0</v>
      </c>
      <c r="AH171" s="2">
        <f t="shared" si="61"/>
        <v>0</v>
      </c>
      <c r="AI171" s="2">
        <f t="shared" si="62"/>
        <v>1</v>
      </c>
    </row>
    <row r="172" spans="1:16384" s="3" customFormat="1" ht="14.25" customHeight="1" x14ac:dyDescent="0.3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894</v>
      </c>
      <c r="O172" s="31">
        <v>1</v>
      </c>
      <c r="P172" s="31">
        <v>1</v>
      </c>
      <c r="Q172" s="30"/>
      <c r="R172" s="2"/>
      <c r="S172" s="2">
        <f t="shared" si="47"/>
        <v>0</v>
      </c>
      <c r="T172" s="2">
        <f t="shared" si="48"/>
        <v>0</v>
      </c>
      <c r="U172" s="2">
        <f t="shared" si="49"/>
        <v>1</v>
      </c>
      <c r="V172" s="2">
        <f t="shared" si="50"/>
        <v>0</v>
      </c>
      <c r="W172" s="2">
        <f t="shared" si="51"/>
        <v>0</v>
      </c>
      <c r="X172" s="2">
        <f t="shared" si="52"/>
        <v>0</v>
      </c>
      <c r="Y172" s="2">
        <f t="shared" si="53"/>
        <v>0</v>
      </c>
      <c r="Z172" s="2">
        <f t="shared" si="54"/>
        <v>0</v>
      </c>
      <c r="AA172" s="2">
        <f t="shared" si="55"/>
        <v>0</v>
      </c>
      <c r="AB172" s="2">
        <f t="shared" si="56"/>
        <v>0</v>
      </c>
      <c r="AC172" s="2"/>
      <c r="AD172" s="2">
        <f t="shared" si="57"/>
        <v>1</v>
      </c>
      <c r="AE172" s="2">
        <f t="shared" si="58"/>
        <v>0</v>
      </c>
      <c r="AF172" s="2">
        <f t="shared" si="59"/>
        <v>1</v>
      </c>
      <c r="AG172" s="2">
        <f t="shared" si="60"/>
        <v>0</v>
      </c>
      <c r="AH172" s="2">
        <f t="shared" si="61"/>
        <v>1</v>
      </c>
      <c r="AI172" s="2">
        <f t="shared" si="62"/>
        <v>0</v>
      </c>
    </row>
    <row r="173" spans="1:16384" s="3" customFormat="1" ht="14.25" customHeight="1" x14ac:dyDescent="0.3">
      <c r="A173" s="29">
        <v>0</v>
      </c>
      <c r="B173" s="29">
        <v>2</v>
      </c>
      <c r="C173" s="29">
        <v>3</v>
      </c>
      <c r="D173" s="30" t="s">
        <v>932</v>
      </c>
      <c r="E173" s="30"/>
      <c r="F173" s="30" t="s">
        <v>933</v>
      </c>
      <c r="G173" s="30"/>
      <c r="H173" s="30" t="s">
        <v>165</v>
      </c>
      <c r="I173" s="29" t="s">
        <v>934</v>
      </c>
      <c r="J173" s="29"/>
      <c r="K173" s="29" t="s">
        <v>378</v>
      </c>
      <c r="L173" s="29"/>
      <c r="M173" s="30"/>
      <c r="N173" s="30" t="s">
        <v>894</v>
      </c>
      <c r="O173" s="31">
        <v>1</v>
      </c>
      <c r="P173" s="31">
        <v>1</v>
      </c>
      <c r="Q173" s="30"/>
      <c r="R173" s="2"/>
      <c r="S173" s="2">
        <f t="shared" si="47"/>
        <v>0</v>
      </c>
      <c r="T173" s="2">
        <f t="shared" si="48"/>
        <v>0</v>
      </c>
      <c r="U173" s="2">
        <f t="shared" si="49"/>
        <v>0</v>
      </c>
      <c r="V173" s="2">
        <f t="shared" si="50"/>
        <v>0</v>
      </c>
      <c r="W173" s="2">
        <f t="shared" si="51"/>
        <v>0</v>
      </c>
      <c r="X173" s="2">
        <f t="shared" si="52"/>
        <v>0</v>
      </c>
      <c r="Y173" s="2">
        <f t="shared" si="53"/>
        <v>0</v>
      </c>
      <c r="Z173" s="2">
        <f t="shared" si="54"/>
        <v>0</v>
      </c>
      <c r="AA173" s="2">
        <f t="shared" si="55"/>
        <v>0</v>
      </c>
      <c r="AB173" s="2">
        <f t="shared" si="56"/>
        <v>0</v>
      </c>
      <c r="AC173" s="2"/>
      <c r="AD173" s="2">
        <f t="shared" si="57"/>
        <v>1</v>
      </c>
      <c r="AE173" s="2">
        <f t="shared" si="58"/>
        <v>0</v>
      </c>
      <c r="AF173" s="2">
        <f t="shared" si="59"/>
        <v>1</v>
      </c>
      <c r="AG173" s="2">
        <f t="shared" si="60"/>
        <v>0</v>
      </c>
      <c r="AH173" s="2">
        <f t="shared" si="61"/>
        <v>1</v>
      </c>
      <c r="AI173" s="2">
        <f t="shared" si="62"/>
        <v>0</v>
      </c>
    </row>
    <row r="174" spans="1:16384" s="3" customFormat="1" ht="14.25" customHeight="1" x14ac:dyDescent="0.3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47"/>
        <v>1</v>
      </c>
      <c r="T174" s="2">
        <f t="shared" si="48"/>
        <v>0</v>
      </c>
      <c r="U174" s="2">
        <f t="shared" si="49"/>
        <v>0</v>
      </c>
      <c r="V174" s="2">
        <f t="shared" si="50"/>
        <v>0</v>
      </c>
      <c r="W174" s="2">
        <f t="shared" si="51"/>
        <v>0</v>
      </c>
      <c r="X174" s="2">
        <f t="shared" si="52"/>
        <v>0</v>
      </c>
      <c r="Y174" s="2">
        <f t="shared" si="53"/>
        <v>0</v>
      </c>
      <c r="Z174" s="2">
        <f t="shared" si="54"/>
        <v>0</v>
      </c>
      <c r="AA174" s="2">
        <f t="shared" si="55"/>
        <v>0</v>
      </c>
      <c r="AB174" s="2">
        <f t="shared" si="56"/>
        <v>0</v>
      </c>
      <c r="AC174" s="2"/>
      <c r="AD174" s="2">
        <f t="shared" si="57"/>
        <v>0</v>
      </c>
      <c r="AE174" s="2">
        <f t="shared" si="58"/>
        <v>0</v>
      </c>
      <c r="AF174" s="2">
        <f t="shared" si="59"/>
        <v>0</v>
      </c>
      <c r="AG174" s="2">
        <f t="shared" si="60"/>
        <v>0</v>
      </c>
      <c r="AH174" s="2">
        <f t="shared" si="61"/>
        <v>0</v>
      </c>
      <c r="AI174" s="2">
        <f t="shared" si="62"/>
        <v>1</v>
      </c>
    </row>
    <row r="175" spans="1:16384" s="3" customFormat="1" ht="14.25" customHeight="1" x14ac:dyDescent="0.3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927</v>
      </c>
      <c r="N175" s="30" t="s">
        <v>936</v>
      </c>
      <c r="O175" s="31">
        <v>1</v>
      </c>
      <c r="P175" s="31"/>
      <c r="Q175" s="30"/>
      <c r="R175" s="2"/>
      <c r="S175" s="2">
        <f t="shared" si="47"/>
        <v>0</v>
      </c>
      <c r="T175" s="2">
        <f t="shared" si="48"/>
        <v>0</v>
      </c>
      <c r="U175" s="2">
        <f t="shared" si="49"/>
        <v>0</v>
      </c>
      <c r="V175" s="2">
        <f t="shared" si="50"/>
        <v>0</v>
      </c>
      <c r="W175" s="2">
        <f t="shared" si="51"/>
        <v>0</v>
      </c>
      <c r="X175" s="2">
        <f t="shared" si="52"/>
        <v>0</v>
      </c>
      <c r="Y175" s="2">
        <f t="shared" si="53"/>
        <v>0</v>
      </c>
      <c r="Z175" s="2">
        <f t="shared" si="54"/>
        <v>0</v>
      </c>
      <c r="AA175" s="2">
        <f t="shared" si="55"/>
        <v>0</v>
      </c>
      <c r="AB175" s="2">
        <f t="shared" si="56"/>
        <v>0</v>
      </c>
      <c r="AC175" s="2"/>
      <c r="AD175" s="2">
        <f t="shared" si="57"/>
        <v>0</v>
      </c>
      <c r="AE175" s="2">
        <f t="shared" si="58"/>
        <v>1</v>
      </c>
      <c r="AF175" s="2">
        <f t="shared" si="59"/>
        <v>0</v>
      </c>
      <c r="AG175" s="2">
        <f t="shared" si="60"/>
        <v>1</v>
      </c>
      <c r="AH175" s="2">
        <f t="shared" si="61"/>
        <v>0</v>
      </c>
      <c r="AI175" s="2">
        <f t="shared" si="62"/>
        <v>1</v>
      </c>
    </row>
    <row r="176" spans="1:16384" s="3" customFormat="1" ht="14.25" customHeight="1" x14ac:dyDescent="0.3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854</v>
      </c>
      <c r="M176" s="30" t="s">
        <v>746</v>
      </c>
      <c r="N176" s="30" t="s">
        <v>931</v>
      </c>
      <c r="O176" s="31">
        <v>1</v>
      </c>
      <c r="P176" s="31"/>
      <c r="Q176" s="30"/>
      <c r="R176" s="2"/>
      <c r="S176" s="2">
        <f t="shared" si="47"/>
        <v>0</v>
      </c>
      <c r="T176" s="2">
        <f t="shared" si="48"/>
        <v>0</v>
      </c>
      <c r="U176" s="2">
        <f t="shared" si="49"/>
        <v>0</v>
      </c>
      <c r="V176" s="2">
        <f t="shared" si="50"/>
        <v>1</v>
      </c>
      <c r="W176" s="2">
        <f t="shared" si="51"/>
        <v>0</v>
      </c>
      <c r="X176" s="2">
        <f t="shared" si="52"/>
        <v>0</v>
      </c>
      <c r="Y176" s="2">
        <f t="shared" si="53"/>
        <v>0</v>
      </c>
      <c r="Z176" s="2">
        <f t="shared" si="54"/>
        <v>0</v>
      </c>
      <c r="AA176" s="2">
        <f t="shared" si="55"/>
        <v>0</v>
      </c>
      <c r="AB176" s="2">
        <f t="shared" si="56"/>
        <v>0</v>
      </c>
      <c r="AC176" s="2"/>
      <c r="AD176" s="2">
        <f t="shared" si="57"/>
        <v>0</v>
      </c>
      <c r="AE176" s="2">
        <f t="shared" si="58"/>
        <v>1</v>
      </c>
      <c r="AF176" s="2">
        <f t="shared" si="59"/>
        <v>0</v>
      </c>
      <c r="AG176" s="2">
        <f t="shared" si="60"/>
        <v>1</v>
      </c>
      <c r="AH176" s="2">
        <f t="shared" si="61"/>
        <v>0</v>
      </c>
      <c r="AI176" s="2">
        <f t="shared" si="62"/>
        <v>1</v>
      </c>
    </row>
    <row r="177" spans="1:35" ht="14.25" customHeight="1" x14ac:dyDescent="0.3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896</v>
      </c>
      <c r="O177" s="34"/>
      <c r="P177" s="34"/>
      <c r="Q177" s="33"/>
      <c r="S177" s="2">
        <f t="shared" si="47"/>
        <v>0</v>
      </c>
      <c r="T177" s="2">
        <f t="shared" si="48"/>
        <v>0</v>
      </c>
      <c r="U177" s="2">
        <f t="shared" si="49"/>
        <v>0</v>
      </c>
      <c r="V177" s="2">
        <f t="shared" si="50"/>
        <v>0</v>
      </c>
      <c r="W177" s="2">
        <f t="shared" si="51"/>
        <v>0</v>
      </c>
      <c r="X177" s="2">
        <f t="shared" si="52"/>
        <v>0</v>
      </c>
      <c r="Y177" s="2">
        <f t="shared" si="53"/>
        <v>0</v>
      </c>
      <c r="Z177" s="2">
        <f t="shared" si="54"/>
        <v>0</v>
      </c>
      <c r="AA177" s="2">
        <f t="shared" si="55"/>
        <v>0</v>
      </c>
      <c r="AB177" s="2">
        <f t="shared" si="56"/>
        <v>0</v>
      </c>
      <c r="AD177" s="2">
        <f t="shared" si="57"/>
        <v>0</v>
      </c>
      <c r="AE177" s="2">
        <f t="shared" si="58"/>
        <v>0</v>
      </c>
      <c r="AF177" s="2">
        <f t="shared" si="59"/>
        <v>0</v>
      </c>
      <c r="AG177" s="2">
        <f t="shared" si="60"/>
        <v>0</v>
      </c>
      <c r="AH177" s="2">
        <f t="shared" si="61"/>
        <v>0</v>
      </c>
      <c r="AI177" s="2">
        <f t="shared" si="62"/>
        <v>1</v>
      </c>
    </row>
    <row r="178" spans="1:35" ht="14.25" customHeight="1" x14ac:dyDescent="0.3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855</v>
      </c>
      <c r="M178" s="33" t="s">
        <v>747</v>
      </c>
      <c r="N178" s="33" t="s">
        <v>930</v>
      </c>
      <c r="O178" s="34"/>
      <c r="P178" s="34"/>
      <c r="Q178" s="33"/>
      <c r="S178" s="2">
        <f t="shared" si="47"/>
        <v>0</v>
      </c>
      <c r="T178" s="2">
        <f t="shared" si="48"/>
        <v>0</v>
      </c>
      <c r="U178" s="2">
        <f t="shared" si="49"/>
        <v>0</v>
      </c>
      <c r="V178" s="2">
        <f t="shared" si="50"/>
        <v>1</v>
      </c>
      <c r="W178" s="2">
        <f t="shared" si="51"/>
        <v>0</v>
      </c>
      <c r="X178" s="2">
        <f t="shared" si="52"/>
        <v>0</v>
      </c>
      <c r="Y178" s="2">
        <f t="shared" si="53"/>
        <v>0</v>
      </c>
      <c r="Z178" s="2">
        <f t="shared" si="54"/>
        <v>0</v>
      </c>
      <c r="AA178" s="2">
        <f t="shared" si="55"/>
        <v>0</v>
      </c>
      <c r="AB178" s="2">
        <f t="shared" si="56"/>
        <v>0</v>
      </c>
      <c r="AD178" s="2">
        <f t="shared" si="57"/>
        <v>0</v>
      </c>
      <c r="AE178" s="2">
        <f t="shared" si="58"/>
        <v>0</v>
      </c>
      <c r="AF178" s="2">
        <f t="shared" si="59"/>
        <v>0</v>
      </c>
      <c r="AG178" s="2">
        <f t="shared" si="60"/>
        <v>0</v>
      </c>
      <c r="AH178" s="2">
        <f t="shared" si="61"/>
        <v>0</v>
      </c>
      <c r="AI178" s="2">
        <f t="shared" si="62"/>
        <v>1</v>
      </c>
    </row>
    <row r="179" spans="1:35" ht="14.25" customHeight="1" x14ac:dyDescent="0.3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855</v>
      </c>
      <c r="M179" s="33" t="s">
        <v>747</v>
      </c>
      <c r="N179" s="33" t="s">
        <v>930</v>
      </c>
      <c r="O179" s="34"/>
      <c r="P179" s="34"/>
      <c r="Q179" s="33"/>
      <c r="S179" s="2">
        <f t="shared" ref="S179:S184" si="63">IF(J179=$S$7,1,0)</f>
        <v>0</v>
      </c>
      <c r="T179" s="2">
        <f t="shared" ref="T179:T184" si="64">IF(J179=$T$7,1,0)</f>
        <v>0</v>
      </c>
      <c r="U179" s="2">
        <f t="shared" ref="U179:U184" si="65">IF(J179=$U$7,1,0)</f>
        <v>0</v>
      </c>
      <c r="V179" s="2">
        <f t="shared" ref="V179:V184" si="66">IF(J179=$V$7,1,0)</f>
        <v>0</v>
      </c>
      <c r="W179" s="2">
        <f t="shared" ref="W179:W184" si="67">IF(J179=$W$7,1,0)</f>
        <v>0</v>
      </c>
      <c r="X179" s="2">
        <f t="shared" ref="X179:X184" si="68">IF(J179=$X$7,1,0)</f>
        <v>0</v>
      </c>
      <c r="Y179" s="2">
        <f t="shared" ref="Y179:Y184" si="69">IF(J179=$Y$7,1,0)</f>
        <v>0</v>
      </c>
      <c r="Z179" s="2">
        <f t="shared" ref="Z179:Z184" si="70">IF(J179=$Z$7,1,0)</f>
        <v>0</v>
      </c>
      <c r="AA179" s="2">
        <f t="shared" ref="AA179:AA184" si="71">IF(J179=$AA$7,1,0)</f>
        <v>0</v>
      </c>
      <c r="AB179" s="2">
        <f t="shared" ref="AB179:AB184" si="72">IF(J179=$AB$7,1,0)</f>
        <v>1</v>
      </c>
      <c r="AD179" s="2">
        <f t="shared" ref="AD179:AD184" si="73">+O179*P179</f>
        <v>0</v>
      </c>
      <c r="AE179" s="2">
        <f t="shared" ref="AE179:AE184" si="74">O179*(1-P179)</f>
        <v>0</v>
      </c>
      <c r="AF179" s="2">
        <f t="shared" ref="AF179:AF184" si="75">+O179*P179*(1-A179)</f>
        <v>0</v>
      </c>
      <c r="AG179" s="2">
        <f t="shared" ref="AG179:AG184" si="76">O179*(1-P179)*(1-A179)</f>
        <v>0</v>
      </c>
      <c r="AH179" s="2">
        <f t="shared" ref="AH179:AH184" si="77">+P179*(1-A179)</f>
        <v>0</v>
      </c>
      <c r="AI179" s="2">
        <f t="shared" ref="AI179:AI184" si="78">+(1-A179)*(1-P179)</f>
        <v>0</v>
      </c>
    </row>
    <row r="180" spans="1:35" ht="14.25" customHeight="1" x14ac:dyDescent="0.3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801</v>
      </c>
      <c r="G180" s="33" t="s">
        <v>107</v>
      </c>
      <c r="H180" s="33" t="s">
        <v>165</v>
      </c>
      <c r="I180" s="32" t="s">
        <v>802</v>
      </c>
      <c r="J180" s="32">
        <v>99</v>
      </c>
      <c r="K180" s="32" t="s">
        <v>318</v>
      </c>
      <c r="L180" s="32" t="s">
        <v>855</v>
      </c>
      <c r="M180" s="33" t="s">
        <v>747</v>
      </c>
      <c r="N180" s="33" t="s">
        <v>930</v>
      </c>
      <c r="O180" s="34"/>
      <c r="P180" s="34"/>
      <c r="Q180" s="33"/>
      <c r="S180" s="2">
        <f t="shared" si="63"/>
        <v>0</v>
      </c>
      <c r="T180" s="2">
        <f t="shared" si="64"/>
        <v>0</v>
      </c>
      <c r="U180" s="2">
        <f t="shared" si="65"/>
        <v>0</v>
      </c>
      <c r="V180" s="2">
        <f t="shared" si="66"/>
        <v>0</v>
      </c>
      <c r="W180" s="2">
        <f t="shared" si="67"/>
        <v>0</v>
      </c>
      <c r="X180" s="2">
        <f t="shared" si="68"/>
        <v>0</v>
      </c>
      <c r="Y180" s="2">
        <f t="shared" si="69"/>
        <v>0</v>
      </c>
      <c r="Z180" s="2">
        <f t="shared" si="70"/>
        <v>0</v>
      </c>
      <c r="AA180" s="2">
        <f t="shared" si="71"/>
        <v>0</v>
      </c>
      <c r="AB180" s="2">
        <f t="shared" si="72"/>
        <v>0</v>
      </c>
      <c r="AD180" s="2">
        <f t="shared" si="73"/>
        <v>0</v>
      </c>
      <c r="AE180" s="2">
        <f t="shared" si="74"/>
        <v>0</v>
      </c>
      <c r="AF180" s="2">
        <f t="shared" si="75"/>
        <v>0</v>
      </c>
      <c r="AG180" s="2">
        <f t="shared" si="76"/>
        <v>0</v>
      </c>
      <c r="AH180" s="2">
        <f t="shared" si="77"/>
        <v>0</v>
      </c>
      <c r="AI180" s="2">
        <f t="shared" si="78"/>
        <v>0</v>
      </c>
    </row>
    <row r="181" spans="1:35" ht="14.25" customHeight="1" x14ac:dyDescent="0.3">
      <c r="A181" s="20">
        <v>0</v>
      </c>
      <c r="B181" s="20">
        <v>2</v>
      </c>
      <c r="C181" s="20">
        <v>4</v>
      </c>
      <c r="D181" s="21" t="s">
        <v>978</v>
      </c>
      <c r="E181" s="21" t="s">
        <v>979</v>
      </c>
      <c r="F181" s="21" t="s">
        <v>980</v>
      </c>
      <c r="G181" s="21" t="s">
        <v>981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982</v>
      </c>
      <c r="N181" s="21"/>
      <c r="O181" s="20"/>
      <c r="P181" s="20"/>
      <c r="Q181" s="21"/>
      <c r="S181" s="2">
        <f t="shared" si="63"/>
        <v>0</v>
      </c>
      <c r="T181" s="2">
        <f t="shared" si="64"/>
        <v>0</v>
      </c>
      <c r="U181" s="2">
        <f t="shared" si="65"/>
        <v>0</v>
      </c>
      <c r="V181" s="2">
        <f t="shared" si="66"/>
        <v>0</v>
      </c>
      <c r="W181" s="2">
        <f t="shared" si="67"/>
        <v>0</v>
      </c>
      <c r="X181" s="2">
        <f t="shared" si="68"/>
        <v>0</v>
      </c>
      <c r="Y181" s="2">
        <f t="shared" si="69"/>
        <v>0</v>
      </c>
      <c r="Z181" s="2">
        <f t="shared" si="70"/>
        <v>0</v>
      </c>
      <c r="AA181" s="2">
        <f t="shared" si="71"/>
        <v>0</v>
      </c>
      <c r="AB181" s="2">
        <f t="shared" si="72"/>
        <v>0</v>
      </c>
      <c r="AD181" s="2">
        <f t="shared" si="73"/>
        <v>0</v>
      </c>
      <c r="AE181" s="2">
        <f t="shared" si="74"/>
        <v>0</v>
      </c>
      <c r="AF181" s="2">
        <f t="shared" si="75"/>
        <v>0</v>
      </c>
      <c r="AG181" s="2">
        <f t="shared" si="76"/>
        <v>0</v>
      </c>
      <c r="AH181" s="2">
        <f t="shared" si="77"/>
        <v>0</v>
      </c>
      <c r="AI181" s="2">
        <f t="shared" si="78"/>
        <v>1</v>
      </c>
    </row>
    <row r="182" spans="1:35" ht="14.25" customHeight="1" x14ac:dyDescent="0.3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904</v>
      </c>
      <c r="N182" s="21"/>
      <c r="O182" s="7"/>
      <c r="P182" s="7"/>
      <c r="Q182" s="21"/>
      <c r="S182" s="2">
        <f t="shared" si="63"/>
        <v>0</v>
      </c>
      <c r="T182" s="2">
        <f t="shared" si="64"/>
        <v>0</v>
      </c>
      <c r="U182" s="2">
        <f t="shared" si="65"/>
        <v>0</v>
      </c>
      <c r="V182" s="2">
        <f t="shared" si="66"/>
        <v>0</v>
      </c>
      <c r="W182" s="2">
        <f t="shared" si="67"/>
        <v>0</v>
      </c>
      <c r="X182" s="2">
        <f t="shared" si="68"/>
        <v>1</v>
      </c>
      <c r="Y182" s="2">
        <f t="shared" si="69"/>
        <v>0</v>
      </c>
      <c r="Z182" s="2">
        <f t="shared" si="70"/>
        <v>0</v>
      </c>
      <c r="AA182" s="2">
        <f t="shared" si="71"/>
        <v>0</v>
      </c>
      <c r="AB182" s="2">
        <f t="shared" si="72"/>
        <v>0</v>
      </c>
      <c r="AD182" s="2">
        <f t="shared" si="73"/>
        <v>0</v>
      </c>
      <c r="AE182" s="2">
        <f t="shared" si="74"/>
        <v>0</v>
      </c>
      <c r="AF182" s="2">
        <f t="shared" si="75"/>
        <v>0</v>
      </c>
      <c r="AG182" s="2">
        <f t="shared" si="76"/>
        <v>0</v>
      </c>
      <c r="AH182" s="2">
        <f t="shared" si="77"/>
        <v>0</v>
      </c>
      <c r="AI182" s="2">
        <f t="shared" si="78"/>
        <v>1</v>
      </c>
    </row>
    <row r="183" spans="1:35" ht="14.25" customHeight="1" x14ac:dyDescent="0.3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936</v>
      </c>
      <c r="O183" s="31">
        <v>1</v>
      </c>
      <c r="P183" s="31"/>
      <c r="Q183" s="30"/>
      <c r="S183" s="2">
        <f t="shared" si="63"/>
        <v>0</v>
      </c>
      <c r="T183" s="2">
        <f t="shared" si="64"/>
        <v>0</v>
      </c>
      <c r="U183" s="2">
        <f t="shared" si="65"/>
        <v>0</v>
      </c>
      <c r="V183" s="2">
        <f t="shared" si="66"/>
        <v>0</v>
      </c>
      <c r="W183" s="2">
        <f t="shared" si="67"/>
        <v>0</v>
      </c>
      <c r="X183" s="2">
        <f t="shared" si="68"/>
        <v>1</v>
      </c>
      <c r="Y183" s="2">
        <f t="shared" si="69"/>
        <v>0</v>
      </c>
      <c r="Z183" s="2">
        <f t="shared" si="70"/>
        <v>0</v>
      </c>
      <c r="AA183" s="2">
        <f t="shared" si="71"/>
        <v>0</v>
      </c>
      <c r="AB183" s="2">
        <f t="shared" si="72"/>
        <v>0</v>
      </c>
      <c r="AD183" s="2">
        <f t="shared" si="73"/>
        <v>0</v>
      </c>
      <c r="AE183" s="2">
        <f t="shared" si="74"/>
        <v>1</v>
      </c>
      <c r="AF183" s="2">
        <f t="shared" si="75"/>
        <v>0</v>
      </c>
      <c r="AG183" s="2">
        <f t="shared" si="76"/>
        <v>1</v>
      </c>
      <c r="AH183" s="2">
        <f t="shared" si="77"/>
        <v>0</v>
      </c>
      <c r="AI183" s="2">
        <f t="shared" si="78"/>
        <v>1</v>
      </c>
    </row>
    <row r="184" spans="1:35" ht="14.25" customHeight="1" x14ac:dyDescent="0.3">
      <c r="A184" s="20">
        <v>0</v>
      </c>
      <c r="B184" s="20">
        <v>2</v>
      </c>
      <c r="C184" s="20">
        <v>4</v>
      </c>
      <c r="D184" s="21" t="s">
        <v>812</v>
      </c>
      <c r="E184" s="21" t="s">
        <v>29</v>
      </c>
      <c r="F184" s="21" t="s">
        <v>825</v>
      </c>
      <c r="G184" s="21" t="s">
        <v>826</v>
      </c>
      <c r="H184" s="21" t="s">
        <v>165</v>
      </c>
      <c r="I184" s="20" t="s">
        <v>845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63"/>
        <v>0</v>
      </c>
      <c r="T184" s="2">
        <f t="shared" si="64"/>
        <v>0</v>
      </c>
      <c r="U184" s="2">
        <f t="shared" si="65"/>
        <v>0</v>
      </c>
      <c r="V184" s="2">
        <f t="shared" si="66"/>
        <v>0</v>
      </c>
      <c r="W184" s="2">
        <f t="shared" si="67"/>
        <v>0</v>
      </c>
      <c r="X184" s="2">
        <f t="shared" si="68"/>
        <v>0</v>
      </c>
      <c r="Y184" s="2">
        <f t="shared" si="69"/>
        <v>0</v>
      </c>
      <c r="Z184" s="2">
        <f t="shared" si="70"/>
        <v>0</v>
      </c>
      <c r="AA184" s="2">
        <f t="shared" si="71"/>
        <v>0</v>
      </c>
      <c r="AB184" s="2">
        <f t="shared" si="72"/>
        <v>0</v>
      </c>
      <c r="AD184" s="2">
        <f t="shared" si="73"/>
        <v>0</v>
      </c>
      <c r="AE184" s="2">
        <f t="shared" si="74"/>
        <v>0</v>
      </c>
      <c r="AF184" s="2">
        <f t="shared" si="75"/>
        <v>0</v>
      </c>
      <c r="AG184" s="2">
        <f t="shared" si="76"/>
        <v>0</v>
      </c>
      <c r="AH184" s="2">
        <f t="shared" si="77"/>
        <v>0</v>
      </c>
      <c r="AI184" s="2">
        <f t="shared" si="78"/>
        <v>1</v>
      </c>
    </row>
    <row r="185" spans="1:35" ht="14.25" customHeight="1" x14ac:dyDescent="0.3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ref="S185:S210" si="79">IF(J185=$S$7,1,0)</f>
        <v>0</v>
      </c>
      <c r="T185" s="2">
        <f t="shared" ref="T185:T210" si="80">IF(J185=$T$7,1,0)</f>
        <v>0</v>
      </c>
      <c r="U185" s="2">
        <f t="shared" ref="U185:U210" si="81">IF(J185=$U$7,1,0)</f>
        <v>0</v>
      </c>
      <c r="V185" s="2">
        <f t="shared" ref="V185:V210" si="82">IF(J185=$V$7,1,0)</f>
        <v>0</v>
      </c>
      <c r="W185" s="2">
        <f t="shared" ref="W185:W210" si="83">IF(J185=$W$7,1,0)</f>
        <v>0</v>
      </c>
      <c r="X185" s="2">
        <f t="shared" ref="X185:X210" si="84">IF(J185=$X$7,1,0)</f>
        <v>0</v>
      </c>
      <c r="Y185" s="2">
        <f t="shared" ref="Y185:Y210" si="85">IF(J185=$Y$7,1,0)</f>
        <v>1</v>
      </c>
      <c r="Z185" s="2">
        <f t="shared" ref="Z185:Z210" si="86">IF(J185=$Z$7,1,0)</f>
        <v>0</v>
      </c>
      <c r="AA185" s="2">
        <f t="shared" ref="AA185:AA210" si="87">IF(J185=$AA$7,1,0)</f>
        <v>0</v>
      </c>
      <c r="AB185" s="2">
        <f t="shared" ref="AB185:AB210" si="88">IF(J185=$AB$7,1,0)</f>
        <v>0</v>
      </c>
      <c r="AD185" s="2">
        <f t="shared" ref="AD185:AD210" si="89">+O185*P185</f>
        <v>0</v>
      </c>
      <c r="AE185" s="2">
        <f t="shared" ref="AE185:AE210" si="90">O185*(1-P185)</f>
        <v>0</v>
      </c>
      <c r="AF185" s="2">
        <f t="shared" ref="AF185:AF201" si="91">+O185*P185*(1-A185)</f>
        <v>0</v>
      </c>
      <c r="AG185" s="2">
        <f t="shared" ref="AG185:AG201" si="92">O185*(1-P185)*(1-A185)</f>
        <v>0</v>
      </c>
      <c r="AH185" s="2">
        <f t="shared" ref="AH185:AH201" si="93">+P185*(1-A185)</f>
        <v>0</v>
      </c>
      <c r="AI185" s="2">
        <f t="shared" ref="AI185:AI201" si="94">+(1-A185)*(1-P185)</f>
        <v>1</v>
      </c>
    </row>
    <row r="186" spans="1:35" ht="14.25" customHeight="1" x14ac:dyDescent="0.3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787</v>
      </c>
      <c r="N186" s="33" t="s">
        <v>930</v>
      </c>
      <c r="O186" s="34"/>
      <c r="P186" s="34"/>
      <c r="Q186" s="33"/>
      <c r="S186" s="2">
        <f t="shared" si="79"/>
        <v>0</v>
      </c>
      <c r="T186" s="2">
        <f t="shared" si="80"/>
        <v>0</v>
      </c>
      <c r="U186" s="2">
        <f t="shared" si="81"/>
        <v>0</v>
      </c>
      <c r="V186" s="2">
        <f t="shared" si="82"/>
        <v>0</v>
      </c>
      <c r="W186" s="2">
        <f t="shared" si="83"/>
        <v>0</v>
      </c>
      <c r="X186" s="2">
        <f t="shared" si="84"/>
        <v>0</v>
      </c>
      <c r="Y186" s="2">
        <f t="shared" si="85"/>
        <v>0</v>
      </c>
      <c r="Z186" s="2">
        <f t="shared" si="86"/>
        <v>0</v>
      </c>
      <c r="AA186" s="2">
        <f t="shared" si="87"/>
        <v>0</v>
      </c>
      <c r="AB186" s="2">
        <f t="shared" si="88"/>
        <v>0</v>
      </c>
      <c r="AD186" s="2">
        <f t="shared" si="89"/>
        <v>0</v>
      </c>
      <c r="AE186" s="2">
        <f t="shared" si="90"/>
        <v>0</v>
      </c>
      <c r="AF186" s="2">
        <f t="shared" si="91"/>
        <v>0</v>
      </c>
      <c r="AG186" s="2">
        <f t="shared" si="92"/>
        <v>0</v>
      </c>
      <c r="AH186" s="2">
        <f t="shared" si="93"/>
        <v>0</v>
      </c>
      <c r="AI186" s="2">
        <f t="shared" si="94"/>
        <v>1</v>
      </c>
    </row>
    <row r="187" spans="1:35" ht="14.25" customHeight="1" x14ac:dyDescent="0.3">
      <c r="A187" s="29">
        <v>0</v>
      </c>
      <c r="B187" s="29">
        <v>2</v>
      </c>
      <c r="C187" s="29">
        <v>4</v>
      </c>
      <c r="D187" s="30" t="s">
        <v>767</v>
      </c>
      <c r="E187" s="30" t="s">
        <v>768</v>
      </c>
      <c r="F187" s="30" t="s">
        <v>769</v>
      </c>
      <c r="G187" s="30"/>
      <c r="H187" s="30" t="s">
        <v>165</v>
      </c>
      <c r="I187" s="29" t="s">
        <v>770</v>
      </c>
      <c r="J187" s="29">
        <v>99</v>
      </c>
      <c r="K187" s="29" t="s">
        <v>378</v>
      </c>
      <c r="L187" s="29">
        <v>35</v>
      </c>
      <c r="M187" s="30" t="s">
        <v>951</v>
      </c>
      <c r="N187" s="30" t="s">
        <v>900</v>
      </c>
      <c r="O187" s="31">
        <v>1</v>
      </c>
      <c r="P187" s="31"/>
      <c r="Q187" s="30"/>
      <c r="S187" s="2">
        <f t="shared" si="79"/>
        <v>0</v>
      </c>
      <c r="T187" s="2">
        <f t="shared" si="80"/>
        <v>0</v>
      </c>
      <c r="U187" s="2">
        <f t="shared" si="81"/>
        <v>0</v>
      </c>
      <c r="V187" s="2">
        <f t="shared" si="82"/>
        <v>0</v>
      </c>
      <c r="W187" s="2">
        <f t="shared" si="83"/>
        <v>0</v>
      </c>
      <c r="X187" s="2">
        <f t="shared" si="84"/>
        <v>0</v>
      </c>
      <c r="Y187" s="2">
        <f t="shared" si="85"/>
        <v>0</v>
      </c>
      <c r="Z187" s="2">
        <f t="shared" si="86"/>
        <v>0</v>
      </c>
      <c r="AA187" s="2">
        <f t="shared" si="87"/>
        <v>0</v>
      </c>
      <c r="AB187" s="2">
        <f t="shared" si="88"/>
        <v>0</v>
      </c>
      <c r="AD187" s="2">
        <f t="shared" si="89"/>
        <v>0</v>
      </c>
      <c r="AE187" s="2">
        <f t="shared" si="90"/>
        <v>1</v>
      </c>
      <c r="AF187" s="2">
        <f t="shared" si="91"/>
        <v>0</v>
      </c>
      <c r="AG187" s="2">
        <f t="shared" si="92"/>
        <v>1</v>
      </c>
      <c r="AH187" s="2">
        <f t="shared" si="93"/>
        <v>0</v>
      </c>
      <c r="AI187" s="2">
        <f t="shared" si="94"/>
        <v>1</v>
      </c>
    </row>
    <row r="188" spans="1:35" ht="14.25" customHeight="1" x14ac:dyDescent="0.3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 t="s">
        <v>333</v>
      </c>
      <c r="M188" s="30" t="s">
        <v>703</v>
      </c>
      <c r="N188" s="30" t="s">
        <v>900</v>
      </c>
      <c r="O188" s="31">
        <v>1</v>
      </c>
      <c r="P188" s="31"/>
      <c r="Q188" s="30"/>
      <c r="S188" s="2">
        <f t="shared" si="79"/>
        <v>0</v>
      </c>
      <c r="T188" s="2">
        <f t="shared" si="80"/>
        <v>0</v>
      </c>
      <c r="U188" s="2">
        <f t="shared" si="81"/>
        <v>0</v>
      </c>
      <c r="V188" s="2">
        <f t="shared" si="82"/>
        <v>0</v>
      </c>
      <c r="W188" s="2">
        <f t="shared" si="83"/>
        <v>0</v>
      </c>
      <c r="X188" s="2">
        <f t="shared" si="84"/>
        <v>0</v>
      </c>
      <c r="Y188" s="2">
        <f t="shared" si="85"/>
        <v>0</v>
      </c>
      <c r="Z188" s="2">
        <f t="shared" si="86"/>
        <v>0</v>
      </c>
      <c r="AA188" s="2">
        <f t="shared" si="87"/>
        <v>0</v>
      </c>
      <c r="AB188" s="2">
        <f t="shared" si="88"/>
        <v>0</v>
      </c>
      <c r="AD188" s="2">
        <f t="shared" si="89"/>
        <v>0</v>
      </c>
      <c r="AE188" s="2">
        <f t="shared" si="90"/>
        <v>1</v>
      </c>
      <c r="AF188" s="2">
        <f t="shared" si="91"/>
        <v>0</v>
      </c>
      <c r="AG188" s="2">
        <f t="shared" si="92"/>
        <v>1</v>
      </c>
      <c r="AH188" s="2">
        <f t="shared" si="93"/>
        <v>0</v>
      </c>
      <c r="AI188" s="2">
        <f t="shared" si="94"/>
        <v>1</v>
      </c>
    </row>
    <row r="189" spans="1:35" ht="14.25" customHeight="1" x14ac:dyDescent="0.3">
      <c r="A189" s="32">
        <v>0</v>
      </c>
      <c r="B189" s="32">
        <v>2</v>
      </c>
      <c r="C189" s="32">
        <v>4</v>
      </c>
      <c r="D189" s="33" t="s">
        <v>426</v>
      </c>
      <c r="E189" s="33" t="s">
        <v>234</v>
      </c>
      <c r="F189" s="33" t="s">
        <v>427</v>
      </c>
      <c r="G189" s="33" t="s">
        <v>96</v>
      </c>
      <c r="H189" s="33" t="s">
        <v>165</v>
      </c>
      <c r="I189" s="32" t="s">
        <v>428</v>
      </c>
      <c r="J189" s="32">
        <v>3</v>
      </c>
      <c r="K189" s="32" t="s">
        <v>318</v>
      </c>
      <c r="L189" s="32" t="s">
        <v>339</v>
      </c>
      <c r="M189" s="33" t="s">
        <v>748</v>
      </c>
      <c r="N189" s="33" t="s">
        <v>910</v>
      </c>
      <c r="O189" s="34"/>
      <c r="P189" s="34"/>
      <c r="Q189" s="33"/>
      <c r="S189" s="2">
        <f t="shared" si="79"/>
        <v>0</v>
      </c>
      <c r="T189" s="2">
        <f t="shared" si="80"/>
        <v>0</v>
      </c>
      <c r="U189" s="2">
        <f t="shared" si="81"/>
        <v>1</v>
      </c>
      <c r="V189" s="2">
        <f t="shared" si="82"/>
        <v>0</v>
      </c>
      <c r="W189" s="2">
        <f t="shared" si="83"/>
        <v>0</v>
      </c>
      <c r="X189" s="2">
        <f t="shared" si="84"/>
        <v>0</v>
      </c>
      <c r="Y189" s="2">
        <f t="shared" si="85"/>
        <v>0</v>
      </c>
      <c r="Z189" s="2">
        <f t="shared" si="86"/>
        <v>0</v>
      </c>
      <c r="AA189" s="2">
        <f t="shared" si="87"/>
        <v>0</v>
      </c>
      <c r="AB189" s="2">
        <f t="shared" si="88"/>
        <v>0</v>
      </c>
      <c r="AD189" s="2">
        <f t="shared" si="89"/>
        <v>0</v>
      </c>
      <c r="AE189" s="2">
        <f t="shared" si="90"/>
        <v>0</v>
      </c>
      <c r="AF189" s="2">
        <f t="shared" si="91"/>
        <v>0</v>
      </c>
      <c r="AG189" s="2">
        <f t="shared" si="92"/>
        <v>0</v>
      </c>
      <c r="AH189" s="2">
        <f t="shared" si="93"/>
        <v>0</v>
      </c>
      <c r="AI189" s="2">
        <f t="shared" si="94"/>
        <v>1</v>
      </c>
    </row>
    <row r="190" spans="1:35" ht="14.25" customHeight="1" x14ac:dyDescent="0.3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928</v>
      </c>
      <c r="N190" s="30" t="s">
        <v>936</v>
      </c>
      <c r="O190" s="31">
        <v>1</v>
      </c>
      <c r="P190" s="31"/>
      <c r="Q190" s="30"/>
      <c r="S190" s="2">
        <f t="shared" si="79"/>
        <v>0</v>
      </c>
      <c r="T190" s="2">
        <f t="shared" si="80"/>
        <v>0</v>
      </c>
      <c r="U190" s="2">
        <f t="shared" si="81"/>
        <v>0</v>
      </c>
      <c r="V190" s="2">
        <f t="shared" si="82"/>
        <v>0</v>
      </c>
      <c r="W190" s="2">
        <f t="shared" si="83"/>
        <v>0</v>
      </c>
      <c r="X190" s="2">
        <f t="shared" si="84"/>
        <v>0</v>
      </c>
      <c r="Y190" s="2">
        <f t="shared" si="85"/>
        <v>0</v>
      </c>
      <c r="Z190" s="2">
        <f t="shared" si="86"/>
        <v>0</v>
      </c>
      <c r="AA190" s="2">
        <f t="shared" si="87"/>
        <v>0</v>
      </c>
      <c r="AB190" s="2">
        <f t="shared" si="88"/>
        <v>0</v>
      </c>
      <c r="AD190" s="2">
        <f t="shared" si="89"/>
        <v>0</v>
      </c>
      <c r="AE190" s="2">
        <f t="shared" si="90"/>
        <v>1</v>
      </c>
      <c r="AF190" s="2">
        <f t="shared" si="91"/>
        <v>0</v>
      </c>
      <c r="AG190" s="2">
        <f t="shared" si="92"/>
        <v>1</v>
      </c>
      <c r="AH190" s="2">
        <f t="shared" si="93"/>
        <v>0</v>
      </c>
      <c r="AI190" s="2">
        <f t="shared" si="94"/>
        <v>1</v>
      </c>
    </row>
    <row r="191" spans="1:35" ht="14.25" customHeight="1" x14ac:dyDescent="0.3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930</v>
      </c>
      <c r="O191" s="34"/>
      <c r="P191" s="34"/>
      <c r="Q191" s="33"/>
      <c r="S191" s="2">
        <f t="shared" si="79"/>
        <v>0</v>
      </c>
      <c r="T191" s="2">
        <f t="shared" si="80"/>
        <v>0</v>
      </c>
      <c r="U191" s="2">
        <f t="shared" si="81"/>
        <v>0</v>
      </c>
      <c r="V191" s="2">
        <f t="shared" si="82"/>
        <v>0</v>
      </c>
      <c r="W191" s="2">
        <f t="shared" si="83"/>
        <v>0</v>
      </c>
      <c r="X191" s="2">
        <f t="shared" si="84"/>
        <v>0</v>
      </c>
      <c r="Y191" s="2">
        <f t="shared" si="85"/>
        <v>0</v>
      </c>
      <c r="Z191" s="2">
        <f t="shared" si="86"/>
        <v>0</v>
      </c>
      <c r="AA191" s="2">
        <f t="shared" si="87"/>
        <v>0</v>
      </c>
      <c r="AB191" s="2">
        <f t="shared" si="88"/>
        <v>0</v>
      </c>
      <c r="AD191" s="2">
        <f t="shared" si="89"/>
        <v>0</v>
      </c>
      <c r="AE191" s="2">
        <f t="shared" si="90"/>
        <v>0</v>
      </c>
      <c r="AF191" s="2">
        <f t="shared" si="91"/>
        <v>0</v>
      </c>
      <c r="AG191" s="2">
        <f t="shared" si="92"/>
        <v>0</v>
      </c>
      <c r="AH191" s="2">
        <f t="shared" si="93"/>
        <v>0</v>
      </c>
      <c r="AI191" s="2">
        <f t="shared" si="94"/>
        <v>1</v>
      </c>
    </row>
    <row r="192" spans="1:35" ht="14.25" customHeight="1" x14ac:dyDescent="0.3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930</v>
      </c>
      <c r="O192" s="34"/>
      <c r="P192" s="34"/>
      <c r="Q192" s="33"/>
      <c r="S192" s="2">
        <f t="shared" si="79"/>
        <v>0</v>
      </c>
      <c r="T192" s="2">
        <f t="shared" si="80"/>
        <v>0</v>
      </c>
      <c r="U192" s="2">
        <f t="shared" si="81"/>
        <v>0</v>
      </c>
      <c r="V192" s="2">
        <f t="shared" si="82"/>
        <v>0</v>
      </c>
      <c r="W192" s="2">
        <f t="shared" si="83"/>
        <v>0</v>
      </c>
      <c r="X192" s="2">
        <f t="shared" si="84"/>
        <v>0</v>
      </c>
      <c r="Y192" s="2">
        <f t="shared" si="85"/>
        <v>0</v>
      </c>
      <c r="Z192" s="2">
        <f t="shared" si="86"/>
        <v>0</v>
      </c>
      <c r="AA192" s="2">
        <f t="shared" si="87"/>
        <v>0</v>
      </c>
      <c r="AB192" s="2">
        <f t="shared" si="88"/>
        <v>0</v>
      </c>
      <c r="AD192" s="2">
        <f t="shared" si="89"/>
        <v>0</v>
      </c>
      <c r="AE192" s="2">
        <f t="shared" si="90"/>
        <v>0</v>
      </c>
      <c r="AF192" s="2">
        <f t="shared" si="91"/>
        <v>0</v>
      </c>
      <c r="AG192" s="2">
        <f t="shared" si="92"/>
        <v>0</v>
      </c>
      <c r="AH192" s="2">
        <f t="shared" si="93"/>
        <v>0</v>
      </c>
      <c r="AI192" s="2">
        <f t="shared" si="94"/>
        <v>1</v>
      </c>
    </row>
    <row r="193" spans="1:35" ht="14.25" customHeight="1" x14ac:dyDescent="0.3">
      <c r="A193" s="29">
        <v>0</v>
      </c>
      <c r="B193" s="29">
        <v>2</v>
      </c>
      <c r="C193" s="29">
        <v>5</v>
      </c>
      <c r="D193" s="30" t="s">
        <v>763</v>
      </c>
      <c r="E193" s="30" t="s">
        <v>263</v>
      </c>
      <c r="F193" s="30" t="s">
        <v>764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 t="s">
        <v>341</v>
      </c>
      <c r="M193" s="30" t="s">
        <v>206</v>
      </c>
      <c r="N193" s="30" t="s">
        <v>907</v>
      </c>
      <c r="O193" s="31">
        <v>1</v>
      </c>
      <c r="P193" s="31"/>
      <c r="Q193" s="30"/>
      <c r="S193" s="2">
        <f t="shared" si="79"/>
        <v>0</v>
      </c>
      <c r="T193" s="2">
        <f t="shared" si="80"/>
        <v>0</v>
      </c>
      <c r="U193" s="2">
        <f t="shared" si="81"/>
        <v>0</v>
      </c>
      <c r="V193" s="2">
        <f t="shared" si="82"/>
        <v>0</v>
      </c>
      <c r="W193" s="2">
        <f t="shared" si="83"/>
        <v>0</v>
      </c>
      <c r="X193" s="2">
        <f t="shared" si="84"/>
        <v>0</v>
      </c>
      <c r="Y193" s="2">
        <f t="shared" si="85"/>
        <v>0</v>
      </c>
      <c r="Z193" s="2">
        <f t="shared" si="86"/>
        <v>0</v>
      </c>
      <c r="AA193" s="2">
        <f t="shared" si="87"/>
        <v>0</v>
      </c>
      <c r="AB193" s="2">
        <f t="shared" si="88"/>
        <v>0</v>
      </c>
      <c r="AD193" s="2">
        <f t="shared" si="89"/>
        <v>0</v>
      </c>
      <c r="AE193" s="2">
        <f t="shared" si="90"/>
        <v>1</v>
      </c>
      <c r="AF193" s="2">
        <f t="shared" si="91"/>
        <v>0</v>
      </c>
      <c r="AG193" s="2">
        <f t="shared" si="92"/>
        <v>1</v>
      </c>
      <c r="AH193" s="2">
        <f t="shared" si="93"/>
        <v>0</v>
      </c>
      <c r="AI193" s="2">
        <f t="shared" si="94"/>
        <v>1</v>
      </c>
    </row>
    <row r="194" spans="1:35" ht="14.25" customHeight="1" x14ac:dyDescent="0.3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752</v>
      </c>
      <c r="N194" s="30" t="s">
        <v>900</v>
      </c>
      <c r="O194" s="31">
        <v>1</v>
      </c>
      <c r="P194" s="31"/>
      <c r="Q194" s="30"/>
      <c r="S194" s="2">
        <f t="shared" si="79"/>
        <v>0</v>
      </c>
      <c r="T194" s="2">
        <f t="shared" si="80"/>
        <v>0</v>
      </c>
      <c r="U194" s="2">
        <f t="shared" si="81"/>
        <v>1</v>
      </c>
      <c r="V194" s="2">
        <f t="shared" si="82"/>
        <v>0</v>
      </c>
      <c r="W194" s="2">
        <f t="shared" si="83"/>
        <v>0</v>
      </c>
      <c r="X194" s="2">
        <f t="shared" si="84"/>
        <v>0</v>
      </c>
      <c r="Y194" s="2">
        <f t="shared" si="85"/>
        <v>0</v>
      </c>
      <c r="Z194" s="2">
        <f t="shared" si="86"/>
        <v>0</v>
      </c>
      <c r="AA194" s="2">
        <f t="shared" si="87"/>
        <v>0</v>
      </c>
      <c r="AB194" s="2">
        <f t="shared" si="88"/>
        <v>0</v>
      </c>
      <c r="AD194" s="2">
        <f t="shared" si="89"/>
        <v>0</v>
      </c>
      <c r="AE194" s="2">
        <f t="shared" si="90"/>
        <v>1</v>
      </c>
      <c r="AF194" s="2">
        <f t="shared" si="91"/>
        <v>0</v>
      </c>
      <c r="AG194" s="2">
        <f t="shared" si="92"/>
        <v>1</v>
      </c>
      <c r="AH194" s="2">
        <f t="shared" si="93"/>
        <v>0</v>
      </c>
      <c r="AI194" s="2">
        <f t="shared" si="94"/>
        <v>1</v>
      </c>
    </row>
    <row r="195" spans="1:35" ht="14.25" customHeight="1" x14ac:dyDescent="0.3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960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914</v>
      </c>
      <c r="O195" s="31">
        <v>1</v>
      </c>
      <c r="P195" s="31"/>
      <c r="Q195" s="30" t="s">
        <v>961</v>
      </c>
      <c r="S195" s="2">
        <f t="shared" si="79"/>
        <v>0</v>
      </c>
      <c r="T195" s="2">
        <f t="shared" si="80"/>
        <v>0</v>
      </c>
      <c r="U195" s="2">
        <f t="shared" si="81"/>
        <v>0</v>
      </c>
      <c r="V195" s="2">
        <f t="shared" si="82"/>
        <v>0</v>
      </c>
      <c r="W195" s="2">
        <f t="shared" si="83"/>
        <v>0</v>
      </c>
      <c r="X195" s="2">
        <f t="shared" si="84"/>
        <v>0</v>
      </c>
      <c r="Y195" s="2">
        <f t="shared" si="85"/>
        <v>0</v>
      </c>
      <c r="Z195" s="2">
        <f t="shared" si="86"/>
        <v>0</v>
      </c>
      <c r="AA195" s="2">
        <f t="shared" si="87"/>
        <v>0</v>
      </c>
      <c r="AB195" s="2">
        <f t="shared" si="88"/>
        <v>0</v>
      </c>
      <c r="AD195" s="2">
        <f t="shared" si="89"/>
        <v>0</v>
      </c>
      <c r="AE195" s="2">
        <f t="shared" si="90"/>
        <v>1</v>
      </c>
      <c r="AF195" s="2">
        <f t="shared" si="91"/>
        <v>0</v>
      </c>
      <c r="AG195" s="2">
        <f t="shared" si="92"/>
        <v>1</v>
      </c>
      <c r="AH195" s="2">
        <f t="shared" si="93"/>
        <v>0</v>
      </c>
      <c r="AI195" s="2">
        <f t="shared" si="94"/>
        <v>1</v>
      </c>
    </row>
    <row r="196" spans="1:35" ht="14.25" customHeight="1" x14ac:dyDescent="0.3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79"/>
        <v>0</v>
      </c>
      <c r="T196" s="2">
        <f t="shared" si="80"/>
        <v>0</v>
      </c>
      <c r="U196" s="2">
        <f t="shared" si="81"/>
        <v>0</v>
      </c>
      <c r="V196" s="2">
        <f t="shared" si="82"/>
        <v>0</v>
      </c>
      <c r="W196" s="2">
        <f t="shared" si="83"/>
        <v>0</v>
      </c>
      <c r="X196" s="2">
        <f t="shared" si="84"/>
        <v>0</v>
      </c>
      <c r="Y196" s="2">
        <f t="shared" si="85"/>
        <v>0</v>
      </c>
      <c r="Z196" s="2">
        <f t="shared" si="86"/>
        <v>0</v>
      </c>
      <c r="AA196" s="2">
        <f t="shared" si="87"/>
        <v>0</v>
      </c>
      <c r="AB196" s="2">
        <f t="shared" si="88"/>
        <v>1</v>
      </c>
      <c r="AD196" s="2">
        <f t="shared" si="89"/>
        <v>0</v>
      </c>
      <c r="AE196" s="2">
        <f t="shared" si="90"/>
        <v>0</v>
      </c>
      <c r="AF196" s="2">
        <f t="shared" si="91"/>
        <v>0</v>
      </c>
      <c r="AG196" s="2">
        <f t="shared" si="92"/>
        <v>0</v>
      </c>
      <c r="AH196" s="2">
        <f t="shared" si="93"/>
        <v>0</v>
      </c>
      <c r="AI196" s="2">
        <f t="shared" si="94"/>
        <v>1</v>
      </c>
    </row>
    <row r="197" spans="1:35" ht="14.25" customHeight="1" x14ac:dyDescent="0.3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829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785</v>
      </c>
      <c r="N197" s="33" t="s">
        <v>901</v>
      </c>
      <c r="O197" s="34"/>
      <c r="P197" s="34"/>
      <c r="Q197" s="33"/>
      <c r="S197" s="2">
        <f t="shared" si="79"/>
        <v>0</v>
      </c>
      <c r="T197" s="2">
        <f t="shared" si="80"/>
        <v>0</v>
      </c>
      <c r="U197" s="2">
        <f t="shared" si="81"/>
        <v>0</v>
      </c>
      <c r="V197" s="2">
        <f t="shared" si="82"/>
        <v>0</v>
      </c>
      <c r="W197" s="2">
        <f t="shared" si="83"/>
        <v>0</v>
      </c>
      <c r="X197" s="2">
        <f t="shared" si="84"/>
        <v>0</v>
      </c>
      <c r="Y197" s="2">
        <f t="shared" si="85"/>
        <v>0</v>
      </c>
      <c r="Z197" s="2">
        <f t="shared" si="86"/>
        <v>0</v>
      </c>
      <c r="AA197" s="2">
        <f t="shared" si="87"/>
        <v>0</v>
      </c>
      <c r="AB197" s="2">
        <f t="shared" si="88"/>
        <v>0</v>
      </c>
      <c r="AD197" s="2">
        <f t="shared" si="89"/>
        <v>0</v>
      </c>
      <c r="AE197" s="2">
        <f t="shared" si="90"/>
        <v>0</v>
      </c>
      <c r="AF197" s="2">
        <f t="shared" si="91"/>
        <v>0</v>
      </c>
      <c r="AG197" s="2">
        <f t="shared" si="92"/>
        <v>0</v>
      </c>
      <c r="AH197" s="2">
        <f t="shared" si="93"/>
        <v>0</v>
      </c>
      <c r="AI197" s="2">
        <f t="shared" si="94"/>
        <v>1</v>
      </c>
    </row>
    <row r="198" spans="1:35" ht="14.25" customHeight="1" x14ac:dyDescent="0.3">
      <c r="A198" s="32">
        <v>0</v>
      </c>
      <c r="B198" s="32">
        <v>2</v>
      </c>
      <c r="C198" s="32">
        <v>5</v>
      </c>
      <c r="D198" s="33" t="s">
        <v>813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897</v>
      </c>
      <c r="O198" s="34"/>
      <c r="P198" s="34"/>
      <c r="Q198" s="33"/>
      <c r="S198" s="2">
        <f t="shared" si="79"/>
        <v>0</v>
      </c>
      <c r="T198" s="2">
        <f t="shared" si="80"/>
        <v>0</v>
      </c>
      <c r="U198" s="2">
        <f t="shared" si="81"/>
        <v>0</v>
      </c>
      <c r="V198" s="2">
        <f t="shared" si="82"/>
        <v>0</v>
      </c>
      <c r="W198" s="2">
        <f t="shared" si="83"/>
        <v>0</v>
      </c>
      <c r="X198" s="2">
        <f t="shared" si="84"/>
        <v>0</v>
      </c>
      <c r="Y198" s="2">
        <f t="shared" si="85"/>
        <v>0</v>
      </c>
      <c r="Z198" s="2">
        <f t="shared" si="86"/>
        <v>0</v>
      </c>
      <c r="AA198" s="2">
        <f t="shared" si="87"/>
        <v>0</v>
      </c>
      <c r="AB198" s="2">
        <f t="shared" si="88"/>
        <v>0</v>
      </c>
      <c r="AD198" s="2">
        <f t="shared" si="89"/>
        <v>0</v>
      </c>
      <c r="AE198" s="2">
        <f t="shared" si="90"/>
        <v>0</v>
      </c>
      <c r="AF198" s="2">
        <f t="shared" si="91"/>
        <v>0</v>
      </c>
      <c r="AG198" s="2">
        <f t="shared" si="92"/>
        <v>0</v>
      </c>
      <c r="AH198" s="2">
        <f t="shared" si="93"/>
        <v>0</v>
      </c>
      <c r="AI198" s="2">
        <f t="shared" si="94"/>
        <v>1</v>
      </c>
    </row>
    <row r="199" spans="1:35" ht="14.25" customHeight="1" x14ac:dyDescent="0.3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822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930</v>
      </c>
      <c r="O199" s="34"/>
      <c r="P199" s="34"/>
      <c r="Q199" s="33"/>
      <c r="S199" s="2">
        <f t="shared" si="79"/>
        <v>1</v>
      </c>
      <c r="T199" s="2">
        <f t="shared" si="80"/>
        <v>0</v>
      </c>
      <c r="U199" s="2">
        <f t="shared" si="81"/>
        <v>0</v>
      </c>
      <c r="V199" s="2">
        <f t="shared" si="82"/>
        <v>0</v>
      </c>
      <c r="W199" s="2">
        <f t="shared" si="83"/>
        <v>0</v>
      </c>
      <c r="X199" s="2">
        <f t="shared" si="84"/>
        <v>0</v>
      </c>
      <c r="Y199" s="2">
        <f t="shared" si="85"/>
        <v>0</v>
      </c>
      <c r="Z199" s="2">
        <f t="shared" si="86"/>
        <v>0</v>
      </c>
      <c r="AA199" s="2">
        <f t="shared" si="87"/>
        <v>0</v>
      </c>
      <c r="AB199" s="2">
        <f t="shared" si="88"/>
        <v>0</v>
      </c>
      <c r="AD199" s="2">
        <f t="shared" si="89"/>
        <v>0</v>
      </c>
      <c r="AE199" s="2">
        <f t="shared" si="90"/>
        <v>0</v>
      </c>
      <c r="AF199" s="2">
        <f t="shared" si="91"/>
        <v>0</v>
      </c>
      <c r="AG199" s="2">
        <f t="shared" si="92"/>
        <v>0</v>
      </c>
      <c r="AH199" s="2">
        <f t="shared" si="93"/>
        <v>0</v>
      </c>
      <c r="AI199" s="2">
        <f t="shared" si="94"/>
        <v>1</v>
      </c>
    </row>
    <row r="200" spans="1:35" ht="14.25" customHeight="1" x14ac:dyDescent="0.3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848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910</v>
      </c>
      <c r="O200" s="34"/>
      <c r="P200" s="34"/>
      <c r="Q200" s="33"/>
      <c r="S200" s="2">
        <f t="shared" si="79"/>
        <v>0</v>
      </c>
      <c r="T200" s="2">
        <f t="shared" si="80"/>
        <v>0</v>
      </c>
      <c r="U200" s="2">
        <f t="shared" si="81"/>
        <v>0</v>
      </c>
      <c r="V200" s="2">
        <f t="shared" si="82"/>
        <v>0</v>
      </c>
      <c r="W200" s="2">
        <f t="shared" si="83"/>
        <v>0</v>
      </c>
      <c r="X200" s="2">
        <f t="shared" si="84"/>
        <v>0</v>
      </c>
      <c r="Y200" s="2">
        <f t="shared" si="85"/>
        <v>0</v>
      </c>
      <c r="Z200" s="2">
        <f t="shared" si="86"/>
        <v>1</v>
      </c>
      <c r="AA200" s="2">
        <f t="shared" si="87"/>
        <v>0</v>
      </c>
      <c r="AB200" s="2">
        <f t="shared" si="88"/>
        <v>0</v>
      </c>
      <c r="AD200" s="2">
        <f t="shared" si="89"/>
        <v>0</v>
      </c>
      <c r="AE200" s="2">
        <f t="shared" si="90"/>
        <v>0</v>
      </c>
      <c r="AF200" s="2">
        <f t="shared" si="91"/>
        <v>0</v>
      </c>
      <c r="AG200" s="2">
        <f t="shared" si="92"/>
        <v>0</v>
      </c>
      <c r="AH200" s="2">
        <f t="shared" si="93"/>
        <v>0</v>
      </c>
      <c r="AI200" s="2">
        <f t="shared" si="94"/>
        <v>1</v>
      </c>
    </row>
    <row r="201" spans="1:35" ht="14.25" customHeight="1" x14ac:dyDescent="0.3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955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936</v>
      </c>
      <c r="O201" s="31">
        <v>1</v>
      </c>
      <c r="P201" s="31"/>
      <c r="Q201" s="30"/>
      <c r="S201" s="2">
        <f t="shared" si="79"/>
        <v>0</v>
      </c>
      <c r="T201" s="2">
        <f t="shared" si="80"/>
        <v>0</v>
      </c>
      <c r="U201" s="2">
        <f t="shared" si="81"/>
        <v>0</v>
      </c>
      <c r="V201" s="2">
        <f t="shared" si="82"/>
        <v>0</v>
      </c>
      <c r="W201" s="2">
        <f t="shared" si="83"/>
        <v>0</v>
      </c>
      <c r="X201" s="2">
        <f t="shared" si="84"/>
        <v>1</v>
      </c>
      <c r="Y201" s="2">
        <f t="shared" si="85"/>
        <v>0</v>
      </c>
      <c r="Z201" s="2">
        <f t="shared" si="86"/>
        <v>0</v>
      </c>
      <c r="AA201" s="2">
        <f t="shared" si="87"/>
        <v>0</v>
      </c>
      <c r="AB201" s="2">
        <f t="shared" si="88"/>
        <v>0</v>
      </c>
      <c r="AD201" s="2">
        <f t="shared" si="89"/>
        <v>0</v>
      </c>
      <c r="AE201" s="2">
        <f t="shared" si="90"/>
        <v>1</v>
      </c>
      <c r="AF201" s="2">
        <f t="shared" si="91"/>
        <v>0</v>
      </c>
      <c r="AG201" s="2">
        <f t="shared" si="92"/>
        <v>1</v>
      </c>
      <c r="AH201" s="2">
        <f t="shared" si="93"/>
        <v>0</v>
      </c>
      <c r="AI201" s="2">
        <f t="shared" si="94"/>
        <v>1</v>
      </c>
    </row>
    <row r="202" spans="1:35" ht="14.25" customHeight="1" x14ac:dyDescent="0.3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749</v>
      </c>
      <c r="N202" s="30" t="s">
        <v>913</v>
      </c>
      <c r="O202" s="31">
        <v>1</v>
      </c>
      <c r="P202" s="31"/>
      <c r="Q202" s="30"/>
      <c r="S202" s="2">
        <f t="shared" si="79"/>
        <v>0</v>
      </c>
      <c r="T202" s="2">
        <f t="shared" si="80"/>
        <v>0</v>
      </c>
      <c r="U202" s="2">
        <f t="shared" si="81"/>
        <v>0</v>
      </c>
      <c r="V202" s="2">
        <f t="shared" si="82"/>
        <v>0</v>
      </c>
      <c r="W202" s="2">
        <f t="shared" si="83"/>
        <v>1</v>
      </c>
      <c r="X202" s="2">
        <f t="shared" si="84"/>
        <v>0</v>
      </c>
      <c r="Y202" s="2">
        <f t="shared" si="85"/>
        <v>0</v>
      </c>
      <c r="Z202" s="2">
        <f t="shared" si="86"/>
        <v>0</v>
      </c>
      <c r="AA202" s="2">
        <f t="shared" si="87"/>
        <v>0</v>
      </c>
      <c r="AB202" s="2">
        <f t="shared" si="88"/>
        <v>0</v>
      </c>
      <c r="AD202" s="2">
        <f t="shared" si="89"/>
        <v>0</v>
      </c>
      <c r="AE202" s="2">
        <f t="shared" si="90"/>
        <v>1</v>
      </c>
      <c r="AF202" s="2">
        <f t="shared" ref="AF202:AF230" si="95">+O202*P202*(1-A202)</f>
        <v>0</v>
      </c>
      <c r="AG202" s="2">
        <f t="shared" ref="AG202:AG230" si="96">O202*(1-P202)*(1-A202)</f>
        <v>1</v>
      </c>
      <c r="AH202" s="2">
        <f t="shared" ref="AH202:AH230" si="97">+P202*(1-A202)</f>
        <v>0</v>
      </c>
      <c r="AI202" s="2">
        <f t="shared" ref="AI202:AI230" si="98">+(1-A202)*(1-P202)</f>
        <v>1</v>
      </c>
    </row>
    <row r="203" spans="1:35" ht="14.25" customHeight="1" x14ac:dyDescent="0.3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936</v>
      </c>
      <c r="O203" s="31">
        <v>1</v>
      </c>
      <c r="P203" s="31"/>
      <c r="Q203" s="30"/>
      <c r="S203" s="2">
        <f t="shared" si="79"/>
        <v>0</v>
      </c>
      <c r="T203" s="2">
        <f t="shared" si="80"/>
        <v>0</v>
      </c>
      <c r="U203" s="2">
        <f t="shared" si="81"/>
        <v>0</v>
      </c>
      <c r="V203" s="2">
        <f t="shared" si="82"/>
        <v>0</v>
      </c>
      <c r="W203" s="2">
        <f t="shared" si="83"/>
        <v>0</v>
      </c>
      <c r="X203" s="2">
        <f t="shared" si="84"/>
        <v>1</v>
      </c>
      <c r="Y203" s="2">
        <f t="shared" si="85"/>
        <v>0</v>
      </c>
      <c r="Z203" s="2">
        <f t="shared" si="86"/>
        <v>0</v>
      </c>
      <c r="AA203" s="2">
        <f t="shared" si="87"/>
        <v>0</v>
      </c>
      <c r="AB203" s="2">
        <f t="shared" si="88"/>
        <v>0</v>
      </c>
      <c r="AD203" s="2">
        <f t="shared" si="89"/>
        <v>0</v>
      </c>
      <c r="AE203" s="2">
        <f t="shared" si="90"/>
        <v>1</v>
      </c>
      <c r="AF203" s="2">
        <f t="shared" si="95"/>
        <v>0</v>
      </c>
      <c r="AG203" s="2">
        <f t="shared" si="96"/>
        <v>1</v>
      </c>
      <c r="AH203" s="2">
        <f t="shared" si="97"/>
        <v>0</v>
      </c>
      <c r="AI203" s="2">
        <f t="shared" si="98"/>
        <v>1</v>
      </c>
    </row>
    <row r="204" spans="1:35" ht="14.25" customHeight="1" x14ac:dyDescent="0.3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897</v>
      </c>
      <c r="O204" s="34"/>
      <c r="P204" s="34"/>
      <c r="Q204" s="33"/>
      <c r="S204" s="2">
        <f t="shared" si="79"/>
        <v>0</v>
      </c>
      <c r="T204" s="2">
        <f t="shared" si="80"/>
        <v>0</v>
      </c>
      <c r="U204" s="2">
        <f t="shared" si="81"/>
        <v>0</v>
      </c>
      <c r="V204" s="2">
        <f t="shared" si="82"/>
        <v>0</v>
      </c>
      <c r="W204" s="2">
        <f t="shared" si="83"/>
        <v>0</v>
      </c>
      <c r="X204" s="2">
        <f t="shared" si="84"/>
        <v>0</v>
      </c>
      <c r="Y204" s="2">
        <f t="shared" si="85"/>
        <v>0</v>
      </c>
      <c r="Z204" s="2">
        <f t="shared" si="86"/>
        <v>0</v>
      </c>
      <c r="AA204" s="2">
        <f t="shared" si="87"/>
        <v>0</v>
      </c>
      <c r="AB204" s="2">
        <f t="shared" si="88"/>
        <v>0</v>
      </c>
      <c r="AD204" s="2">
        <f t="shared" si="89"/>
        <v>0</v>
      </c>
      <c r="AE204" s="2">
        <f t="shared" si="90"/>
        <v>0</v>
      </c>
      <c r="AF204" s="2">
        <f t="shared" si="95"/>
        <v>0</v>
      </c>
      <c r="AG204" s="2">
        <f t="shared" si="96"/>
        <v>0</v>
      </c>
      <c r="AH204" s="2">
        <f t="shared" si="97"/>
        <v>0</v>
      </c>
      <c r="AI204" s="2">
        <f t="shared" si="98"/>
        <v>1</v>
      </c>
    </row>
    <row r="205" spans="1:35" ht="14.25" customHeight="1" x14ac:dyDescent="0.3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952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908</v>
      </c>
      <c r="O205" s="31">
        <v>1</v>
      </c>
      <c r="P205" s="31"/>
      <c r="Q205" s="30"/>
      <c r="S205" s="2">
        <f t="shared" si="79"/>
        <v>0</v>
      </c>
      <c r="T205" s="2">
        <f t="shared" si="80"/>
        <v>1</v>
      </c>
      <c r="U205" s="2">
        <f t="shared" si="81"/>
        <v>0</v>
      </c>
      <c r="V205" s="2">
        <f t="shared" si="82"/>
        <v>0</v>
      </c>
      <c r="W205" s="2">
        <f t="shared" si="83"/>
        <v>0</v>
      </c>
      <c r="X205" s="2">
        <f t="shared" si="84"/>
        <v>0</v>
      </c>
      <c r="Y205" s="2">
        <f t="shared" si="85"/>
        <v>0</v>
      </c>
      <c r="Z205" s="2">
        <f t="shared" si="86"/>
        <v>0</v>
      </c>
      <c r="AA205" s="2">
        <f t="shared" si="87"/>
        <v>0</v>
      </c>
      <c r="AB205" s="2">
        <f t="shared" si="88"/>
        <v>0</v>
      </c>
      <c r="AD205" s="2">
        <f t="shared" si="89"/>
        <v>0</v>
      </c>
      <c r="AE205" s="2">
        <f t="shared" si="90"/>
        <v>1</v>
      </c>
      <c r="AF205" s="2">
        <f t="shared" si="95"/>
        <v>0</v>
      </c>
      <c r="AG205" s="2">
        <f t="shared" si="96"/>
        <v>1</v>
      </c>
      <c r="AH205" s="2">
        <f t="shared" si="97"/>
        <v>0</v>
      </c>
      <c r="AI205" s="2">
        <f t="shared" si="98"/>
        <v>1</v>
      </c>
    </row>
    <row r="206" spans="1:35" ht="14.25" customHeight="1" x14ac:dyDescent="0.3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953</v>
      </c>
      <c r="G206" s="30" t="s">
        <v>103</v>
      </c>
      <c r="H206" s="30" t="s">
        <v>165</v>
      </c>
      <c r="I206" s="29" t="s">
        <v>847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908</v>
      </c>
      <c r="O206" s="31">
        <v>1</v>
      </c>
      <c r="P206" s="31"/>
      <c r="Q206" s="30"/>
      <c r="S206" s="2">
        <f t="shared" si="79"/>
        <v>0</v>
      </c>
      <c r="T206" s="2">
        <f t="shared" si="80"/>
        <v>0</v>
      </c>
      <c r="U206" s="2">
        <f t="shared" si="81"/>
        <v>0</v>
      </c>
      <c r="V206" s="2">
        <f t="shared" si="82"/>
        <v>0</v>
      </c>
      <c r="W206" s="2">
        <f t="shared" si="83"/>
        <v>0</v>
      </c>
      <c r="X206" s="2">
        <f t="shared" si="84"/>
        <v>1</v>
      </c>
      <c r="Y206" s="2">
        <f t="shared" si="85"/>
        <v>0</v>
      </c>
      <c r="Z206" s="2">
        <f t="shared" si="86"/>
        <v>0</v>
      </c>
      <c r="AA206" s="2">
        <f t="shared" si="87"/>
        <v>0</v>
      </c>
      <c r="AB206" s="2">
        <f t="shared" si="88"/>
        <v>0</v>
      </c>
      <c r="AD206" s="2">
        <f t="shared" si="89"/>
        <v>0</v>
      </c>
      <c r="AE206" s="2">
        <f t="shared" si="90"/>
        <v>1</v>
      </c>
      <c r="AF206" s="2">
        <f t="shared" si="95"/>
        <v>0</v>
      </c>
      <c r="AG206" s="2">
        <f t="shared" si="96"/>
        <v>0</v>
      </c>
      <c r="AH206" s="2">
        <f t="shared" si="97"/>
        <v>0</v>
      </c>
      <c r="AI206" s="2">
        <f t="shared" si="98"/>
        <v>0</v>
      </c>
    </row>
    <row r="207" spans="1:35" ht="14.25" customHeight="1" x14ac:dyDescent="0.3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894</v>
      </c>
      <c r="O207" s="31">
        <v>1</v>
      </c>
      <c r="P207" s="31">
        <v>1</v>
      </c>
      <c r="Q207" s="30"/>
      <c r="S207" s="2">
        <f t="shared" si="79"/>
        <v>0</v>
      </c>
      <c r="T207" s="2">
        <f t="shared" si="80"/>
        <v>0</v>
      </c>
      <c r="U207" s="2">
        <f t="shared" si="81"/>
        <v>0</v>
      </c>
      <c r="V207" s="2">
        <f t="shared" si="82"/>
        <v>0</v>
      </c>
      <c r="W207" s="2">
        <f t="shared" si="83"/>
        <v>0</v>
      </c>
      <c r="X207" s="2">
        <f t="shared" si="84"/>
        <v>0</v>
      </c>
      <c r="Y207" s="2">
        <f t="shared" si="85"/>
        <v>0</v>
      </c>
      <c r="Z207" s="2">
        <f t="shared" si="86"/>
        <v>0</v>
      </c>
      <c r="AA207" s="2">
        <f t="shared" si="87"/>
        <v>1</v>
      </c>
      <c r="AB207" s="2">
        <f t="shared" si="88"/>
        <v>0</v>
      </c>
      <c r="AD207" s="2">
        <f t="shared" si="89"/>
        <v>1</v>
      </c>
      <c r="AE207" s="2">
        <f t="shared" si="90"/>
        <v>0</v>
      </c>
      <c r="AF207" s="2">
        <f t="shared" si="95"/>
        <v>1</v>
      </c>
      <c r="AG207" s="2">
        <f t="shared" si="96"/>
        <v>0</v>
      </c>
      <c r="AH207" s="2">
        <f t="shared" si="97"/>
        <v>1</v>
      </c>
      <c r="AI207" s="2">
        <f t="shared" si="98"/>
        <v>0</v>
      </c>
    </row>
    <row r="208" spans="1:35" ht="14.25" customHeight="1" x14ac:dyDescent="0.3">
      <c r="A208" s="29">
        <v>0</v>
      </c>
      <c r="B208" s="29">
        <v>2</v>
      </c>
      <c r="C208" s="29">
        <v>7</v>
      </c>
      <c r="D208" s="30" t="s">
        <v>925</v>
      </c>
      <c r="E208" s="30" t="s">
        <v>919</v>
      </c>
      <c r="F208" s="30" t="s">
        <v>923</v>
      </c>
      <c r="G208" s="30" t="s">
        <v>132</v>
      </c>
      <c r="H208" s="30" t="s">
        <v>165</v>
      </c>
      <c r="I208" s="29" t="s">
        <v>926</v>
      </c>
      <c r="J208" s="29">
        <v>99</v>
      </c>
      <c r="K208" s="29" t="s">
        <v>378</v>
      </c>
      <c r="L208" s="29"/>
      <c r="M208" s="30"/>
      <c r="N208" s="30" t="s">
        <v>894</v>
      </c>
      <c r="O208" s="31">
        <v>1</v>
      </c>
      <c r="P208" s="31">
        <v>1</v>
      </c>
      <c r="Q208" s="30"/>
      <c r="S208" s="2">
        <f t="shared" si="79"/>
        <v>0</v>
      </c>
      <c r="T208" s="2">
        <f t="shared" si="80"/>
        <v>0</v>
      </c>
      <c r="U208" s="2">
        <f t="shared" si="81"/>
        <v>0</v>
      </c>
      <c r="V208" s="2">
        <f t="shared" si="82"/>
        <v>0</v>
      </c>
      <c r="W208" s="2">
        <f t="shared" si="83"/>
        <v>0</v>
      </c>
      <c r="X208" s="2">
        <f t="shared" si="84"/>
        <v>0</v>
      </c>
      <c r="Y208" s="2">
        <f t="shared" si="85"/>
        <v>0</v>
      </c>
      <c r="Z208" s="2">
        <f t="shared" si="86"/>
        <v>0</v>
      </c>
      <c r="AA208" s="2">
        <f t="shared" si="87"/>
        <v>0</v>
      </c>
      <c r="AB208" s="2">
        <f t="shared" si="88"/>
        <v>0</v>
      </c>
      <c r="AD208" s="2">
        <f t="shared" si="89"/>
        <v>1</v>
      </c>
      <c r="AE208" s="2">
        <f t="shared" si="90"/>
        <v>0</v>
      </c>
      <c r="AF208" s="2">
        <f t="shared" si="95"/>
        <v>1</v>
      </c>
      <c r="AG208" s="2">
        <f t="shared" si="96"/>
        <v>0</v>
      </c>
      <c r="AH208" s="2">
        <f t="shared" si="97"/>
        <v>1</v>
      </c>
      <c r="AI208" s="2">
        <f t="shared" si="98"/>
        <v>0</v>
      </c>
    </row>
    <row r="209" spans="1:35" ht="14.25" customHeight="1" x14ac:dyDescent="0.3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900</v>
      </c>
      <c r="O209" s="31">
        <v>1</v>
      </c>
      <c r="P209" s="31"/>
      <c r="Q209" s="30"/>
      <c r="S209" s="2">
        <f t="shared" si="79"/>
        <v>0</v>
      </c>
      <c r="T209" s="2">
        <f t="shared" si="80"/>
        <v>0</v>
      </c>
      <c r="U209" s="2">
        <f t="shared" si="81"/>
        <v>0</v>
      </c>
      <c r="V209" s="2">
        <f t="shared" si="82"/>
        <v>0</v>
      </c>
      <c r="W209" s="2">
        <f t="shared" si="83"/>
        <v>0</v>
      </c>
      <c r="X209" s="2">
        <f t="shared" si="84"/>
        <v>0</v>
      </c>
      <c r="Y209" s="2">
        <f t="shared" si="85"/>
        <v>1</v>
      </c>
      <c r="Z209" s="2">
        <f t="shared" si="86"/>
        <v>0</v>
      </c>
      <c r="AA209" s="2">
        <f t="shared" si="87"/>
        <v>0</v>
      </c>
      <c r="AB209" s="2">
        <f t="shared" si="88"/>
        <v>0</v>
      </c>
      <c r="AD209" s="2">
        <f t="shared" si="89"/>
        <v>0</v>
      </c>
      <c r="AE209" s="2">
        <f t="shared" si="90"/>
        <v>1</v>
      </c>
      <c r="AF209" s="2">
        <f t="shared" si="95"/>
        <v>0</v>
      </c>
      <c r="AG209" s="2">
        <f t="shared" si="96"/>
        <v>1</v>
      </c>
      <c r="AH209" s="2">
        <f t="shared" si="97"/>
        <v>0</v>
      </c>
      <c r="AI209" s="2">
        <f t="shared" si="98"/>
        <v>1</v>
      </c>
    </row>
    <row r="210" spans="1:35" ht="14.25" customHeight="1" x14ac:dyDescent="0.3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930</v>
      </c>
      <c r="O210" s="34"/>
      <c r="P210" s="34"/>
      <c r="Q210" s="33"/>
      <c r="S210" s="2">
        <f t="shared" si="79"/>
        <v>1</v>
      </c>
      <c r="T210" s="2">
        <f t="shared" si="80"/>
        <v>0</v>
      </c>
      <c r="U210" s="2">
        <f t="shared" si="81"/>
        <v>0</v>
      </c>
      <c r="V210" s="2">
        <f t="shared" si="82"/>
        <v>0</v>
      </c>
      <c r="W210" s="2">
        <f t="shared" si="83"/>
        <v>0</v>
      </c>
      <c r="X210" s="2">
        <f t="shared" si="84"/>
        <v>0</v>
      </c>
      <c r="Y210" s="2">
        <f t="shared" si="85"/>
        <v>0</v>
      </c>
      <c r="Z210" s="2">
        <f t="shared" si="86"/>
        <v>0</v>
      </c>
      <c r="AA210" s="2">
        <f t="shared" si="87"/>
        <v>0</v>
      </c>
      <c r="AB210" s="2">
        <f t="shared" si="88"/>
        <v>0</v>
      </c>
      <c r="AD210" s="2">
        <f t="shared" si="89"/>
        <v>0</v>
      </c>
      <c r="AE210" s="2">
        <f t="shared" si="90"/>
        <v>0</v>
      </c>
      <c r="AF210" s="2">
        <f t="shared" si="95"/>
        <v>0</v>
      </c>
      <c r="AG210" s="2">
        <f t="shared" si="96"/>
        <v>0</v>
      </c>
      <c r="AH210" s="2">
        <f t="shared" si="97"/>
        <v>0</v>
      </c>
      <c r="AI210" s="2">
        <f t="shared" si="98"/>
        <v>1</v>
      </c>
    </row>
    <row r="211" spans="1:35" ht="14.25" customHeight="1" x14ac:dyDescent="0.3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894</v>
      </c>
      <c r="O211" s="31">
        <v>1</v>
      </c>
      <c r="P211" s="31">
        <v>1</v>
      </c>
      <c r="Q211" s="30"/>
      <c r="S211" s="2">
        <f t="shared" ref="S211:S230" si="99">IF(J211=$S$7,1,0)</f>
        <v>0</v>
      </c>
      <c r="T211" s="2">
        <f t="shared" ref="T211:T230" si="100">IF(J211=$T$7,1,0)</f>
        <v>0</v>
      </c>
      <c r="U211" s="2">
        <f t="shared" ref="U211:U230" si="101">IF(J211=$U$7,1,0)</f>
        <v>0</v>
      </c>
      <c r="V211" s="2">
        <f t="shared" ref="V211:V230" si="102">IF(J211=$V$7,1,0)</f>
        <v>0</v>
      </c>
      <c r="W211" s="2">
        <f t="shared" ref="W211:W230" si="103">IF(J211=$W$7,1,0)</f>
        <v>0</v>
      </c>
      <c r="X211" s="2">
        <f t="shared" ref="X211:X230" si="104">IF(J211=$X$7,1,0)</f>
        <v>1</v>
      </c>
      <c r="Y211" s="2">
        <f t="shared" ref="Y211:Y230" si="105">IF(J211=$Y$7,1,0)</f>
        <v>0</v>
      </c>
      <c r="Z211" s="2">
        <f t="shared" ref="Z211:Z230" si="106">IF(J211=$Z$7,1,0)</f>
        <v>0</v>
      </c>
      <c r="AA211" s="2">
        <f t="shared" ref="AA211:AA230" si="107">IF(J211=$AA$7,1,0)</f>
        <v>0</v>
      </c>
      <c r="AB211" s="2">
        <f t="shared" ref="AB211:AB230" si="108">IF(J211=$AB$7,1,0)</f>
        <v>0</v>
      </c>
      <c r="AD211" s="2">
        <f t="shared" ref="AD211:AD230" si="109">+O211*P211</f>
        <v>1</v>
      </c>
      <c r="AE211" s="2">
        <f t="shared" ref="AE211:AE230" si="110">O211*(1-P211)</f>
        <v>0</v>
      </c>
      <c r="AF211" s="2">
        <f t="shared" si="95"/>
        <v>1</v>
      </c>
      <c r="AG211" s="2">
        <f t="shared" si="96"/>
        <v>0</v>
      </c>
      <c r="AH211" s="2">
        <f t="shared" si="97"/>
        <v>1</v>
      </c>
      <c r="AI211" s="2">
        <f t="shared" si="98"/>
        <v>0</v>
      </c>
    </row>
    <row r="212" spans="1:35" ht="14.25" customHeight="1" x14ac:dyDescent="0.3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894</v>
      </c>
      <c r="O212" s="31">
        <v>1</v>
      </c>
      <c r="P212" s="31">
        <v>1</v>
      </c>
      <c r="Q212" s="30"/>
      <c r="S212" s="2">
        <f t="shared" si="99"/>
        <v>0</v>
      </c>
      <c r="T212" s="2">
        <f t="shared" si="100"/>
        <v>0</v>
      </c>
      <c r="U212" s="2">
        <f t="shared" si="101"/>
        <v>0</v>
      </c>
      <c r="V212" s="2">
        <f t="shared" si="102"/>
        <v>0</v>
      </c>
      <c r="W212" s="2">
        <f t="shared" si="103"/>
        <v>0</v>
      </c>
      <c r="X212" s="2">
        <f t="shared" si="104"/>
        <v>0</v>
      </c>
      <c r="Y212" s="2">
        <f t="shared" si="105"/>
        <v>0</v>
      </c>
      <c r="Z212" s="2">
        <f t="shared" si="106"/>
        <v>0</v>
      </c>
      <c r="AA212" s="2">
        <f t="shared" si="107"/>
        <v>0</v>
      </c>
      <c r="AB212" s="2">
        <f t="shared" si="108"/>
        <v>0</v>
      </c>
      <c r="AD212" s="2">
        <f t="shared" si="109"/>
        <v>1</v>
      </c>
      <c r="AE212" s="2">
        <f t="shared" si="110"/>
        <v>0</v>
      </c>
      <c r="AF212" s="2">
        <f t="shared" si="95"/>
        <v>1</v>
      </c>
      <c r="AG212" s="2">
        <f t="shared" si="96"/>
        <v>0</v>
      </c>
      <c r="AH212" s="2">
        <f t="shared" si="97"/>
        <v>1</v>
      </c>
      <c r="AI212" s="2">
        <f t="shared" si="98"/>
        <v>0</v>
      </c>
    </row>
    <row r="213" spans="1:35" ht="14.25" customHeight="1" x14ac:dyDescent="0.3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931</v>
      </c>
      <c r="O213" s="31">
        <v>1</v>
      </c>
      <c r="P213" s="31"/>
      <c r="Q213" s="30"/>
      <c r="S213" s="2">
        <f t="shared" si="99"/>
        <v>0</v>
      </c>
      <c r="T213" s="2">
        <f t="shared" si="100"/>
        <v>0</v>
      </c>
      <c r="U213" s="2">
        <f t="shared" si="101"/>
        <v>0</v>
      </c>
      <c r="V213" s="2">
        <f t="shared" si="102"/>
        <v>0</v>
      </c>
      <c r="W213" s="2">
        <f t="shared" si="103"/>
        <v>0</v>
      </c>
      <c r="X213" s="2">
        <f t="shared" si="104"/>
        <v>0</v>
      </c>
      <c r="Y213" s="2">
        <f t="shared" si="105"/>
        <v>0</v>
      </c>
      <c r="Z213" s="2">
        <f t="shared" si="106"/>
        <v>0</v>
      </c>
      <c r="AA213" s="2">
        <f t="shared" si="107"/>
        <v>0</v>
      </c>
      <c r="AB213" s="2">
        <f t="shared" si="108"/>
        <v>0</v>
      </c>
      <c r="AD213" s="2">
        <f t="shared" si="109"/>
        <v>0</v>
      </c>
      <c r="AE213" s="2">
        <f t="shared" si="110"/>
        <v>1</v>
      </c>
      <c r="AF213" s="2">
        <f t="shared" si="95"/>
        <v>0</v>
      </c>
      <c r="AG213" s="2">
        <f t="shared" si="96"/>
        <v>1</v>
      </c>
      <c r="AH213" s="2">
        <f t="shared" si="97"/>
        <v>0</v>
      </c>
      <c r="AI213" s="2">
        <f t="shared" si="98"/>
        <v>1</v>
      </c>
    </row>
    <row r="214" spans="1:35" ht="14.25" customHeight="1" x14ac:dyDescent="0.3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931</v>
      </c>
      <c r="O214" s="31">
        <v>1</v>
      </c>
      <c r="P214" s="31"/>
      <c r="Q214" s="30"/>
      <c r="S214" s="2">
        <f t="shared" si="99"/>
        <v>0</v>
      </c>
      <c r="T214" s="2">
        <f t="shared" si="100"/>
        <v>0</v>
      </c>
      <c r="U214" s="2">
        <f t="shared" si="101"/>
        <v>0</v>
      </c>
      <c r="V214" s="2">
        <f t="shared" si="102"/>
        <v>0</v>
      </c>
      <c r="W214" s="2">
        <f t="shared" si="103"/>
        <v>0</v>
      </c>
      <c r="X214" s="2">
        <f t="shared" si="104"/>
        <v>0</v>
      </c>
      <c r="Y214" s="2">
        <f t="shared" si="105"/>
        <v>0</v>
      </c>
      <c r="Z214" s="2">
        <f t="shared" si="106"/>
        <v>0</v>
      </c>
      <c r="AA214" s="2">
        <f t="shared" si="107"/>
        <v>0</v>
      </c>
      <c r="AB214" s="2">
        <f t="shared" si="108"/>
        <v>0</v>
      </c>
      <c r="AD214" s="2">
        <f t="shared" si="109"/>
        <v>0</v>
      </c>
      <c r="AE214" s="2">
        <f t="shared" si="110"/>
        <v>1</v>
      </c>
      <c r="AF214" s="2">
        <f t="shared" si="95"/>
        <v>0</v>
      </c>
      <c r="AG214" s="2">
        <f t="shared" si="96"/>
        <v>0</v>
      </c>
      <c r="AH214" s="2">
        <f t="shared" si="97"/>
        <v>0</v>
      </c>
      <c r="AI214" s="2">
        <f t="shared" si="98"/>
        <v>0</v>
      </c>
    </row>
    <row r="215" spans="1:35" ht="14.25" customHeight="1" x14ac:dyDescent="0.3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931</v>
      </c>
      <c r="O215" s="31">
        <v>1</v>
      </c>
      <c r="P215" s="31"/>
      <c r="Q215" s="30"/>
      <c r="S215" s="2">
        <f t="shared" si="99"/>
        <v>0</v>
      </c>
      <c r="T215" s="2">
        <f t="shared" si="100"/>
        <v>0</v>
      </c>
      <c r="U215" s="2">
        <f t="shared" si="101"/>
        <v>1</v>
      </c>
      <c r="V215" s="2">
        <f t="shared" si="102"/>
        <v>0</v>
      </c>
      <c r="W215" s="2">
        <f t="shared" si="103"/>
        <v>0</v>
      </c>
      <c r="X215" s="2">
        <f t="shared" si="104"/>
        <v>0</v>
      </c>
      <c r="Y215" s="2">
        <f t="shared" si="105"/>
        <v>0</v>
      </c>
      <c r="Z215" s="2">
        <f t="shared" si="106"/>
        <v>0</v>
      </c>
      <c r="AA215" s="2">
        <f t="shared" si="107"/>
        <v>0</v>
      </c>
      <c r="AB215" s="2">
        <f t="shared" si="108"/>
        <v>0</v>
      </c>
      <c r="AD215" s="2">
        <f t="shared" si="109"/>
        <v>0</v>
      </c>
      <c r="AE215" s="2">
        <f t="shared" si="110"/>
        <v>1</v>
      </c>
      <c r="AF215" s="2">
        <f t="shared" si="95"/>
        <v>0</v>
      </c>
      <c r="AG215" s="2">
        <f t="shared" si="96"/>
        <v>1</v>
      </c>
      <c r="AH215" s="2">
        <f t="shared" si="97"/>
        <v>0</v>
      </c>
      <c r="AI215" s="2">
        <f t="shared" si="98"/>
        <v>1</v>
      </c>
    </row>
    <row r="216" spans="1:35" ht="14.25" customHeight="1" x14ac:dyDescent="0.3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821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936</v>
      </c>
      <c r="O216" s="31">
        <v>1</v>
      </c>
      <c r="P216" s="31"/>
      <c r="Q216" s="30"/>
      <c r="S216" s="2">
        <f t="shared" si="99"/>
        <v>0</v>
      </c>
      <c r="T216" s="2">
        <f t="shared" si="100"/>
        <v>0</v>
      </c>
      <c r="U216" s="2">
        <f t="shared" si="101"/>
        <v>0</v>
      </c>
      <c r="V216" s="2">
        <f t="shared" si="102"/>
        <v>0</v>
      </c>
      <c r="W216" s="2">
        <f t="shared" si="103"/>
        <v>0</v>
      </c>
      <c r="X216" s="2">
        <f t="shared" si="104"/>
        <v>0</v>
      </c>
      <c r="Y216" s="2">
        <f t="shared" si="105"/>
        <v>0</v>
      </c>
      <c r="Z216" s="2">
        <f t="shared" si="106"/>
        <v>0</v>
      </c>
      <c r="AA216" s="2">
        <f t="shared" si="107"/>
        <v>0</v>
      </c>
      <c r="AB216" s="2">
        <f t="shared" si="108"/>
        <v>0</v>
      </c>
      <c r="AD216" s="2">
        <f t="shared" si="109"/>
        <v>0</v>
      </c>
      <c r="AE216" s="2">
        <f t="shared" si="110"/>
        <v>1</v>
      </c>
      <c r="AF216" s="2">
        <f t="shared" si="95"/>
        <v>0</v>
      </c>
      <c r="AG216" s="2">
        <f t="shared" si="96"/>
        <v>1</v>
      </c>
      <c r="AH216" s="2">
        <f t="shared" si="97"/>
        <v>0</v>
      </c>
      <c r="AI216" s="2">
        <f t="shared" si="98"/>
        <v>1</v>
      </c>
    </row>
    <row r="217" spans="1:35" ht="14.25" customHeight="1" x14ac:dyDescent="0.3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907</v>
      </c>
      <c r="O217" s="31">
        <v>1</v>
      </c>
      <c r="P217" s="31"/>
      <c r="Q217" s="30"/>
      <c r="S217" s="2">
        <f t="shared" si="99"/>
        <v>0</v>
      </c>
      <c r="T217" s="2">
        <f t="shared" si="100"/>
        <v>0</v>
      </c>
      <c r="U217" s="2">
        <f t="shared" si="101"/>
        <v>0</v>
      </c>
      <c r="V217" s="2">
        <f t="shared" si="102"/>
        <v>0</v>
      </c>
      <c r="W217" s="2">
        <f t="shared" si="103"/>
        <v>0</v>
      </c>
      <c r="X217" s="2">
        <f t="shared" si="104"/>
        <v>1</v>
      </c>
      <c r="Y217" s="2">
        <f t="shared" si="105"/>
        <v>0</v>
      </c>
      <c r="Z217" s="2">
        <f t="shared" si="106"/>
        <v>0</v>
      </c>
      <c r="AA217" s="2">
        <f t="shared" si="107"/>
        <v>0</v>
      </c>
      <c r="AB217" s="2">
        <f t="shared" si="108"/>
        <v>0</v>
      </c>
      <c r="AD217" s="2">
        <f t="shared" si="109"/>
        <v>0</v>
      </c>
      <c r="AE217" s="2">
        <f t="shared" si="110"/>
        <v>1</v>
      </c>
      <c r="AF217" s="2">
        <f t="shared" si="95"/>
        <v>0</v>
      </c>
      <c r="AG217" s="2">
        <f t="shared" si="96"/>
        <v>1</v>
      </c>
      <c r="AH217" s="2">
        <f t="shared" si="97"/>
        <v>0</v>
      </c>
      <c r="AI217" s="2">
        <f t="shared" si="98"/>
        <v>1</v>
      </c>
    </row>
    <row r="218" spans="1:35" ht="14.25" customHeight="1" x14ac:dyDescent="0.3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907</v>
      </c>
      <c r="O218" s="31">
        <v>1</v>
      </c>
      <c r="P218" s="31"/>
      <c r="Q218" s="30"/>
      <c r="S218" s="2">
        <f t="shared" si="99"/>
        <v>0</v>
      </c>
      <c r="T218" s="2">
        <f t="shared" si="100"/>
        <v>0</v>
      </c>
      <c r="U218" s="2">
        <f t="shared" si="101"/>
        <v>0</v>
      </c>
      <c r="V218" s="2">
        <f t="shared" si="102"/>
        <v>1</v>
      </c>
      <c r="W218" s="2">
        <f t="shared" si="103"/>
        <v>0</v>
      </c>
      <c r="X218" s="2">
        <f t="shared" si="104"/>
        <v>0</v>
      </c>
      <c r="Y218" s="2">
        <f t="shared" si="105"/>
        <v>0</v>
      </c>
      <c r="Z218" s="2">
        <f t="shared" si="106"/>
        <v>0</v>
      </c>
      <c r="AA218" s="2">
        <f t="shared" si="107"/>
        <v>0</v>
      </c>
      <c r="AB218" s="2">
        <f t="shared" si="108"/>
        <v>0</v>
      </c>
      <c r="AD218" s="2">
        <f t="shared" si="109"/>
        <v>0</v>
      </c>
      <c r="AE218" s="2">
        <f t="shared" si="110"/>
        <v>1</v>
      </c>
      <c r="AF218" s="2">
        <f t="shared" si="95"/>
        <v>0</v>
      </c>
      <c r="AG218" s="2">
        <f t="shared" si="96"/>
        <v>0</v>
      </c>
      <c r="AH218" s="2">
        <f t="shared" si="97"/>
        <v>0</v>
      </c>
      <c r="AI218" s="2">
        <f t="shared" si="98"/>
        <v>0</v>
      </c>
    </row>
    <row r="219" spans="1:35" ht="14.25" customHeight="1" x14ac:dyDescent="0.3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900</v>
      </c>
      <c r="O219" s="31">
        <v>1</v>
      </c>
      <c r="P219" s="31"/>
      <c r="Q219" s="30"/>
      <c r="S219" s="2">
        <f t="shared" si="99"/>
        <v>0</v>
      </c>
      <c r="T219" s="2">
        <f t="shared" si="100"/>
        <v>0</v>
      </c>
      <c r="U219" s="2">
        <f t="shared" si="101"/>
        <v>0</v>
      </c>
      <c r="V219" s="2">
        <f t="shared" si="102"/>
        <v>0</v>
      </c>
      <c r="W219" s="2">
        <f t="shared" si="103"/>
        <v>0</v>
      </c>
      <c r="X219" s="2">
        <f t="shared" si="104"/>
        <v>0</v>
      </c>
      <c r="Y219" s="2">
        <f t="shared" si="105"/>
        <v>0</v>
      </c>
      <c r="Z219" s="2">
        <f t="shared" si="106"/>
        <v>0</v>
      </c>
      <c r="AA219" s="2">
        <f t="shared" si="107"/>
        <v>0</v>
      </c>
      <c r="AB219" s="2">
        <f t="shared" si="108"/>
        <v>0</v>
      </c>
      <c r="AD219" s="2">
        <f t="shared" si="109"/>
        <v>0</v>
      </c>
      <c r="AE219" s="2">
        <f t="shared" si="110"/>
        <v>1</v>
      </c>
      <c r="AF219" s="2">
        <f t="shared" si="95"/>
        <v>0</v>
      </c>
      <c r="AG219" s="2">
        <f t="shared" si="96"/>
        <v>1</v>
      </c>
      <c r="AH219" s="2">
        <f t="shared" si="97"/>
        <v>0</v>
      </c>
      <c r="AI219" s="2">
        <f t="shared" si="98"/>
        <v>1</v>
      </c>
    </row>
    <row r="220" spans="1:35" ht="14.25" customHeight="1" x14ac:dyDescent="0.3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843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930</v>
      </c>
      <c r="O220" s="34"/>
      <c r="P220" s="34"/>
      <c r="Q220" s="33"/>
      <c r="S220" s="2">
        <f t="shared" si="99"/>
        <v>0</v>
      </c>
      <c r="T220" s="2">
        <f t="shared" si="100"/>
        <v>0</v>
      </c>
      <c r="U220" s="2">
        <f t="shared" si="101"/>
        <v>1</v>
      </c>
      <c r="V220" s="2">
        <f t="shared" si="102"/>
        <v>0</v>
      </c>
      <c r="W220" s="2">
        <f t="shared" si="103"/>
        <v>0</v>
      </c>
      <c r="X220" s="2">
        <f t="shared" si="104"/>
        <v>0</v>
      </c>
      <c r="Y220" s="2">
        <f t="shared" si="105"/>
        <v>0</v>
      </c>
      <c r="Z220" s="2">
        <f t="shared" si="106"/>
        <v>0</v>
      </c>
      <c r="AA220" s="2">
        <f t="shared" si="107"/>
        <v>0</v>
      </c>
      <c r="AB220" s="2">
        <f t="shared" si="108"/>
        <v>0</v>
      </c>
      <c r="AD220" s="2">
        <f t="shared" si="109"/>
        <v>0</v>
      </c>
      <c r="AE220" s="2">
        <f t="shared" si="110"/>
        <v>0</v>
      </c>
      <c r="AF220" s="2">
        <f t="shared" si="95"/>
        <v>0</v>
      </c>
      <c r="AG220" s="2">
        <f t="shared" si="96"/>
        <v>0</v>
      </c>
      <c r="AH220" s="2">
        <f t="shared" si="97"/>
        <v>0</v>
      </c>
      <c r="AI220" s="2">
        <f t="shared" si="98"/>
        <v>1</v>
      </c>
    </row>
    <row r="221" spans="1:35" ht="14.25" customHeight="1" x14ac:dyDescent="0.3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844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936</v>
      </c>
      <c r="O221" s="31">
        <v>1</v>
      </c>
      <c r="P221" s="31"/>
      <c r="Q221" s="30"/>
      <c r="S221" s="2">
        <f t="shared" si="99"/>
        <v>0</v>
      </c>
      <c r="T221" s="2">
        <f t="shared" si="100"/>
        <v>0</v>
      </c>
      <c r="U221" s="2">
        <f t="shared" si="101"/>
        <v>0</v>
      </c>
      <c r="V221" s="2">
        <f t="shared" si="102"/>
        <v>0</v>
      </c>
      <c r="W221" s="2">
        <f t="shared" si="103"/>
        <v>0</v>
      </c>
      <c r="X221" s="2">
        <f t="shared" si="104"/>
        <v>1</v>
      </c>
      <c r="Y221" s="2">
        <f t="shared" si="105"/>
        <v>0</v>
      </c>
      <c r="Z221" s="2">
        <f t="shared" si="106"/>
        <v>0</v>
      </c>
      <c r="AA221" s="2">
        <f t="shared" si="107"/>
        <v>0</v>
      </c>
      <c r="AB221" s="2">
        <f t="shared" si="108"/>
        <v>0</v>
      </c>
      <c r="AD221" s="2">
        <f t="shared" si="109"/>
        <v>0</v>
      </c>
      <c r="AE221" s="2">
        <f t="shared" si="110"/>
        <v>1</v>
      </c>
      <c r="AF221" s="2">
        <f t="shared" si="95"/>
        <v>0</v>
      </c>
      <c r="AG221" s="2">
        <f t="shared" si="96"/>
        <v>1</v>
      </c>
      <c r="AH221" s="2">
        <f t="shared" si="97"/>
        <v>0</v>
      </c>
      <c r="AI221" s="2">
        <f t="shared" si="98"/>
        <v>1</v>
      </c>
    </row>
    <row r="222" spans="1:35" ht="14.25" customHeight="1" x14ac:dyDescent="0.3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930</v>
      </c>
      <c r="O222" s="34"/>
      <c r="P222" s="34"/>
      <c r="Q222" s="33"/>
      <c r="S222" s="2">
        <f t="shared" si="99"/>
        <v>0</v>
      </c>
      <c r="T222" s="2">
        <f t="shared" si="100"/>
        <v>0</v>
      </c>
      <c r="U222" s="2">
        <f t="shared" si="101"/>
        <v>0</v>
      </c>
      <c r="V222" s="2">
        <f t="shared" si="102"/>
        <v>0</v>
      </c>
      <c r="W222" s="2">
        <f t="shared" si="103"/>
        <v>0</v>
      </c>
      <c r="X222" s="2">
        <f t="shared" si="104"/>
        <v>1</v>
      </c>
      <c r="Y222" s="2">
        <f t="shared" si="105"/>
        <v>0</v>
      </c>
      <c r="Z222" s="2">
        <f t="shared" si="106"/>
        <v>0</v>
      </c>
      <c r="AA222" s="2">
        <f t="shared" si="107"/>
        <v>0</v>
      </c>
      <c r="AB222" s="2">
        <f t="shared" si="108"/>
        <v>0</v>
      </c>
      <c r="AD222" s="2">
        <f t="shared" si="109"/>
        <v>0</v>
      </c>
      <c r="AE222" s="2">
        <f t="shared" si="110"/>
        <v>0</v>
      </c>
      <c r="AF222" s="2">
        <f t="shared" si="95"/>
        <v>0</v>
      </c>
      <c r="AG222" s="2">
        <f t="shared" si="96"/>
        <v>0</v>
      </c>
      <c r="AH222" s="2">
        <f t="shared" si="97"/>
        <v>0</v>
      </c>
      <c r="AI222" s="2">
        <f t="shared" si="98"/>
        <v>1</v>
      </c>
    </row>
    <row r="223" spans="1:35" ht="14.25" customHeight="1" x14ac:dyDescent="0.3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936</v>
      </c>
      <c r="O223" s="31">
        <v>1</v>
      </c>
      <c r="P223" s="31"/>
      <c r="Q223" s="30"/>
      <c r="S223" s="2">
        <f t="shared" si="99"/>
        <v>0</v>
      </c>
      <c r="T223" s="2">
        <f t="shared" si="100"/>
        <v>0</v>
      </c>
      <c r="U223" s="2">
        <f t="shared" si="101"/>
        <v>0</v>
      </c>
      <c r="V223" s="2">
        <f t="shared" si="102"/>
        <v>0</v>
      </c>
      <c r="W223" s="2">
        <f t="shared" si="103"/>
        <v>0</v>
      </c>
      <c r="X223" s="2">
        <f t="shared" si="104"/>
        <v>0</v>
      </c>
      <c r="Y223" s="2">
        <f t="shared" si="105"/>
        <v>0</v>
      </c>
      <c r="Z223" s="2">
        <f t="shared" si="106"/>
        <v>0</v>
      </c>
      <c r="AA223" s="2">
        <f t="shared" si="107"/>
        <v>0</v>
      </c>
      <c r="AB223" s="2">
        <f t="shared" si="108"/>
        <v>0</v>
      </c>
      <c r="AD223" s="2">
        <f t="shared" si="109"/>
        <v>0</v>
      </c>
      <c r="AE223" s="2">
        <f t="shared" si="110"/>
        <v>1</v>
      </c>
      <c r="AF223" s="2">
        <f t="shared" si="95"/>
        <v>0</v>
      </c>
      <c r="AG223" s="2">
        <f t="shared" si="96"/>
        <v>1</v>
      </c>
      <c r="AH223" s="2">
        <f t="shared" si="97"/>
        <v>0</v>
      </c>
      <c r="AI223" s="2">
        <f t="shared" si="98"/>
        <v>1</v>
      </c>
    </row>
    <row r="224" spans="1:35" ht="14.25" customHeight="1" x14ac:dyDescent="0.3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914</v>
      </c>
      <c r="O224" s="31">
        <v>1</v>
      </c>
      <c r="P224" s="31"/>
      <c r="Q224" s="30"/>
      <c r="S224" s="2">
        <f t="shared" si="99"/>
        <v>0</v>
      </c>
      <c r="T224" s="2">
        <f t="shared" si="100"/>
        <v>0</v>
      </c>
      <c r="U224" s="2">
        <f t="shared" si="101"/>
        <v>1</v>
      </c>
      <c r="V224" s="2">
        <f t="shared" si="102"/>
        <v>0</v>
      </c>
      <c r="W224" s="2">
        <f t="shared" si="103"/>
        <v>0</v>
      </c>
      <c r="X224" s="2">
        <f t="shared" si="104"/>
        <v>0</v>
      </c>
      <c r="Y224" s="2">
        <f t="shared" si="105"/>
        <v>0</v>
      </c>
      <c r="Z224" s="2">
        <f t="shared" si="106"/>
        <v>0</v>
      </c>
      <c r="AA224" s="2">
        <f t="shared" si="107"/>
        <v>0</v>
      </c>
      <c r="AB224" s="2">
        <f t="shared" si="108"/>
        <v>0</v>
      </c>
      <c r="AD224" s="2">
        <f t="shared" si="109"/>
        <v>0</v>
      </c>
      <c r="AE224" s="2">
        <f t="shared" si="110"/>
        <v>1</v>
      </c>
      <c r="AF224" s="2">
        <f t="shared" si="95"/>
        <v>0</v>
      </c>
      <c r="AG224" s="2">
        <f t="shared" si="96"/>
        <v>1</v>
      </c>
      <c r="AH224" s="2">
        <f t="shared" si="97"/>
        <v>0</v>
      </c>
      <c r="AI224" s="2">
        <f t="shared" si="98"/>
        <v>1</v>
      </c>
    </row>
    <row r="225" spans="1:35" ht="14.25" customHeight="1" x14ac:dyDescent="0.3">
      <c r="A225" s="29">
        <v>0</v>
      </c>
      <c r="B225" s="29">
        <v>2</v>
      </c>
      <c r="C225" s="29">
        <v>7</v>
      </c>
      <c r="D225" s="30" t="s">
        <v>918</v>
      </c>
      <c r="E225" s="30" t="s">
        <v>919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894</v>
      </c>
      <c r="O225" s="31">
        <v>1</v>
      </c>
      <c r="P225" s="31">
        <v>1</v>
      </c>
      <c r="Q225" s="30"/>
      <c r="S225" s="2">
        <f t="shared" si="99"/>
        <v>0</v>
      </c>
      <c r="T225" s="2">
        <f t="shared" si="100"/>
        <v>0</v>
      </c>
      <c r="U225" s="2">
        <f t="shared" si="101"/>
        <v>0</v>
      </c>
      <c r="V225" s="2">
        <f t="shared" si="102"/>
        <v>0</v>
      </c>
      <c r="W225" s="2">
        <f t="shared" si="103"/>
        <v>0</v>
      </c>
      <c r="X225" s="2">
        <f t="shared" si="104"/>
        <v>1</v>
      </c>
      <c r="Y225" s="2">
        <f t="shared" si="105"/>
        <v>0</v>
      </c>
      <c r="Z225" s="2">
        <f t="shared" si="106"/>
        <v>0</v>
      </c>
      <c r="AA225" s="2">
        <f t="shared" si="107"/>
        <v>0</v>
      </c>
      <c r="AB225" s="2">
        <f t="shared" si="108"/>
        <v>0</v>
      </c>
      <c r="AD225" s="2">
        <f t="shared" si="109"/>
        <v>1</v>
      </c>
      <c r="AE225" s="2">
        <f t="shared" si="110"/>
        <v>0</v>
      </c>
      <c r="AF225" s="2">
        <f t="shared" si="95"/>
        <v>1</v>
      </c>
      <c r="AG225" s="2">
        <f t="shared" si="96"/>
        <v>0</v>
      </c>
      <c r="AH225" s="2">
        <f t="shared" si="97"/>
        <v>1</v>
      </c>
      <c r="AI225" s="2">
        <f t="shared" si="98"/>
        <v>0</v>
      </c>
    </row>
    <row r="226" spans="1:35" ht="14.25" customHeight="1" x14ac:dyDescent="0.3">
      <c r="A226" s="29">
        <v>1</v>
      </c>
      <c r="B226" s="29">
        <v>2</v>
      </c>
      <c r="C226" s="29">
        <v>7</v>
      </c>
      <c r="D226" s="30" t="s">
        <v>918</v>
      </c>
      <c r="E226" s="30" t="s">
        <v>919</v>
      </c>
      <c r="F226" s="30" t="s">
        <v>920</v>
      </c>
      <c r="G226" s="30" t="s">
        <v>921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894</v>
      </c>
      <c r="O226" s="31">
        <v>1</v>
      </c>
      <c r="P226" s="31">
        <v>1</v>
      </c>
      <c r="Q226" s="30"/>
      <c r="S226" s="2">
        <f t="shared" si="99"/>
        <v>0</v>
      </c>
      <c r="T226" s="2">
        <f t="shared" si="100"/>
        <v>0</v>
      </c>
      <c r="U226" s="2">
        <f t="shared" si="101"/>
        <v>0</v>
      </c>
      <c r="V226" s="2">
        <f t="shared" si="102"/>
        <v>0</v>
      </c>
      <c r="W226" s="2">
        <f t="shared" si="103"/>
        <v>0</v>
      </c>
      <c r="X226" s="2">
        <f t="shared" si="104"/>
        <v>0</v>
      </c>
      <c r="Y226" s="2">
        <f t="shared" si="105"/>
        <v>0</v>
      </c>
      <c r="Z226" s="2">
        <f t="shared" si="106"/>
        <v>0</v>
      </c>
      <c r="AA226" s="2">
        <f t="shared" si="107"/>
        <v>0</v>
      </c>
      <c r="AB226" s="2">
        <f t="shared" si="108"/>
        <v>0</v>
      </c>
      <c r="AD226" s="2">
        <f t="shared" si="109"/>
        <v>1</v>
      </c>
      <c r="AE226" s="2">
        <f t="shared" si="110"/>
        <v>0</v>
      </c>
      <c r="AF226" s="2">
        <f t="shared" si="95"/>
        <v>0</v>
      </c>
      <c r="AG226" s="2">
        <f t="shared" si="96"/>
        <v>0</v>
      </c>
      <c r="AH226" s="2">
        <f t="shared" si="97"/>
        <v>0</v>
      </c>
      <c r="AI226" s="2">
        <f t="shared" si="98"/>
        <v>0</v>
      </c>
    </row>
    <row r="227" spans="1:35" ht="14.25" customHeight="1" x14ac:dyDescent="0.3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914</v>
      </c>
      <c r="O227" s="31">
        <v>1</v>
      </c>
      <c r="P227" s="31"/>
      <c r="Q227" s="30"/>
      <c r="S227" s="2">
        <f t="shared" si="99"/>
        <v>0</v>
      </c>
      <c r="T227" s="2">
        <f t="shared" si="100"/>
        <v>0</v>
      </c>
      <c r="U227" s="2">
        <f t="shared" si="101"/>
        <v>0</v>
      </c>
      <c r="V227" s="2">
        <f t="shared" si="102"/>
        <v>0</v>
      </c>
      <c r="W227" s="2">
        <f t="shared" si="103"/>
        <v>0</v>
      </c>
      <c r="X227" s="2">
        <f t="shared" si="104"/>
        <v>0</v>
      </c>
      <c r="Y227" s="2">
        <f t="shared" si="105"/>
        <v>0</v>
      </c>
      <c r="Z227" s="2">
        <f t="shared" si="106"/>
        <v>0</v>
      </c>
      <c r="AA227" s="2">
        <f t="shared" si="107"/>
        <v>1</v>
      </c>
      <c r="AB227" s="2">
        <f t="shared" si="108"/>
        <v>0</v>
      </c>
      <c r="AD227" s="2">
        <f t="shared" si="109"/>
        <v>0</v>
      </c>
      <c r="AE227" s="2">
        <f t="shared" si="110"/>
        <v>1</v>
      </c>
      <c r="AF227" s="2">
        <f t="shared" si="95"/>
        <v>0</v>
      </c>
      <c r="AG227" s="2">
        <f t="shared" si="96"/>
        <v>1</v>
      </c>
      <c r="AH227" s="2">
        <f t="shared" si="97"/>
        <v>0</v>
      </c>
      <c r="AI227" s="2">
        <f t="shared" si="98"/>
        <v>1</v>
      </c>
    </row>
    <row r="228" spans="1:35" ht="14.25" customHeight="1" x14ac:dyDescent="0.3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914</v>
      </c>
      <c r="O228" s="31">
        <v>1</v>
      </c>
      <c r="P228" s="31"/>
      <c r="Q228" s="30" t="s">
        <v>959</v>
      </c>
      <c r="S228" s="2">
        <f t="shared" si="99"/>
        <v>0</v>
      </c>
      <c r="T228" s="2">
        <f t="shared" si="100"/>
        <v>0</v>
      </c>
      <c r="U228" s="2">
        <f t="shared" si="101"/>
        <v>0</v>
      </c>
      <c r="V228" s="2">
        <f t="shared" si="102"/>
        <v>0</v>
      </c>
      <c r="W228" s="2">
        <f t="shared" si="103"/>
        <v>0</v>
      </c>
      <c r="X228" s="2">
        <f t="shared" si="104"/>
        <v>0</v>
      </c>
      <c r="Y228" s="2">
        <f t="shared" si="105"/>
        <v>0</v>
      </c>
      <c r="Z228" s="2">
        <f t="shared" si="106"/>
        <v>0</v>
      </c>
      <c r="AA228" s="2">
        <f t="shared" si="107"/>
        <v>1</v>
      </c>
      <c r="AB228" s="2">
        <f t="shared" si="108"/>
        <v>0</v>
      </c>
      <c r="AD228" s="2">
        <f t="shared" si="109"/>
        <v>0</v>
      </c>
      <c r="AE228" s="2">
        <f t="shared" si="110"/>
        <v>1</v>
      </c>
      <c r="AF228" s="2">
        <f t="shared" si="95"/>
        <v>0</v>
      </c>
      <c r="AG228" s="2">
        <f t="shared" si="96"/>
        <v>0</v>
      </c>
      <c r="AH228" s="2">
        <f t="shared" si="97"/>
        <v>0</v>
      </c>
      <c r="AI228" s="2">
        <f t="shared" si="98"/>
        <v>0</v>
      </c>
    </row>
    <row r="229" spans="1:35" ht="14.25" customHeight="1" x14ac:dyDescent="0.3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936</v>
      </c>
      <c r="O229" s="31">
        <v>1</v>
      </c>
      <c r="P229" s="31"/>
      <c r="Q229" s="30"/>
      <c r="S229" s="2">
        <f t="shared" si="99"/>
        <v>0</v>
      </c>
      <c r="T229" s="2">
        <f t="shared" si="100"/>
        <v>0</v>
      </c>
      <c r="U229" s="2">
        <f t="shared" si="101"/>
        <v>0</v>
      </c>
      <c r="V229" s="2">
        <f t="shared" si="102"/>
        <v>0</v>
      </c>
      <c r="W229" s="2">
        <f t="shared" si="103"/>
        <v>0</v>
      </c>
      <c r="X229" s="2">
        <f t="shared" si="104"/>
        <v>1</v>
      </c>
      <c r="Y229" s="2">
        <f t="shared" si="105"/>
        <v>0</v>
      </c>
      <c r="Z229" s="2">
        <f t="shared" si="106"/>
        <v>0</v>
      </c>
      <c r="AA229" s="2">
        <f t="shared" si="107"/>
        <v>0</v>
      </c>
      <c r="AB229" s="2">
        <f t="shared" si="108"/>
        <v>0</v>
      </c>
      <c r="AD229" s="2">
        <f t="shared" si="109"/>
        <v>0</v>
      </c>
      <c r="AE229" s="2">
        <f t="shared" si="110"/>
        <v>1</v>
      </c>
      <c r="AF229" s="2">
        <f t="shared" si="95"/>
        <v>0</v>
      </c>
      <c r="AG229" s="2">
        <f t="shared" si="96"/>
        <v>1</v>
      </c>
      <c r="AH229" s="2">
        <f t="shared" si="97"/>
        <v>0</v>
      </c>
      <c r="AI229" s="2">
        <f t="shared" si="98"/>
        <v>1</v>
      </c>
    </row>
    <row r="230" spans="1:35" ht="14.25" customHeight="1" x14ac:dyDescent="0.3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936</v>
      </c>
      <c r="O230" s="31">
        <v>1</v>
      </c>
      <c r="P230" s="31"/>
      <c r="Q230" s="30"/>
      <c r="S230" s="2">
        <f t="shared" si="99"/>
        <v>0</v>
      </c>
      <c r="T230" s="2">
        <f t="shared" si="100"/>
        <v>0</v>
      </c>
      <c r="U230" s="2">
        <f t="shared" si="101"/>
        <v>0</v>
      </c>
      <c r="V230" s="2">
        <f t="shared" si="102"/>
        <v>0</v>
      </c>
      <c r="W230" s="2">
        <f t="shared" si="103"/>
        <v>0</v>
      </c>
      <c r="X230" s="2">
        <f t="shared" si="104"/>
        <v>0</v>
      </c>
      <c r="Y230" s="2">
        <f t="shared" si="105"/>
        <v>1</v>
      </c>
      <c r="Z230" s="2">
        <f t="shared" si="106"/>
        <v>0</v>
      </c>
      <c r="AA230" s="2">
        <f t="shared" si="107"/>
        <v>0</v>
      </c>
      <c r="AB230" s="2">
        <f t="shared" si="108"/>
        <v>0</v>
      </c>
      <c r="AD230" s="2">
        <f t="shared" si="109"/>
        <v>0</v>
      </c>
      <c r="AE230" s="2">
        <f t="shared" si="110"/>
        <v>1</v>
      </c>
      <c r="AF230" s="2">
        <f t="shared" si="95"/>
        <v>0</v>
      </c>
      <c r="AG230" s="2">
        <f t="shared" si="96"/>
        <v>0</v>
      </c>
      <c r="AH230" s="2">
        <f t="shared" si="97"/>
        <v>0</v>
      </c>
      <c r="AI230" s="2">
        <f t="shared" si="98"/>
        <v>0</v>
      </c>
    </row>
    <row r="231" spans="1:35" ht="14.25" customHeight="1" x14ac:dyDescent="0.3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936</v>
      </c>
      <c r="O231" s="31">
        <v>1</v>
      </c>
      <c r="P231" s="31"/>
      <c r="Q231" s="30"/>
      <c r="S231" s="2">
        <f t="shared" ref="S231:S237" si="111">IF(J231=$S$7,1,0)</f>
        <v>0</v>
      </c>
      <c r="T231" s="2">
        <f t="shared" ref="T231:T237" si="112">IF(J231=$T$7,1,0)</f>
        <v>0</v>
      </c>
      <c r="U231" s="2">
        <f t="shared" ref="U231:U237" si="113">IF(J231=$U$7,1,0)</f>
        <v>0</v>
      </c>
      <c r="V231" s="2">
        <f t="shared" ref="V231:V237" si="114">IF(J231=$V$7,1,0)</f>
        <v>0</v>
      </c>
      <c r="W231" s="2">
        <f t="shared" ref="W231:W237" si="115">IF(J231=$W$7,1,0)</f>
        <v>0</v>
      </c>
      <c r="X231" s="2">
        <f t="shared" ref="X231:X237" si="116">IF(J231=$X$7,1,0)</f>
        <v>0</v>
      </c>
      <c r="Y231" s="2">
        <f t="shared" ref="Y231:Y237" si="117">IF(J231=$Y$7,1,0)</f>
        <v>0</v>
      </c>
      <c r="Z231" s="2">
        <f t="shared" ref="Z231:Z237" si="118">IF(J231=$Z$7,1,0)</f>
        <v>0</v>
      </c>
      <c r="AA231" s="2">
        <f t="shared" ref="AA231:AA237" si="119">IF(J231=$AA$7,1,0)</f>
        <v>0</v>
      </c>
      <c r="AB231" s="2">
        <f t="shared" ref="AB231:AB237" si="120">IF(J231=$AB$7,1,0)</f>
        <v>0</v>
      </c>
      <c r="AD231" s="2">
        <f t="shared" ref="AD231:AD237" si="121">+O231*P231</f>
        <v>0</v>
      </c>
      <c r="AE231" s="2">
        <f t="shared" ref="AE231:AE237" si="122">O231*(1-P231)</f>
        <v>1</v>
      </c>
      <c r="AF231" s="2">
        <f t="shared" ref="AF231:AF237" si="123">+O231*P231*(1-A231)</f>
        <v>0</v>
      </c>
      <c r="AG231" s="2">
        <f t="shared" ref="AG231:AG237" si="124">O231*(1-P231)*(1-A231)</f>
        <v>0</v>
      </c>
      <c r="AH231" s="2">
        <f t="shared" ref="AH231:AH237" si="125">+P231*(1-A231)</f>
        <v>0</v>
      </c>
      <c r="AI231" s="2">
        <f t="shared" ref="AI231:AI237" si="126">+(1-A231)*(1-P231)</f>
        <v>0</v>
      </c>
    </row>
    <row r="232" spans="1:35" ht="14.25" customHeight="1" x14ac:dyDescent="0.3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912</v>
      </c>
      <c r="O232" s="31">
        <v>1</v>
      </c>
      <c r="P232" s="31"/>
      <c r="Q232" s="30"/>
      <c r="S232" s="2">
        <f t="shared" si="111"/>
        <v>0</v>
      </c>
      <c r="T232" s="2">
        <f t="shared" si="112"/>
        <v>0</v>
      </c>
      <c r="U232" s="2">
        <f t="shared" si="113"/>
        <v>0</v>
      </c>
      <c r="V232" s="2">
        <f t="shared" si="114"/>
        <v>0</v>
      </c>
      <c r="W232" s="2">
        <f t="shared" si="115"/>
        <v>0</v>
      </c>
      <c r="X232" s="2">
        <f t="shared" si="116"/>
        <v>0</v>
      </c>
      <c r="Y232" s="2">
        <f t="shared" si="117"/>
        <v>0</v>
      </c>
      <c r="Z232" s="2">
        <f t="shared" si="118"/>
        <v>0</v>
      </c>
      <c r="AA232" s="2">
        <f t="shared" si="119"/>
        <v>0</v>
      </c>
      <c r="AB232" s="2">
        <f t="shared" si="120"/>
        <v>0</v>
      </c>
      <c r="AD232" s="2">
        <f t="shared" si="121"/>
        <v>0</v>
      </c>
      <c r="AE232" s="2">
        <f t="shared" si="122"/>
        <v>1</v>
      </c>
      <c r="AF232" s="2">
        <f t="shared" si="123"/>
        <v>0</v>
      </c>
      <c r="AG232" s="2">
        <f t="shared" si="124"/>
        <v>1</v>
      </c>
      <c r="AH232" s="2">
        <f t="shared" si="125"/>
        <v>0</v>
      </c>
      <c r="AI232" s="2">
        <f t="shared" si="126"/>
        <v>1</v>
      </c>
    </row>
    <row r="233" spans="1:35" ht="14.25" customHeight="1" x14ac:dyDescent="0.3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912</v>
      </c>
      <c r="O233" s="31">
        <v>1</v>
      </c>
      <c r="P233" s="31"/>
      <c r="Q233" s="30"/>
      <c r="S233" s="2">
        <f t="shared" si="111"/>
        <v>0</v>
      </c>
      <c r="T233" s="2">
        <f t="shared" si="112"/>
        <v>0</v>
      </c>
      <c r="U233" s="2">
        <f t="shared" si="113"/>
        <v>0</v>
      </c>
      <c r="V233" s="2">
        <f t="shared" si="114"/>
        <v>0</v>
      </c>
      <c r="W233" s="2">
        <f t="shared" si="115"/>
        <v>0</v>
      </c>
      <c r="X233" s="2">
        <f t="shared" si="116"/>
        <v>0</v>
      </c>
      <c r="Y233" s="2">
        <f t="shared" si="117"/>
        <v>0</v>
      </c>
      <c r="Z233" s="2">
        <f t="shared" si="118"/>
        <v>0</v>
      </c>
      <c r="AA233" s="2">
        <f t="shared" si="119"/>
        <v>0</v>
      </c>
      <c r="AB233" s="2">
        <f t="shared" si="120"/>
        <v>0</v>
      </c>
      <c r="AD233" s="2">
        <f t="shared" si="121"/>
        <v>0</v>
      </c>
      <c r="AE233" s="2">
        <f t="shared" si="122"/>
        <v>1</v>
      </c>
      <c r="AF233" s="2">
        <f t="shared" si="123"/>
        <v>0</v>
      </c>
      <c r="AG233" s="2">
        <f t="shared" si="124"/>
        <v>0</v>
      </c>
      <c r="AH233" s="2">
        <f t="shared" si="125"/>
        <v>0</v>
      </c>
      <c r="AI233" s="2">
        <f t="shared" si="126"/>
        <v>0</v>
      </c>
    </row>
    <row r="234" spans="1:35" ht="14.25" customHeight="1" x14ac:dyDescent="0.3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914</v>
      </c>
      <c r="O234" s="31">
        <v>1</v>
      </c>
      <c r="P234" s="31"/>
      <c r="Q234" s="30"/>
      <c r="S234" s="2">
        <f t="shared" si="111"/>
        <v>0</v>
      </c>
      <c r="T234" s="2">
        <f t="shared" si="112"/>
        <v>0</v>
      </c>
      <c r="U234" s="2">
        <f t="shared" si="113"/>
        <v>0</v>
      </c>
      <c r="V234" s="2">
        <f t="shared" si="114"/>
        <v>0</v>
      </c>
      <c r="W234" s="2">
        <f t="shared" si="115"/>
        <v>1</v>
      </c>
      <c r="X234" s="2">
        <f t="shared" si="116"/>
        <v>0</v>
      </c>
      <c r="Y234" s="2">
        <f t="shared" si="117"/>
        <v>0</v>
      </c>
      <c r="Z234" s="2">
        <f t="shared" si="118"/>
        <v>0</v>
      </c>
      <c r="AA234" s="2">
        <f t="shared" si="119"/>
        <v>0</v>
      </c>
      <c r="AB234" s="2">
        <f t="shared" si="120"/>
        <v>0</v>
      </c>
      <c r="AD234" s="2">
        <f t="shared" si="121"/>
        <v>0</v>
      </c>
      <c r="AE234" s="2">
        <f t="shared" si="122"/>
        <v>1</v>
      </c>
      <c r="AF234" s="2">
        <f t="shared" si="123"/>
        <v>0</v>
      </c>
      <c r="AG234" s="2">
        <f t="shared" si="124"/>
        <v>1</v>
      </c>
      <c r="AH234" s="2">
        <f t="shared" si="125"/>
        <v>0</v>
      </c>
      <c r="AI234" s="2">
        <f t="shared" si="126"/>
        <v>1</v>
      </c>
    </row>
    <row r="235" spans="1:35" ht="14.25" customHeight="1" x14ac:dyDescent="0.3">
      <c r="A235" s="32">
        <v>0</v>
      </c>
      <c r="B235" s="32">
        <v>2</v>
      </c>
      <c r="C235" s="32">
        <v>7</v>
      </c>
      <c r="D235" s="33" t="s">
        <v>59</v>
      </c>
      <c r="E235" s="33" t="s">
        <v>87</v>
      </c>
      <c r="F235" s="33" t="s">
        <v>351</v>
      </c>
      <c r="G235" s="33" t="s">
        <v>103</v>
      </c>
      <c r="H235" s="33" t="s">
        <v>165</v>
      </c>
      <c r="I235" s="32" t="s">
        <v>350</v>
      </c>
      <c r="J235" s="32">
        <v>6</v>
      </c>
      <c r="K235" s="32" t="s">
        <v>320</v>
      </c>
      <c r="L235" s="32" t="s">
        <v>336</v>
      </c>
      <c r="M235" s="33" t="s">
        <v>275</v>
      </c>
      <c r="N235" s="33" t="s">
        <v>901</v>
      </c>
      <c r="O235" s="34"/>
      <c r="P235" s="34"/>
      <c r="Q235" s="33"/>
      <c r="S235" s="2">
        <f t="shared" si="111"/>
        <v>0</v>
      </c>
      <c r="T235" s="2">
        <f t="shared" si="112"/>
        <v>0</v>
      </c>
      <c r="U235" s="2">
        <f t="shared" si="113"/>
        <v>0</v>
      </c>
      <c r="V235" s="2">
        <f t="shared" si="114"/>
        <v>0</v>
      </c>
      <c r="W235" s="2">
        <f t="shared" si="115"/>
        <v>0</v>
      </c>
      <c r="X235" s="2">
        <f t="shared" si="116"/>
        <v>1</v>
      </c>
      <c r="Y235" s="2">
        <f t="shared" si="117"/>
        <v>0</v>
      </c>
      <c r="Z235" s="2">
        <f t="shared" si="118"/>
        <v>0</v>
      </c>
      <c r="AA235" s="2">
        <f t="shared" si="119"/>
        <v>0</v>
      </c>
      <c r="AB235" s="2">
        <f t="shared" si="120"/>
        <v>0</v>
      </c>
      <c r="AD235" s="2">
        <f t="shared" si="121"/>
        <v>0</v>
      </c>
      <c r="AE235" s="2">
        <f t="shared" si="122"/>
        <v>0</v>
      </c>
      <c r="AF235" s="2">
        <f t="shared" si="123"/>
        <v>0</v>
      </c>
      <c r="AG235" s="2">
        <f t="shared" si="124"/>
        <v>0</v>
      </c>
      <c r="AH235" s="2">
        <f t="shared" si="125"/>
        <v>0</v>
      </c>
      <c r="AI235" s="2">
        <f t="shared" si="126"/>
        <v>1</v>
      </c>
    </row>
    <row r="236" spans="1:35" ht="14.25" customHeight="1" x14ac:dyDescent="0.3">
      <c r="A236" s="32">
        <v>1</v>
      </c>
      <c r="B236" s="32">
        <v>2</v>
      </c>
      <c r="C236" s="32">
        <v>7</v>
      </c>
      <c r="D236" s="33" t="s">
        <v>59</v>
      </c>
      <c r="E236" s="33" t="s">
        <v>87</v>
      </c>
      <c r="F236" s="33" t="s">
        <v>123</v>
      </c>
      <c r="G236" s="33" t="s">
        <v>124</v>
      </c>
      <c r="H236" s="33" t="s">
        <v>165</v>
      </c>
      <c r="I236" s="32" t="s">
        <v>180</v>
      </c>
      <c r="J236" s="32">
        <v>7</v>
      </c>
      <c r="K236" s="32" t="s">
        <v>320</v>
      </c>
      <c r="L236" s="32" t="s">
        <v>336</v>
      </c>
      <c r="M236" s="33" t="s">
        <v>275</v>
      </c>
      <c r="N236" s="33" t="s">
        <v>901</v>
      </c>
      <c r="O236" s="34"/>
      <c r="P236" s="34"/>
      <c r="Q236" s="33"/>
      <c r="S236" s="2">
        <f t="shared" si="111"/>
        <v>0</v>
      </c>
      <c r="T236" s="2">
        <f t="shared" si="112"/>
        <v>0</v>
      </c>
      <c r="U236" s="2">
        <f t="shared" si="113"/>
        <v>0</v>
      </c>
      <c r="V236" s="2">
        <f t="shared" si="114"/>
        <v>0</v>
      </c>
      <c r="W236" s="2">
        <f t="shared" si="115"/>
        <v>0</v>
      </c>
      <c r="X236" s="2">
        <f t="shared" si="116"/>
        <v>0</v>
      </c>
      <c r="Y236" s="2">
        <f t="shared" si="117"/>
        <v>1</v>
      </c>
      <c r="Z236" s="2">
        <f t="shared" si="118"/>
        <v>0</v>
      </c>
      <c r="AA236" s="2">
        <f t="shared" si="119"/>
        <v>0</v>
      </c>
      <c r="AB236" s="2">
        <f t="shared" si="120"/>
        <v>0</v>
      </c>
      <c r="AD236" s="2">
        <f t="shared" si="121"/>
        <v>0</v>
      </c>
      <c r="AE236" s="2">
        <f t="shared" si="122"/>
        <v>0</v>
      </c>
      <c r="AF236" s="2">
        <f t="shared" si="123"/>
        <v>0</v>
      </c>
      <c r="AG236" s="2">
        <f t="shared" si="124"/>
        <v>0</v>
      </c>
      <c r="AH236" s="2">
        <f t="shared" si="125"/>
        <v>0</v>
      </c>
      <c r="AI236" s="2">
        <f t="shared" si="126"/>
        <v>0</v>
      </c>
    </row>
    <row r="237" spans="1:35" ht="14.25" customHeight="1" x14ac:dyDescent="0.3">
      <c r="A237" s="32">
        <v>1</v>
      </c>
      <c r="B237" s="32">
        <v>2</v>
      </c>
      <c r="C237" s="32">
        <v>7</v>
      </c>
      <c r="D237" s="33" t="s">
        <v>59</v>
      </c>
      <c r="E237" s="33" t="s">
        <v>87</v>
      </c>
      <c r="F237" s="33" t="s">
        <v>348</v>
      </c>
      <c r="G237" s="33" t="s">
        <v>93</v>
      </c>
      <c r="H237" s="33" t="s">
        <v>165</v>
      </c>
      <c r="I237" s="32" t="s">
        <v>349</v>
      </c>
      <c r="J237" s="32">
        <v>8</v>
      </c>
      <c r="K237" s="32" t="s">
        <v>320</v>
      </c>
      <c r="L237" s="32" t="s">
        <v>336</v>
      </c>
      <c r="M237" s="33" t="s">
        <v>275</v>
      </c>
      <c r="N237" s="33" t="s">
        <v>901</v>
      </c>
      <c r="O237" s="34"/>
      <c r="P237" s="34"/>
      <c r="Q237" s="33"/>
      <c r="S237" s="2">
        <f t="shared" si="111"/>
        <v>0</v>
      </c>
      <c r="T237" s="2">
        <f t="shared" si="112"/>
        <v>0</v>
      </c>
      <c r="U237" s="2">
        <f t="shared" si="113"/>
        <v>0</v>
      </c>
      <c r="V237" s="2">
        <f t="shared" si="114"/>
        <v>0</v>
      </c>
      <c r="W237" s="2">
        <f t="shared" si="115"/>
        <v>0</v>
      </c>
      <c r="X237" s="2">
        <f t="shared" si="116"/>
        <v>0</v>
      </c>
      <c r="Y237" s="2">
        <f t="shared" si="117"/>
        <v>0</v>
      </c>
      <c r="Z237" s="2">
        <f t="shared" si="118"/>
        <v>1</v>
      </c>
      <c r="AA237" s="2">
        <f t="shared" si="119"/>
        <v>0</v>
      </c>
      <c r="AB237" s="2">
        <f t="shared" si="120"/>
        <v>0</v>
      </c>
      <c r="AD237" s="2">
        <f t="shared" si="121"/>
        <v>0</v>
      </c>
      <c r="AE237" s="2">
        <f t="shared" si="122"/>
        <v>0</v>
      </c>
      <c r="AF237" s="2">
        <f t="shared" si="123"/>
        <v>0</v>
      </c>
      <c r="AG237" s="2">
        <f t="shared" si="124"/>
        <v>0</v>
      </c>
      <c r="AH237" s="2">
        <f t="shared" si="125"/>
        <v>0</v>
      </c>
      <c r="AI237" s="2">
        <f t="shared" si="126"/>
        <v>0</v>
      </c>
    </row>
    <row r="238" spans="1:35" ht="14.25" customHeight="1" x14ac:dyDescent="0.3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3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3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3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3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3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3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3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3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3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3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3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3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3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3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3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3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3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3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3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3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3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3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3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3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3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3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3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3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3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3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3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3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3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3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3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3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3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3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3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3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3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3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3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3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3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3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3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3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3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3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3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3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3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3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3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3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3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3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3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3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3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3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3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3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3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3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3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3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3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3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3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3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3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3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3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3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3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3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3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3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3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3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3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3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3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3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3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3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3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3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3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3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3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3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3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3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3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3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3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3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3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3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3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3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3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3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3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3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3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3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3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3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3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3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3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3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3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3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3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3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3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3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3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3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3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3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3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3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3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3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3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3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3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3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3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3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3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3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3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3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3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3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3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3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3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3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3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3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3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3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3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3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3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3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3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3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3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3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3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3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3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3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3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3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3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3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3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3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3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3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3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3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3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3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3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3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3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3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3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3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3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3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3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3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3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3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3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3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3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3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3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3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3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3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3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3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3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3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3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3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3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2026-08-07T12:47:14Z</dcterms:modified>
</cp:coreProperties>
</file>