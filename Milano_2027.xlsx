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94B09FB-147C-4F8B-A9EB-1BE8A0FCD084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golose'!$A$7:$AI$239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<sst xmlns="http://schemas.openxmlformats.org/spreadsheetml/2006/main" count="2231" uniqueCount="1007">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</sst>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8" activePane="bottomLeft" state="frozen"/>
      <selection pane="bottomLeft" activeCell="A11" sqref="A11:XFD1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65</v>
      </c>
      <c r="G3" s="7">
        <f>+AF6</f>
        <v>50</v>
      </c>
      <c r="H3" s="7">
        <f>+E3-G3</f>
        <v>2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110</v>
      </c>
      <c r="G4" s="9">
        <f>+AG6</f>
        <v>87</v>
      </c>
      <c r="H4" s="7">
        <f>+E4-G4</f>
        <v>54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175</v>
      </c>
      <c r="G5" s="11">
        <f>+G3+G4</f>
        <v>137</v>
      </c>
      <c r="H5" s="11">
        <f>+H3+H4</f>
        <v>56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65</v>
      </c>
      <c r="AE6" s="2">
        <f t="shared" si="1"/>
        <v>110</v>
      </c>
      <c r="AF6" s="2">
        <f t="shared" si="1"/>
        <v>50</v>
      </c>
      <c r="AG6" s="2">
        <f t="shared" si="1"/>
        <v>87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945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s="3" customFormat="1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R10" s="2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s="3" customFormat="1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180</v>
      </c>
      <c r="M11" s="30" t="s">
        <v>206</v>
      </c>
      <c r="N11" s="30" t="s">
        <v>902</v>
      </c>
      <c r="O11" s="31">
        <v>1</v>
      </c>
      <c r="P11" s="31"/>
      <c r="Q11" s="30"/>
      <c r="R11" s="2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C11" s="2"/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803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867</v>
      </c>
      <c r="N13" s="33" t="s">
        <v>883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852</v>
      </c>
      <c r="M15" s="33" t="s">
        <v>731</v>
      </c>
      <c r="N15" s="33" t="s">
        <v>917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919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924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1003</v>
      </c>
      <c r="E23" s="30" t="s">
        <v>1004</v>
      </c>
      <c r="F23" s="30" t="s">
        <v>1005</v>
      </c>
      <c r="G23" s="30" t="s">
        <v>91</v>
      </c>
      <c r="H23" s="30" t="s">
        <v>165</v>
      </c>
      <c r="I23" s="29" t="s">
        <v>33</v>
      </c>
      <c r="J23" s="29"/>
      <c r="K23" s="29" t="s">
        <v>376</v>
      </c>
      <c r="L23" s="29"/>
      <c r="M23" s="30"/>
      <c r="N23" s="30" t="s">
        <v>882</v>
      </c>
      <c r="O23" s="31">
        <v>1</v>
      </c>
      <c r="P23" s="31">
        <v>1</v>
      </c>
      <c r="Q23" s="30" t="s">
        <v>1006</v>
      </c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1</v>
      </c>
      <c r="AE23" s="2">
        <f t="shared" si="18"/>
        <v>0</v>
      </c>
      <c r="AF23" s="2">
        <f t="shared" si="19"/>
        <v>1</v>
      </c>
      <c r="AG23" s="2">
        <f t="shared" si="20"/>
        <v>0</v>
      </c>
      <c r="AH23" s="2">
        <f t="shared" si="21"/>
        <v>1</v>
      </c>
      <c r="AI23" s="2">
        <f t="shared" si="22"/>
        <v>0</v>
      </c>
    </row>
    <row r="24" spans="1:35" ht="14.25" customHeight="1" x14ac:dyDescent="0.25">
      <c r="A24" s="29">
        <v>0</v>
      </c>
      <c r="B24" s="29">
        <v>1</v>
      </c>
      <c r="C24" s="29">
        <v>2</v>
      </c>
      <c r="D24" s="30" t="s">
        <v>75</v>
      </c>
      <c r="E24" s="30" t="s">
        <v>263</v>
      </c>
      <c r="F24" s="30" t="s">
        <v>156</v>
      </c>
      <c r="G24" s="30" t="s">
        <v>157</v>
      </c>
      <c r="H24" s="30" t="s">
        <v>165</v>
      </c>
      <c r="I24" s="29" t="s">
        <v>833</v>
      </c>
      <c r="J24" s="29">
        <v>99</v>
      </c>
      <c r="K24" s="29" t="s">
        <v>325</v>
      </c>
      <c r="L24" s="29">
        <v>45</v>
      </c>
      <c r="M24" s="30" t="s">
        <v>893</v>
      </c>
      <c r="N24" s="30" t="s">
        <v>919</v>
      </c>
      <c r="O24" s="31">
        <v>1</v>
      </c>
      <c r="P24" s="31"/>
      <c r="Q24" s="30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32">
        <v>0</v>
      </c>
      <c r="B25" s="32">
        <v>1</v>
      </c>
      <c r="C25" s="32">
        <v>2</v>
      </c>
      <c r="D25" s="33" t="s">
        <v>523</v>
      </c>
      <c r="E25" s="33" t="s">
        <v>263</v>
      </c>
      <c r="F25" s="33" t="s">
        <v>524</v>
      </c>
      <c r="G25" s="33" t="s">
        <v>154</v>
      </c>
      <c r="H25" s="33" t="s">
        <v>165</v>
      </c>
      <c r="I25" s="32" t="s">
        <v>525</v>
      </c>
      <c r="J25" s="32">
        <v>99</v>
      </c>
      <c r="K25" s="32" t="s">
        <v>330</v>
      </c>
      <c r="L25" s="32" t="s">
        <v>848</v>
      </c>
      <c r="M25" s="33" t="s">
        <v>733</v>
      </c>
      <c r="N25" s="33" t="s">
        <v>889</v>
      </c>
      <c r="O25" s="34"/>
      <c r="P25" s="34"/>
      <c r="Q25" s="3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404</v>
      </c>
      <c r="E26" s="21" t="s">
        <v>263</v>
      </c>
      <c r="F26" s="21" t="s">
        <v>405</v>
      </c>
      <c r="G26" s="21" t="s">
        <v>403</v>
      </c>
      <c r="H26" s="21" t="s">
        <v>165</v>
      </c>
      <c r="I26" s="20" t="s">
        <v>406</v>
      </c>
      <c r="J26" s="20">
        <v>99</v>
      </c>
      <c r="K26" s="20" t="s">
        <v>329</v>
      </c>
      <c r="L26" s="20" t="s">
        <v>848</v>
      </c>
      <c r="M26" s="21" t="s">
        <v>774</v>
      </c>
      <c r="N26" s="21"/>
      <c r="O26" s="7"/>
      <c r="P26" s="7"/>
      <c r="Q26" s="21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19"/>
        <v>0</v>
      </c>
      <c r="AG26" s="2">
        <f t="shared" si="20"/>
        <v>0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382</v>
      </c>
      <c r="E27" s="30" t="s">
        <v>262</v>
      </c>
      <c r="F27" s="30" t="s">
        <v>383</v>
      </c>
      <c r="G27" s="30" t="s">
        <v>585</v>
      </c>
      <c r="H27" s="30" t="s">
        <v>165</v>
      </c>
      <c r="I27" s="29" t="s">
        <v>384</v>
      </c>
      <c r="J27" s="29">
        <v>99</v>
      </c>
      <c r="K27" s="29" t="s">
        <v>376</v>
      </c>
      <c r="L27" s="29">
        <v>40</v>
      </c>
      <c r="M27" s="30" t="s">
        <v>206</v>
      </c>
      <c r="N27" s="30" t="s">
        <v>897</v>
      </c>
      <c r="O27" s="31">
        <v>1</v>
      </c>
      <c r="P27" s="31"/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0</v>
      </c>
      <c r="AE27" s="2">
        <f t="shared" si="18"/>
        <v>1</v>
      </c>
      <c r="AF27" s="2">
        <f t="shared" si="19"/>
        <v>0</v>
      </c>
      <c r="AG27" s="2">
        <f t="shared" si="20"/>
        <v>1</v>
      </c>
      <c r="AH27" s="2">
        <f t="shared" si="21"/>
        <v>0</v>
      </c>
      <c r="AI27" s="2">
        <f t="shared" si="22"/>
        <v>1</v>
      </c>
    </row>
    <row r="28" spans="1:35" ht="14.25" customHeight="1" x14ac:dyDescent="0.25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882</v>
      </c>
      <c r="O28" s="31">
        <v>1</v>
      </c>
      <c r="P28" s="31">
        <v>1</v>
      </c>
      <c r="Q28" s="30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1</v>
      </c>
      <c r="AE28" s="2">
        <f t="shared" si="18"/>
        <v>0</v>
      </c>
      <c r="AF28" s="2">
        <f t="shared" si="19"/>
        <v>1</v>
      </c>
      <c r="AG28" s="2">
        <f t="shared" si="20"/>
        <v>0</v>
      </c>
      <c r="AH28" s="2">
        <f t="shared" si="21"/>
        <v>1</v>
      </c>
      <c r="AI28" s="2">
        <f t="shared" si="22"/>
        <v>0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883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32">
        <v>0</v>
      </c>
      <c r="B30" s="32">
        <v>1</v>
      </c>
      <c r="C30" s="32">
        <v>2</v>
      </c>
      <c r="D30" s="33" t="s">
        <v>433</v>
      </c>
      <c r="E30" s="33" t="s">
        <v>262</v>
      </c>
      <c r="F30" s="33" t="s">
        <v>432</v>
      </c>
      <c r="G30" s="33" t="s">
        <v>125</v>
      </c>
      <c r="H30" s="33" t="s">
        <v>165</v>
      </c>
      <c r="I30" s="32" t="s">
        <v>434</v>
      </c>
      <c r="J30" s="32">
        <v>99</v>
      </c>
      <c r="K30" s="32" t="s">
        <v>376</v>
      </c>
      <c r="L30" s="32">
        <v>150</v>
      </c>
      <c r="M30" s="33" t="s">
        <v>868</v>
      </c>
      <c r="N30" s="33" t="s">
        <v>886</v>
      </c>
      <c r="O30" s="34"/>
      <c r="P30" s="34"/>
      <c r="Q30" s="33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363</v>
      </c>
      <c r="G31" s="30" t="s">
        <v>40</v>
      </c>
      <c r="H31" s="30" t="s">
        <v>165</v>
      </c>
      <c r="I31" s="29" t="s">
        <v>369</v>
      </c>
      <c r="J31" s="29">
        <v>99</v>
      </c>
      <c r="K31" s="29" t="s">
        <v>322</v>
      </c>
      <c r="L31" s="29">
        <v>90</v>
      </c>
      <c r="M31" s="30" t="s">
        <v>894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9">
        <v>0</v>
      </c>
      <c r="B32" s="29">
        <v>1</v>
      </c>
      <c r="C32" s="29">
        <v>2</v>
      </c>
      <c r="D32" s="30" t="s">
        <v>219</v>
      </c>
      <c r="E32" s="30" t="s">
        <v>263</v>
      </c>
      <c r="F32" s="30" t="s">
        <v>220</v>
      </c>
      <c r="G32" s="30" t="s">
        <v>103</v>
      </c>
      <c r="H32" s="30" t="s">
        <v>165</v>
      </c>
      <c r="I32" s="29" t="s">
        <v>221</v>
      </c>
      <c r="J32" s="29">
        <v>6</v>
      </c>
      <c r="K32" s="29" t="s">
        <v>326</v>
      </c>
      <c r="L32" s="29" t="s">
        <v>343</v>
      </c>
      <c r="M32" s="30" t="s">
        <v>344</v>
      </c>
      <c r="N32" s="30" t="s">
        <v>890</v>
      </c>
      <c r="O32" s="31">
        <v>1</v>
      </c>
      <c r="P32" s="31"/>
      <c r="Q32" s="30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0</v>
      </c>
      <c r="W32" s="2">
        <f t="shared" si="11"/>
        <v>0</v>
      </c>
      <c r="X32" s="2">
        <f t="shared" si="12"/>
        <v>1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0">
        <v>0</v>
      </c>
      <c r="B33" s="20">
        <v>1</v>
      </c>
      <c r="C33" s="20">
        <v>2</v>
      </c>
      <c r="D33" s="21" t="s">
        <v>795</v>
      </c>
      <c r="E33" s="21" t="s">
        <v>262</v>
      </c>
      <c r="F33" s="21" t="s">
        <v>748</v>
      </c>
      <c r="G33" s="21" t="s">
        <v>684</v>
      </c>
      <c r="H33" s="21" t="s">
        <v>165</v>
      </c>
      <c r="I33" s="20" t="s">
        <v>838</v>
      </c>
      <c r="J33" s="20">
        <v>4</v>
      </c>
      <c r="K33" s="20" t="s">
        <v>326</v>
      </c>
      <c r="L33" s="20">
        <v>130</v>
      </c>
      <c r="M33" s="21" t="s">
        <v>869</v>
      </c>
      <c r="N33" s="21"/>
      <c r="O33" s="7"/>
      <c r="P33" s="7"/>
      <c r="Q33" s="21"/>
      <c r="R33" s="2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1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0</v>
      </c>
      <c r="AE33" s="2">
        <f t="shared" si="18"/>
        <v>0</v>
      </c>
      <c r="AF33" s="2">
        <f t="shared" si="19"/>
        <v>0</v>
      </c>
      <c r="AG33" s="2">
        <f t="shared" si="20"/>
        <v>0</v>
      </c>
      <c r="AH33" s="2">
        <f t="shared" si="21"/>
        <v>0</v>
      </c>
      <c r="AI33" s="2">
        <f t="shared" si="22"/>
        <v>1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413</v>
      </c>
      <c r="E34" s="30" t="s">
        <v>262</v>
      </c>
      <c r="F34" s="30" t="s">
        <v>414</v>
      </c>
      <c r="G34" s="30" t="s">
        <v>96</v>
      </c>
      <c r="H34" s="30" t="s">
        <v>165</v>
      </c>
      <c r="I34" s="29" t="s">
        <v>415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882</v>
      </c>
      <c r="O34" s="31">
        <v>1</v>
      </c>
      <c r="P34" s="31">
        <v>1</v>
      </c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1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1</v>
      </c>
      <c r="AE34" s="2">
        <f t="shared" si="18"/>
        <v>0</v>
      </c>
      <c r="AF34" s="2">
        <f t="shared" si="19"/>
        <v>1</v>
      </c>
      <c r="AG34" s="2">
        <f t="shared" si="20"/>
        <v>0</v>
      </c>
      <c r="AH34" s="2">
        <f t="shared" si="21"/>
        <v>1</v>
      </c>
      <c r="AI34" s="2">
        <f t="shared" si="22"/>
        <v>0</v>
      </c>
    </row>
    <row r="35" spans="1:16384" s="3" customFormat="1" ht="14.25" customHeight="1" x14ac:dyDescent="0.25">
      <c r="A35" s="29">
        <v>0</v>
      </c>
      <c r="B35" s="29">
        <v>1</v>
      </c>
      <c r="C35" s="29">
        <v>2</v>
      </c>
      <c r="D35" s="30" t="s">
        <v>630</v>
      </c>
      <c r="E35" s="30" t="s">
        <v>262</v>
      </c>
      <c r="F35" s="30" t="s">
        <v>686</v>
      </c>
      <c r="G35" s="30" t="s">
        <v>93</v>
      </c>
      <c r="H35" s="30" t="s">
        <v>165</v>
      </c>
      <c r="I35" s="29" t="s">
        <v>631</v>
      </c>
      <c r="J35" s="29">
        <v>8</v>
      </c>
      <c r="K35" s="29" t="s">
        <v>325</v>
      </c>
      <c r="L35" s="29">
        <v>45</v>
      </c>
      <c r="M35" s="30" t="s">
        <v>870</v>
      </c>
      <c r="N35" s="30" t="s">
        <v>895</v>
      </c>
      <c r="O35" s="31">
        <v>1</v>
      </c>
      <c r="P35" s="31"/>
      <c r="Q35" s="30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1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1</v>
      </c>
      <c r="AF35" s="2">
        <f t="shared" si="19"/>
        <v>0</v>
      </c>
      <c r="AG35" s="2">
        <f t="shared" si="20"/>
        <v>1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0">
        <v>0</v>
      </c>
      <c r="B36" s="20">
        <v>1</v>
      </c>
      <c r="C36" s="20">
        <v>3</v>
      </c>
      <c r="D36" s="21" t="s">
        <v>385</v>
      </c>
      <c r="E36" s="21" t="s">
        <v>259</v>
      </c>
      <c r="F36" s="21" t="s">
        <v>386</v>
      </c>
      <c r="G36" s="21" t="s">
        <v>157</v>
      </c>
      <c r="H36" s="21" t="s">
        <v>165</v>
      </c>
      <c r="I36" s="20" t="s">
        <v>387</v>
      </c>
      <c r="J36" s="20">
        <v>99</v>
      </c>
      <c r="K36" s="20" t="s">
        <v>330</v>
      </c>
      <c r="L36" s="20">
        <v>65</v>
      </c>
      <c r="M36" s="21" t="s">
        <v>735</v>
      </c>
      <c r="N36" s="21"/>
      <c r="O36" s="7"/>
      <c r="P36" s="7"/>
      <c r="Q36" s="21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19"/>
        <v>0</v>
      </c>
      <c r="AG36" s="2">
        <f t="shared" si="20"/>
        <v>0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302</v>
      </c>
      <c r="E37" s="30" t="s">
        <v>263</v>
      </c>
      <c r="F37" s="30" t="s">
        <v>312</v>
      </c>
      <c r="G37" s="30" t="s">
        <v>40</v>
      </c>
      <c r="H37" s="30" t="s">
        <v>303</v>
      </c>
      <c r="I37" s="29" t="s">
        <v>304</v>
      </c>
      <c r="J37" s="29">
        <v>99</v>
      </c>
      <c r="K37" s="29" t="s">
        <v>376</v>
      </c>
      <c r="L37" s="29">
        <v>90</v>
      </c>
      <c r="M37" s="30" t="s">
        <v>595</v>
      </c>
      <c r="N37" s="30" t="s">
        <v>901</v>
      </c>
      <c r="O37" s="31">
        <v>1</v>
      </c>
      <c r="P37" s="31"/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0</v>
      </c>
      <c r="AE37" s="2">
        <f t="shared" si="18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</row>
    <row r="38" spans="1:16384" s="3" customFormat="1" ht="14.25" customHeight="1" x14ac:dyDescent="0.25">
      <c r="A38" s="29">
        <v>0</v>
      </c>
      <c r="B38" s="29">
        <v>1</v>
      </c>
      <c r="C38" s="29">
        <v>3</v>
      </c>
      <c r="D38" s="30" t="s">
        <v>436</v>
      </c>
      <c r="E38" s="30" t="s">
        <v>259</v>
      </c>
      <c r="F38" s="30" t="s">
        <v>437</v>
      </c>
      <c r="G38" s="30" t="s">
        <v>438</v>
      </c>
      <c r="H38" s="30" t="s">
        <v>165</v>
      </c>
      <c r="I38" s="29" t="s">
        <v>439</v>
      </c>
      <c r="J38" s="29">
        <v>99</v>
      </c>
      <c r="K38" s="29" t="s">
        <v>376</v>
      </c>
      <c r="L38" s="29">
        <v>60</v>
      </c>
      <c r="M38" s="30" t="s">
        <v>596</v>
      </c>
      <c r="N38" s="30" t="s">
        <v>882</v>
      </c>
      <c r="O38" s="31">
        <v>1</v>
      </c>
      <c r="P38" s="31">
        <v>1</v>
      </c>
      <c r="Q38" s="30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1</v>
      </c>
      <c r="AE38" s="2">
        <f t="shared" si="18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</row>
    <row r="39" spans="1:16384" s="3" customFormat="1" ht="14.25" customHeight="1" x14ac:dyDescent="0.25">
      <c r="A39" s="20">
        <v>0</v>
      </c>
      <c r="B39" s="20">
        <v>1</v>
      </c>
      <c r="C39" s="20">
        <v>3</v>
      </c>
      <c r="D39" s="21" t="s">
        <v>802</v>
      </c>
      <c r="E39" s="21" t="s">
        <v>497</v>
      </c>
      <c r="F39" s="21" t="s">
        <v>498</v>
      </c>
      <c r="G39" s="21" t="s">
        <v>93</v>
      </c>
      <c r="H39" s="21" t="s">
        <v>165</v>
      </c>
      <c r="I39" s="20" t="s">
        <v>499</v>
      </c>
      <c r="J39" s="20">
        <v>8</v>
      </c>
      <c r="K39" s="20" t="s">
        <v>329</v>
      </c>
      <c r="L39" s="20" t="s">
        <v>845</v>
      </c>
      <c r="M39" s="21" t="s">
        <v>596</v>
      </c>
      <c r="N39" s="21"/>
      <c r="O39" s="7"/>
      <c r="P39" s="7"/>
      <c r="Q39" s="21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510</v>
      </c>
      <c r="E40" s="30" t="s">
        <v>671</v>
      </c>
      <c r="F40" s="30" t="s">
        <v>511</v>
      </c>
      <c r="G40" s="30" t="s">
        <v>39</v>
      </c>
      <c r="H40" s="30" t="s">
        <v>165</v>
      </c>
      <c r="I40" s="29" t="s">
        <v>512</v>
      </c>
      <c r="J40" s="29">
        <v>8</v>
      </c>
      <c r="K40" s="29" t="s">
        <v>326</v>
      </c>
      <c r="L40" s="29" t="s">
        <v>849</v>
      </c>
      <c r="M40" s="30" t="s">
        <v>736</v>
      </c>
      <c r="N40" s="30" t="s">
        <v>901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1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853</v>
      </c>
      <c r="M41" s="33" t="s">
        <v>778</v>
      </c>
      <c r="N41" s="33" t="s">
        <v>898</v>
      </c>
      <c r="O41" s="34"/>
      <c r="P41" s="34"/>
      <c r="Q41" s="33"/>
      <c r="R41" s="2"/>
      <c r="S41" s="2">
        <f t="shared" si="7"/>
        <v>0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749</v>
      </c>
      <c r="E42" s="30" t="s">
        <v>750</v>
      </c>
      <c r="F42" s="30" t="s">
        <v>751</v>
      </c>
      <c r="G42" s="30" t="s">
        <v>92</v>
      </c>
      <c r="H42" s="30" t="s">
        <v>165</v>
      </c>
      <c r="I42" s="29" t="s">
        <v>752</v>
      </c>
      <c r="J42" s="29">
        <v>1</v>
      </c>
      <c r="K42" s="29" t="s">
        <v>376</v>
      </c>
      <c r="L42" s="29">
        <v>35</v>
      </c>
      <c r="M42" s="30" t="s">
        <v>753</v>
      </c>
      <c r="N42" s="30" t="s">
        <v>890</v>
      </c>
      <c r="O42" s="31">
        <v>1</v>
      </c>
      <c r="P42" s="31"/>
      <c r="Q42" s="30"/>
      <c r="R42" s="2"/>
      <c r="S42" s="2">
        <f t="shared" si="7"/>
        <v>1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993</v>
      </c>
      <c r="E43" s="30" t="s">
        <v>507</v>
      </c>
      <c r="F43" s="30" t="s">
        <v>588</v>
      </c>
      <c r="G43" s="30" t="s">
        <v>93</v>
      </c>
      <c r="H43" s="30" t="s">
        <v>165</v>
      </c>
      <c r="I43" s="29" t="s">
        <v>593</v>
      </c>
      <c r="J43" s="29">
        <v>8</v>
      </c>
      <c r="K43" s="29" t="s">
        <v>376</v>
      </c>
      <c r="L43" s="29" t="s">
        <v>346</v>
      </c>
      <c r="M43" s="30" t="s">
        <v>508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1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411</v>
      </c>
      <c r="E44" s="30" t="s">
        <v>259</v>
      </c>
      <c r="F44" s="30" t="s">
        <v>586</v>
      </c>
      <c r="G44" s="30" t="s">
        <v>284</v>
      </c>
      <c r="H44" s="30" t="s">
        <v>165</v>
      </c>
      <c r="I44" s="29" t="s">
        <v>412</v>
      </c>
      <c r="J44" s="29">
        <v>99</v>
      </c>
      <c r="K44" s="29" t="s">
        <v>331</v>
      </c>
      <c r="L44" s="29" t="s">
        <v>341</v>
      </c>
      <c r="M44" s="30" t="s">
        <v>736</v>
      </c>
      <c r="N44" s="30" t="s">
        <v>896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678</v>
      </c>
      <c r="E45" s="33" t="s">
        <v>621</v>
      </c>
      <c r="F45" s="33" t="s">
        <v>619</v>
      </c>
      <c r="G45" s="33" t="s">
        <v>40</v>
      </c>
      <c r="H45" s="33" t="s">
        <v>620</v>
      </c>
      <c r="I45" s="32" t="s">
        <v>622</v>
      </c>
      <c r="J45" s="32">
        <v>99</v>
      </c>
      <c r="K45" s="32" t="s">
        <v>376</v>
      </c>
      <c r="L45" s="32">
        <v>60</v>
      </c>
      <c r="M45" s="33" t="s">
        <v>596</v>
      </c>
      <c r="N45" s="33" t="s">
        <v>889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767</v>
      </c>
      <c r="E46" s="30" t="s">
        <v>259</v>
      </c>
      <c r="F46" s="30" t="s">
        <v>768</v>
      </c>
      <c r="G46" s="30" t="s">
        <v>103</v>
      </c>
      <c r="H46" s="30" t="s">
        <v>165</v>
      </c>
      <c r="I46" s="29" t="s">
        <v>769</v>
      </c>
      <c r="J46" s="29">
        <v>6</v>
      </c>
      <c r="K46" s="29" t="s">
        <v>376</v>
      </c>
      <c r="L46" s="29">
        <v>70</v>
      </c>
      <c r="M46" s="30" t="s">
        <v>770</v>
      </c>
      <c r="N46" s="30" t="s">
        <v>901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1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32">
        <v>0</v>
      </c>
      <c r="B47" s="32">
        <v>1</v>
      </c>
      <c r="C47" s="32">
        <v>3</v>
      </c>
      <c r="D47" s="33" t="s">
        <v>606</v>
      </c>
      <c r="E47" s="33" t="s">
        <v>259</v>
      </c>
      <c r="F47" s="33" t="s">
        <v>607</v>
      </c>
      <c r="G47" s="33" t="s">
        <v>819</v>
      </c>
      <c r="H47" s="33" t="s">
        <v>165</v>
      </c>
      <c r="I47" s="32" t="s">
        <v>608</v>
      </c>
      <c r="J47" s="32">
        <v>99</v>
      </c>
      <c r="K47" s="32" t="s">
        <v>332</v>
      </c>
      <c r="L47" s="32" t="s">
        <v>341</v>
      </c>
      <c r="M47" s="33" t="s">
        <v>736</v>
      </c>
      <c r="N47" s="33" t="s">
        <v>883</v>
      </c>
      <c r="O47" s="34"/>
      <c r="P47" s="34"/>
      <c r="Q47" s="33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681</v>
      </c>
      <c r="E48" s="30" t="s">
        <v>263</v>
      </c>
      <c r="F48" s="30" t="s">
        <v>685</v>
      </c>
      <c r="G48" s="30" t="s">
        <v>93</v>
      </c>
      <c r="H48" s="30" t="s">
        <v>165</v>
      </c>
      <c r="I48" s="29" t="s">
        <v>509</v>
      </c>
      <c r="J48" s="29">
        <v>8</v>
      </c>
      <c r="K48" s="29" t="s">
        <v>332</v>
      </c>
      <c r="L48" s="29" t="s">
        <v>594</v>
      </c>
      <c r="M48" s="30" t="s">
        <v>206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682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896</v>
      </c>
      <c r="O49" s="31">
        <v>1</v>
      </c>
      <c r="P49" s="31"/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1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76</v>
      </c>
      <c r="E50" s="30" t="s">
        <v>259</v>
      </c>
      <c r="F50" s="30" t="s">
        <v>159</v>
      </c>
      <c r="G50" s="30" t="s">
        <v>130</v>
      </c>
      <c r="H50" s="30" t="s">
        <v>165</v>
      </c>
      <c r="I50" s="29" t="s">
        <v>200</v>
      </c>
      <c r="J50" s="29">
        <v>10</v>
      </c>
      <c r="K50" s="29" t="s">
        <v>322</v>
      </c>
      <c r="L50" s="29" t="s">
        <v>341</v>
      </c>
      <c r="M50" s="30" t="s">
        <v>266</v>
      </c>
      <c r="N50" s="30" t="s">
        <v>882</v>
      </c>
      <c r="O50" s="31">
        <v>1</v>
      </c>
      <c r="P50" s="31">
        <v>1</v>
      </c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1</v>
      </c>
      <c r="AD50" s="2">
        <f t="shared" si="17"/>
        <v>1</v>
      </c>
      <c r="AE50" s="2">
        <f t="shared" si="18"/>
        <v>0</v>
      </c>
      <c r="AF50" s="2">
        <f t="shared" si="19"/>
        <v>1</v>
      </c>
      <c r="AG50" s="2">
        <f t="shared" si="20"/>
        <v>0</v>
      </c>
      <c r="AH50" s="2">
        <f t="shared" si="21"/>
        <v>1</v>
      </c>
      <c r="AI50" s="2">
        <f t="shared" si="22"/>
        <v>0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634</v>
      </c>
      <c r="E51" s="30" t="s">
        <v>635</v>
      </c>
      <c r="F51" s="30" t="s">
        <v>636</v>
      </c>
      <c r="G51" s="30" t="s">
        <v>514</v>
      </c>
      <c r="H51" s="30" t="s">
        <v>165</v>
      </c>
      <c r="I51" s="29" t="s">
        <v>637</v>
      </c>
      <c r="J51" s="29"/>
      <c r="K51" s="29" t="s">
        <v>376</v>
      </c>
      <c r="L51" s="29">
        <v>55</v>
      </c>
      <c r="M51" s="30" t="s">
        <v>638</v>
      </c>
      <c r="N51" s="30" t="s">
        <v>924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9">
        <v>0</v>
      </c>
      <c r="B52" s="29">
        <v>1</v>
      </c>
      <c r="C52" s="29">
        <v>3</v>
      </c>
      <c r="D52" s="30" t="s">
        <v>723</v>
      </c>
      <c r="E52" s="30" t="s">
        <v>259</v>
      </c>
      <c r="F52" s="30" t="s">
        <v>825</v>
      </c>
      <c r="G52" s="30" t="s">
        <v>726</v>
      </c>
      <c r="H52" s="30" t="s">
        <v>165</v>
      </c>
      <c r="I52" s="29" t="s">
        <v>725</v>
      </c>
      <c r="J52" s="29">
        <v>99</v>
      </c>
      <c r="K52" s="29" t="s">
        <v>331</v>
      </c>
      <c r="L52" s="29" t="s">
        <v>346</v>
      </c>
      <c r="M52" s="30" t="s">
        <v>724</v>
      </c>
      <c r="N52" s="30" t="s">
        <v>890</v>
      </c>
      <c r="O52" s="31">
        <v>1</v>
      </c>
      <c r="P52" s="31"/>
      <c r="Q52" s="30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0">
        <v>0</v>
      </c>
      <c r="B53" s="20">
        <v>1</v>
      </c>
      <c r="C53" s="20">
        <v>3</v>
      </c>
      <c r="D53" s="21" t="s">
        <v>974</v>
      </c>
      <c r="E53" s="21" t="s">
        <v>259</v>
      </c>
      <c r="F53" s="21" t="s">
        <v>975</v>
      </c>
      <c r="G53" s="21" t="s">
        <v>976</v>
      </c>
      <c r="H53" s="21" t="s">
        <v>165</v>
      </c>
      <c r="I53" s="20" t="s">
        <v>977</v>
      </c>
      <c r="J53" s="20"/>
      <c r="K53" s="20" t="s">
        <v>376</v>
      </c>
      <c r="L53" s="20">
        <v>65</v>
      </c>
      <c r="M53" s="21" t="s">
        <v>978</v>
      </c>
      <c r="N53" s="21"/>
      <c r="O53" s="20"/>
      <c r="P53" s="20"/>
      <c r="Q53" s="21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9">
        <v>0</v>
      </c>
      <c r="B54" s="29">
        <v>1</v>
      </c>
      <c r="C54" s="29">
        <v>3</v>
      </c>
      <c r="D54" s="30" t="s">
        <v>56</v>
      </c>
      <c r="E54" s="30" t="s">
        <v>259</v>
      </c>
      <c r="F54" s="30" t="s">
        <v>111</v>
      </c>
      <c r="G54" s="30" t="s">
        <v>112</v>
      </c>
      <c r="H54" s="30" t="s">
        <v>165</v>
      </c>
      <c r="I54" s="29" t="s">
        <v>175</v>
      </c>
      <c r="J54" s="29">
        <v>99</v>
      </c>
      <c r="K54" s="29" t="s">
        <v>326</v>
      </c>
      <c r="L54" s="29">
        <v>65</v>
      </c>
      <c r="M54" s="30" t="s">
        <v>731</v>
      </c>
      <c r="N54" s="30" t="s">
        <v>924</v>
      </c>
      <c r="O54" s="31">
        <v>1</v>
      </c>
      <c r="P54" s="31"/>
      <c r="Q54" s="30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899</v>
      </c>
      <c r="N55" s="21"/>
      <c r="O55" s="7"/>
      <c r="P55" s="7"/>
      <c r="Q55" s="21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1</v>
      </c>
      <c r="AA55" s="2">
        <f t="shared" si="15"/>
        <v>0</v>
      </c>
      <c r="AB55" s="2">
        <f t="shared" si="16"/>
        <v>0</v>
      </c>
      <c r="AD55" s="2">
        <f t="shared" si="17"/>
        <v>0</v>
      </c>
      <c r="AE55" s="2">
        <f t="shared" si="18"/>
        <v>0</v>
      </c>
      <c r="AF55" s="2">
        <f t="shared" si="19"/>
        <v>0</v>
      </c>
      <c r="AG55" s="2">
        <f t="shared" si="20"/>
        <v>0</v>
      </c>
      <c r="AH55" s="2">
        <f t="shared" si="21"/>
        <v>0</v>
      </c>
      <c r="AI55" s="2">
        <f t="shared" si="22"/>
        <v>1</v>
      </c>
    </row>
    <row r="56" spans="1:16384" ht="14.25" customHeight="1" x14ac:dyDescent="0.25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776</v>
      </c>
      <c r="N56" s="30" t="s">
        <v>882</v>
      </c>
      <c r="O56" s="31">
        <v>1</v>
      </c>
      <c r="P56" s="31">
        <v>1</v>
      </c>
      <c r="Q56" s="30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1</v>
      </c>
      <c r="AB56" s="2">
        <f t="shared" si="16"/>
        <v>0</v>
      </c>
      <c r="AD56" s="2">
        <f t="shared" si="17"/>
        <v>1</v>
      </c>
      <c r="AE56" s="2">
        <f t="shared" si="18"/>
        <v>0</v>
      </c>
      <c r="AF56" s="2">
        <f t="shared" si="19"/>
        <v>1</v>
      </c>
      <c r="AG56" s="2">
        <f t="shared" si="20"/>
        <v>0</v>
      </c>
      <c r="AH56" s="2">
        <f t="shared" si="21"/>
        <v>1</v>
      </c>
      <c r="AI56" s="2">
        <f t="shared" si="22"/>
        <v>0</v>
      </c>
    </row>
    <row r="57" spans="1:16384" ht="14.25" customHeight="1" x14ac:dyDescent="0.25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376</v>
      </c>
      <c r="L57" s="32" t="s">
        <v>334</v>
      </c>
      <c r="M57" s="33" t="s">
        <v>266</v>
      </c>
      <c r="N57" s="33" t="s">
        <v>918</v>
      </c>
      <c r="O57" s="34"/>
      <c r="P57" s="34"/>
      <c r="Q57" s="33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0">
        <v>0</v>
      </c>
      <c r="B58" s="20">
        <v>1</v>
      </c>
      <c r="C58" s="20">
        <v>5</v>
      </c>
      <c r="D58" s="21" t="s">
        <v>708</v>
      </c>
      <c r="E58" s="21" t="s">
        <v>705</v>
      </c>
      <c r="F58" s="21" t="s">
        <v>704</v>
      </c>
      <c r="G58" s="21" t="s">
        <v>303</v>
      </c>
      <c r="H58" s="21" t="s">
        <v>165</v>
      </c>
      <c r="I58" s="20" t="s">
        <v>706</v>
      </c>
      <c r="J58" s="20">
        <v>99</v>
      </c>
      <c r="K58" s="20" t="s">
        <v>376</v>
      </c>
      <c r="L58" s="20">
        <v>55</v>
      </c>
      <c r="M58" s="21" t="s">
        <v>703</v>
      </c>
      <c r="N58" s="21"/>
      <c r="O58" s="7"/>
      <c r="P58" s="7"/>
      <c r="Q58" s="21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876</v>
      </c>
      <c r="E59" s="30" t="s">
        <v>879</v>
      </c>
      <c r="F59" s="30" t="s">
        <v>877</v>
      </c>
      <c r="G59" s="30" t="s">
        <v>401</v>
      </c>
      <c r="H59" s="30" t="s">
        <v>165</v>
      </c>
      <c r="I59" s="29" t="s">
        <v>878</v>
      </c>
      <c r="J59" s="29"/>
      <c r="K59" s="29" t="s">
        <v>376</v>
      </c>
      <c r="L59" s="29">
        <v>55</v>
      </c>
      <c r="M59" s="30" t="s">
        <v>880</v>
      </c>
      <c r="N59" s="30" t="s">
        <v>924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9">
        <v>0</v>
      </c>
      <c r="B60" s="29">
        <v>1</v>
      </c>
      <c r="C60" s="29">
        <v>5</v>
      </c>
      <c r="D60" s="30" t="s">
        <v>861</v>
      </c>
      <c r="E60" s="30" t="s">
        <v>796</v>
      </c>
      <c r="F60" s="30" t="s">
        <v>862</v>
      </c>
      <c r="G60" s="30" t="s">
        <v>309</v>
      </c>
      <c r="H60" s="30" t="s">
        <v>165</v>
      </c>
      <c r="I60" s="29" t="s">
        <v>863</v>
      </c>
      <c r="J60" s="29"/>
      <c r="K60" s="29" t="s">
        <v>376</v>
      </c>
      <c r="L60" s="29">
        <v>50</v>
      </c>
      <c r="M60" s="30" t="s">
        <v>864</v>
      </c>
      <c r="N60" s="30" t="s">
        <v>924</v>
      </c>
      <c r="O60" s="31">
        <v>1</v>
      </c>
      <c r="P60" s="31"/>
      <c r="Q60" s="30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1</v>
      </c>
      <c r="AF60" s="2">
        <f t="shared" si="19"/>
        <v>0</v>
      </c>
      <c r="AG60" s="2">
        <f t="shared" si="20"/>
        <v>1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0">
        <v>0</v>
      </c>
      <c r="B61" s="20">
        <v>1</v>
      </c>
      <c r="C61" s="20">
        <v>5</v>
      </c>
      <c r="D61" s="21" t="s">
        <v>797</v>
      </c>
      <c r="E61" s="21" t="s">
        <v>796</v>
      </c>
      <c r="F61" s="21" t="s">
        <v>830</v>
      </c>
      <c r="G61" s="21" t="s">
        <v>93</v>
      </c>
      <c r="H61" s="21" t="s">
        <v>165</v>
      </c>
      <c r="I61" s="20" t="s">
        <v>844</v>
      </c>
      <c r="J61" s="20">
        <v>8</v>
      </c>
      <c r="K61" s="20" t="s">
        <v>332</v>
      </c>
      <c r="L61" s="20">
        <v>50</v>
      </c>
      <c r="M61" s="21" t="s">
        <v>864</v>
      </c>
      <c r="N61" s="21"/>
      <c r="O61" s="7"/>
      <c r="P61" s="7"/>
      <c r="Q61" s="21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1</v>
      </c>
      <c r="AA61" s="2">
        <f t="shared" si="15"/>
        <v>0</v>
      </c>
      <c r="AB61" s="2">
        <f t="shared" si="16"/>
        <v>0</v>
      </c>
      <c r="AD61" s="2">
        <f t="shared" si="17"/>
        <v>0</v>
      </c>
      <c r="AE61" s="2">
        <f t="shared" si="18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858</v>
      </c>
      <c r="E62" s="30" t="s">
        <v>796</v>
      </c>
      <c r="F62" s="30" t="s">
        <v>859</v>
      </c>
      <c r="G62" s="30" t="s">
        <v>368</v>
      </c>
      <c r="H62" s="30" t="s">
        <v>165</v>
      </c>
      <c r="I62" s="29" t="s">
        <v>860</v>
      </c>
      <c r="J62" s="29"/>
      <c r="K62" s="29" t="s">
        <v>376</v>
      </c>
      <c r="L62" s="29">
        <v>45</v>
      </c>
      <c r="M62" s="30" t="s">
        <v>418</v>
      </c>
      <c r="N62" s="30" t="s">
        <v>882</v>
      </c>
      <c r="O62" s="31">
        <v>1</v>
      </c>
      <c r="P62" s="31">
        <v>1</v>
      </c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1</v>
      </c>
      <c r="AE62" s="2">
        <f t="shared" si="18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376</v>
      </c>
      <c r="L63" s="29">
        <v>30</v>
      </c>
      <c r="M63" s="30" t="s">
        <v>266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994</v>
      </c>
      <c r="E64" s="30" t="s">
        <v>362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376</v>
      </c>
      <c r="L64" s="29">
        <v>42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555</v>
      </c>
      <c r="E65" s="30" t="s">
        <v>296</v>
      </c>
      <c r="F65" s="30" t="s">
        <v>556</v>
      </c>
      <c r="G65" s="30" t="s">
        <v>589</v>
      </c>
      <c r="H65" s="30" t="s">
        <v>165</v>
      </c>
      <c r="I65" s="29" t="s">
        <v>557</v>
      </c>
      <c r="J65" s="29">
        <v>99</v>
      </c>
      <c r="K65" s="29" t="s">
        <v>330</v>
      </c>
      <c r="L65" s="29" t="s">
        <v>594</v>
      </c>
      <c r="M65" s="30" t="s">
        <v>418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370</v>
      </c>
      <c r="J66" s="29">
        <v>99</v>
      </c>
      <c r="K66" s="29" t="s">
        <v>329</v>
      </c>
      <c r="L66" s="29" t="s">
        <v>341</v>
      </c>
      <c r="M66" s="30" t="s">
        <v>780</v>
      </c>
      <c r="N66" s="30" t="s">
        <v>901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376</v>
      </c>
      <c r="L67" s="29" t="s">
        <v>335</v>
      </c>
      <c r="M67" s="30" t="s">
        <v>494</v>
      </c>
      <c r="N67" s="30" t="s">
        <v>919</v>
      </c>
      <c r="O67" s="31">
        <v>1</v>
      </c>
      <c r="P67" s="31"/>
      <c r="Q67" s="30"/>
      <c r="S67" s="2">
        <f t="shared" si="7"/>
        <v>0</v>
      </c>
      <c r="T67" s="2">
        <f t="shared" si="8"/>
        <v>0</v>
      </c>
      <c r="U67" s="2">
        <f t="shared" si="9"/>
        <v>1</v>
      </c>
      <c r="V67" s="2">
        <f t="shared" si="10"/>
        <v>0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624</v>
      </c>
      <c r="E68" s="21" t="s">
        <v>627</v>
      </c>
      <c r="F68" s="21" t="s">
        <v>623</v>
      </c>
      <c r="G68" s="21" t="s">
        <v>163</v>
      </c>
      <c r="H68" s="21" t="s">
        <v>165</v>
      </c>
      <c r="I68" s="20" t="s">
        <v>625</v>
      </c>
      <c r="J68" s="20">
        <v>5</v>
      </c>
      <c r="K68" s="20" t="s">
        <v>376</v>
      </c>
      <c r="L68" s="20">
        <v>40</v>
      </c>
      <c r="M68" s="21" t="s">
        <v>737</v>
      </c>
      <c r="N68" s="21"/>
      <c r="O68" s="7"/>
      <c r="P68" s="7"/>
      <c r="Q68" s="21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46</v>
      </c>
      <c r="E69" s="30" t="s">
        <v>467</v>
      </c>
      <c r="F69" s="30" t="s">
        <v>688</v>
      </c>
      <c r="G69" s="30" t="s">
        <v>93</v>
      </c>
      <c r="H69" s="30" t="s">
        <v>165</v>
      </c>
      <c r="I69" s="29" t="s">
        <v>166</v>
      </c>
      <c r="J69" s="29">
        <v>8</v>
      </c>
      <c r="K69" s="29" t="s">
        <v>326</v>
      </c>
      <c r="L69" s="29" t="s">
        <v>346</v>
      </c>
      <c r="M69" s="30" t="s">
        <v>418</v>
      </c>
      <c r="N69" s="30" t="s">
        <v>888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32">
        <v>0</v>
      </c>
      <c r="B70" s="32">
        <v>1</v>
      </c>
      <c r="C70" s="32">
        <v>5</v>
      </c>
      <c r="D70" s="33" t="s">
        <v>807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883</v>
      </c>
      <c r="O70" s="34"/>
      <c r="P70" s="34"/>
      <c r="Q70" s="3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1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798</v>
      </c>
      <c r="G71" s="21" t="s">
        <v>117</v>
      </c>
      <c r="H71" s="21" t="s">
        <v>165</v>
      </c>
      <c r="I71" s="20" t="s">
        <v>799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808</v>
      </c>
      <c r="E72" s="21" t="s">
        <v>796</v>
      </c>
      <c r="F72" s="21" t="s">
        <v>831</v>
      </c>
      <c r="G72" s="21" t="s">
        <v>96</v>
      </c>
      <c r="H72" s="21" t="s">
        <v>165</v>
      </c>
      <c r="I72" s="20" t="s">
        <v>800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7"/>
        <v>0</v>
      </c>
      <c r="T72" s="2">
        <f t="shared" si="8"/>
        <v>0</v>
      </c>
      <c r="U72" s="2">
        <f t="shared" si="9"/>
        <v>1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0</v>
      </c>
      <c r="AE72" s="2">
        <f t="shared" si="18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801</v>
      </c>
      <c r="E73" s="30" t="s">
        <v>261</v>
      </c>
      <c r="F73" s="30" t="s">
        <v>765</v>
      </c>
      <c r="G73" s="30" t="s">
        <v>517</v>
      </c>
      <c r="H73" s="30" t="s">
        <v>165</v>
      </c>
      <c r="I73" s="29" t="s">
        <v>766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0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882</v>
      </c>
      <c r="O74" s="31">
        <v>1</v>
      </c>
      <c r="P74" s="31">
        <v>1</v>
      </c>
      <c r="Q74" s="30"/>
      <c r="S74" s="2">
        <f t="shared" si="7"/>
        <v>1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1</v>
      </c>
      <c r="AE74" s="2">
        <f t="shared" si="18"/>
        <v>0</v>
      </c>
      <c r="AF74" s="2">
        <f t="shared" si="19"/>
        <v>1</v>
      </c>
      <c r="AG74" s="2">
        <f t="shared" si="20"/>
        <v>0</v>
      </c>
      <c r="AH74" s="2">
        <f t="shared" si="21"/>
        <v>1</v>
      </c>
      <c r="AI74" s="2">
        <f t="shared" si="22"/>
        <v>0</v>
      </c>
    </row>
    <row r="75" spans="1:35" ht="14.25" customHeight="1" x14ac:dyDescent="0.25">
      <c r="A75" s="29">
        <v>0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661</v>
      </c>
      <c r="G75" s="30" t="s">
        <v>662</v>
      </c>
      <c r="H75" s="30" t="s">
        <v>165</v>
      </c>
      <c r="I75" s="29" t="s">
        <v>663</v>
      </c>
      <c r="J75" s="29"/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0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1</v>
      </c>
      <c r="AH75" s="2">
        <f t="shared" ref="AH75:AH139" si="37">+P75*(1-A75)</f>
        <v>0</v>
      </c>
      <c r="AI75" s="2">
        <f t="shared" ref="AI75:AI139" si="38">+(1-A75)*(1-P75)</f>
        <v>1</v>
      </c>
    </row>
    <row r="76" spans="1:35" ht="14.25" customHeight="1" x14ac:dyDescent="0.25">
      <c r="A76" s="29">
        <v>1</v>
      </c>
      <c r="B76" s="29">
        <v>1</v>
      </c>
      <c r="C76" s="29">
        <v>6</v>
      </c>
      <c r="D76" s="30" t="s">
        <v>227</v>
      </c>
      <c r="E76" s="30" t="s">
        <v>669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747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1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0</v>
      </c>
      <c r="AH76" s="2">
        <f t="shared" si="37"/>
        <v>0</v>
      </c>
      <c r="AI76" s="2">
        <f t="shared" si="38"/>
        <v>0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712</v>
      </c>
      <c r="E77" s="30" t="s">
        <v>258</v>
      </c>
      <c r="F77" s="30" t="s">
        <v>713</v>
      </c>
      <c r="G77" s="30" t="s">
        <v>130</v>
      </c>
      <c r="H77" s="30" t="s">
        <v>165</v>
      </c>
      <c r="I77" s="29" t="s">
        <v>714</v>
      </c>
      <c r="J77" s="29"/>
      <c r="K77" s="29" t="s">
        <v>329</v>
      </c>
      <c r="L77" s="29">
        <v>35</v>
      </c>
      <c r="M77" s="30" t="s">
        <v>871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923</v>
      </c>
      <c r="N78" s="30" t="s">
        <v>888</v>
      </c>
      <c r="O78" s="31">
        <v>1</v>
      </c>
      <c r="P78" s="31"/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1</v>
      </c>
      <c r="AD78" s="2">
        <f t="shared" si="33"/>
        <v>0</v>
      </c>
      <c r="AE78" s="2">
        <f t="shared" si="34"/>
        <v>1</v>
      </c>
      <c r="AF78" s="2">
        <f t="shared" si="35"/>
        <v>0</v>
      </c>
      <c r="AG78" s="2">
        <f t="shared" si="36"/>
        <v>1</v>
      </c>
      <c r="AH78" s="2">
        <f t="shared" si="37"/>
        <v>0</v>
      </c>
      <c r="AI78" s="2">
        <f t="shared" si="38"/>
        <v>1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882</v>
      </c>
      <c r="O79" s="31">
        <v>1</v>
      </c>
      <c r="P79" s="31">
        <v>1</v>
      </c>
      <c r="Q79" s="30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1</v>
      </c>
      <c r="AB79" s="2">
        <f t="shared" si="32"/>
        <v>0</v>
      </c>
      <c r="AD79" s="2">
        <f t="shared" si="33"/>
        <v>1</v>
      </c>
      <c r="AE79" s="2">
        <f t="shared" si="34"/>
        <v>0</v>
      </c>
      <c r="AF79" s="2">
        <f t="shared" si="35"/>
        <v>1</v>
      </c>
      <c r="AG79" s="2">
        <f t="shared" si="36"/>
        <v>0</v>
      </c>
      <c r="AH79" s="2">
        <f t="shared" si="37"/>
        <v>1</v>
      </c>
      <c r="AI79" s="2">
        <f t="shared" si="38"/>
        <v>0</v>
      </c>
    </row>
    <row r="80" spans="1:35" ht="14.25" customHeight="1" x14ac:dyDescent="0.25">
      <c r="A80" s="32">
        <v>0</v>
      </c>
      <c r="B80" s="32">
        <v>1</v>
      </c>
      <c r="C80" s="32">
        <v>6</v>
      </c>
      <c r="D80" s="33" t="s">
        <v>358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485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918</v>
      </c>
      <c r="O80" s="34"/>
      <c r="P80" s="34"/>
      <c r="Q80" s="33"/>
      <c r="S80" s="2">
        <f t="shared" si="23"/>
        <v>0</v>
      </c>
      <c r="T80" s="2">
        <f t="shared" si="24"/>
        <v>1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0</v>
      </c>
      <c r="AE80" s="2">
        <f t="shared" si="34"/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1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882</v>
      </c>
      <c r="O81" s="31">
        <v>1</v>
      </c>
      <c r="P81" s="31">
        <v>1</v>
      </c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35"/>
        <v>1</v>
      </c>
      <c r="AG81" s="2">
        <f t="shared" si="36"/>
        <v>0</v>
      </c>
      <c r="AH81" s="2">
        <f t="shared" si="37"/>
        <v>1</v>
      </c>
      <c r="AI81" s="2">
        <f t="shared" si="38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834</v>
      </c>
      <c r="J82" s="29">
        <v>3</v>
      </c>
      <c r="K82" s="29" t="s">
        <v>330</v>
      </c>
      <c r="L82" s="29" t="s">
        <v>346</v>
      </c>
      <c r="M82" s="30" t="s">
        <v>760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1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61</v>
      </c>
      <c r="E83" s="30" t="s">
        <v>261</v>
      </c>
      <c r="F83" s="30" t="s">
        <v>131</v>
      </c>
      <c r="G83" s="30" t="s">
        <v>132</v>
      </c>
      <c r="H83" s="30" t="s">
        <v>165</v>
      </c>
      <c r="I83" s="29" t="s">
        <v>182</v>
      </c>
      <c r="J83" s="29">
        <v>99</v>
      </c>
      <c r="K83" s="29" t="s">
        <v>329</v>
      </c>
      <c r="L83" s="29" t="s">
        <v>847</v>
      </c>
      <c r="M83" s="30" t="s">
        <v>695</v>
      </c>
      <c r="N83" s="30" t="s">
        <v>890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587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744</v>
      </c>
      <c r="N84" s="30" t="s">
        <v>888</v>
      </c>
      <c r="O84" s="31">
        <v>1</v>
      </c>
      <c r="P84" s="31"/>
      <c r="Q84" s="30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35"/>
        <v>0</v>
      </c>
      <c r="AG84" s="2">
        <f t="shared" si="36"/>
        <v>1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0">
        <v>0</v>
      </c>
      <c r="B85" s="20">
        <v>1</v>
      </c>
      <c r="C85" s="20">
        <v>6</v>
      </c>
      <c r="D85" s="21" t="s">
        <v>388</v>
      </c>
      <c r="E85" s="21" t="s">
        <v>389</v>
      </c>
      <c r="F85" s="21" t="s">
        <v>477</v>
      </c>
      <c r="G85" s="21" t="s">
        <v>133</v>
      </c>
      <c r="H85" s="21" t="s">
        <v>165</v>
      </c>
      <c r="I85" s="20" t="s">
        <v>487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0</v>
      </c>
      <c r="AI85" s="2">
        <f t="shared" si="38"/>
        <v>1</v>
      </c>
    </row>
    <row r="86" spans="1:16384" s="3" customFormat="1" ht="14.25" customHeight="1" x14ac:dyDescent="0.25">
      <c r="A86" s="29">
        <v>0</v>
      </c>
      <c r="B86" s="29">
        <v>1</v>
      </c>
      <c r="C86" s="29">
        <v>6</v>
      </c>
      <c r="D86" s="30" t="s">
        <v>249</v>
      </c>
      <c r="E86" s="30" t="s">
        <v>261</v>
      </c>
      <c r="F86" s="30" t="s">
        <v>255</v>
      </c>
      <c r="G86" s="30" t="s">
        <v>125</v>
      </c>
      <c r="H86" s="30" t="s">
        <v>165</v>
      </c>
      <c r="I86" s="29" t="s">
        <v>222</v>
      </c>
      <c r="J86" s="29">
        <v>99</v>
      </c>
      <c r="K86" s="29" t="s">
        <v>330</v>
      </c>
      <c r="L86" s="29" t="s">
        <v>40</v>
      </c>
      <c r="M86" s="30" t="s">
        <v>40</v>
      </c>
      <c r="N86" s="30" t="s">
        <v>882</v>
      </c>
      <c r="O86" s="31">
        <v>1</v>
      </c>
      <c r="P86" s="31">
        <v>1</v>
      </c>
      <c r="Q86" s="30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1</v>
      </c>
      <c r="AE86" s="2">
        <f t="shared" si="34"/>
        <v>0</v>
      </c>
      <c r="AF86" s="2">
        <f t="shared" si="35"/>
        <v>1</v>
      </c>
      <c r="AG86" s="2">
        <f t="shared" si="36"/>
        <v>0</v>
      </c>
      <c r="AH86" s="2">
        <f t="shared" si="37"/>
        <v>1</v>
      </c>
      <c r="AI86" s="2">
        <f t="shared" si="38"/>
        <v>0</v>
      </c>
    </row>
    <row r="87" spans="1:16384" s="3" customFormat="1" ht="14.25" customHeight="1" x14ac:dyDescent="0.25">
      <c r="A87" s="20">
        <v>0</v>
      </c>
      <c r="B87" s="20">
        <v>1</v>
      </c>
      <c r="C87" s="20">
        <v>6</v>
      </c>
      <c r="D87" s="21" t="s">
        <v>728</v>
      </c>
      <c r="E87" s="21" t="s">
        <v>258</v>
      </c>
      <c r="F87" s="21" t="s">
        <v>729</v>
      </c>
      <c r="G87" s="21" t="s">
        <v>730</v>
      </c>
      <c r="H87" s="21" t="s">
        <v>165</v>
      </c>
      <c r="I87" s="20"/>
      <c r="J87" s="20">
        <v>99</v>
      </c>
      <c r="K87" s="20" t="s">
        <v>376</v>
      </c>
      <c r="L87" s="20">
        <v>75</v>
      </c>
      <c r="M87" s="21" t="s">
        <v>727</v>
      </c>
      <c r="N87" s="21"/>
      <c r="O87" s="7"/>
      <c r="P87" s="7"/>
      <c r="Q87" s="21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32">
        <v>0</v>
      </c>
      <c r="B88" s="32">
        <v>1</v>
      </c>
      <c r="C88" s="32">
        <v>6</v>
      </c>
      <c r="D88" s="33" t="s">
        <v>539</v>
      </c>
      <c r="E88" s="33" t="s">
        <v>572</v>
      </c>
      <c r="F88" s="33" t="s">
        <v>822</v>
      </c>
      <c r="G88" s="33" t="s">
        <v>540</v>
      </c>
      <c r="H88" s="33" t="s">
        <v>165</v>
      </c>
      <c r="I88" s="32" t="s">
        <v>541</v>
      </c>
      <c r="J88" s="32">
        <v>99</v>
      </c>
      <c r="K88" s="32" t="s">
        <v>330</v>
      </c>
      <c r="L88" s="32" t="s">
        <v>334</v>
      </c>
      <c r="M88" s="33" t="s">
        <v>738</v>
      </c>
      <c r="N88" s="33" t="s">
        <v>889</v>
      </c>
      <c r="O88" s="34"/>
      <c r="P88" s="34"/>
      <c r="Q88" s="33"/>
      <c r="R88" s="2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9">
        <v>0</v>
      </c>
      <c r="B89" s="29">
        <v>1</v>
      </c>
      <c r="C89" s="29">
        <v>6</v>
      </c>
      <c r="D89" s="30" t="s">
        <v>359</v>
      </c>
      <c r="E89" s="30" t="s">
        <v>573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376</v>
      </c>
      <c r="L89" s="29">
        <v>92</v>
      </c>
      <c r="M89" s="30" t="s">
        <v>777</v>
      </c>
      <c r="N89" s="30" t="s">
        <v>896</v>
      </c>
      <c r="O89" s="31">
        <v>1</v>
      </c>
      <c r="P89" s="31"/>
      <c r="Q89" s="30"/>
      <c r="R89" s="2"/>
      <c r="S89" s="2">
        <f t="shared" si="23"/>
        <v>1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</row>
    <row r="90" spans="1:16384" s="3" customFormat="1" ht="14.25" customHeight="1" x14ac:dyDescent="0.25">
      <c r="A90" s="26">
        <v>0</v>
      </c>
      <c r="B90" s="26">
        <v>1</v>
      </c>
      <c r="C90" s="26">
        <v>6</v>
      </c>
      <c r="D90" s="27" t="s">
        <v>970</v>
      </c>
      <c r="E90" s="27" t="s">
        <v>258</v>
      </c>
      <c r="F90" s="27" t="s">
        <v>971</v>
      </c>
      <c r="G90" s="27" t="s">
        <v>972</v>
      </c>
      <c r="H90" s="27" t="s">
        <v>165</v>
      </c>
      <c r="I90" s="26" t="s">
        <v>973</v>
      </c>
      <c r="J90" s="26"/>
      <c r="K90" s="26" t="s">
        <v>376</v>
      </c>
      <c r="L90" s="26"/>
      <c r="M90" s="27"/>
      <c r="N90" s="27"/>
      <c r="O90" s="28"/>
      <c r="P90" s="28">
        <v>1</v>
      </c>
      <c r="Q90" s="27"/>
      <c r="R90" s="2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1</v>
      </c>
      <c r="AI90" s="2">
        <f t="shared" si="38"/>
        <v>0</v>
      </c>
    </row>
    <row r="91" spans="1:16384" s="3" customFormat="1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23"/>
        <v>0</v>
      </c>
      <c r="T91" s="2">
        <f t="shared" si="24"/>
        <v>1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35"/>
        <v>0</v>
      </c>
      <c r="AG91" s="2">
        <f t="shared" si="36"/>
        <v>0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365</v>
      </c>
      <c r="G92" s="30" t="s">
        <v>91</v>
      </c>
      <c r="H92" s="30" t="s">
        <v>165</v>
      </c>
      <c r="I92" s="29" t="s">
        <v>372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1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1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1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666</v>
      </c>
      <c r="G95" s="30" t="s">
        <v>668</v>
      </c>
      <c r="H95" s="30" t="s">
        <v>165</v>
      </c>
      <c r="I95" s="29" t="s">
        <v>667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364</v>
      </c>
      <c r="G96" s="30" t="s">
        <v>93</v>
      </c>
      <c r="H96" s="30" t="s">
        <v>165</v>
      </c>
      <c r="I96" s="29" t="s">
        <v>371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1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901</v>
      </c>
      <c r="O97" s="31">
        <v>1</v>
      </c>
      <c r="P97" s="31"/>
      <c r="Q97" s="30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0</v>
      </c>
      <c r="AE97" s="2">
        <f t="shared" si="34"/>
        <v>1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569</v>
      </c>
      <c r="E98" s="30" t="s">
        <v>32</v>
      </c>
      <c r="F98" s="30" t="s">
        <v>583</v>
      </c>
      <c r="G98" s="30" t="s">
        <v>309</v>
      </c>
      <c r="H98" s="30" t="s">
        <v>165</v>
      </c>
      <c r="I98" s="29" t="s">
        <v>526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882</v>
      </c>
      <c r="O98" s="31">
        <v>1</v>
      </c>
      <c r="P98" s="31">
        <v>1</v>
      </c>
      <c r="Q98" s="30"/>
      <c r="S98" s="2">
        <f t="shared" si="23"/>
        <v>1</v>
      </c>
      <c r="T98" s="2">
        <f t="shared" si="24"/>
        <v>0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1</v>
      </c>
      <c r="AE98" s="2">
        <f t="shared" si="34"/>
        <v>0</v>
      </c>
      <c r="AF98" s="2">
        <f t="shared" si="35"/>
        <v>1</v>
      </c>
      <c r="AG98" s="2">
        <f t="shared" si="36"/>
        <v>0</v>
      </c>
      <c r="AH98" s="2">
        <f t="shared" si="37"/>
        <v>1</v>
      </c>
      <c r="AI98" s="2">
        <f t="shared" si="38"/>
        <v>0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897</v>
      </c>
      <c r="O99" s="31">
        <v>1</v>
      </c>
      <c r="P99" s="31"/>
      <c r="Q99" s="30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664</v>
      </c>
      <c r="G100" s="30" t="s">
        <v>96</v>
      </c>
      <c r="H100" s="30" t="s">
        <v>165</v>
      </c>
      <c r="I100" s="29" t="s">
        <v>832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1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471</v>
      </c>
      <c r="G102" s="30" t="s">
        <v>92</v>
      </c>
      <c r="H102" s="30" t="s">
        <v>165</v>
      </c>
      <c r="I102" s="29" t="s">
        <v>483</v>
      </c>
      <c r="J102" s="29">
        <v>2</v>
      </c>
      <c r="K102" s="29" t="s">
        <v>320</v>
      </c>
      <c r="L102" s="29" t="s">
        <v>343</v>
      </c>
      <c r="M102" s="30" t="s">
        <v>745</v>
      </c>
      <c r="N102" s="30" t="s">
        <v>890</v>
      </c>
      <c r="O102" s="31">
        <v>1</v>
      </c>
      <c r="P102" s="31"/>
      <c r="Q102" s="30"/>
      <c r="S102" s="2">
        <f t="shared" si="23"/>
        <v>0</v>
      </c>
      <c r="T102" s="2">
        <f t="shared" si="24"/>
        <v>1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0</v>
      </c>
      <c r="AE102" s="2">
        <f t="shared" si="34"/>
        <v>1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0</v>
      </c>
    </row>
    <row r="103" spans="1:35" ht="14.25" customHeight="1" x14ac:dyDescent="0.25">
      <c r="A103" s="29">
        <v>0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652</v>
      </c>
      <c r="G103" s="30" t="s">
        <v>96</v>
      </c>
      <c r="H103" s="30" t="s">
        <v>165</v>
      </c>
      <c r="I103" s="29" t="s">
        <v>653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0</v>
      </c>
      <c r="U103" s="2">
        <f t="shared" si="25"/>
        <v>1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1</v>
      </c>
      <c r="AG103" s="2">
        <f t="shared" si="36"/>
        <v>0</v>
      </c>
      <c r="AH103" s="2">
        <f t="shared" si="37"/>
        <v>1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445</v>
      </c>
      <c r="G104" s="30" t="s">
        <v>145</v>
      </c>
      <c r="H104" s="30" t="s">
        <v>165</v>
      </c>
      <c r="I104" s="29" t="s">
        <v>446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124</v>
      </c>
      <c r="H105" s="30" t="s">
        <v>165</v>
      </c>
      <c r="I105" s="29" t="s">
        <v>842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0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1</v>
      </c>
      <c r="B106" s="29">
        <v>1</v>
      </c>
      <c r="C106" s="29">
        <v>7</v>
      </c>
      <c r="D106" s="30" t="s">
        <v>444</v>
      </c>
      <c r="E106" s="30" t="s">
        <v>32</v>
      </c>
      <c r="F106" s="30" t="s">
        <v>829</v>
      </c>
      <c r="G106" s="30" t="s">
        <v>103</v>
      </c>
      <c r="H106" s="30" t="s">
        <v>165</v>
      </c>
      <c r="I106" s="29" t="s">
        <v>843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882</v>
      </c>
      <c r="O106" s="31">
        <v>1</v>
      </c>
      <c r="P106" s="31">
        <v>1</v>
      </c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1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0</v>
      </c>
    </row>
    <row r="107" spans="1:35" ht="14.25" customHeight="1" x14ac:dyDescent="0.25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918</v>
      </c>
      <c r="O107" s="34"/>
      <c r="P107" s="34"/>
      <c r="Q107" s="33"/>
      <c r="S107" s="2">
        <f t="shared" si="23"/>
        <v>0</v>
      </c>
      <c r="T107" s="2">
        <f t="shared" si="24"/>
        <v>1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1</v>
      </c>
    </row>
    <row r="108" spans="1:35" ht="14.25" customHeight="1" x14ac:dyDescent="0.25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918</v>
      </c>
      <c r="O108" s="34"/>
      <c r="P108" s="34"/>
      <c r="Q108" s="3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0</v>
      </c>
      <c r="AE108" s="2">
        <f t="shared" si="34"/>
        <v>0</v>
      </c>
      <c r="AF108" s="2">
        <f t="shared" si="35"/>
        <v>0</v>
      </c>
      <c r="AG108" s="2">
        <f t="shared" si="36"/>
        <v>0</v>
      </c>
      <c r="AH108" s="2">
        <f t="shared" si="37"/>
        <v>0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935</v>
      </c>
      <c r="E109" s="30" t="s">
        <v>32</v>
      </c>
      <c r="F109" s="30" t="s">
        <v>936</v>
      </c>
      <c r="G109" s="30"/>
      <c r="H109" s="30" t="s">
        <v>165</v>
      </c>
      <c r="I109" s="29" t="s">
        <v>937</v>
      </c>
      <c r="J109" s="29"/>
      <c r="K109" s="29" t="s">
        <v>376</v>
      </c>
      <c r="L109" s="29">
        <v>30</v>
      </c>
      <c r="M109" s="30" t="s">
        <v>938</v>
      </c>
      <c r="N109" s="30" t="s">
        <v>882</v>
      </c>
      <c r="O109" s="31">
        <v>1</v>
      </c>
      <c r="P109" s="31">
        <v>1</v>
      </c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1</v>
      </c>
      <c r="AE109" s="2">
        <f t="shared" si="34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950</v>
      </c>
      <c r="E110" s="33" t="s">
        <v>32</v>
      </c>
      <c r="F110" s="33" t="s">
        <v>951</v>
      </c>
      <c r="G110" s="33" t="s">
        <v>130</v>
      </c>
      <c r="H110" s="33" t="s">
        <v>165</v>
      </c>
      <c r="I110" s="32" t="s">
        <v>952</v>
      </c>
      <c r="J110" s="32">
        <v>10</v>
      </c>
      <c r="K110" s="32" t="s">
        <v>376</v>
      </c>
      <c r="L110" s="32">
        <v>40</v>
      </c>
      <c r="M110" s="33" t="s">
        <v>991</v>
      </c>
      <c r="N110" s="33" t="s">
        <v>898</v>
      </c>
      <c r="O110" s="34"/>
      <c r="P110" s="34"/>
      <c r="Q110" s="3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1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643</v>
      </c>
      <c r="E111" s="30" t="s">
        <v>32</v>
      </c>
      <c r="F111" s="30" t="s">
        <v>644</v>
      </c>
      <c r="G111" s="30" t="s">
        <v>117</v>
      </c>
      <c r="H111" s="30" t="s">
        <v>165</v>
      </c>
      <c r="I111" s="29" t="s">
        <v>689</v>
      </c>
      <c r="J111" s="29">
        <v>1</v>
      </c>
      <c r="K111" s="29" t="s">
        <v>320</v>
      </c>
      <c r="L111" s="29">
        <v>35</v>
      </c>
      <c r="M111" s="30" t="s">
        <v>992</v>
      </c>
      <c r="N111" s="30" t="s">
        <v>895</v>
      </c>
      <c r="O111" s="31">
        <v>1</v>
      </c>
      <c r="P111" s="31"/>
      <c r="Q111" s="30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0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547</v>
      </c>
      <c r="G112" s="30" t="s">
        <v>548</v>
      </c>
      <c r="H112" s="30" t="s">
        <v>165</v>
      </c>
      <c r="I112" s="29" t="s">
        <v>549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1</v>
      </c>
      <c r="AH112" s="2">
        <f t="shared" si="37"/>
        <v>0</v>
      </c>
      <c r="AI112" s="2">
        <f t="shared" si="38"/>
        <v>1</v>
      </c>
    </row>
    <row r="113" spans="1:35" ht="14.25" customHeight="1" x14ac:dyDescent="0.25">
      <c r="A113" s="29">
        <v>1</v>
      </c>
      <c r="B113" s="29">
        <v>1</v>
      </c>
      <c r="C113" s="29">
        <v>7</v>
      </c>
      <c r="D113" s="30" t="s">
        <v>546</v>
      </c>
      <c r="E113" s="30" t="s">
        <v>32</v>
      </c>
      <c r="F113" s="30" t="s">
        <v>657</v>
      </c>
      <c r="G113" s="30" t="s">
        <v>40</v>
      </c>
      <c r="H113" s="30" t="s">
        <v>165</v>
      </c>
      <c r="I113" s="29" t="s">
        <v>690</v>
      </c>
      <c r="J113" s="29"/>
      <c r="K113" s="29" t="s">
        <v>320</v>
      </c>
      <c r="L113" s="29">
        <v>30</v>
      </c>
      <c r="M113" s="30" t="s">
        <v>298</v>
      </c>
      <c r="N113" s="30" t="s">
        <v>902</v>
      </c>
      <c r="O113" s="31">
        <v>1</v>
      </c>
      <c r="P113" s="31"/>
      <c r="Q113" s="30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1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953</v>
      </c>
      <c r="E114" s="21" t="s">
        <v>32</v>
      </c>
      <c r="F114" s="21" t="s">
        <v>954</v>
      </c>
      <c r="G114" s="21" t="s">
        <v>401</v>
      </c>
      <c r="H114" s="21" t="s">
        <v>165</v>
      </c>
      <c r="I114" s="20" t="s">
        <v>955</v>
      </c>
      <c r="J114" s="20"/>
      <c r="K114" s="20" t="s">
        <v>376</v>
      </c>
      <c r="L114" s="20">
        <v>50</v>
      </c>
      <c r="M114" s="21" t="s">
        <v>956</v>
      </c>
      <c r="N114" s="21"/>
      <c r="O114" s="7"/>
      <c r="P114" s="7"/>
      <c r="Q114" s="21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0</v>
      </c>
      <c r="AE114" s="2">
        <f t="shared" si="34"/>
        <v>0</v>
      </c>
      <c r="AF114" s="2">
        <f t="shared" si="35"/>
        <v>0</v>
      </c>
      <c r="AG114" s="2">
        <f t="shared" si="36"/>
        <v>0</v>
      </c>
      <c r="AH114" s="2">
        <f t="shared" si="37"/>
        <v>0</v>
      </c>
      <c r="AI114" s="2">
        <f t="shared" si="38"/>
        <v>1</v>
      </c>
    </row>
    <row r="115" spans="1:35" ht="14.25" customHeight="1" x14ac:dyDescent="0.25">
      <c r="A115" s="29">
        <v>0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616</v>
      </c>
      <c r="G115" s="30" t="s">
        <v>469</v>
      </c>
      <c r="H115" s="30" t="s">
        <v>165</v>
      </c>
      <c r="I115" s="29" t="s">
        <v>617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</row>
    <row r="116" spans="1:35" ht="14.25" customHeight="1" x14ac:dyDescent="0.25">
      <c r="A116" s="29">
        <v>1</v>
      </c>
      <c r="B116" s="29">
        <v>2</v>
      </c>
      <c r="C116" s="29">
        <v>1</v>
      </c>
      <c r="D116" s="30" t="s">
        <v>665</v>
      </c>
      <c r="E116" s="30" t="s">
        <v>44</v>
      </c>
      <c r="F116" s="30" t="s">
        <v>618</v>
      </c>
      <c r="G116" s="30" t="s">
        <v>91</v>
      </c>
      <c r="H116" s="30" t="s">
        <v>165</v>
      </c>
      <c r="I116" s="29" t="s">
        <v>617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882</v>
      </c>
      <c r="O116" s="31">
        <v>1</v>
      </c>
      <c r="P116" s="31">
        <v>1</v>
      </c>
      <c r="Q116" s="30"/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</row>
    <row r="117" spans="1:35" ht="14.25" customHeight="1" x14ac:dyDescent="0.25">
      <c r="A117" s="29">
        <v>0</v>
      </c>
      <c r="B117" s="29">
        <v>2</v>
      </c>
      <c r="C117" s="29">
        <v>1</v>
      </c>
      <c r="D117" s="30" t="s">
        <v>995</v>
      </c>
      <c r="E117" s="30" t="s">
        <v>44</v>
      </c>
      <c r="F117" s="30" t="s">
        <v>979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376</v>
      </c>
      <c r="L117" s="29"/>
      <c r="M117" s="30"/>
      <c r="N117" s="30" t="s">
        <v>882</v>
      </c>
      <c r="O117" s="31">
        <v>1</v>
      </c>
      <c r="P117" s="31">
        <v>1</v>
      </c>
      <c r="Q117" s="30" t="s">
        <v>980</v>
      </c>
      <c r="S117" s="2">
        <f t="shared" si="23"/>
        <v>1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1</v>
      </c>
      <c r="AE117" s="2">
        <f t="shared" si="34"/>
        <v>0</v>
      </c>
      <c r="AF117" s="2">
        <f t="shared" si="35"/>
        <v>1</v>
      </c>
      <c r="AG117" s="2">
        <f t="shared" si="36"/>
        <v>0</v>
      </c>
      <c r="AH117" s="2">
        <f t="shared" si="37"/>
        <v>1</v>
      </c>
      <c r="AI117" s="2">
        <f t="shared" si="38"/>
        <v>0</v>
      </c>
    </row>
    <row r="118" spans="1:35" ht="14.25" customHeight="1" x14ac:dyDescent="0.25">
      <c r="A118" s="20">
        <v>0</v>
      </c>
      <c r="B118" s="20">
        <v>2</v>
      </c>
      <c r="C118" s="20">
        <v>1</v>
      </c>
      <c r="D118" s="21" t="s">
        <v>788</v>
      </c>
      <c r="E118" s="21" t="s">
        <v>468</v>
      </c>
      <c r="F118" s="21" t="s">
        <v>789</v>
      </c>
      <c r="G118" s="21" t="s">
        <v>114</v>
      </c>
      <c r="H118" s="21" t="s">
        <v>165</v>
      </c>
      <c r="I118" s="20" t="s">
        <v>790</v>
      </c>
      <c r="J118" s="20">
        <v>99</v>
      </c>
      <c r="K118" s="20" t="s">
        <v>376</v>
      </c>
      <c r="L118" s="20">
        <v>6</v>
      </c>
      <c r="M118" s="21" t="s">
        <v>931</v>
      </c>
      <c r="N118" s="21"/>
      <c r="O118" s="7"/>
      <c r="P118" s="7"/>
      <c r="Q118" s="21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0</v>
      </c>
      <c r="AE118" s="2">
        <f t="shared" si="34"/>
        <v>0</v>
      </c>
      <c r="AF118" s="2">
        <f t="shared" si="35"/>
        <v>0</v>
      </c>
      <c r="AG118" s="2">
        <f t="shared" si="36"/>
        <v>0</v>
      </c>
      <c r="AH118" s="2">
        <f t="shared" si="37"/>
        <v>0</v>
      </c>
      <c r="AI118" s="2">
        <f t="shared" si="38"/>
        <v>1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783</v>
      </c>
      <c r="E119" s="30" t="s">
        <v>468</v>
      </c>
      <c r="F119" s="30" t="s">
        <v>784</v>
      </c>
      <c r="G119" s="30" t="s">
        <v>103</v>
      </c>
      <c r="H119" s="30" t="s">
        <v>165</v>
      </c>
      <c r="I119" s="29" t="s">
        <v>785</v>
      </c>
      <c r="J119" s="29">
        <v>2</v>
      </c>
      <c r="K119" s="29" t="s">
        <v>321</v>
      </c>
      <c r="L119" s="29">
        <v>15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1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0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534</v>
      </c>
      <c r="G120" s="30" t="s">
        <v>469</v>
      </c>
      <c r="H120" s="30" t="s">
        <v>165</v>
      </c>
      <c r="I120" s="29" t="s">
        <v>536</v>
      </c>
      <c r="J120" s="29">
        <v>99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1</v>
      </c>
      <c r="AG120" s="2">
        <f t="shared" si="36"/>
        <v>0</v>
      </c>
      <c r="AH120" s="2">
        <f t="shared" si="37"/>
        <v>1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530</v>
      </c>
      <c r="G121" s="30" t="s">
        <v>92</v>
      </c>
      <c r="H121" s="30" t="s">
        <v>165</v>
      </c>
      <c r="I121" s="29" t="s">
        <v>531</v>
      </c>
      <c r="J121" s="29">
        <v>2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1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535</v>
      </c>
      <c r="G122" s="30" t="s">
        <v>403</v>
      </c>
      <c r="H122" s="30" t="s">
        <v>165</v>
      </c>
      <c r="I122" s="29" t="s">
        <v>537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771</v>
      </c>
      <c r="G123" s="30" t="s">
        <v>772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773</v>
      </c>
      <c r="G124" s="30" t="s">
        <v>811</v>
      </c>
      <c r="H124" s="30" t="s">
        <v>165</v>
      </c>
      <c r="I124" s="29" t="s">
        <v>536</v>
      </c>
      <c r="J124" s="29">
        <v>3</v>
      </c>
      <c r="K124" s="29" t="s">
        <v>318</v>
      </c>
      <c r="L124" s="29">
        <v>13</v>
      </c>
      <c r="M124" s="30" t="s">
        <v>855</v>
      </c>
      <c r="N124" s="30" t="s">
        <v>882</v>
      </c>
      <c r="O124" s="31">
        <v>1</v>
      </c>
      <c r="P124" s="31">
        <v>1</v>
      </c>
      <c r="Q124" s="30"/>
      <c r="S124" s="2">
        <f t="shared" si="23"/>
        <v>0</v>
      </c>
      <c r="T124" s="2">
        <f t="shared" si="24"/>
        <v>0</v>
      </c>
      <c r="U124" s="2">
        <f t="shared" si="25"/>
        <v>1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1</v>
      </c>
      <c r="AE124" s="2">
        <f t="shared" si="34"/>
        <v>0</v>
      </c>
      <c r="AF124" s="2">
        <f t="shared" si="35"/>
        <v>0</v>
      </c>
      <c r="AG124" s="2">
        <f t="shared" si="36"/>
        <v>0</v>
      </c>
      <c r="AH124" s="2">
        <f t="shared" si="37"/>
        <v>0</v>
      </c>
      <c r="AI124" s="2">
        <f t="shared" si="38"/>
        <v>0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658</v>
      </c>
      <c r="E125" s="30" t="s">
        <v>35</v>
      </c>
      <c r="F125" s="30" t="s">
        <v>632</v>
      </c>
      <c r="G125" s="30" t="s">
        <v>683</v>
      </c>
      <c r="H125" s="30" t="s">
        <v>165</v>
      </c>
      <c r="I125" s="29" t="s">
        <v>633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888</v>
      </c>
      <c r="O125" s="31">
        <v>1</v>
      </c>
      <c r="P125" s="31"/>
      <c r="Q125" s="30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0</v>
      </c>
      <c r="AE125" s="2">
        <f t="shared" si="34"/>
        <v>1</v>
      </c>
      <c r="AF125" s="2">
        <f t="shared" si="35"/>
        <v>0</v>
      </c>
      <c r="AG125" s="2">
        <f t="shared" si="36"/>
        <v>1</v>
      </c>
      <c r="AH125" s="2">
        <f t="shared" si="37"/>
        <v>0</v>
      </c>
      <c r="AI125" s="2">
        <f t="shared" si="38"/>
        <v>1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925</v>
      </c>
      <c r="E126" s="30" t="s">
        <v>468</v>
      </c>
      <c r="F126" s="30" t="s">
        <v>926</v>
      </c>
      <c r="G126" s="30" t="s">
        <v>38</v>
      </c>
      <c r="H126" s="30" t="s">
        <v>165</v>
      </c>
      <c r="I126" s="29" t="s">
        <v>927</v>
      </c>
      <c r="J126" s="29">
        <v>1</v>
      </c>
      <c r="K126" s="29" t="s">
        <v>376</v>
      </c>
      <c r="L126" s="29"/>
      <c r="M126" s="30"/>
      <c r="N126" s="30" t="s">
        <v>882</v>
      </c>
      <c r="O126" s="31">
        <v>1</v>
      </c>
      <c r="P126" s="31">
        <v>1</v>
      </c>
      <c r="Q126" s="30"/>
      <c r="S126" s="2">
        <f t="shared" si="23"/>
        <v>1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755</v>
      </c>
      <c r="G127" s="30" t="s">
        <v>812</v>
      </c>
      <c r="H127" s="30" t="s">
        <v>165</v>
      </c>
      <c r="I127" s="29" t="s">
        <v>756</v>
      </c>
      <c r="J127" s="29">
        <v>99</v>
      </c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1</v>
      </c>
      <c r="AG127" s="2">
        <f t="shared" ref="AG127" si="52">O127*(1-P127)*(1-A127)</f>
        <v>0</v>
      </c>
      <c r="AH127" s="2">
        <f t="shared" ref="AH127" si="53">+P127*(1-A127)</f>
        <v>1</v>
      </c>
      <c r="AI127" s="2">
        <f t="shared" ref="AI127" si="54">+(1-A127)*(1-P127)</f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996</v>
      </c>
      <c r="G128" s="30" t="s">
        <v>997</v>
      </c>
      <c r="H128" s="30" t="s">
        <v>165</v>
      </c>
      <c r="I128" s="29" t="s">
        <v>998</v>
      </c>
      <c r="J128" s="29"/>
      <c r="K128" s="29" t="s">
        <v>320</v>
      </c>
      <c r="L128" s="29"/>
      <c r="M128" s="30" t="s">
        <v>702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0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223</v>
      </c>
      <c r="G129" s="30" t="s">
        <v>96</v>
      </c>
      <c r="H129" s="30" t="s">
        <v>165</v>
      </c>
      <c r="I129" s="29" t="s">
        <v>484</v>
      </c>
      <c r="J129" s="29">
        <v>3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1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1</v>
      </c>
      <c r="AG129" s="2">
        <f t="shared" si="36"/>
        <v>0</v>
      </c>
      <c r="AH129" s="2">
        <f t="shared" si="37"/>
        <v>1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646</v>
      </c>
      <c r="G130" s="30" t="s">
        <v>92</v>
      </c>
      <c r="H130" s="30" t="s">
        <v>165</v>
      </c>
      <c r="I130" s="29" t="s">
        <v>647</v>
      </c>
      <c r="J130" s="29">
        <v>2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1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645</v>
      </c>
      <c r="G131" s="30" t="s">
        <v>40</v>
      </c>
      <c r="H131" s="30" t="s">
        <v>165</v>
      </c>
      <c r="I131" s="29" t="s">
        <v>648</v>
      </c>
      <c r="J131" s="29">
        <v>4</v>
      </c>
      <c r="K131" s="29" t="s">
        <v>319</v>
      </c>
      <c r="L131" s="29" t="s">
        <v>318</v>
      </c>
      <c r="M131" s="30" t="s">
        <v>269</v>
      </c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1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962</v>
      </c>
      <c r="E132" s="30" t="s">
        <v>468</v>
      </c>
      <c r="F132" s="30" t="s">
        <v>963</v>
      </c>
      <c r="G132" s="30"/>
      <c r="H132" s="30" t="s">
        <v>165</v>
      </c>
      <c r="I132" s="29" t="s">
        <v>964</v>
      </c>
      <c r="J132" s="29"/>
      <c r="K132" s="29" t="s">
        <v>376</v>
      </c>
      <c r="L132" s="29"/>
      <c r="M132" s="30"/>
      <c r="N132" s="30" t="s">
        <v>882</v>
      </c>
      <c r="O132" s="31">
        <v>1</v>
      </c>
      <c r="P132" s="31">
        <v>1</v>
      </c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459</v>
      </c>
      <c r="E133" s="30" t="s">
        <v>466</v>
      </c>
      <c r="F133" s="30" t="s">
        <v>472</v>
      </c>
      <c r="G133" s="30" t="s">
        <v>473</v>
      </c>
      <c r="H133" s="30" t="s">
        <v>165</v>
      </c>
      <c r="I133" s="29" t="s">
        <v>407</v>
      </c>
      <c r="J133" s="29">
        <v>99</v>
      </c>
      <c r="K133" s="29" t="s">
        <v>320</v>
      </c>
      <c r="L133" s="29" t="s">
        <v>318</v>
      </c>
      <c r="M133" s="30" t="s">
        <v>269</v>
      </c>
      <c r="N133" s="30" t="s">
        <v>919</v>
      </c>
      <c r="O133" s="31">
        <v>1</v>
      </c>
      <c r="P133" s="31"/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1</v>
      </c>
      <c r="AF133" s="2">
        <f t="shared" si="35"/>
        <v>0</v>
      </c>
      <c r="AG133" s="2">
        <f t="shared" si="36"/>
        <v>1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0">
        <v>0</v>
      </c>
      <c r="B134" s="20">
        <v>2</v>
      </c>
      <c r="C134" s="20">
        <v>1</v>
      </c>
      <c r="D134" s="21" t="s">
        <v>50</v>
      </c>
      <c r="E134" s="21" t="s">
        <v>44</v>
      </c>
      <c r="F134" s="21" t="s">
        <v>253</v>
      </c>
      <c r="G134" s="21" t="s">
        <v>102</v>
      </c>
      <c r="H134" s="21" t="s">
        <v>165</v>
      </c>
      <c r="I134" s="20" t="s">
        <v>170</v>
      </c>
      <c r="J134" s="20">
        <v>4</v>
      </c>
      <c r="K134" s="20" t="s">
        <v>376</v>
      </c>
      <c r="L134" s="20" t="s">
        <v>318</v>
      </c>
      <c r="M134" s="21" t="s">
        <v>269</v>
      </c>
      <c r="N134" s="21"/>
      <c r="O134" s="7"/>
      <c r="P134" s="7"/>
      <c r="Q134" s="21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1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0</v>
      </c>
      <c r="AF134" s="2">
        <f t="shared" si="35"/>
        <v>0</v>
      </c>
      <c r="AG134" s="2">
        <f t="shared" si="36"/>
        <v>0</v>
      </c>
      <c r="AH134" s="2">
        <f t="shared" si="37"/>
        <v>0</v>
      </c>
      <c r="AI134" s="2">
        <f t="shared" si="38"/>
        <v>1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928</v>
      </c>
      <c r="E135" s="30" t="s">
        <v>929</v>
      </c>
      <c r="F135" s="30" t="s">
        <v>930</v>
      </c>
      <c r="G135" s="30"/>
      <c r="H135" s="30" t="s">
        <v>165</v>
      </c>
      <c r="I135" s="29" t="s">
        <v>33</v>
      </c>
      <c r="J135" s="29"/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903</v>
      </c>
      <c r="E136" s="30" t="s">
        <v>35</v>
      </c>
      <c r="F136" s="30" t="s">
        <v>904</v>
      </c>
      <c r="G136" s="30"/>
      <c r="H136" s="30" t="s">
        <v>165</v>
      </c>
      <c r="I136" s="29" t="s">
        <v>905</v>
      </c>
      <c r="J136" s="29">
        <v>99</v>
      </c>
      <c r="K136" s="29" t="s">
        <v>376</v>
      </c>
      <c r="L136" s="29"/>
      <c r="M136" s="30"/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550</v>
      </c>
      <c r="E137" s="30" t="s">
        <v>211</v>
      </c>
      <c r="F137" s="30" t="s">
        <v>551</v>
      </c>
      <c r="G137" s="30" t="s">
        <v>552</v>
      </c>
      <c r="H137" s="30" t="s">
        <v>165</v>
      </c>
      <c r="I137" s="29" t="s">
        <v>33</v>
      </c>
      <c r="J137" s="29">
        <v>99</v>
      </c>
      <c r="K137" s="29" t="s">
        <v>321</v>
      </c>
      <c r="L137" s="29">
        <v>8</v>
      </c>
      <c r="M137" s="30" t="s">
        <v>855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225</v>
      </c>
      <c r="E138" s="30" t="s">
        <v>44</v>
      </c>
      <c r="F138" s="30" t="s">
        <v>816</v>
      </c>
      <c r="G138" s="30" t="s">
        <v>130</v>
      </c>
      <c r="H138" s="30" t="s">
        <v>165</v>
      </c>
      <c r="I138" s="29" t="s">
        <v>226</v>
      </c>
      <c r="J138" s="29">
        <v>10</v>
      </c>
      <c r="K138" s="29" t="s">
        <v>321</v>
      </c>
      <c r="L138" s="29">
        <v>5</v>
      </c>
      <c r="M138" s="30" t="s">
        <v>269</v>
      </c>
      <c r="N138" s="30" t="s">
        <v>882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1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353</v>
      </c>
      <c r="G139" s="30" t="s">
        <v>243</v>
      </c>
      <c r="H139" s="30" t="s">
        <v>165</v>
      </c>
      <c r="I139" s="29" t="s">
        <v>486</v>
      </c>
      <c r="J139" s="29">
        <v>9</v>
      </c>
      <c r="K139" s="29" t="s">
        <v>320</v>
      </c>
      <c r="L139" s="29">
        <v>11</v>
      </c>
      <c r="M139" s="30" t="s">
        <v>856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1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1</v>
      </c>
      <c r="AH139" s="2">
        <f t="shared" si="37"/>
        <v>0</v>
      </c>
      <c r="AI139" s="2">
        <f t="shared" si="38"/>
        <v>1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578</v>
      </c>
      <c r="G140" s="30" t="s">
        <v>553</v>
      </c>
      <c r="H140" s="30" t="s">
        <v>165</v>
      </c>
      <c r="I140" s="29" t="s">
        <v>554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999</v>
      </c>
      <c r="G141" s="30" t="s">
        <v>125</v>
      </c>
      <c r="H141" s="30" t="s">
        <v>165</v>
      </c>
      <c r="I141" s="29" t="s">
        <v>33</v>
      </c>
      <c r="J141" s="29">
        <v>99</v>
      </c>
      <c r="K141" s="29" t="s">
        <v>320</v>
      </c>
      <c r="L141" s="29">
        <v>11</v>
      </c>
      <c r="M141" s="30" t="s">
        <v>857</v>
      </c>
      <c r="N141" s="30" t="s">
        <v>888</v>
      </c>
      <c r="O141" s="31">
        <v>1</v>
      </c>
      <c r="P141" s="31"/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0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0</v>
      </c>
      <c r="AE141" s="2">
        <f t="shared" ref="AE141:AE203" si="82">O141*(1-P141)</f>
        <v>1</v>
      </c>
      <c r="AF141" s="2">
        <f t="shared" ref="AF141:AF203" si="83">+O141*P141*(1-A141)</f>
        <v>0</v>
      </c>
      <c r="AG141" s="2">
        <f t="shared" ref="AG141:AG203" si="84">O141*(1-P141)*(1-A141)</f>
        <v>0</v>
      </c>
      <c r="AH141" s="2">
        <f t="shared" ref="AH141:AH203" si="85">+P141*(1-A141)</f>
        <v>0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247</v>
      </c>
      <c r="E142" s="30" t="s">
        <v>35</v>
      </c>
      <c r="F142" s="30" t="s">
        <v>209</v>
      </c>
      <c r="G142" s="30" t="s">
        <v>93</v>
      </c>
      <c r="H142" s="30" t="s">
        <v>165</v>
      </c>
      <c r="I142" s="29" t="s">
        <v>210</v>
      </c>
      <c r="J142" s="29">
        <v>8</v>
      </c>
      <c r="K142" s="29" t="s">
        <v>319</v>
      </c>
      <c r="L142" s="29" t="s">
        <v>318</v>
      </c>
      <c r="M142" s="30" t="s">
        <v>269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0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1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360</v>
      </c>
      <c r="E143" s="30" t="s">
        <v>468</v>
      </c>
      <c r="F143" s="30" t="s">
        <v>580</v>
      </c>
      <c r="G143" s="30" t="s">
        <v>91</v>
      </c>
      <c r="H143" s="30" t="s">
        <v>165</v>
      </c>
      <c r="I143" s="29" t="s">
        <v>357</v>
      </c>
      <c r="J143" s="29">
        <v>1</v>
      </c>
      <c r="K143" s="29" t="s">
        <v>321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1</v>
      </c>
      <c r="T143" s="2">
        <f t="shared" si="72"/>
        <v>0</v>
      </c>
      <c r="U143" s="2">
        <f t="shared" si="73"/>
        <v>0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110</v>
      </c>
      <c r="G144" s="30" t="s">
        <v>99</v>
      </c>
      <c r="H144" s="30" t="s">
        <v>165</v>
      </c>
      <c r="I144" s="29" t="s">
        <v>174</v>
      </c>
      <c r="J144" s="29">
        <v>3</v>
      </c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1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1</v>
      </c>
      <c r="AG144" s="2">
        <f t="shared" ref="AG144" si="100">O144*(1-P144)*(1-A144)</f>
        <v>0</v>
      </c>
      <c r="AH144" s="2">
        <f t="shared" ref="AH144" si="101">+P144*(1-A144)</f>
        <v>1</v>
      </c>
      <c r="AI144" s="2">
        <f t="shared" ref="AI144" si="102">+(1-A144)*(1-P144)</f>
        <v>0</v>
      </c>
    </row>
    <row r="145" spans="1:35" ht="14.25" customHeight="1" x14ac:dyDescent="0.25">
      <c r="A145" s="29">
        <v>1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1000</v>
      </c>
      <c r="G145" s="30" t="s">
        <v>1001</v>
      </c>
      <c r="H145" s="30" t="s">
        <v>165</v>
      </c>
      <c r="I145" s="29" t="s">
        <v>33</v>
      </c>
      <c r="J145" s="29"/>
      <c r="K145" s="29" t="s">
        <v>320</v>
      </c>
      <c r="L145" s="29" t="s">
        <v>325</v>
      </c>
      <c r="M145" s="30" t="s">
        <v>495</v>
      </c>
      <c r="N145" s="30" t="s">
        <v>882</v>
      </c>
      <c r="O145" s="31">
        <v>1</v>
      </c>
      <c r="P145" s="31">
        <v>1</v>
      </c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0</v>
      </c>
      <c r="AA145" s="2">
        <f t="shared" si="79"/>
        <v>0</v>
      </c>
      <c r="AB145" s="2">
        <f t="shared" si="80"/>
        <v>0</v>
      </c>
      <c r="AD145" s="2">
        <f t="shared" si="81"/>
        <v>1</v>
      </c>
      <c r="AE145" s="2">
        <f t="shared" si="82"/>
        <v>0</v>
      </c>
      <c r="AF145" s="2">
        <f t="shared" si="83"/>
        <v>0</v>
      </c>
      <c r="AG145" s="2">
        <f t="shared" si="84"/>
        <v>0</v>
      </c>
      <c r="AH145" s="2">
        <f t="shared" si="85"/>
        <v>0</v>
      </c>
      <c r="AI145" s="2">
        <f t="shared" si="86"/>
        <v>0</v>
      </c>
    </row>
    <row r="146" spans="1:35" ht="14.25" customHeight="1" x14ac:dyDescent="0.25">
      <c r="A146" s="29">
        <v>0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820</v>
      </c>
      <c r="G146" s="30" t="s">
        <v>93</v>
      </c>
      <c r="H146" s="30" t="s">
        <v>165</v>
      </c>
      <c r="I146" s="29" t="s">
        <v>167</v>
      </c>
      <c r="J146" s="29">
        <v>8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0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1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1</v>
      </c>
      <c r="AH146" s="2">
        <f t="shared" si="85"/>
        <v>0</v>
      </c>
      <c r="AI146" s="2">
        <f t="shared" si="86"/>
        <v>1</v>
      </c>
    </row>
    <row r="147" spans="1:35" ht="14.25" customHeight="1" x14ac:dyDescent="0.25">
      <c r="A147" s="29">
        <v>1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98</v>
      </c>
      <c r="G147" s="30" t="s">
        <v>99</v>
      </c>
      <c r="H147" s="30" t="s">
        <v>165</v>
      </c>
      <c r="I147" s="29" t="s">
        <v>490</v>
      </c>
      <c r="J147" s="29">
        <v>3</v>
      </c>
      <c r="K147" s="29" t="s">
        <v>320</v>
      </c>
      <c r="L147" s="29" t="s">
        <v>318</v>
      </c>
      <c r="M147" s="30" t="s">
        <v>269</v>
      </c>
      <c r="N147" s="30" t="s">
        <v>902</v>
      </c>
      <c r="O147" s="31">
        <v>1</v>
      </c>
      <c r="P147" s="31"/>
      <c r="Q147" s="30"/>
      <c r="S147" s="2">
        <f t="shared" si="71"/>
        <v>0</v>
      </c>
      <c r="T147" s="2">
        <f t="shared" si="72"/>
        <v>0</v>
      </c>
      <c r="U147" s="2">
        <f t="shared" si="73"/>
        <v>1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0</v>
      </c>
      <c r="AE147" s="2">
        <f t="shared" si="82"/>
        <v>1</v>
      </c>
      <c r="AF147" s="2">
        <f t="shared" si="83"/>
        <v>0</v>
      </c>
      <c r="AG147" s="2">
        <f t="shared" si="84"/>
        <v>0</v>
      </c>
      <c r="AH147" s="2">
        <f t="shared" si="85"/>
        <v>0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910</v>
      </c>
      <c r="E148" s="30" t="s">
        <v>35</v>
      </c>
      <c r="F148" s="30" t="s">
        <v>911</v>
      </c>
      <c r="G148" s="30" t="s">
        <v>132</v>
      </c>
      <c r="H148" s="30" t="s">
        <v>165</v>
      </c>
      <c r="I148" s="29" t="s">
        <v>912</v>
      </c>
      <c r="J148" s="29">
        <v>99</v>
      </c>
      <c r="K148" s="29" t="s">
        <v>376</v>
      </c>
      <c r="L148" s="29"/>
      <c r="M148" s="30"/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453</v>
      </c>
      <c r="E149" s="30" t="s">
        <v>454</v>
      </c>
      <c r="F149" s="30" t="s">
        <v>455</v>
      </c>
      <c r="G149" s="30" t="s">
        <v>456</v>
      </c>
      <c r="H149" s="30" t="s">
        <v>165</v>
      </c>
      <c r="I149" s="29" t="s">
        <v>457</v>
      </c>
      <c r="J149" s="29">
        <v>99</v>
      </c>
      <c r="K149" s="29" t="s">
        <v>318</v>
      </c>
      <c r="L149" s="29" t="s">
        <v>321</v>
      </c>
      <c r="M149" s="30" t="s">
        <v>269</v>
      </c>
      <c r="N149" s="30" t="s">
        <v>882</v>
      </c>
      <c r="O149" s="31">
        <v>1</v>
      </c>
      <c r="P149" s="31">
        <v>1</v>
      </c>
      <c r="Q149" s="30"/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1</v>
      </c>
      <c r="AE149" s="2">
        <f t="shared" si="82"/>
        <v>0</v>
      </c>
      <c r="AF149" s="2">
        <f t="shared" si="83"/>
        <v>1</v>
      </c>
      <c r="AG149" s="2">
        <f t="shared" si="84"/>
        <v>0</v>
      </c>
      <c r="AH149" s="2">
        <f t="shared" si="85"/>
        <v>1</v>
      </c>
      <c r="AI149" s="2">
        <f t="shared" si="86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558</v>
      </c>
      <c r="E150" s="30" t="s">
        <v>35</v>
      </c>
      <c r="F150" s="30" t="s">
        <v>823</v>
      </c>
      <c r="G150" s="30" t="s">
        <v>517</v>
      </c>
      <c r="H150" s="30" t="s">
        <v>165</v>
      </c>
      <c r="I150" s="29" t="s">
        <v>559</v>
      </c>
      <c r="J150" s="29">
        <v>99</v>
      </c>
      <c r="K150" s="29" t="s">
        <v>318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 t="s">
        <v>946</v>
      </c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0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390</v>
      </c>
      <c r="E151" s="30" t="s">
        <v>37</v>
      </c>
      <c r="F151" s="30" t="s">
        <v>481</v>
      </c>
      <c r="G151" s="30" t="s">
        <v>130</v>
      </c>
      <c r="H151" s="30" t="s">
        <v>165</v>
      </c>
      <c r="I151" s="29" t="s">
        <v>391</v>
      </c>
      <c r="J151" s="29">
        <v>10</v>
      </c>
      <c r="K151" s="29" t="s">
        <v>319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1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248</v>
      </c>
      <c r="E152" s="30" t="s">
        <v>37</v>
      </c>
      <c r="F152" s="30" t="s">
        <v>232</v>
      </c>
      <c r="G152" s="30" t="s">
        <v>582</v>
      </c>
      <c r="H152" s="30" t="s">
        <v>165</v>
      </c>
      <c r="I152" s="29" t="s">
        <v>265</v>
      </c>
      <c r="J152" s="29">
        <v>99</v>
      </c>
      <c r="K152" s="29" t="s">
        <v>320</v>
      </c>
      <c r="L152" s="29">
        <v>5</v>
      </c>
      <c r="M152" s="30" t="s">
        <v>269</v>
      </c>
      <c r="N152" s="30" t="s">
        <v>888</v>
      </c>
      <c r="O152" s="31">
        <v>1</v>
      </c>
      <c r="P152" s="31"/>
      <c r="Q152" s="30"/>
      <c r="S152" s="2">
        <f t="shared" si="71"/>
        <v>0</v>
      </c>
      <c r="T152" s="2">
        <f t="shared" si="72"/>
        <v>0</v>
      </c>
      <c r="U152" s="2">
        <f t="shared" si="73"/>
        <v>0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1</v>
      </c>
      <c r="AF152" s="2">
        <f t="shared" si="83"/>
        <v>0</v>
      </c>
      <c r="AG152" s="2">
        <f t="shared" si="84"/>
        <v>1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0">
        <v>0</v>
      </c>
      <c r="B153" s="20">
        <v>2</v>
      </c>
      <c r="C153" s="20">
        <v>2</v>
      </c>
      <c r="D153" s="21" t="s">
        <v>717</v>
      </c>
      <c r="E153" s="21" t="s">
        <v>809</v>
      </c>
      <c r="F153" s="21" t="s">
        <v>718</v>
      </c>
      <c r="G153" s="21" t="s">
        <v>96</v>
      </c>
      <c r="H153" s="21" t="s">
        <v>165</v>
      </c>
      <c r="I153" s="20" t="s">
        <v>719</v>
      </c>
      <c r="J153" s="20">
        <v>3</v>
      </c>
      <c r="K153" s="20" t="s">
        <v>319</v>
      </c>
      <c r="L153" s="20">
        <v>35</v>
      </c>
      <c r="M153" s="21" t="s">
        <v>872</v>
      </c>
      <c r="N153" s="21"/>
      <c r="O153" s="7"/>
      <c r="P153" s="7"/>
      <c r="Q153" s="21"/>
      <c r="S153" s="2">
        <f t="shared" si="71"/>
        <v>0</v>
      </c>
      <c r="T153" s="2">
        <f t="shared" si="72"/>
        <v>0</v>
      </c>
      <c r="U153" s="2">
        <f t="shared" si="73"/>
        <v>1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0</v>
      </c>
      <c r="AF153" s="2">
        <f t="shared" si="83"/>
        <v>0</v>
      </c>
      <c r="AG153" s="2">
        <f t="shared" si="84"/>
        <v>0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29">
        <v>0</v>
      </c>
      <c r="B154" s="29">
        <v>2</v>
      </c>
      <c r="C154" s="29">
        <v>2</v>
      </c>
      <c r="D154" s="30" t="s">
        <v>501</v>
      </c>
      <c r="E154" s="30" t="s">
        <v>670</v>
      </c>
      <c r="F154" s="30" t="s">
        <v>502</v>
      </c>
      <c r="G154" s="30" t="s">
        <v>137</v>
      </c>
      <c r="H154" s="30" t="s">
        <v>165</v>
      </c>
      <c r="I154" s="29" t="s">
        <v>503</v>
      </c>
      <c r="J154" s="29">
        <v>1</v>
      </c>
      <c r="K154" s="29" t="s">
        <v>318</v>
      </c>
      <c r="L154" s="29">
        <v>45</v>
      </c>
      <c r="M154" s="30" t="s">
        <v>873</v>
      </c>
      <c r="N154" s="30" t="s">
        <v>888</v>
      </c>
      <c r="O154" s="31">
        <v>1</v>
      </c>
      <c r="P154" s="31"/>
      <c r="Q154" s="30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1</v>
      </c>
      <c r="AF154" s="2">
        <f t="shared" si="83"/>
        <v>0</v>
      </c>
      <c r="AG154" s="2">
        <f t="shared" si="84"/>
        <v>1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32">
        <v>0</v>
      </c>
      <c r="B155" s="32">
        <v>2</v>
      </c>
      <c r="C155" s="32">
        <v>2</v>
      </c>
      <c r="D155" s="33" t="s">
        <v>791</v>
      </c>
      <c r="E155" s="33"/>
      <c r="F155" s="33" t="s">
        <v>792</v>
      </c>
      <c r="G155" s="33" t="s">
        <v>309</v>
      </c>
      <c r="H155" s="33" t="s">
        <v>165</v>
      </c>
      <c r="I155" s="32" t="s">
        <v>33</v>
      </c>
      <c r="J155" s="32">
        <v>1</v>
      </c>
      <c r="K155" s="32" t="s">
        <v>376</v>
      </c>
      <c r="L155" s="32">
        <v>40</v>
      </c>
      <c r="M155" s="33" t="s">
        <v>793</v>
      </c>
      <c r="N155" s="33" t="s">
        <v>918</v>
      </c>
      <c r="O155" s="34"/>
      <c r="P155" s="34"/>
      <c r="Q155" s="33"/>
      <c r="S155" s="2">
        <f t="shared" si="71"/>
        <v>1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0</v>
      </c>
      <c r="AF155" s="2">
        <f t="shared" si="83"/>
        <v>0</v>
      </c>
      <c r="AG155" s="2">
        <f t="shared" si="84"/>
        <v>0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721</v>
      </c>
      <c r="E156" s="30" t="s">
        <v>30</v>
      </c>
      <c r="F156" s="30" t="s">
        <v>782</v>
      </c>
      <c r="G156" s="30" t="s">
        <v>40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345</v>
      </c>
      <c r="M156" s="30" t="s">
        <v>722</v>
      </c>
      <c r="N156" s="30" t="s">
        <v>888</v>
      </c>
      <c r="O156" s="31">
        <v>1</v>
      </c>
      <c r="P156" s="31"/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0</v>
      </c>
      <c r="AE156" s="2">
        <f t="shared" si="82"/>
        <v>1</v>
      </c>
      <c r="AF156" s="2">
        <f t="shared" si="83"/>
        <v>0</v>
      </c>
      <c r="AG156" s="2">
        <f t="shared" si="84"/>
        <v>1</v>
      </c>
      <c r="AH156" s="2">
        <f t="shared" si="85"/>
        <v>0</v>
      </c>
      <c r="AI156" s="2">
        <f t="shared" si="86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513</v>
      </c>
      <c r="G157" s="30" t="s">
        <v>514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1</v>
      </c>
      <c r="AG157" s="2">
        <f t="shared" si="84"/>
        <v>0</v>
      </c>
      <c r="AH157" s="2">
        <f t="shared" si="85"/>
        <v>1</v>
      </c>
      <c r="AI157" s="2">
        <f t="shared" si="86"/>
        <v>0</v>
      </c>
    </row>
    <row r="158" spans="1:35" ht="14.25" customHeight="1" x14ac:dyDescent="0.25">
      <c r="A158" s="29">
        <v>1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775</v>
      </c>
      <c r="G158" s="30" t="s">
        <v>130</v>
      </c>
      <c r="H158" s="30" t="s">
        <v>165</v>
      </c>
      <c r="I158" s="29" t="s">
        <v>33</v>
      </c>
      <c r="J158" s="29"/>
      <c r="K158" s="29" t="s">
        <v>320</v>
      </c>
      <c r="L158" s="29" t="s">
        <v>40</v>
      </c>
      <c r="M158" s="30" t="s">
        <v>40</v>
      </c>
      <c r="N158" s="30" t="s">
        <v>882</v>
      </c>
      <c r="O158" s="31">
        <v>1</v>
      </c>
      <c r="P158" s="31">
        <v>1</v>
      </c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0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1</v>
      </c>
      <c r="AE158" s="2">
        <f t="shared" si="82"/>
        <v>0</v>
      </c>
      <c r="AF158" s="2">
        <f t="shared" si="83"/>
        <v>0</v>
      </c>
      <c r="AG158" s="2">
        <f t="shared" si="84"/>
        <v>0</v>
      </c>
      <c r="AH158" s="2">
        <f t="shared" si="85"/>
        <v>0</v>
      </c>
      <c r="AI158" s="2">
        <f t="shared" si="86"/>
        <v>0</v>
      </c>
    </row>
    <row r="159" spans="1:35" ht="14.25" customHeight="1" x14ac:dyDescent="0.25">
      <c r="A159" s="29">
        <v>0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108</v>
      </c>
      <c r="G159" s="30" t="s">
        <v>40</v>
      </c>
      <c r="H159" s="30" t="s">
        <v>165</v>
      </c>
      <c r="I159" s="29" t="s">
        <v>173</v>
      </c>
      <c r="J159" s="29">
        <v>4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1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1</v>
      </c>
      <c r="AH159" s="2">
        <f t="shared" si="85"/>
        <v>0</v>
      </c>
      <c r="AI159" s="2">
        <f t="shared" si="86"/>
        <v>1</v>
      </c>
    </row>
    <row r="160" spans="1:35" ht="14.25" customHeight="1" x14ac:dyDescent="0.25">
      <c r="A160" s="29">
        <v>1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720</v>
      </c>
      <c r="G160" s="30" t="s">
        <v>582</v>
      </c>
      <c r="H160" s="30" t="s">
        <v>165</v>
      </c>
      <c r="I160" s="29" t="s">
        <v>33</v>
      </c>
      <c r="J160" s="29">
        <v>99</v>
      </c>
      <c r="K160" s="29" t="s">
        <v>320</v>
      </c>
      <c r="L160" s="29" t="s">
        <v>336</v>
      </c>
      <c r="M160" s="30" t="s">
        <v>337</v>
      </c>
      <c r="N160" s="30" t="s">
        <v>900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0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0</v>
      </c>
      <c r="AH160" s="2">
        <f t="shared" si="85"/>
        <v>0</v>
      </c>
      <c r="AI160" s="2">
        <f t="shared" si="86"/>
        <v>0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677</v>
      </c>
      <c r="E161" s="30" t="s">
        <v>672</v>
      </c>
      <c r="F161" s="30" t="s">
        <v>476</v>
      </c>
      <c r="G161" s="30" t="s">
        <v>122</v>
      </c>
      <c r="H161" s="30" t="s">
        <v>165</v>
      </c>
      <c r="I161" s="29" t="s">
        <v>417</v>
      </c>
      <c r="J161" s="29">
        <v>6</v>
      </c>
      <c r="K161" s="29" t="s">
        <v>319</v>
      </c>
      <c r="L161" s="29" t="s">
        <v>339</v>
      </c>
      <c r="M161" s="30" t="s">
        <v>739</v>
      </c>
      <c r="N161" s="30" t="s">
        <v>890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1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435</v>
      </c>
      <c r="E162" s="30" t="s">
        <v>30</v>
      </c>
      <c r="F162" s="30" t="s">
        <v>942</v>
      </c>
      <c r="G162" s="30" t="s">
        <v>577</v>
      </c>
      <c r="H162" s="30" t="s">
        <v>165</v>
      </c>
      <c r="I162" s="29" t="s">
        <v>591</v>
      </c>
      <c r="J162" s="29">
        <v>99</v>
      </c>
      <c r="K162" s="29" t="s">
        <v>376</v>
      </c>
      <c r="L162" s="29">
        <v>35</v>
      </c>
      <c r="M162" s="30" t="s">
        <v>597</v>
      </c>
      <c r="N162" s="30" t="s">
        <v>924</v>
      </c>
      <c r="O162" s="31">
        <v>1</v>
      </c>
      <c r="P162" s="31"/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0</v>
      </c>
      <c r="AE162" s="2">
        <f t="shared" si="82"/>
        <v>1</v>
      </c>
      <c r="AF162" s="2">
        <f t="shared" si="83"/>
        <v>0</v>
      </c>
      <c r="AG162" s="2">
        <f t="shared" si="84"/>
        <v>1</v>
      </c>
      <c r="AH162" s="2">
        <f t="shared" si="85"/>
        <v>0</v>
      </c>
      <c r="AI162" s="2">
        <f t="shared" si="86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560</v>
      </c>
      <c r="E163" s="30" t="s">
        <v>561</v>
      </c>
      <c r="F163" s="30" t="s">
        <v>562</v>
      </c>
      <c r="G163" s="30" t="s">
        <v>563</v>
      </c>
      <c r="H163" s="30" t="s">
        <v>165</v>
      </c>
      <c r="I163" s="29" t="s">
        <v>564</v>
      </c>
      <c r="J163" s="29">
        <v>99</v>
      </c>
      <c r="K163" s="29" t="s">
        <v>320</v>
      </c>
      <c r="L163" s="29" t="s">
        <v>40</v>
      </c>
      <c r="M163" s="30" t="s">
        <v>40</v>
      </c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6">
        <v>0</v>
      </c>
      <c r="B164" s="26">
        <v>2</v>
      </c>
      <c r="C164" s="26">
        <v>2</v>
      </c>
      <c r="D164" s="27" t="s">
        <v>957</v>
      </c>
      <c r="E164" s="27" t="s">
        <v>958</v>
      </c>
      <c r="F164" s="27" t="s">
        <v>959</v>
      </c>
      <c r="G164" s="27" t="s">
        <v>960</v>
      </c>
      <c r="H164" s="27" t="s">
        <v>165</v>
      </c>
      <c r="I164" s="26" t="s">
        <v>961</v>
      </c>
      <c r="J164" s="26"/>
      <c r="K164" s="26" t="s">
        <v>376</v>
      </c>
      <c r="L164" s="26"/>
      <c r="M164" s="27"/>
      <c r="N164" s="27"/>
      <c r="O164" s="28"/>
      <c r="P164" s="28">
        <v>1</v>
      </c>
      <c r="Q164" s="27"/>
      <c r="R164" s="2"/>
      <c r="S164" s="2">
        <f t="shared" si="71"/>
        <v>0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0</v>
      </c>
      <c r="AE164" s="2">
        <f t="shared" si="82"/>
        <v>0</v>
      </c>
      <c r="AF164" s="2">
        <f t="shared" si="83"/>
        <v>0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984</v>
      </c>
      <c r="E165" s="30" t="s">
        <v>981</v>
      </c>
      <c r="F165" s="30" t="s">
        <v>982</v>
      </c>
      <c r="G165" s="30" t="s">
        <v>137</v>
      </c>
      <c r="H165" s="30" t="s">
        <v>165</v>
      </c>
      <c r="I165" s="29" t="s">
        <v>983</v>
      </c>
      <c r="J165" s="29">
        <v>1</v>
      </c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985</v>
      </c>
      <c r="R165" s="20"/>
      <c r="S165" s="2">
        <f t="shared" si="71"/>
        <v>1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932</v>
      </c>
      <c r="E166" s="30" t="s">
        <v>468</v>
      </c>
      <c r="F166" s="30" t="s">
        <v>933</v>
      </c>
      <c r="G166" s="30" t="s">
        <v>96</v>
      </c>
      <c r="H166" s="30" t="s">
        <v>165</v>
      </c>
      <c r="I166" s="29" t="s">
        <v>934</v>
      </c>
      <c r="J166" s="29"/>
      <c r="K166" s="29" t="s">
        <v>376</v>
      </c>
      <c r="L166" s="29"/>
      <c r="M166" s="30"/>
      <c r="N166" s="30" t="s">
        <v>882</v>
      </c>
      <c r="O166" s="31">
        <v>1</v>
      </c>
      <c r="P166" s="31">
        <v>1</v>
      </c>
      <c r="Q166" s="30" t="s">
        <v>987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1</v>
      </c>
      <c r="AE166" s="2">
        <f t="shared" si="82"/>
        <v>0</v>
      </c>
      <c r="AF166" s="2">
        <f t="shared" si="83"/>
        <v>1</v>
      </c>
      <c r="AG166" s="2">
        <f t="shared" si="84"/>
        <v>0</v>
      </c>
      <c r="AH166" s="2">
        <f t="shared" si="85"/>
        <v>1</v>
      </c>
      <c r="AI166" s="2">
        <f t="shared" si="86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707</v>
      </c>
      <c r="E167" s="30" t="s">
        <v>30</v>
      </c>
      <c r="F167" s="30" t="s">
        <v>709</v>
      </c>
      <c r="G167" s="30" t="s">
        <v>710</v>
      </c>
      <c r="H167" s="30" t="s">
        <v>165</v>
      </c>
      <c r="I167" s="29" t="s">
        <v>711</v>
      </c>
      <c r="J167" s="29">
        <v>99</v>
      </c>
      <c r="K167" s="29" t="s">
        <v>320</v>
      </c>
      <c r="L167" s="29">
        <v>55</v>
      </c>
      <c r="M167" s="30" t="s">
        <v>988</v>
      </c>
      <c r="N167" s="30" t="s">
        <v>902</v>
      </c>
      <c r="O167" s="31">
        <v>1</v>
      </c>
      <c r="P167" s="31"/>
      <c r="Q167" s="30" t="s">
        <v>986</v>
      </c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0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440</v>
      </c>
      <c r="E168" s="30" t="s">
        <v>441</v>
      </c>
      <c r="F168" s="30" t="s">
        <v>443</v>
      </c>
      <c r="G168" s="30" t="s">
        <v>93</v>
      </c>
      <c r="H168" s="30" t="s">
        <v>165</v>
      </c>
      <c r="I168" s="29" t="s">
        <v>442</v>
      </c>
      <c r="J168" s="29">
        <v>8</v>
      </c>
      <c r="K168" s="29" t="s">
        <v>318</v>
      </c>
      <c r="L168" s="29">
        <v>40</v>
      </c>
      <c r="M168" s="30" t="s">
        <v>874</v>
      </c>
      <c r="N168" s="30" t="s">
        <v>896</v>
      </c>
      <c r="O168" s="31">
        <v>1</v>
      </c>
      <c r="P168" s="31"/>
      <c r="Q168" s="30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1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1</v>
      </c>
      <c r="AF168" s="2">
        <f t="shared" si="83"/>
        <v>0</v>
      </c>
      <c r="AG168" s="2">
        <f t="shared" si="84"/>
        <v>1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806</v>
      </c>
      <c r="E169" s="33" t="s">
        <v>454</v>
      </c>
      <c r="F169" s="33" t="s">
        <v>787</v>
      </c>
      <c r="G169" s="33" t="s">
        <v>668</v>
      </c>
      <c r="H169" s="33" t="s">
        <v>165</v>
      </c>
      <c r="I169" s="32" t="s">
        <v>786</v>
      </c>
      <c r="J169" s="32">
        <v>99</v>
      </c>
      <c r="K169" s="32" t="s">
        <v>319</v>
      </c>
      <c r="L169" s="32">
        <v>20</v>
      </c>
      <c r="M169" s="33" t="s">
        <v>887</v>
      </c>
      <c r="N169" s="33" t="s">
        <v>889</v>
      </c>
      <c r="O169" s="34"/>
      <c r="P169" s="34"/>
      <c r="Q169" s="33"/>
      <c r="R169" s="2"/>
      <c r="S169" s="2">
        <f t="shared" si="71"/>
        <v>0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32">
        <v>0</v>
      </c>
      <c r="B170" s="32">
        <v>2</v>
      </c>
      <c r="C170" s="32">
        <v>2</v>
      </c>
      <c r="D170" s="33" t="s">
        <v>715</v>
      </c>
      <c r="E170" s="33" t="s">
        <v>810</v>
      </c>
      <c r="F170" s="33" t="s">
        <v>824</v>
      </c>
      <c r="G170" s="33" t="s">
        <v>137</v>
      </c>
      <c r="H170" s="33" t="s">
        <v>165</v>
      </c>
      <c r="I170" s="32" t="s">
        <v>716</v>
      </c>
      <c r="J170" s="32">
        <v>1</v>
      </c>
      <c r="K170" s="32" t="s">
        <v>318</v>
      </c>
      <c r="L170" s="32">
        <v>40</v>
      </c>
      <c r="M170" s="33" t="s">
        <v>875</v>
      </c>
      <c r="N170" s="33" t="s">
        <v>884</v>
      </c>
      <c r="O170" s="34"/>
      <c r="P170" s="34"/>
      <c r="Q170" s="33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0</v>
      </c>
      <c r="AI170" s="2">
        <f t="shared" si="86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464</v>
      </c>
      <c r="E171" s="30" t="s">
        <v>30</v>
      </c>
      <c r="F171" s="30" t="s">
        <v>422</v>
      </c>
      <c r="G171" s="30" t="s">
        <v>160</v>
      </c>
      <c r="H171" s="30" t="s">
        <v>165</v>
      </c>
      <c r="I171" s="29" t="s">
        <v>423</v>
      </c>
      <c r="J171" s="29">
        <v>1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1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354</v>
      </c>
      <c r="E172" s="30" t="s">
        <v>83</v>
      </c>
      <c r="F172" s="30" t="s">
        <v>355</v>
      </c>
      <c r="G172" s="30" t="s">
        <v>368</v>
      </c>
      <c r="H172" s="30" t="s">
        <v>165</v>
      </c>
      <c r="I172" s="29" t="s">
        <v>356</v>
      </c>
      <c r="J172" s="29">
        <v>99</v>
      </c>
      <c r="K172" s="29" t="s">
        <v>321</v>
      </c>
      <c r="L172" s="29" t="s">
        <v>40</v>
      </c>
      <c r="M172" s="30" t="s">
        <v>40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0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944</v>
      </c>
      <c r="G173" s="30" t="s">
        <v>38</v>
      </c>
      <c r="H173" s="30" t="s">
        <v>165</v>
      </c>
      <c r="I173" s="29">
        <v>2799979385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1</v>
      </c>
      <c r="AG173" s="2">
        <f t="shared" si="84"/>
        <v>0</v>
      </c>
      <c r="AH173" s="2">
        <f t="shared" si="85"/>
        <v>1</v>
      </c>
      <c r="AI173" s="2">
        <f t="shared" si="86"/>
        <v>0</v>
      </c>
    </row>
    <row r="174" spans="1:16384" s="3" customFormat="1" ht="14.25" customHeight="1" x14ac:dyDescent="0.25">
      <c r="A174" s="29">
        <v>1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815</v>
      </c>
      <c r="G174" s="30" t="s">
        <v>160</v>
      </c>
      <c r="H174" s="30" t="s">
        <v>165</v>
      </c>
      <c r="I174" s="29" t="s">
        <v>500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882</v>
      </c>
      <c r="O174" s="31">
        <v>1</v>
      </c>
      <c r="P174" s="31">
        <v>1</v>
      </c>
      <c r="Q174" s="30"/>
      <c r="R174" s="2"/>
      <c r="S174" s="2">
        <f t="shared" si="71"/>
        <v>1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1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0</v>
      </c>
    </row>
    <row r="175" spans="1:16384" s="3" customFormat="1" ht="14.25" customHeight="1" x14ac:dyDescent="0.25">
      <c r="A175" s="20">
        <v>0</v>
      </c>
      <c r="B175" s="20">
        <v>2</v>
      </c>
      <c r="C175" s="20">
        <v>3</v>
      </c>
      <c r="D175" s="21" t="s">
        <v>447</v>
      </c>
      <c r="E175" s="21" t="s">
        <v>448</v>
      </c>
      <c r="F175" s="21" t="s">
        <v>449</v>
      </c>
      <c r="G175" s="21" t="s">
        <v>107</v>
      </c>
      <c r="H175" s="21" t="s">
        <v>165</v>
      </c>
      <c r="I175" s="20" t="s">
        <v>450</v>
      </c>
      <c r="J175" s="20">
        <v>99</v>
      </c>
      <c r="K175" s="20" t="s">
        <v>376</v>
      </c>
      <c r="L175" s="20">
        <v>10</v>
      </c>
      <c r="M175" s="21" t="s">
        <v>598</v>
      </c>
      <c r="N175" s="21"/>
      <c r="O175" s="7"/>
      <c r="P175" s="7"/>
      <c r="Q175" s="21"/>
      <c r="R175" s="2"/>
      <c r="S175" s="2">
        <f t="shared" si="71"/>
        <v>0</v>
      </c>
      <c r="T175" s="2">
        <f t="shared" si="72"/>
        <v>0</v>
      </c>
      <c r="U175" s="2">
        <f t="shared" si="73"/>
        <v>0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0</v>
      </c>
      <c r="AE175" s="2">
        <f t="shared" si="82"/>
        <v>0</v>
      </c>
      <c r="AF175" s="2">
        <f t="shared" si="83"/>
        <v>0</v>
      </c>
      <c r="AG175" s="2">
        <f t="shared" si="84"/>
        <v>0</v>
      </c>
      <c r="AH175" s="2">
        <f t="shared" si="85"/>
        <v>0</v>
      </c>
      <c r="AI175" s="2">
        <f t="shared" si="86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48</v>
      </c>
      <c r="E176" s="30" t="s">
        <v>83</v>
      </c>
      <c r="F176" s="30" t="s">
        <v>100</v>
      </c>
      <c r="G176" s="30" t="s">
        <v>96</v>
      </c>
      <c r="H176" s="30" t="s">
        <v>165</v>
      </c>
      <c r="I176" s="29" t="s">
        <v>168</v>
      </c>
      <c r="J176" s="29">
        <v>3</v>
      </c>
      <c r="K176" s="29" t="s">
        <v>321</v>
      </c>
      <c r="L176" s="29" t="s">
        <v>329</v>
      </c>
      <c r="M176" s="30" t="s">
        <v>270</v>
      </c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1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920</v>
      </c>
      <c r="E177" s="30"/>
      <c r="F177" s="30" t="s">
        <v>921</v>
      </c>
      <c r="G177" s="30"/>
      <c r="H177" s="30" t="s">
        <v>165</v>
      </c>
      <c r="I177" s="29" t="s">
        <v>922</v>
      </c>
      <c r="J177" s="29"/>
      <c r="K177" s="29" t="s">
        <v>376</v>
      </c>
      <c r="L177" s="29"/>
      <c r="M177" s="30"/>
      <c r="N177" s="30" t="s">
        <v>882</v>
      </c>
      <c r="O177" s="31">
        <v>1</v>
      </c>
      <c r="P177" s="31">
        <v>1</v>
      </c>
      <c r="Q177" s="30"/>
      <c r="S177" s="2">
        <f t="shared" si="71"/>
        <v>0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1</v>
      </c>
      <c r="AE177" s="2">
        <f t="shared" si="82"/>
        <v>0</v>
      </c>
      <c r="AF177" s="2">
        <f t="shared" si="83"/>
        <v>1</v>
      </c>
      <c r="AG177" s="2">
        <f t="shared" si="84"/>
        <v>0</v>
      </c>
      <c r="AH177" s="2">
        <f t="shared" si="85"/>
        <v>1</v>
      </c>
      <c r="AI177" s="2">
        <f t="shared" si="86"/>
        <v>0</v>
      </c>
    </row>
    <row r="178" spans="1:35" ht="14.25" customHeight="1" x14ac:dyDescent="0.25">
      <c r="A178" s="20">
        <v>0</v>
      </c>
      <c r="B178" s="20">
        <v>2</v>
      </c>
      <c r="C178" s="20">
        <v>3</v>
      </c>
      <c r="D178" s="21" t="s">
        <v>649</v>
      </c>
      <c r="E178" s="21" t="s">
        <v>37</v>
      </c>
      <c r="F178" s="21" t="s">
        <v>650</v>
      </c>
      <c r="G178" s="21" t="s">
        <v>117</v>
      </c>
      <c r="H178" s="21" t="s">
        <v>165</v>
      </c>
      <c r="I178" s="20" t="s">
        <v>651</v>
      </c>
      <c r="J178" s="20">
        <v>1</v>
      </c>
      <c r="K178" s="20" t="s">
        <v>319</v>
      </c>
      <c r="L178" s="20" t="s">
        <v>329</v>
      </c>
      <c r="M178" s="21" t="s">
        <v>270</v>
      </c>
      <c r="N178" s="21"/>
      <c r="O178" s="7"/>
      <c r="P178" s="7"/>
      <c r="Q178" s="21"/>
      <c r="S178" s="2">
        <f t="shared" si="71"/>
        <v>1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0</v>
      </c>
      <c r="AF178" s="2">
        <f t="shared" si="83"/>
        <v>0</v>
      </c>
      <c r="AG178" s="2">
        <f t="shared" si="84"/>
        <v>0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544</v>
      </c>
      <c r="E179" s="30" t="s">
        <v>29</v>
      </c>
      <c r="F179" s="30" t="s">
        <v>405</v>
      </c>
      <c r="G179" s="30" t="s">
        <v>403</v>
      </c>
      <c r="H179" s="30" t="s">
        <v>165</v>
      </c>
      <c r="I179" s="29" t="s">
        <v>545</v>
      </c>
      <c r="J179" s="29">
        <v>99</v>
      </c>
      <c r="K179" s="29" t="s">
        <v>376</v>
      </c>
      <c r="L179" s="29">
        <v>35</v>
      </c>
      <c r="M179" s="30" t="s">
        <v>915</v>
      </c>
      <c r="N179" s="30" t="s">
        <v>924</v>
      </c>
      <c r="O179" s="31">
        <v>1</v>
      </c>
      <c r="P179" s="31"/>
      <c r="Q179" s="30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919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919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965</v>
      </c>
      <c r="E183" s="21" t="s">
        <v>966</v>
      </c>
      <c r="F183" s="21" t="s">
        <v>967</v>
      </c>
      <c r="G183" s="21" t="s">
        <v>968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969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924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919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939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989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924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918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918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990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948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949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918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943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924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924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940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941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32">
        <v>0</v>
      </c>
      <c r="B212" s="32">
        <v>2</v>
      </c>
      <c r="C212" s="32">
        <v>7</v>
      </c>
      <c r="D212" s="33" t="s">
        <v>430</v>
      </c>
      <c r="E212" s="33" t="s">
        <v>31</v>
      </c>
      <c r="F212" s="33" t="s">
        <v>431</v>
      </c>
      <c r="G212" s="33" t="s">
        <v>117</v>
      </c>
      <c r="H212" s="33" t="s">
        <v>165</v>
      </c>
      <c r="I212" s="32" t="s">
        <v>482</v>
      </c>
      <c r="J212" s="32">
        <v>1</v>
      </c>
      <c r="K212" s="32" t="s">
        <v>320</v>
      </c>
      <c r="L212" s="32" t="s">
        <v>318</v>
      </c>
      <c r="M212" s="33" t="s">
        <v>273</v>
      </c>
      <c r="N212" s="33" t="s">
        <v>918</v>
      </c>
      <c r="O212" s="34"/>
      <c r="P212" s="34"/>
      <c r="Q212" s="33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0</v>
      </c>
      <c r="AF212" s="2">
        <f t="shared" si="115"/>
        <v>0</v>
      </c>
      <c r="AG212" s="2">
        <f t="shared" si="116"/>
        <v>0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919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919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919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924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918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924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32">
        <v>0</v>
      </c>
      <c r="B224" s="32">
        <v>2</v>
      </c>
      <c r="C224" s="32">
        <v>7</v>
      </c>
      <c r="D224" s="33" t="s">
        <v>68</v>
      </c>
      <c r="E224" s="33" t="s">
        <v>90</v>
      </c>
      <c r="F224" s="33" t="s">
        <v>146</v>
      </c>
      <c r="G224" s="33" t="s">
        <v>103</v>
      </c>
      <c r="H224" s="33" t="s">
        <v>165</v>
      </c>
      <c r="I224" s="32" t="s">
        <v>191</v>
      </c>
      <c r="J224" s="32">
        <v>6</v>
      </c>
      <c r="K224" s="32" t="s">
        <v>321</v>
      </c>
      <c r="L224" s="32" t="s">
        <v>333</v>
      </c>
      <c r="M224" s="33" t="s">
        <v>274</v>
      </c>
      <c r="N224" s="33" t="s">
        <v>918</v>
      </c>
      <c r="O224" s="34"/>
      <c r="P224" s="34"/>
      <c r="Q224" s="33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0</v>
      </c>
      <c r="AF224" s="2">
        <f t="shared" si="115"/>
        <v>0</v>
      </c>
      <c r="AG224" s="2">
        <f t="shared" si="116"/>
        <v>0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924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947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924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924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924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1002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39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6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2026-09-26T08:02:31Z</dcterms:modified>
</cp:coreProperties>
</file>