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7D2BAC1-EB5F-4351-B992-0ED18F32E18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<sst xmlns="http://schemas.openxmlformats.org/spreadsheetml/2006/main" count="2240" uniqueCount="1001">
  <si>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</si>
  <si>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</si>
  <si>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</si>
  <si>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</si>
  <si>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</si>
  <si>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</si>
  <si>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</si>
  <si>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</si>
  <si>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</si>
  <si>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</si>
  <si>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</si>
  <si>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</si>
  <si>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</si>
  <si>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</si>
  <si>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</si>
  <si>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</si>
  <si>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</si>
  <si>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</si>
  <si>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</si>
  <si>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</si>
  <si>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</si>
  <si>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</si>
  <si>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</si>
  <si>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</si>
  <si>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</si>
  <si>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</si>
  <si>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</si>
  <si>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</si>
  <si>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</si>
  <si>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</si>
  <si>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</si>
  <si>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</si>
  <si>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</si>
  <si>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</si>
  <si>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</si>
  <si>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</si>
  <si>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</si>
  <si>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</si>
  <si>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</si>
  <si>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</si>
  <si>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</si>
  <si>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</si>
  <si>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</si>
  <si>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</si>
  <si>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</si>
  <si>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</si>
  <si>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</si>
  <si>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</si>
  <si>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</si>
  <si>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</si>
  <si>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</si>
  <si>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</si>
  <si>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</si>
  <si>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</si>
  <si>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</si>
  <si>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</si>
  <si>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</si>
  <si>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</si>
  <si>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</si>
  <si>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</si>
  <si>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</si>
  <si>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</si>
  <si>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</si>
  <si>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</si>
  <si>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</si>
  <si>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</si>
  <si>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</si>
  <si>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</si>
  <si>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</si>
  <si>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</si>
  <si>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</si>
  <si>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</si>
  <si>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</si>
  <si>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</si>
  <si>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</si>
  <si>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</si>
  <si>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</si>
  <si>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</si>
  <si>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</si>
  <si>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</si>
  <si>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</si>
  <si>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</si>
  <si>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</si>
  <si>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</si>
  <si>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</si>
  <si>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</si>
  <si>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</si>
  <si>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</si>
  <si>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</si>
  <si>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</si>
  <si>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</si>
  <si>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</si>
  <si>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</si>
  <si>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</si>
  <si>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</si>
  <si>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</si>
  <si>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</si>
  <si>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</si>
  <si>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</si>
  <si>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</si>
  <si>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</si>
  <si>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</si>
  <si>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</si>
  <si>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</si>
  <si>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</si>
  <si>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</si>
  <si>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</si>
  <si>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</si>
  <si>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</si>
  <si>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</si>
  <si>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</si>
  <si>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</si>
  <si>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</si>
  <si>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</si>
  <si>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</si>
  <si>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</si>
  <si>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</si>
  <si>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</si>
  <si>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</si>
  <si>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</si>
  <si>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</si>
  <si>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</si>
  <si>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</si>
  <si>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</si>
  <si>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</si>
  <si>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</si>
  <si>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</si>
  <si>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</si>
  <si>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</si>
  <si>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</si>
  <si>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</si>
  <si>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</si>
  <si>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</si>
  <si>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</si>
  <si>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</si>
  <si>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</si>
  <si>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</si>
  <si>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</si>
  <si>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</si>
  <si>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</si>
  <si>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</si>
  <si>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</si>
  <si>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</si>
  <si>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</si>
  <si>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</si>
  <si>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</si>
  <si>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</si>
  <si>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</si>
  <si>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</si>
  <si>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</si>
  <si>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</si>
  <si>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</si>
  <si>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</si>
  <si>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</si>
  <si>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</si>
  <si>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</si>
  <si>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</si>
  <si>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</si>
  <si>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</si>
  <si>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</si>
  <si>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</si>
  <si>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</si>
  <si>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</si>
  <si>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</si>
  <si>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</si>
  <si>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</si>
  <si>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</si>
  <si>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</si>
  <si>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</si>
  <si>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</si>
  <si>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</si>
  <si>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</si>
  <si>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</si>
  <si>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</si>
  <si>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</si>
  <si>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</si>
  <si>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</si>
  <si>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</si>
  <si>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</si>
  <si>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</si>
  <si>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</si>
  <si>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</si>
  <si>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</si>
  <si>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</si>
  <si>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</si>
  <si>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</si>
  <si>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</si>
  <si>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</si>
  <si>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</si>
  <si>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</si>
  <si>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</si>
  <si>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</si>
  <si>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</si>
  <si>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</si>
  <si>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</si>
  <si>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</si>
  <si>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</si>
  <si>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</si>
  <si>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</si>
  <si>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</si>
  <si>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</si>
  <si>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</si>
  <si>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</si>
  <si>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</si>
  <si>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</si>
  <si>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</si>
  <si>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</si>
  <si>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</si>
  <si>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</si>
  <si>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</si>
  <si>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</si>
  <si>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</si>
  <si>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</si>
  <si>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</si>
  <si>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</si>
  <si>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</si>
  <si>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</si>
  <si>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</si>
  <si>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</si>
  <si>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</si>
  <si>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</si>
  <si>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</si>
  <si>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</si>
  <si>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</si>
  <si>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</si>
  <si>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</si>
  <si>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</si>
  <si>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</si>
  <si>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</si>
  <si>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</si>
  <si>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</si>
  <si>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</si>
  <si>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</si>
  <si>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</si>
  <si>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</si>
  <si>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</si>
  <si>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</si>
  <si>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</si>
  <si>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</si>
  <si>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</si>
  <si>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</si>
  <si>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</si>
  <si>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</si>
  <si>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</si>
  <si>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</si>
  <si>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</si>
  <si>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</si>
  <si>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</si>
  <si>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</si>
  <si>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</si>
  <si>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</si>
  <si>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</si>
  <si>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</si>
  <si>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</si>
  <si>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</si>
  <si>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</si>
  <si>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</si>
  <si>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</si>
  <si>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</si>
  <si>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</si>
  <si>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</si>
  <si>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</si>
  <si>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</si>
  <si>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</si>
  <si>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</si>
  <si>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</si>
  <si>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</si>
  <si>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</si>
  <si>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</si>
  <si>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</si>
  <si>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</si>
  <si>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</si>
  <si>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</si>
  <si>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</si>
  <si>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</si>
  <si>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</si>
  <si>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</si>
  <si>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</si>
  <si>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</si>
  <si>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</si>
  <si>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</si>
  <si>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</si>
  <si>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</si>
  <si>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</si>
  <si>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</si>
  <si>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</si>
  <si>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</si>
  <si>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</si>
  <si>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</si>
  <si>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</si>
  <si>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</si>
  <si>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</si>
  <si>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</si>
  <si>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</si>
  <si>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</si>
  <si>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</si>
  <si>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</si>
  <si>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</si>
  <si>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</si>
  <si>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</si>
  <si>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</si>
  <si>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</si>
  <si>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</si>
  <si>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</si>
  <si>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</si>
  <si>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</si>
  <si>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</si>
  <si>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</si>
  <si>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</si>
  <si>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</si>
  <si>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</si>
  <si>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</si>
  <si>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</si>
  <si>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</si>
  <si>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</si>
  <si>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</si>
  <si>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</si>
  <si>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</si>
  <si>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</si>
  <si>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</si>
  <si>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</si>
  <si>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</si>
  <si>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</si>
  <si>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</si>
  <si>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</si>
  <si>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</si>
  <si>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</si>
  <si>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</si>
  <si>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</si>
  <si>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</si>
  <si>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</si>
  <si>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</si>
  <si>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</si>
  <si>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</si>
  <si>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</si>
  <si>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</si>
  <si>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</si>
  <si>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</si>
  <si>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</si>
  <si>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</si>
  <si>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</si>
  <si>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</si>
  <si>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</si>
  <si>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</si>
  <si>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</si>
  <si>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</si>
  <si>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</si>
  <si>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</si>
  <si>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</si>
  <si>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</si>
  <si>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</si>
  <si>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</si>
  <si>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</si>
  <si>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</si>
  <si>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</si>
  <si>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</si>
  <si>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</si>
  <si>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</si>
  <si>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</si>
  <si>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</si>
  <si>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</si>
  <si>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</si>
  <si>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</si>
  <si>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</si>
  <si>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</si>
  <si>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</si>
  <si>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</si>
  <si>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</si>
  <si>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</si>
  <si>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</si>
  <si>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</si>
  <si>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</si>
  <si>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</si>
  <si>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</si>
  <si>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</si>
  <si>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</si>
  <si>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</si>
  <si>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</si>
  <si>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</si>
  <si>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</si>
  <si>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</si>
  <si>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</si>
  <si>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</si>
  <si>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</si>
  <si>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</si>
  <si>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</si>
  <si>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</si>
  <si>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</si>
  <si>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</si>
  <si>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</si>
  <si>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</si>
  <si>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</si>
  <si>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</si>
  <si>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</si>
  <si>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</si>
  <si>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</si>
  <si>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</si>
  <si>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</si>
  <si>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</si>
  <si>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</si>
  <si>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</si>
  <si>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</si>
  <si>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</si>
  <si>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</si>
  <si>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</si>
  <si>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</si>
  <si>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</si>
  <si>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</si>
  <si>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</si>
  <si>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</si>
  <si>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</si>
  <si>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</si>
  <si>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</si>
  <si>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</si>
  <si>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</si>
  <si>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</si>
  <si>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</si>
  <si>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</si>
  <si>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</si>
  <si>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</si>
  <si>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</si>
  <si>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</si>
  <si>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</si>
  <si>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</si>
  <si>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</si>
  <si>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</si>
  <si>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</si>
  <si>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</si>
  <si>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</si>
  <si>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</si>
  <si>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</si>
  <si>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</si>
  <si>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</si>
  <si>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</si>
  <si>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</si>
  <si>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</si>
  <si>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</si>
  <si>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</si>
  <si>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</si>
  <si>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</si>
  <si>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</si>
  <si>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</si>
  <si>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</si>
  <si>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</si>
  <si>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</si>
  <si>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</si>
  <si>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</si>
  <si>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</si>
  <si>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</si>
  <si>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</si>
  <si>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</si>
  <si>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</si>
  <si>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</si>
  <si>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</si>
  <si>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</si>
  <si>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</si>
  <si>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</si>
  <si>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</si>
  <si>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</si>
  <si>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</si>
  <si>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</si>
  <si>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</si>
  <si>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</si>
  <si>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</si>
  <si>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</si>
  <si>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</si>
  <si>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</si>
  <si>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</si>
  <si>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</si>
  <si>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</si>
  <si>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</si>
  <si>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</si>
  <si>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</si>
  <si>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</si>
  <si>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</si>
  <si>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</si>
  <si>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</si>
  <si>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</si>
  <si>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</si>
  <si>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</si>
  <si>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</si>
  <si>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</si>
  <si>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</si>
  <si>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</si>
  <si>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</si>
  <si>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</si>
  <si>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</si>
  <si>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</si>
  <si>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</si>
  <si>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</si>
  <si>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</si>
  <si>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</si>
  <si>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</si>
  <si>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</si>
  <si>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</si>
  <si>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</si>
  <si>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</si>
  <si>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</si>
  <si>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</si>
  <si>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</si>
  <si>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</si>
  <si>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</si>
  <si>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</si>
  <si>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</si>
  <si>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</si>
  <si>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</si>
  <si>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</si>
  <si>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</si>
  <si>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</si>
  <si>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</si>
  <si>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</si>
  <si>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</si>
  <si>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</si>
  <si>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</si>
  <si>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</si>
  <si>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</si>
  <si>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</si>
  <si>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</si>
  <si>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</si>
  <si>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</si>
  <si>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</si>
  <si>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</si>
  <si>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</si>
  <si>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</si>
  <si>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</si>
  <si>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</si>
  <si>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</si>
  <si>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</si>
  <si>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</si>
  <si>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</si>
  <si>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</si>
  <si>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</si>
  <si>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</si>
  <si>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</si>
  <si>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</si>
  <si>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</si>
  <si>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</si>
  <si>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</si>
  <si>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</si>
  <si>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</si>
  <si>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</si>
  <si>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</si>
  <si>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</si>
  <si>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</si>
  <si>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</si>
  <si>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</si>
  <si>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</si>
  <si>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</si>
  <si>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</si>
  <si>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</si>
  <si>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</si>
  <si>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</si>
  <si>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</si>
  <si>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</si>
  <si>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</si>
  <si>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</si>
  <si>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</si>
  <si>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</si>
  <si>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</si>
  <si>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</si>
  <si>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</si>
  <si>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</si>
  <si>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</si>
  <si>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</si>
  <si>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</si>
  <si>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</si>
  <si>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</si>
  <si>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</si>
  <si>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</si>
  <si>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</si>
  <si>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</si>
  <si>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</si>
  <si>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</si>
  <si>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</si>
  <si>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</si>
  <si>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</si>
  <si>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</si>
  <si>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</si>
  <si>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</si>
  <si>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</si>
  <si>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</si>
  <si>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</si>
  <si>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</si>
  <si>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</si>
  <si>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</si>
  <si>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</si>
  <si>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</si>
  <si>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</si>
  <si>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</si>
  <si>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</si>
  <si>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</si>
  <si>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</si>
  <si>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</si>
  <si>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</si>
  <si>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</si>
  <si>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</si>
  <si>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</si>
  <si>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</si>
  <si>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</si>
  <si>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</si>
  <si>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</si>
  <si>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</si>
  <si>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</si>
  <si>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</si>
  <si>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</si>
  <si>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</si>
  <si>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</si>
  <si>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</si>
  <si>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</si>
  <si>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</si>
  <si>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</si>
  <si>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</si>
  <si>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</si>
  <si>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</si>
  <si>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</si>
  <si>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</si>
  <si>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</si>
  <si>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</si>
  <si>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</si>
  <si>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</si>
  <si>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</si>
  <si>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</si>
  <si>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</si>
  <si>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</si>
  <si>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</si>
  <si>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</si>
  <si>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</si>
  <si>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</si>
  <si>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</si>
  <si>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</si>
  <si>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</si>
  <si>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</si>
  <si>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</si>
  <si>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</si>
  <si>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</si>
  <si>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</si>
  <si>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</si>
  <si>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</si>
  <si>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</si>
  <si>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</si>
  <si>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</si>
  <si>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</si>
  <si>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</si>
  <si>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</si>
  <si>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</si>
  <si>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</si>
  <si>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</si>
  <si>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</si>
  <si>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</si>
  <si>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</si>
  <si>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</si>
  <si>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</si>
  <si>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</si>
  <si>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</si>
  <si>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</si>
  <si>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</si>
  <si>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</si>
  <si>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</si>
  <si>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</si>
  <si>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</si>
  <si>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</si>
  <si>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</si>
  <si>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</si>
  <si>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</si>
  <si>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</si>
  <si>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</si>
  <si>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</si>
  <si>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</si>
  <si>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</si>
  <si>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</si>
  <si>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</si>
  <si>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</si>
  <si>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</si>
  <si>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</si>
  <si>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</si>
  <si>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</si>
  <si>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</si>
  <si>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</si>
  <si>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</si>
  <si>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</si>
  <si>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</si>
  <si>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</si>
  <si>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</si>
  <si>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</si>
  <si>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</si>
  <si>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</si>
  <si>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</si>
  <si>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</si>
  <si>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</si>
  <si>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</si>
  <si>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</si>
  <si>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</si>
  <si>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</si>
  <si>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</si>
  <si>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</si>
  <si>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</si>
  <si>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</si>
  <si>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</si>
  <si>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</si>
  <si>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</si>
  <si>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</si>
  <si>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</si>
  <si>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</si>
  <si>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</si>
  <si>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</si>
  <si>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</si>
  <si>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</si>
  <si>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</si>
  <si>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</si>
  <si>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</si>
  <si>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</si>
  <si>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</si>
  <si>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</si>
  <si>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</si>
  <si>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</si>
  <si>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</si>
  <si>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</si>
  <si>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</si>
  <si>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</si>
  <si>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</si>
  <si>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</si>
  <si>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</si>
  <si>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</si>
  <si>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</si>
  <si>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</si>
  <si>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</si>
  <si>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</si>
  <si>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</si>
  <si>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</si>
  <si>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</si>
  <si>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</si>
  <si>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</si>
  <si>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</si>
  <si>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</si>
  <si>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</si>
  <si>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</si>
  <si>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</si>
  <si>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</si>
  <si>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</si>
  <si>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</si>
  <si>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</si>
  <si>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</si>
  <si>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</si>
  <si>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</si>
  <si>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</si>
  <si>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</si>
  <si>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</si>
  <si>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</si>
  <si>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</si>
  <si>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</si>
  <si>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</si>
  <si>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</si>
  <si>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</si>
  <si>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</si>
  <si>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</si>
  <si>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</si>
  <si>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</si>
  <si>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</si>
  <si>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</si>
  <si>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</si>
  <si>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</si>
  <si>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</si>
  <si>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</si>
  <si>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</si>
  <si>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</si>
  <si>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</si>
  <si>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</si>
  <si>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</si>
  <si>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</si>
  <si>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</si>
  <si>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</si>
  <si>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</si>
  <si>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</si>
  <si>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</si>
  <si>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</si>
  <si>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</si>
  <si>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</si>
  <si>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</si>
  <si>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</si>
  <si>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</si>
  <si>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</si>
  <si>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</si>
  <si>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</si>
  <si>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</si>
  <si>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</si>
  <si>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</si>
  <si>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</si>
  <si>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</si>
  <si>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</si>
  <si>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</si>
  <si>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</si>
  <si>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</si>
  <si>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</si>
  <si>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</si>
  <si>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</si>
  <si>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</si>
  <si>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</si>
  <si>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</si>
  <si>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</si>
  <si>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</si>
  <si>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</si>
  <si>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</si>
  <si>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</si>
  <si>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</si>
  <si>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</si>
  <si>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</si>
  <si>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</si>
  <si>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</si>
  <si>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</si>
  <si>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</si>
  <si>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</si>
  <si>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</si>
  <si>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</si>
  <si>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</si>
  <si>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</si>
  <si>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</si>
  <si>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</si>
  <si>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</si>
  <si>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</si>
  <si>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</si>
  <si>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</si>
  <si>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</si>
  <si>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</si>
  <si>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</si>
  <si>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</si>
  <si>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</si>
  <si>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</si>
  <si>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</si>
  <si>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</si>
  <si>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</si>
  <si>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</si>
  <si>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</si>
  <si>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</si>
  <si>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</si>
  <si>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</si>
  <si>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</si>
  <si>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</si>
  <si>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</si>
  <si>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</si>
  <si>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</si>
  <si>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</si>
  <si>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</si>
  <si>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</si>
  <si>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</si>
  <si>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</si>
  <si>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</si>
  <si>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</si>
  <si>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</si>
  <si>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</si>
  <si>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</si>
  <si>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</si>
  <si>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</si>
  <si>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</si>
  <si>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</si>
  <si>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</si>
  <si>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</si>
  <si>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</si>
  <si>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</si>
  <si>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</si>
  <si>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</si>
  <si>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</si>
  <si>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</si>
  <si>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</si>
  <si>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</si>
  <si>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</si>
  <si>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</si>
  <si>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</si>
  <si>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</si>
  <si>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</si>
  <si>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</si>
  <si>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</si>
  <si>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</si>
  <si>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</si>
  <si>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</si>
  <si>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</si>
  <si>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</si>
  <si>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</si>
  <si>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</si>
  <si>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</si>
  <si>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</si>
  <si>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</si>
  <si>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1 piatto a scelta (possibilmente non semplice), 1 kachapuri, 1 dolce</t>
  </si>
  <si>
    <t>Domiziana Caliari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</si>
  <si>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</si>
  <si>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</si>
  <si>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</si>
  <si>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</si>
  <si>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</si>
  <si>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</si>
  <si>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</si>
  <si>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</si>
  <si>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</si>
  <si>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</si>
  <si>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</si>
  <si>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</si>
  <si>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</si>
  <si>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</si>
  <si>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</si>
  <si>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</si>
  <si>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</si>
  <si>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</si>
  <si>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</si>
  <si>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</si>
  <si>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</si>
  <si>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</si>
  <si>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</si>
  <si>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</si>
  <si>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</si>
  <si>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</si>
  <si>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</si>
  <si>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</si>
  <si>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</si>
  <si>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</si>
  <si>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</si>
  <si>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</si>
  <si>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</si>
  <si>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</si>
  <si>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</si>
  <si>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</si>
  <si>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</si>
  <si>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</si>
  <si>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</si>
  <si>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</si>
  <si>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</si>
  <si>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</si>
  <si>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</si>
  <si>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</si>
  <si>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</si>
  <si>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</si>
  <si>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</si>
  <si>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</si>
  <si>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</si>
  <si>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</si>
  <si>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</si>
  <si>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</si>
  <si>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</si>
  <si>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</si>
  <si>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</si>
  <si>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</si>
  <si>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</si>
  <si>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</si>
  <si>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</si>
  <si>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</si>
  <si>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</si>
  <si>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</si>
  <si>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</si>
  <si>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</si>
  <si>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</si>
  <si>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</si>
  <si>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</si>
  <si>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</si>
  <si>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</si>
  <si>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</si>
  <si>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</si>
  <si>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</si>
  <si>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</si>
  <si>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</si>
  <si>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</si>
  <si>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</si>
  <si>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</si>
  <si>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</si>
  <si>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</si>
  <si>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</si>
  <si>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</si>
  <si>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</si>
  <si>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</si>
  <si>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</si>
  <si>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</si>
  <si>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</si>
  <si>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</si>
  <si>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</si>
  <si>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</si>
  <si>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</si>
  <si>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</si>
  <si>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</si>
  <si>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</si>
  <si>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</si>
  <si>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</si>
  <si>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</si>
  <si>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</si>
  <si>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</si>
  <si>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</si>
  <si>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</si>
  <si>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</si>
  <si>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</si>
  <si>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</si>
  <si>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</si>
  <si>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</si>
  <si>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</si>
  <si>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</si>
  <si>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</si>
  <si>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</si>
  <si>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</si>
  <si>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</si>
  <si>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</si>
  <si>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</si>
  <si>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</si>
  <si>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</si>
  <si>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</si>
  <si>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</si>
  <si>
    <t>menù Sine Confine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</si>
</sst>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102" activePane="bottomLeft" state="frozen"/>
      <selection pane="bottomLeft" activeCell="L108" sqref="L10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133</v>
      </c>
      <c r="G4" s="9">
        <f>+AG6</f>
        <v>109</v>
      </c>
      <c r="H4" s="7">
        <f>+E4-G4</f>
        <v>32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201</v>
      </c>
      <c r="G5" s="11">
        <f>+G3+G4</f>
        <v>160</v>
      </c>
      <c r="H5" s="11">
        <f>+H3+H4</f>
        <v>33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133</v>
      </c>
      <c r="AF6" s="2">
        <f t="shared" si="1"/>
        <v>51</v>
      </c>
      <c r="AG6" s="2">
        <f t="shared" si="1"/>
        <v>109</v>
      </c>
      <c r="AH6" s="2">
        <f t="shared" si="1"/>
        <v>52</v>
      </c>
      <c r="AI6" s="2">
        <f t="shared" si="1"/>
        <v>141</v>
      </c>
    </row>
    <row r="7" spans="1:35" s="37" customFormat="1" ht="14.25" customHeight="1" x14ac:dyDescent="0.25">
      <c r="A7" s="32" t="s">
        <v>701</v>
      </c>
      <c r="B7" s="32" t="s">
        <v>698</v>
      </c>
      <c r="C7" s="32" t="s">
        <v>699</v>
      </c>
      <c r="D7" s="33" t="s">
        <v>13</v>
      </c>
      <c r="E7" s="33" t="s">
        <v>25</v>
      </c>
      <c r="F7" s="33" t="s">
        <v>14</v>
      </c>
      <c r="G7" s="33" t="s">
        <v>20</v>
      </c>
      <c r="H7" s="33" t="s">
        <v>45</v>
      </c>
      <c r="I7" s="32" t="s">
        <v>11</v>
      </c>
      <c r="J7" s="32" t="s">
        <v>42</v>
      </c>
      <c r="K7" s="32" t="s">
        <v>852</v>
      </c>
      <c r="L7" s="32" t="s">
        <v>19</v>
      </c>
      <c r="M7" s="33" t="s">
        <v>700</v>
      </c>
      <c r="N7" s="34" t="s">
        <v>0</v>
      </c>
      <c r="O7" s="33" t="s">
        <v>1</v>
      </c>
      <c r="P7" s="33" t="s">
        <v>2</v>
      </c>
      <c r="Q7" s="33" t="s">
        <v>935</v>
      </c>
      <c r="R7" s="36"/>
      <c r="S7" s="36">
        <v>1</v>
      </c>
      <c r="T7" s="36">
        <f>+S7+1</f>
        <v>2</v>
      </c>
      <c r="U7" s="36">
        <f t="shared" ref="U7:AB7" si="2">+T7+1</f>
        <v>3</v>
      </c>
      <c r="V7" s="36">
        <f t="shared" si="2"/>
        <v>4</v>
      </c>
      <c r="W7" s="36">
        <f t="shared" si="2"/>
        <v>5</v>
      </c>
      <c r="X7" s="36">
        <f t="shared" si="2"/>
        <v>6</v>
      </c>
      <c r="Y7" s="36">
        <f t="shared" si="2"/>
        <v>7</v>
      </c>
      <c r="Z7" s="36">
        <f t="shared" si="2"/>
        <v>8</v>
      </c>
      <c r="AA7" s="36">
        <f t="shared" si="2"/>
        <v>9</v>
      </c>
      <c r="AB7" s="36">
        <f t="shared" si="2"/>
        <v>10</v>
      </c>
      <c r="AC7" s="36"/>
      <c r="AD7" s="36" t="s">
        <v>23</v>
      </c>
      <c r="AE7" s="36" t="s">
        <v>24</v>
      </c>
      <c r="AF7" s="36" t="s">
        <v>4</v>
      </c>
      <c r="AG7" s="36" t="s">
        <v>5</v>
      </c>
      <c r="AH7" s="36" t="s">
        <v>6</v>
      </c>
      <c r="AI7" s="36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863</v>
      </c>
      <c r="N8" s="30" t="s">
        <v>889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880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880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894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758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864</v>
      </c>
      <c r="N12" s="30" t="s">
        <v>889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802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865</v>
      </c>
      <c r="N13" s="30" t="s">
        <v>882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880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851</v>
      </c>
      <c r="M15" s="30" t="s">
        <v>731</v>
      </c>
      <c r="N15" s="30" t="s">
        <v>914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849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879</v>
      </c>
      <c r="N17" s="30" t="s">
        <v>889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880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840</v>
      </c>
      <c r="J19" s="29">
        <v>99</v>
      </c>
      <c r="K19" s="29" t="s">
        <v>328</v>
      </c>
      <c r="L19" s="29">
        <v>180</v>
      </c>
      <c r="M19" s="30" t="s">
        <v>1000</v>
      </c>
      <c r="N19" s="30" t="s">
        <v>888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850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884</v>
      </c>
      <c r="N21" s="30" t="s">
        <v>909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825</v>
      </c>
      <c r="G22" s="30" t="s">
        <v>826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914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832</v>
      </c>
      <c r="J23" s="29">
        <v>99</v>
      </c>
      <c r="K23" s="29" t="s">
        <v>325</v>
      </c>
      <c r="L23" s="29">
        <v>45</v>
      </c>
      <c r="M23" s="30" t="s">
        <v>886</v>
      </c>
      <c r="N23" s="30" t="s">
        <v>909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523</v>
      </c>
      <c r="E24" s="30" t="s">
        <v>263</v>
      </c>
      <c r="F24" s="30" t="s">
        <v>524</v>
      </c>
      <c r="G24" s="30" t="s">
        <v>154</v>
      </c>
      <c r="H24" s="30" t="s">
        <v>165</v>
      </c>
      <c r="I24" s="29" t="s">
        <v>525</v>
      </c>
      <c r="J24" s="29">
        <v>99</v>
      </c>
      <c r="K24" s="29" t="s">
        <v>330</v>
      </c>
      <c r="L24" s="29" t="s">
        <v>847</v>
      </c>
      <c r="M24" s="30" t="s">
        <v>733</v>
      </c>
      <c r="N24" s="30" t="s">
        <v>883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847</v>
      </c>
      <c r="M25" s="21" t="s">
        <v>773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890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880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866</v>
      </c>
      <c r="N29" s="30" t="s">
        <v>889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887</v>
      </c>
      <c r="N30" s="30" t="s">
        <v>893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883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794</v>
      </c>
      <c r="E32" s="21" t="s">
        <v>262</v>
      </c>
      <c r="F32" s="21" t="s">
        <v>747</v>
      </c>
      <c r="G32" s="21" t="s">
        <v>684</v>
      </c>
      <c r="H32" s="21" t="s">
        <v>165</v>
      </c>
      <c r="I32" s="20" t="s">
        <v>837</v>
      </c>
      <c r="J32" s="20">
        <v>4</v>
      </c>
      <c r="K32" s="20" t="s">
        <v>326</v>
      </c>
      <c r="L32" s="20">
        <v>130</v>
      </c>
      <c r="M32" s="21" t="s">
        <v>867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880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868</v>
      </c>
      <c r="N34" s="30" t="s">
        <v>888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734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893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880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801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844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848</v>
      </c>
      <c r="M39" s="30" t="s">
        <v>735</v>
      </c>
      <c r="N39" s="30" t="s">
        <v>893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777</v>
      </c>
      <c r="N40" s="30" t="s">
        <v>893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748</v>
      </c>
      <c r="E41" s="30" t="s">
        <v>749</v>
      </c>
      <c r="F41" s="30" t="s">
        <v>750</v>
      </c>
      <c r="G41" s="30" t="s">
        <v>92</v>
      </c>
      <c r="H41" s="30" t="s">
        <v>165</v>
      </c>
      <c r="I41" s="29" t="s">
        <v>751</v>
      </c>
      <c r="J41" s="29">
        <v>1</v>
      </c>
      <c r="K41" s="29" t="s">
        <v>376</v>
      </c>
      <c r="L41" s="29">
        <v>35</v>
      </c>
      <c r="M41" s="30" t="s">
        <v>752</v>
      </c>
      <c r="N41" s="30" t="s">
        <v>883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983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889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735</v>
      </c>
      <c r="N43" s="30" t="s">
        <v>889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883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766</v>
      </c>
      <c r="E45" s="30" t="s">
        <v>259</v>
      </c>
      <c r="F45" s="30" t="s">
        <v>767</v>
      </c>
      <c r="G45" s="30" t="s">
        <v>103</v>
      </c>
      <c r="H45" s="30" t="s">
        <v>165</v>
      </c>
      <c r="I45" s="29" t="s">
        <v>768</v>
      </c>
      <c r="J45" s="29">
        <v>6</v>
      </c>
      <c r="K45" s="29" t="s">
        <v>376</v>
      </c>
      <c r="L45" s="29">
        <v>70</v>
      </c>
      <c r="M45" s="30" t="s">
        <v>769</v>
      </c>
      <c r="N45" s="30" t="s">
        <v>893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606</v>
      </c>
      <c r="E46" s="30" t="s">
        <v>259</v>
      </c>
      <c r="F46" s="30" t="s">
        <v>607</v>
      </c>
      <c r="G46" s="30" t="s">
        <v>818</v>
      </c>
      <c r="H46" s="30" t="s">
        <v>165</v>
      </c>
      <c r="I46" s="29" t="s">
        <v>608</v>
      </c>
      <c r="J46" s="29">
        <v>99</v>
      </c>
      <c r="K46" s="29" t="s">
        <v>332</v>
      </c>
      <c r="L46" s="29" t="s">
        <v>341</v>
      </c>
      <c r="M46" s="30" t="s">
        <v>735</v>
      </c>
      <c r="N46" s="30" t="s">
        <v>882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889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889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880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914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824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883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964</v>
      </c>
      <c r="E52" s="21" t="s">
        <v>259</v>
      </c>
      <c r="F52" s="21" t="s">
        <v>965</v>
      </c>
      <c r="G52" s="21" t="s">
        <v>966</v>
      </c>
      <c r="H52" s="21" t="s">
        <v>165</v>
      </c>
      <c r="I52" s="20" t="s">
        <v>967</v>
      </c>
      <c r="J52" s="20"/>
      <c r="K52" s="20" t="s">
        <v>376</v>
      </c>
      <c r="L52" s="20">
        <v>65</v>
      </c>
      <c r="M52" s="21" t="s">
        <v>968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914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891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775</v>
      </c>
      <c r="N55" s="30" t="s">
        <v>880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874</v>
      </c>
      <c r="E58" s="30" t="s">
        <v>877</v>
      </c>
      <c r="F58" s="30" t="s">
        <v>875</v>
      </c>
      <c r="G58" s="30" t="s">
        <v>401</v>
      </c>
      <c r="H58" s="30" t="s">
        <v>165</v>
      </c>
      <c r="I58" s="29" t="s">
        <v>876</v>
      </c>
      <c r="J58" s="29"/>
      <c r="K58" s="29" t="s">
        <v>376</v>
      </c>
      <c r="L58" s="29">
        <v>55</v>
      </c>
      <c r="M58" s="30" t="s">
        <v>878</v>
      </c>
      <c r="N58" s="30" t="s">
        <v>914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859</v>
      </c>
      <c r="E59" s="30" t="s">
        <v>795</v>
      </c>
      <c r="F59" s="30" t="s">
        <v>860</v>
      </c>
      <c r="G59" s="30" t="s">
        <v>309</v>
      </c>
      <c r="H59" s="30" t="s">
        <v>165</v>
      </c>
      <c r="I59" s="29" t="s">
        <v>861</v>
      </c>
      <c r="J59" s="29"/>
      <c r="K59" s="29" t="s">
        <v>376</v>
      </c>
      <c r="L59" s="29">
        <v>50</v>
      </c>
      <c r="M59" s="30" t="s">
        <v>862</v>
      </c>
      <c r="N59" s="30" t="s">
        <v>914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796</v>
      </c>
      <c r="E60" s="21" t="s">
        <v>795</v>
      </c>
      <c r="F60" s="21" t="s">
        <v>829</v>
      </c>
      <c r="G60" s="21" t="s">
        <v>93</v>
      </c>
      <c r="H60" s="21" t="s">
        <v>165</v>
      </c>
      <c r="I60" s="20" t="s">
        <v>843</v>
      </c>
      <c r="J60" s="20">
        <v>8</v>
      </c>
      <c r="K60" s="20" t="s">
        <v>332</v>
      </c>
      <c r="L60" s="20">
        <v>50</v>
      </c>
      <c r="M60" s="21" t="s">
        <v>862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856</v>
      </c>
      <c r="E61" s="30" t="s">
        <v>795</v>
      </c>
      <c r="F61" s="30" t="s">
        <v>857</v>
      </c>
      <c r="G61" s="30" t="s">
        <v>368</v>
      </c>
      <c r="H61" s="30" t="s">
        <v>165</v>
      </c>
      <c r="I61" s="29" t="s">
        <v>858</v>
      </c>
      <c r="J61" s="29"/>
      <c r="K61" s="29" t="s">
        <v>376</v>
      </c>
      <c r="L61" s="29">
        <v>45</v>
      </c>
      <c r="M61" s="30" t="s">
        <v>418</v>
      </c>
      <c r="N61" s="30" t="s">
        <v>880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893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984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893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893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779</v>
      </c>
      <c r="N65" s="30" t="s">
        <v>893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909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736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882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806</v>
      </c>
      <c r="E69" s="30" t="s">
        <v>264</v>
      </c>
      <c r="F69" s="30" t="s">
        <v>118</v>
      </c>
      <c r="G69" s="30" t="s">
        <v>119</v>
      </c>
      <c r="H69" s="30" t="s">
        <v>165</v>
      </c>
      <c r="I69" s="29" t="s">
        <v>178</v>
      </c>
      <c r="J69" s="29">
        <v>8</v>
      </c>
      <c r="K69" s="29" t="s">
        <v>329</v>
      </c>
      <c r="L69" s="29" t="s">
        <v>343</v>
      </c>
      <c r="M69" s="30" t="s">
        <v>266</v>
      </c>
      <c r="N69" s="30" t="s">
        <v>882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807</v>
      </c>
      <c r="E70" s="21" t="s">
        <v>795</v>
      </c>
      <c r="F70" s="21" t="s">
        <v>797</v>
      </c>
      <c r="G70" s="21" t="s">
        <v>117</v>
      </c>
      <c r="H70" s="21" t="s">
        <v>165</v>
      </c>
      <c r="I70" s="20" t="s">
        <v>798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807</v>
      </c>
      <c r="E71" s="21" t="s">
        <v>795</v>
      </c>
      <c r="F71" s="21" t="s">
        <v>830</v>
      </c>
      <c r="G71" s="21" t="s">
        <v>96</v>
      </c>
      <c r="H71" s="21" t="s">
        <v>165</v>
      </c>
      <c r="I71" s="20" t="s">
        <v>799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800</v>
      </c>
      <c r="E72" s="30" t="s">
        <v>261</v>
      </c>
      <c r="F72" s="30" t="s">
        <v>764</v>
      </c>
      <c r="G72" s="30" t="s">
        <v>517</v>
      </c>
      <c r="H72" s="30" t="s">
        <v>165</v>
      </c>
      <c r="I72" s="29" t="s">
        <v>765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880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880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746</v>
      </c>
      <c r="N74" s="30" t="s">
        <v>882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746</v>
      </c>
      <c r="N75" s="30" t="s">
        <v>882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869</v>
      </c>
      <c r="N76" s="30" t="s">
        <v>882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913</v>
      </c>
      <c r="N77" s="30" t="s">
        <v>882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880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909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880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833</v>
      </c>
      <c r="J81" s="29">
        <v>3</v>
      </c>
      <c r="K81" s="29" t="s">
        <v>330</v>
      </c>
      <c r="L81" s="29" t="s">
        <v>346</v>
      </c>
      <c r="M81" s="30" t="s">
        <v>759</v>
      </c>
      <c r="N81" s="30" t="s">
        <v>883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846</v>
      </c>
      <c r="M82" s="30" t="s">
        <v>695</v>
      </c>
      <c r="N82" s="30" t="s">
        <v>883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743</v>
      </c>
      <c r="N83" s="30" t="s">
        <v>882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880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821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737</v>
      </c>
      <c r="N87" s="30" t="s">
        <v>883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776</v>
      </c>
      <c r="N88" s="30" t="s">
        <v>889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960</v>
      </c>
      <c r="E89" s="27" t="s">
        <v>258</v>
      </c>
      <c r="F89" s="27" t="s">
        <v>961</v>
      </c>
      <c r="G89" s="27" t="s">
        <v>962</v>
      </c>
      <c r="H89" s="27" t="s">
        <v>165</v>
      </c>
      <c r="I89" s="26" t="s">
        <v>963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893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893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893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893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893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893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880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890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831</v>
      </c>
      <c r="J99" s="29">
        <v>1</v>
      </c>
      <c r="K99" s="29" t="s">
        <v>320</v>
      </c>
      <c r="L99" s="29" t="s">
        <v>343</v>
      </c>
      <c r="M99" s="30" t="s">
        <v>744</v>
      </c>
      <c r="N99" s="30" t="s">
        <v>883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744</v>
      </c>
      <c r="N100" s="30" t="s">
        <v>883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744</v>
      </c>
      <c r="N101" s="30" t="s">
        <v>883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880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880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827</v>
      </c>
      <c r="G104" s="30" t="s">
        <v>124</v>
      </c>
      <c r="H104" s="30" t="s">
        <v>165</v>
      </c>
      <c r="I104" s="29" t="s">
        <v>841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880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103</v>
      </c>
      <c r="H105" s="30" t="s">
        <v>165</v>
      </c>
      <c r="I105" s="29" t="s">
        <v>842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880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>
        <v>45</v>
      </c>
      <c r="M106" s="30" t="s">
        <v>268</v>
      </c>
      <c r="N106" s="30" t="s">
        <v>909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>
        <v>45</v>
      </c>
      <c r="M107" s="30" t="s">
        <v>268</v>
      </c>
      <c r="N107" s="30" t="s">
        <v>909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925</v>
      </c>
      <c r="E108" s="30" t="s">
        <v>32</v>
      </c>
      <c r="F108" s="30" t="s">
        <v>926</v>
      </c>
      <c r="G108" s="30"/>
      <c r="H108" s="30" t="s">
        <v>165</v>
      </c>
      <c r="I108" s="29" t="s">
        <v>927</v>
      </c>
      <c r="J108" s="29"/>
      <c r="K108" s="29" t="s">
        <v>376</v>
      </c>
      <c r="L108" s="29">
        <v>30</v>
      </c>
      <c r="M108" s="30" t="s">
        <v>928</v>
      </c>
      <c r="N108" s="30" t="s">
        <v>880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940</v>
      </c>
      <c r="E109" s="30" t="s">
        <v>32</v>
      </c>
      <c r="F109" s="30" t="s">
        <v>941</v>
      </c>
      <c r="G109" s="30" t="s">
        <v>130</v>
      </c>
      <c r="H109" s="30" t="s">
        <v>165</v>
      </c>
      <c r="I109" s="29" t="s">
        <v>942</v>
      </c>
      <c r="J109" s="29">
        <v>10</v>
      </c>
      <c r="K109" s="29" t="s">
        <v>376</v>
      </c>
      <c r="L109" s="29">
        <v>40</v>
      </c>
      <c r="M109" s="30" t="s">
        <v>981</v>
      </c>
      <c r="N109" s="30" t="s">
        <v>893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982</v>
      </c>
      <c r="N110" s="30" t="s">
        <v>888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894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894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943</v>
      </c>
      <c r="E113" s="21" t="s">
        <v>32</v>
      </c>
      <c r="F113" s="21" t="s">
        <v>944</v>
      </c>
      <c r="G113" s="21" t="s">
        <v>401</v>
      </c>
      <c r="H113" s="21" t="s">
        <v>165</v>
      </c>
      <c r="I113" s="20" t="s">
        <v>945</v>
      </c>
      <c r="J113" s="20"/>
      <c r="K113" s="20" t="s">
        <v>376</v>
      </c>
      <c r="L113" s="20">
        <v>50</v>
      </c>
      <c r="M113" s="21" t="s">
        <v>946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880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880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985</v>
      </c>
      <c r="E116" s="30" t="s">
        <v>44</v>
      </c>
      <c r="F116" s="30" t="s">
        <v>969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880</v>
      </c>
      <c r="O116" s="31">
        <v>1</v>
      </c>
      <c r="P116" s="31">
        <v>1</v>
      </c>
      <c r="Q116" s="30" t="s">
        <v>970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787</v>
      </c>
      <c r="E117" s="21" t="s">
        <v>468</v>
      </c>
      <c r="F117" s="21" t="s">
        <v>788</v>
      </c>
      <c r="G117" s="21" t="s">
        <v>114</v>
      </c>
      <c r="H117" s="21" t="s">
        <v>165</v>
      </c>
      <c r="I117" s="20" t="s">
        <v>789</v>
      </c>
      <c r="J117" s="20">
        <v>99</v>
      </c>
      <c r="K117" s="20" t="s">
        <v>376</v>
      </c>
      <c r="L117" s="20">
        <v>6</v>
      </c>
      <c r="M117" s="21" t="s">
        <v>921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782</v>
      </c>
      <c r="E118" s="30" t="s">
        <v>468</v>
      </c>
      <c r="F118" s="30" t="s">
        <v>783</v>
      </c>
      <c r="G118" s="30" t="s">
        <v>103</v>
      </c>
      <c r="H118" s="30" t="s">
        <v>165</v>
      </c>
      <c r="I118" s="29" t="s">
        <v>784</v>
      </c>
      <c r="J118" s="29">
        <v>2</v>
      </c>
      <c r="K118" s="29" t="s">
        <v>321</v>
      </c>
      <c r="L118" s="29">
        <v>15</v>
      </c>
      <c r="M118" s="30" t="s">
        <v>853</v>
      </c>
      <c r="N118" s="30" t="s">
        <v>880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853</v>
      </c>
      <c r="N119" s="30" t="s">
        <v>880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853</v>
      </c>
      <c r="N120" s="30" t="s">
        <v>880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853</v>
      </c>
      <c r="N121" s="30" t="s">
        <v>880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770</v>
      </c>
      <c r="G122" s="30" t="s">
        <v>771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853</v>
      </c>
      <c r="N122" s="30" t="s">
        <v>880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772</v>
      </c>
      <c r="G123" s="30" t="s">
        <v>810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853</v>
      </c>
      <c r="N123" s="30" t="s">
        <v>880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997</v>
      </c>
      <c r="G124" s="30" t="s">
        <v>998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853</v>
      </c>
      <c r="N124" s="30" t="s">
        <v>880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999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853</v>
      </c>
      <c r="N125" s="30" t="s">
        <v>880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882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915</v>
      </c>
      <c r="E127" s="30" t="s">
        <v>468</v>
      </c>
      <c r="F127" s="30" t="s">
        <v>916</v>
      </c>
      <c r="G127" s="30" t="s">
        <v>38</v>
      </c>
      <c r="H127" s="30" t="s">
        <v>165</v>
      </c>
      <c r="I127" s="29" t="s">
        <v>917</v>
      </c>
      <c r="J127" s="29">
        <v>1</v>
      </c>
      <c r="K127" s="29" t="s">
        <v>376</v>
      </c>
      <c r="L127" s="29"/>
      <c r="M127" s="30"/>
      <c r="N127" s="30" t="s">
        <v>880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753</v>
      </c>
      <c r="E128" s="30" t="s">
        <v>468</v>
      </c>
      <c r="F128" s="30" t="s">
        <v>754</v>
      </c>
      <c r="G128" s="30" t="s">
        <v>811</v>
      </c>
      <c r="H128" s="30" t="s">
        <v>165</v>
      </c>
      <c r="I128" s="29" t="s">
        <v>755</v>
      </c>
      <c r="J128" s="29">
        <v>99</v>
      </c>
      <c r="K128" s="29" t="s">
        <v>320</v>
      </c>
      <c r="L128" s="29"/>
      <c r="M128" s="30" t="s">
        <v>702</v>
      </c>
      <c r="N128" s="30" t="s">
        <v>880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753</v>
      </c>
      <c r="E129" s="30" t="s">
        <v>468</v>
      </c>
      <c r="F129" s="30" t="s">
        <v>986</v>
      </c>
      <c r="G129" s="30" t="s">
        <v>987</v>
      </c>
      <c r="H129" s="30" t="s">
        <v>165</v>
      </c>
      <c r="I129" s="29" t="s">
        <v>988</v>
      </c>
      <c r="J129" s="29"/>
      <c r="K129" s="29" t="s">
        <v>320</v>
      </c>
      <c r="L129" s="29"/>
      <c r="M129" s="30" t="s">
        <v>702</v>
      </c>
      <c r="N129" s="30" t="s">
        <v>880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880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880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880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952</v>
      </c>
      <c r="E133" s="30" t="s">
        <v>468</v>
      </c>
      <c r="F133" s="30" t="s">
        <v>953</v>
      </c>
      <c r="G133" s="30"/>
      <c r="H133" s="30" t="s">
        <v>165</v>
      </c>
      <c r="I133" s="29" t="s">
        <v>954</v>
      </c>
      <c r="J133" s="29"/>
      <c r="K133" s="29" t="s">
        <v>376</v>
      </c>
      <c r="L133" s="29"/>
      <c r="M133" s="30"/>
      <c r="N133" s="30" t="s">
        <v>880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909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918</v>
      </c>
      <c r="E136" s="30" t="s">
        <v>919</v>
      </c>
      <c r="F136" s="30" t="s">
        <v>920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880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895</v>
      </c>
      <c r="E137" s="30" t="s">
        <v>35</v>
      </c>
      <c r="F137" s="30" t="s">
        <v>896</v>
      </c>
      <c r="G137" s="30"/>
      <c r="H137" s="30" t="s">
        <v>165</v>
      </c>
      <c r="I137" s="29" t="s">
        <v>897</v>
      </c>
      <c r="J137" s="29">
        <v>99</v>
      </c>
      <c r="K137" s="29" t="s">
        <v>376</v>
      </c>
      <c r="L137" s="29"/>
      <c r="M137" s="30"/>
      <c r="N137" s="30" t="s">
        <v>880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853</v>
      </c>
      <c r="N138" s="30" t="s">
        <v>880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815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880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854</v>
      </c>
      <c r="N140" s="30" t="s">
        <v>882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855</v>
      </c>
      <c r="N141" s="30" t="s">
        <v>882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989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855</v>
      </c>
      <c r="N142" s="30" t="s">
        <v>882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880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880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880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990</v>
      </c>
      <c r="G146" s="30" t="s">
        <v>991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880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819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894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894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902</v>
      </c>
      <c r="E149" s="30" t="s">
        <v>35</v>
      </c>
      <c r="F149" s="30" t="s">
        <v>903</v>
      </c>
      <c r="G149" s="30" t="s">
        <v>132</v>
      </c>
      <c r="H149" s="30" t="s">
        <v>165</v>
      </c>
      <c r="I149" s="29" t="s">
        <v>904</v>
      </c>
      <c r="J149" s="29">
        <v>99</v>
      </c>
      <c r="K149" s="29" t="s">
        <v>376</v>
      </c>
      <c r="L149" s="29"/>
      <c r="M149" s="30"/>
      <c r="N149" s="30" t="s">
        <v>880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880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822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882</v>
      </c>
      <c r="O151" s="31">
        <v>1</v>
      </c>
      <c r="P151" s="31"/>
      <c r="Q151" s="30" t="s">
        <v>936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882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882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808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870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871</v>
      </c>
      <c r="N155" s="30" t="s">
        <v>882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790</v>
      </c>
      <c r="E156" s="21"/>
      <c r="F156" s="21" t="s">
        <v>791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792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781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882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880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774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880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892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892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738</v>
      </c>
      <c r="N162" s="30" t="s">
        <v>883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932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914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880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947</v>
      </c>
      <c r="E165" s="30" t="s">
        <v>948</v>
      </c>
      <c r="F165" s="30" t="s">
        <v>949</v>
      </c>
      <c r="G165" s="30" t="s">
        <v>950</v>
      </c>
      <c r="H165" s="30" t="s">
        <v>165</v>
      </c>
      <c r="I165" s="29" t="s">
        <v>951</v>
      </c>
      <c r="J165" s="29"/>
      <c r="K165" s="29" t="s">
        <v>376</v>
      </c>
      <c r="L165" s="29"/>
      <c r="M165" s="30"/>
      <c r="N165" s="30" t="s">
        <v>880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974</v>
      </c>
      <c r="E166" s="30" t="s">
        <v>971</v>
      </c>
      <c r="F166" s="30" t="s">
        <v>972</v>
      </c>
      <c r="G166" s="30" t="s">
        <v>137</v>
      </c>
      <c r="H166" s="30" t="s">
        <v>165</v>
      </c>
      <c r="I166" s="29" t="s">
        <v>973</v>
      </c>
      <c r="J166" s="29">
        <v>1</v>
      </c>
      <c r="K166" s="29" t="s">
        <v>376</v>
      </c>
      <c r="L166" s="29"/>
      <c r="M166" s="30"/>
      <c r="N166" s="30" t="s">
        <v>880</v>
      </c>
      <c r="O166" s="31">
        <v>1</v>
      </c>
      <c r="P166" s="31">
        <v>1</v>
      </c>
      <c r="Q166" s="30" t="s">
        <v>975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922</v>
      </c>
      <c r="E167" s="30" t="s">
        <v>468</v>
      </c>
      <c r="F167" s="30" t="s">
        <v>923</v>
      </c>
      <c r="G167" s="30" t="s">
        <v>96</v>
      </c>
      <c r="H167" s="30" t="s">
        <v>165</v>
      </c>
      <c r="I167" s="29" t="s">
        <v>924</v>
      </c>
      <c r="J167" s="29"/>
      <c r="K167" s="29" t="s">
        <v>376</v>
      </c>
      <c r="L167" s="29"/>
      <c r="M167" s="30"/>
      <c r="N167" s="30" t="s">
        <v>880</v>
      </c>
      <c r="O167" s="31">
        <v>1</v>
      </c>
      <c r="P167" s="31">
        <v>1</v>
      </c>
      <c r="Q167" s="30" t="s">
        <v>977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978</v>
      </c>
      <c r="N168" s="30" t="s">
        <v>894</v>
      </c>
      <c r="O168" s="31">
        <v>1</v>
      </c>
      <c r="P168" s="31"/>
      <c r="Q168" s="30" t="s">
        <v>976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872</v>
      </c>
      <c r="N169" s="30" t="s">
        <v>889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805</v>
      </c>
      <c r="E170" s="21" t="s">
        <v>454</v>
      </c>
      <c r="F170" s="21" t="s">
        <v>786</v>
      </c>
      <c r="G170" s="21" t="s">
        <v>668</v>
      </c>
      <c r="H170" s="21" t="s">
        <v>165</v>
      </c>
      <c r="I170" s="20" t="s">
        <v>785</v>
      </c>
      <c r="J170" s="20">
        <v>99</v>
      </c>
      <c r="K170" s="20" t="s">
        <v>319</v>
      </c>
      <c r="L170" s="20">
        <v>20</v>
      </c>
      <c r="M170" s="21" t="s">
        <v>881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809</v>
      </c>
      <c r="F171" s="30" t="s">
        <v>823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45</v>
      </c>
      <c r="M171" s="30" t="s">
        <v>873</v>
      </c>
      <c r="N171" s="30" t="s">
        <v>888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880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880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793</v>
      </c>
      <c r="E174" s="30" t="s">
        <v>570</v>
      </c>
      <c r="F174" s="30" t="s">
        <v>934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880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793</v>
      </c>
      <c r="E175" s="30" t="s">
        <v>570</v>
      </c>
      <c r="F175" s="30" t="s">
        <v>814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880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880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910</v>
      </c>
      <c r="E178" s="30"/>
      <c r="F178" s="30" t="s">
        <v>911</v>
      </c>
      <c r="G178" s="30"/>
      <c r="H178" s="30" t="s">
        <v>165</v>
      </c>
      <c r="I178" s="29" t="s">
        <v>912</v>
      </c>
      <c r="J178" s="29"/>
      <c r="K178" s="29" t="s">
        <v>376</v>
      </c>
      <c r="L178" s="29"/>
      <c r="M178" s="30"/>
      <c r="N178" s="30" t="s">
        <v>880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907</v>
      </c>
      <c r="N180" s="30" t="s">
        <v>914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993</v>
      </c>
      <c r="E181" s="30" t="s">
        <v>994</v>
      </c>
      <c r="F181" s="30" t="s">
        <v>995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880</v>
      </c>
      <c r="O181" s="31">
        <v>1</v>
      </c>
      <c r="P181" s="31">
        <v>1</v>
      </c>
      <c r="Q181" s="30" t="s">
        <v>996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845</v>
      </c>
      <c r="M182" s="30" t="s">
        <v>739</v>
      </c>
      <c r="N182" s="30" t="s">
        <v>909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65</v>
      </c>
      <c r="E183" s="30" t="s">
        <v>88</v>
      </c>
      <c r="F183" s="30" t="s">
        <v>141</v>
      </c>
      <c r="G183" s="30" t="s">
        <v>140</v>
      </c>
      <c r="H183" s="30" t="s">
        <v>165</v>
      </c>
      <c r="I183" s="29" t="s">
        <v>186</v>
      </c>
      <c r="J183" s="29">
        <v>99</v>
      </c>
      <c r="K183" s="29" t="s">
        <v>320</v>
      </c>
      <c r="L183" s="29" t="s">
        <v>338</v>
      </c>
      <c r="M183" s="30" t="s">
        <v>205</v>
      </c>
      <c r="N183" s="30" t="s">
        <v>888</v>
      </c>
      <c r="O183" s="31">
        <v>1</v>
      </c>
      <c r="P183" s="31"/>
      <c r="Q183" s="30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1</v>
      </c>
      <c r="AF183" s="2">
        <f t="shared" si="99"/>
        <v>0</v>
      </c>
      <c r="AG183" s="2">
        <f t="shared" si="100"/>
        <v>1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846</v>
      </c>
      <c r="M184" s="30" t="s">
        <v>740</v>
      </c>
      <c r="N184" s="30" t="s">
        <v>909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955</v>
      </c>
      <c r="E185" s="21" t="s">
        <v>956</v>
      </c>
      <c r="F185" s="21" t="s">
        <v>957</v>
      </c>
      <c r="G185" s="21" t="s">
        <v>958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959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5" t="s">
        <v>885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914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803</v>
      </c>
      <c r="E188" s="21" t="s">
        <v>29</v>
      </c>
      <c r="F188" s="21" t="s">
        <v>816</v>
      </c>
      <c r="G188" s="21" t="s">
        <v>817</v>
      </c>
      <c r="H188" s="21" t="s">
        <v>165</v>
      </c>
      <c r="I188" s="20" t="s">
        <v>836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780</v>
      </c>
      <c r="N190" s="30" t="s">
        <v>909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760</v>
      </c>
      <c r="E191" s="30" t="s">
        <v>761</v>
      </c>
      <c r="F191" s="30" t="s">
        <v>762</v>
      </c>
      <c r="G191" s="30"/>
      <c r="H191" s="30" t="s">
        <v>165</v>
      </c>
      <c r="I191" s="29" t="s">
        <v>763</v>
      </c>
      <c r="J191" s="29">
        <v>99</v>
      </c>
      <c r="K191" s="29" t="s">
        <v>376</v>
      </c>
      <c r="L191" s="29">
        <v>35</v>
      </c>
      <c r="M191" s="30" t="s">
        <v>929</v>
      </c>
      <c r="N191" s="30" t="s">
        <v>882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979</v>
      </c>
      <c r="N192" s="30" t="s">
        <v>882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741</v>
      </c>
      <c r="N193" s="30" t="s">
        <v>893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908</v>
      </c>
      <c r="N194" s="30" t="s">
        <v>914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756</v>
      </c>
      <c r="E197" s="30" t="s">
        <v>263</v>
      </c>
      <c r="F197" s="30" t="s">
        <v>757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980</v>
      </c>
      <c r="N197" s="30" t="s">
        <v>888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745</v>
      </c>
      <c r="N198" s="30" t="s">
        <v>882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938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894</v>
      </c>
      <c r="O199" s="31">
        <v>1</v>
      </c>
      <c r="P199" s="31"/>
      <c r="Q199" s="30" t="s">
        <v>939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820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778</v>
      </c>
      <c r="N201" s="30" t="s">
        <v>883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804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894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676</v>
      </c>
      <c r="E203" s="30" t="s">
        <v>34</v>
      </c>
      <c r="F203" s="30" t="s">
        <v>813</v>
      </c>
      <c r="G203" s="30" t="s">
        <v>96</v>
      </c>
      <c r="H203" s="30" t="s">
        <v>165</v>
      </c>
      <c r="I203" s="29" t="s">
        <v>614</v>
      </c>
      <c r="J203" s="29">
        <v>1</v>
      </c>
      <c r="K203" s="29" t="s">
        <v>318</v>
      </c>
      <c r="L203" s="29" t="s">
        <v>343</v>
      </c>
      <c r="M203" s="30" t="s">
        <v>615</v>
      </c>
      <c r="N203" s="30" t="s">
        <v>909</v>
      </c>
      <c r="O203" s="31">
        <v>1</v>
      </c>
      <c r="P203" s="31"/>
      <c r="Q203" s="30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1</v>
      </c>
      <c r="AF203" s="2">
        <f t="shared" si="99"/>
        <v>0</v>
      </c>
      <c r="AG203" s="2">
        <f t="shared" si="100"/>
        <v>1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839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893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933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914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742</v>
      </c>
      <c r="N206" s="30" t="s">
        <v>893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914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894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930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889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931</v>
      </c>
      <c r="G210" s="30" t="s">
        <v>103</v>
      </c>
      <c r="H210" s="30" t="s">
        <v>165</v>
      </c>
      <c r="I210" s="29" t="s">
        <v>838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889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880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905</v>
      </c>
      <c r="E212" s="30" t="s">
        <v>899</v>
      </c>
      <c r="F212" s="30" t="s">
        <v>903</v>
      </c>
      <c r="G212" s="30" t="s">
        <v>132</v>
      </c>
      <c r="H212" s="30" t="s">
        <v>165</v>
      </c>
      <c r="I212" s="29" t="s">
        <v>906</v>
      </c>
      <c r="J212" s="29">
        <v>99</v>
      </c>
      <c r="K212" s="29" t="s">
        <v>376</v>
      </c>
      <c r="L212" s="29"/>
      <c r="M212" s="30"/>
      <c r="N212" s="30" t="s">
        <v>880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909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880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880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909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909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909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812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914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888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882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834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909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835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914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909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894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898</v>
      </c>
      <c r="E229" s="30" t="s">
        <v>899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880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898</v>
      </c>
      <c r="E230" s="30" t="s">
        <v>899</v>
      </c>
      <c r="F230" s="30" t="s">
        <v>900</v>
      </c>
      <c r="G230" s="30" t="s">
        <v>901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880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894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894</v>
      </c>
      <c r="O232" s="31">
        <v>1</v>
      </c>
      <c r="P232" s="31"/>
      <c r="Q232" s="30" t="s">
        <v>937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914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914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892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892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992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892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894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883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883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883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2026-10-15T17:49:07Z</dcterms:modified>
</cp:coreProperties>
</file>