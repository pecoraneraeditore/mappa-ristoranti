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DD6D9EDB-6599-450D-AA07-B447B4AFFE2D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golose'!$A$7:$AI$240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9" i="6" l="1"/>
  <c r="T239" i="6"/>
  <c r="U239" i="6"/>
  <c r="V239" i="6"/>
  <c r="W239" i="6"/>
  <c r="X239" i="6"/>
  <c r="Y239" i="6"/>
  <c r="Z239" i="6"/>
  <c r="AA239" i="6"/>
  <c r="AB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AI235" i="6"/>
  <c r="AH235" i="6"/>
  <c r="AG235" i="6"/>
  <c r="AF235" i="6"/>
  <c r="AE235" i="6"/>
  <c r="AD235" i="6"/>
  <c r="S235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7" i="6" s="1"/>
  <c r="S8" i="6"/>
  <c r="AD8" i="6"/>
  <c r="AE8" i="6"/>
  <c r="AF8" i="6"/>
  <c r="AG8" i="6"/>
  <c r="AH8" i="6"/>
  <c r="AI8" i="6"/>
  <c r="T235" i="6" l="1"/>
  <c r="T144" i="6"/>
  <c r="T232" i="6"/>
  <c r="T140" i="6"/>
  <c r="T200" i="6"/>
  <c r="T204" i="6"/>
  <c r="T234" i="6"/>
  <c r="T202" i="6"/>
  <c r="T127" i="6"/>
  <c r="T206" i="6"/>
  <c r="T208" i="6"/>
  <c r="T210" i="6"/>
  <c r="T212" i="6"/>
  <c r="T181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8" i="6"/>
  <c r="T236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83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44" i="6" l="1"/>
  <c r="U235" i="6"/>
  <c r="U127" i="6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95" i="6"/>
  <c r="U237" i="6"/>
  <c r="U216" i="6"/>
  <c r="U224" i="6"/>
  <c r="U222" i="6"/>
  <c r="U184" i="6"/>
  <c r="U192" i="6"/>
  <c r="U200" i="6"/>
  <c r="U208" i="6"/>
  <c r="U219" i="6"/>
  <c r="U233" i="6"/>
  <c r="U213" i="6"/>
  <c r="U234" i="6"/>
  <c r="U230" i="6"/>
  <c r="U189" i="6"/>
  <c r="U197" i="6"/>
  <c r="U205" i="6"/>
  <c r="U221" i="6"/>
  <c r="U232" i="6"/>
  <c r="U228" i="6"/>
  <c r="U206" i="6"/>
  <c r="U186" i="6"/>
  <c r="U194" i="6"/>
  <c r="U202" i="6"/>
  <c r="U210" i="6"/>
  <c r="U218" i="6"/>
  <c r="U226" i="6"/>
  <c r="U229" i="6"/>
  <c r="U236" i="6"/>
  <c r="U203" i="6"/>
  <c r="U183" i="6"/>
  <c r="U191" i="6"/>
  <c r="U199" i="6"/>
  <c r="U207" i="6"/>
  <c r="U215" i="6"/>
  <c r="U223" i="6"/>
  <c r="U214" i="6"/>
  <c r="U227" i="6"/>
  <c r="U188" i="6"/>
  <c r="U196" i="6"/>
  <c r="U204" i="6"/>
  <c r="U212" i="6"/>
  <c r="U220" i="6"/>
  <c r="U231" i="6"/>
  <c r="U190" i="6"/>
  <c r="U185" i="6"/>
  <c r="U193" i="6"/>
  <c r="U201" i="6"/>
  <c r="U209" i="6"/>
  <c r="U217" i="6"/>
  <c r="U225" i="6"/>
  <c r="U238" i="6"/>
  <c r="U198" i="6"/>
  <c r="U187" i="6"/>
  <c r="U182" i="6"/>
  <c r="U211" i="6"/>
  <c r="U195" i="6"/>
  <c r="T5" i="6"/>
  <c r="U8" i="6"/>
  <c r="V7" i="6"/>
  <c r="U10" i="6"/>
  <c r="U9" i="6"/>
  <c r="H4" i="6"/>
  <c r="H3" i="6"/>
  <c r="E5" i="6"/>
  <c r="F5" i="6"/>
  <c r="G5" i="6"/>
  <c r="V144" i="6" l="1"/>
  <c r="V235" i="6"/>
  <c r="V127" i="6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92" i="6"/>
  <c r="V95" i="6"/>
  <c r="V94" i="6"/>
  <c r="V91" i="6"/>
  <c r="V93" i="6"/>
  <c r="V90" i="6"/>
  <c r="V187" i="6"/>
  <c r="V195" i="6"/>
  <c r="V203" i="6"/>
  <c r="V211" i="6"/>
  <c r="V219" i="6"/>
  <c r="V227" i="6"/>
  <c r="V230" i="6"/>
  <c r="V233" i="6"/>
  <c r="V237" i="6"/>
  <c r="V223" i="6"/>
  <c r="V184" i="6"/>
  <c r="V192" i="6"/>
  <c r="V200" i="6"/>
  <c r="V208" i="6"/>
  <c r="V216" i="6"/>
  <c r="V224" i="6"/>
  <c r="V215" i="6"/>
  <c r="V207" i="6"/>
  <c r="V217" i="6"/>
  <c r="V189" i="6"/>
  <c r="V197" i="6"/>
  <c r="V205" i="6"/>
  <c r="V213" i="6"/>
  <c r="V221" i="6"/>
  <c r="V191" i="6"/>
  <c r="V201" i="6"/>
  <c r="V232" i="6"/>
  <c r="V218" i="6"/>
  <c r="V226" i="6"/>
  <c r="V229" i="6"/>
  <c r="V236" i="6"/>
  <c r="V212" i="6"/>
  <c r="V186" i="6"/>
  <c r="V194" i="6"/>
  <c r="V202" i="6"/>
  <c r="V210" i="6"/>
  <c r="V196" i="6"/>
  <c r="V238" i="6"/>
  <c r="V183" i="6"/>
  <c r="V199" i="6"/>
  <c r="V220" i="6"/>
  <c r="V188" i="6"/>
  <c r="V204" i="6"/>
  <c r="V228" i="6"/>
  <c r="V231" i="6"/>
  <c r="V234" i="6"/>
  <c r="V193" i="6"/>
  <c r="V225" i="6"/>
  <c r="V185" i="6"/>
  <c r="V209" i="6"/>
  <c r="V182" i="6"/>
  <c r="V190" i="6"/>
  <c r="V198" i="6"/>
  <c r="V206" i="6"/>
  <c r="V214" i="6"/>
  <c r="V222" i="6"/>
  <c r="V9" i="6"/>
  <c r="V8" i="6"/>
  <c r="V10" i="6"/>
  <c r="W7" i="6"/>
  <c r="U5" i="6"/>
  <c r="H5" i="6"/>
  <c r="W144" i="6" l="1"/>
  <c r="W235" i="6"/>
  <c r="W127" i="6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6" i="6"/>
  <c r="W237" i="6"/>
  <c r="W238" i="6"/>
  <c r="V5" i="6"/>
  <c r="W10" i="6"/>
  <c r="W8" i="6"/>
  <c r="X7" i="6"/>
  <c r="W9" i="6"/>
  <c r="X144" i="6" l="1"/>
  <c r="X235" i="6"/>
  <c r="X127" i="6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6" i="6"/>
  <c r="X237" i="6"/>
  <c r="X238" i="6"/>
  <c r="X142" i="6"/>
  <c r="X159" i="6"/>
  <c r="X175" i="6"/>
  <c r="X146" i="6"/>
  <c r="X162" i="6"/>
  <c r="X178" i="6"/>
  <c r="X149" i="6"/>
  <c r="X165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W5" i="6"/>
  <c r="Y144" i="6" l="1"/>
  <c r="Y235" i="6"/>
  <c r="Y127" i="6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6" i="6"/>
  <c r="Y237" i="6"/>
  <c r="Y238" i="6"/>
  <c r="Y93" i="6"/>
  <c r="Y142" i="6"/>
  <c r="Y159" i="6"/>
  <c r="Y175" i="6"/>
  <c r="Y146" i="6"/>
  <c r="Y162" i="6"/>
  <c r="Y178" i="6"/>
  <c r="Y149" i="6"/>
  <c r="Y165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X5" i="6"/>
  <c r="Z144" i="6" l="1"/>
  <c r="Z235" i="6"/>
  <c r="Z127" i="6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2" i="6"/>
  <c r="Z226" i="6"/>
  <c r="Z229" i="6"/>
  <c r="Z232" i="6"/>
  <c r="Z237" i="6"/>
  <c r="Z150" i="6"/>
  <c r="Z166" i="6"/>
  <c r="Z223" i="6"/>
  <c r="Z228" i="6"/>
  <c r="Z234" i="6"/>
  <c r="Z153" i="6"/>
  <c r="Z169" i="6"/>
  <c r="Z220" i="6"/>
  <c r="Z225" i="6"/>
  <c r="Z230" i="6"/>
  <c r="Z233" i="6"/>
  <c r="Z238" i="6"/>
  <c r="Z138" i="6"/>
  <c r="Z156" i="6"/>
  <c r="Z172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1" i="6"/>
  <c r="Z224" i="6"/>
  <c r="Z227" i="6"/>
  <c r="Z231" i="6"/>
  <c r="Z236" i="6"/>
  <c r="Z142" i="6"/>
  <c r="Z159" i="6"/>
  <c r="Z175" i="6"/>
  <c r="Z146" i="6"/>
  <c r="Z162" i="6"/>
  <c r="Z178" i="6"/>
  <c r="Z149" i="6"/>
  <c r="Z165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Z9" i="6"/>
  <c r="Y5" i="6"/>
  <c r="AA144" i="6" l="1"/>
  <c r="AA235" i="6"/>
  <c r="AA127" i="6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1" i="6"/>
  <c r="AA215" i="6"/>
  <c r="AA219" i="6"/>
  <c r="AA223" i="6"/>
  <c r="AA227" i="6"/>
  <c r="AA231" i="6"/>
  <c r="AA237" i="6"/>
  <c r="AA130" i="6"/>
  <c r="AA132" i="6"/>
  <c r="AA134" i="6"/>
  <c r="AA136" i="6"/>
  <c r="AA147" i="6"/>
  <c r="AA163" i="6"/>
  <c r="AA179" i="6"/>
  <c r="AA209" i="6"/>
  <c r="AA213" i="6"/>
  <c r="AA220" i="6"/>
  <c r="AA224" i="6"/>
  <c r="AA228" i="6"/>
  <c r="AA234" i="6"/>
  <c r="AA150" i="6"/>
  <c r="AA166" i="6"/>
  <c r="AA207" i="6"/>
  <c r="AA214" i="6"/>
  <c r="AA218" i="6"/>
  <c r="AA222" i="6"/>
  <c r="AA226" i="6"/>
  <c r="AA229" i="6"/>
  <c r="AA233" i="6"/>
  <c r="AA238" i="6"/>
  <c r="AA153" i="6"/>
  <c r="AA169" i="6"/>
  <c r="AA208" i="6"/>
  <c r="AA216" i="6"/>
  <c r="AA221" i="6"/>
  <c r="AA225" i="6"/>
  <c r="AA230" i="6"/>
  <c r="AA236" i="6"/>
  <c r="AA93" i="6"/>
  <c r="AA138" i="6"/>
  <c r="AA156" i="6"/>
  <c r="AA172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10" i="6"/>
  <c r="AA212" i="6"/>
  <c r="AA217" i="6"/>
  <c r="AA232" i="6"/>
  <c r="AA142" i="6"/>
  <c r="AA159" i="6"/>
  <c r="AA175" i="6"/>
  <c r="AA146" i="6"/>
  <c r="AA162" i="6"/>
  <c r="AA178" i="6"/>
  <c r="AA149" i="6"/>
  <c r="AA165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A10" i="6"/>
  <c r="AB144" i="6" l="1"/>
  <c r="AB235" i="6"/>
  <c r="AB127" i="6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91" i="6"/>
  <c r="AB94" i="6"/>
  <c r="AB215" i="6"/>
  <c r="AB220" i="6"/>
  <c r="AB225" i="6"/>
  <c r="AB229" i="6"/>
  <c r="AB231" i="6"/>
  <c r="AB218" i="6"/>
  <c r="AB222" i="6"/>
  <c r="AB217" i="6"/>
  <c r="AB224" i="6"/>
  <c r="AB216" i="6"/>
  <c r="AB223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9" i="6"/>
  <c r="AB221" i="6"/>
  <c r="AB226" i="6"/>
  <c r="AB227" i="6"/>
  <c r="AB230" i="6"/>
  <c r="AB233" i="6"/>
  <c r="AB237" i="6"/>
  <c r="AB234" i="6"/>
  <c r="AB238" i="6"/>
  <c r="AB232" i="6"/>
  <c r="AB236" i="6"/>
  <c r="AB228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<sst xmlns="http://schemas.openxmlformats.org/spreadsheetml/2006/main" count="2232" uniqueCount="1006">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</sst>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0"/>
  <sheetViews>
    <sheetView tabSelected="1" zoomScale="110" zoomScaleNormal="110" workbookViewId="0">
      <pane ySplit="7" topLeftCell="A8" activePane="bottomLeft" state="frozen"/>
      <selection pane="bottomLeft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66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115</v>
      </c>
      <c r="G4" s="9">
        <f>+AG6</f>
        <v>92</v>
      </c>
      <c r="H4" s="7">
        <f>+E4-G4</f>
        <v>49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181</v>
      </c>
      <c r="G5" s="11">
        <f>+G3+G4</f>
        <v>143</v>
      </c>
      <c r="H5" s="11">
        <f>+H3+H4</f>
        <v>50</v>
      </c>
      <c r="I5" s="25" t="s">
        <v>43</v>
      </c>
      <c r="J5" s="12"/>
      <c r="K5" s="12"/>
      <c r="N5" s="13"/>
      <c r="R5" s="12"/>
      <c r="S5" s="12">
        <f t="shared" ref="S5:AB5" si="0">SUM(S8:S1882)</f>
        <v>25</v>
      </c>
      <c r="T5" s="12">
        <f t="shared" si="0"/>
        <v>10</v>
      </c>
      <c r="U5" s="12">
        <f t="shared" si="0"/>
        <v>19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SUM(AD8:AD1881)</f>
        <v>66</v>
      </c>
      <c r="AE6" s="2">
        <f t="shared" si="1"/>
        <v>115</v>
      </c>
      <c r="AF6" s="2">
        <f t="shared" si="1"/>
        <v>51</v>
      </c>
      <c r="AG6" s="2">
        <f t="shared" si="1"/>
        <v>92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854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944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865</v>
      </c>
      <c r="N8" s="30" t="s">
        <v>896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882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882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180</v>
      </c>
      <c r="M11" s="30" t="s">
        <v>206</v>
      </c>
      <c r="N11" s="30" t="s">
        <v>902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866</v>
      </c>
      <c r="N12" s="30" t="s">
        <v>896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867</v>
      </c>
      <c r="N13" s="30" t="s">
        <v>888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882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923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377</v>
      </c>
      <c r="E17" s="33" t="s">
        <v>260</v>
      </c>
      <c r="F17" s="33" t="s">
        <v>378</v>
      </c>
      <c r="G17" s="33" t="s">
        <v>379</v>
      </c>
      <c r="H17" s="33" t="s">
        <v>380</v>
      </c>
      <c r="I17" s="32" t="s">
        <v>381</v>
      </c>
      <c r="J17" s="32">
        <v>99</v>
      </c>
      <c r="K17" s="32" t="s">
        <v>376</v>
      </c>
      <c r="L17" s="32">
        <v>170</v>
      </c>
      <c r="M17" s="33" t="s">
        <v>881</v>
      </c>
      <c r="N17" s="33" t="s">
        <v>886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882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543</v>
      </c>
      <c r="E19" s="33" t="s">
        <v>262</v>
      </c>
      <c r="F19" s="33" t="s">
        <v>542</v>
      </c>
      <c r="G19" s="33" t="s">
        <v>563</v>
      </c>
      <c r="H19" s="33" t="s">
        <v>165</v>
      </c>
      <c r="I19" s="32" t="s">
        <v>841</v>
      </c>
      <c r="J19" s="32">
        <v>99</v>
      </c>
      <c r="K19" s="32" t="s">
        <v>328</v>
      </c>
      <c r="L19" s="32" t="s">
        <v>850</v>
      </c>
      <c r="M19" s="33" t="s">
        <v>734</v>
      </c>
      <c r="N19" s="33" t="s">
        <v>884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891</v>
      </c>
      <c r="N21" s="30" t="s">
        <v>918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923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893</v>
      </c>
      <c r="N23" s="30" t="s">
        <v>918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889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897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882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883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868</v>
      </c>
      <c r="N29" s="30" t="s">
        <v>896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894</v>
      </c>
      <c r="N30" s="30" t="s">
        <v>901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890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869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882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870</v>
      </c>
      <c r="N34" s="30" t="s">
        <v>895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901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882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901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853</v>
      </c>
      <c r="M40" s="33" t="s">
        <v>778</v>
      </c>
      <c r="N40" s="33" t="s">
        <v>898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890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992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896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896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32">
        <v>0</v>
      </c>
      <c r="B44" s="32">
        <v>1</v>
      </c>
      <c r="C44" s="32">
        <v>3</v>
      </c>
      <c r="D44" s="33" t="s">
        <v>678</v>
      </c>
      <c r="E44" s="33" t="s">
        <v>621</v>
      </c>
      <c r="F44" s="33" t="s">
        <v>619</v>
      </c>
      <c r="G44" s="33" t="s">
        <v>40</v>
      </c>
      <c r="H44" s="33" t="s">
        <v>620</v>
      </c>
      <c r="I44" s="32" t="s">
        <v>622</v>
      </c>
      <c r="J44" s="32">
        <v>99</v>
      </c>
      <c r="K44" s="32" t="s">
        <v>376</v>
      </c>
      <c r="L44" s="32">
        <v>60</v>
      </c>
      <c r="M44" s="33" t="s">
        <v>596</v>
      </c>
      <c r="N44" s="33" t="s">
        <v>889</v>
      </c>
      <c r="O44" s="34"/>
      <c r="P44" s="34"/>
      <c r="Q44" s="33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901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883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896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896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882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923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890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973</v>
      </c>
      <c r="E52" s="21" t="s">
        <v>259</v>
      </c>
      <c r="F52" s="21" t="s">
        <v>974</v>
      </c>
      <c r="G52" s="21" t="s">
        <v>975</v>
      </c>
      <c r="H52" s="21" t="s">
        <v>165</v>
      </c>
      <c r="I52" s="20" t="s">
        <v>976</v>
      </c>
      <c r="J52" s="20"/>
      <c r="K52" s="20" t="s">
        <v>376</v>
      </c>
      <c r="L52" s="20">
        <v>65</v>
      </c>
      <c r="M52" s="21" t="s">
        <v>977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923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899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882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376</v>
      </c>
      <c r="L56" s="32" t="s">
        <v>334</v>
      </c>
      <c r="M56" s="33" t="s">
        <v>266</v>
      </c>
      <c r="N56" s="33" t="s">
        <v>917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876</v>
      </c>
      <c r="E58" s="30" t="s">
        <v>879</v>
      </c>
      <c r="F58" s="30" t="s">
        <v>877</v>
      </c>
      <c r="G58" s="30" t="s">
        <v>401</v>
      </c>
      <c r="H58" s="30" t="s">
        <v>165</v>
      </c>
      <c r="I58" s="29" t="s">
        <v>878</v>
      </c>
      <c r="J58" s="29"/>
      <c r="K58" s="29" t="s">
        <v>376</v>
      </c>
      <c r="L58" s="29">
        <v>55</v>
      </c>
      <c r="M58" s="30" t="s">
        <v>880</v>
      </c>
      <c r="N58" s="30" t="s">
        <v>923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861</v>
      </c>
      <c r="E59" s="30" t="s">
        <v>796</v>
      </c>
      <c r="F59" s="30" t="s">
        <v>862</v>
      </c>
      <c r="G59" s="30" t="s">
        <v>309</v>
      </c>
      <c r="H59" s="30" t="s">
        <v>165</v>
      </c>
      <c r="I59" s="29" t="s">
        <v>863</v>
      </c>
      <c r="J59" s="29"/>
      <c r="K59" s="29" t="s">
        <v>376</v>
      </c>
      <c r="L59" s="29">
        <v>50</v>
      </c>
      <c r="M59" s="30" t="s">
        <v>864</v>
      </c>
      <c r="N59" s="30" t="s">
        <v>923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864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858</v>
      </c>
      <c r="E61" s="30" t="s">
        <v>796</v>
      </c>
      <c r="F61" s="30" t="s">
        <v>859</v>
      </c>
      <c r="G61" s="30" t="s">
        <v>368</v>
      </c>
      <c r="H61" s="30" t="s">
        <v>165</v>
      </c>
      <c r="I61" s="29" t="s">
        <v>860</v>
      </c>
      <c r="J61" s="29"/>
      <c r="K61" s="29" t="s">
        <v>376</v>
      </c>
      <c r="L61" s="29">
        <v>45</v>
      </c>
      <c r="M61" s="30" t="s">
        <v>418</v>
      </c>
      <c r="N61" s="30" t="s">
        <v>882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901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993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901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901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901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918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888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807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883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882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882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888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888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1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0</v>
      </c>
      <c r="AH75" s="2">
        <f t="shared" ref="AH75:AH139" si="37">+P75*(1-A75)</f>
        <v>0</v>
      </c>
      <c r="AI75" s="2">
        <f t="shared" ref="AI75:AI139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871</v>
      </c>
      <c r="N76" s="30" t="s">
        <v>888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922</v>
      </c>
      <c r="N77" s="30" t="s">
        <v>888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882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358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485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917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882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890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890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888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882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539</v>
      </c>
      <c r="E87" s="33" t="s">
        <v>572</v>
      </c>
      <c r="F87" s="33" t="s">
        <v>822</v>
      </c>
      <c r="G87" s="33" t="s">
        <v>540</v>
      </c>
      <c r="H87" s="33" t="s">
        <v>165</v>
      </c>
      <c r="I87" s="32" t="s">
        <v>541</v>
      </c>
      <c r="J87" s="32">
        <v>99</v>
      </c>
      <c r="K87" s="32" t="s">
        <v>330</v>
      </c>
      <c r="L87" s="32" t="s">
        <v>334</v>
      </c>
      <c r="M87" s="33" t="s">
        <v>738</v>
      </c>
      <c r="N87" s="33" t="s">
        <v>889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896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969</v>
      </c>
      <c r="E89" s="27" t="s">
        <v>258</v>
      </c>
      <c r="F89" s="27" t="s">
        <v>970</v>
      </c>
      <c r="G89" s="27" t="s">
        <v>971</v>
      </c>
      <c r="H89" s="27" t="s">
        <v>165</v>
      </c>
      <c r="I89" s="26" t="s">
        <v>972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901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901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901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901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901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901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882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897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890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890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890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882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882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882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882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917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917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934</v>
      </c>
      <c r="E108" s="30" t="s">
        <v>32</v>
      </c>
      <c r="F108" s="30" t="s">
        <v>935</v>
      </c>
      <c r="G108" s="30"/>
      <c r="H108" s="30" t="s">
        <v>165</v>
      </c>
      <c r="I108" s="29" t="s">
        <v>936</v>
      </c>
      <c r="J108" s="29"/>
      <c r="K108" s="29" t="s">
        <v>376</v>
      </c>
      <c r="L108" s="29">
        <v>30</v>
      </c>
      <c r="M108" s="30" t="s">
        <v>937</v>
      </c>
      <c r="N108" s="30" t="s">
        <v>882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949</v>
      </c>
      <c r="E109" s="33" t="s">
        <v>32</v>
      </c>
      <c r="F109" s="33" t="s">
        <v>950</v>
      </c>
      <c r="G109" s="33" t="s">
        <v>130</v>
      </c>
      <c r="H109" s="33" t="s">
        <v>165</v>
      </c>
      <c r="I109" s="32" t="s">
        <v>951</v>
      </c>
      <c r="J109" s="32">
        <v>10</v>
      </c>
      <c r="K109" s="32" t="s">
        <v>376</v>
      </c>
      <c r="L109" s="32">
        <v>40</v>
      </c>
      <c r="M109" s="33" t="s">
        <v>990</v>
      </c>
      <c r="N109" s="33" t="s">
        <v>898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991</v>
      </c>
      <c r="N110" s="30" t="s">
        <v>895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902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902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952</v>
      </c>
      <c r="E113" s="21" t="s">
        <v>32</v>
      </c>
      <c r="F113" s="21" t="s">
        <v>953</v>
      </c>
      <c r="G113" s="21" t="s">
        <v>401</v>
      </c>
      <c r="H113" s="21" t="s">
        <v>165</v>
      </c>
      <c r="I113" s="20" t="s">
        <v>954</v>
      </c>
      <c r="J113" s="20"/>
      <c r="K113" s="20" t="s">
        <v>376</v>
      </c>
      <c r="L113" s="20">
        <v>50</v>
      </c>
      <c r="M113" s="21" t="s">
        <v>955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882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882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994</v>
      </c>
      <c r="E116" s="30" t="s">
        <v>44</v>
      </c>
      <c r="F116" s="30" t="s">
        <v>978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882</v>
      </c>
      <c r="O116" s="31">
        <v>1</v>
      </c>
      <c r="P116" s="31">
        <v>1</v>
      </c>
      <c r="Q116" s="30" t="s">
        <v>979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930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855</v>
      </c>
      <c r="N118" s="30" t="s">
        <v>882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855</v>
      </c>
      <c r="N119" s="30" t="s">
        <v>882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855</v>
      </c>
      <c r="N120" s="30" t="s">
        <v>882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855</v>
      </c>
      <c r="N121" s="30" t="s">
        <v>882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855</v>
      </c>
      <c r="N122" s="30" t="s">
        <v>882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855</v>
      </c>
      <c r="N123" s="30" t="s">
        <v>882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658</v>
      </c>
      <c r="E124" s="30" t="s">
        <v>35</v>
      </c>
      <c r="F124" s="30" t="s">
        <v>632</v>
      </c>
      <c r="G124" s="30" t="s">
        <v>683</v>
      </c>
      <c r="H124" s="30" t="s">
        <v>165</v>
      </c>
      <c r="I124" s="29" t="s">
        <v>633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888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924</v>
      </c>
      <c r="E125" s="30" t="s">
        <v>468</v>
      </c>
      <c r="F125" s="30" t="s">
        <v>925</v>
      </c>
      <c r="G125" s="30" t="s">
        <v>38</v>
      </c>
      <c r="H125" s="30" t="s">
        <v>165</v>
      </c>
      <c r="I125" s="29" t="s">
        <v>926</v>
      </c>
      <c r="J125" s="29">
        <v>1</v>
      </c>
      <c r="K125" s="29" t="s">
        <v>376</v>
      </c>
      <c r="L125" s="29"/>
      <c r="M125" s="30"/>
      <c r="N125" s="30" t="s">
        <v>882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754</v>
      </c>
      <c r="E126" s="30" t="s">
        <v>468</v>
      </c>
      <c r="F126" s="30" t="s">
        <v>755</v>
      </c>
      <c r="G126" s="30" t="s">
        <v>812</v>
      </c>
      <c r="H126" s="30" t="s">
        <v>165</v>
      </c>
      <c r="I126" s="29" t="s">
        <v>756</v>
      </c>
      <c r="J126" s="29">
        <v>99</v>
      </c>
      <c r="K126" s="29" t="s">
        <v>320</v>
      </c>
      <c r="L126" s="29"/>
      <c r="M126" s="30" t="s">
        <v>702</v>
      </c>
      <c r="N126" s="30" t="s">
        <v>882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1</v>
      </c>
      <c r="B127" s="29">
        <v>2</v>
      </c>
      <c r="C127" s="29">
        <v>1</v>
      </c>
      <c r="D127" s="30" t="s">
        <v>754</v>
      </c>
      <c r="E127" s="30" t="s">
        <v>468</v>
      </c>
      <c r="F127" s="30" t="s">
        <v>995</v>
      </c>
      <c r="G127" s="30" t="s">
        <v>996</v>
      </c>
      <c r="H127" s="30" t="s">
        <v>165</v>
      </c>
      <c r="I127" s="29" t="s">
        <v>997</v>
      </c>
      <c r="J127" s="29"/>
      <c r="K127" s="29" t="s">
        <v>320</v>
      </c>
      <c r="L127" s="29"/>
      <c r="M127" s="30" t="s">
        <v>702</v>
      </c>
      <c r="N127" s="30" t="s">
        <v>882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0</v>
      </c>
      <c r="AG127" s="2">
        <f t="shared" ref="AG127" si="52">O127*(1-P127)*(1-A127)</f>
        <v>0</v>
      </c>
      <c r="AH127" s="2">
        <f t="shared" ref="AH127" si="53">+P127*(1-A127)</f>
        <v>0</v>
      </c>
      <c r="AI127" s="2">
        <f t="shared" ref="AI127" si="54">+(1-A127)*(1-P127)</f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675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484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882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1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675</v>
      </c>
      <c r="E129" s="30" t="s">
        <v>211</v>
      </c>
      <c r="F129" s="30" t="s">
        <v>646</v>
      </c>
      <c r="G129" s="30" t="s">
        <v>92</v>
      </c>
      <c r="H129" s="30" t="s">
        <v>165</v>
      </c>
      <c r="I129" s="29" t="s">
        <v>647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882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1</v>
      </c>
      <c r="U129" s="2">
        <f t="shared" si="25"/>
        <v>0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645</v>
      </c>
      <c r="G130" s="30" t="s">
        <v>40</v>
      </c>
      <c r="H130" s="30" t="s">
        <v>165</v>
      </c>
      <c r="I130" s="29" t="s">
        <v>648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882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1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961</v>
      </c>
      <c r="E131" s="30" t="s">
        <v>468</v>
      </c>
      <c r="F131" s="30" t="s">
        <v>962</v>
      </c>
      <c r="G131" s="30"/>
      <c r="H131" s="30" t="s">
        <v>165</v>
      </c>
      <c r="I131" s="29" t="s">
        <v>963</v>
      </c>
      <c r="J131" s="29"/>
      <c r="K131" s="29" t="s">
        <v>376</v>
      </c>
      <c r="L131" s="29"/>
      <c r="M131" s="30"/>
      <c r="N131" s="30" t="s">
        <v>882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1</v>
      </c>
      <c r="AG131" s="2">
        <f t="shared" si="36"/>
        <v>0</v>
      </c>
      <c r="AH131" s="2">
        <f t="shared" si="37"/>
        <v>1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459</v>
      </c>
      <c r="E132" s="30" t="s">
        <v>466</v>
      </c>
      <c r="F132" s="30" t="s">
        <v>472</v>
      </c>
      <c r="G132" s="30" t="s">
        <v>473</v>
      </c>
      <c r="H132" s="30" t="s">
        <v>165</v>
      </c>
      <c r="I132" s="29" t="s">
        <v>407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918</v>
      </c>
      <c r="O132" s="31">
        <v>1</v>
      </c>
      <c r="P132" s="31"/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1</v>
      </c>
      <c r="AF132" s="2">
        <f t="shared" si="35"/>
        <v>0</v>
      </c>
      <c r="AG132" s="2">
        <f t="shared" si="36"/>
        <v>1</v>
      </c>
      <c r="AH132" s="2">
        <f t="shared" si="37"/>
        <v>0</v>
      </c>
      <c r="AI132" s="2">
        <f t="shared" si="38"/>
        <v>1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376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1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0</v>
      </c>
      <c r="AF133" s="2">
        <f t="shared" si="35"/>
        <v>0</v>
      </c>
      <c r="AG133" s="2">
        <f t="shared" si="36"/>
        <v>0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927</v>
      </c>
      <c r="E134" s="30" t="s">
        <v>928</v>
      </c>
      <c r="F134" s="30" t="s">
        <v>929</v>
      </c>
      <c r="G134" s="30"/>
      <c r="H134" s="30" t="s">
        <v>165</v>
      </c>
      <c r="I134" s="29" t="s">
        <v>33</v>
      </c>
      <c r="J134" s="29"/>
      <c r="K134" s="29" t="s">
        <v>376</v>
      </c>
      <c r="L134" s="29"/>
      <c r="M134" s="30"/>
      <c r="N134" s="30" t="s">
        <v>882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903</v>
      </c>
      <c r="E135" s="30" t="s">
        <v>35</v>
      </c>
      <c r="F135" s="30" t="s">
        <v>904</v>
      </c>
      <c r="G135" s="30"/>
      <c r="H135" s="30" t="s">
        <v>165</v>
      </c>
      <c r="I135" s="29" t="s">
        <v>905</v>
      </c>
      <c r="J135" s="29">
        <v>99</v>
      </c>
      <c r="K135" s="29" t="s">
        <v>376</v>
      </c>
      <c r="L135" s="29"/>
      <c r="M135" s="30"/>
      <c r="N135" s="30" t="s">
        <v>882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550</v>
      </c>
      <c r="E136" s="30" t="s">
        <v>211</v>
      </c>
      <c r="F136" s="30" t="s">
        <v>551</v>
      </c>
      <c r="G136" s="30" t="s">
        <v>552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855</v>
      </c>
      <c r="N136" s="30" t="s">
        <v>882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816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882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1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352</v>
      </c>
      <c r="E138" s="30" t="s">
        <v>468</v>
      </c>
      <c r="F138" s="30" t="s">
        <v>353</v>
      </c>
      <c r="G138" s="30" t="s">
        <v>243</v>
      </c>
      <c r="H138" s="30" t="s">
        <v>165</v>
      </c>
      <c r="I138" s="29" t="s">
        <v>486</v>
      </c>
      <c r="J138" s="29">
        <v>9</v>
      </c>
      <c r="K138" s="29" t="s">
        <v>320</v>
      </c>
      <c r="L138" s="29">
        <v>11</v>
      </c>
      <c r="M138" s="30" t="s">
        <v>856</v>
      </c>
      <c r="N138" s="30" t="s">
        <v>888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1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1</v>
      </c>
      <c r="AH138" s="2">
        <f t="shared" si="37"/>
        <v>0</v>
      </c>
      <c r="AI138" s="2">
        <f t="shared" si="38"/>
        <v>1</v>
      </c>
    </row>
    <row r="139" spans="1:16384" s="3" customFormat="1" ht="14.25" customHeight="1" x14ac:dyDescent="0.25">
      <c r="A139" s="29">
        <v>1</v>
      </c>
      <c r="B139" s="29">
        <v>2</v>
      </c>
      <c r="C139" s="29">
        <v>1</v>
      </c>
      <c r="D139" s="30" t="s">
        <v>352</v>
      </c>
      <c r="E139" s="30" t="s">
        <v>468</v>
      </c>
      <c r="F139" s="30" t="s">
        <v>578</v>
      </c>
      <c r="G139" s="30" t="s">
        <v>553</v>
      </c>
      <c r="H139" s="30" t="s">
        <v>165</v>
      </c>
      <c r="I139" s="29" t="s">
        <v>554</v>
      </c>
      <c r="J139" s="29">
        <v>99</v>
      </c>
      <c r="K139" s="29" t="s">
        <v>320</v>
      </c>
      <c r="L139" s="29">
        <v>11</v>
      </c>
      <c r="M139" s="30" t="s">
        <v>857</v>
      </c>
      <c r="N139" s="30" t="s">
        <v>888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0</v>
      </c>
      <c r="AH139" s="2">
        <f t="shared" si="37"/>
        <v>0</v>
      </c>
      <c r="AI139" s="2">
        <f t="shared" si="38"/>
        <v>0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998</v>
      </c>
      <c r="G140" s="30" t="s">
        <v>125</v>
      </c>
      <c r="H140" s="30" t="s">
        <v>165</v>
      </c>
      <c r="I140" s="29" t="s">
        <v>33</v>
      </c>
      <c r="J140" s="29">
        <v>99</v>
      </c>
      <c r="K140" s="29" t="s">
        <v>320</v>
      </c>
      <c r="L140" s="29">
        <v>11</v>
      </c>
      <c r="M140" s="30" t="s">
        <v>857</v>
      </c>
      <c r="N140" s="30" t="s">
        <v>888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247</v>
      </c>
      <c r="E141" s="30" t="s">
        <v>35</v>
      </c>
      <c r="F141" s="30" t="s">
        <v>209</v>
      </c>
      <c r="G141" s="30" t="s">
        <v>93</v>
      </c>
      <c r="H141" s="30" t="s">
        <v>165</v>
      </c>
      <c r="I141" s="29" t="s">
        <v>210</v>
      </c>
      <c r="J141" s="29">
        <v>8</v>
      </c>
      <c r="K141" s="29" t="s">
        <v>319</v>
      </c>
      <c r="L141" s="29" t="s">
        <v>318</v>
      </c>
      <c r="M141" s="30" t="s">
        <v>269</v>
      </c>
      <c r="N141" s="30" t="s">
        <v>882</v>
      </c>
      <c r="O141" s="31">
        <v>1</v>
      </c>
      <c r="P141" s="31">
        <v>1</v>
      </c>
      <c r="Q141" s="30"/>
      <c r="R141" s="2"/>
      <c r="S141" s="2">
        <f t="shared" ref="S141:S203" si="71">IF(J141=$S$7,1,0)</f>
        <v>0</v>
      </c>
      <c r="T141" s="2">
        <f t="shared" ref="T141:T203" si="72">IF(J141=$T$7,1,0)</f>
        <v>0</v>
      </c>
      <c r="U141" s="2">
        <f t="shared" ref="U141:U203" si="73">IF(J141=$U$7,1,0)</f>
        <v>0</v>
      </c>
      <c r="V141" s="2">
        <f t="shared" ref="V141:V203" si="74">IF(J141=$V$7,1,0)</f>
        <v>0</v>
      </c>
      <c r="W141" s="2">
        <f t="shared" ref="W141:W203" si="75">IF(J141=$W$7,1,0)</f>
        <v>0</v>
      </c>
      <c r="X141" s="2">
        <f t="shared" ref="X141:X203" si="76">IF(J141=$X$7,1,0)</f>
        <v>0</v>
      </c>
      <c r="Y141" s="2">
        <f t="shared" ref="Y141:Y203" si="77">IF(J141=$Y$7,1,0)</f>
        <v>0</v>
      </c>
      <c r="Z141" s="2">
        <f t="shared" ref="Z141:Z203" si="78">IF(J141=$Z$7,1,0)</f>
        <v>1</v>
      </c>
      <c r="AA141" s="2">
        <f t="shared" ref="AA141:AA203" si="79">IF(J141=$AA$7,1,0)</f>
        <v>0</v>
      </c>
      <c r="AB141" s="2">
        <f t="shared" ref="AB141:AB203" si="80">IF(J141=$AB$7,1,0)</f>
        <v>0</v>
      </c>
      <c r="AC141" s="2"/>
      <c r="AD141" s="2">
        <f t="shared" ref="AD141:AD203" si="81">+O141*P141</f>
        <v>1</v>
      </c>
      <c r="AE141" s="2">
        <f t="shared" ref="AE141:AE203" si="82">O141*(1-P141)</f>
        <v>0</v>
      </c>
      <c r="AF141" s="2">
        <f t="shared" ref="AF141:AF203" si="83">+O141*P141*(1-A141)</f>
        <v>1</v>
      </c>
      <c r="AG141" s="2">
        <f t="shared" ref="AG141:AG203" si="84">O141*(1-P141)*(1-A141)</f>
        <v>0</v>
      </c>
      <c r="AH141" s="2">
        <f t="shared" ref="AH141:AH203" si="85">+P141*(1-A141)</f>
        <v>1</v>
      </c>
      <c r="AI141" s="2">
        <f t="shared" ref="AI141:AI203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360</v>
      </c>
      <c r="E142" s="30" t="s">
        <v>468</v>
      </c>
      <c r="F142" s="30" t="s">
        <v>580</v>
      </c>
      <c r="G142" s="30" t="s">
        <v>91</v>
      </c>
      <c r="H142" s="30" t="s">
        <v>165</v>
      </c>
      <c r="I142" s="29" t="s">
        <v>357</v>
      </c>
      <c r="J142" s="29">
        <v>1</v>
      </c>
      <c r="K142" s="29" t="s">
        <v>321</v>
      </c>
      <c r="L142" s="29" t="s">
        <v>325</v>
      </c>
      <c r="M142" s="30" t="s">
        <v>495</v>
      </c>
      <c r="N142" s="30" t="s">
        <v>882</v>
      </c>
      <c r="O142" s="31">
        <v>1</v>
      </c>
      <c r="P142" s="31">
        <v>1</v>
      </c>
      <c r="Q142" s="30"/>
      <c r="R142" s="2"/>
      <c r="S142" s="2">
        <f t="shared" si="71"/>
        <v>1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0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55</v>
      </c>
      <c r="E143" s="30" t="s">
        <v>468</v>
      </c>
      <c r="F143" s="30" t="s">
        <v>110</v>
      </c>
      <c r="G143" s="30" t="s">
        <v>99</v>
      </c>
      <c r="H143" s="30" t="s">
        <v>165</v>
      </c>
      <c r="I143" s="29" t="s">
        <v>174</v>
      </c>
      <c r="J143" s="29">
        <v>3</v>
      </c>
      <c r="K143" s="29" t="s">
        <v>320</v>
      </c>
      <c r="L143" s="29" t="s">
        <v>325</v>
      </c>
      <c r="M143" s="30" t="s">
        <v>495</v>
      </c>
      <c r="N143" s="30" t="s">
        <v>882</v>
      </c>
      <c r="O143" s="31">
        <v>1</v>
      </c>
      <c r="P143" s="31">
        <v>1</v>
      </c>
      <c r="Q143" s="30"/>
      <c r="R143" s="2"/>
      <c r="S143" s="2">
        <f t="shared" si="71"/>
        <v>0</v>
      </c>
      <c r="T143" s="2">
        <f t="shared" si="72"/>
        <v>0</v>
      </c>
      <c r="U143" s="2">
        <f t="shared" si="73"/>
        <v>1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1</v>
      </c>
      <c r="B144" s="29">
        <v>2</v>
      </c>
      <c r="C144" s="29">
        <v>1</v>
      </c>
      <c r="D144" s="30" t="s">
        <v>55</v>
      </c>
      <c r="E144" s="30" t="s">
        <v>468</v>
      </c>
      <c r="F144" s="30" t="s">
        <v>999</v>
      </c>
      <c r="G144" s="30" t="s">
        <v>1000</v>
      </c>
      <c r="H144" s="30" t="s">
        <v>165</v>
      </c>
      <c r="I144" s="29" t="s">
        <v>33</v>
      </c>
      <c r="J144" s="29"/>
      <c r="K144" s="29" t="s">
        <v>320</v>
      </c>
      <c r="L144" s="29" t="s">
        <v>325</v>
      </c>
      <c r="M144" s="30" t="s">
        <v>495</v>
      </c>
      <c r="N144" s="30" t="s">
        <v>882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0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0</v>
      </c>
      <c r="AG144" s="2">
        <f t="shared" ref="AG144" si="100">O144*(1-P144)*(1-A144)</f>
        <v>0</v>
      </c>
      <c r="AH144" s="2">
        <f t="shared" ref="AH144" si="101">+P144*(1-A144)</f>
        <v>0</v>
      </c>
      <c r="AI144" s="2">
        <f t="shared" ref="AI144" si="102">+(1-A144)*(1-P144)</f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47</v>
      </c>
      <c r="E145" s="30" t="s">
        <v>82</v>
      </c>
      <c r="F145" s="30" t="s">
        <v>820</v>
      </c>
      <c r="G145" s="30" t="s">
        <v>93</v>
      </c>
      <c r="H145" s="30" t="s">
        <v>165</v>
      </c>
      <c r="I145" s="29" t="s">
        <v>167</v>
      </c>
      <c r="J145" s="29">
        <v>8</v>
      </c>
      <c r="K145" s="29" t="s">
        <v>320</v>
      </c>
      <c r="L145" s="29" t="s">
        <v>318</v>
      </c>
      <c r="M145" s="30" t="s">
        <v>269</v>
      </c>
      <c r="N145" s="30" t="s">
        <v>902</v>
      </c>
      <c r="O145" s="31">
        <v>1</v>
      </c>
      <c r="P145" s="31"/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1</v>
      </c>
      <c r="AA145" s="2">
        <f t="shared" si="79"/>
        <v>0</v>
      </c>
      <c r="AB145" s="2">
        <f t="shared" si="80"/>
        <v>0</v>
      </c>
      <c r="AD145" s="2">
        <f t="shared" si="81"/>
        <v>0</v>
      </c>
      <c r="AE145" s="2">
        <f t="shared" si="82"/>
        <v>1</v>
      </c>
      <c r="AF145" s="2">
        <f t="shared" si="83"/>
        <v>0</v>
      </c>
      <c r="AG145" s="2">
        <f t="shared" si="84"/>
        <v>1</v>
      </c>
      <c r="AH145" s="2">
        <f t="shared" si="85"/>
        <v>0</v>
      </c>
      <c r="AI145" s="2">
        <f t="shared" si="86"/>
        <v>1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98</v>
      </c>
      <c r="G146" s="30" t="s">
        <v>99</v>
      </c>
      <c r="H146" s="30" t="s">
        <v>165</v>
      </c>
      <c r="I146" s="29" t="s">
        <v>490</v>
      </c>
      <c r="J146" s="29">
        <v>3</v>
      </c>
      <c r="K146" s="29" t="s">
        <v>320</v>
      </c>
      <c r="L146" s="29" t="s">
        <v>318</v>
      </c>
      <c r="M146" s="30" t="s">
        <v>269</v>
      </c>
      <c r="N146" s="30" t="s">
        <v>902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1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0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0</v>
      </c>
      <c r="AH146" s="2">
        <f t="shared" si="85"/>
        <v>0</v>
      </c>
      <c r="AI146" s="2">
        <f t="shared" si="86"/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910</v>
      </c>
      <c r="E147" s="30" t="s">
        <v>35</v>
      </c>
      <c r="F147" s="30" t="s">
        <v>911</v>
      </c>
      <c r="G147" s="30" t="s">
        <v>132</v>
      </c>
      <c r="H147" s="30" t="s">
        <v>165</v>
      </c>
      <c r="I147" s="29" t="s">
        <v>912</v>
      </c>
      <c r="J147" s="29">
        <v>99</v>
      </c>
      <c r="K147" s="29" t="s">
        <v>376</v>
      </c>
      <c r="L147" s="29"/>
      <c r="M147" s="30"/>
      <c r="N147" s="30" t="s">
        <v>882</v>
      </c>
      <c r="O147" s="31">
        <v>1</v>
      </c>
      <c r="P147" s="31">
        <v>1</v>
      </c>
      <c r="Q147" s="30"/>
      <c r="S147" s="2">
        <f t="shared" si="71"/>
        <v>0</v>
      </c>
      <c r="T147" s="2">
        <f t="shared" si="72"/>
        <v>0</v>
      </c>
      <c r="U147" s="2">
        <f t="shared" si="73"/>
        <v>0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1</v>
      </c>
      <c r="AE147" s="2">
        <f t="shared" si="82"/>
        <v>0</v>
      </c>
      <c r="AF147" s="2">
        <f t="shared" si="83"/>
        <v>1</v>
      </c>
      <c r="AG147" s="2">
        <f t="shared" si="84"/>
        <v>0</v>
      </c>
      <c r="AH147" s="2">
        <f t="shared" si="85"/>
        <v>1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453</v>
      </c>
      <c r="E148" s="30" t="s">
        <v>454</v>
      </c>
      <c r="F148" s="30" t="s">
        <v>455</v>
      </c>
      <c r="G148" s="30" t="s">
        <v>456</v>
      </c>
      <c r="H148" s="30" t="s">
        <v>165</v>
      </c>
      <c r="I148" s="29" t="s">
        <v>457</v>
      </c>
      <c r="J148" s="29">
        <v>99</v>
      </c>
      <c r="K148" s="29" t="s">
        <v>318</v>
      </c>
      <c r="L148" s="29" t="s">
        <v>321</v>
      </c>
      <c r="M148" s="30" t="s">
        <v>269</v>
      </c>
      <c r="N148" s="30" t="s">
        <v>882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558</v>
      </c>
      <c r="E149" s="30" t="s">
        <v>35</v>
      </c>
      <c r="F149" s="30" t="s">
        <v>823</v>
      </c>
      <c r="G149" s="30" t="s">
        <v>517</v>
      </c>
      <c r="H149" s="30" t="s">
        <v>165</v>
      </c>
      <c r="I149" s="29" t="s">
        <v>559</v>
      </c>
      <c r="J149" s="29">
        <v>99</v>
      </c>
      <c r="K149" s="29" t="s">
        <v>318</v>
      </c>
      <c r="L149" s="29">
        <v>5</v>
      </c>
      <c r="M149" s="30" t="s">
        <v>269</v>
      </c>
      <c r="N149" s="30" t="s">
        <v>888</v>
      </c>
      <c r="O149" s="31">
        <v>1</v>
      </c>
      <c r="P149" s="31"/>
      <c r="Q149" s="30" t="s">
        <v>945</v>
      </c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0</v>
      </c>
      <c r="AE149" s="2">
        <f t="shared" si="82"/>
        <v>1</v>
      </c>
      <c r="AF149" s="2">
        <f t="shared" si="83"/>
        <v>0</v>
      </c>
      <c r="AG149" s="2">
        <f t="shared" si="84"/>
        <v>1</v>
      </c>
      <c r="AH149" s="2">
        <f t="shared" si="85"/>
        <v>0</v>
      </c>
      <c r="AI149" s="2">
        <f t="shared" si="86"/>
        <v>1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390</v>
      </c>
      <c r="E150" s="30" t="s">
        <v>37</v>
      </c>
      <c r="F150" s="30" t="s">
        <v>481</v>
      </c>
      <c r="G150" s="30" t="s">
        <v>130</v>
      </c>
      <c r="H150" s="30" t="s">
        <v>165</v>
      </c>
      <c r="I150" s="29" t="s">
        <v>391</v>
      </c>
      <c r="J150" s="29">
        <v>10</v>
      </c>
      <c r="K150" s="29" t="s">
        <v>319</v>
      </c>
      <c r="L150" s="29">
        <v>5</v>
      </c>
      <c r="M150" s="30" t="s">
        <v>269</v>
      </c>
      <c r="N150" s="30" t="s">
        <v>888</v>
      </c>
      <c r="O150" s="31">
        <v>1</v>
      </c>
      <c r="P150" s="31"/>
      <c r="Q150" s="30"/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1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248</v>
      </c>
      <c r="E151" s="30" t="s">
        <v>37</v>
      </c>
      <c r="F151" s="30" t="s">
        <v>232</v>
      </c>
      <c r="G151" s="30" t="s">
        <v>582</v>
      </c>
      <c r="H151" s="30" t="s">
        <v>165</v>
      </c>
      <c r="I151" s="29" t="s">
        <v>265</v>
      </c>
      <c r="J151" s="29">
        <v>99</v>
      </c>
      <c r="K151" s="29" t="s">
        <v>320</v>
      </c>
      <c r="L151" s="29">
        <v>5</v>
      </c>
      <c r="M151" s="30" t="s">
        <v>269</v>
      </c>
      <c r="N151" s="30" t="s">
        <v>888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0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0">
        <v>0</v>
      </c>
      <c r="B152" s="20">
        <v>2</v>
      </c>
      <c r="C152" s="20">
        <v>2</v>
      </c>
      <c r="D152" s="21" t="s">
        <v>717</v>
      </c>
      <c r="E152" s="21" t="s">
        <v>809</v>
      </c>
      <c r="F152" s="21" t="s">
        <v>718</v>
      </c>
      <c r="G152" s="21" t="s">
        <v>96</v>
      </c>
      <c r="H152" s="21" t="s">
        <v>165</v>
      </c>
      <c r="I152" s="20" t="s">
        <v>719</v>
      </c>
      <c r="J152" s="20">
        <v>3</v>
      </c>
      <c r="K152" s="20" t="s">
        <v>319</v>
      </c>
      <c r="L152" s="20">
        <v>35</v>
      </c>
      <c r="M152" s="21" t="s">
        <v>872</v>
      </c>
      <c r="N152" s="21"/>
      <c r="O152" s="7"/>
      <c r="P152" s="7"/>
      <c r="Q152" s="21"/>
      <c r="S152" s="2">
        <f t="shared" si="71"/>
        <v>0</v>
      </c>
      <c r="T152" s="2">
        <f t="shared" si="72"/>
        <v>0</v>
      </c>
      <c r="U152" s="2">
        <f t="shared" si="73"/>
        <v>1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0</v>
      </c>
      <c r="AF152" s="2">
        <f t="shared" si="83"/>
        <v>0</v>
      </c>
      <c r="AG152" s="2">
        <f t="shared" si="84"/>
        <v>0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9">
        <v>0</v>
      </c>
      <c r="B153" s="29">
        <v>2</v>
      </c>
      <c r="C153" s="29">
        <v>2</v>
      </c>
      <c r="D153" s="30" t="s">
        <v>501</v>
      </c>
      <c r="E153" s="30" t="s">
        <v>670</v>
      </c>
      <c r="F153" s="30" t="s">
        <v>502</v>
      </c>
      <c r="G153" s="30" t="s">
        <v>137</v>
      </c>
      <c r="H153" s="30" t="s">
        <v>165</v>
      </c>
      <c r="I153" s="29" t="s">
        <v>503</v>
      </c>
      <c r="J153" s="29">
        <v>1</v>
      </c>
      <c r="K153" s="29" t="s">
        <v>318</v>
      </c>
      <c r="L153" s="29">
        <v>45</v>
      </c>
      <c r="M153" s="30" t="s">
        <v>873</v>
      </c>
      <c r="N153" s="30" t="s">
        <v>888</v>
      </c>
      <c r="O153" s="31">
        <v>1</v>
      </c>
      <c r="P153" s="31"/>
      <c r="Q153" s="30"/>
      <c r="S153" s="2">
        <f t="shared" si="71"/>
        <v>1</v>
      </c>
      <c r="T153" s="2">
        <f t="shared" si="72"/>
        <v>0</v>
      </c>
      <c r="U153" s="2">
        <f t="shared" si="73"/>
        <v>0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1</v>
      </c>
      <c r="AF153" s="2">
        <f t="shared" si="83"/>
        <v>0</v>
      </c>
      <c r="AG153" s="2">
        <f t="shared" si="84"/>
        <v>1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32">
        <v>0</v>
      </c>
      <c r="B154" s="32">
        <v>2</v>
      </c>
      <c r="C154" s="32">
        <v>2</v>
      </c>
      <c r="D154" s="33" t="s">
        <v>791</v>
      </c>
      <c r="E154" s="33"/>
      <c r="F154" s="33" t="s">
        <v>792</v>
      </c>
      <c r="G154" s="33" t="s">
        <v>309</v>
      </c>
      <c r="H154" s="33" t="s">
        <v>165</v>
      </c>
      <c r="I154" s="32" t="s">
        <v>33</v>
      </c>
      <c r="J154" s="32">
        <v>1</v>
      </c>
      <c r="K154" s="32" t="s">
        <v>376</v>
      </c>
      <c r="L154" s="32">
        <v>40</v>
      </c>
      <c r="M154" s="33" t="s">
        <v>793</v>
      </c>
      <c r="N154" s="33" t="s">
        <v>917</v>
      </c>
      <c r="O154" s="34"/>
      <c r="P154" s="34"/>
      <c r="Q154" s="33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0</v>
      </c>
      <c r="AF154" s="2">
        <f t="shared" si="83"/>
        <v>0</v>
      </c>
      <c r="AG154" s="2">
        <f t="shared" si="84"/>
        <v>0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721</v>
      </c>
      <c r="E155" s="30" t="s">
        <v>30</v>
      </c>
      <c r="F155" s="30" t="s">
        <v>782</v>
      </c>
      <c r="G155" s="30" t="s">
        <v>40</v>
      </c>
      <c r="H155" s="30" t="s">
        <v>165</v>
      </c>
      <c r="I155" s="29" t="s">
        <v>33</v>
      </c>
      <c r="J155" s="29">
        <v>99</v>
      </c>
      <c r="K155" s="29" t="s">
        <v>320</v>
      </c>
      <c r="L155" s="29" t="s">
        <v>345</v>
      </c>
      <c r="M155" s="30" t="s">
        <v>722</v>
      </c>
      <c r="N155" s="30" t="s">
        <v>888</v>
      </c>
      <c r="O155" s="31">
        <v>1</v>
      </c>
      <c r="P155" s="31"/>
      <c r="Q155" s="30"/>
      <c r="S155" s="2">
        <f t="shared" si="71"/>
        <v>0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1</v>
      </c>
      <c r="AF155" s="2">
        <f t="shared" si="83"/>
        <v>0</v>
      </c>
      <c r="AG155" s="2">
        <f t="shared" si="84"/>
        <v>1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521</v>
      </c>
      <c r="E156" s="30" t="s">
        <v>522</v>
      </c>
      <c r="F156" s="30" t="s">
        <v>513</v>
      </c>
      <c r="G156" s="30" t="s">
        <v>514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40</v>
      </c>
      <c r="M156" s="30" t="s">
        <v>40</v>
      </c>
      <c r="N156" s="30" t="s">
        <v>882</v>
      </c>
      <c r="O156" s="31">
        <v>1</v>
      </c>
      <c r="P156" s="31">
        <v>1</v>
      </c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1</v>
      </c>
      <c r="AE156" s="2">
        <f t="shared" si="82"/>
        <v>0</v>
      </c>
      <c r="AF156" s="2">
        <f t="shared" si="83"/>
        <v>1</v>
      </c>
      <c r="AG156" s="2">
        <f t="shared" si="84"/>
        <v>0</v>
      </c>
      <c r="AH156" s="2">
        <f t="shared" si="85"/>
        <v>1</v>
      </c>
      <c r="AI156" s="2">
        <f t="shared" si="86"/>
        <v>0</v>
      </c>
    </row>
    <row r="157" spans="1:35" ht="14.25" customHeight="1" x14ac:dyDescent="0.25">
      <c r="A157" s="29">
        <v>1</v>
      </c>
      <c r="B157" s="29">
        <v>2</v>
      </c>
      <c r="C157" s="29">
        <v>2</v>
      </c>
      <c r="D157" s="30" t="s">
        <v>521</v>
      </c>
      <c r="E157" s="30" t="s">
        <v>522</v>
      </c>
      <c r="F157" s="30" t="s">
        <v>775</v>
      </c>
      <c r="G157" s="30" t="s">
        <v>130</v>
      </c>
      <c r="H157" s="30" t="s">
        <v>165</v>
      </c>
      <c r="I157" s="29" t="s">
        <v>33</v>
      </c>
      <c r="J157" s="29"/>
      <c r="K157" s="29" t="s">
        <v>320</v>
      </c>
      <c r="L157" s="29" t="s">
        <v>40</v>
      </c>
      <c r="M157" s="30" t="s">
        <v>40</v>
      </c>
      <c r="N157" s="30" t="s">
        <v>882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0</v>
      </c>
      <c r="AG157" s="2">
        <f t="shared" si="84"/>
        <v>0</v>
      </c>
      <c r="AH157" s="2">
        <f t="shared" si="85"/>
        <v>0</v>
      </c>
      <c r="AI157" s="2">
        <f t="shared" si="86"/>
        <v>0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54</v>
      </c>
      <c r="E158" s="30" t="s">
        <v>84</v>
      </c>
      <c r="F158" s="30" t="s">
        <v>108</v>
      </c>
      <c r="G158" s="30" t="s">
        <v>40</v>
      </c>
      <c r="H158" s="30" t="s">
        <v>165</v>
      </c>
      <c r="I158" s="29" t="s">
        <v>173</v>
      </c>
      <c r="J158" s="29">
        <v>4</v>
      </c>
      <c r="K158" s="29" t="s">
        <v>320</v>
      </c>
      <c r="L158" s="29" t="s">
        <v>336</v>
      </c>
      <c r="M158" s="30" t="s">
        <v>337</v>
      </c>
      <c r="N158" s="30" t="s">
        <v>900</v>
      </c>
      <c r="O158" s="31">
        <v>1</v>
      </c>
      <c r="P158" s="31"/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1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0</v>
      </c>
      <c r="AE158" s="2">
        <f t="shared" si="82"/>
        <v>1</v>
      </c>
      <c r="AF158" s="2">
        <f t="shared" si="83"/>
        <v>0</v>
      </c>
      <c r="AG158" s="2">
        <f t="shared" si="84"/>
        <v>1</v>
      </c>
      <c r="AH158" s="2">
        <f t="shared" si="85"/>
        <v>0</v>
      </c>
      <c r="AI158" s="2">
        <f t="shared" si="86"/>
        <v>1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720</v>
      </c>
      <c r="G159" s="30" t="s">
        <v>582</v>
      </c>
      <c r="H159" s="30" t="s">
        <v>165</v>
      </c>
      <c r="I159" s="29" t="s">
        <v>33</v>
      </c>
      <c r="J159" s="29">
        <v>99</v>
      </c>
      <c r="K159" s="29" t="s">
        <v>320</v>
      </c>
      <c r="L159" s="29" t="s">
        <v>336</v>
      </c>
      <c r="M159" s="30" t="s">
        <v>337</v>
      </c>
      <c r="N159" s="30" t="s">
        <v>900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0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0</v>
      </c>
      <c r="AH159" s="2">
        <f t="shared" si="85"/>
        <v>0</v>
      </c>
      <c r="AI159" s="2">
        <f t="shared" si="86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677</v>
      </c>
      <c r="E160" s="30" t="s">
        <v>672</v>
      </c>
      <c r="F160" s="30" t="s">
        <v>476</v>
      </c>
      <c r="G160" s="30" t="s">
        <v>122</v>
      </c>
      <c r="H160" s="30" t="s">
        <v>165</v>
      </c>
      <c r="I160" s="29" t="s">
        <v>417</v>
      </c>
      <c r="J160" s="29">
        <v>6</v>
      </c>
      <c r="K160" s="29" t="s">
        <v>319</v>
      </c>
      <c r="L160" s="29" t="s">
        <v>339</v>
      </c>
      <c r="M160" s="30" t="s">
        <v>739</v>
      </c>
      <c r="N160" s="30" t="s">
        <v>890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1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1</v>
      </c>
      <c r="AH160" s="2">
        <f t="shared" si="85"/>
        <v>0</v>
      </c>
      <c r="AI160" s="2">
        <f t="shared" si="86"/>
        <v>1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435</v>
      </c>
      <c r="E161" s="30" t="s">
        <v>30</v>
      </c>
      <c r="F161" s="30" t="s">
        <v>941</v>
      </c>
      <c r="G161" s="30" t="s">
        <v>577</v>
      </c>
      <c r="H161" s="30" t="s">
        <v>165</v>
      </c>
      <c r="I161" s="29" t="s">
        <v>591</v>
      </c>
      <c r="J161" s="29">
        <v>99</v>
      </c>
      <c r="K161" s="29" t="s">
        <v>376</v>
      </c>
      <c r="L161" s="29">
        <v>35</v>
      </c>
      <c r="M161" s="30" t="s">
        <v>597</v>
      </c>
      <c r="N161" s="30" t="s">
        <v>923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0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560</v>
      </c>
      <c r="E162" s="30" t="s">
        <v>561</v>
      </c>
      <c r="F162" s="30" t="s">
        <v>562</v>
      </c>
      <c r="G162" s="30" t="s">
        <v>563</v>
      </c>
      <c r="H162" s="30" t="s">
        <v>165</v>
      </c>
      <c r="I162" s="29" t="s">
        <v>564</v>
      </c>
      <c r="J162" s="29">
        <v>99</v>
      </c>
      <c r="K162" s="29" t="s">
        <v>320</v>
      </c>
      <c r="L162" s="29" t="s">
        <v>40</v>
      </c>
      <c r="M162" s="30" t="s">
        <v>40</v>
      </c>
      <c r="N162" s="30" t="s">
        <v>882</v>
      </c>
      <c r="O162" s="31">
        <v>1</v>
      </c>
      <c r="P162" s="31">
        <v>1</v>
      </c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1</v>
      </c>
      <c r="AE162" s="2">
        <f t="shared" si="82"/>
        <v>0</v>
      </c>
      <c r="AF162" s="2">
        <f t="shared" si="83"/>
        <v>1</v>
      </c>
      <c r="AG162" s="2">
        <f t="shared" si="84"/>
        <v>0</v>
      </c>
      <c r="AH162" s="2">
        <f t="shared" si="85"/>
        <v>1</v>
      </c>
      <c r="AI162" s="2">
        <f t="shared" si="86"/>
        <v>0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956</v>
      </c>
      <c r="E163" s="30" t="s">
        <v>957</v>
      </c>
      <c r="F163" s="30" t="s">
        <v>958</v>
      </c>
      <c r="G163" s="30" t="s">
        <v>959</v>
      </c>
      <c r="H163" s="30" t="s">
        <v>165</v>
      </c>
      <c r="I163" s="29" t="s">
        <v>960</v>
      </c>
      <c r="J163" s="29"/>
      <c r="K163" s="29" t="s">
        <v>376</v>
      </c>
      <c r="L163" s="29"/>
      <c r="M163" s="30"/>
      <c r="N163" s="30" t="s">
        <v>882</v>
      </c>
      <c r="O163" s="31">
        <v>1</v>
      </c>
      <c r="P163" s="31">
        <v>1</v>
      </c>
      <c r="Q163" s="30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1</v>
      </c>
      <c r="AE163" s="2">
        <f t="shared" si="82"/>
        <v>0</v>
      </c>
      <c r="AF163" s="2">
        <f t="shared" si="83"/>
        <v>1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983</v>
      </c>
      <c r="E164" s="30" t="s">
        <v>980</v>
      </c>
      <c r="F164" s="30" t="s">
        <v>981</v>
      </c>
      <c r="G164" s="30" t="s">
        <v>137</v>
      </c>
      <c r="H164" s="30" t="s">
        <v>165</v>
      </c>
      <c r="I164" s="29" t="s">
        <v>982</v>
      </c>
      <c r="J164" s="29">
        <v>1</v>
      </c>
      <c r="K164" s="29" t="s">
        <v>376</v>
      </c>
      <c r="L164" s="29"/>
      <c r="M164" s="30"/>
      <c r="N164" s="30" t="s">
        <v>882</v>
      </c>
      <c r="O164" s="31">
        <v>1</v>
      </c>
      <c r="P164" s="31">
        <v>1</v>
      </c>
      <c r="Q164" s="30" t="s">
        <v>984</v>
      </c>
      <c r="R164" s="2"/>
      <c r="S164" s="2">
        <f t="shared" si="71"/>
        <v>1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1</v>
      </c>
      <c r="AE164" s="2">
        <f t="shared" si="82"/>
        <v>0</v>
      </c>
      <c r="AF164" s="2">
        <f t="shared" si="83"/>
        <v>1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931</v>
      </c>
      <c r="E165" s="30" t="s">
        <v>468</v>
      </c>
      <c r="F165" s="30" t="s">
        <v>932</v>
      </c>
      <c r="G165" s="30" t="s">
        <v>96</v>
      </c>
      <c r="H165" s="30" t="s">
        <v>165</v>
      </c>
      <c r="I165" s="29" t="s">
        <v>933</v>
      </c>
      <c r="J165" s="29"/>
      <c r="K165" s="29" t="s">
        <v>376</v>
      </c>
      <c r="L165" s="29"/>
      <c r="M165" s="30"/>
      <c r="N165" s="30" t="s">
        <v>882</v>
      </c>
      <c r="O165" s="31">
        <v>1</v>
      </c>
      <c r="P165" s="31">
        <v>1</v>
      </c>
      <c r="Q165" s="30" t="s">
        <v>986</v>
      </c>
      <c r="R165" s="20"/>
      <c r="S165" s="2">
        <f t="shared" si="71"/>
        <v>0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707</v>
      </c>
      <c r="E166" s="30" t="s">
        <v>30</v>
      </c>
      <c r="F166" s="30" t="s">
        <v>709</v>
      </c>
      <c r="G166" s="30" t="s">
        <v>710</v>
      </c>
      <c r="H166" s="30" t="s">
        <v>165</v>
      </c>
      <c r="I166" s="29" t="s">
        <v>711</v>
      </c>
      <c r="J166" s="29">
        <v>99</v>
      </c>
      <c r="K166" s="29" t="s">
        <v>320</v>
      </c>
      <c r="L166" s="29">
        <v>55</v>
      </c>
      <c r="M166" s="30" t="s">
        <v>987</v>
      </c>
      <c r="N166" s="30" t="s">
        <v>902</v>
      </c>
      <c r="O166" s="31">
        <v>1</v>
      </c>
      <c r="P166" s="31"/>
      <c r="Q166" s="30" t="s">
        <v>985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0</v>
      </c>
      <c r="AE166" s="2">
        <f t="shared" si="82"/>
        <v>1</v>
      </c>
      <c r="AF166" s="2">
        <f t="shared" si="83"/>
        <v>0</v>
      </c>
      <c r="AG166" s="2">
        <f t="shared" si="84"/>
        <v>1</v>
      </c>
      <c r="AH166" s="2">
        <f t="shared" si="85"/>
        <v>0</v>
      </c>
      <c r="AI166" s="2">
        <f t="shared" si="86"/>
        <v>1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440</v>
      </c>
      <c r="E167" s="30" t="s">
        <v>441</v>
      </c>
      <c r="F167" s="30" t="s">
        <v>443</v>
      </c>
      <c r="G167" s="30" t="s">
        <v>93</v>
      </c>
      <c r="H167" s="30" t="s">
        <v>165</v>
      </c>
      <c r="I167" s="29" t="s">
        <v>442</v>
      </c>
      <c r="J167" s="29">
        <v>8</v>
      </c>
      <c r="K167" s="29" t="s">
        <v>318</v>
      </c>
      <c r="L167" s="29">
        <v>40</v>
      </c>
      <c r="M167" s="30" t="s">
        <v>874</v>
      </c>
      <c r="N167" s="30" t="s">
        <v>896</v>
      </c>
      <c r="O167" s="31">
        <v>1</v>
      </c>
      <c r="P167" s="31"/>
      <c r="Q167" s="30"/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1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32">
        <v>0</v>
      </c>
      <c r="B168" s="32">
        <v>2</v>
      </c>
      <c r="C168" s="32">
        <v>2</v>
      </c>
      <c r="D168" s="33" t="s">
        <v>806</v>
      </c>
      <c r="E168" s="33" t="s">
        <v>454</v>
      </c>
      <c r="F168" s="33" t="s">
        <v>787</v>
      </c>
      <c r="G168" s="33" t="s">
        <v>668</v>
      </c>
      <c r="H168" s="33" t="s">
        <v>165</v>
      </c>
      <c r="I168" s="32" t="s">
        <v>786</v>
      </c>
      <c r="J168" s="32">
        <v>99</v>
      </c>
      <c r="K168" s="32" t="s">
        <v>319</v>
      </c>
      <c r="L168" s="32">
        <v>20</v>
      </c>
      <c r="M168" s="33" t="s">
        <v>887</v>
      </c>
      <c r="N168" s="33" t="s">
        <v>889</v>
      </c>
      <c r="O168" s="34"/>
      <c r="P168" s="34"/>
      <c r="Q168" s="33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0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0</v>
      </c>
      <c r="AF168" s="2">
        <f t="shared" si="83"/>
        <v>0</v>
      </c>
      <c r="AG168" s="2">
        <f t="shared" si="84"/>
        <v>0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715</v>
      </c>
      <c r="E169" s="33" t="s">
        <v>810</v>
      </c>
      <c r="F169" s="33" t="s">
        <v>824</v>
      </c>
      <c r="G169" s="33" t="s">
        <v>137</v>
      </c>
      <c r="H169" s="33" t="s">
        <v>165</v>
      </c>
      <c r="I169" s="32" t="s">
        <v>716</v>
      </c>
      <c r="J169" s="32">
        <v>1</v>
      </c>
      <c r="K169" s="32" t="s">
        <v>318</v>
      </c>
      <c r="L169" s="32">
        <v>40</v>
      </c>
      <c r="M169" s="33" t="s">
        <v>875</v>
      </c>
      <c r="N169" s="33" t="s">
        <v>884</v>
      </c>
      <c r="O169" s="34"/>
      <c r="P169" s="34"/>
      <c r="Q169" s="33"/>
      <c r="R169" s="2"/>
      <c r="S169" s="2">
        <f t="shared" si="71"/>
        <v>1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29">
        <v>0</v>
      </c>
      <c r="B170" s="29">
        <v>2</v>
      </c>
      <c r="C170" s="29">
        <v>2</v>
      </c>
      <c r="D170" s="30" t="s">
        <v>464</v>
      </c>
      <c r="E170" s="30" t="s">
        <v>30</v>
      </c>
      <c r="F170" s="30" t="s">
        <v>422</v>
      </c>
      <c r="G170" s="30" t="s">
        <v>160</v>
      </c>
      <c r="H170" s="30" t="s">
        <v>165</v>
      </c>
      <c r="I170" s="29" t="s">
        <v>423</v>
      </c>
      <c r="J170" s="29">
        <v>1</v>
      </c>
      <c r="K170" s="29" t="s">
        <v>321</v>
      </c>
      <c r="L170" s="29" t="s">
        <v>40</v>
      </c>
      <c r="M170" s="30" t="s">
        <v>40</v>
      </c>
      <c r="N170" s="30" t="s">
        <v>882</v>
      </c>
      <c r="O170" s="31">
        <v>1</v>
      </c>
      <c r="P170" s="31">
        <v>1</v>
      </c>
      <c r="Q170" s="30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1</v>
      </c>
      <c r="AE170" s="2">
        <f t="shared" si="82"/>
        <v>0</v>
      </c>
      <c r="AF170" s="2">
        <f t="shared" si="83"/>
        <v>1</v>
      </c>
      <c r="AG170" s="2">
        <f t="shared" si="84"/>
        <v>0</v>
      </c>
      <c r="AH170" s="2">
        <f t="shared" si="85"/>
        <v>1</v>
      </c>
      <c r="AI170" s="2">
        <f t="shared" si="86"/>
        <v>0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3</v>
      </c>
      <c r="D171" s="30" t="s">
        <v>354</v>
      </c>
      <c r="E171" s="30" t="s">
        <v>83</v>
      </c>
      <c r="F171" s="30" t="s">
        <v>355</v>
      </c>
      <c r="G171" s="30" t="s">
        <v>368</v>
      </c>
      <c r="H171" s="30" t="s">
        <v>165</v>
      </c>
      <c r="I171" s="29" t="s">
        <v>356</v>
      </c>
      <c r="J171" s="29">
        <v>99</v>
      </c>
      <c r="K171" s="29" t="s">
        <v>321</v>
      </c>
      <c r="L171" s="29" t="s">
        <v>40</v>
      </c>
      <c r="M171" s="30" t="s">
        <v>40</v>
      </c>
      <c r="N171" s="30" t="s">
        <v>882</v>
      </c>
      <c r="O171" s="31">
        <v>1</v>
      </c>
      <c r="P171" s="31">
        <v>1</v>
      </c>
      <c r="Q171" s="30"/>
      <c r="R171" s="2"/>
      <c r="S171" s="2">
        <f t="shared" si="71"/>
        <v>0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794</v>
      </c>
      <c r="E172" s="30" t="s">
        <v>570</v>
      </c>
      <c r="F172" s="30" t="s">
        <v>943</v>
      </c>
      <c r="G172" s="30" t="s">
        <v>38</v>
      </c>
      <c r="H172" s="30" t="s">
        <v>165</v>
      </c>
      <c r="I172" s="29">
        <v>2799979385</v>
      </c>
      <c r="J172" s="29">
        <v>1</v>
      </c>
      <c r="K172" s="29" t="s">
        <v>318</v>
      </c>
      <c r="L172" s="29" t="s">
        <v>329</v>
      </c>
      <c r="M172" s="30" t="s">
        <v>270</v>
      </c>
      <c r="N172" s="30" t="s">
        <v>882</v>
      </c>
      <c r="O172" s="31">
        <v>1</v>
      </c>
      <c r="P172" s="31">
        <v>1</v>
      </c>
      <c r="Q172" s="30"/>
      <c r="R172" s="2"/>
      <c r="S172" s="2">
        <f t="shared" si="71"/>
        <v>1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1</v>
      </c>
      <c r="B173" s="29">
        <v>2</v>
      </c>
      <c r="C173" s="29">
        <v>3</v>
      </c>
      <c r="D173" s="30" t="s">
        <v>794</v>
      </c>
      <c r="E173" s="30" t="s">
        <v>570</v>
      </c>
      <c r="F173" s="30" t="s">
        <v>815</v>
      </c>
      <c r="G173" s="30" t="s">
        <v>160</v>
      </c>
      <c r="H173" s="30" t="s">
        <v>165</v>
      </c>
      <c r="I173" s="29" t="s">
        <v>500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882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0</v>
      </c>
      <c r="AG173" s="2">
        <f t="shared" si="84"/>
        <v>0</v>
      </c>
      <c r="AH173" s="2">
        <f t="shared" si="85"/>
        <v>0</v>
      </c>
      <c r="AI173" s="2">
        <f t="shared" si="86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447</v>
      </c>
      <c r="E174" s="21" t="s">
        <v>448</v>
      </c>
      <c r="F174" s="21" t="s">
        <v>449</v>
      </c>
      <c r="G174" s="21" t="s">
        <v>107</v>
      </c>
      <c r="H174" s="21" t="s">
        <v>165</v>
      </c>
      <c r="I174" s="20" t="s">
        <v>450</v>
      </c>
      <c r="J174" s="20">
        <v>99</v>
      </c>
      <c r="K174" s="20" t="s">
        <v>376</v>
      </c>
      <c r="L174" s="20">
        <v>10</v>
      </c>
      <c r="M174" s="21" t="s">
        <v>598</v>
      </c>
      <c r="N174" s="21"/>
      <c r="O174" s="7"/>
      <c r="P174" s="7"/>
      <c r="Q174" s="21"/>
      <c r="R174" s="2"/>
      <c r="S174" s="2">
        <f t="shared" si="71"/>
        <v>0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0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3</v>
      </c>
      <c r="D175" s="30" t="s">
        <v>48</v>
      </c>
      <c r="E175" s="30" t="s">
        <v>83</v>
      </c>
      <c r="F175" s="30" t="s">
        <v>100</v>
      </c>
      <c r="G175" s="30" t="s">
        <v>96</v>
      </c>
      <c r="H175" s="30" t="s">
        <v>165</v>
      </c>
      <c r="I175" s="29" t="s">
        <v>168</v>
      </c>
      <c r="J175" s="29">
        <v>3</v>
      </c>
      <c r="K175" s="29" t="s">
        <v>321</v>
      </c>
      <c r="L175" s="29" t="s">
        <v>329</v>
      </c>
      <c r="M175" s="30" t="s">
        <v>270</v>
      </c>
      <c r="N175" s="30" t="s">
        <v>882</v>
      </c>
      <c r="O175" s="31">
        <v>1</v>
      </c>
      <c r="P175" s="31">
        <v>1</v>
      </c>
      <c r="Q175" s="30"/>
      <c r="R175" s="2"/>
      <c r="S175" s="2">
        <f t="shared" si="71"/>
        <v>0</v>
      </c>
      <c r="T175" s="2">
        <f t="shared" si="72"/>
        <v>0</v>
      </c>
      <c r="U175" s="2">
        <f t="shared" si="73"/>
        <v>1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1</v>
      </c>
      <c r="AE175" s="2">
        <f t="shared" si="82"/>
        <v>0</v>
      </c>
      <c r="AF175" s="2">
        <f t="shared" si="83"/>
        <v>1</v>
      </c>
      <c r="AG175" s="2">
        <f t="shared" si="84"/>
        <v>0</v>
      </c>
      <c r="AH175" s="2">
        <f t="shared" si="85"/>
        <v>1</v>
      </c>
      <c r="AI175" s="2">
        <f t="shared" si="86"/>
        <v>0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919</v>
      </c>
      <c r="E176" s="30"/>
      <c r="F176" s="30" t="s">
        <v>920</v>
      </c>
      <c r="G176" s="30"/>
      <c r="H176" s="30" t="s">
        <v>165</v>
      </c>
      <c r="I176" s="29" t="s">
        <v>921</v>
      </c>
      <c r="J176" s="29"/>
      <c r="K176" s="29" t="s">
        <v>376</v>
      </c>
      <c r="L176" s="29"/>
      <c r="M176" s="30"/>
      <c r="N176" s="30" t="s">
        <v>882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0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ht="14.25" customHeight="1" x14ac:dyDescent="0.25">
      <c r="A177" s="20">
        <v>0</v>
      </c>
      <c r="B177" s="20">
        <v>2</v>
      </c>
      <c r="C177" s="20">
        <v>3</v>
      </c>
      <c r="D177" s="21" t="s">
        <v>649</v>
      </c>
      <c r="E177" s="21" t="s">
        <v>37</v>
      </c>
      <c r="F177" s="21" t="s">
        <v>650</v>
      </c>
      <c r="G177" s="21" t="s">
        <v>117</v>
      </c>
      <c r="H177" s="21" t="s">
        <v>165</v>
      </c>
      <c r="I177" s="20" t="s">
        <v>651</v>
      </c>
      <c r="J177" s="20">
        <v>1</v>
      </c>
      <c r="K177" s="20" t="s">
        <v>319</v>
      </c>
      <c r="L177" s="20" t="s">
        <v>329</v>
      </c>
      <c r="M177" s="21" t="s">
        <v>270</v>
      </c>
      <c r="N177" s="21"/>
      <c r="O177" s="7"/>
      <c r="P177" s="7"/>
      <c r="Q177" s="21"/>
      <c r="S177" s="2">
        <f t="shared" si="71"/>
        <v>1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D177" s="2">
        <f t="shared" si="81"/>
        <v>0</v>
      </c>
      <c r="AE177" s="2">
        <f t="shared" si="82"/>
        <v>0</v>
      </c>
      <c r="AF177" s="2">
        <f t="shared" si="83"/>
        <v>0</v>
      </c>
      <c r="AG177" s="2">
        <f t="shared" si="84"/>
        <v>0</v>
      </c>
      <c r="AH177" s="2">
        <f t="shared" si="85"/>
        <v>0</v>
      </c>
      <c r="AI177" s="2">
        <f t="shared" si="86"/>
        <v>1</v>
      </c>
    </row>
    <row r="178" spans="1:35" ht="14.25" customHeight="1" x14ac:dyDescent="0.25">
      <c r="A178" s="29">
        <v>0</v>
      </c>
      <c r="B178" s="29">
        <v>2</v>
      </c>
      <c r="C178" s="29">
        <v>4</v>
      </c>
      <c r="D178" s="30" t="s">
        <v>544</v>
      </c>
      <c r="E178" s="30" t="s">
        <v>29</v>
      </c>
      <c r="F178" s="30" t="s">
        <v>405</v>
      </c>
      <c r="G178" s="30" t="s">
        <v>403</v>
      </c>
      <c r="H178" s="30" t="s">
        <v>165</v>
      </c>
      <c r="I178" s="29" t="s">
        <v>545</v>
      </c>
      <c r="J178" s="29">
        <v>99</v>
      </c>
      <c r="K178" s="29" t="s">
        <v>376</v>
      </c>
      <c r="L178" s="29">
        <v>35</v>
      </c>
      <c r="M178" s="30" t="s">
        <v>915</v>
      </c>
      <c r="N178" s="30" t="s">
        <v>923</v>
      </c>
      <c r="O178" s="31">
        <v>1</v>
      </c>
      <c r="P178" s="31"/>
      <c r="Q178" s="30"/>
      <c r="S178" s="2">
        <f t="shared" si="71"/>
        <v>0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D178" s="2">
        <f t="shared" si="81"/>
        <v>0</v>
      </c>
      <c r="AE178" s="2">
        <f t="shared" si="82"/>
        <v>1</v>
      </c>
      <c r="AF178" s="2">
        <f t="shared" si="83"/>
        <v>0</v>
      </c>
      <c r="AG178" s="2">
        <f t="shared" si="84"/>
        <v>1</v>
      </c>
      <c r="AH178" s="2">
        <f t="shared" si="85"/>
        <v>0</v>
      </c>
      <c r="AI178" s="2">
        <f t="shared" si="86"/>
        <v>1</v>
      </c>
    </row>
    <row r="179" spans="1:35" ht="14.25" customHeight="1" x14ac:dyDescent="0.25">
      <c r="A179" s="29">
        <v>0</v>
      </c>
      <c r="B179" s="29">
        <v>2</v>
      </c>
      <c r="C179" s="29">
        <v>4</v>
      </c>
      <c r="D179" s="30" t="s">
        <v>1002</v>
      </c>
      <c r="E179" s="30" t="s">
        <v>1003</v>
      </c>
      <c r="F179" s="30" t="s">
        <v>1004</v>
      </c>
      <c r="G179" s="30" t="s">
        <v>91</v>
      </c>
      <c r="H179" s="30" t="s">
        <v>165</v>
      </c>
      <c r="I179" s="29" t="s">
        <v>33</v>
      </c>
      <c r="J179" s="29"/>
      <c r="K179" s="29" t="s">
        <v>376</v>
      </c>
      <c r="L179" s="29"/>
      <c r="M179" s="30"/>
      <c r="N179" s="30" t="s">
        <v>882</v>
      </c>
      <c r="O179" s="31">
        <v>1</v>
      </c>
      <c r="P179" s="31">
        <v>1</v>
      </c>
      <c r="Q179" s="30" t="s">
        <v>1005</v>
      </c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0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D179" s="2">
        <f t="shared" si="81"/>
        <v>1</v>
      </c>
      <c r="AE179" s="2">
        <f t="shared" si="82"/>
        <v>0</v>
      </c>
      <c r="AF179" s="2">
        <f t="shared" si="83"/>
        <v>1</v>
      </c>
      <c r="AG179" s="2">
        <f t="shared" si="84"/>
        <v>0</v>
      </c>
      <c r="AH179" s="2">
        <f t="shared" si="85"/>
        <v>1</v>
      </c>
      <c r="AI179" s="2">
        <f t="shared" si="86"/>
        <v>0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62</v>
      </c>
      <c r="E180" s="30" t="s">
        <v>36</v>
      </c>
      <c r="F180" s="30" t="s">
        <v>134</v>
      </c>
      <c r="G180" s="30" t="s">
        <v>40</v>
      </c>
      <c r="H180" s="30" t="s">
        <v>165</v>
      </c>
      <c r="I180" s="29" t="s">
        <v>183</v>
      </c>
      <c r="J180" s="29">
        <v>4</v>
      </c>
      <c r="K180" s="29" t="s">
        <v>320</v>
      </c>
      <c r="L180" s="29" t="s">
        <v>846</v>
      </c>
      <c r="M180" s="30" t="s">
        <v>740</v>
      </c>
      <c r="N180" s="30" t="s">
        <v>918</v>
      </c>
      <c r="O180" s="31">
        <v>1</v>
      </c>
      <c r="P180" s="31"/>
      <c r="Q180" s="30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1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D180" s="2">
        <f t="shared" si="81"/>
        <v>0</v>
      </c>
      <c r="AE180" s="2">
        <f t="shared" si="82"/>
        <v>1</v>
      </c>
      <c r="AF180" s="2">
        <f t="shared" si="83"/>
        <v>0</v>
      </c>
      <c r="AG180" s="2">
        <f t="shared" si="84"/>
        <v>1</v>
      </c>
      <c r="AH180" s="2">
        <f t="shared" si="85"/>
        <v>0</v>
      </c>
      <c r="AI180" s="2">
        <f t="shared" si="86"/>
        <v>1</v>
      </c>
    </row>
    <row r="181" spans="1:35" ht="14.25" customHeight="1" x14ac:dyDescent="0.25">
      <c r="A181" s="32">
        <v>0</v>
      </c>
      <c r="B181" s="32">
        <v>2</v>
      </c>
      <c r="C181" s="32">
        <v>4</v>
      </c>
      <c r="D181" s="33" t="s">
        <v>65</v>
      </c>
      <c r="E181" s="33" t="s">
        <v>88</v>
      </c>
      <c r="F181" s="33" t="s">
        <v>141</v>
      </c>
      <c r="G181" s="33" t="s">
        <v>140</v>
      </c>
      <c r="H181" s="33" t="s">
        <v>165</v>
      </c>
      <c r="I181" s="32" t="s">
        <v>186</v>
      </c>
      <c r="J181" s="32">
        <v>99</v>
      </c>
      <c r="K181" s="32" t="s">
        <v>320</v>
      </c>
      <c r="L181" s="32" t="s">
        <v>338</v>
      </c>
      <c r="M181" s="33" t="s">
        <v>205</v>
      </c>
      <c r="N181" s="33" t="s">
        <v>884</v>
      </c>
      <c r="O181" s="34"/>
      <c r="P181" s="34"/>
      <c r="Q181" s="33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0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D181" s="2">
        <f t="shared" si="81"/>
        <v>0</v>
      </c>
      <c r="AE181" s="2">
        <f t="shared" si="82"/>
        <v>0</v>
      </c>
      <c r="AF181" s="2">
        <f t="shared" si="83"/>
        <v>0</v>
      </c>
      <c r="AG181" s="2">
        <f t="shared" si="84"/>
        <v>0</v>
      </c>
      <c r="AH181" s="2">
        <f t="shared" si="85"/>
        <v>0</v>
      </c>
      <c r="AI181" s="2">
        <f t="shared" si="86"/>
        <v>1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847</v>
      </c>
      <c r="M182" s="30" t="s">
        <v>741</v>
      </c>
      <c r="N182" s="30" t="s">
        <v>918</v>
      </c>
      <c r="O182" s="31">
        <v>1</v>
      </c>
      <c r="P182" s="31"/>
      <c r="Q182" s="30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1</v>
      </c>
      <c r="AH182" s="2">
        <f t="shared" si="85"/>
        <v>0</v>
      </c>
      <c r="AI182" s="2">
        <f t="shared" si="86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964</v>
      </c>
      <c r="E183" s="21" t="s">
        <v>965</v>
      </c>
      <c r="F183" s="21" t="s">
        <v>966</v>
      </c>
      <c r="G183" s="21" t="s">
        <v>967</v>
      </c>
      <c r="H183" s="21" t="s">
        <v>165</v>
      </c>
      <c r="I183" s="20"/>
      <c r="J183" s="20"/>
      <c r="K183" s="20" t="s">
        <v>376</v>
      </c>
      <c r="L183" s="20">
        <v>35</v>
      </c>
      <c r="M183" s="21" t="s">
        <v>968</v>
      </c>
      <c r="N183" s="21"/>
      <c r="O183" s="20"/>
      <c r="P183" s="20"/>
      <c r="Q183" s="21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D183" s="2">
        <f t="shared" si="81"/>
        <v>0</v>
      </c>
      <c r="AE183" s="2">
        <f t="shared" si="82"/>
        <v>0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288</v>
      </c>
      <c r="E184" s="21" t="s">
        <v>85</v>
      </c>
      <c r="F184" s="21" t="s">
        <v>366</v>
      </c>
      <c r="G184" s="21" t="s">
        <v>308</v>
      </c>
      <c r="H184" s="21" t="s">
        <v>165</v>
      </c>
      <c r="I184" s="20" t="s">
        <v>289</v>
      </c>
      <c r="J184" s="20">
        <v>6</v>
      </c>
      <c r="K184" s="20" t="s">
        <v>319</v>
      </c>
      <c r="L184" s="20">
        <v>30</v>
      </c>
      <c r="M184" s="38" t="s">
        <v>892</v>
      </c>
      <c r="N184" s="21"/>
      <c r="O184" s="7"/>
      <c r="P184" s="7"/>
      <c r="Q184" s="21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1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ht="14.25" customHeight="1" x14ac:dyDescent="0.25">
      <c r="A185" s="29">
        <v>0</v>
      </c>
      <c r="B185" s="29">
        <v>2</v>
      </c>
      <c r="C185" s="29">
        <v>4</v>
      </c>
      <c r="D185" s="30" t="s">
        <v>565</v>
      </c>
      <c r="E185" s="30" t="s">
        <v>36</v>
      </c>
      <c r="F185" s="30" t="s">
        <v>527</v>
      </c>
      <c r="G185" s="30" t="s">
        <v>103</v>
      </c>
      <c r="H185" s="30" t="s">
        <v>165</v>
      </c>
      <c r="I185" s="29" t="s">
        <v>528</v>
      </c>
      <c r="J185" s="29">
        <v>6</v>
      </c>
      <c r="K185" s="29" t="s">
        <v>318</v>
      </c>
      <c r="L185" s="29">
        <v>35</v>
      </c>
      <c r="M185" s="30" t="s">
        <v>694</v>
      </c>
      <c r="N185" s="30" t="s">
        <v>923</v>
      </c>
      <c r="O185" s="31">
        <v>1</v>
      </c>
      <c r="P185" s="31"/>
      <c r="Q185" s="30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D185" s="2">
        <f t="shared" si="81"/>
        <v>0</v>
      </c>
      <c r="AE185" s="2">
        <f t="shared" si="82"/>
        <v>1</v>
      </c>
      <c r="AF185" s="2">
        <f t="shared" si="83"/>
        <v>0</v>
      </c>
      <c r="AG185" s="2">
        <f t="shared" si="84"/>
        <v>1</v>
      </c>
      <c r="AH185" s="2">
        <f t="shared" si="85"/>
        <v>0</v>
      </c>
      <c r="AI185" s="2">
        <f t="shared" si="86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804</v>
      </c>
      <c r="E186" s="21" t="s">
        <v>29</v>
      </c>
      <c r="F186" s="21" t="s">
        <v>817</v>
      </c>
      <c r="G186" s="21" t="s">
        <v>818</v>
      </c>
      <c r="H186" s="21" t="s">
        <v>165</v>
      </c>
      <c r="I186" s="20" t="s">
        <v>837</v>
      </c>
      <c r="J186" s="20">
        <v>99</v>
      </c>
      <c r="K186" s="20" t="s">
        <v>318</v>
      </c>
      <c r="L186" s="20" t="s">
        <v>343</v>
      </c>
      <c r="M186" s="21" t="s">
        <v>642</v>
      </c>
      <c r="N186" s="21"/>
      <c r="O186" s="7"/>
      <c r="P186" s="7"/>
      <c r="Q186" s="21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0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D186" s="2">
        <f t="shared" si="81"/>
        <v>0</v>
      </c>
      <c r="AE186" s="2">
        <f t="shared" si="82"/>
        <v>0</v>
      </c>
      <c r="AF186" s="2">
        <f t="shared" si="83"/>
        <v>0</v>
      </c>
      <c r="AG186" s="2">
        <f t="shared" si="84"/>
        <v>0</v>
      </c>
      <c r="AH186" s="2">
        <f t="shared" si="85"/>
        <v>0</v>
      </c>
      <c r="AI186" s="2">
        <f t="shared" si="86"/>
        <v>1</v>
      </c>
    </row>
    <row r="187" spans="1:35" ht="14.25" customHeight="1" x14ac:dyDescent="0.25">
      <c r="A187" s="20">
        <v>0</v>
      </c>
      <c r="B187" s="20">
        <v>2</v>
      </c>
      <c r="C187" s="20">
        <v>4</v>
      </c>
      <c r="D187" s="21" t="s">
        <v>567</v>
      </c>
      <c r="E187" s="21" t="s">
        <v>36</v>
      </c>
      <c r="F187" s="21" t="s">
        <v>579</v>
      </c>
      <c r="G187" s="21" t="s">
        <v>517</v>
      </c>
      <c r="H187" s="21" t="s">
        <v>165</v>
      </c>
      <c r="I187" s="20" t="s">
        <v>538</v>
      </c>
      <c r="J187" s="20">
        <v>7</v>
      </c>
      <c r="K187" s="20" t="s">
        <v>376</v>
      </c>
      <c r="L187" s="20">
        <v>30</v>
      </c>
      <c r="M187" s="21" t="s">
        <v>599</v>
      </c>
      <c r="N187" s="21"/>
      <c r="O187" s="7"/>
      <c r="P187" s="7"/>
      <c r="Q187" s="21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1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ht="14.25" customHeight="1" x14ac:dyDescent="0.25">
      <c r="A188" s="29">
        <v>0</v>
      </c>
      <c r="B188" s="29">
        <v>2</v>
      </c>
      <c r="C188" s="29">
        <v>4</v>
      </c>
      <c r="D188" s="30" t="s">
        <v>679</v>
      </c>
      <c r="E188" s="30" t="s">
        <v>673</v>
      </c>
      <c r="F188" s="30" t="s">
        <v>612</v>
      </c>
      <c r="G188" s="30" t="s">
        <v>125</v>
      </c>
      <c r="H188" s="30" t="s">
        <v>165</v>
      </c>
      <c r="I188" s="29" t="s">
        <v>613</v>
      </c>
      <c r="J188" s="29">
        <v>99</v>
      </c>
      <c r="K188" s="29" t="s">
        <v>318</v>
      </c>
      <c r="L188" s="29" t="s">
        <v>343</v>
      </c>
      <c r="M188" s="30" t="s">
        <v>781</v>
      </c>
      <c r="N188" s="30" t="s">
        <v>918</v>
      </c>
      <c r="O188" s="31">
        <v>1</v>
      </c>
      <c r="P188" s="31"/>
      <c r="Q188" s="30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0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D188" s="2">
        <f t="shared" si="81"/>
        <v>0</v>
      </c>
      <c r="AE188" s="2">
        <f t="shared" si="82"/>
        <v>1</v>
      </c>
      <c r="AF188" s="2">
        <f t="shared" si="83"/>
        <v>0</v>
      </c>
      <c r="AG188" s="2">
        <f t="shared" si="84"/>
        <v>1</v>
      </c>
      <c r="AH188" s="2">
        <f t="shared" si="85"/>
        <v>0</v>
      </c>
      <c r="AI188" s="2">
        <f t="shared" si="86"/>
        <v>1</v>
      </c>
    </row>
    <row r="189" spans="1:35" ht="14.25" customHeight="1" x14ac:dyDescent="0.25">
      <c r="A189" s="29">
        <v>0</v>
      </c>
      <c r="B189" s="29">
        <v>2</v>
      </c>
      <c r="C189" s="29">
        <v>4</v>
      </c>
      <c r="D189" s="30" t="s">
        <v>761</v>
      </c>
      <c r="E189" s="30" t="s">
        <v>762</v>
      </c>
      <c r="F189" s="30" t="s">
        <v>763</v>
      </c>
      <c r="G189" s="30"/>
      <c r="H189" s="30" t="s">
        <v>165</v>
      </c>
      <c r="I189" s="29" t="s">
        <v>764</v>
      </c>
      <c r="J189" s="29">
        <v>99</v>
      </c>
      <c r="K189" s="29" t="s">
        <v>376</v>
      </c>
      <c r="L189" s="29">
        <v>35</v>
      </c>
      <c r="M189" s="30" t="s">
        <v>938</v>
      </c>
      <c r="N189" s="30" t="s">
        <v>888</v>
      </c>
      <c r="O189" s="31">
        <v>1</v>
      </c>
      <c r="P189" s="31"/>
      <c r="Q189" s="30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</v>
      </c>
      <c r="E190" s="30" t="s">
        <v>89</v>
      </c>
      <c r="F190" s="30" t="s">
        <v>144</v>
      </c>
      <c r="G190" s="30" t="s">
        <v>129</v>
      </c>
      <c r="H190" s="30" t="s">
        <v>165</v>
      </c>
      <c r="I190" s="29" t="s">
        <v>190</v>
      </c>
      <c r="J190" s="29">
        <v>99</v>
      </c>
      <c r="K190" s="29" t="s">
        <v>321</v>
      </c>
      <c r="L190" s="29">
        <v>25</v>
      </c>
      <c r="M190" s="30" t="s">
        <v>988</v>
      </c>
      <c r="N190" s="30" t="s">
        <v>888</v>
      </c>
      <c r="O190" s="31">
        <v>1</v>
      </c>
      <c r="P190" s="31"/>
      <c r="Q190" s="30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424</v>
      </c>
      <c r="E191" s="30" t="s">
        <v>234</v>
      </c>
      <c r="F191" s="30" t="s">
        <v>425</v>
      </c>
      <c r="G191" s="30" t="s">
        <v>96</v>
      </c>
      <c r="H191" s="30" t="s">
        <v>165</v>
      </c>
      <c r="I191" s="29" t="s">
        <v>426</v>
      </c>
      <c r="J191" s="29">
        <v>3</v>
      </c>
      <c r="K191" s="29" t="s">
        <v>318</v>
      </c>
      <c r="L191" s="29" t="s">
        <v>339</v>
      </c>
      <c r="M191" s="30" t="s">
        <v>742</v>
      </c>
      <c r="N191" s="30" t="s">
        <v>901</v>
      </c>
      <c r="O191" s="31">
        <v>1</v>
      </c>
      <c r="P191" s="31"/>
      <c r="Q191" s="30"/>
      <c r="S191" s="2">
        <f t="shared" si="71"/>
        <v>0</v>
      </c>
      <c r="T191" s="2">
        <f t="shared" si="72"/>
        <v>0</v>
      </c>
      <c r="U191" s="2">
        <f t="shared" si="73"/>
        <v>1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214</v>
      </c>
      <c r="E192" s="30" t="s">
        <v>36</v>
      </c>
      <c r="F192" s="30" t="s">
        <v>213</v>
      </c>
      <c r="G192" s="30" t="s">
        <v>97</v>
      </c>
      <c r="H192" s="30" t="s">
        <v>165</v>
      </c>
      <c r="I192" s="29" t="s">
        <v>212</v>
      </c>
      <c r="J192" s="29">
        <v>99</v>
      </c>
      <c r="K192" s="29" t="s">
        <v>376</v>
      </c>
      <c r="L192" s="29">
        <v>25</v>
      </c>
      <c r="M192" s="30" t="s">
        <v>916</v>
      </c>
      <c r="N192" s="30" t="s">
        <v>923</v>
      </c>
      <c r="O192" s="31">
        <v>1</v>
      </c>
      <c r="P192" s="31"/>
      <c r="Q192" s="30"/>
      <c r="S192" s="2">
        <f t="shared" si="71"/>
        <v>0</v>
      </c>
      <c r="T192" s="2">
        <f t="shared" si="72"/>
        <v>0</v>
      </c>
      <c r="U192" s="2">
        <f t="shared" si="73"/>
        <v>0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32">
        <v>0</v>
      </c>
      <c r="B193" s="32">
        <v>2</v>
      </c>
      <c r="C193" s="32">
        <v>4</v>
      </c>
      <c r="D193" s="33" t="s">
        <v>215</v>
      </c>
      <c r="E193" s="33" t="s">
        <v>216</v>
      </c>
      <c r="F193" s="33" t="s">
        <v>217</v>
      </c>
      <c r="G193" s="33" t="s">
        <v>107</v>
      </c>
      <c r="H193" s="33" t="s">
        <v>165</v>
      </c>
      <c r="I193" s="32" t="s">
        <v>218</v>
      </c>
      <c r="J193" s="32">
        <v>99</v>
      </c>
      <c r="K193" s="32" t="s">
        <v>376</v>
      </c>
      <c r="L193" s="32">
        <v>25</v>
      </c>
      <c r="M193" s="33" t="s">
        <v>496</v>
      </c>
      <c r="N193" s="33" t="s">
        <v>917</v>
      </c>
      <c r="O193" s="34"/>
      <c r="P193" s="34"/>
      <c r="Q193" s="33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0</v>
      </c>
      <c r="AF193" s="2">
        <f t="shared" si="83"/>
        <v>0</v>
      </c>
      <c r="AG193" s="2">
        <f t="shared" si="84"/>
        <v>0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32">
        <v>0</v>
      </c>
      <c r="B194" s="32">
        <v>2</v>
      </c>
      <c r="C194" s="32">
        <v>5</v>
      </c>
      <c r="D194" s="33" t="s">
        <v>419</v>
      </c>
      <c r="E194" s="33" t="s">
        <v>421</v>
      </c>
      <c r="F194" s="33" t="s">
        <v>574</v>
      </c>
      <c r="G194" s="33" t="s">
        <v>154</v>
      </c>
      <c r="H194" s="33" t="s">
        <v>165</v>
      </c>
      <c r="I194" s="32" t="s">
        <v>420</v>
      </c>
      <c r="J194" s="32">
        <v>99</v>
      </c>
      <c r="K194" s="32" t="s">
        <v>376</v>
      </c>
      <c r="L194" s="32">
        <v>30</v>
      </c>
      <c r="M194" s="33" t="s">
        <v>600</v>
      </c>
      <c r="N194" s="33" t="s">
        <v>917</v>
      </c>
      <c r="O194" s="34"/>
      <c r="P194" s="34"/>
      <c r="Q194" s="33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29">
        <v>0</v>
      </c>
      <c r="B195" s="29">
        <v>2</v>
      </c>
      <c r="C195" s="29">
        <v>5</v>
      </c>
      <c r="D195" s="30" t="s">
        <v>757</v>
      </c>
      <c r="E195" s="30" t="s">
        <v>263</v>
      </c>
      <c r="F195" s="30" t="s">
        <v>758</v>
      </c>
      <c r="G195" s="30" t="s">
        <v>456</v>
      </c>
      <c r="H195" s="30" t="s">
        <v>165</v>
      </c>
      <c r="I195" s="29" t="s">
        <v>33</v>
      </c>
      <c r="J195" s="29">
        <v>99</v>
      </c>
      <c r="K195" s="29" t="s">
        <v>693</v>
      </c>
      <c r="L195" s="29">
        <v>45</v>
      </c>
      <c r="M195" s="30" t="s">
        <v>989</v>
      </c>
      <c r="N195" s="30" t="s">
        <v>895</v>
      </c>
      <c r="O195" s="31">
        <v>1</v>
      </c>
      <c r="P195" s="31"/>
      <c r="Q195" s="30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1</v>
      </c>
      <c r="AF195" s="2">
        <f t="shared" si="83"/>
        <v>0</v>
      </c>
      <c r="AG195" s="2">
        <f t="shared" si="84"/>
        <v>1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402</v>
      </c>
      <c r="E196" s="30" t="s">
        <v>29</v>
      </c>
      <c r="F196" s="30" t="s">
        <v>287</v>
      </c>
      <c r="G196" s="30" t="s">
        <v>96</v>
      </c>
      <c r="H196" s="30" t="s">
        <v>165</v>
      </c>
      <c r="I196" s="29" t="s">
        <v>489</v>
      </c>
      <c r="J196" s="29">
        <v>3</v>
      </c>
      <c r="K196" s="29" t="s">
        <v>319</v>
      </c>
      <c r="L196" s="29" t="s">
        <v>334</v>
      </c>
      <c r="M196" s="30" t="s">
        <v>746</v>
      </c>
      <c r="N196" s="30" t="s">
        <v>888</v>
      </c>
      <c r="O196" s="31">
        <v>1</v>
      </c>
      <c r="P196" s="31"/>
      <c r="Q196" s="30"/>
      <c r="S196" s="2">
        <f t="shared" si="71"/>
        <v>0</v>
      </c>
      <c r="T196" s="2">
        <f t="shared" si="72"/>
        <v>0</v>
      </c>
      <c r="U196" s="2">
        <f t="shared" si="73"/>
        <v>1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568</v>
      </c>
      <c r="E197" s="30" t="s">
        <v>36</v>
      </c>
      <c r="F197" s="30" t="s">
        <v>947</v>
      </c>
      <c r="G197" s="30" t="s">
        <v>668</v>
      </c>
      <c r="H197" s="30" t="s">
        <v>165</v>
      </c>
      <c r="I197" s="29" t="s">
        <v>33</v>
      </c>
      <c r="J197" s="29">
        <v>99</v>
      </c>
      <c r="K197" s="29" t="s">
        <v>320</v>
      </c>
      <c r="L197" s="29" t="s">
        <v>335</v>
      </c>
      <c r="M197" s="30" t="s">
        <v>601</v>
      </c>
      <c r="N197" s="30" t="s">
        <v>902</v>
      </c>
      <c r="O197" s="31">
        <v>1</v>
      </c>
      <c r="P197" s="31"/>
      <c r="Q197" s="30" t="s">
        <v>948</v>
      </c>
      <c r="S197" s="2">
        <f t="shared" si="71"/>
        <v>0</v>
      </c>
      <c r="T197" s="2">
        <f t="shared" si="72"/>
        <v>0</v>
      </c>
      <c r="U197" s="2">
        <f t="shared" si="73"/>
        <v>0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20">
        <v>0</v>
      </c>
      <c r="B198" s="20">
        <v>2</v>
      </c>
      <c r="C198" s="20">
        <v>5</v>
      </c>
      <c r="D198" s="21" t="s">
        <v>233</v>
      </c>
      <c r="E198" s="21" t="s">
        <v>86</v>
      </c>
      <c r="F198" s="21" t="s">
        <v>254</v>
      </c>
      <c r="G198" s="21" t="s">
        <v>130</v>
      </c>
      <c r="H198" s="21" t="s">
        <v>165</v>
      </c>
      <c r="I198" s="20" t="s">
        <v>592</v>
      </c>
      <c r="J198" s="20">
        <v>10</v>
      </c>
      <c r="K198" s="20" t="s">
        <v>376</v>
      </c>
      <c r="L198" s="20" t="s">
        <v>333</v>
      </c>
      <c r="M198" s="21" t="s">
        <v>271</v>
      </c>
      <c r="N198" s="21"/>
      <c r="O198" s="7"/>
      <c r="P198" s="7"/>
      <c r="Q198" s="21"/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1</v>
      </c>
      <c r="AD198" s="2">
        <f t="shared" si="81"/>
        <v>0</v>
      </c>
      <c r="AE198" s="2">
        <f t="shared" si="82"/>
        <v>0</v>
      </c>
      <c r="AF198" s="2">
        <f t="shared" si="83"/>
        <v>0</v>
      </c>
      <c r="AG198" s="2">
        <f t="shared" si="84"/>
        <v>0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32">
        <v>0</v>
      </c>
      <c r="B199" s="32">
        <v>2</v>
      </c>
      <c r="C199" s="32">
        <v>5</v>
      </c>
      <c r="D199" s="33" t="s">
        <v>626</v>
      </c>
      <c r="E199" s="33" t="s">
        <v>29</v>
      </c>
      <c r="F199" s="33" t="s">
        <v>628</v>
      </c>
      <c r="G199" s="33" t="s">
        <v>821</v>
      </c>
      <c r="H199" s="33" t="s">
        <v>165</v>
      </c>
      <c r="I199" s="32" t="s">
        <v>629</v>
      </c>
      <c r="J199" s="32">
        <v>99</v>
      </c>
      <c r="K199" s="32" t="s">
        <v>320</v>
      </c>
      <c r="L199" s="32" t="s">
        <v>341</v>
      </c>
      <c r="M199" s="33" t="s">
        <v>779</v>
      </c>
      <c r="N199" s="33" t="s">
        <v>889</v>
      </c>
      <c r="O199" s="34"/>
      <c r="P199" s="34"/>
      <c r="Q199" s="33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0</v>
      </c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29">
        <v>0</v>
      </c>
      <c r="B200" s="29">
        <v>2</v>
      </c>
      <c r="C200" s="29">
        <v>5</v>
      </c>
      <c r="D200" s="30" t="s">
        <v>805</v>
      </c>
      <c r="E200" s="30" t="s">
        <v>29</v>
      </c>
      <c r="F200" s="30" t="s">
        <v>640</v>
      </c>
      <c r="G200" s="30" t="s">
        <v>514</v>
      </c>
      <c r="H200" s="30" t="s">
        <v>165</v>
      </c>
      <c r="I200" s="29" t="s">
        <v>641</v>
      </c>
      <c r="J200" s="29">
        <v>99</v>
      </c>
      <c r="K200" s="29" t="s">
        <v>320</v>
      </c>
      <c r="L200" s="29" t="s">
        <v>346</v>
      </c>
      <c r="M200" s="30" t="s">
        <v>639</v>
      </c>
      <c r="N200" s="30" t="s">
        <v>902</v>
      </c>
      <c r="O200" s="31">
        <v>1</v>
      </c>
      <c r="P200" s="31"/>
      <c r="Q200" s="30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1</v>
      </c>
      <c r="AF200" s="2">
        <f t="shared" si="83"/>
        <v>0</v>
      </c>
      <c r="AG200" s="2">
        <f t="shared" si="84"/>
        <v>1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32">
        <v>0</v>
      </c>
      <c r="B201" s="32">
        <v>2</v>
      </c>
      <c r="C201" s="32">
        <v>6</v>
      </c>
      <c r="D201" s="33" t="s">
        <v>676</v>
      </c>
      <c r="E201" s="33" t="s">
        <v>34</v>
      </c>
      <c r="F201" s="33" t="s">
        <v>814</v>
      </c>
      <c r="G201" s="33" t="s">
        <v>96</v>
      </c>
      <c r="H201" s="33" t="s">
        <v>165</v>
      </c>
      <c r="I201" s="32" t="s">
        <v>614</v>
      </c>
      <c r="J201" s="32">
        <v>1</v>
      </c>
      <c r="K201" s="32" t="s">
        <v>318</v>
      </c>
      <c r="L201" s="32" t="s">
        <v>343</v>
      </c>
      <c r="M201" s="33" t="s">
        <v>615</v>
      </c>
      <c r="N201" s="33" t="s">
        <v>917</v>
      </c>
      <c r="O201" s="34"/>
      <c r="P201" s="34"/>
      <c r="Q201" s="33"/>
      <c r="S201" s="2">
        <f t="shared" si="71"/>
        <v>1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0</v>
      </c>
      <c r="AF201" s="2">
        <f t="shared" si="83"/>
        <v>0</v>
      </c>
      <c r="AG201" s="2">
        <f t="shared" si="84"/>
        <v>0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29">
        <v>0</v>
      </c>
      <c r="B202" s="29">
        <v>2</v>
      </c>
      <c r="C202" s="29">
        <v>6</v>
      </c>
      <c r="D202" s="30" t="s">
        <v>52</v>
      </c>
      <c r="E202" s="30" t="s">
        <v>34</v>
      </c>
      <c r="F202" s="30" t="s">
        <v>105</v>
      </c>
      <c r="G202" s="30" t="s">
        <v>39</v>
      </c>
      <c r="H202" s="30" t="s">
        <v>165</v>
      </c>
      <c r="I202" s="29" t="s">
        <v>840</v>
      </c>
      <c r="J202" s="29">
        <v>8</v>
      </c>
      <c r="K202" s="29" t="s">
        <v>318</v>
      </c>
      <c r="L202" s="29" t="s">
        <v>339</v>
      </c>
      <c r="M202" s="30" t="s">
        <v>272</v>
      </c>
      <c r="N202" s="30" t="s">
        <v>901</v>
      </c>
      <c r="O202" s="31">
        <v>1</v>
      </c>
      <c r="P202" s="31"/>
      <c r="Q202" s="30"/>
      <c r="S202" s="2">
        <f t="shared" si="71"/>
        <v>0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1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1</v>
      </c>
      <c r="AF202" s="2">
        <f t="shared" si="83"/>
        <v>0</v>
      </c>
      <c r="AG202" s="2">
        <f t="shared" si="84"/>
        <v>1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461</v>
      </c>
      <c r="E203" s="30" t="s">
        <v>34</v>
      </c>
      <c r="F203" s="30" t="s">
        <v>942</v>
      </c>
      <c r="G203" s="30" t="s">
        <v>103</v>
      </c>
      <c r="H203" s="30" t="s">
        <v>165</v>
      </c>
      <c r="I203" s="29" t="s">
        <v>392</v>
      </c>
      <c r="J203" s="29">
        <v>6</v>
      </c>
      <c r="K203" s="29" t="s">
        <v>321</v>
      </c>
      <c r="L203" s="29" t="s">
        <v>339</v>
      </c>
      <c r="M203" s="30" t="s">
        <v>696</v>
      </c>
      <c r="N203" s="30" t="s">
        <v>923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1</v>
      </c>
      <c r="Y203" s="2">
        <f t="shared" si="77"/>
        <v>0</v>
      </c>
      <c r="Z203" s="2">
        <f t="shared" si="78"/>
        <v>0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680</v>
      </c>
      <c r="E204" s="30" t="s">
        <v>34</v>
      </c>
      <c r="F204" s="30" t="s">
        <v>602</v>
      </c>
      <c r="G204" s="30" t="s">
        <v>163</v>
      </c>
      <c r="H204" s="30" t="s">
        <v>165</v>
      </c>
      <c r="I204" s="29" t="s">
        <v>691</v>
      </c>
      <c r="J204" s="29">
        <v>5</v>
      </c>
      <c r="K204" s="29" t="s">
        <v>320</v>
      </c>
      <c r="L204" s="29">
        <v>30</v>
      </c>
      <c r="M204" s="30" t="s">
        <v>743</v>
      </c>
      <c r="N204" s="30" t="s">
        <v>901</v>
      </c>
      <c r="O204" s="31">
        <v>1</v>
      </c>
      <c r="P204" s="31"/>
      <c r="Q204" s="30"/>
      <c r="S204" s="2">
        <f t="shared" ref="S204:S238" si="103">IF(J204=$S$7,1,0)</f>
        <v>0</v>
      </c>
      <c r="T204" s="2">
        <f t="shared" ref="T204:T238" si="104">IF(J204=$T$7,1,0)</f>
        <v>0</v>
      </c>
      <c r="U204" s="2">
        <f t="shared" ref="U204:U238" si="105">IF(J204=$U$7,1,0)</f>
        <v>0</v>
      </c>
      <c r="V204" s="2">
        <f t="shared" ref="V204:V238" si="106">IF(J204=$V$7,1,0)</f>
        <v>0</v>
      </c>
      <c r="W204" s="2">
        <f t="shared" ref="W204:W238" si="107">IF(J204=$W$7,1,0)</f>
        <v>1</v>
      </c>
      <c r="X204" s="2">
        <f t="shared" ref="X204:X238" si="108">IF(J204=$X$7,1,0)</f>
        <v>0</v>
      </c>
      <c r="Y204" s="2">
        <f t="shared" ref="Y204:Y238" si="109">IF(J204=$Y$7,1,0)</f>
        <v>0</v>
      </c>
      <c r="Z204" s="2">
        <f t="shared" ref="Z204:Z238" si="110">IF(J204=$Z$7,1,0)</f>
        <v>0</v>
      </c>
      <c r="AA204" s="2">
        <f t="shared" ref="AA204:AA238" si="111">IF(J204=$AA$7,1,0)</f>
        <v>0</v>
      </c>
      <c r="AB204" s="2">
        <f t="shared" ref="AB204:AB238" si="112">IF(J204=$AB$7,1,0)</f>
        <v>0</v>
      </c>
      <c r="AD204" s="2">
        <f t="shared" ref="AD204:AD240" si="113">+O204*P204</f>
        <v>0</v>
      </c>
      <c r="AE204" s="2">
        <f t="shared" ref="AE204:AE240" si="114">O204*(1-P204)</f>
        <v>1</v>
      </c>
      <c r="AF204" s="2">
        <f t="shared" ref="AF204:AF240" si="115">+O204*P204*(1-A204)</f>
        <v>0</v>
      </c>
      <c r="AG204" s="2">
        <f t="shared" ref="AG204:AG240" si="116">O204*(1-P204)*(1-A204)</f>
        <v>1</v>
      </c>
      <c r="AH204" s="2">
        <f t="shared" ref="AH204:AH240" si="117">+P204*(1-A204)</f>
        <v>0</v>
      </c>
      <c r="AI204" s="2">
        <f t="shared" ref="AI204:AI240" si="118">+(1-A204)*(1-P204)</f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58</v>
      </c>
      <c r="E205" s="30" t="s">
        <v>34</v>
      </c>
      <c r="F205" s="30" t="s">
        <v>480</v>
      </c>
      <c r="G205" s="30" t="s">
        <v>103</v>
      </c>
      <c r="H205" s="30" t="s">
        <v>165</v>
      </c>
      <c r="I205" s="29" t="s">
        <v>179</v>
      </c>
      <c r="J205" s="29">
        <v>6</v>
      </c>
      <c r="K205" s="29" t="s">
        <v>321</v>
      </c>
      <c r="L205" s="29" t="s">
        <v>339</v>
      </c>
      <c r="M205" s="30" t="s">
        <v>697</v>
      </c>
      <c r="N205" s="30" t="s">
        <v>923</v>
      </c>
      <c r="O205" s="31">
        <v>1</v>
      </c>
      <c r="P205" s="31"/>
      <c r="Q205" s="30"/>
      <c r="S205" s="2">
        <f t="shared" si="103"/>
        <v>0</v>
      </c>
      <c r="T205" s="2">
        <f t="shared" si="104"/>
        <v>0</v>
      </c>
      <c r="U205" s="2">
        <f t="shared" si="105"/>
        <v>0</v>
      </c>
      <c r="V205" s="2">
        <f t="shared" si="106"/>
        <v>0</v>
      </c>
      <c r="W205" s="2">
        <f t="shared" si="107"/>
        <v>0</v>
      </c>
      <c r="X205" s="2">
        <f t="shared" si="108"/>
        <v>1</v>
      </c>
      <c r="Y205" s="2">
        <f t="shared" si="109"/>
        <v>0</v>
      </c>
      <c r="Z205" s="2">
        <f t="shared" si="110"/>
        <v>0</v>
      </c>
      <c r="AA205" s="2">
        <f t="shared" si="111"/>
        <v>0</v>
      </c>
      <c r="AB205" s="2">
        <f t="shared" si="112"/>
        <v>0</v>
      </c>
      <c r="AD205" s="2">
        <f t="shared" si="113"/>
        <v>0</v>
      </c>
      <c r="AE205" s="2">
        <f t="shared" si="114"/>
        <v>1</v>
      </c>
      <c r="AF205" s="2">
        <f t="shared" si="115"/>
        <v>0</v>
      </c>
      <c r="AG205" s="2">
        <f t="shared" si="116"/>
        <v>1</v>
      </c>
      <c r="AH205" s="2">
        <f t="shared" si="117"/>
        <v>0</v>
      </c>
      <c r="AI205" s="2">
        <f t="shared" si="118"/>
        <v>1</v>
      </c>
    </row>
    <row r="206" spans="1:35" ht="14.25" customHeight="1" x14ac:dyDescent="0.25">
      <c r="A206" s="32">
        <v>0</v>
      </c>
      <c r="B206" s="32">
        <v>2</v>
      </c>
      <c r="C206" s="32">
        <v>6</v>
      </c>
      <c r="D206" s="33" t="s">
        <v>609</v>
      </c>
      <c r="E206" s="33" t="s">
        <v>34</v>
      </c>
      <c r="F206" s="33" t="s">
        <v>610</v>
      </c>
      <c r="G206" s="33" t="s">
        <v>514</v>
      </c>
      <c r="H206" s="33" t="s">
        <v>165</v>
      </c>
      <c r="I206" s="32" t="s">
        <v>611</v>
      </c>
      <c r="J206" s="32"/>
      <c r="K206" s="32" t="s">
        <v>376</v>
      </c>
      <c r="L206" s="32">
        <v>30</v>
      </c>
      <c r="M206" s="33" t="s">
        <v>272</v>
      </c>
      <c r="N206" s="33" t="s">
        <v>885</v>
      </c>
      <c r="O206" s="34"/>
      <c r="P206" s="34"/>
      <c r="Q206" s="33"/>
      <c r="S206" s="2">
        <f t="shared" si="103"/>
        <v>0</v>
      </c>
      <c r="T206" s="2">
        <f t="shared" si="104"/>
        <v>0</v>
      </c>
      <c r="U206" s="2">
        <f t="shared" si="105"/>
        <v>0</v>
      </c>
      <c r="V206" s="2">
        <f t="shared" si="106"/>
        <v>0</v>
      </c>
      <c r="W206" s="2">
        <f t="shared" si="107"/>
        <v>0</v>
      </c>
      <c r="X206" s="2">
        <f t="shared" si="108"/>
        <v>0</v>
      </c>
      <c r="Y206" s="2">
        <f t="shared" si="109"/>
        <v>0</v>
      </c>
      <c r="Z206" s="2">
        <f t="shared" si="110"/>
        <v>0</v>
      </c>
      <c r="AA206" s="2">
        <f t="shared" si="111"/>
        <v>0</v>
      </c>
      <c r="AB206" s="2">
        <f t="shared" si="112"/>
        <v>0</v>
      </c>
      <c r="AD206" s="2">
        <f t="shared" si="113"/>
        <v>0</v>
      </c>
      <c r="AE206" s="2">
        <f t="shared" si="114"/>
        <v>0</v>
      </c>
      <c r="AF206" s="2">
        <f t="shared" si="115"/>
        <v>0</v>
      </c>
      <c r="AG206" s="2">
        <f t="shared" si="116"/>
        <v>0</v>
      </c>
      <c r="AH206" s="2">
        <f t="shared" si="117"/>
        <v>0</v>
      </c>
      <c r="AI206" s="2">
        <f t="shared" si="118"/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532</v>
      </c>
      <c r="E207" s="30" t="s">
        <v>674</v>
      </c>
      <c r="F207" s="30" t="s">
        <v>939</v>
      </c>
      <c r="G207" s="30" t="s">
        <v>581</v>
      </c>
      <c r="H207" s="30" t="s">
        <v>165</v>
      </c>
      <c r="I207" s="29" t="s">
        <v>533</v>
      </c>
      <c r="J207" s="29">
        <v>2</v>
      </c>
      <c r="K207" s="29" t="s">
        <v>320</v>
      </c>
      <c r="L207" s="29" t="s">
        <v>339</v>
      </c>
      <c r="M207" s="30" t="s">
        <v>272</v>
      </c>
      <c r="N207" s="30" t="s">
        <v>896</v>
      </c>
      <c r="O207" s="31">
        <v>1</v>
      </c>
      <c r="P207" s="31"/>
      <c r="Q207" s="30"/>
      <c r="S207" s="2">
        <f t="shared" si="103"/>
        <v>0</v>
      </c>
      <c r="T207" s="2">
        <f t="shared" si="104"/>
        <v>1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1</v>
      </c>
      <c r="AF207" s="2">
        <f t="shared" si="115"/>
        <v>0</v>
      </c>
      <c r="AG207" s="2">
        <f t="shared" si="116"/>
        <v>1</v>
      </c>
      <c r="AH207" s="2">
        <f t="shared" si="117"/>
        <v>0</v>
      </c>
      <c r="AI207" s="2">
        <f t="shared" si="118"/>
        <v>1</v>
      </c>
    </row>
    <row r="208" spans="1:35" ht="14.25" customHeight="1" x14ac:dyDescent="0.25">
      <c r="A208" s="29">
        <v>1</v>
      </c>
      <c r="B208" s="29">
        <v>2</v>
      </c>
      <c r="C208" s="29">
        <v>6</v>
      </c>
      <c r="D208" s="30" t="s">
        <v>532</v>
      </c>
      <c r="E208" s="30" t="s">
        <v>674</v>
      </c>
      <c r="F208" s="30" t="s">
        <v>940</v>
      </c>
      <c r="G208" s="30" t="s">
        <v>103</v>
      </c>
      <c r="H208" s="30" t="s">
        <v>165</v>
      </c>
      <c r="I208" s="29" t="s">
        <v>839</v>
      </c>
      <c r="J208" s="29">
        <v>6</v>
      </c>
      <c r="K208" s="29" t="s">
        <v>320</v>
      </c>
      <c r="L208" s="29" t="s">
        <v>339</v>
      </c>
      <c r="M208" s="30" t="s">
        <v>272</v>
      </c>
      <c r="N208" s="30" t="s">
        <v>896</v>
      </c>
      <c r="O208" s="31">
        <v>1</v>
      </c>
      <c r="P208" s="31"/>
      <c r="Q208" s="30"/>
      <c r="S208" s="2">
        <f t="shared" si="103"/>
        <v>0</v>
      </c>
      <c r="T208" s="2">
        <f t="shared" si="104"/>
        <v>0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1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0</v>
      </c>
      <c r="AH208" s="2">
        <f t="shared" si="117"/>
        <v>0</v>
      </c>
      <c r="AI208" s="2">
        <f t="shared" si="118"/>
        <v>0</v>
      </c>
    </row>
    <row r="209" spans="1:35" ht="14.25" customHeight="1" x14ac:dyDescent="0.25">
      <c r="A209" s="29">
        <v>0</v>
      </c>
      <c r="B209" s="29">
        <v>2</v>
      </c>
      <c r="C209" s="29">
        <v>7</v>
      </c>
      <c r="D209" s="30" t="s">
        <v>408</v>
      </c>
      <c r="E209" s="30" t="s">
        <v>31</v>
      </c>
      <c r="F209" s="30" t="s">
        <v>409</v>
      </c>
      <c r="G209" s="30" t="s">
        <v>469</v>
      </c>
      <c r="H209" s="30" t="s">
        <v>165</v>
      </c>
      <c r="I209" s="29" t="s">
        <v>410</v>
      </c>
      <c r="J209" s="29">
        <v>9</v>
      </c>
      <c r="K209" s="29" t="s">
        <v>320</v>
      </c>
      <c r="L209" s="29" t="s">
        <v>318</v>
      </c>
      <c r="M209" s="30" t="s">
        <v>273</v>
      </c>
      <c r="N209" s="30" t="s">
        <v>882</v>
      </c>
      <c r="O209" s="31">
        <v>1</v>
      </c>
      <c r="P209" s="31">
        <v>1</v>
      </c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0</v>
      </c>
      <c r="Y209" s="2">
        <f t="shared" si="109"/>
        <v>0</v>
      </c>
      <c r="Z209" s="2">
        <f t="shared" si="110"/>
        <v>0</v>
      </c>
      <c r="AA209" s="2">
        <f t="shared" si="111"/>
        <v>1</v>
      </c>
      <c r="AB209" s="2">
        <f t="shared" si="112"/>
        <v>0</v>
      </c>
      <c r="AD209" s="2">
        <f t="shared" si="113"/>
        <v>1</v>
      </c>
      <c r="AE209" s="2">
        <f t="shared" si="114"/>
        <v>0</v>
      </c>
      <c r="AF209" s="2">
        <f t="shared" si="115"/>
        <v>1</v>
      </c>
      <c r="AG209" s="2">
        <f t="shared" si="116"/>
        <v>0</v>
      </c>
      <c r="AH209" s="2">
        <f t="shared" si="117"/>
        <v>1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913</v>
      </c>
      <c r="E210" s="30" t="s">
        <v>907</v>
      </c>
      <c r="F210" s="30" t="s">
        <v>911</v>
      </c>
      <c r="G210" s="30" t="s">
        <v>132</v>
      </c>
      <c r="H210" s="30" t="s">
        <v>165</v>
      </c>
      <c r="I210" s="29" t="s">
        <v>914</v>
      </c>
      <c r="J210" s="29">
        <v>99</v>
      </c>
      <c r="K210" s="29" t="s">
        <v>376</v>
      </c>
      <c r="L210" s="29"/>
      <c r="M210" s="30"/>
      <c r="N210" s="30" t="s">
        <v>882</v>
      </c>
      <c r="O210" s="31">
        <v>1</v>
      </c>
      <c r="P210" s="31">
        <v>1</v>
      </c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0</v>
      </c>
      <c r="AB210" s="2">
        <f t="shared" si="112"/>
        <v>0</v>
      </c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518</v>
      </c>
      <c r="E211" s="30" t="s">
        <v>31</v>
      </c>
      <c r="F211" s="30" t="s">
        <v>519</v>
      </c>
      <c r="G211" s="30" t="s">
        <v>124</v>
      </c>
      <c r="H211" s="30" t="s">
        <v>165</v>
      </c>
      <c r="I211" s="29" t="s">
        <v>520</v>
      </c>
      <c r="J211" s="29">
        <v>7</v>
      </c>
      <c r="K211" s="29" t="s">
        <v>319</v>
      </c>
      <c r="L211" s="29" t="s">
        <v>318</v>
      </c>
      <c r="M211" s="30" t="s">
        <v>273</v>
      </c>
      <c r="N211" s="30" t="s">
        <v>888</v>
      </c>
      <c r="O211" s="31">
        <v>1</v>
      </c>
      <c r="P211" s="31"/>
      <c r="Q211" s="30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1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D211" s="2">
        <f t="shared" si="113"/>
        <v>0</v>
      </c>
      <c r="AE211" s="2">
        <f t="shared" si="114"/>
        <v>1</v>
      </c>
      <c r="AF211" s="2">
        <f t="shared" si="115"/>
        <v>0</v>
      </c>
      <c r="AG211" s="2">
        <f t="shared" si="116"/>
        <v>1</v>
      </c>
      <c r="AH211" s="2">
        <f t="shared" si="117"/>
        <v>0</v>
      </c>
      <c r="AI211" s="2">
        <f t="shared" si="118"/>
        <v>1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430</v>
      </c>
      <c r="E212" s="30" t="s">
        <v>31</v>
      </c>
      <c r="F212" s="30" t="s">
        <v>431</v>
      </c>
      <c r="G212" s="30" t="s">
        <v>117</v>
      </c>
      <c r="H212" s="30" t="s">
        <v>165</v>
      </c>
      <c r="I212" s="29" t="s">
        <v>482</v>
      </c>
      <c r="J212" s="29">
        <v>1</v>
      </c>
      <c r="K212" s="29" t="s">
        <v>320</v>
      </c>
      <c r="L212" s="29" t="s">
        <v>318</v>
      </c>
      <c r="M212" s="30" t="s">
        <v>273</v>
      </c>
      <c r="N212" s="30" t="s">
        <v>918</v>
      </c>
      <c r="O212" s="31">
        <v>1</v>
      </c>
      <c r="P212" s="31"/>
      <c r="Q212" s="30"/>
      <c r="S212" s="2">
        <f t="shared" si="103"/>
        <v>1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0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D212" s="2">
        <f t="shared" si="113"/>
        <v>0</v>
      </c>
      <c r="AE212" s="2">
        <f t="shared" si="114"/>
        <v>1</v>
      </c>
      <c r="AF212" s="2">
        <f t="shared" si="115"/>
        <v>0</v>
      </c>
      <c r="AG212" s="2">
        <f t="shared" si="116"/>
        <v>1</v>
      </c>
      <c r="AH212" s="2">
        <f t="shared" si="117"/>
        <v>0</v>
      </c>
      <c r="AI212" s="2">
        <f t="shared" si="118"/>
        <v>1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460</v>
      </c>
      <c r="E213" s="30" t="s">
        <v>31</v>
      </c>
      <c r="F213" s="30" t="s">
        <v>155</v>
      </c>
      <c r="G213" s="30" t="s">
        <v>122</v>
      </c>
      <c r="H213" s="30" t="s">
        <v>165</v>
      </c>
      <c r="I213" s="29" t="s">
        <v>198</v>
      </c>
      <c r="J213" s="29">
        <v>6</v>
      </c>
      <c r="K213" s="29" t="s">
        <v>321</v>
      </c>
      <c r="L213" s="29" t="s">
        <v>318</v>
      </c>
      <c r="M213" s="30" t="s">
        <v>273</v>
      </c>
      <c r="N213" s="30" t="s">
        <v>882</v>
      </c>
      <c r="O213" s="31">
        <v>1</v>
      </c>
      <c r="P213" s="31">
        <v>1</v>
      </c>
      <c r="Q213" s="30"/>
      <c r="S213" s="2">
        <f t="shared" si="103"/>
        <v>0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1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1</v>
      </c>
      <c r="AE213" s="2">
        <f t="shared" si="114"/>
        <v>0</v>
      </c>
      <c r="AF213" s="2">
        <f t="shared" si="115"/>
        <v>1</v>
      </c>
      <c r="AG213" s="2">
        <f t="shared" si="116"/>
        <v>0</v>
      </c>
      <c r="AH213" s="2">
        <f t="shared" si="117"/>
        <v>1</v>
      </c>
      <c r="AI213" s="2">
        <f t="shared" si="118"/>
        <v>0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63</v>
      </c>
      <c r="E214" s="30" t="s">
        <v>31</v>
      </c>
      <c r="F214" s="30" t="s">
        <v>138</v>
      </c>
      <c r="G214" s="30" t="s">
        <v>125</v>
      </c>
      <c r="H214" s="30" t="s">
        <v>165</v>
      </c>
      <c r="I214" s="29" t="s">
        <v>373</v>
      </c>
      <c r="J214" s="29">
        <v>99</v>
      </c>
      <c r="K214" s="29" t="s">
        <v>320</v>
      </c>
      <c r="L214" s="29" t="s">
        <v>318</v>
      </c>
      <c r="M214" s="30" t="s">
        <v>273</v>
      </c>
      <c r="N214" s="30" t="s">
        <v>882</v>
      </c>
      <c r="O214" s="31">
        <v>1</v>
      </c>
      <c r="P214" s="31">
        <v>1</v>
      </c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0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427</v>
      </c>
      <c r="E215" s="30" t="s">
        <v>31</v>
      </c>
      <c r="F215" s="30" t="s">
        <v>428</v>
      </c>
      <c r="G215" s="30" t="s">
        <v>126</v>
      </c>
      <c r="H215" s="30" t="s">
        <v>165</v>
      </c>
      <c r="I215" s="29" t="s">
        <v>590</v>
      </c>
      <c r="J215" s="29">
        <v>99</v>
      </c>
      <c r="K215" s="29" t="s">
        <v>318</v>
      </c>
      <c r="L215" s="29" t="s">
        <v>318</v>
      </c>
      <c r="M215" s="30" t="s">
        <v>273</v>
      </c>
      <c r="N215" s="30" t="s">
        <v>918</v>
      </c>
      <c r="O215" s="31">
        <v>1</v>
      </c>
      <c r="P215" s="31"/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0</v>
      </c>
      <c r="AE215" s="2">
        <f t="shared" si="114"/>
        <v>1</v>
      </c>
      <c r="AF215" s="2">
        <f t="shared" si="115"/>
        <v>0</v>
      </c>
      <c r="AG215" s="2">
        <f t="shared" si="116"/>
        <v>1</v>
      </c>
      <c r="AH215" s="2">
        <f t="shared" si="117"/>
        <v>0</v>
      </c>
      <c r="AI215" s="2">
        <f t="shared" si="118"/>
        <v>1</v>
      </c>
    </row>
    <row r="216" spans="1:35" ht="14.25" customHeight="1" x14ac:dyDescent="0.25">
      <c r="A216" s="29">
        <v>1</v>
      </c>
      <c r="B216" s="29">
        <v>2</v>
      </c>
      <c r="C216" s="29">
        <v>7</v>
      </c>
      <c r="D216" s="30" t="s">
        <v>427</v>
      </c>
      <c r="E216" s="30" t="s">
        <v>31</v>
      </c>
      <c r="F216" s="30" t="s">
        <v>659</v>
      </c>
      <c r="G216" s="30" t="s">
        <v>660</v>
      </c>
      <c r="H216" s="30" t="s">
        <v>165</v>
      </c>
      <c r="I216" s="29" t="s">
        <v>590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918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0</v>
      </c>
      <c r="AH216" s="2">
        <f t="shared" si="117"/>
        <v>0</v>
      </c>
      <c r="AI216" s="2">
        <f t="shared" si="118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72</v>
      </c>
      <c r="E217" s="30" t="s">
        <v>31</v>
      </c>
      <c r="F217" s="30" t="s">
        <v>151</v>
      </c>
      <c r="G217" s="30" t="s">
        <v>99</v>
      </c>
      <c r="H217" s="30" t="s">
        <v>165</v>
      </c>
      <c r="I217" s="29" t="s">
        <v>195</v>
      </c>
      <c r="J217" s="29">
        <v>3</v>
      </c>
      <c r="K217" s="29" t="s">
        <v>320</v>
      </c>
      <c r="L217" s="29" t="s">
        <v>318</v>
      </c>
      <c r="M217" s="30" t="s">
        <v>273</v>
      </c>
      <c r="N217" s="30" t="s">
        <v>918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1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1</v>
      </c>
      <c r="AH217" s="2">
        <f t="shared" si="117"/>
        <v>0</v>
      </c>
      <c r="AI217" s="2">
        <f t="shared" si="118"/>
        <v>1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305</v>
      </c>
      <c r="E218" s="30" t="s">
        <v>31</v>
      </c>
      <c r="F218" s="30" t="s">
        <v>813</v>
      </c>
      <c r="G218" s="30" t="s">
        <v>575</v>
      </c>
      <c r="H218" s="30" t="s">
        <v>165</v>
      </c>
      <c r="I218" s="29" t="s">
        <v>297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923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0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73</v>
      </c>
      <c r="E219" s="30" t="s">
        <v>31</v>
      </c>
      <c r="F219" s="30" t="s">
        <v>152</v>
      </c>
      <c r="G219" s="30" t="s">
        <v>120</v>
      </c>
      <c r="H219" s="30" t="s">
        <v>165</v>
      </c>
      <c r="I219" s="29" t="s">
        <v>196</v>
      </c>
      <c r="J219" s="29">
        <v>6</v>
      </c>
      <c r="K219" s="29" t="s">
        <v>320</v>
      </c>
      <c r="L219" s="29" t="s">
        <v>318</v>
      </c>
      <c r="M219" s="30" t="s">
        <v>273</v>
      </c>
      <c r="N219" s="30" t="s">
        <v>895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1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ht="14.25" customHeight="1" x14ac:dyDescent="0.25">
      <c r="A220" s="29">
        <v>1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310</v>
      </c>
      <c r="G220" s="30" t="s">
        <v>102</v>
      </c>
      <c r="H220" s="30" t="s">
        <v>165</v>
      </c>
      <c r="I220" s="29" t="s">
        <v>316</v>
      </c>
      <c r="J220" s="29">
        <v>4</v>
      </c>
      <c r="K220" s="29" t="s">
        <v>320</v>
      </c>
      <c r="L220" s="29" t="s">
        <v>318</v>
      </c>
      <c r="M220" s="30" t="s">
        <v>273</v>
      </c>
      <c r="N220" s="30" t="s">
        <v>895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1</v>
      </c>
      <c r="W220" s="2">
        <f t="shared" si="107"/>
        <v>0</v>
      </c>
      <c r="X220" s="2">
        <f t="shared" si="108"/>
        <v>0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0</v>
      </c>
      <c r="AH220" s="2">
        <f t="shared" si="117"/>
        <v>0</v>
      </c>
      <c r="AI220" s="2">
        <f t="shared" si="118"/>
        <v>0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393</v>
      </c>
      <c r="E221" s="30" t="s">
        <v>31</v>
      </c>
      <c r="F221" s="30" t="s">
        <v>474</v>
      </c>
      <c r="G221" s="30" t="s">
        <v>475</v>
      </c>
      <c r="H221" s="30" t="s">
        <v>165</v>
      </c>
      <c r="I221" s="29" t="s">
        <v>394</v>
      </c>
      <c r="J221" s="29">
        <v>99</v>
      </c>
      <c r="K221" s="29" t="s">
        <v>318</v>
      </c>
      <c r="L221" s="29" t="s">
        <v>318</v>
      </c>
      <c r="M221" s="30" t="s">
        <v>273</v>
      </c>
      <c r="N221" s="30" t="s">
        <v>888</v>
      </c>
      <c r="O221" s="31">
        <v>1</v>
      </c>
      <c r="P221" s="31"/>
      <c r="Q221" s="30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0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1</v>
      </c>
      <c r="AH221" s="2">
        <f t="shared" si="117"/>
        <v>0</v>
      </c>
      <c r="AI221" s="2">
        <f t="shared" si="118"/>
        <v>1</v>
      </c>
    </row>
    <row r="222" spans="1:35" ht="14.25" customHeight="1" x14ac:dyDescent="0.25">
      <c r="A222" s="32">
        <v>0</v>
      </c>
      <c r="B222" s="32">
        <v>2</v>
      </c>
      <c r="C222" s="32">
        <v>7</v>
      </c>
      <c r="D222" s="33" t="s">
        <v>566</v>
      </c>
      <c r="E222" s="33" t="s">
        <v>31</v>
      </c>
      <c r="F222" s="33" t="s">
        <v>576</v>
      </c>
      <c r="G222" s="33" t="s">
        <v>132</v>
      </c>
      <c r="H222" s="33" t="s">
        <v>165</v>
      </c>
      <c r="I222" s="32" t="s">
        <v>835</v>
      </c>
      <c r="J222" s="32">
        <v>3</v>
      </c>
      <c r="K222" s="32" t="s">
        <v>320</v>
      </c>
      <c r="L222" s="32" t="s">
        <v>318</v>
      </c>
      <c r="M222" s="33" t="s">
        <v>273</v>
      </c>
      <c r="N222" s="33" t="s">
        <v>917</v>
      </c>
      <c r="O222" s="34"/>
      <c r="P222" s="34"/>
      <c r="Q222" s="33"/>
      <c r="S222" s="2">
        <f t="shared" si="103"/>
        <v>0</v>
      </c>
      <c r="T222" s="2">
        <f t="shared" si="104"/>
        <v>0</v>
      </c>
      <c r="U222" s="2">
        <f t="shared" si="105"/>
        <v>1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D222" s="2">
        <f t="shared" si="113"/>
        <v>0</v>
      </c>
      <c r="AE222" s="2">
        <f t="shared" si="114"/>
        <v>0</v>
      </c>
      <c r="AF222" s="2">
        <f t="shared" si="115"/>
        <v>0</v>
      </c>
      <c r="AG222" s="2">
        <f t="shared" si="116"/>
        <v>0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74</v>
      </c>
      <c r="E223" s="30" t="s">
        <v>31</v>
      </c>
      <c r="F223" s="30" t="s">
        <v>311</v>
      </c>
      <c r="G223" s="30" t="s">
        <v>103</v>
      </c>
      <c r="H223" s="30" t="s">
        <v>165</v>
      </c>
      <c r="I223" s="29" t="s">
        <v>836</v>
      </c>
      <c r="J223" s="29">
        <v>6</v>
      </c>
      <c r="K223" s="29" t="s">
        <v>318</v>
      </c>
      <c r="L223" s="29" t="s">
        <v>318</v>
      </c>
      <c r="M223" s="30" t="s">
        <v>273</v>
      </c>
      <c r="N223" s="30" t="s">
        <v>923</v>
      </c>
      <c r="O223" s="31">
        <v>1</v>
      </c>
      <c r="P223" s="31"/>
      <c r="Q223" s="30"/>
      <c r="S223" s="2">
        <f t="shared" si="103"/>
        <v>0</v>
      </c>
      <c r="T223" s="2">
        <f t="shared" si="104"/>
        <v>0</v>
      </c>
      <c r="U223" s="2">
        <f t="shared" si="105"/>
        <v>0</v>
      </c>
      <c r="V223" s="2">
        <f t="shared" si="106"/>
        <v>0</v>
      </c>
      <c r="W223" s="2">
        <f t="shared" si="107"/>
        <v>0</v>
      </c>
      <c r="X223" s="2">
        <f t="shared" si="108"/>
        <v>1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1</v>
      </c>
      <c r="AF223" s="2">
        <f t="shared" si="115"/>
        <v>0</v>
      </c>
      <c r="AG223" s="2">
        <f t="shared" si="116"/>
        <v>1</v>
      </c>
      <c r="AH223" s="2">
        <f t="shared" si="117"/>
        <v>0</v>
      </c>
      <c r="AI223" s="2">
        <f t="shared" si="118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68</v>
      </c>
      <c r="E224" s="30" t="s">
        <v>90</v>
      </c>
      <c r="F224" s="30" t="s">
        <v>146</v>
      </c>
      <c r="G224" s="30" t="s">
        <v>103</v>
      </c>
      <c r="H224" s="30" t="s">
        <v>165</v>
      </c>
      <c r="I224" s="29" t="s">
        <v>191</v>
      </c>
      <c r="J224" s="29">
        <v>6</v>
      </c>
      <c r="K224" s="29" t="s">
        <v>321</v>
      </c>
      <c r="L224" s="29" t="s">
        <v>333</v>
      </c>
      <c r="M224" s="30" t="s">
        <v>274</v>
      </c>
      <c r="N224" s="30" t="s">
        <v>918</v>
      </c>
      <c r="O224" s="31">
        <v>1</v>
      </c>
      <c r="P224" s="31"/>
      <c r="Q224" s="30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D224" s="2">
        <f t="shared" si="113"/>
        <v>0</v>
      </c>
      <c r="AE224" s="2">
        <f t="shared" si="114"/>
        <v>1</v>
      </c>
      <c r="AF224" s="2">
        <f t="shared" si="115"/>
        <v>0</v>
      </c>
      <c r="AG224" s="2">
        <f t="shared" si="116"/>
        <v>1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462</v>
      </c>
      <c r="E225" s="30" t="s">
        <v>31</v>
      </c>
      <c r="F225" s="30" t="s">
        <v>395</v>
      </c>
      <c r="G225" s="30" t="s">
        <v>478</v>
      </c>
      <c r="H225" s="30" t="s">
        <v>165</v>
      </c>
      <c r="I225" s="29" t="s">
        <v>488</v>
      </c>
      <c r="J225" s="29">
        <v>99</v>
      </c>
      <c r="K225" s="29" t="s">
        <v>376</v>
      </c>
      <c r="L225" s="29" t="s">
        <v>318</v>
      </c>
      <c r="M225" s="30" t="s">
        <v>273</v>
      </c>
      <c r="N225" s="30" t="s">
        <v>923</v>
      </c>
      <c r="O225" s="31">
        <v>1</v>
      </c>
      <c r="P225" s="31"/>
      <c r="Q225" s="30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0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1</v>
      </c>
      <c r="AF225" s="2">
        <f t="shared" si="115"/>
        <v>0</v>
      </c>
      <c r="AG225" s="2">
        <f t="shared" si="116"/>
        <v>1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504</v>
      </c>
      <c r="E226" s="30" t="s">
        <v>31</v>
      </c>
      <c r="F226" s="30" t="s">
        <v>505</v>
      </c>
      <c r="G226" s="30" t="s">
        <v>96</v>
      </c>
      <c r="H226" s="30" t="s">
        <v>165</v>
      </c>
      <c r="I226" s="29" t="s">
        <v>506</v>
      </c>
      <c r="J226" s="29">
        <v>3</v>
      </c>
      <c r="K226" s="29" t="s">
        <v>318</v>
      </c>
      <c r="L226" s="29" t="s">
        <v>318</v>
      </c>
      <c r="M226" s="30" t="s">
        <v>273</v>
      </c>
      <c r="N226" s="30" t="s">
        <v>902</v>
      </c>
      <c r="O226" s="31">
        <v>1</v>
      </c>
      <c r="P226" s="31"/>
      <c r="Q226" s="30"/>
      <c r="S226" s="2">
        <f t="shared" si="103"/>
        <v>0</v>
      </c>
      <c r="T226" s="2">
        <f t="shared" si="104"/>
        <v>0</v>
      </c>
      <c r="U226" s="2">
        <f t="shared" si="105"/>
        <v>1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906</v>
      </c>
      <c r="E227" s="30" t="s">
        <v>907</v>
      </c>
      <c r="F227" s="30" t="s">
        <v>146</v>
      </c>
      <c r="G227" s="30" t="s">
        <v>103</v>
      </c>
      <c r="H227" s="30" t="s">
        <v>165</v>
      </c>
      <c r="I227" s="29" t="s">
        <v>33</v>
      </c>
      <c r="J227" s="29">
        <v>6</v>
      </c>
      <c r="K227" s="29" t="s">
        <v>376</v>
      </c>
      <c r="L227" s="29"/>
      <c r="M227" s="30"/>
      <c r="N227" s="30" t="s">
        <v>882</v>
      </c>
      <c r="O227" s="31">
        <v>1</v>
      </c>
      <c r="P227" s="31">
        <v>1</v>
      </c>
      <c r="Q227" s="30"/>
      <c r="S227" s="2">
        <f t="shared" si="103"/>
        <v>0</v>
      </c>
      <c r="T227" s="2">
        <f t="shared" si="104"/>
        <v>0</v>
      </c>
      <c r="U227" s="2">
        <f t="shared" si="105"/>
        <v>0</v>
      </c>
      <c r="V227" s="2">
        <f t="shared" si="106"/>
        <v>0</v>
      </c>
      <c r="W227" s="2">
        <f t="shared" si="107"/>
        <v>0</v>
      </c>
      <c r="X227" s="2">
        <f t="shared" si="108"/>
        <v>1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1</v>
      </c>
      <c r="AE227" s="2">
        <f t="shared" si="114"/>
        <v>0</v>
      </c>
      <c r="AF227" s="2">
        <f t="shared" si="115"/>
        <v>1</v>
      </c>
      <c r="AG227" s="2">
        <f t="shared" si="116"/>
        <v>0</v>
      </c>
      <c r="AH227" s="2">
        <f t="shared" si="117"/>
        <v>1</v>
      </c>
      <c r="AI227" s="2">
        <f t="shared" si="118"/>
        <v>0</v>
      </c>
    </row>
    <row r="228" spans="1:35" ht="14.25" customHeight="1" x14ac:dyDescent="0.25">
      <c r="A228" s="29">
        <v>1</v>
      </c>
      <c r="B228" s="29">
        <v>2</v>
      </c>
      <c r="C228" s="29">
        <v>7</v>
      </c>
      <c r="D228" s="30" t="s">
        <v>906</v>
      </c>
      <c r="E228" s="30" t="s">
        <v>907</v>
      </c>
      <c r="F228" s="30" t="s">
        <v>908</v>
      </c>
      <c r="G228" s="30" t="s">
        <v>909</v>
      </c>
      <c r="H228" s="30" t="s">
        <v>165</v>
      </c>
      <c r="I228" s="29"/>
      <c r="J228" s="29"/>
      <c r="K228" s="29" t="s">
        <v>376</v>
      </c>
      <c r="L228" s="29"/>
      <c r="M228" s="30"/>
      <c r="N228" s="30" t="s">
        <v>882</v>
      </c>
      <c r="O228" s="31">
        <v>1</v>
      </c>
      <c r="P228" s="31">
        <v>1</v>
      </c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0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D228" s="2">
        <f t="shared" si="113"/>
        <v>1</v>
      </c>
      <c r="AE228" s="2">
        <f t="shared" si="114"/>
        <v>0</v>
      </c>
      <c r="AF228" s="2">
        <f t="shared" si="115"/>
        <v>0</v>
      </c>
      <c r="AG228" s="2">
        <f t="shared" si="116"/>
        <v>0</v>
      </c>
      <c r="AH228" s="2">
        <f t="shared" si="117"/>
        <v>0</v>
      </c>
      <c r="AI228" s="2">
        <f t="shared" si="118"/>
        <v>0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361</v>
      </c>
      <c r="E229" s="30" t="s">
        <v>31</v>
      </c>
      <c r="F229" s="30" t="s">
        <v>153</v>
      </c>
      <c r="G229" s="30" t="s">
        <v>109</v>
      </c>
      <c r="H229" s="30" t="s">
        <v>165</v>
      </c>
      <c r="I229" s="29" t="s">
        <v>197</v>
      </c>
      <c r="J229" s="29">
        <v>9</v>
      </c>
      <c r="K229" s="29" t="s">
        <v>320</v>
      </c>
      <c r="L229" s="29" t="s">
        <v>318</v>
      </c>
      <c r="M229" s="30" t="s">
        <v>273</v>
      </c>
      <c r="N229" s="30" t="s">
        <v>902</v>
      </c>
      <c r="O229" s="31">
        <v>1</v>
      </c>
      <c r="P229" s="31"/>
      <c r="Q229" s="30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1</v>
      </c>
      <c r="AB229" s="2">
        <f t="shared" si="112"/>
        <v>0</v>
      </c>
      <c r="AD229" s="2">
        <f t="shared" si="113"/>
        <v>0</v>
      </c>
      <c r="AE229" s="2">
        <f t="shared" si="114"/>
        <v>1</v>
      </c>
      <c r="AF229" s="2">
        <f t="shared" si="115"/>
        <v>0</v>
      </c>
      <c r="AG229" s="2">
        <f t="shared" si="116"/>
        <v>1</v>
      </c>
      <c r="AH229" s="2">
        <f t="shared" si="117"/>
        <v>0</v>
      </c>
      <c r="AI229" s="2">
        <f t="shared" si="118"/>
        <v>1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367</v>
      </c>
      <c r="G230" s="30" t="s">
        <v>109</v>
      </c>
      <c r="H230" s="30" t="s">
        <v>165</v>
      </c>
      <c r="I230" s="29" t="s">
        <v>374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902</v>
      </c>
      <c r="O230" s="31">
        <v>1</v>
      </c>
      <c r="P230" s="31"/>
      <c r="Q230" s="30" t="s">
        <v>946</v>
      </c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0</v>
      </c>
      <c r="AH230" s="2">
        <f t="shared" si="117"/>
        <v>0</v>
      </c>
      <c r="AI230" s="2">
        <f t="shared" si="118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396</v>
      </c>
      <c r="E231" s="30" t="s">
        <v>31</v>
      </c>
      <c r="F231" s="30" t="s">
        <v>399</v>
      </c>
      <c r="G231" s="30" t="s">
        <v>479</v>
      </c>
      <c r="H231" s="30" t="s">
        <v>165</v>
      </c>
      <c r="I231" s="29" t="s">
        <v>491</v>
      </c>
      <c r="J231" s="29">
        <v>6</v>
      </c>
      <c r="K231" s="29" t="s">
        <v>319</v>
      </c>
      <c r="L231" s="29" t="s">
        <v>318</v>
      </c>
      <c r="M231" s="30" t="s">
        <v>273</v>
      </c>
      <c r="N231" s="30" t="s">
        <v>923</v>
      </c>
      <c r="O231" s="31">
        <v>1</v>
      </c>
      <c r="P231" s="31"/>
      <c r="Q231" s="30"/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1</v>
      </c>
      <c r="Y231" s="2">
        <f t="shared" si="109"/>
        <v>0</v>
      </c>
      <c r="Z231" s="2">
        <f t="shared" si="110"/>
        <v>0</v>
      </c>
      <c r="AA231" s="2">
        <f t="shared" si="111"/>
        <v>0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1</v>
      </c>
      <c r="AH231" s="2">
        <f t="shared" si="117"/>
        <v>0</v>
      </c>
      <c r="AI231" s="2">
        <f t="shared" si="118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396</v>
      </c>
      <c r="E232" s="30" t="s">
        <v>31</v>
      </c>
      <c r="F232" s="30" t="s">
        <v>397</v>
      </c>
      <c r="G232" s="30" t="s">
        <v>124</v>
      </c>
      <c r="H232" s="30" t="s">
        <v>165</v>
      </c>
      <c r="I232" s="29" t="s">
        <v>398</v>
      </c>
      <c r="J232" s="29">
        <v>7</v>
      </c>
      <c r="K232" s="29" t="s">
        <v>319</v>
      </c>
      <c r="L232" s="29" t="s">
        <v>318</v>
      </c>
      <c r="M232" s="30" t="s">
        <v>273</v>
      </c>
      <c r="N232" s="30" t="s">
        <v>923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0</v>
      </c>
      <c r="Y232" s="2">
        <f t="shared" si="109"/>
        <v>1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0</v>
      </c>
      <c r="AH232" s="2">
        <f t="shared" si="117"/>
        <v>0</v>
      </c>
      <c r="AI232" s="2">
        <f t="shared" si="118"/>
        <v>0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400</v>
      </c>
      <c r="G233" s="30" t="s">
        <v>401</v>
      </c>
      <c r="H233" s="30" t="s">
        <v>165</v>
      </c>
      <c r="I233" s="29" t="s">
        <v>492</v>
      </c>
      <c r="J233" s="29">
        <v>99</v>
      </c>
      <c r="K233" s="29" t="s">
        <v>319</v>
      </c>
      <c r="L233" s="29" t="s">
        <v>318</v>
      </c>
      <c r="M233" s="30" t="s">
        <v>273</v>
      </c>
      <c r="N233" s="30" t="s">
        <v>923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0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ht="14.25" customHeight="1" x14ac:dyDescent="0.25">
      <c r="A234" s="29">
        <v>0</v>
      </c>
      <c r="B234" s="29">
        <v>2</v>
      </c>
      <c r="C234" s="29">
        <v>7</v>
      </c>
      <c r="D234" s="30" t="s">
        <v>463</v>
      </c>
      <c r="E234" s="30" t="s">
        <v>31</v>
      </c>
      <c r="F234" s="30" t="s">
        <v>429</v>
      </c>
      <c r="G234" s="30" t="s">
        <v>125</v>
      </c>
      <c r="H234" s="30" t="s">
        <v>165</v>
      </c>
      <c r="I234" s="29" t="s">
        <v>493</v>
      </c>
      <c r="J234" s="29">
        <v>99</v>
      </c>
      <c r="K234" s="29" t="s">
        <v>320</v>
      </c>
      <c r="L234" s="29" t="s">
        <v>318</v>
      </c>
      <c r="M234" s="30" t="s">
        <v>273</v>
      </c>
      <c r="N234" s="30" t="s">
        <v>900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1</v>
      </c>
      <c r="AH234" s="2">
        <f t="shared" si="117"/>
        <v>0</v>
      </c>
      <c r="AI234" s="2">
        <f t="shared" si="118"/>
        <v>1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463</v>
      </c>
      <c r="E235" s="30" t="s">
        <v>31</v>
      </c>
      <c r="F235" s="30" t="s">
        <v>687</v>
      </c>
      <c r="G235" s="30" t="s">
        <v>140</v>
      </c>
      <c r="H235" s="30" t="s">
        <v>165</v>
      </c>
      <c r="I235" s="29" t="s">
        <v>692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900</v>
      </c>
      <c r="O235" s="31">
        <v>1</v>
      </c>
      <c r="P235" s="31"/>
      <c r="Q235" s="30"/>
      <c r="S235" s="2">
        <f t="shared" ref="S235" si="119">IF(J235=$S$7,1,0)</f>
        <v>0</v>
      </c>
      <c r="T235" s="2">
        <f t="shared" ref="T235" si="120">IF(J235=$T$7,1,0)</f>
        <v>0</v>
      </c>
      <c r="U235" s="2">
        <f t="shared" ref="U235" si="121">IF(J235=$U$7,1,0)</f>
        <v>0</v>
      </c>
      <c r="V235" s="2">
        <f t="shared" ref="V235" si="122">IF(J235=$V$7,1,0)</f>
        <v>0</v>
      </c>
      <c r="W235" s="2">
        <f t="shared" ref="W235" si="123">IF(J235=$W$7,1,0)</f>
        <v>0</v>
      </c>
      <c r="X235" s="2">
        <f t="shared" ref="X235" si="124">IF(J235=$X$7,1,0)</f>
        <v>0</v>
      </c>
      <c r="Y235" s="2">
        <f t="shared" ref="Y235" si="125">IF(J235=$Y$7,1,0)</f>
        <v>0</v>
      </c>
      <c r="Z235" s="2">
        <f t="shared" ref="Z235" si="126">IF(J235=$Z$7,1,0)</f>
        <v>0</v>
      </c>
      <c r="AA235" s="2">
        <f t="shared" ref="AA235" si="127">IF(J235=$AA$7,1,0)</f>
        <v>0</v>
      </c>
      <c r="AB235" s="2">
        <f t="shared" ref="AB235" si="128">IF(J235=$AB$7,1,0)</f>
        <v>0</v>
      </c>
      <c r="AD235" s="2">
        <f t="shared" ref="AD235" si="129">+O235*P235</f>
        <v>0</v>
      </c>
      <c r="AE235" s="2">
        <f t="shared" ref="AE235" si="130">O235*(1-P235)</f>
        <v>1</v>
      </c>
      <c r="AF235" s="2">
        <f t="shared" ref="AF235" si="131">+O235*P235*(1-A235)</f>
        <v>0</v>
      </c>
      <c r="AG235" s="2">
        <f t="shared" ref="AG235" si="132">O235*(1-P235)*(1-A235)</f>
        <v>0</v>
      </c>
      <c r="AH235" s="2">
        <f t="shared" ref="AH235" si="133">+P235*(1-A235)</f>
        <v>0</v>
      </c>
      <c r="AI235" s="2">
        <f t="shared" ref="AI235" si="134">+(1-A235)*(1-P235)</f>
        <v>0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1001</v>
      </c>
      <c r="G236" s="30" t="s">
        <v>103</v>
      </c>
      <c r="H236" s="30" t="s">
        <v>165</v>
      </c>
      <c r="I236" s="29" t="s">
        <v>33</v>
      </c>
      <c r="J236" s="29">
        <v>6</v>
      </c>
      <c r="K236" s="29" t="s">
        <v>320</v>
      </c>
      <c r="L236" s="29" t="s">
        <v>318</v>
      </c>
      <c r="M236" s="30" t="s">
        <v>273</v>
      </c>
      <c r="N236" s="30" t="s">
        <v>900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1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ht="14.25" customHeight="1" x14ac:dyDescent="0.25">
      <c r="A237" s="29">
        <v>0</v>
      </c>
      <c r="B237" s="29">
        <v>2</v>
      </c>
      <c r="C237" s="29">
        <v>7</v>
      </c>
      <c r="D237" s="30" t="s">
        <v>79</v>
      </c>
      <c r="E237" s="30" t="s">
        <v>31</v>
      </c>
      <c r="F237" s="30" t="s">
        <v>162</v>
      </c>
      <c r="G237" s="30" t="s">
        <v>163</v>
      </c>
      <c r="H237" s="30" t="s">
        <v>165</v>
      </c>
      <c r="I237" s="29" t="s">
        <v>202</v>
      </c>
      <c r="J237" s="29">
        <v>5</v>
      </c>
      <c r="K237" s="29" t="s">
        <v>376</v>
      </c>
      <c r="L237" s="29" t="s">
        <v>318</v>
      </c>
      <c r="M237" s="30" t="s">
        <v>273</v>
      </c>
      <c r="N237" s="30" t="s">
        <v>902</v>
      </c>
      <c r="O237" s="31">
        <v>1</v>
      </c>
      <c r="P237" s="31"/>
      <c r="Q237" s="30"/>
      <c r="S237" s="2">
        <f t="shared" si="103"/>
        <v>0</v>
      </c>
      <c r="T237" s="2">
        <f t="shared" si="104"/>
        <v>0</v>
      </c>
      <c r="U237" s="2">
        <f t="shared" si="105"/>
        <v>0</v>
      </c>
      <c r="V237" s="2">
        <f t="shared" si="106"/>
        <v>0</v>
      </c>
      <c r="W237" s="2">
        <f t="shared" si="107"/>
        <v>1</v>
      </c>
      <c r="X237" s="2">
        <f t="shared" si="108"/>
        <v>0</v>
      </c>
      <c r="Y237" s="2">
        <f t="shared" si="109"/>
        <v>0</v>
      </c>
      <c r="Z237" s="2">
        <f t="shared" si="110"/>
        <v>0</v>
      </c>
      <c r="AA237" s="2">
        <f t="shared" si="111"/>
        <v>0</v>
      </c>
      <c r="AB237" s="2">
        <f t="shared" si="112"/>
        <v>0</v>
      </c>
      <c r="AD237" s="2">
        <f t="shared" si="113"/>
        <v>0</v>
      </c>
      <c r="AE237" s="2">
        <f t="shared" si="114"/>
        <v>1</v>
      </c>
      <c r="AF237" s="2">
        <f t="shared" si="115"/>
        <v>0</v>
      </c>
      <c r="AG237" s="2">
        <f t="shared" si="116"/>
        <v>1</v>
      </c>
      <c r="AH237" s="2">
        <f t="shared" si="117"/>
        <v>0</v>
      </c>
      <c r="AI237" s="2">
        <f t="shared" si="118"/>
        <v>1</v>
      </c>
    </row>
    <row r="238" spans="1:35" ht="14.25" customHeight="1" x14ac:dyDescent="0.25">
      <c r="A238" s="29">
        <v>0</v>
      </c>
      <c r="B238" s="29">
        <v>2</v>
      </c>
      <c r="C238" s="29">
        <v>7</v>
      </c>
      <c r="D238" s="30" t="s">
        <v>59</v>
      </c>
      <c r="E238" s="30" t="s">
        <v>87</v>
      </c>
      <c r="F238" s="30" t="s">
        <v>351</v>
      </c>
      <c r="G238" s="30" t="s">
        <v>103</v>
      </c>
      <c r="H238" s="30" t="s">
        <v>165</v>
      </c>
      <c r="I238" s="29" t="s">
        <v>350</v>
      </c>
      <c r="J238" s="29">
        <v>6</v>
      </c>
      <c r="K238" s="29" t="s">
        <v>320</v>
      </c>
      <c r="L238" s="29" t="s">
        <v>336</v>
      </c>
      <c r="M238" s="30" t="s">
        <v>275</v>
      </c>
      <c r="N238" s="30" t="s">
        <v>890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0</v>
      </c>
      <c r="X238" s="2">
        <f t="shared" si="108"/>
        <v>1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ht="14.25" customHeight="1" x14ac:dyDescent="0.25">
      <c r="A239" s="29">
        <v>1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123</v>
      </c>
      <c r="G239" s="30" t="s">
        <v>124</v>
      </c>
      <c r="H239" s="30" t="s">
        <v>165</v>
      </c>
      <c r="I239" s="29" t="s">
        <v>180</v>
      </c>
      <c r="J239" s="29">
        <v>7</v>
      </c>
      <c r="K239" s="29" t="s">
        <v>320</v>
      </c>
      <c r="L239" s="29" t="s">
        <v>336</v>
      </c>
      <c r="M239" s="30" t="s">
        <v>275</v>
      </c>
      <c r="N239" s="30" t="s">
        <v>890</v>
      </c>
      <c r="O239" s="31">
        <v>1</v>
      </c>
      <c r="P239" s="31"/>
      <c r="Q239" s="30"/>
      <c r="S239" s="2">
        <f t="shared" ref="S239:S240" si="135">IF(J239=$S$7,1,0)</f>
        <v>0</v>
      </c>
      <c r="T239" s="2">
        <f t="shared" ref="T239:T240" si="136">IF(J239=$T$7,1,0)</f>
        <v>0</v>
      </c>
      <c r="U239" s="2">
        <f t="shared" ref="U239:U240" si="137">IF(J239=$U$7,1,0)</f>
        <v>0</v>
      </c>
      <c r="V239" s="2">
        <f t="shared" ref="V239:V240" si="138">IF(J239=$V$7,1,0)</f>
        <v>0</v>
      </c>
      <c r="W239" s="2">
        <f t="shared" ref="W239:W240" si="139">IF(J239=$W$7,1,0)</f>
        <v>0</v>
      </c>
      <c r="X239" s="2">
        <f t="shared" ref="X239:X240" si="140">IF(J239=$X$7,1,0)</f>
        <v>0</v>
      </c>
      <c r="Y239" s="2">
        <f t="shared" ref="Y239:Y240" si="141">IF(J239=$Y$7,1,0)</f>
        <v>1</v>
      </c>
      <c r="Z239" s="2">
        <f t="shared" ref="Z239:Z240" si="142">IF(J239=$Z$7,1,0)</f>
        <v>0</v>
      </c>
      <c r="AA239" s="2">
        <f t="shared" ref="AA239:AA240" si="143">IF(J239=$AA$7,1,0)</f>
        <v>0</v>
      </c>
      <c r="AB239" s="2">
        <f t="shared" ref="AB239:AB240" si="144">IF(J239=$AB$7,1,0)</f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0</v>
      </c>
      <c r="AH239" s="2">
        <f t="shared" si="117"/>
        <v>0</v>
      </c>
      <c r="AI239" s="2">
        <f t="shared" si="118"/>
        <v>0</v>
      </c>
    </row>
    <row r="240" spans="1:35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348</v>
      </c>
      <c r="G240" s="30" t="s">
        <v>93</v>
      </c>
      <c r="H240" s="30" t="s">
        <v>165</v>
      </c>
      <c r="I240" s="29" t="s">
        <v>349</v>
      </c>
      <c r="J240" s="29">
        <v>8</v>
      </c>
      <c r="K240" s="29" t="s">
        <v>320</v>
      </c>
      <c r="L240" s="29" t="s">
        <v>336</v>
      </c>
      <c r="M240" s="30" t="s">
        <v>275</v>
      </c>
      <c r="N240" s="30" t="s">
        <v>890</v>
      </c>
      <c r="O240" s="31">
        <v>1</v>
      </c>
      <c r="P240" s="31"/>
      <c r="Q240" s="30"/>
      <c r="S240" s="2">
        <f t="shared" si="135"/>
        <v>0</v>
      </c>
      <c r="T240" s="2">
        <f t="shared" si="136"/>
        <v>0</v>
      </c>
      <c r="U240" s="2">
        <f t="shared" si="137"/>
        <v>0</v>
      </c>
      <c r="V240" s="2">
        <f t="shared" si="138"/>
        <v>0</v>
      </c>
      <c r="W240" s="2">
        <f t="shared" si="139"/>
        <v>0</v>
      </c>
      <c r="X240" s="2">
        <f t="shared" si="140"/>
        <v>0</v>
      </c>
      <c r="Y240" s="2">
        <f t="shared" si="141"/>
        <v>0</v>
      </c>
      <c r="Z240" s="2">
        <f t="shared" si="142"/>
        <v>1</v>
      </c>
      <c r="AA240" s="2">
        <f t="shared" si="143"/>
        <v>0</v>
      </c>
      <c r="AB240" s="2">
        <f t="shared" si="144"/>
        <v>0</v>
      </c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</sheetData>
  <autoFilter ref="A7:AI240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0">
    <sortCondition ref="B8:B240"/>
    <sortCondition ref="C8:C240"/>
    <sortCondition ref="D8:D240"/>
    <sortCondition ref="A8:A240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2026-09-27T11:25:12Z</dcterms:modified>
</cp:coreProperties>
</file>