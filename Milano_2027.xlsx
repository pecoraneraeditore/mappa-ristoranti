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284E95F-665E-4FA5-982D-4C7443864725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golose'!$A$7:$AI$240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<sst xmlns="http://schemas.openxmlformats.org/spreadsheetml/2006/main" count="2232" uniqueCount="1006">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</sst>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106" activePane="bottomLeft" state="frozen"/>
      <selection pane="bottomLeft" activeCell="E247" sqref="E247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66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117</v>
      </c>
      <c r="G4" s="9">
        <f>+AG6</f>
        <v>93</v>
      </c>
      <c r="H4" s="7">
        <f>+E4-G4</f>
        <v>48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183</v>
      </c>
      <c r="G5" s="11">
        <f>+G3+G4</f>
        <v>144</v>
      </c>
      <c r="H5" s="11">
        <f>+H3+H4</f>
        <v>49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66</v>
      </c>
      <c r="AE6" s="2">
        <f t="shared" si="1"/>
        <v>117</v>
      </c>
      <c r="AF6" s="2">
        <f t="shared" si="1"/>
        <v>51</v>
      </c>
      <c r="AG6" s="2">
        <f t="shared" si="1"/>
        <v>93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180</v>
      </c>
      <c r="M11" s="30" t="s">
        <v>206</v>
      </c>
      <c r="N11" s="30" t="s">
        <v>902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893</v>
      </c>
      <c r="N23" s="30" t="s">
        <v>918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868</v>
      </c>
      <c r="N29" s="30" t="s">
        <v>896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992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678</v>
      </c>
      <c r="E44" s="33" t="s">
        <v>621</v>
      </c>
      <c r="F44" s="33" t="s">
        <v>619</v>
      </c>
      <c r="G44" s="33" t="s">
        <v>40</v>
      </c>
      <c r="H44" s="33" t="s">
        <v>620</v>
      </c>
      <c r="I44" s="32" t="s">
        <v>622</v>
      </c>
      <c r="J44" s="32">
        <v>99</v>
      </c>
      <c r="K44" s="32" t="s">
        <v>376</v>
      </c>
      <c r="L44" s="32">
        <v>60</v>
      </c>
      <c r="M44" s="33" t="s">
        <v>596</v>
      </c>
      <c r="N44" s="33" t="s">
        <v>889</v>
      </c>
      <c r="O44" s="34"/>
      <c r="P44" s="34"/>
      <c r="Q44" s="33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882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923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973</v>
      </c>
      <c r="E52" s="21" t="s">
        <v>259</v>
      </c>
      <c r="F52" s="21" t="s">
        <v>974</v>
      </c>
      <c r="G52" s="21" t="s">
        <v>975</v>
      </c>
      <c r="H52" s="21" t="s">
        <v>165</v>
      </c>
      <c r="I52" s="20" t="s">
        <v>976</v>
      </c>
      <c r="J52" s="20"/>
      <c r="K52" s="20" t="s">
        <v>376</v>
      </c>
      <c r="L52" s="20">
        <v>65</v>
      </c>
      <c r="M52" s="21" t="s">
        <v>977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923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917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923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993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918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922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485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917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882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969</v>
      </c>
      <c r="E89" s="27" t="s">
        <v>258</v>
      </c>
      <c r="F89" s="27" t="s">
        <v>970</v>
      </c>
      <c r="G89" s="27" t="s">
        <v>971</v>
      </c>
      <c r="H89" s="27" t="s">
        <v>165</v>
      </c>
      <c r="I89" s="26" t="s">
        <v>972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918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918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934</v>
      </c>
      <c r="E108" s="30" t="s">
        <v>32</v>
      </c>
      <c r="F108" s="30" t="s">
        <v>935</v>
      </c>
      <c r="G108" s="30"/>
      <c r="H108" s="30" t="s">
        <v>165</v>
      </c>
      <c r="I108" s="29" t="s">
        <v>936</v>
      </c>
      <c r="J108" s="29"/>
      <c r="K108" s="29" t="s">
        <v>376</v>
      </c>
      <c r="L108" s="29">
        <v>30</v>
      </c>
      <c r="M108" s="30" t="s">
        <v>937</v>
      </c>
      <c r="N108" s="30" t="s">
        <v>882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949</v>
      </c>
      <c r="E109" s="33" t="s">
        <v>32</v>
      </c>
      <c r="F109" s="33" t="s">
        <v>950</v>
      </c>
      <c r="G109" s="33" t="s">
        <v>130</v>
      </c>
      <c r="H109" s="33" t="s">
        <v>165</v>
      </c>
      <c r="I109" s="32" t="s">
        <v>951</v>
      </c>
      <c r="J109" s="32">
        <v>10</v>
      </c>
      <c r="K109" s="32" t="s">
        <v>376</v>
      </c>
      <c r="L109" s="32">
        <v>40</v>
      </c>
      <c r="M109" s="33" t="s">
        <v>990</v>
      </c>
      <c r="N109" s="33" t="s">
        <v>898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991</v>
      </c>
      <c r="N110" s="30" t="s">
        <v>895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952</v>
      </c>
      <c r="E113" s="21" t="s">
        <v>32</v>
      </c>
      <c r="F113" s="21" t="s">
        <v>953</v>
      </c>
      <c r="G113" s="21" t="s">
        <v>401</v>
      </c>
      <c r="H113" s="21" t="s">
        <v>165</v>
      </c>
      <c r="I113" s="20" t="s">
        <v>954</v>
      </c>
      <c r="J113" s="20"/>
      <c r="K113" s="20" t="s">
        <v>376</v>
      </c>
      <c r="L113" s="20">
        <v>50</v>
      </c>
      <c r="M113" s="21" t="s">
        <v>955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994</v>
      </c>
      <c r="E116" s="30" t="s">
        <v>44</v>
      </c>
      <c r="F116" s="30" t="s">
        <v>978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979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930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924</v>
      </c>
      <c r="E125" s="30" t="s">
        <v>468</v>
      </c>
      <c r="F125" s="30" t="s">
        <v>925</v>
      </c>
      <c r="G125" s="30" t="s">
        <v>38</v>
      </c>
      <c r="H125" s="30" t="s">
        <v>165</v>
      </c>
      <c r="I125" s="29" t="s">
        <v>926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995</v>
      </c>
      <c r="G127" s="30" t="s">
        <v>996</v>
      </c>
      <c r="H127" s="30" t="s">
        <v>165</v>
      </c>
      <c r="I127" s="29" t="s">
        <v>997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961</v>
      </c>
      <c r="E131" s="30" t="s">
        <v>468</v>
      </c>
      <c r="F131" s="30" t="s">
        <v>962</v>
      </c>
      <c r="G131" s="30"/>
      <c r="H131" s="30" t="s">
        <v>165</v>
      </c>
      <c r="I131" s="29" t="s">
        <v>963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918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927</v>
      </c>
      <c r="E134" s="30" t="s">
        <v>928</v>
      </c>
      <c r="F134" s="30" t="s">
        <v>929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998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1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1</v>
      </c>
      <c r="AE141" s="2">
        <f t="shared" ref="AE141:AE203" si="82">O141*(1-P141)</f>
        <v>0</v>
      </c>
      <c r="AF141" s="2">
        <f t="shared" ref="AF141:AF203" si="83">+O141*P141*(1-A141)</f>
        <v>1</v>
      </c>
      <c r="AG141" s="2">
        <f t="shared" ref="AG141:AG203" si="84">O141*(1-P141)*(1-A141)</f>
        <v>0</v>
      </c>
      <c r="AH141" s="2">
        <f t="shared" ref="AH141:AH203" si="85">+P141*(1-A141)</f>
        <v>1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999</v>
      </c>
      <c r="G144" s="30" t="s">
        <v>1000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945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917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941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923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956</v>
      </c>
      <c r="E163" s="30" t="s">
        <v>957</v>
      </c>
      <c r="F163" s="30" t="s">
        <v>958</v>
      </c>
      <c r="G163" s="30" t="s">
        <v>959</v>
      </c>
      <c r="H163" s="30" t="s">
        <v>165</v>
      </c>
      <c r="I163" s="29" t="s">
        <v>960</v>
      </c>
      <c r="J163" s="29"/>
      <c r="K163" s="29" t="s">
        <v>376</v>
      </c>
      <c r="L163" s="29"/>
      <c r="M163" s="30"/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983</v>
      </c>
      <c r="E164" s="30" t="s">
        <v>980</v>
      </c>
      <c r="F164" s="30" t="s">
        <v>981</v>
      </c>
      <c r="G164" s="30" t="s">
        <v>137</v>
      </c>
      <c r="H164" s="30" t="s">
        <v>165</v>
      </c>
      <c r="I164" s="29" t="s">
        <v>982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984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931</v>
      </c>
      <c r="E165" s="30" t="s">
        <v>468</v>
      </c>
      <c r="F165" s="30" t="s">
        <v>932</v>
      </c>
      <c r="G165" s="30" t="s">
        <v>96</v>
      </c>
      <c r="H165" s="30" t="s">
        <v>165</v>
      </c>
      <c r="I165" s="29" t="s">
        <v>933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986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987</v>
      </c>
      <c r="N166" s="30" t="s">
        <v>902</v>
      </c>
      <c r="O166" s="31">
        <v>1</v>
      </c>
      <c r="P166" s="31"/>
      <c r="Q166" s="30" t="s">
        <v>985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2</v>
      </c>
      <c r="D170" s="30" t="s">
        <v>464</v>
      </c>
      <c r="E170" s="30" t="s">
        <v>30</v>
      </c>
      <c r="F170" s="30" t="s">
        <v>422</v>
      </c>
      <c r="G170" s="30" t="s">
        <v>160</v>
      </c>
      <c r="H170" s="30" t="s">
        <v>165</v>
      </c>
      <c r="I170" s="29" t="s">
        <v>423</v>
      </c>
      <c r="J170" s="29">
        <v>1</v>
      </c>
      <c r="K170" s="29" t="s">
        <v>321</v>
      </c>
      <c r="L170" s="29" t="s">
        <v>40</v>
      </c>
      <c r="M170" s="30" t="s">
        <v>40</v>
      </c>
      <c r="N170" s="30" t="s">
        <v>882</v>
      </c>
      <c r="O170" s="31">
        <v>1</v>
      </c>
      <c r="P170" s="31">
        <v>1</v>
      </c>
      <c r="Q170" s="30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1</v>
      </c>
      <c r="AE170" s="2">
        <f t="shared" si="82"/>
        <v>0</v>
      </c>
      <c r="AF170" s="2">
        <f t="shared" si="83"/>
        <v>1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943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919</v>
      </c>
      <c r="E176" s="30"/>
      <c r="F176" s="30" t="s">
        <v>920</v>
      </c>
      <c r="G176" s="30"/>
      <c r="H176" s="30" t="s">
        <v>165</v>
      </c>
      <c r="I176" s="29" t="s">
        <v>921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923</v>
      </c>
      <c r="O178" s="31">
        <v>1</v>
      </c>
      <c r="P178" s="31"/>
      <c r="Q178" s="30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1002</v>
      </c>
      <c r="E179" s="30" t="s">
        <v>1003</v>
      </c>
      <c r="F179" s="30" t="s">
        <v>1004</v>
      </c>
      <c r="G179" s="30" t="s">
        <v>91</v>
      </c>
      <c r="H179" s="30" t="s">
        <v>165</v>
      </c>
      <c r="I179" s="29" t="s">
        <v>33</v>
      </c>
      <c r="J179" s="29"/>
      <c r="K179" s="29" t="s">
        <v>376</v>
      </c>
      <c r="L179" s="29"/>
      <c r="M179" s="30"/>
      <c r="N179" s="30" t="s">
        <v>882</v>
      </c>
      <c r="O179" s="31">
        <v>1</v>
      </c>
      <c r="P179" s="31">
        <v>1</v>
      </c>
      <c r="Q179" s="30" t="s">
        <v>1005</v>
      </c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1</v>
      </c>
      <c r="AE179" s="2">
        <f t="shared" si="82"/>
        <v>0</v>
      </c>
      <c r="AF179" s="2">
        <f t="shared" si="83"/>
        <v>1</v>
      </c>
      <c r="AG179" s="2">
        <f t="shared" si="84"/>
        <v>0</v>
      </c>
      <c r="AH179" s="2">
        <f t="shared" si="85"/>
        <v>1</v>
      </c>
      <c r="AI179" s="2">
        <f t="shared" si="86"/>
        <v>0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430</v>
      </c>
      <c r="E212" s="30" t="s">
        <v>31</v>
      </c>
      <c r="F212" s="30" t="s">
        <v>431</v>
      </c>
      <c r="G212" s="30" t="s">
        <v>117</v>
      </c>
      <c r="H212" s="30" t="s">
        <v>165</v>
      </c>
      <c r="I212" s="29" t="s">
        <v>482</v>
      </c>
      <c r="J212" s="29">
        <v>1</v>
      </c>
      <c r="K212" s="29" t="s">
        <v>320</v>
      </c>
      <c r="L212" s="29" t="s">
        <v>318</v>
      </c>
      <c r="M212" s="30" t="s">
        <v>273</v>
      </c>
      <c r="N212" s="30" t="s">
        <v>918</v>
      </c>
      <c r="O212" s="31">
        <v>1</v>
      </c>
      <c r="P212" s="31"/>
      <c r="Q212" s="30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566</v>
      </c>
      <c r="E222" s="33" t="s">
        <v>31</v>
      </c>
      <c r="F222" s="33" t="s">
        <v>576</v>
      </c>
      <c r="G222" s="33" t="s">
        <v>132</v>
      </c>
      <c r="H222" s="33" t="s">
        <v>165</v>
      </c>
      <c r="I222" s="32" t="s">
        <v>835</v>
      </c>
      <c r="J222" s="32">
        <v>3</v>
      </c>
      <c r="K222" s="32" t="s">
        <v>320</v>
      </c>
      <c r="L222" s="32" t="s">
        <v>318</v>
      </c>
      <c r="M222" s="33" t="s">
        <v>273</v>
      </c>
      <c r="N222" s="33" t="s">
        <v>917</v>
      </c>
      <c r="O222" s="34"/>
      <c r="P222" s="34"/>
      <c r="Q222" s="33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0</v>
      </c>
      <c r="AF222" s="2">
        <f t="shared" si="115"/>
        <v>0</v>
      </c>
      <c r="AG222" s="2">
        <f t="shared" si="116"/>
        <v>0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68</v>
      </c>
      <c r="E224" s="30" t="s">
        <v>90</v>
      </c>
      <c r="F224" s="30" t="s">
        <v>146</v>
      </c>
      <c r="G224" s="30" t="s">
        <v>103</v>
      </c>
      <c r="H224" s="30" t="s">
        <v>165</v>
      </c>
      <c r="I224" s="29" t="s">
        <v>191</v>
      </c>
      <c r="J224" s="29">
        <v>6</v>
      </c>
      <c r="K224" s="29" t="s">
        <v>321</v>
      </c>
      <c r="L224" s="29" t="s">
        <v>333</v>
      </c>
      <c r="M224" s="30" t="s">
        <v>274</v>
      </c>
      <c r="N224" s="30" t="s">
        <v>918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40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2026-09-28T10:08:17Z</dcterms:modified>
</cp:coreProperties>
</file>