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79CA4DEE-84F4-4146-851F-89A346600B54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6" l="1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T179" i="6"/>
  <c r="AD179" i="6"/>
  <c r="AE179" i="6"/>
  <c r="AF179" i="6"/>
  <c r="AG179" i="6"/>
  <c r="AH179" i="6"/>
  <c r="AI179" i="6"/>
  <c r="S180" i="6"/>
  <c r="T180" i="6"/>
  <c r="AD180" i="6"/>
  <c r="AE180" i="6"/>
  <c r="AF180" i="6"/>
  <c r="AG180" i="6"/>
  <c r="AH180" i="6"/>
  <c r="AI180" i="6"/>
  <c r="S181" i="6"/>
  <c r="T181" i="6"/>
  <c r="AD181" i="6"/>
  <c r="AE181" i="6"/>
  <c r="AF181" i="6"/>
  <c r="AG181" i="6"/>
  <c r="AH181" i="6"/>
  <c r="AI181" i="6"/>
  <c r="S182" i="6"/>
  <c r="T182" i="6"/>
  <c r="AD182" i="6"/>
  <c r="AE182" i="6"/>
  <c r="AF182" i="6"/>
  <c r="AG182" i="6"/>
  <c r="AH182" i="6"/>
  <c r="AI182" i="6"/>
  <c r="S183" i="6"/>
  <c r="T183" i="6"/>
  <c r="AD183" i="6"/>
  <c r="AE183" i="6"/>
  <c r="AF183" i="6"/>
  <c r="AG183" i="6"/>
  <c r="AH183" i="6"/>
  <c r="AI183" i="6"/>
  <c r="S184" i="6"/>
  <c r="T184" i="6"/>
  <c r="AD184" i="6"/>
  <c r="AE184" i="6"/>
  <c r="AF184" i="6"/>
  <c r="AG184" i="6"/>
  <c r="AH184" i="6"/>
  <c r="AI184" i="6"/>
  <c r="S185" i="6"/>
  <c r="T185" i="6"/>
  <c r="AD185" i="6"/>
  <c r="AE185" i="6"/>
  <c r="AF185" i="6"/>
  <c r="AG185" i="6"/>
  <c r="AH185" i="6"/>
  <c r="AI185" i="6"/>
  <c r="S186" i="6"/>
  <c r="T186" i="6"/>
  <c r="AD186" i="6"/>
  <c r="AE186" i="6"/>
  <c r="AF186" i="6"/>
  <c r="AG186" i="6"/>
  <c r="AH186" i="6"/>
  <c r="AI186" i="6"/>
  <c r="S187" i="6"/>
  <c r="T187" i="6"/>
  <c r="AD187" i="6"/>
  <c r="AE187" i="6"/>
  <c r="AF187" i="6"/>
  <c r="AG187" i="6"/>
  <c r="AH187" i="6"/>
  <c r="AI187" i="6"/>
  <c r="S188" i="6"/>
  <c r="T188" i="6"/>
  <c r="AD188" i="6"/>
  <c r="AE188" i="6"/>
  <c r="AF188" i="6"/>
  <c r="AG188" i="6"/>
  <c r="AH188" i="6"/>
  <c r="AI188" i="6"/>
  <c r="S189" i="6"/>
  <c r="T189" i="6"/>
  <c r="AD189" i="6"/>
  <c r="AE189" i="6"/>
  <c r="AF189" i="6"/>
  <c r="AG189" i="6"/>
  <c r="AH189" i="6"/>
  <c r="AI189" i="6"/>
  <c r="S190" i="6"/>
  <c r="T190" i="6"/>
  <c r="AD190" i="6"/>
  <c r="AE190" i="6"/>
  <c r="AF190" i="6"/>
  <c r="AG190" i="6"/>
  <c r="AH190" i="6"/>
  <c r="AI190" i="6"/>
  <c r="S191" i="6"/>
  <c r="T191" i="6"/>
  <c r="AD191" i="6"/>
  <c r="AE191" i="6"/>
  <c r="AF191" i="6"/>
  <c r="AG191" i="6"/>
  <c r="AH191" i="6"/>
  <c r="AI191" i="6"/>
  <c r="S192" i="6"/>
  <c r="T192" i="6"/>
  <c r="AD192" i="6"/>
  <c r="AE192" i="6"/>
  <c r="AF192" i="6"/>
  <c r="AG192" i="6"/>
  <c r="AH192" i="6"/>
  <c r="AI192" i="6"/>
  <c r="S193" i="6"/>
  <c r="T193" i="6"/>
  <c r="AD193" i="6"/>
  <c r="AE193" i="6"/>
  <c r="AF193" i="6"/>
  <c r="AG193" i="6"/>
  <c r="AH193" i="6"/>
  <c r="AI193" i="6"/>
  <c r="S194" i="6"/>
  <c r="T194" i="6"/>
  <c r="AD194" i="6"/>
  <c r="AE194" i="6"/>
  <c r="AF194" i="6"/>
  <c r="AG194" i="6"/>
  <c r="AH194" i="6"/>
  <c r="AI194" i="6"/>
  <c r="S195" i="6"/>
  <c r="T195" i="6"/>
  <c r="AD195" i="6"/>
  <c r="AE195" i="6"/>
  <c r="AF195" i="6"/>
  <c r="AG195" i="6"/>
  <c r="AH195" i="6"/>
  <c r="AI195" i="6"/>
  <c r="S196" i="6"/>
  <c r="T196" i="6"/>
  <c r="AD196" i="6"/>
  <c r="AE196" i="6"/>
  <c r="AF196" i="6"/>
  <c r="AG196" i="6"/>
  <c r="AH196" i="6"/>
  <c r="AI196" i="6"/>
  <c r="S197" i="6"/>
  <c r="T197" i="6"/>
  <c r="AD197" i="6"/>
  <c r="AE197" i="6"/>
  <c r="AF197" i="6"/>
  <c r="AG197" i="6"/>
  <c r="AH197" i="6"/>
  <c r="AI197" i="6"/>
  <c r="S198" i="6"/>
  <c r="T198" i="6"/>
  <c r="AD198" i="6"/>
  <c r="AE198" i="6"/>
  <c r="AF198" i="6"/>
  <c r="AG198" i="6"/>
  <c r="AH198" i="6"/>
  <c r="AI198" i="6"/>
  <c r="S199" i="6"/>
  <c r="T199" i="6"/>
  <c r="AD199" i="6"/>
  <c r="AE199" i="6"/>
  <c r="AF199" i="6"/>
  <c r="AG199" i="6"/>
  <c r="AH199" i="6"/>
  <c r="AI199" i="6"/>
  <c r="S200" i="6"/>
  <c r="T200" i="6"/>
  <c r="AD200" i="6"/>
  <c r="AE200" i="6"/>
  <c r="AF200" i="6"/>
  <c r="AG200" i="6"/>
  <c r="AH200" i="6"/>
  <c r="AI200" i="6"/>
  <c r="S201" i="6"/>
  <c r="T201" i="6"/>
  <c r="AD201" i="6"/>
  <c r="AE201" i="6"/>
  <c r="AF201" i="6"/>
  <c r="AG201" i="6"/>
  <c r="AH201" i="6"/>
  <c r="AI201" i="6"/>
  <c r="S202" i="6"/>
  <c r="T202" i="6"/>
  <c r="AD202" i="6"/>
  <c r="AE202" i="6"/>
  <c r="AF202" i="6"/>
  <c r="AG202" i="6"/>
  <c r="AH202" i="6"/>
  <c r="AI202" i="6"/>
  <c r="S203" i="6"/>
  <c r="T203" i="6"/>
  <c r="AD203" i="6"/>
  <c r="AE203" i="6"/>
  <c r="AF203" i="6"/>
  <c r="AG203" i="6"/>
  <c r="AH203" i="6"/>
  <c r="AI203" i="6"/>
  <c r="S204" i="6"/>
  <c r="T204" i="6"/>
  <c r="AD204" i="6"/>
  <c r="AE204" i="6"/>
  <c r="AF204" i="6"/>
  <c r="AG204" i="6"/>
  <c r="AH204" i="6"/>
  <c r="AI204" i="6"/>
  <c r="S205" i="6"/>
  <c r="T205" i="6"/>
  <c r="AD205" i="6"/>
  <c r="AE205" i="6"/>
  <c r="AF205" i="6"/>
  <c r="AG205" i="6"/>
  <c r="AH205" i="6"/>
  <c r="AI205" i="6"/>
  <c r="S206" i="6"/>
  <c r="T206" i="6"/>
  <c r="AD206" i="6"/>
  <c r="AE206" i="6"/>
  <c r="AF206" i="6"/>
  <c r="AG206" i="6"/>
  <c r="AH206" i="6"/>
  <c r="AI206" i="6"/>
  <c r="S207" i="6"/>
  <c r="T207" i="6"/>
  <c r="AD207" i="6"/>
  <c r="AE207" i="6"/>
  <c r="AF207" i="6"/>
  <c r="AG207" i="6"/>
  <c r="AH207" i="6"/>
  <c r="AI207" i="6"/>
  <c r="S208" i="6"/>
  <c r="T208" i="6"/>
  <c r="AD208" i="6"/>
  <c r="AE208" i="6"/>
  <c r="AF208" i="6"/>
  <c r="AG208" i="6"/>
  <c r="AH208" i="6"/>
  <c r="AI208" i="6"/>
  <c r="S209" i="6"/>
  <c r="T209" i="6"/>
  <c r="AD209" i="6"/>
  <c r="AE209" i="6"/>
  <c r="AF209" i="6"/>
  <c r="AG209" i="6"/>
  <c r="AH209" i="6"/>
  <c r="AI209" i="6"/>
  <c r="S210" i="6"/>
  <c r="T210" i="6"/>
  <c r="AD210" i="6"/>
  <c r="AE210" i="6"/>
  <c r="AF210" i="6"/>
  <c r="AG210" i="6"/>
  <c r="AH210" i="6"/>
  <c r="AI210" i="6"/>
  <c r="S211" i="6"/>
  <c r="T211" i="6"/>
  <c r="AD211" i="6"/>
  <c r="AE211" i="6"/>
  <c r="AF211" i="6"/>
  <c r="AG211" i="6"/>
  <c r="AH211" i="6"/>
  <c r="AI211" i="6"/>
  <c r="S212" i="6"/>
  <c r="T212" i="6"/>
  <c r="AD212" i="6"/>
  <c r="AE212" i="6"/>
  <c r="AF212" i="6"/>
  <c r="AG212" i="6"/>
  <c r="AH212" i="6"/>
  <c r="AI212" i="6"/>
  <c r="S213" i="6"/>
  <c r="T213" i="6"/>
  <c r="AD213" i="6"/>
  <c r="AE213" i="6"/>
  <c r="AF213" i="6"/>
  <c r="AG213" i="6"/>
  <c r="AH213" i="6"/>
  <c r="AI213" i="6"/>
  <c r="S214" i="6"/>
  <c r="T214" i="6"/>
  <c r="AD214" i="6"/>
  <c r="AE214" i="6"/>
  <c r="AF214" i="6"/>
  <c r="AG214" i="6"/>
  <c r="AH214" i="6"/>
  <c r="AI214" i="6"/>
  <c r="S215" i="6"/>
  <c r="T215" i="6"/>
  <c r="AD215" i="6"/>
  <c r="AE215" i="6"/>
  <c r="AF215" i="6"/>
  <c r="AG215" i="6"/>
  <c r="AH215" i="6"/>
  <c r="AI215" i="6"/>
  <c r="S216" i="6"/>
  <c r="T216" i="6"/>
  <c r="AD216" i="6"/>
  <c r="AE216" i="6"/>
  <c r="AF216" i="6"/>
  <c r="AG216" i="6"/>
  <c r="AH216" i="6"/>
  <c r="AI216" i="6"/>
  <c r="S217" i="6"/>
  <c r="T217" i="6"/>
  <c r="AD217" i="6"/>
  <c r="AE217" i="6"/>
  <c r="AF217" i="6"/>
  <c r="AG217" i="6"/>
  <c r="AH217" i="6"/>
  <c r="AI217" i="6"/>
  <c r="S218" i="6"/>
  <c r="T218" i="6"/>
  <c r="AD218" i="6"/>
  <c r="AE218" i="6"/>
  <c r="AF218" i="6"/>
  <c r="AG218" i="6"/>
  <c r="AH218" i="6"/>
  <c r="AI218" i="6"/>
  <c r="S219" i="6"/>
  <c r="T219" i="6"/>
  <c r="AD219" i="6"/>
  <c r="AE219" i="6"/>
  <c r="AF219" i="6"/>
  <c r="AG219" i="6"/>
  <c r="AH219" i="6"/>
  <c r="AI219" i="6"/>
  <c r="S220" i="6"/>
  <c r="T220" i="6"/>
  <c r="AD220" i="6"/>
  <c r="AE220" i="6"/>
  <c r="AF220" i="6"/>
  <c r="AG220" i="6"/>
  <c r="AH220" i="6"/>
  <c r="AI220" i="6"/>
  <c r="S221" i="6"/>
  <c r="T221" i="6"/>
  <c r="AD221" i="6"/>
  <c r="AE221" i="6"/>
  <c r="AF221" i="6"/>
  <c r="AG221" i="6"/>
  <c r="AH221" i="6"/>
  <c r="AI221" i="6"/>
  <c r="S222" i="6"/>
  <c r="T222" i="6"/>
  <c r="AD222" i="6"/>
  <c r="AE222" i="6"/>
  <c r="AF222" i="6"/>
  <c r="AG222" i="6"/>
  <c r="AH222" i="6"/>
  <c r="AI222" i="6"/>
  <c r="S223" i="6"/>
  <c r="T223" i="6"/>
  <c r="AD223" i="6"/>
  <c r="AE223" i="6"/>
  <c r="AF223" i="6"/>
  <c r="AG223" i="6"/>
  <c r="AH223" i="6"/>
  <c r="AI223" i="6"/>
  <c r="S224" i="6"/>
  <c r="T224" i="6"/>
  <c r="AD224" i="6"/>
  <c r="AE224" i="6"/>
  <c r="AF224" i="6"/>
  <c r="AG224" i="6"/>
  <c r="AH224" i="6"/>
  <c r="AI224" i="6"/>
  <c r="S225" i="6"/>
  <c r="T225" i="6"/>
  <c r="AD225" i="6"/>
  <c r="AE225" i="6"/>
  <c r="AF225" i="6"/>
  <c r="AG225" i="6"/>
  <c r="AH225" i="6"/>
  <c r="AI225" i="6"/>
  <c r="S226" i="6"/>
  <c r="T226" i="6"/>
  <c r="AD226" i="6"/>
  <c r="AE226" i="6"/>
  <c r="AF226" i="6"/>
  <c r="AG226" i="6"/>
  <c r="AH226" i="6"/>
  <c r="AI226" i="6"/>
  <c r="S227" i="6"/>
  <c r="T227" i="6"/>
  <c r="AD227" i="6"/>
  <c r="AE227" i="6"/>
  <c r="AF227" i="6"/>
  <c r="AG227" i="6"/>
  <c r="AH227" i="6"/>
  <c r="AI227" i="6"/>
  <c r="S228" i="6"/>
  <c r="T228" i="6"/>
  <c r="AD228" i="6"/>
  <c r="AE228" i="6"/>
  <c r="AF228" i="6"/>
  <c r="AG228" i="6"/>
  <c r="AH228" i="6"/>
  <c r="AI228" i="6"/>
  <c r="S229" i="6"/>
  <c r="T229" i="6"/>
  <c r="AD229" i="6"/>
  <c r="AE229" i="6"/>
  <c r="AF229" i="6"/>
  <c r="AG229" i="6"/>
  <c r="AH229" i="6"/>
  <c r="AI229" i="6"/>
  <c r="S230" i="6"/>
  <c r="T230" i="6"/>
  <c r="AD230" i="6"/>
  <c r="AE230" i="6"/>
  <c r="AF230" i="6"/>
  <c r="AG230" i="6"/>
  <c r="AH230" i="6"/>
  <c r="AI230" i="6"/>
  <c r="S231" i="6"/>
  <c r="T231" i="6"/>
  <c r="AD231" i="6"/>
  <c r="AE231" i="6"/>
  <c r="AF231" i="6"/>
  <c r="AG231" i="6"/>
  <c r="AH231" i="6"/>
  <c r="AI231" i="6"/>
  <c r="S232" i="6"/>
  <c r="T232" i="6"/>
  <c r="AD232" i="6"/>
  <c r="AE232" i="6"/>
  <c r="AF232" i="6"/>
  <c r="AG232" i="6"/>
  <c r="AH232" i="6"/>
  <c r="AI232" i="6"/>
  <c r="S233" i="6"/>
  <c r="T233" i="6"/>
  <c r="AD233" i="6"/>
  <c r="AE233" i="6"/>
  <c r="AF233" i="6"/>
  <c r="AG233" i="6"/>
  <c r="AH233" i="6"/>
  <c r="AI233" i="6"/>
  <c r="S234" i="6"/>
  <c r="T234" i="6"/>
  <c r="AD234" i="6"/>
  <c r="AE234" i="6"/>
  <c r="AF234" i="6"/>
  <c r="AG234" i="6"/>
  <c r="AH234" i="6"/>
  <c r="AI234" i="6"/>
  <c r="S235" i="6"/>
  <c r="T235" i="6"/>
  <c r="AD235" i="6"/>
  <c r="AE235" i="6"/>
  <c r="AF235" i="6"/>
  <c r="AG235" i="6"/>
  <c r="AH235" i="6"/>
  <c r="AI235" i="6"/>
  <c r="S236" i="6"/>
  <c r="T236" i="6"/>
  <c r="AD236" i="6"/>
  <c r="AE236" i="6"/>
  <c r="AF236" i="6"/>
  <c r="AG236" i="6"/>
  <c r="AH236" i="6"/>
  <c r="AI236" i="6"/>
  <c r="S237" i="6"/>
  <c r="T237" i="6"/>
  <c r="AD237" i="6"/>
  <c r="AE237" i="6"/>
  <c r="AF237" i="6"/>
  <c r="AG237" i="6"/>
  <c r="AH237" i="6"/>
  <c r="AI237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11" i="6" l="1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1" i="6" l="1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95" i="6"/>
  <c r="U235" i="6"/>
  <c r="U215" i="6"/>
  <c r="U223" i="6"/>
  <c r="U221" i="6"/>
  <c r="U183" i="6"/>
  <c r="U191" i="6"/>
  <c r="U199" i="6"/>
  <c r="U207" i="6"/>
  <c r="U218" i="6"/>
  <c r="U232" i="6"/>
  <c r="U212" i="6"/>
  <c r="U233" i="6"/>
  <c r="U229" i="6"/>
  <c r="U180" i="6"/>
  <c r="U188" i="6"/>
  <c r="U196" i="6"/>
  <c r="U204" i="6"/>
  <c r="U220" i="6"/>
  <c r="U231" i="6"/>
  <c r="U237" i="6"/>
  <c r="U227" i="6"/>
  <c r="U205" i="6"/>
  <c r="U185" i="6"/>
  <c r="U193" i="6"/>
  <c r="U201" i="6"/>
  <c r="U209" i="6"/>
  <c r="U217" i="6"/>
  <c r="U225" i="6"/>
  <c r="U228" i="6"/>
  <c r="U234" i="6"/>
  <c r="U202" i="6"/>
  <c r="U182" i="6"/>
  <c r="U190" i="6"/>
  <c r="U198" i="6"/>
  <c r="U206" i="6"/>
  <c r="U214" i="6"/>
  <c r="U222" i="6"/>
  <c r="U213" i="6"/>
  <c r="U226" i="6"/>
  <c r="U187" i="6"/>
  <c r="U195" i="6"/>
  <c r="U203" i="6"/>
  <c r="U211" i="6"/>
  <c r="U219" i="6"/>
  <c r="U230" i="6"/>
  <c r="U189" i="6"/>
  <c r="U184" i="6"/>
  <c r="U192" i="6"/>
  <c r="U200" i="6"/>
  <c r="U208" i="6"/>
  <c r="U216" i="6"/>
  <c r="U224" i="6"/>
  <c r="U236" i="6"/>
  <c r="U197" i="6"/>
  <c r="U186" i="6"/>
  <c r="U181" i="6"/>
  <c r="U210" i="6"/>
  <c r="U194" i="6"/>
  <c r="T5" i="6"/>
  <c r="U8" i="6"/>
  <c r="V7" i="6"/>
  <c r="U10" i="6"/>
  <c r="U9" i="6"/>
  <c r="H4" i="6"/>
  <c r="H3" i="6"/>
  <c r="E5" i="6"/>
  <c r="F5" i="6"/>
  <c r="G5" i="6"/>
  <c r="V11" i="6" l="1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92" i="6"/>
  <c r="V95" i="6"/>
  <c r="V94" i="6"/>
  <c r="V91" i="6"/>
  <c r="V93" i="6"/>
  <c r="V90" i="6"/>
  <c r="V186" i="6"/>
  <c r="V194" i="6"/>
  <c r="V202" i="6"/>
  <c r="V210" i="6"/>
  <c r="V218" i="6"/>
  <c r="V226" i="6"/>
  <c r="V229" i="6"/>
  <c r="V232" i="6"/>
  <c r="V235" i="6"/>
  <c r="V222" i="6"/>
  <c r="V183" i="6"/>
  <c r="V191" i="6"/>
  <c r="V199" i="6"/>
  <c r="V207" i="6"/>
  <c r="V215" i="6"/>
  <c r="V223" i="6"/>
  <c r="V214" i="6"/>
  <c r="V206" i="6"/>
  <c r="V216" i="6"/>
  <c r="V180" i="6"/>
  <c r="V188" i="6"/>
  <c r="V196" i="6"/>
  <c r="V204" i="6"/>
  <c r="V212" i="6"/>
  <c r="V220" i="6"/>
  <c r="V190" i="6"/>
  <c r="V200" i="6"/>
  <c r="V231" i="6"/>
  <c r="V217" i="6"/>
  <c r="V225" i="6"/>
  <c r="V228" i="6"/>
  <c r="V234" i="6"/>
  <c r="V237" i="6"/>
  <c r="V211" i="6"/>
  <c r="V185" i="6"/>
  <c r="V193" i="6"/>
  <c r="V201" i="6"/>
  <c r="V209" i="6"/>
  <c r="V195" i="6"/>
  <c r="V236" i="6"/>
  <c r="V182" i="6"/>
  <c r="V198" i="6"/>
  <c r="V219" i="6"/>
  <c r="V187" i="6"/>
  <c r="V203" i="6"/>
  <c r="V227" i="6"/>
  <c r="V230" i="6"/>
  <c r="V233" i="6"/>
  <c r="V192" i="6"/>
  <c r="V224" i="6"/>
  <c r="V184" i="6"/>
  <c r="V208" i="6"/>
  <c r="V181" i="6"/>
  <c r="V189" i="6"/>
  <c r="V197" i="6"/>
  <c r="V205" i="6"/>
  <c r="V213" i="6"/>
  <c r="V221" i="6"/>
  <c r="V9" i="6"/>
  <c r="V8" i="6"/>
  <c r="V10" i="6"/>
  <c r="W7" i="6"/>
  <c r="U5" i="6"/>
  <c r="H5" i="6"/>
  <c r="W11" i="6" l="1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7" i="6"/>
  <c r="V5" i="6"/>
  <c r="W10" i="6"/>
  <c r="W8" i="6"/>
  <c r="X7" i="6"/>
  <c r="W9" i="6"/>
  <c r="X11" i="6" l="1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50" i="6"/>
  <c r="X166" i="6"/>
  <c r="X137" i="6"/>
  <c r="X153" i="6"/>
  <c r="X169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7" i="6"/>
  <c r="X140" i="6"/>
  <c r="X156" i="6"/>
  <c r="X172" i="6"/>
  <c r="X143" i="6"/>
  <c r="X159" i="6"/>
  <c r="X175" i="6"/>
  <c r="X146" i="6"/>
  <c r="X162" i="6"/>
  <c r="X178" i="6"/>
  <c r="X149" i="6"/>
  <c r="X165" i="6"/>
  <c r="X152" i="6"/>
  <c r="X168" i="6"/>
  <c r="X139" i="6"/>
  <c r="X155" i="6"/>
  <c r="X171" i="6"/>
  <c r="X142" i="6"/>
  <c r="X158" i="6"/>
  <c r="X174" i="6"/>
  <c r="X145" i="6"/>
  <c r="X161" i="6"/>
  <c r="X177" i="6"/>
  <c r="X148" i="6"/>
  <c r="X164" i="6"/>
  <c r="X151" i="6"/>
  <c r="X167" i="6"/>
  <c r="X138" i="6"/>
  <c r="X154" i="6"/>
  <c r="X170" i="6"/>
  <c r="X147" i="6"/>
  <c r="X141" i="6"/>
  <c r="X176" i="6"/>
  <c r="X160" i="6"/>
  <c r="X144" i="6"/>
  <c r="X173" i="6"/>
  <c r="X157" i="6"/>
  <c r="X163" i="6"/>
  <c r="X10" i="6"/>
  <c r="X8" i="6"/>
  <c r="X9" i="6"/>
  <c r="Y7" i="6"/>
  <c r="W5" i="6"/>
  <c r="Y11" i="6" l="1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94" i="6"/>
  <c r="Y147" i="6"/>
  <c r="Y163" i="6"/>
  <c r="Y150" i="6"/>
  <c r="Y166" i="6"/>
  <c r="Y137" i="6"/>
  <c r="Y153" i="6"/>
  <c r="Y169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7" i="6"/>
  <c r="Y93" i="6"/>
  <c r="Y140" i="6"/>
  <c r="Y156" i="6"/>
  <c r="Y172" i="6"/>
  <c r="Y143" i="6"/>
  <c r="Y159" i="6"/>
  <c r="Y175" i="6"/>
  <c r="Y146" i="6"/>
  <c r="Y162" i="6"/>
  <c r="Y178" i="6"/>
  <c r="Y149" i="6"/>
  <c r="Y165" i="6"/>
  <c r="Y152" i="6"/>
  <c r="Y168" i="6"/>
  <c r="Y139" i="6"/>
  <c r="Y155" i="6"/>
  <c r="Y171" i="6"/>
  <c r="Y142" i="6"/>
  <c r="Y158" i="6"/>
  <c r="Y174" i="6"/>
  <c r="Y145" i="6"/>
  <c r="Y161" i="6"/>
  <c r="Y177" i="6"/>
  <c r="Y148" i="6"/>
  <c r="Y164" i="6"/>
  <c r="Y151" i="6"/>
  <c r="Y167" i="6"/>
  <c r="Y157" i="6"/>
  <c r="Y170" i="6"/>
  <c r="Y141" i="6"/>
  <c r="Y176" i="6"/>
  <c r="Y154" i="6"/>
  <c r="Y160" i="6"/>
  <c r="Y138" i="6"/>
  <c r="Y144" i="6"/>
  <c r="Y173" i="6"/>
  <c r="Y10" i="6"/>
  <c r="Y9" i="6"/>
  <c r="Y8" i="6"/>
  <c r="Z7" i="6"/>
  <c r="X5" i="6"/>
  <c r="Z11" i="6" l="1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44" i="6"/>
  <c r="Z160" i="6"/>
  <c r="Z176" i="6"/>
  <c r="Z221" i="6"/>
  <c r="Z225" i="6"/>
  <c r="Z228" i="6"/>
  <c r="Z231" i="6"/>
  <c r="Z235" i="6"/>
  <c r="Z147" i="6"/>
  <c r="Z163" i="6"/>
  <c r="Z222" i="6"/>
  <c r="Z227" i="6"/>
  <c r="Z233" i="6"/>
  <c r="Z237" i="6"/>
  <c r="Z150" i="6"/>
  <c r="Z166" i="6"/>
  <c r="Z219" i="6"/>
  <c r="Z224" i="6"/>
  <c r="Z229" i="6"/>
  <c r="Z232" i="6"/>
  <c r="Z236" i="6"/>
  <c r="Z137" i="6"/>
  <c r="Z153" i="6"/>
  <c r="Z169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20" i="6"/>
  <c r="Z223" i="6"/>
  <c r="Z226" i="6"/>
  <c r="Z230" i="6"/>
  <c r="Z234" i="6"/>
  <c r="Z140" i="6"/>
  <c r="Z156" i="6"/>
  <c r="Z172" i="6"/>
  <c r="Z143" i="6"/>
  <c r="Z159" i="6"/>
  <c r="Z175" i="6"/>
  <c r="Z146" i="6"/>
  <c r="Z162" i="6"/>
  <c r="Z178" i="6"/>
  <c r="Z149" i="6"/>
  <c r="Z165" i="6"/>
  <c r="Z152" i="6"/>
  <c r="Z168" i="6"/>
  <c r="Z139" i="6"/>
  <c r="Z155" i="6"/>
  <c r="Z171" i="6"/>
  <c r="Z142" i="6"/>
  <c r="Z158" i="6"/>
  <c r="Z174" i="6"/>
  <c r="Z145" i="6"/>
  <c r="Z161" i="6"/>
  <c r="Z177" i="6"/>
  <c r="Z148" i="6"/>
  <c r="Z164" i="6"/>
  <c r="Z151" i="6"/>
  <c r="Z157" i="6"/>
  <c r="Z170" i="6"/>
  <c r="Z141" i="6"/>
  <c r="Z154" i="6"/>
  <c r="Z173" i="6"/>
  <c r="Z138" i="6"/>
  <c r="Z167" i="6"/>
  <c r="Z8" i="6"/>
  <c r="Z10" i="6"/>
  <c r="AA7" i="6"/>
  <c r="Z9" i="6"/>
  <c r="Y5" i="6"/>
  <c r="AA11" i="6" l="1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91" i="6"/>
  <c r="AA94" i="6"/>
  <c r="AA141" i="6"/>
  <c r="AA157" i="6"/>
  <c r="AA173" i="6"/>
  <c r="AA210" i="6"/>
  <c r="AA214" i="6"/>
  <c r="AA218" i="6"/>
  <c r="AA222" i="6"/>
  <c r="AA226" i="6"/>
  <c r="AA230" i="6"/>
  <c r="AA235" i="6"/>
  <c r="AA129" i="6"/>
  <c r="AA131" i="6"/>
  <c r="AA133" i="6"/>
  <c r="AA135" i="6"/>
  <c r="AA144" i="6"/>
  <c r="AA160" i="6"/>
  <c r="AA176" i="6"/>
  <c r="AA208" i="6"/>
  <c r="AA212" i="6"/>
  <c r="AA219" i="6"/>
  <c r="AA223" i="6"/>
  <c r="AA227" i="6"/>
  <c r="AA233" i="6"/>
  <c r="AA237" i="6"/>
  <c r="AA147" i="6"/>
  <c r="AA163" i="6"/>
  <c r="AA206" i="6"/>
  <c r="AA213" i="6"/>
  <c r="AA217" i="6"/>
  <c r="AA221" i="6"/>
  <c r="AA225" i="6"/>
  <c r="AA228" i="6"/>
  <c r="AA232" i="6"/>
  <c r="AA236" i="6"/>
  <c r="AA150" i="6"/>
  <c r="AA166" i="6"/>
  <c r="AA207" i="6"/>
  <c r="AA215" i="6"/>
  <c r="AA220" i="6"/>
  <c r="AA224" i="6"/>
  <c r="AA229" i="6"/>
  <c r="AA234" i="6"/>
  <c r="AA93" i="6"/>
  <c r="AA137" i="6"/>
  <c r="AA153" i="6"/>
  <c r="AA169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9" i="6"/>
  <c r="AA211" i="6"/>
  <c r="AA216" i="6"/>
  <c r="AA231" i="6"/>
  <c r="AA140" i="6"/>
  <c r="AA156" i="6"/>
  <c r="AA172" i="6"/>
  <c r="AA143" i="6"/>
  <c r="AA159" i="6"/>
  <c r="AA175" i="6"/>
  <c r="AA146" i="6"/>
  <c r="AA162" i="6"/>
  <c r="AA178" i="6"/>
  <c r="AA149" i="6"/>
  <c r="AA165" i="6"/>
  <c r="AA130" i="6"/>
  <c r="AA132" i="6"/>
  <c r="AA134" i="6"/>
  <c r="AA136" i="6"/>
  <c r="AA152" i="6"/>
  <c r="AA168" i="6"/>
  <c r="AA139" i="6"/>
  <c r="AA155" i="6"/>
  <c r="AA171" i="6"/>
  <c r="AA142" i="6"/>
  <c r="AA158" i="6"/>
  <c r="AA174" i="6"/>
  <c r="AA145" i="6"/>
  <c r="AA161" i="6"/>
  <c r="AA177" i="6"/>
  <c r="AA86" i="6"/>
  <c r="AA151" i="6"/>
  <c r="AA167" i="6"/>
  <c r="AA170" i="6"/>
  <c r="AA164" i="6"/>
  <c r="AA154" i="6"/>
  <c r="AA148" i="6"/>
  <c r="AA88" i="6"/>
  <c r="AA138" i="6"/>
  <c r="Z5" i="6"/>
  <c r="AA9" i="6"/>
  <c r="AA8" i="6"/>
  <c r="AB7" i="6"/>
  <c r="AA10" i="6"/>
  <c r="AB11" i="6" l="1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91" i="6"/>
  <c r="AB94" i="6"/>
  <c r="AB214" i="6"/>
  <c r="AB219" i="6"/>
  <c r="AB224" i="6"/>
  <c r="AB228" i="6"/>
  <c r="AB230" i="6"/>
  <c r="AB217" i="6"/>
  <c r="AB221" i="6"/>
  <c r="AB216" i="6"/>
  <c r="AB223" i="6"/>
  <c r="AB215" i="6"/>
  <c r="AB222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8" i="6"/>
  <c r="AB220" i="6"/>
  <c r="AB225" i="6"/>
  <c r="AB226" i="6"/>
  <c r="AB229" i="6"/>
  <c r="AB232" i="6"/>
  <c r="AB235" i="6"/>
  <c r="AB233" i="6"/>
  <c r="AB236" i="6"/>
  <c r="AB231" i="6"/>
  <c r="AB234" i="6"/>
  <c r="AB237" i="6"/>
  <c r="AB227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<sst xmlns="http://schemas.openxmlformats.org/spreadsheetml/2006/main" count="2202" uniqueCount="1004">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</sst>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9"/>
  <sheetViews>
    <sheetView tabSelected="1" zoomScale="110" zoomScaleNormal="110" workbookViewId="0">
      <pane ySplit="7" topLeftCell="A41" activePane="bottomLeft" state="frozen"/>
      <selection pane="bottomLeft" activeCell="E245" sqref="E245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97</v>
      </c>
      <c r="G4" s="9">
        <f>+AG6</f>
        <v>76</v>
      </c>
      <c r="H4" s="7">
        <f>+E4-G4</f>
        <v>65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156</v>
      </c>
      <c r="G5" s="11">
        <f>+G3+G4</f>
        <v>122</v>
      </c>
      <c r="H5" s="11">
        <f>+H3+H4</f>
        <v>70</v>
      </c>
      <c r="I5" s="25" t="s">
        <v>43</v>
      </c>
      <c r="J5" s="12"/>
      <c r="K5" s="12"/>
      <c r="N5" s="13"/>
      <c r="R5" s="12"/>
      <c r="S5" s="12">
        <f>SUM(S8:S1880)</f>
        <v>25</v>
      </c>
      <c r="T5" s="12">
        <f>SUM(T8:T1880)</f>
        <v>10</v>
      </c>
      <c r="U5" s="12">
        <f>SUM(U8:U1880)</f>
        <v>19</v>
      </c>
      <c r="V5" s="12">
        <f>SUM(V8:V1880)</f>
        <v>7</v>
      </c>
      <c r="W5" s="12">
        <f>SUM(W8:W1880)</f>
        <v>3</v>
      </c>
      <c r="X5" s="12">
        <f>SUM(X8:X1880)</f>
        <v>21</v>
      </c>
      <c r="Y5" s="12">
        <f>SUM(Y8:Y1880)</f>
        <v>4</v>
      </c>
      <c r="Z5" s="12">
        <f>SUM(Z8:Z1880)</f>
        <v>17</v>
      </c>
      <c r="AA5" s="12">
        <f>SUM(AA8:AA1880)</f>
        <v>6</v>
      </c>
      <c r="AB5" s="12">
        <f>SUM(AB8:AB1880)</f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>SUM(AD8:AD1879)</f>
        <v>59</v>
      </c>
      <c r="AE6" s="2">
        <f>SUM(AE8:AE1879)</f>
        <v>97</v>
      </c>
      <c r="AF6" s="2">
        <f>SUM(AF8:AF1879)</f>
        <v>46</v>
      </c>
      <c r="AG6" s="2">
        <f>SUM(AG8:AG1879)</f>
        <v>76</v>
      </c>
      <c r="AH6" s="2">
        <f>SUM(AH8:AH1879)</f>
        <v>51</v>
      </c>
      <c r="AI6" s="2">
        <f>SUM(AI8:AI1879)</f>
        <v>141</v>
      </c>
    </row>
    <row r="7" spans="1:35" s="40" customFormat="1" ht="14.25" customHeight="1" x14ac:dyDescent="0.25">
      <c r="A7" s="35" t="s">
        <v>706</v>
      </c>
      <c r="B7" s="35" t="s">
        <v>703</v>
      </c>
      <c r="C7" s="35" t="s">
        <v>704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861</v>
      </c>
      <c r="L7" s="35" t="s">
        <v>19</v>
      </c>
      <c r="M7" s="36" t="s">
        <v>705</v>
      </c>
      <c r="N7" s="37" t="s">
        <v>0</v>
      </c>
      <c r="O7" s="36" t="s">
        <v>1</v>
      </c>
      <c r="P7" s="36" t="s">
        <v>2</v>
      </c>
      <c r="Q7" s="36" t="s">
        <v>956</v>
      </c>
      <c r="R7" s="39"/>
      <c r="S7" s="39">
        <v>1</v>
      </c>
      <c r="T7" s="39">
        <f>+S7+1</f>
        <v>2</v>
      </c>
      <c r="U7" s="39">
        <f t="shared" ref="U7:AB7" si="0">+T7+1</f>
        <v>3</v>
      </c>
      <c r="V7" s="39">
        <f t="shared" si="0"/>
        <v>4</v>
      </c>
      <c r="W7" s="39">
        <f t="shared" si="0"/>
        <v>5</v>
      </c>
      <c r="X7" s="39">
        <f t="shared" si="0"/>
        <v>6</v>
      </c>
      <c r="Y7" s="39">
        <f t="shared" si="0"/>
        <v>7</v>
      </c>
      <c r="Z7" s="39">
        <f t="shared" si="0"/>
        <v>8</v>
      </c>
      <c r="AA7" s="39">
        <f t="shared" si="0"/>
        <v>9</v>
      </c>
      <c r="AB7" s="39">
        <f t="shared" si="0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260</v>
      </c>
      <c r="M8" s="30" t="s">
        <v>876</v>
      </c>
      <c r="N8" s="30" t="s">
        <v>907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1">+O8*P8*(1-A8)</f>
        <v>0</v>
      </c>
      <c r="AG8" s="2">
        <f t="shared" ref="AG8:AG10" si="2">O8*(1-P8)*(1-A8)</f>
        <v>1</v>
      </c>
      <c r="AH8" s="2">
        <f t="shared" ref="AH8:AH10" si="3">+P8*(1-A8)</f>
        <v>0</v>
      </c>
      <c r="AI8" s="2">
        <f t="shared" ref="AI8:AI10" si="4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893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1"/>
        <v>1</v>
      </c>
      <c r="AG9" s="2">
        <f t="shared" si="2"/>
        <v>0</v>
      </c>
      <c r="AH9" s="2">
        <f t="shared" si="3"/>
        <v>1</v>
      </c>
      <c r="AI9" s="2">
        <f t="shared" si="4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893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1"/>
        <v>1</v>
      </c>
      <c r="AG10" s="2">
        <f t="shared" si="2"/>
        <v>0</v>
      </c>
      <c r="AH10" s="2">
        <f t="shared" si="3"/>
        <v>1</v>
      </c>
      <c r="AI10" s="2">
        <f t="shared" si="4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896</v>
      </c>
      <c r="O11" s="34"/>
      <c r="P11" s="34"/>
      <c r="Q11" s="33"/>
      <c r="S11" s="2">
        <f t="shared" ref="S11:S74" si="5">IF(J11=$S$7,1,0)</f>
        <v>0</v>
      </c>
      <c r="T11" s="2">
        <f t="shared" ref="T11:T74" si="6">IF(J11=$T$7,1,0)</f>
        <v>0</v>
      </c>
      <c r="U11" s="2">
        <f t="shared" ref="U11:U74" si="7">IF(J11=$U$7,1,0)</f>
        <v>0</v>
      </c>
      <c r="V11" s="2">
        <f t="shared" ref="V11:V74" si="8">IF(J11=$V$7,1,0)</f>
        <v>0</v>
      </c>
      <c r="W11" s="2">
        <f t="shared" ref="W11:W74" si="9">IF(J11=$W$7,1,0)</f>
        <v>0</v>
      </c>
      <c r="X11" s="2">
        <f t="shared" ref="X11:X74" si="10">IF(J11=$X$7,1,0)</f>
        <v>1</v>
      </c>
      <c r="Y11" s="2">
        <f t="shared" ref="Y11:Y74" si="11">IF(J11=$Y$7,1,0)</f>
        <v>0</v>
      </c>
      <c r="Z11" s="2">
        <f t="shared" ref="Z11:Z74" si="12">IF(J11=$Z$7,1,0)</f>
        <v>0</v>
      </c>
      <c r="AA11" s="2">
        <f t="shared" ref="AA11:AA74" si="13">IF(J11=$AA$7,1,0)</f>
        <v>0</v>
      </c>
      <c r="AB11" s="2">
        <f t="shared" ref="AB11:AB74" si="14">IF(J11=$AB$7,1,0)</f>
        <v>0</v>
      </c>
      <c r="AD11" s="2">
        <f t="shared" ref="AD11:AD74" si="15">+O11*P11</f>
        <v>0</v>
      </c>
      <c r="AE11" s="2">
        <f t="shared" ref="AE11:AE74" si="16">O11*(1-P11)</f>
        <v>0</v>
      </c>
      <c r="AF11" s="2">
        <f t="shared" ref="AF11:AF74" si="17">+O11*P11*(1-A11)</f>
        <v>0</v>
      </c>
      <c r="AG11" s="2">
        <f t="shared" ref="AG11:AG74" si="18">O11*(1-P11)*(1-A11)</f>
        <v>0</v>
      </c>
      <c r="AH11" s="2">
        <f t="shared" ref="AH11:AH74" si="19">+P11*(1-A11)</f>
        <v>0</v>
      </c>
      <c r="AI11" s="2">
        <f t="shared" ref="AI11:AI74" si="20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764</v>
      </c>
      <c r="E12" s="30" t="s">
        <v>260</v>
      </c>
      <c r="F12" s="30" t="s">
        <v>517</v>
      </c>
      <c r="G12" s="30" t="s">
        <v>587</v>
      </c>
      <c r="H12" s="30" t="s">
        <v>165</v>
      </c>
      <c r="I12" s="29" t="s">
        <v>518</v>
      </c>
      <c r="J12" s="29">
        <v>1</v>
      </c>
      <c r="K12" s="29" t="s">
        <v>378</v>
      </c>
      <c r="L12" s="29">
        <v>160</v>
      </c>
      <c r="M12" s="30" t="s">
        <v>877</v>
      </c>
      <c r="N12" s="30" t="s">
        <v>907</v>
      </c>
      <c r="O12" s="31">
        <v>1</v>
      </c>
      <c r="P12" s="31"/>
      <c r="Q12" s="30"/>
      <c r="S12" s="2">
        <f t="shared" si="5"/>
        <v>1</v>
      </c>
      <c r="T12" s="2">
        <f t="shared" si="6"/>
        <v>0</v>
      </c>
      <c r="U12" s="2">
        <f t="shared" si="7"/>
        <v>0</v>
      </c>
      <c r="V12" s="2">
        <f t="shared" si="8"/>
        <v>0</v>
      </c>
      <c r="W12" s="2">
        <f t="shared" si="9"/>
        <v>0</v>
      </c>
      <c r="X12" s="2">
        <f t="shared" si="10"/>
        <v>0</v>
      </c>
      <c r="Y12" s="2">
        <f t="shared" si="11"/>
        <v>0</v>
      </c>
      <c r="Z12" s="2">
        <f t="shared" si="12"/>
        <v>0</v>
      </c>
      <c r="AA12" s="2">
        <f t="shared" si="13"/>
        <v>0</v>
      </c>
      <c r="AB12" s="2">
        <f t="shared" si="14"/>
        <v>0</v>
      </c>
      <c r="AD12" s="2">
        <f t="shared" si="15"/>
        <v>0</v>
      </c>
      <c r="AE12" s="2">
        <f t="shared" si="16"/>
        <v>1</v>
      </c>
      <c r="AF12" s="2">
        <f t="shared" si="17"/>
        <v>0</v>
      </c>
      <c r="AG12" s="2">
        <f t="shared" si="18"/>
        <v>1</v>
      </c>
      <c r="AH12" s="2">
        <f t="shared" si="19"/>
        <v>0</v>
      </c>
      <c r="AI12" s="2">
        <f t="shared" si="20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810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878</v>
      </c>
      <c r="N13" s="33" t="s">
        <v>894</v>
      </c>
      <c r="O13" s="34"/>
      <c r="P13" s="34"/>
      <c r="Q13" s="33"/>
      <c r="S13" s="2">
        <f t="shared" si="5"/>
        <v>0</v>
      </c>
      <c r="T13" s="2">
        <f t="shared" si="6"/>
        <v>0</v>
      </c>
      <c r="U13" s="2">
        <f t="shared" si="7"/>
        <v>0</v>
      </c>
      <c r="V13" s="2">
        <f t="shared" si="8"/>
        <v>0</v>
      </c>
      <c r="W13" s="2">
        <f t="shared" si="9"/>
        <v>0</v>
      </c>
      <c r="X13" s="2">
        <f t="shared" si="10"/>
        <v>0</v>
      </c>
      <c r="Y13" s="2">
        <f t="shared" si="11"/>
        <v>0</v>
      </c>
      <c r="Z13" s="2">
        <f t="shared" si="12"/>
        <v>0</v>
      </c>
      <c r="AA13" s="2">
        <f t="shared" si="13"/>
        <v>0</v>
      </c>
      <c r="AB13" s="2">
        <f t="shared" si="14"/>
        <v>0</v>
      </c>
      <c r="AD13" s="2">
        <f t="shared" si="15"/>
        <v>0</v>
      </c>
      <c r="AE13" s="2">
        <f t="shared" si="16"/>
        <v>0</v>
      </c>
      <c r="AF13" s="2">
        <f t="shared" si="17"/>
        <v>0</v>
      </c>
      <c r="AG13" s="2">
        <f t="shared" si="18"/>
        <v>0</v>
      </c>
      <c r="AH13" s="2">
        <f t="shared" si="19"/>
        <v>0</v>
      </c>
      <c r="AI13" s="2">
        <f t="shared" si="20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893</v>
      </c>
      <c r="O14" s="31">
        <v>1</v>
      </c>
      <c r="P14" s="31">
        <v>1</v>
      </c>
      <c r="Q14" s="30"/>
      <c r="S14" s="2">
        <f t="shared" si="5"/>
        <v>0</v>
      </c>
      <c r="T14" s="2">
        <f t="shared" si="6"/>
        <v>0</v>
      </c>
      <c r="U14" s="2">
        <f t="shared" si="7"/>
        <v>1</v>
      </c>
      <c r="V14" s="2">
        <f t="shared" si="8"/>
        <v>0</v>
      </c>
      <c r="W14" s="2">
        <f t="shared" si="9"/>
        <v>0</v>
      </c>
      <c r="X14" s="2">
        <f t="shared" si="10"/>
        <v>0</v>
      </c>
      <c r="Y14" s="2">
        <f t="shared" si="11"/>
        <v>0</v>
      </c>
      <c r="Z14" s="2">
        <f t="shared" si="12"/>
        <v>0</v>
      </c>
      <c r="AA14" s="2">
        <f t="shared" si="13"/>
        <v>0</v>
      </c>
      <c r="AB14" s="2">
        <f t="shared" si="14"/>
        <v>0</v>
      </c>
      <c r="AD14" s="2">
        <f t="shared" si="15"/>
        <v>1</v>
      </c>
      <c r="AE14" s="2">
        <f t="shared" si="16"/>
        <v>0</v>
      </c>
      <c r="AF14" s="2">
        <f t="shared" si="17"/>
        <v>1</v>
      </c>
      <c r="AG14" s="2">
        <f t="shared" si="18"/>
        <v>0</v>
      </c>
      <c r="AH14" s="2">
        <f t="shared" si="19"/>
        <v>1</v>
      </c>
      <c r="AI14" s="2">
        <f t="shared" si="20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859</v>
      </c>
      <c r="M15" s="33" t="s">
        <v>736</v>
      </c>
      <c r="N15" s="33" t="s">
        <v>928</v>
      </c>
      <c r="O15" s="34"/>
      <c r="P15" s="34"/>
      <c r="Q15" s="33"/>
      <c r="S15" s="2">
        <f t="shared" si="5"/>
        <v>0</v>
      </c>
      <c r="T15" s="2">
        <f t="shared" si="6"/>
        <v>0</v>
      </c>
      <c r="U15" s="2">
        <f t="shared" si="7"/>
        <v>0</v>
      </c>
      <c r="V15" s="2">
        <f t="shared" si="8"/>
        <v>0</v>
      </c>
      <c r="W15" s="2">
        <f t="shared" si="9"/>
        <v>0</v>
      </c>
      <c r="X15" s="2">
        <f t="shared" si="10"/>
        <v>0</v>
      </c>
      <c r="Y15" s="2">
        <f t="shared" si="11"/>
        <v>0</v>
      </c>
      <c r="Z15" s="2">
        <f t="shared" si="12"/>
        <v>0</v>
      </c>
      <c r="AA15" s="2">
        <f t="shared" si="13"/>
        <v>0</v>
      </c>
      <c r="AB15" s="2">
        <f t="shared" si="14"/>
        <v>0</v>
      </c>
      <c r="AD15" s="2">
        <f t="shared" si="15"/>
        <v>0</v>
      </c>
      <c r="AE15" s="2">
        <f t="shared" si="16"/>
        <v>0</v>
      </c>
      <c r="AF15" s="2">
        <f t="shared" si="17"/>
        <v>0</v>
      </c>
      <c r="AG15" s="2">
        <f t="shared" si="18"/>
        <v>0</v>
      </c>
      <c r="AH15" s="2">
        <f t="shared" si="19"/>
        <v>0</v>
      </c>
      <c r="AI15" s="2">
        <f t="shared" si="20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857</v>
      </c>
      <c r="M16" s="21" t="s">
        <v>737</v>
      </c>
      <c r="N16" s="21"/>
      <c r="O16" s="7"/>
      <c r="P16" s="7"/>
      <c r="Q16" s="21"/>
      <c r="S16" s="2">
        <f t="shared" si="5"/>
        <v>0</v>
      </c>
      <c r="T16" s="2">
        <f t="shared" si="6"/>
        <v>0</v>
      </c>
      <c r="U16" s="2">
        <f t="shared" si="7"/>
        <v>0</v>
      </c>
      <c r="V16" s="2">
        <f t="shared" si="8"/>
        <v>0</v>
      </c>
      <c r="W16" s="2">
        <f t="shared" si="9"/>
        <v>0</v>
      </c>
      <c r="X16" s="2">
        <f t="shared" si="10"/>
        <v>0</v>
      </c>
      <c r="Y16" s="2">
        <f t="shared" si="11"/>
        <v>0</v>
      </c>
      <c r="Z16" s="2">
        <f t="shared" si="12"/>
        <v>0</v>
      </c>
      <c r="AA16" s="2">
        <f t="shared" si="13"/>
        <v>0</v>
      </c>
      <c r="AB16" s="2">
        <f t="shared" si="14"/>
        <v>0</v>
      </c>
      <c r="AD16" s="2">
        <f t="shared" si="15"/>
        <v>0</v>
      </c>
      <c r="AE16" s="2">
        <f t="shared" si="16"/>
        <v>0</v>
      </c>
      <c r="AF16" s="2">
        <f t="shared" si="17"/>
        <v>0</v>
      </c>
      <c r="AG16" s="2">
        <f t="shared" si="18"/>
        <v>0</v>
      </c>
      <c r="AH16" s="2">
        <f t="shared" si="19"/>
        <v>0</v>
      </c>
      <c r="AI16" s="2">
        <f t="shared" si="20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892</v>
      </c>
      <c r="N17" s="33" t="s">
        <v>897</v>
      </c>
      <c r="O17" s="34"/>
      <c r="P17" s="34"/>
      <c r="Q17" s="33"/>
      <c r="S17" s="2">
        <f t="shared" si="5"/>
        <v>0</v>
      </c>
      <c r="T17" s="2">
        <f t="shared" si="6"/>
        <v>0</v>
      </c>
      <c r="U17" s="2">
        <f t="shared" si="7"/>
        <v>0</v>
      </c>
      <c r="V17" s="2">
        <f t="shared" si="8"/>
        <v>0</v>
      </c>
      <c r="W17" s="2">
        <f t="shared" si="9"/>
        <v>0</v>
      </c>
      <c r="X17" s="2">
        <f t="shared" si="10"/>
        <v>0</v>
      </c>
      <c r="Y17" s="2">
        <f t="shared" si="11"/>
        <v>0</v>
      </c>
      <c r="Z17" s="2">
        <f t="shared" si="12"/>
        <v>0</v>
      </c>
      <c r="AA17" s="2">
        <f t="shared" si="13"/>
        <v>0</v>
      </c>
      <c r="AB17" s="2">
        <f t="shared" si="14"/>
        <v>0</v>
      </c>
      <c r="AD17" s="2">
        <f t="shared" si="15"/>
        <v>0</v>
      </c>
      <c r="AE17" s="2">
        <f t="shared" si="16"/>
        <v>0</v>
      </c>
      <c r="AF17" s="2">
        <f t="shared" si="17"/>
        <v>0</v>
      </c>
      <c r="AG17" s="2">
        <f t="shared" si="18"/>
        <v>0</v>
      </c>
      <c r="AH17" s="2">
        <f t="shared" si="19"/>
        <v>0</v>
      </c>
      <c r="AI17" s="2">
        <f t="shared" si="20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893</v>
      </c>
      <c r="O18" s="31">
        <v>1</v>
      </c>
      <c r="P18" s="31">
        <v>1</v>
      </c>
      <c r="Q18" s="30"/>
      <c r="S18" s="2">
        <f t="shared" si="5"/>
        <v>1</v>
      </c>
      <c r="T18" s="2">
        <f t="shared" si="6"/>
        <v>0</v>
      </c>
      <c r="U18" s="2">
        <f t="shared" si="7"/>
        <v>0</v>
      </c>
      <c r="V18" s="2">
        <f t="shared" si="8"/>
        <v>0</v>
      </c>
      <c r="W18" s="2">
        <f t="shared" si="9"/>
        <v>0</v>
      </c>
      <c r="X18" s="2">
        <f t="shared" si="10"/>
        <v>0</v>
      </c>
      <c r="Y18" s="2">
        <f t="shared" si="11"/>
        <v>0</v>
      </c>
      <c r="Z18" s="2">
        <f t="shared" si="12"/>
        <v>0</v>
      </c>
      <c r="AA18" s="2">
        <f t="shared" si="13"/>
        <v>0</v>
      </c>
      <c r="AB18" s="2">
        <f t="shared" si="14"/>
        <v>0</v>
      </c>
      <c r="AD18" s="2">
        <f t="shared" si="15"/>
        <v>1</v>
      </c>
      <c r="AE18" s="2">
        <f t="shared" si="16"/>
        <v>0</v>
      </c>
      <c r="AF18" s="2">
        <f t="shared" si="17"/>
        <v>1</v>
      </c>
      <c r="AG18" s="2">
        <f t="shared" si="18"/>
        <v>0</v>
      </c>
      <c r="AH18" s="2">
        <f t="shared" si="19"/>
        <v>1</v>
      </c>
      <c r="AI18" s="2">
        <f t="shared" si="20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848</v>
      </c>
      <c r="J19" s="32">
        <v>99</v>
      </c>
      <c r="K19" s="32" t="s">
        <v>328</v>
      </c>
      <c r="L19" s="32" t="s">
        <v>857</v>
      </c>
      <c r="M19" s="33" t="s">
        <v>739</v>
      </c>
      <c r="N19" s="33" t="s">
        <v>895</v>
      </c>
      <c r="O19" s="34"/>
      <c r="P19" s="34"/>
      <c r="Q19" s="33"/>
      <c r="S19" s="2">
        <f t="shared" si="5"/>
        <v>0</v>
      </c>
      <c r="T19" s="2">
        <f t="shared" si="6"/>
        <v>0</v>
      </c>
      <c r="U19" s="2">
        <f t="shared" si="7"/>
        <v>0</v>
      </c>
      <c r="V19" s="2">
        <f t="shared" si="8"/>
        <v>0</v>
      </c>
      <c r="W19" s="2">
        <f t="shared" si="9"/>
        <v>0</v>
      </c>
      <c r="X19" s="2">
        <f t="shared" si="10"/>
        <v>0</v>
      </c>
      <c r="Y19" s="2">
        <f t="shared" si="11"/>
        <v>0</v>
      </c>
      <c r="Z19" s="2">
        <f t="shared" si="12"/>
        <v>0</v>
      </c>
      <c r="AA19" s="2">
        <f t="shared" si="13"/>
        <v>0</v>
      </c>
      <c r="AB19" s="2">
        <f t="shared" si="14"/>
        <v>0</v>
      </c>
      <c r="AD19" s="2">
        <f t="shared" si="15"/>
        <v>0</v>
      </c>
      <c r="AE19" s="2">
        <f t="shared" si="16"/>
        <v>0</v>
      </c>
      <c r="AF19" s="2">
        <f t="shared" si="17"/>
        <v>0</v>
      </c>
      <c r="AG19" s="2">
        <f t="shared" si="18"/>
        <v>0</v>
      </c>
      <c r="AH19" s="2">
        <f t="shared" si="19"/>
        <v>0</v>
      </c>
      <c r="AI19" s="2">
        <f t="shared" si="20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858</v>
      </c>
      <c r="M20" s="21" t="s">
        <v>206</v>
      </c>
      <c r="N20" s="21"/>
      <c r="O20" s="7"/>
      <c r="P20" s="7"/>
      <c r="Q20" s="21"/>
      <c r="S20" s="2">
        <f t="shared" si="5"/>
        <v>1</v>
      </c>
      <c r="T20" s="2">
        <f t="shared" si="6"/>
        <v>0</v>
      </c>
      <c r="U20" s="2">
        <f t="shared" si="7"/>
        <v>0</v>
      </c>
      <c r="V20" s="2">
        <f t="shared" si="8"/>
        <v>0</v>
      </c>
      <c r="W20" s="2">
        <f t="shared" si="9"/>
        <v>0</v>
      </c>
      <c r="X20" s="2">
        <f t="shared" si="10"/>
        <v>0</v>
      </c>
      <c r="Y20" s="2">
        <f t="shared" si="11"/>
        <v>0</v>
      </c>
      <c r="Z20" s="2">
        <f t="shared" si="12"/>
        <v>0</v>
      </c>
      <c r="AA20" s="2">
        <f t="shared" si="13"/>
        <v>0</v>
      </c>
      <c r="AB20" s="2">
        <f t="shared" si="14"/>
        <v>0</v>
      </c>
      <c r="AD20" s="2">
        <f t="shared" si="15"/>
        <v>0</v>
      </c>
      <c r="AE20" s="2">
        <f t="shared" si="16"/>
        <v>0</v>
      </c>
      <c r="AF20" s="2">
        <f t="shared" si="17"/>
        <v>0</v>
      </c>
      <c r="AG20" s="2">
        <f t="shared" si="18"/>
        <v>0</v>
      </c>
      <c r="AH20" s="2">
        <f t="shared" si="19"/>
        <v>0</v>
      </c>
      <c r="AI20" s="2">
        <f t="shared" si="20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902</v>
      </c>
      <c r="N21" s="33" t="s">
        <v>929</v>
      </c>
      <c r="O21" s="34"/>
      <c r="P21" s="34"/>
      <c r="Q21" s="33"/>
      <c r="S21" s="2">
        <f t="shared" si="5"/>
        <v>0</v>
      </c>
      <c r="T21" s="2">
        <f t="shared" si="6"/>
        <v>0</v>
      </c>
      <c r="U21" s="2">
        <f t="shared" si="7"/>
        <v>0</v>
      </c>
      <c r="V21" s="2">
        <f t="shared" si="8"/>
        <v>0</v>
      </c>
      <c r="W21" s="2">
        <f t="shared" si="9"/>
        <v>0</v>
      </c>
      <c r="X21" s="2">
        <f t="shared" si="10"/>
        <v>1</v>
      </c>
      <c r="Y21" s="2">
        <f t="shared" si="11"/>
        <v>0</v>
      </c>
      <c r="Z21" s="2">
        <f t="shared" si="12"/>
        <v>0</v>
      </c>
      <c r="AA21" s="2">
        <f t="shared" si="13"/>
        <v>0</v>
      </c>
      <c r="AB21" s="2">
        <f t="shared" si="14"/>
        <v>0</v>
      </c>
      <c r="AD21" s="2">
        <f t="shared" si="15"/>
        <v>0</v>
      </c>
      <c r="AE21" s="2">
        <f t="shared" si="16"/>
        <v>0</v>
      </c>
      <c r="AF21" s="2">
        <f t="shared" si="17"/>
        <v>0</v>
      </c>
      <c r="AG21" s="2">
        <f t="shared" si="18"/>
        <v>0</v>
      </c>
      <c r="AH21" s="2">
        <f t="shared" si="19"/>
        <v>0</v>
      </c>
      <c r="AI21" s="2">
        <f t="shared" si="20"/>
        <v>1</v>
      </c>
    </row>
    <row r="22" spans="1:35" ht="14.25" customHeight="1" x14ac:dyDescent="0.25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833</v>
      </c>
      <c r="G22" s="33" t="s">
        <v>834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928</v>
      </c>
      <c r="O22" s="34"/>
      <c r="P22" s="34"/>
      <c r="Q22" s="33"/>
      <c r="S22" s="2">
        <f t="shared" si="5"/>
        <v>0</v>
      </c>
      <c r="T22" s="2">
        <f t="shared" si="6"/>
        <v>0</v>
      </c>
      <c r="U22" s="2">
        <f t="shared" si="7"/>
        <v>0</v>
      </c>
      <c r="V22" s="2">
        <f t="shared" si="8"/>
        <v>0</v>
      </c>
      <c r="W22" s="2">
        <f t="shared" si="9"/>
        <v>0</v>
      </c>
      <c r="X22" s="2">
        <f t="shared" si="10"/>
        <v>0</v>
      </c>
      <c r="Y22" s="2">
        <f t="shared" si="11"/>
        <v>0</v>
      </c>
      <c r="Z22" s="2">
        <f t="shared" si="12"/>
        <v>0</v>
      </c>
      <c r="AA22" s="2">
        <f t="shared" si="13"/>
        <v>0</v>
      </c>
      <c r="AB22" s="2">
        <f t="shared" si="14"/>
        <v>0</v>
      </c>
      <c r="AD22" s="2">
        <f t="shared" si="15"/>
        <v>0</v>
      </c>
      <c r="AE22" s="2">
        <f t="shared" si="16"/>
        <v>0</v>
      </c>
      <c r="AF22" s="2">
        <f t="shared" si="17"/>
        <v>0</v>
      </c>
      <c r="AG22" s="2">
        <f t="shared" si="18"/>
        <v>0</v>
      </c>
      <c r="AH22" s="2">
        <f t="shared" si="19"/>
        <v>0</v>
      </c>
      <c r="AI22" s="2">
        <f t="shared" si="20"/>
        <v>1</v>
      </c>
    </row>
    <row r="23" spans="1:35" ht="14.25" customHeight="1" x14ac:dyDescent="0.25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840</v>
      </c>
      <c r="J23" s="32">
        <v>99</v>
      </c>
      <c r="K23" s="32" t="s">
        <v>325</v>
      </c>
      <c r="L23" s="32">
        <v>45</v>
      </c>
      <c r="M23" s="33" t="s">
        <v>904</v>
      </c>
      <c r="N23" s="33" t="s">
        <v>929</v>
      </c>
      <c r="O23" s="34"/>
      <c r="P23" s="34"/>
      <c r="Q23" s="33"/>
      <c r="S23" s="2">
        <f t="shared" si="5"/>
        <v>0</v>
      </c>
      <c r="T23" s="2">
        <f t="shared" si="6"/>
        <v>0</v>
      </c>
      <c r="U23" s="2">
        <f t="shared" si="7"/>
        <v>0</v>
      </c>
      <c r="V23" s="2">
        <f t="shared" si="8"/>
        <v>0</v>
      </c>
      <c r="W23" s="2">
        <f t="shared" si="9"/>
        <v>0</v>
      </c>
      <c r="X23" s="2">
        <f t="shared" si="10"/>
        <v>0</v>
      </c>
      <c r="Y23" s="2">
        <f t="shared" si="11"/>
        <v>0</v>
      </c>
      <c r="Z23" s="2">
        <f t="shared" si="12"/>
        <v>0</v>
      </c>
      <c r="AA23" s="2">
        <f t="shared" si="13"/>
        <v>0</v>
      </c>
      <c r="AB23" s="2">
        <f t="shared" si="14"/>
        <v>0</v>
      </c>
      <c r="AD23" s="2">
        <f t="shared" si="15"/>
        <v>0</v>
      </c>
      <c r="AE23" s="2">
        <f t="shared" si="16"/>
        <v>0</v>
      </c>
      <c r="AF23" s="2">
        <f t="shared" si="17"/>
        <v>0</v>
      </c>
      <c r="AG23" s="2">
        <f t="shared" si="18"/>
        <v>0</v>
      </c>
      <c r="AH23" s="2">
        <f t="shared" si="19"/>
        <v>0</v>
      </c>
      <c r="AI23" s="2">
        <f t="shared" si="20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855</v>
      </c>
      <c r="M24" s="33" t="s">
        <v>738</v>
      </c>
      <c r="N24" s="33" t="s">
        <v>900</v>
      </c>
      <c r="O24" s="34"/>
      <c r="P24" s="34"/>
      <c r="Q24" s="33"/>
      <c r="S24" s="2">
        <f t="shared" si="5"/>
        <v>0</v>
      </c>
      <c r="T24" s="2">
        <f t="shared" si="6"/>
        <v>0</v>
      </c>
      <c r="U24" s="2">
        <f t="shared" si="7"/>
        <v>0</v>
      </c>
      <c r="V24" s="2">
        <f t="shared" si="8"/>
        <v>0</v>
      </c>
      <c r="W24" s="2">
        <f t="shared" si="9"/>
        <v>0</v>
      </c>
      <c r="X24" s="2">
        <f t="shared" si="10"/>
        <v>0</v>
      </c>
      <c r="Y24" s="2">
        <f t="shared" si="11"/>
        <v>0</v>
      </c>
      <c r="Z24" s="2">
        <f t="shared" si="12"/>
        <v>0</v>
      </c>
      <c r="AA24" s="2">
        <f t="shared" si="13"/>
        <v>0</v>
      </c>
      <c r="AB24" s="2">
        <f t="shared" si="14"/>
        <v>0</v>
      </c>
      <c r="AD24" s="2">
        <f t="shared" si="15"/>
        <v>0</v>
      </c>
      <c r="AE24" s="2">
        <f t="shared" si="16"/>
        <v>0</v>
      </c>
      <c r="AF24" s="2">
        <f t="shared" si="17"/>
        <v>0</v>
      </c>
      <c r="AG24" s="2">
        <f t="shared" si="18"/>
        <v>0</v>
      </c>
      <c r="AH24" s="2">
        <f t="shared" si="19"/>
        <v>0</v>
      </c>
      <c r="AI24" s="2">
        <f t="shared" si="20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855</v>
      </c>
      <c r="M25" s="21" t="s">
        <v>779</v>
      </c>
      <c r="N25" s="21"/>
      <c r="O25" s="7"/>
      <c r="P25" s="7"/>
      <c r="Q25" s="21"/>
      <c r="S25" s="2">
        <f t="shared" si="5"/>
        <v>0</v>
      </c>
      <c r="T25" s="2">
        <f t="shared" si="6"/>
        <v>0</v>
      </c>
      <c r="U25" s="2">
        <f t="shared" si="7"/>
        <v>0</v>
      </c>
      <c r="V25" s="2">
        <f t="shared" si="8"/>
        <v>0</v>
      </c>
      <c r="W25" s="2">
        <f t="shared" si="9"/>
        <v>0</v>
      </c>
      <c r="X25" s="2">
        <f t="shared" si="10"/>
        <v>0</v>
      </c>
      <c r="Y25" s="2">
        <f t="shared" si="11"/>
        <v>0</v>
      </c>
      <c r="Z25" s="2">
        <f t="shared" si="12"/>
        <v>0</v>
      </c>
      <c r="AA25" s="2">
        <f t="shared" si="13"/>
        <v>0</v>
      </c>
      <c r="AB25" s="2">
        <f t="shared" si="14"/>
        <v>0</v>
      </c>
      <c r="AD25" s="2">
        <f t="shared" si="15"/>
        <v>0</v>
      </c>
      <c r="AE25" s="2">
        <f t="shared" si="16"/>
        <v>0</v>
      </c>
      <c r="AF25" s="2">
        <f t="shared" si="17"/>
        <v>0</v>
      </c>
      <c r="AG25" s="2">
        <f t="shared" si="18"/>
        <v>0</v>
      </c>
      <c r="AH25" s="2">
        <f t="shared" si="19"/>
        <v>0</v>
      </c>
      <c r="AI25" s="2">
        <f t="shared" si="20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908</v>
      </c>
      <c r="O26" s="31">
        <v>1</v>
      </c>
      <c r="P26" s="31"/>
      <c r="Q26" s="30"/>
      <c r="S26" s="2">
        <f t="shared" si="5"/>
        <v>0</v>
      </c>
      <c r="T26" s="2">
        <f t="shared" si="6"/>
        <v>0</v>
      </c>
      <c r="U26" s="2">
        <f t="shared" si="7"/>
        <v>0</v>
      </c>
      <c r="V26" s="2">
        <f t="shared" si="8"/>
        <v>0</v>
      </c>
      <c r="W26" s="2">
        <f t="shared" si="9"/>
        <v>0</v>
      </c>
      <c r="X26" s="2">
        <f t="shared" si="10"/>
        <v>0</v>
      </c>
      <c r="Y26" s="2">
        <f t="shared" si="11"/>
        <v>0</v>
      </c>
      <c r="Z26" s="2">
        <f t="shared" si="12"/>
        <v>0</v>
      </c>
      <c r="AA26" s="2">
        <f t="shared" si="13"/>
        <v>0</v>
      </c>
      <c r="AB26" s="2">
        <f t="shared" si="14"/>
        <v>0</v>
      </c>
      <c r="AD26" s="2">
        <f t="shared" si="15"/>
        <v>0</v>
      </c>
      <c r="AE26" s="2">
        <f t="shared" si="16"/>
        <v>1</v>
      </c>
      <c r="AF26" s="2">
        <f t="shared" si="17"/>
        <v>0</v>
      </c>
      <c r="AG26" s="2">
        <f t="shared" si="18"/>
        <v>1</v>
      </c>
      <c r="AH26" s="2">
        <f t="shared" si="19"/>
        <v>0</v>
      </c>
      <c r="AI26" s="2">
        <f t="shared" si="20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893</v>
      </c>
      <c r="O27" s="31">
        <v>1</v>
      </c>
      <c r="P27" s="31">
        <v>1</v>
      </c>
      <c r="Q27" s="30"/>
      <c r="S27" s="2">
        <f t="shared" si="5"/>
        <v>0</v>
      </c>
      <c r="T27" s="2">
        <f t="shared" si="6"/>
        <v>0</v>
      </c>
      <c r="U27" s="2">
        <f t="shared" si="7"/>
        <v>0</v>
      </c>
      <c r="V27" s="2">
        <f t="shared" si="8"/>
        <v>0</v>
      </c>
      <c r="W27" s="2">
        <f t="shared" si="9"/>
        <v>0</v>
      </c>
      <c r="X27" s="2">
        <f t="shared" si="10"/>
        <v>0</v>
      </c>
      <c r="Y27" s="2">
        <f t="shared" si="11"/>
        <v>0</v>
      </c>
      <c r="Z27" s="2">
        <f t="shared" si="12"/>
        <v>0</v>
      </c>
      <c r="AA27" s="2">
        <f t="shared" si="13"/>
        <v>0</v>
      </c>
      <c r="AB27" s="2">
        <f t="shared" si="14"/>
        <v>0</v>
      </c>
      <c r="AD27" s="2">
        <f t="shared" si="15"/>
        <v>1</v>
      </c>
      <c r="AE27" s="2">
        <f t="shared" si="16"/>
        <v>0</v>
      </c>
      <c r="AF27" s="2">
        <f t="shared" si="17"/>
        <v>1</v>
      </c>
      <c r="AG27" s="2">
        <f t="shared" si="18"/>
        <v>0</v>
      </c>
      <c r="AH27" s="2">
        <f t="shared" si="19"/>
        <v>1</v>
      </c>
      <c r="AI27" s="2">
        <f t="shared" si="20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894</v>
      </c>
      <c r="O28" s="34"/>
      <c r="P28" s="34"/>
      <c r="Q28" s="33"/>
      <c r="S28" s="2">
        <f t="shared" si="5"/>
        <v>0</v>
      </c>
      <c r="T28" s="2">
        <f t="shared" si="6"/>
        <v>0</v>
      </c>
      <c r="U28" s="2">
        <f t="shared" si="7"/>
        <v>0</v>
      </c>
      <c r="V28" s="2">
        <f t="shared" si="8"/>
        <v>0</v>
      </c>
      <c r="W28" s="2">
        <f t="shared" si="9"/>
        <v>0</v>
      </c>
      <c r="X28" s="2">
        <f t="shared" si="10"/>
        <v>0</v>
      </c>
      <c r="Y28" s="2">
        <f t="shared" si="11"/>
        <v>0</v>
      </c>
      <c r="Z28" s="2">
        <f t="shared" si="12"/>
        <v>0</v>
      </c>
      <c r="AA28" s="2">
        <f t="shared" si="13"/>
        <v>0</v>
      </c>
      <c r="AB28" s="2">
        <f t="shared" si="14"/>
        <v>0</v>
      </c>
      <c r="AD28" s="2">
        <f t="shared" si="15"/>
        <v>0</v>
      </c>
      <c r="AE28" s="2">
        <f t="shared" si="16"/>
        <v>0</v>
      </c>
      <c r="AF28" s="2">
        <f t="shared" si="17"/>
        <v>0</v>
      </c>
      <c r="AG28" s="2">
        <f t="shared" si="18"/>
        <v>0</v>
      </c>
      <c r="AH28" s="2">
        <f t="shared" si="19"/>
        <v>0</v>
      </c>
      <c r="AI28" s="2">
        <f t="shared" si="20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879</v>
      </c>
      <c r="N29" s="33" t="s">
        <v>897</v>
      </c>
      <c r="O29" s="34"/>
      <c r="P29" s="34"/>
      <c r="Q29" s="33"/>
      <c r="S29" s="2">
        <f t="shared" si="5"/>
        <v>0</v>
      </c>
      <c r="T29" s="2">
        <f t="shared" si="6"/>
        <v>0</v>
      </c>
      <c r="U29" s="2">
        <f t="shared" si="7"/>
        <v>0</v>
      </c>
      <c r="V29" s="2">
        <f t="shared" si="8"/>
        <v>0</v>
      </c>
      <c r="W29" s="2">
        <f t="shared" si="9"/>
        <v>0</v>
      </c>
      <c r="X29" s="2">
        <f t="shared" si="10"/>
        <v>0</v>
      </c>
      <c r="Y29" s="2">
        <f t="shared" si="11"/>
        <v>0</v>
      </c>
      <c r="Z29" s="2">
        <f t="shared" si="12"/>
        <v>0</v>
      </c>
      <c r="AA29" s="2">
        <f t="shared" si="13"/>
        <v>0</v>
      </c>
      <c r="AB29" s="2">
        <f t="shared" si="14"/>
        <v>0</v>
      </c>
      <c r="AD29" s="2">
        <f t="shared" si="15"/>
        <v>0</v>
      </c>
      <c r="AE29" s="2">
        <f t="shared" si="16"/>
        <v>0</v>
      </c>
      <c r="AF29" s="2">
        <f t="shared" si="17"/>
        <v>0</v>
      </c>
      <c r="AG29" s="2">
        <f t="shared" si="18"/>
        <v>0</v>
      </c>
      <c r="AH29" s="2">
        <f t="shared" si="19"/>
        <v>0</v>
      </c>
      <c r="AI29" s="2">
        <f t="shared" si="20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905</v>
      </c>
      <c r="N30" s="30" t="s">
        <v>912</v>
      </c>
      <c r="O30" s="31">
        <v>1</v>
      </c>
      <c r="P30" s="31"/>
      <c r="Q30" s="30"/>
      <c r="S30" s="2">
        <f t="shared" si="5"/>
        <v>0</v>
      </c>
      <c r="T30" s="2">
        <f t="shared" si="6"/>
        <v>0</v>
      </c>
      <c r="U30" s="2">
        <f t="shared" si="7"/>
        <v>0</v>
      </c>
      <c r="V30" s="2">
        <f t="shared" si="8"/>
        <v>0</v>
      </c>
      <c r="W30" s="2">
        <f t="shared" si="9"/>
        <v>0</v>
      </c>
      <c r="X30" s="2">
        <f t="shared" si="10"/>
        <v>0</v>
      </c>
      <c r="Y30" s="2">
        <f t="shared" si="11"/>
        <v>0</v>
      </c>
      <c r="Z30" s="2">
        <f t="shared" si="12"/>
        <v>0</v>
      </c>
      <c r="AA30" s="2">
        <f t="shared" si="13"/>
        <v>0</v>
      </c>
      <c r="AB30" s="2">
        <f t="shared" si="14"/>
        <v>0</v>
      </c>
      <c r="AD30" s="2">
        <f t="shared" si="15"/>
        <v>0</v>
      </c>
      <c r="AE30" s="2">
        <f t="shared" si="16"/>
        <v>1</v>
      </c>
      <c r="AF30" s="2">
        <f t="shared" si="17"/>
        <v>0</v>
      </c>
      <c r="AG30" s="2">
        <f t="shared" si="18"/>
        <v>1</v>
      </c>
      <c r="AH30" s="2">
        <f t="shared" si="19"/>
        <v>0</v>
      </c>
      <c r="AI30" s="2">
        <f t="shared" si="20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901</v>
      </c>
      <c r="O31" s="31">
        <v>1</v>
      </c>
      <c r="P31" s="31"/>
      <c r="Q31" s="30"/>
      <c r="S31" s="2">
        <f t="shared" si="5"/>
        <v>0</v>
      </c>
      <c r="T31" s="2">
        <f t="shared" si="6"/>
        <v>0</v>
      </c>
      <c r="U31" s="2">
        <f t="shared" si="7"/>
        <v>0</v>
      </c>
      <c r="V31" s="2">
        <f t="shared" si="8"/>
        <v>0</v>
      </c>
      <c r="W31" s="2">
        <f t="shared" si="9"/>
        <v>0</v>
      </c>
      <c r="X31" s="2">
        <f t="shared" si="10"/>
        <v>1</v>
      </c>
      <c r="Y31" s="2">
        <f t="shared" si="11"/>
        <v>0</v>
      </c>
      <c r="Z31" s="2">
        <f t="shared" si="12"/>
        <v>0</v>
      </c>
      <c r="AA31" s="2">
        <f t="shared" si="13"/>
        <v>0</v>
      </c>
      <c r="AB31" s="2">
        <f t="shared" si="14"/>
        <v>0</v>
      </c>
      <c r="AD31" s="2">
        <f t="shared" si="15"/>
        <v>0</v>
      </c>
      <c r="AE31" s="2">
        <f t="shared" si="16"/>
        <v>1</v>
      </c>
      <c r="AF31" s="2">
        <f t="shared" si="17"/>
        <v>0</v>
      </c>
      <c r="AG31" s="2">
        <f t="shared" si="18"/>
        <v>1</v>
      </c>
      <c r="AH31" s="2">
        <f t="shared" si="19"/>
        <v>0</v>
      </c>
      <c r="AI31" s="2">
        <f t="shared" si="20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802</v>
      </c>
      <c r="E32" s="21" t="s">
        <v>262</v>
      </c>
      <c r="F32" s="21" t="s">
        <v>753</v>
      </c>
      <c r="G32" s="21" t="s">
        <v>689</v>
      </c>
      <c r="H32" s="21" t="s">
        <v>165</v>
      </c>
      <c r="I32" s="20" t="s">
        <v>845</v>
      </c>
      <c r="J32" s="20">
        <v>4</v>
      </c>
      <c r="K32" s="20" t="s">
        <v>326</v>
      </c>
      <c r="L32" s="20">
        <v>130</v>
      </c>
      <c r="M32" s="21" t="s">
        <v>880</v>
      </c>
      <c r="N32" s="21"/>
      <c r="O32" s="7"/>
      <c r="P32" s="7"/>
      <c r="Q32" s="21"/>
      <c r="S32" s="2">
        <f t="shared" si="5"/>
        <v>0</v>
      </c>
      <c r="T32" s="2">
        <f t="shared" si="6"/>
        <v>0</v>
      </c>
      <c r="U32" s="2">
        <f t="shared" si="7"/>
        <v>0</v>
      </c>
      <c r="V32" s="2">
        <f t="shared" si="8"/>
        <v>1</v>
      </c>
      <c r="W32" s="2">
        <f t="shared" si="9"/>
        <v>0</v>
      </c>
      <c r="X32" s="2">
        <f t="shared" si="10"/>
        <v>0</v>
      </c>
      <c r="Y32" s="2">
        <f t="shared" si="11"/>
        <v>0</v>
      </c>
      <c r="Z32" s="2">
        <f t="shared" si="12"/>
        <v>0</v>
      </c>
      <c r="AA32" s="2">
        <f t="shared" si="13"/>
        <v>0</v>
      </c>
      <c r="AB32" s="2">
        <f t="shared" si="14"/>
        <v>0</v>
      </c>
      <c r="AD32" s="2">
        <f t="shared" si="15"/>
        <v>0</v>
      </c>
      <c r="AE32" s="2">
        <f t="shared" si="16"/>
        <v>0</v>
      </c>
      <c r="AF32" s="2">
        <f t="shared" si="17"/>
        <v>0</v>
      </c>
      <c r="AG32" s="2">
        <f t="shared" si="18"/>
        <v>0</v>
      </c>
      <c r="AH32" s="2">
        <f t="shared" si="19"/>
        <v>0</v>
      </c>
      <c r="AI32" s="2">
        <f t="shared" si="20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893</v>
      </c>
      <c r="O33" s="31">
        <v>1</v>
      </c>
      <c r="P33" s="31">
        <v>1</v>
      </c>
      <c r="Q33" s="30"/>
      <c r="R33" s="2"/>
      <c r="S33" s="2">
        <f t="shared" si="5"/>
        <v>0</v>
      </c>
      <c r="T33" s="2">
        <f t="shared" si="6"/>
        <v>0</v>
      </c>
      <c r="U33" s="2">
        <f t="shared" si="7"/>
        <v>1</v>
      </c>
      <c r="V33" s="2">
        <f t="shared" si="8"/>
        <v>0</v>
      </c>
      <c r="W33" s="2">
        <f t="shared" si="9"/>
        <v>0</v>
      </c>
      <c r="X33" s="2">
        <f t="shared" si="10"/>
        <v>0</v>
      </c>
      <c r="Y33" s="2">
        <f t="shared" si="11"/>
        <v>0</v>
      </c>
      <c r="Z33" s="2">
        <f t="shared" si="12"/>
        <v>0</v>
      </c>
      <c r="AA33" s="2">
        <f t="shared" si="13"/>
        <v>0</v>
      </c>
      <c r="AB33" s="2">
        <f t="shared" si="14"/>
        <v>0</v>
      </c>
      <c r="AC33" s="2"/>
      <c r="AD33" s="2">
        <f t="shared" si="15"/>
        <v>1</v>
      </c>
      <c r="AE33" s="2">
        <f t="shared" si="16"/>
        <v>0</v>
      </c>
      <c r="AF33" s="2">
        <f t="shared" si="17"/>
        <v>1</v>
      </c>
      <c r="AG33" s="2">
        <f t="shared" si="18"/>
        <v>0</v>
      </c>
      <c r="AH33" s="2">
        <f t="shared" si="19"/>
        <v>1</v>
      </c>
      <c r="AI33" s="2">
        <f t="shared" si="20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691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881</v>
      </c>
      <c r="N34" s="30" t="s">
        <v>906</v>
      </c>
      <c r="O34" s="31">
        <v>1</v>
      </c>
      <c r="P34" s="31"/>
      <c r="Q34" s="30"/>
      <c r="R34" s="2"/>
      <c r="S34" s="2">
        <f t="shared" si="5"/>
        <v>0</v>
      </c>
      <c r="T34" s="2">
        <f t="shared" si="6"/>
        <v>0</v>
      </c>
      <c r="U34" s="2">
        <f t="shared" si="7"/>
        <v>0</v>
      </c>
      <c r="V34" s="2">
        <f t="shared" si="8"/>
        <v>0</v>
      </c>
      <c r="W34" s="2">
        <f t="shared" si="9"/>
        <v>0</v>
      </c>
      <c r="X34" s="2">
        <f t="shared" si="10"/>
        <v>0</v>
      </c>
      <c r="Y34" s="2">
        <f t="shared" si="11"/>
        <v>0</v>
      </c>
      <c r="Z34" s="2">
        <f t="shared" si="12"/>
        <v>1</v>
      </c>
      <c r="AA34" s="2">
        <f t="shared" si="13"/>
        <v>0</v>
      </c>
      <c r="AB34" s="2">
        <f t="shared" si="14"/>
        <v>0</v>
      </c>
      <c r="AC34" s="2"/>
      <c r="AD34" s="2">
        <f t="shared" si="15"/>
        <v>0</v>
      </c>
      <c r="AE34" s="2">
        <f t="shared" si="16"/>
        <v>1</v>
      </c>
      <c r="AF34" s="2">
        <f t="shared" si="17"/>
        <v>0</v>
      </c>
      <c r="AG34" s="2">
        <f t="shared" si="18"/>
        <v>1</v>
      </c>
      <c r="AH34" s="2">
        <f t="shared" si="19"/>
        <v>0</v>
      </c>
      <c r="AI34" s="2">
        <f t="shared" si="20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740</v>
      </c>
      <c r="N35" s="21"/>
      <c r="O35" s="7"/>
      <c r="P35" s="7"/>
      <c r="Q35" s="21"/>
      <c r="R35" s="2"/>
      <c r="S35" s="2">
        <f t="shared" si="5"/>
        <v>0</v>
      </c>
      <c r="T35" s="2">
        <f t="shared" si="6"/>
        <v>0</v>
      </c>
      <c r="U35" s="2">
        <f t="shared" si="7"/>
        <v>0</v>
      </c>
      <c r="V35" s="2">
        <f t="shared" si="8"/>
        <v>0</v>
      </c>
      <c r="W35" s="2">
        <f t="shared" si="9"/>
        <v>0</v>
      </c>
      <c r="X35" s="2">
        <f t="shared" si="10"/>
        <v>0</v>
      </c>
      <c r="Y35" s="2">
        <f t="shared" si="11"/>
        <v>0</v>
      </c>
      <c r="Z35" s="2">
        <f t="shared" si="12"/>
        <v>0</v>
      </c>
      <c r="AA35" s="2">
        <f t="shared" si="13"/>
        <v>0</v>
      </c>
      <c r="AB35" s="2">
        <f t="shared" si="14"/>
        <v>0</v>
      </c>
      <c r="AC35" s="2"/>
      <c r="AD35" s="2">
        <f t="shared" si="15"/>
        <v>0</v>
      </c>
      <c r="AE35" s="2">
        <f t="shared" si="16"/>
        <v>0</v>
      </c>
      <c r="AF35" s="2">
        <f t="shared" si="17"/>
        <v>0</v>
      </c>
      <c r="AG35" s="2">
        <f t="shared" si="18"/>
        <v>0</v>
      </c>
      <c r="AH35" s="2">
        <f t="shared" si="19"/>
        <v>0</v>
      </c>
      <c r="AI35" s="2">
        <f t="shared" si="20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378</v>
      </c>
      <c r="L36" s="29">
        <v>90</v>
      </c>
      <c r="M36" s="30" t="s">
        <v>598</v>
      </c>
      <c r="N36" s="30" t="s">
        <v>912</v>
      </c>
      <c r="O36" s="31">
        <v>1</v>
      </c>
      <c r="P36" s="31"/>
      <c r="Q36" s="30"/>
      <c r="R36" s="2"/>
      <c r="S36" s="2">
        <f t="shared" si="5"/>
        <v>0</v>
      </c>
      <c r="T36" s="2">
        <f t="shared" si="6"/>
        <v>0</v>
      </c>
      <c r="U36" s="2">
        <f t="shared" si="7"/>
        <v>0</v>
      </c>
      <c r="V36" s="2">
        <f t="shared" si="8"/>
        <v>0</v>
      </c>
      <c r="W36" s="2">
        <f t="shared" si="9"/>
        <v>0</v>
      </c>
      <c r="X36" s="2">
        <f t="shared" si="10"/>
        <v>0</v>
      </c>
      <c r="Y36" s="2">
        <f t="shared" si="11"/>
        <v>0</v>
      </c>
      <c r="Z36" s="2">
        <f t="shared" si="12"/>
        <v>0</v>
      </c>
      <c r="AA36" s="2">
        <f t="shared" si="13"/>
        <v>0</v>
      </c>
      <c r="AB36" s="2">
        <f t="shared" si="14"/>
        <v>0</v>
      </c>
      <c r="AC36" s="2"/>
      <c r="AD36" s="2">
        <f t="shared" si="15"/>
        <v>0</v>
      </c>
      <c r="AE36" s="2">
        <f t="shared" si="16"/>
        <v>1</v>
      </c>
      <c r="AF36" s="2">
        <f t="shared" si="17"/>
        <v>0</v>
      </c>
      <c r="AG36" s="2">
        <f t="shared" si="18"/>
        <v>1</v>
      </c>
      <c r="AH36" s="2">
        <f t="shared" si="19"/>
        <v>0</v>
      </c>
      <c r="AI36" s="2">
        <f t="shared" si="20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893</v>
      </c>
      <c r="O37" s="31">
        <v>1</v>
      </c>
      <c r="P37" s="31">
        <v>1</v>
      </c>
      <c r="Q37" s="30"/>
      <c r="R37" s="2"/>
      <c r="S37" s="2">
        <f t="shared" si="5"/>
        <v>0</v>
      </c>
      <c r="T37" s="2">
        <f t="shared" si="6"/>
        <v>0</v>
      </c>
      <c r="U37" s="2">
        <f t="shared" si="7"/>
        <v>0</v>
      </c>
      <c r="V37" s="2">
        <f t="shared" si="8"/>
        <v>0</v>
      </c>
      <c r="W37" s="2">
        <f t="shared" si="9"/>
        <v>0</v>
      </c>
      <c r="X37" s="2">
        <f t="shared" si="10"/>
        <v>0</v>
      </c>
      <c r="Y37" s="2">
        <f t="shared" si="11"/>
        <v>0</v>
      </c>
      <c r="Z37" s="2">
        <f t="shared" si="12"/>
        <v>0</v>
      </c>
      <c r="AA37" s="2">
        <f t="shared" si="13"/>
        <v>0</v>
      </c>
      <c r="AB37" s="2">
        <f t="shared" si="14"/>
        <v>0</v>
      </c>
      <c r="AC37" s="2"/>
      <c r="AD37" s="2">
        <f t="shared" si="15"/>
        <v>1</v>
      </c>
      <c r="AE37" s="2">
        <f t="shared" si="16"/>
        <v>0</v>
      </c>
      <c r="AF37" s="2">
        <f t="shared" si="17"/>
        <v>1</v>
      </c>
      <c r="AG37" s="2">
        <f t="shared" si="18"/>
        <v>0</v>
      </c>
      <c r="AH37" s="2">
        <f t="shared" si="19"/>
        <v>1</v>
      </c>
      <c r="AI37" s="2">
        <f t="shared" si="20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809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852</v>
      </c>
      <c r="M38" s="21" t="s">
        <v>599</v>
      </c>
      <c r="N38" s="21"/>
      <c r="O38" s="7"/>
      <c r="P38" s="7"/>
      <c r="Q38" s="21"/>
      <c r="R38" s="2"/>
      <c r="S38" s="2">
        <f t="shared" si="5"/>
        <v>0</v>
      </c>
      <c r="T38" s="2">
        <f t="shared" si="6"/>
        <v>0</v>
      </c>
      <c r="U38" s="2">
        <f t="shared" si="7"/>
        <v>0</v>
      </c>
      <c r="V38" s="2">
        <f t="shared" si="8"/>
        <v>0</v>
      </c>
      <c r="W38" s="2">
        <f t="shared" si="9"/>
        <v>0</v>
      </c>
      <c r="X38" s="2">
        <f t="shared" si="10"/>
        <v>0</v>
      </c>
      <c r="Y38" s="2">
        <f t="shared" si="11"/>
        <v>0</v>
      </c>
      <c r="Z38" s="2">
        <f t="shared" si="12"/>
        <v>1</v>
      </c>
      <c r="AA38" s="2">
        <f t="shared" si="13"/>
        <v>0</v>
      </c>
      <c r="AB38" s="2">
        <f t="shared" si="14"/>
        <v>0</v>
      </c>
      <c r="AC38" s="2"/>
      <c r="AD38" s="2">
        <f t="shared" si="15"/>
        <v>0</v>
      </c>
      <c r="AE38" s="2">
        <f t="shared" si="16"/>
        <v>0</v>
      </c>
      <c r="AF38" s="2">
        <f t="shared" si="17"/>
        <v>0</v>
      </c>
      <c r="AG38" s="2">
        <f t="shared" si="18"/>
        <v>0</v>
      </c>
      <c r="AH38" s="2">
        <f t="shared" si="19"/>
        <v>0</v>
      </c>
      <c r="AI38" s="2">
        <f t="shared" si="20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512</v>
      </c>
      <c r="E39" s="30" t="s">
        <v>676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856</v>
      </c>
      <c r="M39" s="30" t="s">
        <v>741</v>
      </c>
      <c r="N39" s="30" t="s">
        <v>912</v>
      </c>
      <c r="O39" s="31">
        <v>1</v>
      </c>
      <c r="P39" s="31"/>
      <c r="Q39" s="30"/>
      <c r="R39" s="2"/>
      <c r="S39" s="2">
        <f t="shared" si="5"/>
        <v>0</v>
      </c>
      <c r="T39" s="2">
        <f t="shared" si="6"/>
        <v>0</v>
      </c>
      <c r="U39" s="2">
        <f t="shared" si="7"/>
        <v>0</v>
      </c>
      <c r="V39" s="2">
        <f t="shared" si="8"/>
        <v>0</v>
      </c>
      <c r="W39" s="2">
        <f t="shared" si="9"/>
        <v>0</v>
      </c>
      <c r="X39" s="2">
        <f t="shared" si="10"/>
        <v>0</v>
      </c>
      <c r="Y39" s="2">
        <f t="shared" si="11"/>
        <v>0</v>
      </c>
      <c r="Z39" s="2">
        <f t="shared" si="12"/>
        <v>1</v>
      </c>
      <c r="AA39" s="2">
        <f t="shared" si="13"/>
        <v>0</v>
      </c>
      <c r="AB39" s="2">
        <f t="shared" si="14"/>
        <v>0</v>
      </c>
      <c r="AC39" s="2"/>
      <c r="AD39" s="2">
        <f t="shared" si="15"/>
        <v>0</v>
      </c>
      <c r="AE39" s="2">
        <f t="shared" si="16"/>
        <v>1</v>
      </c>
      <c r="AF39" s="2">
        <f t="shared" si="17"/>
        <v>0</v>
      </c>
      <c r="AG39" s="2">
        <f t="shared" si="18"/>
        <v>1</v>
      </c>
      <c r="AH39" s="2">
        <f t="shared" si="19"/>
        <v>0</v>
      </c>
      <c r="AI39" s="2">
        <f t="shared" si="20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860</v>
      </c>
      <c r="M40" s="33" t="s">
        <v>783</v>
      </c>
      <c r="N40" s="33" t="s">
        <v>909</v>
      </c>
      <c r="O40" s="34"/>
      <c r="P40" s="34"/>
      <c r="Q40" s="33"/>
      <c r="R40" s="2"/>
      <c r="S40" s="2">
        <f t="shared" si="5"/>
        <v>0</v>
      </c>
      <c r="T40" s="2">
        <f t="shared" si="6"/>
        <v>0</v>
      </c>
      <c r="U40" s="2">
        <f t="shared" si="7"/>
        <v>0</v>
      </c>
      <c r="V40" s="2">
        <f t="shared" si="8"/>
        <v>0</v>
      </c>
      <c r="W40" s="2">
        <f t="shared" si="9"/>
        <v>0</v>
      </c>
      <c r="X40" s="2">
        <f t="shared" si="10"/>
        <v>0</v>
      </c>
      <c r="Y40" s="2">
        <f t="shared" si="11"/>
        <v>0</v>
      </c>
      <c r="Z40" s="2">
        <f t="shared" si="12"/>
        <v>0</v>
      </c>
      <c r="AA40" s="2">
        <f t="shared" si="13"/>
        <v>0</v>
      </c>
      <c r="AB40" s="2">
        <f t="shared" si="14"/>
        <v>0</v>
      </c>
      <c r="AC40" s="2"/>
      <c r="AD40" s="2">
        <f t="shared" si="15"/>
        <v>0</v>
      </c>
      <c r="AE40" s="2">
        <f t="shared" si="16"/>
        <v>0</v>
      </c>
      <c r="AF40" s="2">
        <f t="shared" si="17"/>
        <v>0</v>
      </c>
      <c r="AG40" s="2">
        <f t="shared" si="18"/>
        <v>0</v>
      </c>
      <c r="AH40" s="2">
        <f t="shared" si="19"/>
        <v>0</v>
      </c>
      <c r="AI40" s="2">
        <f t="shared" si="20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754</v>
      </c>
      <c r="E41" s="30" t="s">
        <v>755</v>
      </c>
      <c r="F41" s="30" t="s">
        <v>756</v>
      </c>
      <c r="G41" s="30" t="s">
        <v>92</v>
      </c>
      <c r="H41" s="30" t="s">
        <v>165</v>
      </c>
      <c r="I41" s="29" t="s">
        <v>757</v>
      </c>
      <c r="J41" s="29">
        <v>1</v>
      </c>
      <c r="K41" s="29" t="s">
        <v>378</v>
      </c>
      <c r="L41" s="29">
        <v>35</v>
      </c>
      <c r="M41" s="30" t="s">
        <v>758</v>
      </c>
      <c r="N41" s="30" t="s">
        <v>901</v>
      </c>
      <c r="O41" s="31">
        <v>1</v>
      </c>
      <c r="P41" s="31"/>
      <c r="Q41" s="30"/>
      <c r="R41" s="2"/>
      <c r="S41" s="2">
        <f t="shared" si="5"/>
        <v>1</v>
      </c>
      <c r="T41" s="2">
        <f t="shared" si="6"/>
        <v>0</v>
      </c>
      <c r="U41" s="2">
        <f t="shared" si="7"/>
        <v>0</v>
      </c>
      <c r="V41" s="2">
        <f t="shared" si="8"/>
        <v>0</v>
      </c>
      <c r="W41" s="2">
        <f t="shared" si="9"/>
        <v>0</v>
      </c>
      <c r="X41" s="2">
        <f t="shared" si="10"/>
        <v>0</v>
      </c>
      <c r="Y41" s="2">
        <f t="shared" si="11"/>
        <v>0</v>
      </c>
      <c r="Z41" s="2">
        <f t="shared" si="12"/>
        <v>0</v>
      </c>
      <c r="AA41" s="2">
        <f t="shared" si="13"/>
        <v>0</v>
      </c>
      <c r="AB41" s="2">
        <f t="shared" si="14"/>
        <v>0</v>
      </c>
      <c r="AC41" s="2"/>
      <c r="AD41" s="2">
        <f t="shared" si="15"/>
        <v>0</v>
      </c>
      <c r="AE41" s="2">
        <f t="shared" si="16"/>
        <v>1</v>
      </c>
      <c r="AF41" s="2">
        <f t="shared" si="17"/>
        <v>0</v>
      </c>
      <c r="AG41" s="2">
        <f t="shared" si="18"/>
        <v>1</v>
      </c>
      <c r="AH41" s="2">
        <f t="shared" si="19"/>
        <v>0</v>
      </c>
      <c r="AI41" s="2">
        <f t="shared" si="20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741</v>
      </c>
      <c r="N42" s="30" t="s">
        <v>907</v>
      </c>
      <c r="O42" s="31">
        <v>1</v>
      </c>
      <c r="P42" s="31"/>
      <c r="Q42" s="30"/>
      <c r="R42" s="2"/>
      <c r="S42" s="2">
        <f t="shared" si="5"/>
        <v>0</v>
      </c>
      <c r="T42" s="2">
        <f t="shared" si="6"/>
        <v>0</v>
      </c>
      <c r="U42" s="2">
        <f t="shared" si="7"/>
        <v>0</v>
      </c>
      <c r="V42" s="2">
        <f t="shared" si="8"/>
        <v>0</v>
      </c>
      <c r="W42" s="2">
        <f t="shared" si="9"/>
        <v>0</v>
      </c>
      <c r="X42" s="2">
        <f t="shared" si="10"/>
        <v>0</v>
      </c>
      <c r="Y42" s="2">
        <f t="shared" si="11"/>
        <v>0</v>
      </c>
      <c r="Z42" s="2">
        <f t="shared" si="12"/>
        <v>0</v>
      </c>
      <c r="AA42" s="2">
        <f t="shared" si="13"/>
        <v>0</v>
      </c>
      <c r="AB42" s="2">
        <f t="shared" si="14"/>
        <v>0</v>
      </c>
      <c r="AC42" s="2"/>
      <c r="AD42" s="2">
        <f t="shared" si="15"/>
        <v>0</v>
      </c>
      <c r="AE42" s="2">
        <f t="shared" si="16"/>
        <v>1</v>
      </c>
      <c r="AF42" s="2">
        <f t="shared" si="17"/>
        <v>0</v>
      </c>
      <c r="AG42" s="2">
        <f t="shared" si="18"/>
        <v>1</v>
      </c>
      <c r="AH42" s="2">
        <f t="shared" si="19"/>
        <v>0</v>
      </c>
      <c r="AI42" s="2">
        <f t="shared" si="20"/>
        <v>1</v>
      </c>
    </row>
    <row r="43" spans="1:16384" s="3" customFormat="1" ht="14.25" customHeight="1" x14ac:dyDescent="0.25">
      <c r="A43" s="32">
        <v>0</v>
      </c>
      <c r="B43" s="32">
        <v>1</v>
      </c>
      <c r="C43" s="32">
        <v>3</v>
      </c>
      <c r="D43" s="33" t="s">
        <v>683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900</v>
      </c>
      <c r="O43" s="34"/>
      <c r="P43" s="34"/>
      <c r="Q43" s="33"/>
      <c r="R43" s="2"/>
      <c r="S43" s="2">
        <f t="shared" si="5"/>
        <v>0</v>
      </c>
      <c r="T43" s="2">
        <f t="shared" si="6"/>
        <v>0</v>
      </c>
      <c r="U43" s="2">
        <f t="shared" si="7"/>
        <v>0</v>
      </c>
      <c r="V43" s="2">
        <f t="shared" si="8"/>
        <v>0</v>
      </c>
      <c r="W43" s="2">
        <f t="shared" si="9"/>
        <v>0</v>
      </c>
      <c r="X43" s="2">
        <f t="shared" si="10"/>
        <v>0</v>
      </c>
      <c r="Y43" s="2">
        <f t="shared" si="11"/>
        <v>0</v>
      </c>
      <c r="Z43" s="2">
        <f t="shared" si="12"/>
        <v>0</v>
      </c>
      <c r="AA43" s="2">
        <f t="shared" si="13"/>
        <v>0</v>
      </c>
      <c r="AB43" s="2">
        <f t="shared" si="14"/>
        <v>0</v>
      </c>
      <c r="AC43" s="2"/>
      <c r="AD43" s="2">
        <f t="shared" si="15"/>
        <v>0</v>
      </c>
      <c r="AE43" s="2">
        <f t="shared" si="16"/>
        <v>0</v>
      </c>
      <c r="AF43" s="2">
        <f t="shared" si="17"/>
        <v>0</v>
      </c>
      <c r="AG43" s="2">
        <f t="shared" si="18"/>
        <v>0</v>
      </c>
      <c r="AH43" s="2">
        <f t="shared" si="19"/>
        <v>0</v>
      </c>
      <c r="AI43" s="2">
        <f t="shared" si="20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907</v>
      </c>
      <c r="O44" s="31">
        <v>1</v>
      </c>
      <c r="P44" s="31"/>
      <c r="Q44" s="30"/>
      <c r="R44" s="2"/>
      <c r="S44" s="2">
        <f t="shared" si="5"/>
        <v>0</v>
      </c>
      <c r="T44" s="2">
        <f t="shared" si="6"/>
        <v>0</v>
      </c>
      <c r="U44" s="2">
        <f t="shared" si="7"/>
        <v>0</v>
      </c>
      <c r="V44" s="2">
        <f t="shared" si="8"/>
        <v>0</v>
      </c>
      <c r="W44" s="2">
        <f t="shared" si="9"/>
        <v>0</v>
      </c>
      <c r="X44" s="2">
        <f t="shared" si="10"/>
        <v>0</v>
      </c>
      <c r="Y44" s="2">
        <f t="shared" si="11"/>
        <v>0</v>
      </c>
      <c r="Z44" s="2">
        <f t="shared" si="12"/>
        <v>1</v>
      </c>
      <c r="AA44" s="2">
        <f t="shared" si="13"/>
        <v>0</v>
      </c>
      <c r="AB44" s="2">
        <f t="shared" si="14"/>
        <v>0</v>
      </c>
      <c r="AC44" s="2"/>
      <c r="AD44" s="2">
        <f t="shared" si="15"/>
        <v>0</v>
      </c>
      <c r="AE44" s="2">
        <f t="shared" si="16"/>
        <v>1</v>
      </c>
      <c r="AF44" s="2">
        <f t="shared" si="17"/>
        <v>0</v>
      </c>
      <c r="AG44" s="2">
        <f t="shared" si="18"/>
        <v>1</v>
      </c>
      <c r="AH44" s="2">
        <f t="shared" si="19"/>
        <v>0</v>
      </c>
      <c r="AI44" s="2">
        <f t="shared" si="20"/>
        <v>1</v>
      </c>
    </row>
    <row r="45" spans="1:16384" s="3" customFormat="1" ht="14.25" customHeight="1" x14ac:dyDescent="0.25">
      <c r="A45" s="32">
        <v>0</v>
      </c>
      <c r="B45" s="32">
        <v>1</v>
      </c>
      <c r="C45" s="32">
        <v>3</v>
      </c>
      <c r="D45" s="33" t="s">
        <v>772</v>
      </c>
      <c r="E45" s="33" t="s">
        <v>259</v>
      </c>
      <c r="F45" s="33" t="s">
        <v>773</v>
      </c>
      <c r="G45" s="33" t="s">
        <v>103</v>
      </c>
      <c r="H45" s="33" t="s">
        <v>165</v>
      </c>
      <c r="I45" s="32" t="s">
        <v>774</v>
      </c>
      <c r="J45" s="32">
        <v>6</v>
      </c>
      <c r="K45" s="32" t="s">
        <v>378</v>
      </c>
      <c r="L45" s="32">
        <v>70</v>
      </c>
      <c r="M45" s="33" t="s">
        <v>775</v>
      </c>
      <c r="N45" s="33" t="s">
        <v>909</v>
      </c>
      <c r="O45" s="34"/>
      <c r="P45" s="34"/>
      <c r="Q45" s="33"/>
      <c r="R45" s="2"/>
      <c r="S45" s="2">
        <f t="shared" si="5"/>
        <v>0</v>
      </c>
      <c r="T45" s="2">
        <f t="shared" si="6"/>
        <v>0</v>
      </c>
      <c r="U45" s="2">
        <f t="shared" si="7"/>
        <v>0</v>
      </c>
      <c r="V45" s="2">
        <f t="shared" si="8"/>
        <v>0</v>
      </c>
      <c r="W45" s="2">
        <f t="shared" si="9"/>
        <v>0</v>
      </c>
      <c r="X45" s="2">
        <f t="shared" si="10"/>
        <v>1</v>
      </c>
      <c r="Y45" s="2">
        <f t="shared" si="11"/>
        <v>0</v>
      </c>
      <c r="Z45" s="2">
        <f t="shared" si="12"/>
        <v>0</v>
      </c>
      <c r="AA45" s="2">
        <f t="shared" si="13"/>
        <v>0</v>
      </c>
      <c r="AB45" s="2">
        <f t="shared" si="14"/>
        <v>0</v>
      </c>
      <c r="AC45" s="2"/>
      <c r="AD45" s="2">
        <f t="shared" si="15"/>
        <v>0</v>
      </c>
      <c r="AE45" s="2">
        <f t="shared" si="16"/>
        <v>0</v>
      </c>
      <c r="AF45" s="2">
        <f t="shared" si="17"/>
        <v>0</v>
      </c>
      <c r="AG45" s="2">
        <f t="shared" si="18"/>
        <v>0</v>
      </c>
      <c r="AH45" s="2">
        <f t="shared" si="19"/>
        <v>0</v>
      </c>
      <c r="AI45" s="2">
        <f t="shared" si="20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826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741</v>
      </c>
      <c r="N46" s="33" t="s">
        <v>894</v>
      </c>
      <c r="O46" s="34"/>
      <c r="P46" s="34"/>
      <c r="Q46" s="33"/>
      <c r="R46" s="2"/>
      <c r="S46" s="2">
        <f t="shared" si="5"/>
        <v>0</v>
      </c>
      <c r="T46" s="2">
        <f t="shared" si="6"/>
        <v>0</v>
      </c>
      <c r="U46" s="2">
        <f t="shared" si="7"/>
        <v>0</v>
      </c>
      <c r="V46" s="2">
        <f t="shared" si="8"/>
        <v>0</v>
      </c>
      <c r="W46" s="2">
        <f t="shared" si="9"/>
        <v>0</v>
      </c>
      <c r="X46" s="2">
        <f t="shared" si="10"/>
        <v>0</v>
      </c>
      <c r="Y46" s="2">
        <f t="shared" si="11"/>
        <v>0</v>
      </c>
      <c r="Z46" s="2">
        <f t="shared" si="12"/>
        <v>0</v>
      </c>
      <c r="AA46" s="2">
        <f t="shared" si="13"/>
        <v>0</v>
      </c>
      <c r="AB46" s="2">
        <f t="shared" si="14"/>
        <v>0</v>
      </c>
      <c r="AC46" s="2"/>
      <c r="AD46" s="2">
        <f t="shared" si="15"/>
        <v>0</v>
      </c>
      <c r="AE46" s="2">
        <f t="shared" si="16"/>
        <v>0</v>
      </c>
      <c r="AF46" s="2">
        <f t="shared" si="17"/>
        <v>0</v>
      </c>
      <c r="AG46" s="2">
        <f t="shared" si="18"/>
        <v>0</v>
      </c>
      <c r="AH46" s="2">
        <f t="shared" si="19"/>
        <v>0</v>
      </c>
      <c r="AI46" s="2">
        <f t="shared" si="20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686</v>
      </c>
      <c r="E47" s="30" t="s">
        <v>263</v>
      </c>
      <c r="F47" s="30" t="s">
        <v>690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907</v>
      </c>
      <c r="O47" s="31">
        <v>1</v>
      </c>
      <c r="P47" s="31"/>
      <c r="Q47" s="30"/>
      <c r="R47" s="2"/>
      <c r="S47" s="2">
        <f t="shared" si="5"/>
        <v>0</v>
      </c>
      <c r="T47" s="2">
        <f t="shared" si="6"/>
        <v>0</v>
      </c>
      <c r="U47" s="2">
        <f t="shared" si="7"/>
        <v>0</v>
      </c>
      <c r="V47" s="2">
        <f t="shared" si="8"/>
        <v>0</v>
      </c>
      <c r="W47" s="2">
        <f t="shared" si="9"/>
        <v>0</v>
      </c>
      <c r="X47" s="2">
        <f t="shared" si="10"/>
        <v>0</v>
      </c>
      <c r="Y47" s="2">
        <f t="shared" si="11"/>
        <v>0</v>
      </c>
      <c r="Z47" s="2">
        <f t="shared" si="12"/>
        <v>1</v>
      </c>
      <c r="AA47" s="2">
        <f t="shared" si="13"/>
        <v>0</v>
      </c>
      <c r="AB47" s="2">
        <f t="shared" si="14"/>
        <v>0</v>
      </c>
      <c r="AC47" s="2"/>
      <c r="AD47" s="2">
        <f t="shared" si="15"/>
        <v>0</v>
      </c>
      <c r="AE47" s="2">
        <f t="shared" si="16"/>
        <v>1</v>
      </c>
      <c r="AF47" s="2">
        <f t="shared" si="17"/>
        <v>0</v>
      </c>
      <c r="AG47" s="2">
        <f t="shared" si="18"/>
        <v>1</v>
      </c>
      <c r="AH47" s="2">
        <f t="shared" si="19"/>
        <v>0</v>
      </c>
      <c r="AI47" s="2">
        <f t="shared" si="20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687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907</v>
      </c>
      <c r="O48" s="31">
        <v>1</v>
      </c>
      <c r="P48" s="31"/>
      <c r="Q48" s="30"/>
      <c r="R48" s="20"/>
      <c r="S48" s="2">
        <f t="shared" si="5"/>
        <v>0</v>
      </c>
      <c r="T48" s="2">
        <f t="shared" si="6"/>
        <v>0</v>
      </c>
      <c r="U48" s="2">
        <f t="shared" si="7"/>
        <v>0</v>
      </c>
      <c r="V48" s="2">
        <f t="shared" si="8"/>
        <v>0</v>
      </c>
      <c r="W48" s="2">
        <f t="shared" si="9"/>
        <v>0</v>
      </c>
      <c r="X48" s="2">
        <f t="shared" si="10"/>
        <v>0</v>
      </c>
      <c r="Y48" s="2">
        <f t="shared" si="11"/>
        <v>0</v>
      </c>
      <c r="Z48" s="2">
        <f t="shared" si="12"/>
        <v>1</v>
      </c>
      <c r="AA48" s="2">
        <f t="shared" si="13"/>
        <v>0</v>
      </c>
      <c r="AB48" s="2">
        <f t="shared" si="14"/>
        <v>0</v>
      </c>
      <c r="AC48" s="2"/>
      <c r="AD48" s="2">
        <f t="shared" si="15"/>
        <v>0</v>
      </c>
      <c r="AE48" s="2">
        <f t="shared" si="16"/>
        <v>1</v>
      </c>
      <c r="AF48" s="2">
        <f t="shared" si="17"/>
        <v>0</v>
      </c>
      <c r="AG48" s="2">
        <f t="shared" si="18"/>
        <v>1</v>
      </c>
      <c r="AH48" s="2">
        <f t="shared" si="19"/>
        <v>0</v>
      </c>
      <c r="AI48" s="2">
        <f t="shared" si="20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5"/>
        <v>0</v>
      </c>
      <c r="T49" s="2">
        <f t="shared" si="6"/>
        <v>0</v>
      </c>
      <c r="U49" s="2">
        <f t="shared" si="7"/>
        <v>0</v>
      </c>
      <c r="V49" s="2">
        <f t="shared" si="8"/>
        <v>0</v>
      </c>
      <c r="W49" s="2">
        <f t="shared" si="9"/>
        <v>0</v>
      </c>
      <c r="X49" s="2">
        <f t="shared" si="10"/>
        <v>0</v>
      </c>
      <c r="Y49" s="2">
        <f t="shared" si="11"/>
        <v>0</v>
      </c>
      <c r="Z49" s="2">
        <f t="shared" si="12"/>
        <v>0</v>
      </c>
      <c r="AA49" s="2">
        <f t="shared" si="13"/>
        <v>0</v>
      </c>
      <c r="AB49" s="2">
        <f t="shared" si="14"/>
        <v>1</v>
      </c>
      <c r="AD49" s="2">
        <f t="shared" si="15"/>
        <v>0</v>
      </c>
      <c r="AE49" s="2">
        <f t="shared" si="16"/>
        <v>0</v>
      </c>
      <c r="AF49" s="2">
        <f t="shared" si="17"/>
        <v>0</v>
      </c>
      <c r="AG49" s="2">
        <f t="shared" si="18"/>
        <v>0</v>
      </c>
      <c r="AH49" s="2">
        <f t="shared" si="19"/>
        <v>1</v>
      </c>
      <c r="AI49" s="2">
        <f t="shared" si="20"/>
        <v>0</v>
      </c>
    </row>
    <row r="50" spans="1:35" ht="14.25" customHeight="1" x14ac:dyDescent="0.25">
      <c r="A50" s="29">
        <v>0</v>
      </c>
      <c r="B50" s="29">
        <v>1</v>
      </c>
      <c r="C50" s="29">
        <v>3</v>
      </c>
      <c r="D50" s="30" t="s">
        <v>637</v>
      </c>
      <c r="E50" s="30" t="s">
        <v>638</v>
      </c>
      <c r="F50" s="30" t="s">
        <v>639</v>
      </c>
      <c r="G50" s="30" t="s">
        <v>516</v>
      </c>
      <c r="H50" s="30" t="s">
        <v>165</v>
      </c>
      <c r="I50" s="29" t="s">
        <v>640</v>
      </c>
      <c r="J50" s="29"/>
      <c r="K50" s="29" t="s">
        <v>378</v>
      </c>
      <c r="L50" s="29">
        <v>55</v>
      </c>
      <c r="M50" s="30" t="s">
        <v>641</v>
      </c>
      <c r="N50" s="30" t="s">
        <v>935</v>
      </c>
      <c r="O50" s="31">
        <v>1</v>
      </c>
      <c r="P50" s="31"/>
      <c r="Q50" s="30"/>
      <c r="S50" s="2">
        <f t="shared" si="5"/>
        <v>0</v>
      </c>
      <c r="T50" s="2">
        <f t="shared" si="6"/>
        <v>0</v>
      </c>
      <c r="U50" s="2">
        <f t="shared" si="7"/>
        <v>0</v>
      </c>
      <c r="V50" s="2">
        <f t="shared" si="8"/>
        <v>0</v>
      </c>
      <c r="W50" s="2">
        <f t="shared" si="9"/>
        <v>0</v>
      </c>
      <c r="X50" s="2">
        <f t="shared" si="10"/>
        <v>0</v>
      </c>
      <c r="Y50" s="2">
        <f t="shared" si="11"/>
        <v>0</v>
      </c>
      <c r="Z50" s="2">
        <f t="shared" si="12"/>
        <v>0</v>
      </c>
      <c r="AA50" s="2">
        <f t="shared" si="13"/>
        <v>0</v>
      </c>
      <c r="AB50" s="2">
        <f t="shared" si="14"/>
        <v>0</v>
      </c>
      <c r="AD50" s="2">
        <f t="shared" si="15"/>
        <v>0</v>
      </c>
      <c r="AE50" s="2">
        <f t="shared" si="16"/>
        <v>1</v>
      </c>
      <c r="AF50" s="2">
        <f t="shared" si="17"/>
        <v>0</v>
      </c>
      <c r="AG50" s="2">
        <f t="shared" si="18"/>
        <v>1</v>
      </c>
      <c r="AH50" s="2">
        <f t="shared" si="19"/>
        <v>0</v>
      </c>
      <c r="AI50" s="2">
        <f t="shared" si="20"/>
        <v>1</v>
      </c>
    </row>
    <row r="51" spans="1:35" ht="14.25" customHeight="1" x14ac:dyDescent="0.25">
      <c r="A51" s="32">
        <v>0</v>
      </c>
      <c r="B51" s="32">
        <v>1</v>
      </c>
      <c r="C51" s="32">
        <v>3</v>
      </c>
      <c r="D51" s="33" t="s">
        <v>728</v>
      </c>
      <c r="E51" s="33" t="s">
        <v>259</v>
      </c>
      <c r="F51" s="33" t="s">
        <v>832</v>
      </c>
      <c r="G51" s="33" t="s">
        <v>731</v>
      </c>
      <c r="H51" s="33" t="s">
        <v>165</v>
      </c>
      <c r="I51" s="32" t="s">
        <v>730</v>
      </c>
      <c r="J51" s="32">
        <v>99</v>
      </c>
      <c r="K51" s="32" t="s">
        <v>331</v>
      </c>
      <c r="L51" s="32" t="s">
        <v>346</v>
      </c>
      <c r="M51" s="33" t="s">
        <v>729</v>
      </c>
      <c r="N51" s="33" t="s">
        <v>900</v>
      </c>
      <c r="O51" s="34"/>
      <c r="P51" s="34"/>
      <c r="Q51" s="33"/>
      <c r="S51" s="2">
        <f t="shared" si="5"/>
        <v>0</v>
      </c>
      <c r="T51" s="2">
        <f t="shared" si="6"/>
        <v>0</v>
      </c>
      <c r="U51" s="2">
        <f t="shared" si="7"/>
        <v>0</v>
      </c>
      <c r="V51" s="2">
        <f t="shared" si="8"/>
        <v>0</v>
      </c>
      <c r="W51" s="2">
        <f t="shared" si="9"/>
        <v>0</v>
      </c>
      <c r="X51" s="2">
        <f t="shared" si="10"/>
        <v>0</v>
      </c>
      <c r="Y51" s="2">
        <f t="shared" si="11"/>
        <v>0</v>
      </c>
      <c r="Z51" s="2">
        <f t="shared" si="12"/>
        <v>0</v>
      </c>
      <c r="AA51" s="2">
        <f t="shared" si="13"/>
        <v>0</v>
      </c>
      <c r="AB51" s="2">
        <f t="shared" si="14"/>
        <v>0</v>
      </c>
      <c r="AD51" s="2">
        <f t="shared" si="15"/>
        <v>0</v>
      </c>
      <c r="AE51" s="2">
        <f t="shared" si="16"/>
        <v>0</v>
      </c>
      <c r="AF51" s="2">
        <f t="shared" si="17"/>
        <v>0</v>
      </c>
      <c r="AG51" s="2">
        <f t="shared" si="18"/>
        <v>0</v>
      </c>
      <c r="AH51" s="2">
        <f t="shared" si="19"/>
        <v>0</v>
      </c>
      <c r="AI51" s="2">
        <f t="shared" si="20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985</v>
      </c>
      <c r="E52" s="21" t="s">
        <v>259</v>
      </c>
      <c r="F52" s="21" t="s">
        <v>986</v>
      </c>
      <c r="G52" s="21" t="s">
        <v>987</v>
      </c>
      <c r="H52" s="21" t="s">
        <v>165</v>
      </c>
      <c r="I52" s="20" t="s">
        <v>988</v>
      </c>
      <c r="J52" s="20"/>
      <c r="K52" s="20" t="s">
        <v>378</v>
      </c>
      <c r="L52" s="20">
        <v>65</v>
      </c>
      <c r="M52" s="21" t="s">
        <v>989</v>
      </c>
      <c r="N52" s="21"/>
      <c r="O52" s="20"/>
      <c r="P52" s="20"/>
      <c r="Q52" s="21"/>
      <c r="S52" s="2">
        <f t="shared" si="5"/>
        <v>0</v>
      </c>
      <c r="T52" s="2">
        <f t="shared" si="6"/>
        <v>0</v>
      </c>
      <c r="U52" s="2">
        <f t="shared" si="7"/>
        <v>0</v>
      </c>
      <c r="V52" s="2">
        <f t="shared" si="8"/>
        <v>0</v>
      </c>
      <c r="W52" s="2">
        <f t="shared" si="9"/>
        <v>0</v>
      </c>
      <c r="X52" s="2">
        <f t="shared" si="10"/>
        <v>0</v>
      </c>
      <c r="Y52" s="2">
        <f t="shared" si="11"/>
        <v>0</v>
      </c>
      <c r="Z52" s="2">
        <f t="shared" si="12"/>
        <v>0</v>
      </c>
      <c r="AA52" s="2">
        <f t="shared" si="13"/>
        <v>0</v>
      </c>
      <c r="AB52" s="2">
        <f t="shared" si="14"/>
        <v>0</v>
      </c>
      <c r="AD52" s="2">
        <f t="shared" si="15"/>
        <v>0</v>
      </c>
      <c r="AE52" s="2">
        <f t="shared" si="16"/>
        <v>0</v>
      </c>
      <c r="AF52" s="2">
        <f t="shared" si="17"/>
        <v>0</v>
      </c>
      <c r="AG52" s="2">
        <f t="shared" si="18"/>
        <v>0</v>
      </c>
      <c r="AH52" s="2">
        <f t="shared" si="19"/>
        <v>0</v>
      </c>
      <c r="AI52" s="2">
        <f t="shared" si="20"/>
        <v>1</v>
      </c>
    </row>
    <row r="53" spans="1:35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736</v>
      </c>
      <c r="N53" s="30" t="s">
        <v>935</v>
      </c>
      <c r="O53" s="31">
        <v>1</v>
      </c>
      <c r="P53" s="31"/>
      <c r="Q53" s="30"/>
      <c r="S53" s="2">
        <f t="shared" si="5"/>
        <v>0</v>
      </c>
      <c r="T53" s="2">
        <f t="shared" si="6"/>
        <v>0</v>
      </c>
      <c r="U53" s="2">
        <f t="shared" si="7"/>
        <v>0</v>
      </c>
      <c r="V53" s="2">
        <f t="shared" si="8"/>
        <v>0</v>
      </c>
      <c r="W53" s="2">
        <f t="shared" si="9"/>
        <v>0</v>
      </c>
      <c r="X53" s="2">
        <f t="shared" si="10"/>
        <v>0</v>
      </c>
      <c r="Y53" s="2">
        <f t="shared" si="11"/>
        <v>0</v>
      </c>
      <c r="Z53" s="2">
        <f t="shared" si="12"/>
        <v>0</v>
      </c>
      <c r="AA53" s="2">
        <f t="shared" si="13"/>
        <v>0</v>
      </c>
      <c r="AB53" s="2">
        <f t="shared" si="14"/>
        <v>0</v>
      </c>
      <c r="AD53" s="2">
        <f t="shared" si="15"/>
        <v>0</v>
      </c>
      <c r="AE53" s="2">
        <f t="shared" si="16"/>
        <v>1</v>
      </c>
      <c r="AF53" s="2">
        <f t="shared" si="17"/>
        <v>0</v>
      </c>
      <c r="AG53" s="2">
        <f t="shared" si="18"/>
        <v>1</v>
      </c>
      <c r="AH53" s="2">
        <f t="shared" si="19"/>
        <v>0</v>
      </c>
      <c r="AI53" s="2">
        <f t="shared" si="20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910</v>
      </c>
      <c r="N54" s="21"/>
      <c r="O54" s="7"/>
      <c r="P54" s="7"/>
      <c r="Q54" s="21"/>
      <c r="S54" s="2">
        <f t="shared" si="5"/>
        <v>0</v>
      </c>
      <c r="T54" s="2">
        <f t="shared" si="6"/>
        <v>0</v>
      </c>
      <c r="U54" s="2">
        <f t="shared" si="7"/>
        <v>0</v>
      </c>
      <c r="V54" s="2">
        <f t="shared" si="8"/>
        <v>0</v>
      </c>
      <c r="W54" s="2">
        <f t="shared" si="9"/>
        <v>0</v>
      </c>
      <c r="X54" s="2">
        <f t="shared" si="10"/>
        <v>0</v>
      </c>
      <c r="Y54" s="2">
        <f t="shared" si="11"/>
        <v>0</v>
      </c>
      <c r="Z54" s="2">
        <f t="shared" si="12"/>
        <v>1</v>
      </c>
      <c r="AA54" s="2">
        <f t="shared" si="13"/>
        <v>0</v>
      </c>
      <c r="AB54" s="2">
        <f t="shared" si="14"/>
        <v>0</v>
      </c>
      <c r="AD54" s="2">
        <f t="shared" si="15"/>
        <v>0</v>
      </c>
      <c r="AE54" s="2">
        <f t="shared" si="16"/>
        <v>0</v>
      </c>
      <c r="AF54" s="2">
        <f t="shared" si="17"/>
        <v>0</v>
      </c>
      <c r="AG54" s="2">
        <f t="shared" si="18"/>
        <v>0</v>
      </c>
      <c r="AH54" s="2">
        <f t="shared" si="19"/>
        <v>0</v>
      </c>
      <c r="AI54" s="2">
        <f t="shared" si="20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781</v>
      </c>
      <c r="N55" s="30" t="s">
        <v>893</v>
      </c>
      <c r="O55" s="31">
        <v>1</v>
      </c>
      <c r="P55" s="31">
        <v>1</v>
      </c>
      <c r="Q55" s="30"/>
      <c r="S55" s="2">
        <f t="shared" si="5"/>
        <v>0</v>
      </c>
      <c r="T55" s="2">
        <f t="shared" si="6"/>
        <v>0</v>
      </c>
      <c r="U55" s="2">
        <f t="shared" si="7"/>
        <v>0</v>
      </c>
      <c r="V55" s="2">
        <f t="shared" si="8"/>
        <v>0</v>
      </c>
      <c r="W55" s="2">
        <f t="shared" si="9"/>
        <v>0</v>
      </c>
      <c r="X55" s="2">
        <f t="shared" si="10"/>
        <v>0</v>
      </c>
      <c r="Y55" s="2">
        <f t="shared" si="11"/>
        <v>0</v>
      </c>
      <c r="Z55" s="2">
        <f t="shared" si="12"/>
        <v>0</v>
      </c>
      <c r="AA55" s="2">
        <f t="shared" si="13"/>
        <v>1</v>
      </c>
      <c r="AB55" s="2">
        <f t="shared" si="14"/>
        <v>0</v>
      </c>
      <c r="AD55" s="2">
        <f t="shared" si="15"/>
        <v>1</v>
      </c>
      <c r="AE55" s="2">
        <f t="shared" si="16"/>
        <v>0</v>
      </c>
      <c r="AF55" s="2">
        <f t="shared" si="17"/>
        <v>1</v>
      </c>
      <c r="AG55" s="2">
        <f t="shared" si="18"/>
        <v>0</v>
      </c>
      <c r="AH55" s="2">
        <f t="shared" si="19"/>
        <v>1</v>
      </c>
      <c r="AI55" s="2">
        <f t="shared" si="20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929</v>
      </c>
      <c r="O56" s="34"/>
      <c r="P56" s="34"/>
      <c r="Q56" s="33"/>
      <c r="S56" s="2">
        <f t="shared" si="5"/>
        <v>0</v>
      </c>
      <c r="T56" s="2">
        <f t="shared" si="6"/>
        <v>0</v>
      </c>
      <c r="U56" s="2">
        <f t="shared" si="7"/>
        <v>0</v>
      </c>
      <c r="V56" s="2">
        <f t="shared" si="8"/>
        <v>0</v>
      </c>
      <c r="W56" s="2">
        <f t="shared" si="9"/>
        <v>0</v>
      </c>
      <c r="X56" s="2">
        <f t="shared" si="10"/>
        <v>0</v>
      </c>
      <c r="Y56" s="2">
        <f t="shared" si="11"/>
        <v>0</v>
      </c>
      <c r="Z56" s="2">
        <f t="shared" si="12"/>
        <v>0</v>
      </c>
      <c r="AA56" s="2">
        <f t="shared" si="13"/>
        <v>0</v>
      </c>
      <c r="AB56" s="2">
        <f t="shared" si="14"/>
        <v>0</v>
      </c>
      <c r="AD56" s="2">
        <f t="shared" si="15"/>
        <v>0</v>
      </c>
      <c r="AE56" s="2">
        <f t="shared" si="16"/>
        <v>0</v>
      </c>
      <c r="AF56" s="2">
        <f t="shared" si="17"/>
        <v>0</v>
      </c>
      <c r="AG56" s="2">
        <f t="shared" si="18"/>
        <v>0</v>
      </c>
      <c r="AH56" s="2">
        <f t="shared" si="19"/>
        <v>0</v>
      </c>
      <c r="AI56" s="2">
        <f t="shared" si="20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713</v>
      </c>
      <c r="E57" s="21" t="s">
        <v>710</v>
      </c>
      <c r="F57" s="21" t="s">
        <v>709</v>
      </c>
      <c r="G57" s="21" t="s">
        <v>303</v>
      </c>
      <c r="H57" s="21" t="s">
        <v>165</v>
      </c>
      <c r="I57" s="20" t="s">
        <v>711</v>
      </c>
      <c r="J57" s="20">
        <v>99</v>
      </c>
      <c r="K57" s="20" t="s">
        <v>378</v>
      </c>
      <c r="L57" s="20">
        <v>55</v>
      </c>
      <c r="M57" s="21" t="s">
        <v>708</v>
      </c>
      <c r="N57" s="21"/>
      <c r="O57" s="7"/>
      <c r="P57" s="7"/>
      <c r="Q57" s="21"/>
      <c r="S57" s="2">
        <f t="shared" si="5"/>
        <v>0</v>
      </c>
      <c r="T57" s="2">
        <f t="shared" si="6"/>
        <v>0</v>
      </c>
      <c r="U57" s="2">
        <f t="shared" si="7"/>
        <v>0</v>
      </c>
      <c r="V57" s="2">
        <f t="shared" si="8"/>
        <v>0</v>
      </c>
      <c r="W57" s="2">
        <f t="shared" si="9"/>
        <v>0</v>
      </c>
      <c r="X57" s="2">
        <f t="shared" si="10"/>
        <v>0</v>
      </c>
      <c r="Y57" s="2">
        <f t="shared" si="11"/>
        <v>0</v>
      </c>
      <c r="Z57" s="2">
        <f t="shared" si="12"/>
        <v>0</v>
      </c>
      <c r="AA57" s="2">
        <f t="shared" si="13"/>
        <v>0</v>
      </c>
      <c r="AB57" s="2">
        <f t="shared" si="14"/>
        <v>0</v>
      </c>
      <c r="AD57" s="2">
        <f t="shared" si="15"/>
        <v>0</v>
      </c>
      <c r="AE57" s="2">
        <f t="shared" si="16"/>
        <v>0</v>
      </c>
      <c r="AF57" s="2">
        <f t="shared" si="17"/>
        <v>0</v>
      </c>
      <c r="AG57" s="2">
        <f t="shared" si="18"/>
        <v>0</v>
      </c>
      <c r="AH57" s="2">
        <f t="shared" si="19"/>
        <v>0</v>
      </c>
      <c r="AI57" s="2">
        <f t="shared" si="20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887</v>
      </c>
      <c r="E58" s="30" t="s">
        <v>890</v>
      </c>
      <c r="F58" s="30" t="s">
        <v>888</v>
      </c>
      <c r="G58" s="30" t="s">
        <v>403</v>
      </c>
      <c r="H58" s="30" t="s">
        <v>165</v>
      </c>
      <c r="I58" s="29" t="s">
        <v>889</v>
      </c>
      <c r="J58" s="29"/>
      <c r="K58" s="29" t="s">
        <v>378</v>
      </c>
      <c r="L58" s="29">
        <v>55</v>
      </c>
      <c r="M58" s="30" t="s">
        <v>891</v>
      </c>
      <c r="N58" s="30" t="s">
        <v>935</v>
      </c>
      <c r="O58" s="31">
        <v>1</v>
      </c>
      <c r="P58" s="31"/>
      <c r="Q58" s="30"/>
      <c r="S58" s="2">
        <f t="shared" si="5"/>
        <v>0</v>
      </c>
      <c r="T58" s="2">
        <f t="shared" si="6"/>
        <v>0</v>
      </c>
      <c r="U58" s="2">
        <f t="shared" si="7"/>
        <v>0</v>
      </c>
      <c r="V58" s="2">
        <f t="shared" si="8"/>
        <v>0</v>
      </c>
      <c r="W58" s="2">
        <f t="shared" si="9"/>
        <v>0</v>
      </c>
      <c r="X58" s="2">
        <f t="shared" si="10"/>
        <v>0</v>
      </c>
      <c r="Y58" s="2">
        <f t="shared" si="11"/>
        <v>0</v>
      </c>
      <c r="Z58" s="2">
        <f t="shared" si="12"/>
        <v>0</v>
      </c>
      <c r="AA58" s="2">
        <f t="shared" si="13"/>
        <v>0</v>
      </c>
      <c r="AB58" s="2">
        <f t="shared" si="14"/>
        <v>0</v>
      </c>
      <c r="AD58" s="2">
        <f t="shared" si="15"/>
        <v>0</v>
      </c>
      <c r="AE58" s="2">
        <f t="shared" si="16"/>
        <v>1</v>
      </c>
      <c r="AF58" s="2">
        <f t="shared" si="17"/>
        <v>0</v>
      </c>
      <c r="AG58" s="2">
        <f t="shared" si="18"/>
        <v>1</v>
      </c>
      <c r="AH58" s="2">
        <f t="shared" si="19"/>
        <v>0</v>
      </c>
      <c r="AI58" s="2">
        <f t="shared" si="20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872</v>
      </c>
      <c r="E59" s="30" t="s">
        <v>803</v>
      </c>
      <c r="F59" s="30" t="s">
        <v>873</v>
      </c>
      <c r="G59" s="30" t="s">
        <v>309</v>
      </c>
      <c r="H59" s="30" t="s">
        <v>165</v>
      </c>
      <c r="I59" s="29" t="s">
        <v>874</v>
      </c>
      <c r="J59" s="29"/>
      <c r="K59" s="29" t="s">
        <v>378</v>
      </c>
      <c r="L59" s="29">
        <v>50</v>
      </c>
      <c r="M59" s="30" t="s">
        <v>875</v>
      </c>
      <c r="N59" s="30" t="s">
        <v>935</v>
      </c>
      <c r="O59" s="31">
        <v>1</v>
      </c>
      <c r="P59" s="31"/>
      <c r="Q59" s="30"/>
      <c r="S59" s="2">
        <f t="shared" si="5"/>
        <v>0</v>
      </c>
      <c r="T59" s="2">
        <f t="shared" si="6"/>
        <v>0</v>
      </c>
      <c r="U59" s="2">
        <f t="shared" si="7"/>
        <v>0</v>
      </c>
      <c r="V59" s="2">
        <f t="shared" si="8"/>
        <v>0</v>
      </c>
      <c r="W59" s="2">
        <f t="shared" si="9"/>
        <v>0</v>
      </c>
      <c r="X59" s="2">
        <f t="shared" si="10"/>
        <v>0</v>
      </c>
      <c r="Y59" s="2">
        <f t="shared" si="11"/>
        <v>0</v>
      </c>
      <c r="Z59" s="2">
        <f t="shared" si="12"/>
        <v>0</v>
      </c>
      <c r="AA59" s="2">
        <f t="shared" si="13"/>
        <v>0</v>
      </c>
      <c r="AB59" s="2">
        <f t="shared" si="14"/>
        <v>0</v>
      </c>
      <c r="AD59" s="2">
        <f t="shared" si="15"/>
        <v>0</v>
      </c>
      <c r="AE59" s="2">
        <f t="shared" si="16"/>
        <v>1</v>
      </c>
      <c r="AF59" s="2">
        <f t="shared" si="17"/>
        <v>0</v>
      </c>
      <c r="AG59" s="2">
        <f t="shared" si="18"/>
        <v>1</v>
      </c>
      <c r="AH59" s="2">
        <f t="shared" si="19"/>
        <v>0</v>
      </c>
      <c r="AI59" s="2">
        <f t="shared" si="20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804</v>
      </c>
      <c r="E60" s="21" t="s">
        <v>803</v>
      </c>
      <c r="F60" s="21" t="s">
        <v>837</v>
      </c>
      <c r="G60" s="21" t="s">
        <v>93</v>
      </c>
      <c r="H60" s="21" t="s">
        <v>165</v>
      </c>
      <c r="I60" s="20" t="s">
        <v>851</v>
      </c>
      <c r="J60" s="20">
        <v>8</v>
      </c>
      <c r="K60" s="20" t="s">
        <v>332</v>
      </c>
      <c r="L60" s="20">
        <v>50</v>
      </c>
      <c r="M60" s="21" t="s">
        <v>875</v>
      </c>
      <c r="N60" s="21"/>
      <c r="O60" s="7"/>
      <c r="P60" s="7"/>
      <c r="Q60" s="21"/>
      <c r="S60" s="2">
        <f t="shared" si="5"/>
        <v>0</v>
      </c>
      <c r="T60" s="2">
        <f t="shared" si="6"/>
        <v>0</v>
      </c>
      <c r="U60" s="2">
        <f t="shared" si="7"/>
        <v>0</v>
      </c>
      <c r="V60" s="2">
        <f t="shared" si="8"/>
        <v>0</v>
      </c>
      <c r="W60" s="2">
        <f t="shared" si="9"/>
        <v>0</v>
      </c>
      <c r="X60" s="2">
        <f t="shared" si="10"/>
        <v>0</v>
      </c>
      <c r="Y60" s="2">
        <f t="shared" si="11"/>
        <v>0</v>
      </c>
      <c r="Z60" s="2">
        <f t="shared" si="12"/>
        <v>1</v>
      </c>
      <c r="AA60" s="2">
        <f t="shared" si="13"/>
        <v>0</v>
      </c>
      <c r="AB60" s="2">
        <f t="shared" si="14"/>
        <v>0</v>
      </c>
      <c r="AD60" s="2">
        <f t="shared" si="15"/>
        <v>0</v>
      </c>
      <c r="AE60" s="2">
        <f t="shared" si="16"/>
        <v>0</v>
      </c>
      <c r="AF60" s="2">
        <f t="shared" si="17"/>
        <v>0</v>
      </c>
      <c r="AG60" s="2">
        <f t="shared" si="18"/>
        <v>0</v>
      </c>
      <c r="AH60" s="2">
        <f t="shared" si="19"/>
        <v>0</v>
      </c>
      <c r="AI60" s="2">
        <f t="shared" si="20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869</v>
      </c>
      <c r="E61" s="30" t="s">
        <v>803</v>
      </c>
      <c r="F61" s="30" t="s">
        <v>870</v>
      </c>
      <c r="G61" s="30" t="s">
        <v>370</v>
      </c>
      <c r="H61" s="30" t="s">
        <v>165</v>
      </c>
      <c r="I61" s="29" t="s">
        <v>871</v>
      </c>
      <c r="J61" s="29"/>
      <c r="K61" s="29" t="s">
        <v>378</v>
      </c>
      <c r="L61" s="29">
        <v>45</v>
      </c>
      <c r="M61" s="30" t="s">
        <v>420</v>
      </c>
      <c r="N61" s="30" t="s">
        <v>893</v>
      </c>
      <c r="O61" s="31">
        <v>1</v>
      </c>
      <c r="P61" s="31">
        <v>1</v>
      </c>
      <c r="Q61" s="30"/>
      <c r="S61" s="2">
        <f t="shared" si="5"/>
        <v>0</v>
      </c>
      <c r="T61" s="2">
        <f t="shared" si="6"/>
        <v>0</v>
      </c>
      <c r="U61" s="2">
        <f t="shared" si="7"/>
        <v>0</v>
      </c>
      <c r="V61" s="2">
        <f t="shared" si="8"/>
        <v>0</v>
      </c>
      <c r="W61" s="2">
        <f t="shared" si="9"/>
        <v>0</v>
      </c>
      <c r="X61" s="2">
        <f t="shared" si="10"/>
        <v>0</v>
      </c>
      <c r="Y61" s="2">
        <f t="shared" si="11"/>
        <v>0</v>
      </c>
      <c r="Z61" s="2">
        <f t="shared" si="12"/>
        <v>0</v>
      </c>
      <c r="AA61" s="2">
        <f t="shared" si="13"/>
        <v>0</v>
      </c>
      <c r="AB61" s="2">
        <f t="shared" si="14"/>
        <v>0</v>
      </c>
      <c r="AD61" s="2">
        <f t="shared" si="15"/>
        <v>1</v>
      </c>
      <c r="AE61" s="2">
        <f t="shared" si="16"/>
        <v>0</v>
      </c>
      <c r="AF61" s="2">
        <f t="shared" si="17"/>
        <v>1</v>
      </c>
      <c r="AG61" s="2">
        <f t="shared" si="18"/>
        <v>0</v>
      </c>
      <c r="AH61" s="2">
        <f t="shared" si="19"/>
        <v>1</v>
      </c>
      <c r="AI61" s="2">
        <f t="shared" si="20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912</v>
      </c>
      <c r="O62" s="31">
        <v>1</v>
      </c>
      <c r="P62" s="31"/>
      <c r="Q62" s="30"/>
      <c r="S62" s="2">
        <f t="shared" si="5"/>
        <v>0</v>
      </c>
      <c r="T62" s="2">
        <f t="shared" si="6"/>
        <v>0</v>
      </c>
      <c r="U62" s="2">
        <f t="shared" si="7"/>
        <v>0</v>
      </c>
      <c r="V62" s="2">
        <f t="shared" si="8"/>
        <v>0</v>
      </c>
      <c r="W62" s="2">
        <f t="shared" si="9"/>
        <v>0</v>
      </c>
      <c r="X62" s="2">
        <f t="shared" si="10"/>
        <v>0</v>
      </c>
      <c r="Y62" s="2">
        <f t="shared" si="11"/>
        <v>0</v>
      </c>
      <c r="Z62" s="2">
        <f t="shared" si="12"/>
        <v>0</v>
      </c>
      <c r="AA62" s="2">
        <f t="shared" si="13"/>
        <v>0</v>
      </c>
      <c r="AB62" s="2">
        <f t="shared" si="14"/>
        <v>0</v>
      </c>
      <c r="AD62" s="2">
        <f t="shared" si="15"/>
        <v>0</v>
      </c>
      <c r="AE62" s="2">
        <f t="shared" si="16"/>
        <v>1</v>
      </c>
      <c r="AF62" s="2">
        <f t="shared" si="17"/>
        <v>0</v>
      </c>
      <c r="AG62" s="2">
        <f t="shared" si="18"/>
        <v>1</v>
      </c>
      <c r="AH62" s="2">
        <f t="shared" si="19"/>
        <v>0</v>
      </c>
      <c r="AI62" s="2">
        <f t="shared" si="20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912</v>
      </c>
      <c r="O63" s="31">
        <v>1</v>
      </c>
      <c r="P63" s="31"/>
      <c r="Q63" s="30"/>
      <c r="S63" s="2">
        <f t="shared" si="5"/>
        <v>0</v>
      </c>
      <c r="T63" s="2">
        <f t="shared" si="6"/>
        <v>0</v>
      </c>
      <c r="U63" s="2">
        <f t="shared" si="7"/>
        <v>0</v>
      </c>
      <c r="V63" s="2">
        <f t="shared" si="8"/>
        <v>0</v>
      </c>
      <c r="W63" s="2">
        <f t="shared" si="9"/>
        <v>0</v>
      </c>
      <c r="X63" s="2">
        <f t="shared" si="10"/>
        <v>0</v>
      </c>
      <c r="Y63" s="2">
        <f t="shared" si="11"/>
        <v>0</v>
      </c>
      <c r="Z63" s="2">
        <f t="shared" si="12"/>
        <v>0</v>
      </c>
      <c r="AA63" s="2">
        <f t="shared" si="13"/>
        <v>0</v>
      </c>
      <c r="AB63" s="2">
        <f t="shared" si="14"/>
        <v>0</v>
      </c>
      <c r="AD63" s="2">
        <f t="shared" si="15"/>
        <v>0</v>
      </c>
      <c r="AE63" s="2">
        <f t="shared" si="16"/>
        <v>1</v>
      </c>
      <c r="AF63" s="2">
        <f t="shared" si="17"/>
        <v>0</v>
      </c>
      <c r="AG63" s="2">
        <f t="shared" si="18"/>
        <v>1</v>
      </c>
      <c r="AH63" s="2">
        <f t="shared" si="19"/>
        <v>0</v>
      </c>
      <c r="AI63" s="2">
        <f t="shared" si="20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912</v>
      </c>
      <c r="O64" s="31">
        <v>1</v>
      </c>
      <c r="P64" s="31"/>
      <c r="Q64" s="30"/>
      <c r="S64" s="2">
        <f t="shared" si="5"/>
        <v>0</v>
      </c>
      <c r="T64" s="2">
        <f t="shared" si="6"/>
        <v>0</v>
      </c>
      <c r="U64" s="2">
        <f t="shared" si="7"/>
        <v>0</v>
      </c>
      <c r="V64" s="2">
        <f t="shared" si="8"/>
        <v>0</v>
      </c>
      <c r="W64" s="2">
        <f t="shared" si="9"/>
        <v>0</v>
      </c>
      <c r="X64" s="2">
        <f t="shared" si="10"/>
        <v>0</v>
      </c>
      <c r="Y64" s="2">
        <f t="shared" si="11"/>
        <v>0</v>
      </c>
      <c r="Z64" s="2">
        <f t="shared" si="12"/>
        <v>0</v>
      </c>
      <c r="AA64" s="2">
        <f t="shared" si="13"/>
        <v>0</v>
      </c>
      <c r="AB64" s="2">
        <f t="shared" si="14"/>
        <v>0</v>
      </c>
      <c r="AD64" s="2">
        <f t="shared" si="15"/>
        <v>0</v>
      </c>
      <c r="AE64" s="2">
        <f t="shared" si="16"/>
        <v>1</v>
      </c>
      <c r="AF64" s="2">
        <f t="shared" si="17"/>
        <v>0</v>
      </c>
      <c r="AG64" s="2">
        <f t="shared" si="18"/>
        <v>1</v>
      </c>
      <c r="AH64" s="2">
        <f t="shared" si="19"/>
        <v>0</v>
      </c>
      <c r="AI64" s="2">
        <f t="shared" si="20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785</v>
      </c>
      <c r="N65" s="30" t="s">
        <v>912</v>
      </c>
      <c r="O65" s="31">
        <v>1</v>
      </c>
      <c r="P65" s="31"/>
      <c r="Q65" s="30"/>
      <c r="S65" s="2">
        <f t="shared" si="5"/>
        <v>0</v>
      </c>
      <c r="T65" s="2">
        <f t="shared" si="6"/>
        <v>0</v>
      </c>
      <c r="U65" s="2">
        <f t="shared" si="7"/>
        <v>0</v>
      </c>
      <c r="V65" s="2">
        <f t="shared" si="8"/>
        <v>0</v>
      </c>
      <c r="W65" s="2">
        <f t="shared" si="9"/>
        <v>0</v>
      </c>
      <c r="X65" s="2">
        <f t="shared" si="10"/>
        <v>0</v>
      </c>
      <c r="Y65" s="2">
        <f t="shared" si="11"/>
        <v>0</v>
      </c>
      <c r="Z65" s="2">
        <f t="shared" si="12"/>
        <v>0</v>
      </c>
      <c r="AA65" s="2">
        <f t="shared" si="13"/>
        <v>0</v>
      </c>
      <c r="AB65" s="2">
        <f t="shared" si="14"/>
        <v>0</v>
      </c>
      <c r="AD65" s="2">
        <f t="shared" si="15"/>
        <v>0</v>
      </c>
      <c r="AE65" s="2">
        <f t="shared" si="16"/>
        <v>1</v>
      </c>
      <c r="AF65" s="2">
        <f t="shared" si="17"/>
        <v>0</v>
      </c>
      <c r="AG65" s="2">
        <f t="shared" si="18"/>
        <v>1</v>
      </c>
      <c r="AH65" s="2">
        <f t="shared" si="19"/>
        <v>0</v>
      </c>
      <c r="AI65" s="2">
        <f t="shared" si="20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930</v>
      </c>
      <c r="O66" s="31">
        <v>1</v>
      </c>
      <c r="P66" s="31"/>
      <c r="Q66" s="30"/>
      <c r="S66" s="2">
        <f t="shared" si="5"/>
        <v>0</v>
      </c>
      <c r="T66" s="2">
        <f t="shared" si="6"/>
        <v>0</v>
      </c>
      <c r="U66" s="2">
        <f t="shared" si="7"/>
        <v>1</v>
      </c>
      <c r="V66" s="2">
        <f t="shared" si="8"/>
        <v>0</v>
      </c>
      <c r="W66" s="2">
        <f t="shared" si="9"/>
        <v>0</v>
      </c>
      <c r="X66" s="2">
        <f t="shared" si="10"/>
        <v>0</v>
      </c>
      <c r="Y66" s="2">
        <f t="shared" si="11"/>
        <v>0</v>
      </c>
      <c r="Z66" s="2">
        <f t="shared" si="12"/>
        <v>0</v>
      </c>
      <c r="AA66" s="2">
        <f t="shared" si="13"/>
        <v>0</v>
      </c>
      <c r="AB66" s="2">
        <f t="shared" si="14"/>
        <v>0</v>
      </c>
      <c r="AD66" s="2">
        <f t="shared" si="15"/>
        <v>0</v>
      </c>
      <c r="AE66" s="2">
        <f t="shared" si="16"/>
        <v>1</v>
      </c>
      <c r="AF66" s="2">
        <f t="shared" si="17"/>
        <v>0</v>
      </c>
      <c r="AG66" s="2">
        <f t="shared" si="18"/>
        <v>1</v>
      </c>
      <c r="AH66" s="2">
        <f t="shared" si="19"/>
        <v>0</v>
      </c>
      <c r="AI66" s="2">
        <f t="shared" si="20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742</v>
      </c>
      <c r="N67" s="21"/>
      <c r="O67" s="7"/>
      <c r="P67" s="7"/>
      <c r="Q67" s="21"/>
      <c r="S67" s="2">
        <f t="shared" si="5"/>
        <v>0</v>
      </c>
      <c r="T67" s="2">
        <f t="shared" si="6"/>
        <v>0</v>
      </c>
      <c r="U67" s="2">
        <f t="shared" si="7"/>
        <v>0</v>
      </c>
      <c r="V67" s="2">
        <f t="shared" si="8"/>
        <v>0</v>
      </c>
      <c r="W67" s="2">
        <f t="shared" si="9"/>
        <v>1</v>
      </c>
      <c r="X67" s="2">
        <f t="shared" si="10"/>
        <v>0</v>
      </c>
      <c r="Y67" s="2">
        <f t="shared" si="11"/>
        <v>0</v>
      </c>
      <c r="Z67" s="2">
        <f t="shared" si="12"/>
        <v>0</v>
      </c>
      <c r="AA67" s="2">
        <f t="shared" si="13"/>
        <v>0</v>
      </c>
      <c r="AB67" s="2">
        <f t="shared" si="14"/>
        <v>0</v>
      </c>
      <c r="AD67" s="2">
        <f t="shared" si="15"/>
        <v>0</v>
      </c>
      <c r="AE67" s="2">
        <f t="shared" si="16"/>
        <v>0</v>
      </c>
      <c r="AF67" s="2">
        <f t="shared" si="17"/>
        <v>0</v>
      </c>
      <c r="AG67" s="2">
        <f t="shared" si="18"/>
        <v>0</v>
      </c>
      <c r="AH67" s="2">
        <f t="shared" si="19"/>
        <v>0</v>
      </c>
      <c r="AI67" s="2">
        <f t="shared" si="20"/>
        <v>1</v>
      </c>
    </row>
    <row r="68" spans="1:35" ht="14.25" customHeight="1" x14ac:dyDescent="0.25">
      <c r="A68" s="32">
        <v>0</v>
      </c>
      <c r="B68" s="32">
        <v>1</v>
      </c>
      <c r="C68" s="32">
        <v>5</v>
      </c>
      <c r="D68" s="33" t="s">
        <v>46</v>
      </c>
      <c r="E68" s="33" t="s">
        <v>469</v>
      </c>
      <c r="F68" s="33" t="s">
        <v>693</v>
      </c>
      <c r="G68" s="33" t="s">
        <v>93</v>
      </c>
      <c r="H68" s="33" t="s">
        <v>165</v>
      </c>
      <c r="I68" s="32" t="s">
        <v>166</v>
      </c>
      <c r="J68" s="32">
        <v>8</v>
      </c>
      <c r="K68" s="32" t="s">
        <v>326</v>
      </c>
      <c r="L68" s="32" t="s">
        <v>346</v>
      </c>
      <c r="M68" s="33" t="s">
        <v>420</v>
      </c>
      <c r="N68" s="33" t="s">
        <v>894</v>
      </c>
      <c r="O68" s="34"/>
      <c r="P68" s="34"/>
      <c r="Q68" s="33"/>
      <c r="S68" s="2">
        <f t="shared" si="5"/>
        <v>0</v>
      </c>
      <c r="T68" s="2">
        <f t="shared" si="6"/>
        <v>0</v>
      </c>
      <c r="U68" s="2">
        <f t="shared" si="7"/>
        <v>0</v>
      </c>
      <c r="V68" s="2">
        <f t="shared" si="8"/>
        <v>0</v>
      </c>
      <c r="W68" s="2">
        <f t="shared" si="9"/>
        <v>0</v>
      </c>
      <c r="X68" s="2">
        <f t="shared" si="10"/>
        <v>0</v>
      </c>
      <c r="Y68" s="2">
        <f t="shared" si="11"/>
        <v>0</v>
      </c>
      <c r="Z68" s="2">
        <f t="shared" si="12"/>
        <v>1</v>
      </c>
      <c r="AA68" s="2">
        <f t="shared" si="13"/>
        <v>0</v>
      </c>
      <c r="AB68" s="2">
        <f t="shared" si="14"/>
        <v>0</v>
      </c>
      <c r="AD68" s="2">
        <f t="shared" si="15"/>
        <v>0</v>
      </c>
      <c r="AE68" s="2">
        <f t="shared" si="16"/>
        <v>0</v>
      </c>
      <c r="AF68" s="2">
        <f t="shared" si="17"/>
        <v>0</v>
      </c>
      <c r="AG68" s="2">
        <f t="shared" si="18"/>
        <v>0</v>
      </c>
      <c r="AH68" s="2">
        <f t="shared" si="19"/>
        <v>0</v>
      </c>
      <c r="AI68" s="2">
        <f t="shared" si="20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814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894</v>
      </c>
      <c r="O69" s="34"/>
      <c r="P69" s="34"/>
      <c r="Q69" s="33"/>
      <c r="S69" s="2">
        <f t="shared" si="5"/>
        <v>0</v>
      </c>
      <c r="T69" s="2">
        <f t="shared" si="6"/>
        <v>0</v>
      </c>
      <c r="U69" s="2">
        <f t="shared" si="7"/>
        <v>0</v>
      </c>
      <c r="V69" s="2">
        <f t="shared" si="8"/>
        <v>0</v>
      </c>
      <c r="W69" s="2">
        <f t="shared" si="9"/>
        <v>0</v>
      </c>
      <c r="X69" s="2">
        <f t="shared" si="10"/>
        <v>0</v>
      </c>
      <c r="Y69" s="2">
        <f t="shared" si="11"/>
        <v>0</v>
      </c>
      <c r="Z69" s="2">
        <f t="shared" si="12"/>
        <v>1</v>
      </c>
      <c r="AA69" s="2">
        <f t="shared" si="13"/>
        <v>0</v>
      </c>
      <c r="AB69" s="2">
        <f t="shared" si="14"/>
        <v>0</v>
      </c>
      <c r="AD69" s="2">
        <f t="shared" si="15"/>
        <v>0</v>
      </c>
      <c r="AE69" s="2">
        <f t="shared" si="16"/>
        <v>0</v>
      </c>
      <c r="AF69" s="2">
        <f t="shared" si="17"/>
        <v>0</v>
      </c>
      <c r="AG69" s="2">
        <f t="shared" si="18"/>
        <v>0</v>
      </c>
      <c r="AH69" s="2">
        <f t="shared" si="19"/>
        <v>0</v>
      </c>
      <c r="AI69" s="2">
        <f t="shared" si="20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815</v>
      </c>
      <c r="E70" s="21" t="s">
        <v>803</v>
      </c>
      <c r="F70" s="21" t="s">
        <v>805</v>
      </c>
      <c r="G70" s="21" t="s">
        <v>117</v>
      </c>
      <c r="H70" s="21" t="s">
        <v>165</v>
      </c>
      <c r="I70" s="20" t="s">
        <v>806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5"/>
        <v>1</v>
      </c>
      <c r="T70" s="2">
        <f t="shared" si="6"/>
        <v>0</v>
      </c>
      <c r="U70" s="2">
        <f t="shared" si="7"/>
        <v>0</v>
      </c>
      <c r="V70" s="2">
        <f t="shared" si="8"/>
        <v>0</v>
      </c>
      <c r="W70" s="2">
        <f t="shared" si="9"/>
        <v>0</v>
      </c>
      <c r="X70" s="2">
        <f t="shared" si="10"/>
        <v>0</v>
      </c>
      <c r="Y70" s="2">
        <f t="shared" si="11"/>
        <v>0</v>
      </c>
      <c r="Z70" s="2">
        <f t="shared" si="12"/>
        <v>0</v>
      </c>
      <c r="AA70" s="2">
        <f t="shared" si="13"/>
        <v>0</v>
      </c>
      <c r="AB70" s="2">
        <f t="shared" si="14"/>
        <v>0</v>
      </c>
      <c r="AD70" s="2">
        <f t="shared" si="15"/>
        <v>0</v>
      </c>
      <c r="AE70" s="2">
        <f t="shared" si="16"/>
        <v>0</v>
      </c>
      <c r="AF70" s="2">
        <f t="shared" si="17"/>
        <v>0</v>
      </c>
      <c r="AG70" s="2">
        <f t="shared" si="18"/>
        <v>0</v>
      </c>
      <c r="AH70" s="2">
        <f t="shared" si="19"/>
        <v>0</v>
      </c>
      <c r="AI70" s="2">
        <f t="shared" si="20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815</v>
      </c>
      <c r="E71" s="21" t="s">
        <v>803</v>
      </c>
      <c r="F71" s="21" t="s">
        <v>838</v>
      </c>
      <c r="G71" s="21" t="s">
        <v>96</v>
      </c>
      <c r="H71" s="21" t="s">
        <v>165</v>
      </c>
      <c r="I71" s="20" t="s">
        <v>807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5"/>
        <v>0</v>
      </c>
      <c r="T71" s="2">
        <f t="shared" si="6"/>
        <v>0</v>
      </c>
      <c r="U71" s="2">
        <f t="shared" si="7"/>
        <v>1</v>
      </c>
      <c r="V71" s="2">
        <f t="shared" si="8"/>
        <v>0</v>
      </c>
      <c r="W71" s="2">
        <f t="shared" si="9"/>
        <v>0</v>
      </c>
      <c r="X71" s="2">
        <f t="shared" si="10"/>
        <v>0</v>
      </c>
      <c r="Y71" s="2">
        <f t="shared" si="11"/>
        <v>0</v>
      </c>
      <c r="Z71" s="2">
        <f t="shared" si="12"/>
        <v>0</v>
      </c>
      <c r="AA71" s="2">
        <f t="shared" si="13"/>
        <v>0</v>
      </c>
      <c r="AB71" s="2">
        <f t="shared" si="14"/>
        <v>0</v>
      </c>
      <c r="AD71" s="2">
        <f t="shared" si="15"/>
        <v>0</v>
      </c>
      <c r="AE71" s="2">
        <f t="shared" si="16"/>
        <v>0</v>
      </c>
      <c r="AF71" s="2">
        <f t="shared" si="17"/>
        <v>0</v>
      </c>
      <c r="AG71" s="2">
        <f t="shared" si="18"/>
        <v>0</v>
      </c>
      <c r="AH71" s="2">
        <f t="shared" si="19"/>
        <v>0</v>
      </c>
      <c r="AI71" s="2">
        <f t="shared" si="20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808</v>
      </c>
      <c r="E72" s="30" t="s">
        <v>261</v>
      </c>
      <c r="F72" s="30" t="s">
        <v>770</v>
      </c>
      <c r="G72" s="30" t="s">
        <v>519</v>
      </c>
      <c r="H72" s="30" t="s">
        <v>165</v>
      </c>
      <c r="I72" s="29" t="s">
        <v>771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893</v>
      </c>
      <c r="O72" s="31">
        <v>1</v>
      </c>
      <c r="P72" s="31">
        <v>1</v>
      </c>
      <c r="Q72" s="30"/>
      <c r="S72" s="2">
        <f t="shared" si="5"/>
        <v>0</v>
      </c>
      <c r="T72" s="2">
        <f t="shared" si="6"/>
        <v>0</v>
      </c>
      <c r="U72" s="2">
        <f t="shared" si="7"/>
        <v>0</v>
      </c>
      <c r="V72" s="2">
        <f t="shared" si="8"/>
        <v>0</v>
      </c>
      <c r="W72" s="2">
        <f t="shared" si="9"/>
        <v>0</v>
      </c>
      <c r="X72" s="2">
        <f t="shared" si="10"/>
        <v>0</v>
      </c>
      <c r="Y72" s="2">
        <f t="shared" si="11"/>
        <v>0</v>
      </c>
      <c r="Z72" s="2">
        <f t="shared" si="12"/>
        <v>0</v>
      </c>
      <c r="AA72" s="2">
        <f t="shared" si="13"/>
        <v>0</v>
      </c>
      <c r="AB72" s="2">
        <f t="shared" si="14"/>
        <v>0</v>
      </c>
      <c r="AD72" s="2">
        <f t="shared" si="15"/>
        <v>1</v>
      </c>
      <c r="AE72" s="2">
        <f t="shared" si="16"/>
        <v>0</v>
      </c>
      <c r="AF72" s="2">
        <f t="shared" si="17"/>
        <v>1</v>
      </c>
      <c r="AG72" s="2">
        <f t="shared" si="18"/>
        <v>0</v>
      </c>
      <c r="AH72" s="2">
        <f t="shared" si="19"/>
        <v>1</v>
      </c>
      <c r="AI72" s="2">
        <f t="shared" si="20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893</v>
      </c>
      <c r="O73" s="31">
        <v>1</v>
      </c>
      <c r="P73" s="31">
        <v>1</v>
      </c>
      <c r="Q73" s="30"/>
      <c r="S73" s="2">
        <f t="shared" si="5"/>
        <v>1</v>
      </c>
      <c r="T73" s="2">
        <f t="shared" si="6"/>
        <v>0</v>
      </c>
      <c r="U73" s="2">
        <f t="shared" si="7"/>
        <v>0</v>
      </c>
      <c r="V73" s="2">
        <f t="shared" si="8"/>
        <v>0</v>
      </c>
      <c r="W73" s="2">
        <f t="shared" si="9"/>
        <v>0</v>
      </c>
      <c r="X73" s="2">
        <f t="shared" si="10"/>
        <v>0</v>
      </c>
      <c r="Y73" s="2">
        <f t="shared" si="11"/>
        <v>0</v>
      </c>
      <c r="Z73" s="2">
        <f t="shared" si="12"/>
        <v>0</v>
      </c>
      <c r="AA73" s="2">
        <f t="shared" si="13"/>
        <v>0</v>
      </c>
      <c r="AB73" s="2">
        <f t="shared" si="14"/>
        <v>0</v>
      </c>
      <c r="AD73" s="2">
        <f t="shared" si="15"/>
        <v>1</v>
      </c>
      <c r="AE73" s="2">
        <f t="shared" si="16"/>
        <v>0</v>
      </c>
      <c r="AF73" s="2">
        <f t="shared" si="17"/>
        <v>1</v>
      </c>
      <c r="AG73" s="2">
        <f t="shared" si="18"/>
        <v>0</v>
      </c>
      <c r="AH73" s="2">
        <f t="shared" si="19"/>
        <v>1</v>
      </c>
      <c r="AI73" s="2">
        <f t="shared" si="20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674</v>
      </c>
      <c r="F74" s="30" t="s">
        <v>666</v>
      </c>
      <c r="G74" s="30" t="s">
        <v>667</v>
      </c>
      <c r="H74" s="30" t="s">
        <v>165</v>
      </c>
      <c r="I74" s="29" t="s">
        <v>668</v>
      </c>
      <c r="J74" s="29"/>
      <c r="K74" s="29" t="s">
        <v>332</v>
      </c>
      <c r="L74" s="29">
        <v>45</v>
      </c>
      <c r="M74" s="30" t="s">
        <v>752</v>
      </c>
      <c r="N74" s="30" t="s">
        <v>899</v>
      </c>
      <c r="O74" s="31">
        <v>1</v>
      </c>
      <c r="P74" s="31"/>
      <c r="Q74" s="30"/>
      <c r="S74" s="2">
        <f t="shared" si="5"/>
        <v>0</v>
      </c>
      <c r="T74" s="2">
        <f t="shared" si="6"/>
        <v>0</v>
      </c>
      <c r="U74" s="2">
        <f t="shared" si="7"/>
        <v>0</v>
      </c>
      <c r="V74" s="2">
        <f t="shared" si="8"/>
        <v>0</v>
      </c>
      <c r="W74" s="2">
        <f t="shared" si="9"/>
        <v>0</v>
      </c>
      <c r="X74" s="2">
        <f t="shared" si="10"/>
        <v>0</v>
      </c>
      <c r="Y74" s="2">
        <f t="shared" si="11"/>
        <v>0</v>
      </c>
      <c r="Z74" s="2">
        <f t="shared" si="12"/>
        <v>0</v>
      </c>
      <c r="AA74" s="2">
        <f t="shared" si="13"/>
        <v>0</v>
      </c>
      <c r="AB74" s="2">
        <f t="shared" si="14"/>
        <v>0</v>
      </c>
      <c r="AD74" s="2">
        <f t="shared" si="15"/>
        <v>0</v>
      </c>
      <c r="AE74" s="2">
        <f t="shared" si="16"/>
        <v>1</v>
      </c>
      <c r="AF74" s="2">
        <f t="shared" si="17"/>
        <v>0</v>
      </c>
      <c r="AG74" s="2">
        <f t="shared" si="18"/>
        <v>1</v>
      </c>
      <c r="AH74" s="2">
        <f t="shared" si="19"/>
        <v>0</v>
      </c>
      <c r="AI74" s="2">
        <f t="shared" si="20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752</v>
      </c>
      <c r="N75" s="30" t="s">
        <v>899</v>
      </c>
      <c r="O75" s="31">
        <v>1</v>
      </c>
      <c r="P75" s="31"/>
      <c r="Q75" s="30"/>
      <c r="S75" s="2">
        <f t="shared" ref="S75:S138" si="21">IF(J75=$S$7,1,0)</f>
        <v>0</v>
      </c>
      <c r="T75" s="2">
        <f t="shared" ref="T75:T138" si="22">IF(J75=$T$7,1,0)</f>
        <v>0</v>
      </c>
      <c r="U75" s="2">
        <f t="shared" ref="U75:U138" si="23">IF(J75=$U$7,1,0)</f>
        <v>0</v>
      </c>
      <c r="V75" s="2">
        <f t="shared" ref="V75:V138" si="24">IF(J75=$V$7,1,0)</f>
        <v>0</v>
      </c>
      <c r="W75" s="2">
        <f t="shared" ref="W75:W138" si="25">IF(J75=$W$7,1,0)</f>
        <v>0</v>
      </c>
      <c r="X75" s="2">
        <f t="shared" ref="X75:X138" si="26">IF(J75=$X$7,1,0)</f>
        <v>1</v>
      </c>
      <c r="Y75" s="2">
        <f t="shared" ref="Y75:Y138" si="27">IF(J75=$Y$7,1,0)</f>
        <v>0</v>
      </c>
      <c r="Z75" s="2">
        <f t="shared" ref="Z75:Z138" si="28">IF(J75=$Z$7,1,0)</f>
        <v>0</v>
      </c>
      <c r="AA75" s="2">
        <f t="shared" ref="AA75:AA138" si="29">IF(J75=$AA$7,1,0)</f>
        <v>0</v>
      </c>
      <c r="AB75" s="2">
        <f t="shared" ref="AB75:AB138" si="30">IF(J75=$AB$7,1,0)</f>
        <v>0</v>
      </c>
      <c r="AD75" s="2">
        <f t="shared" ref="AD75:AD138" si="31">+O75*P75</f>
        <v>0</v>
      </c>
      <c r="AE75" s="2">
        <f t="shared" ref="AE75:AE138" si="32">O75*(1-P75)</f>
        <v>1</v>
      </c>
      <c r="AF75" s="2">
        <f t="shared" ref="AF75:AF138" si="33">+O75*P75*(1-A75)</f>
        <v>0</v>
      </c>
      <c r="AG75" s="2">
        <f t="shared" ref="AG75:AG138" si="34">O75*(1-P75)*(1-A75)</f>
        <v>0</v>
      </c>
      <c r="AH75" s="2">
        <f t="shared" ref="AH75:AH138" si="35">+P75*(1-A75)</f>
        <v>0</v>
      </c>
      <c r="AI75" s="2">
        <f t="shared" ref="AI75:AI138" si="36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717</v>
      </c>
      <c r="E76" s="30" t="s">
        <v>258</v>
      </c>
      <c r="F76" s="30" t="s">
        <v>718</v>
      </c>
      <c r="G76" s="30" t="s">
        <v>130</v>
      </c>
      <c r="H76" s="30" t="s">
        <v>165</v>
      </c>
      <c r="I76" s="29" t="s">
        <v>719</v>
      </c>
      <c r="J76" s="29"/>
      <c r="K76" s="29" t="s">
        <v>329</v>
      </c>
      <c r="L76" s="29">
        <v>35</v>
      </c>
      <c r="M76" s="30" t="s">
        <v>882</v>
      </c>
      <c r="N76" s="30" t="s">
        <v>899</v>
      </c>
      <c r="O76" s="31">
        <v>1</v>
      </c>
      <c r="P76" s="31"/>
      <c r="Q76" s="30"/>
      <c r="S76" s="2">
        <f t="shared" si="21"/>
        <v>0</v>
      </c>
      <c r="T76" s="2">
        <f t="shared" si="22"/>
        <v>0</v>
      </c>
      <c r="U76" s="2">
        <f t="shared" si="23"/>
        <v>0</v>
      </c>
      <c r="V76" s="2">
        <f t="shared" si="24"/>
        <v>0</v>
      </c>
      <c r="W76" s="2">
        <f t="shared" si="25"/>
        <v>0</v>
      </c>
      <c r="X76" s="2">
        <f t="shared" si="26"/>
        <v>0</v>
      </c>
      <c r="Y76" s="2">
        <f t="shared" si="27"/>
        <v>0</v>
      </c>
      <c r="Z76" s="2">
        <f t="shared" si="28"/>
        <v>0</v>
      </c>
      <c r="AA76" s="2">
        <f t="shared" si="29"/>
        <v>0</v>
      </c>
      <c r="AB76" s="2">
        <f t="shared" si="30"/>
        <v>0</v>
      </c>
      <c r="AD76" s="2">
        <f t="shared" si="31"/>
        <v>0</v>
      </c>
      <c r="AE76" s="2">
        <f t="shared" si="32"/>
        <v>1</v>
      </c>
      <c r="AF76" s="2">
        <f t="shared" si="33"/>
        <v>0</v>
      </c>
      <c r="AG76" s="2">
        <f t="shared" si="34"/>
        <v>1</v>
      </c>
      <c r="AH76" s="2">
        <f t="shared" si="35"/>
        <v>0</v>
      </c>
      <c r="AI76" s="2">
        <f t="shared" si="36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934</v>
      </c>
      <c r="N77" s="30" t="s">
        <v>899</v>
      </c>
      <c r="O77" s="31">
        <v>1</v>
      </c>
      <c r="P77" s="31"/>
      <c r="Q77" s="30"/>
      <c r="S77" s="2">
        <f t="shared" si="21"/>
        <v>0</v>
      </c>
      <c r="T77" s="2">
        <f t="shared" si="22"/>
        <v>0</v>
      </c>
      <c r="U77" s="2">
        <f t="shared" si="23"/>
        <v>0</v>
      </c>
      <c r="V77" s="2">
        <f t="shared" si="24"/>
        <v>0</v>
      </c>
      <c r="W77" s="2">
        <f t="shared" si="25"/>
        <v>0</v>
      </c>
      <c r="X77" s="2">
        <f t="shared" si="26"/>
        <v>0</v>
      </c>
      <c r="Y77" s="2">
        <f t="shared" si="27"/>
        <v>0</v>
      </c>
      <c r="Z77" s="2">
        <f t="shared" si="28"/>
        <v>0</v>
      </c>
      <c r="AA77" s="2">
        <f t="shared" si="29"/>
        <v>0</v>
      </c>
      <c r="AB77" s="2">
        <f t="shared" si="30"/>
        <v>1</v>
      </c>
      <c r="AD77" s="2">
        <f t="shared" si="31"/>
        <v>0</v>
      </c>
      <c r="AE77" s="2">
        <f t="shared" si="32"/>
        <v>1</v>
      </c>
      <c r="AF77" s="2">
        <f t="shared" si="33"/>
        <v>0</v>
      </c>
      <c r="AG77" s="2">
        <f t="shared" si="34"/>
        <v>1</v>
      </c>
      <c r="AH77" s="2">
        <f t="shared" si="35"/>
        <v>0</v>
      </c>
      <c r="AI77" s="2">
        <f t="shared" si="36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893</v>
      </c>
      <c r="O78" s="31">
        <v>1</v>
      </c>
      <c r="P78" s="31">
        <v>1</v>
      </c>
      <c r="Q78" s="30"/>
      <c r="S78" s="2">
        <f t="shared" si="21"/>
        <v>0</v>
      </c>
      <c r="T78" s="2">
        <f t="shared" si="22"/>
        <v>0</v>
      </c>
      <c r="U78" s="2">
        <f t="shared" si="23"/>
        <v>0</v>
      </c>
      <c r="V78" s="2">
        <f t="shared" si="24"/>
        <v>0</v>
      </c>
      <c r="W78" s="2">
        <f t="shared" si="25"/>
        <v>0</v>
      </c>
      <c r="X78" s="2">
        <f t="shared" si="26"/>
        <v>0</v>
      </c>
      <c r="Y78" s="2">
        <f t="shared" si="27"/>
        <v>0</v>
      </c>
      <c r="Z78" s="2">
        <f t="shared" si="28"/>
        <v>0</v>
      </c>
      <c r="AA78" s="2">
        <f t="shared" si="29"/>
        <v>1</v>
      </c>
      <c r="AB78" s="2">
        <f t="shared" si="30"/>
        <v>0</v>
      </c>
      <c r="AD78" s="2">
        <f t="shared" si="31"/>
        <v>1</v>
      </c>
      <c r="AE78" s="2">
        <f t="shared" si="32"/>
        <v>0</v>
      </c>
      <c r="AF78" s="2">
        <f t="shared" si="33"/>
        <v>1</v>
      </c>
      <c r="AG78" s="2">
        <f t="shared" si="34"/>
        <v>0</v>
      </c>
      <c r="AH78" s="2">
        <f t="shared" si="35"/>
        <v>1</v>
      </c>
      <c r="AI78" s="2">
        <f t="shared" si="36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929</v>
      </c>
      <c r="O79" s="34"/>
      <c r="P79" s="34"/>
      <c r="Q79" s="33"/>
      <c r="S79" s="2">
        <f t="shared" si="21"/>
        <v>0</v>
      </c>
      <c r="T79" s="2">
        <f t="shared" si="22"/>
        <v>1</v>
      </c>
      <c r="U79" s="2">
        <f t="shared" si="23"/>
        <v>0</v>
      </c>
      <c r="V79" s="2">
        <f t="shared" si="24"/>
        <v>0</v>
      </c>
      <c r="W79" s="2">
        <f t="shared" si="25"/>
        <v>0</v>
      </c>
      <c r="X79" s="2">
        <f t="shared" si="26"/>
        <v>0</v>
      </c>
      <c r="Y79" s="2">
        <f t="shared" si="27"/>
        <v>0</v>
      </c>
      <c r="Z79" s="2">
        <f t="shared" si="28"/>
        <v>0</v>
      </c>
      <c r="AA79" s="2">
        <f t="shared" si="29"/>
        <v>0</v>
      </c>
      <c r="AB79" s="2">
        <f t="shared" si="30"/>
        <v>0</v>
      </c>
      <c r="AD79" s="2">
        <f t="shared" si="31"/>
        <v>0</v>
      </c>
      <c r="AE79" s="2">
        <f t="shared" si="32"/>
        <v>0</v>
      </c>
      <c r="AF79" s="2">
        <f t="shared" si="33"/>
        <v>0</v>
      </c>
      <c r="AG79" s="2">
        <f t="shared" si="34"/>
        <v>0</v>
      </c>
      <c r="AH79" s="2">
        <f t="shared" si="35"/>
        <v>0</v>
      </c>
      <c r="AI79" s="2">
        <f t="shared" si="36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893</v>
      </c>
      <c r="O80" s="31">
        <v>1</v>
      </c>
      <c r="P80" s="31">
        <v>1</v>
      </c>
      <c r="Q80" s="30"/>
      <c r="S80" s="2">
        <f t="shared" si="21"/>
        <v>0</v>
      </c>
      <c r="T80" s="2">
        <f t="shared" si="22"/>
        <v>0</v>
      </c>
      <c r="U80" s="2">
        <f t="shared" si="23"/>
        <v>0</v>
      </c>
      <c r="V80" s="2">
        <f t="shared" si="24"/>
        <v>0</v>
      </c>
      <c r="W80" s="2">
        <f t="shared" si="25"/>
        <v>0</v>
      </c>
      <c r="X80" s="2">
        <f t="shared" si="26"/>
        <v>0</v>
      </c>
      <c r="Y80" s="2">
        <f t="shared" si="27"/>
        <v>0</v>
      </c>
      <c r="Z80" s="2">
        <f t="shared" si="28"/>
        <v>0</v>
      </c>
      <c r="AA80" s="2">
        <f t="shared" si="29"/>
        <v>0</v>
      </c>
      <c r="AB80" s="2">
        <f t="shared" si="30"/>
        <v>0</v>
      </c>
      <c r="AD80" s="2">
        <f t="shared" si="31"/>
        <v>1</v>
      </c>
      <c r="AE80" s="2">
        <f t="shared" si="32"/>
        <v>0</v>
      </c>
      <c r="AF80" s="2">
        <f t="shared" si="33"/>
        <v>1</v>
      </c>
      <c r="AG80" s="2">
        <f t="shared" si="34"/>
        <v>0</v>
      </c>
      <c r="AH80" s="2">
        <f t="shared" si="35"/>
        <v>1</v>
      </c>
      <c r="AI80" s="2">
        <f t="shared" si="36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841</v>
      </c>
      <c r="J81" s="29">
        <v>3</v>
      </c>
      <c r="K81" s="29" t="s">
        <v>330</v>
      </c>
      <c r="L81" s="29" t="s">
        <v>346</v>
      </c>
      <c r="M81" s="30" t="s">
        <v>765</v>
      </c>
      <c r="N81" s="30" t="s">
        <v>901</v>
      </c>
      <c r="O81" s="31">
        <v>1</v>
      </c>
      <c r="P81" s="31"/>
      <c r="Q81" s="30"/>
      <c r="R81" s="20"/>
      <c r="S81" s="2">
        <f t="shared" si="21"/>
        <v>0</v>
      </c>
      <c r="T81" s="2">
        <f t="shared" si="22"/>
        <v>0</v>
      </c>
      <c r="U81" s="2">
        <f t="shared" si="23"/>
        <v>1</v>
      </c>
      <c r="V81" s="2">
        <f t="shared" si="24"/>
        <v>0</v>
      </c>
      <c r="W81" s="2">
        <f t="shared" si="25"/>
        <v>0</v>
      </c>
      <c r="X81" s="2">
        <f t="shared" si="26"/>
        <v>0</v>
      </c>
      <c r="Y81" s="2">
        <f t="shared" si="27"/>
        <v>0</v>
      </c>
      <c r="Z81" s="2">
        <f t="shared" si="28"/>
        <v>0</v>
      </c>
      <c r="AA81" s="2">
        <f t="shared" si="29"/>
        <v>0</v>
      </c>
      <c r="AB81" s="2">
        <f t="shared" si="30"/>
        <v>0</v>
      </c>
      <c r="AC81" s="2"/>
      <c r="AD81" s="2">
        <f t="shared" si="31"/>
        <v>0</v>
      </c>
      <c r="AE81" s="2">
        <f t="shared" si="32"/>
        <v>1</v>
      </c>
      <c r="AF81" s="2">
        <f t="shared" si="33"/>
        <v>0</v>
      </c>
      <c r="AG81" s="2">
        <f t="shared" si="34"/>
        <v>1</v>
      </c>
      <c r="AH81" s="2">
        <f t="shared" si="35"/>
        <v>0</v>
      </c>
      <c r="AI81" s="2">
        <f t="shared" si="36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854</v>
      </c>
      <c r="M82" s="30" t="s">
        <v>700</v>
      </c>
      <c r="N82" s="30" t="s">
        <v>901</v>
      </c>
      <c r="O82" s="31">
        <v>1</v>
      </c>
      <c r="P82" s="31"/>
      <c r="Q82" s="30"/>
      <c r="R82" s="2"/>
      <c r="S82" s="2">
        <f t="shared" si="21"/>
        <v>0</v>
      </c>
      <c r="T82" s="2">
        <f t="shared" si="22"/>
        <v>0</v>
      </c>
      <c r="U82" s="2">
        <f t="shared" si="23"/>
        <v>0</v>
      </c>
      <c r="V82" s="2">
        <f t="shared" si="24"/>
        <v>0</v>
      </c>
      <c r="W82" s="2">
        <f t="shared" si="25"/>
        <v>0</v>
      </c>
      <c r="X82" s="2">
        <f t="shared" si="26"/>
        <v>0</v>
      </c>
      <c r="Y82" s="2">
        <f t="shared" si="27"/>
        <v>0</v>
      </c>
      <c r="Z82" s="2">
        <f t="shared" si="28"/>
        <v>0</v>
      </c>
      <c r="AA82" s="2">
        <f t="shared" si="29"/>
        <v>0</v>
      </c>
      <c r="AB82" s="2">
        <f t="shared" si="30"/>
        <v>0</v>
      </c>
      <c r="AC82" s="2"/>
      <c r="AD82" s="2">
        <f t="shared" si="31"/>
        <v>0</v>
      </c>
      <c r="AE82" s="2">
        <f t="shared" si="32"/>
        <v>1</v>
      </c>
      <c r="AF82" s="2">
        <f t="shared" si="33"/>
        <v>0</v>
      </c>
      <c r="AG82" s="2">
        <f t="shared" si="34"/>
        <v>1</v>
      </c>
      <c r="AH82" s="2">
        <f t="shared" si="35"/>
        <v>0</v>
      </c>
      <c r="AI82" s="2">
        <f t="shared" si="36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749</v>
      </c>
      <c r="N83" s="30" t="s">
        <v>899</v>
      </c>
      <c r="O83" s="31">
        <v>1</v>
      </c>
      <c r="P83" s="31"/>
      <c r="Q83" s="30"/>
      <c r="R83" s="2"/>
      <c r="S83" s="2">
        <f t="shared" si="21"/>
        <v>0</v>
      </c>
      <c r="T83" s="2">
        <f t="shared" si="22"/>
        <v>0</v>
      </c>
      <c r="U83" s="2">
        <f t="shared" si="23"/>
        <v>0</v>
      </c>
      <c r="V83" s="2">
        <f t="shared" si="24"/>
        <v>0</v>
      </c>
      <c r="W83" s="2">
        <f t="shared" si="25"/>
        <v>0</v>
      </c>
      <c r="X83" s="2">
        <f t="shared" si="26"/>
        <v>0</v>
      </c>
      <c r="Y83" s="2">
        <f t="shared" si="27"/>
        <v>0</v>
      </c>
      <c r="Z83" s="2">
        <f t="shared" si="28"/>
        <v>0</v>
      </c>
      <c r="AA83" s="2">
        <f t="shared" si="29"/>
        <v>0</v>
      </c>
      <c r="AB83" s="2">
        <f t="shared" si="30"/>
        <v>0</v>
      </c>
      <c r="AC83" s="2"/>
      <c r="AD83" s="2">
        <f t="shared" si="31"/>
        <v>0</v>
      </c>
      <c r="AE83" s="2">
        <f t="shared" si="32"/>
        <v>1</v>
      </c>
      <c r="AF83" s="2">
        <f t="shared" si="33"/>
        <v>0</v>
      </c>
      <c r="AG83" s="2">
        <f t="shared" si="34"/>
        <v>1</v>
      </c>
      <c r="AH83" s="2">
        <f t="shared" si="35"/>
        <v>0</v>
      </c>
      <c r="AI83" s="2">
        <f t="shared" si="36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1"/>
        <v>0</v>
      </c>
      <c r="T84" s="2">
        <f t="shared" si="22"/>
        <v>0</v>
      </c>
      <c r="U84" s="2">
        <f t="shared" si="23"/>
        <v>0</v>
      </c>
      <c r="V84" s="2">
        <f t="shared" si="24"/>
        <v>0</v>
      </c>
      <c r="W84" s="2">
        <f t="shared" si="25"/>
        <v>0</v>
      </c>
      <c r="X84" s="2">
        <f t="shared" si="26"/>
        <v>0</v>
      </c>
      <c r="Y84" s="2">
        <f t="shared" si="27"/>
        <v>0</v>
      </c>
      <c r="Z84" s="2">
        <f t="shared" si="28"/>
        <v>0</v>
      </c>
      <c r="AA84" s="2">
        <f t="shared" si="29"/>
        <v>0</v>
      </c>
      <c r="AB84" s="2">
        <f t="shared" si="30"/>
        <v>0</v>
      </c>
      <c r="AC84" s="2"/>
      <c r="AD84" s="2">
        <f t="shared" si="31"/>
        <v>0</v>
      </c>
      <c r="AE84" s="2">
        <f t="shared" si="32"/>
        <v>0</v>
      </c>
      <c r="AF84" s="2">
        <f t="shared" si="33"/>
        <v>0</v>
      </c>
      <c r="AG84" s="2">
        <f t="shared" si="34"/>
        <v>0</v>
      </c>
      <c r="AH84" s="2">
        <f t="shared" si="35"/>
        <v>0</v>
      </c>
      <c r="AI84" s="2">
        <f t="shared" si="36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21"/>
        <v>0</v>
      </c>
      <c r="T85" s="2">
        <f t="shared" si="22"/>
        <v>0</v>
      </c>
      <c r="U85" s="2">
        <f t="shared" si="23"/>
        <v>0</v>
      </c>
      <c r="V85" s="2">
        <f t="shared" si="24"/>
        <v>0</v>
      </c>
      <c r="W85" s="2">
        <f t="shared" si="25"/>
        <v>0</v>
      </c>
      <c r="X85" s="2">
        <f t="shared" si="26"/>
        <v>0</v>
      </c>
      <c r="Y85" s="2">
        <f t="shared" si="27"/>
        <v>0</v>
      </c>
      <c r="Z85" s="2">
        <f t="shared" si="28"/>
        <v>0</v>
      </c>
      <c r="AA85" s="2">
        <f t="shared" si="29"/>
        <v>0</v>
      </c>
      <c r="AB85" s="2">
        <f t="shared" si="30"/>
        <v>0</v>
      </c>
      <c r="AC85" s="2"/>
      <c r="AD85" s="2">
        <f t="shared" si="31"/>
        <v>0</v>
      </c>
      <c r="AE85" s="2">
        <f t="shared" si="32"/>
        <v>0</v>
      </c>
      <c r="AF85" s="2">
        <f t="shared" si="33"/>
        <v>0</v>
      </c>
      <c r="AG85" s="2">
        <f t="shared" si="34"/>
        <v>0</v>
      </c>
      <c r="AH85" s="2">
        <f t="shared" si="35"/>
        <v>1</v>
      </c>
      <c r="AI85" s="2">
        <f t="shared" si="36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733</v>
      </c>
      <c r="E86" s="21" t="s">
        <v>258</v>
      </c>
      <c r="F86" s="21" t="s">
        <v>734</v>
      </c>
      <c r="G86" s="21" t="s">
        <v>735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732</v>
      </c>
      <c r="N86" s="21"/>
      <c r="O86" s="7"/>
      <c r="P86" s="7"/>
      <c r="Q86" s="21"/>
      <c r="R86" s="2"/>
      <c r="S86" s="2">
        <f t="shared" si="21"/>
        <v>0</v>
      </c>
      <c r="T86" s="2">
        <f t="shared" si="22"/>
        <v>0</v>
      </c>
      <c r="U86" s="2">
        <f t="shared" si="23"/>
        <v>0</v>
      </c>
      <c r="V86" s="2">
        <f t="shared" si="24"/>
        <v>0</v>
      </c>
      <c r="W86" s="2">
        <f t="shared" si="25"/>
        <v>0</v>
      </c>
      <c r="X86" s="2">
        <f t="shared" si="26"/>
        <v>0</v>
      </c>
      <c r="Y86" s="2">
        <f t="shared" si="27"/>
        <v>0</v>
      </c>
      <c r="Z86" s="2">
        <f t="shared" si="28"/>
        <v>0</v>
      </c>
      <c r="AA86" s="2">
        <f t="shared" si="29"/>
        <v>0</v>
      </c>
      <c r="AB86" s="2">
        <f t="shared" si="30"/>
        <v>0</v>
      </c>
      <c r="AC86" s="2"/>
      <c r="AD86" s="2">
        <f t="shared" si="31"/>
        <v>0</v>
      </c>
      <c r="AE86" s="2">
        <f t="shared" si="32"/>
        <v>0</v>
      </c>
      <c r="AF86" s="2">
        <f t="shared" si="33"/>
        <v>0</v>
      </c>
      <c r="AG86" s="2">
        <f t="shared" si="34"/>
        <v>0</v>
      </c>
      <c r="AH86" s="2">
        <f t="shared" si="35"/>
        <v>0</v>
      </c>
      <c r="AI86" s="2">
        <f t="shared" si="36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829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743</v>
      </c>
      <c r="N87" s="33" t="s">
        <v>900</v>
      </c>
      <c r="O87" s="34"/>
      <c r="P87" s="34"/>
      <c r="Q87" s="33"/>
      <c r="R87" s="2"/>
      <c r="S87" s="2">
        <f t="shared" si="21"/>
        <v>0</v>
      </c>
      <c r="T87" s="2">
        <f t="shared" si="22"/>
        <v>0</v>
      </c>
      <c r="U87" s="2">
        <f t="shared" si="23"/>
        <v>0</v>
      </c>
      <c r="V87" s="2">
        <f t="shared" si="24"/>
        <v>0</v>
      </c>
      <c r="W87" s="2">
        <f t="shared" si="25"/>
        <v>0</v>
      </c>
      <c r="X87" s="2">
        <f t="shared" si="26"/>
        <v>0</v>
      </c>
      <c r="Y87" s="2">
        <f t="shared" si="27"/>
        <v>0</v>
      </c>
      <c r="Z87" s="2">
        <f t="shared" si="28"/>
        <v>0</v>
      </c>
      <c r="AA87" s="2">
        <f t="shared" si="29"/>
        <v>0</v>
      </c>
      <c r="AB87" s="2">
        <f t="shared" si="30"/>
        <v>0</v>
      </c>
      <c r="AC87" s="2"/>
      <c r="AD87" s="2">
        <f t="shared" si="31"/>
        <v>0</v>
      </c>
      <c r="AE87" s="2">
        <f t="shared" si="32"/>
        <v>0</v>
      </c>
      <c r="AF87" s="2">
        <f t="shared" si="33"/>
        <v>0</v>
      </c>
      <c r="AG87" s="2">
        <f t="shared" si="34"/>
        <v>0</v>
      </c>
      <c r="AH87" s="2">
        <f t="shared" si="35"/>
        <v>0</v>
      </c>
      <c r="AI87" s="2">
        <f t="shared" si="36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782</v>
      </c>
      <c r="N88" s="30" t="s">
        <v>907</v>
      </c>
      <c r="O88" s="31">
        <v>1</v>
      </c>
      <c r="P88" s="31"/>
      <c r="Q88" s="30"/>
      <c r="R88" s="2"/>
      <c r="S88" s="2">
        <f t="shared" si="21"/>
        <v>1</v>
      </c>
      <c r="T88" s="2">
        <f t="shared" si="22"/>
        <v>0</v>
      </c>
      <c r="U88" s="2">
        <f t="shared" si="23"/>
        <v>0</v>
      </c>
      <c r="V88" s="2">
        <f t="shared" si="24"/>
        <v>0</v>
      </c>
      <c r="W88" s="2">
        <f t="shared" si="25"/>
        <v>0</v>
      </c>
      <c r="X88" s="2">
        <f t="shared" si="26"/>
        <v>0</v>
      </c>
      <c r="Y88" s="2">
        <f t="shared" si="27"/>
        <v>0</v>
      </c>
      <c r="Z88" s="2">
        <f t="shared" si="28"/>
        <v>0</v>
      </c>
      <c r="AA88" s="2">
        <f t="shared" si="29"/>
        <v>0</v>
      </c>
      <c r="AB88" s="2">
        <f t="shared" si="30"/>
        <v>0</v>
      </c>
      <c r="AC88" s="2"/>
      <c r="AD88" s="2">
        <f t="shared" si="31"/>
        <v>0</v>
      </c>
      <c r="AE88" s="2">
        <f t="shared" si="32"/>
        <v>1</v>
      </c>
      <c r="AF88" s="2">
        <f t="shared" si="33"/>
        <v>0</v>
      </c>
      <c r="AG88" s="2">
        <f t="shared" si="34"/>
        <v>1</v>
      </c>
      <c r="AH88" s="2">
        <f t="shared" si="35"/>
        <v>0</v>
      </c>
      <c r="AI88" s="2">
        <f t="shared" si="36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981</v>
      </c>
      <c r="E89" s="27" t="s">
        <v>258</v>
      </c>
      <c r="F89" s="27" t="s">
        <v>982</v>
      </c>
      <c r="G89" s="27" t="s">
        <v>983</v>
      </c>
      <c r="H89" s="27" t="s">
        <v>165</v>
      </c>
      <c r="I89" s="26" t="s">
        <v>984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21"/>
        <v>0</v>
      </c>
      <c r="T89" s="2">
        <f t="shared" si="22"/>
        <v>0</v>
      </c>
      <c r="U89" s="2">
        <f t="shared" si="23"/>
        <v>0</v>
      </c>
      <c r="V89" s="2">
        <f t="shared" si="24"/>
        <v>0</v>
      </c>
      <c r="W89" s="2">
        <f t="shared" si="25"/>
        <v>0</v>
      </c>
      <c r="X89" s="2">
        <f t="shared" si="26"/>
        <v>0</v>
      </c>
      <c r="Y89" s="2">
        <f t="shared" si="27"/>
        <v>0</v>
      </c>
      <c r="Z89" s="2">
        <f t="shared" si="28"/>
        <v>0</v>
      </c>
      <c r="AA89" s="2">
        <f t="shared" si="29"/>
        <v>0</v>
      </c>
      <c r="AB89" s="2">
        <f t="shared" si="30"/>
        <v>0</v>
      </c>
      <c r="AC89" s="2"/>
      <c r="AD89" s="2">
        <f t="shared" si="31"/>
        <v>0</v>
      </c>
      <c r="AE89" s="2">
        <f t="shared" si="32"/>
        <v>0</v>
      </c>
      <c r="AF89" s="2">
        <f t="shared" si="33"/>
        <v>0</v>
      </c>
      <c r="AG89" s="2">
        <f t="shared" si="34"/>
        <v>0</v>
      </c>
      <c r="AH89" s="2">
        <f t="shared" si="35"/>
        <v>1</v>
      </c>
      <c r="AI89" s="2">
        <f t="shared" si="36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1"/>
        <v>0</v>
      </c>
      <c r="T90" s="2">
        <f t="shared" si="22"/>
        <v>1</v>
      </c>
      <c r="U90" s="2">
        <f t="shared" si="23"/>
        <v>0</v>
      </c>
      <c r="V90" s="2">
        <f t="shared" si="24"/>
        <v>0</v>
      </c>
      <c r="W90" s="2">
        <f t="shared" si="25"/>
        <v>0</v>
      </c>
      <c r="X90" s="2">
        <f t="shared" si="26"/>
        <v>0</v>
      </c>
      <c r="Y90" s="2">
        <f t="shared" si="27"/>
        <v>0</v>
      </c>
      <c r="Z90" s="2">
        <f t="shared" si="28"/>
        <v>0</v>
      </c>
      <c r="AA90" s="2">
        <f t="shared" si="29"/>
        <v>0</v>
      </c>
      <c r="AB90" s="2">
        <f t="shared" si="30"/>
        <v>0</v>
      </c>
      <c r="AC90" s="2"/>
      <c r="AD90" s="2">
        <f t="shared" si="31"/>
        <v>0</v>
      </c>
      <c r="AE90" s="2">
        <f t="shared" si="32"/>
        <v>0</v>
      </c>
      <c r="AF90" s="2">
        <f t="shared" si="33"/>
        <v>0</v>
      </c>
      <c r="AG90" s="2">
        <f t="shared" si="34"/>
        <v>0</v>
      </c>
      <c r="AH90" s="2">
        <f t="shared" si="35"/>
        <v>0</v>
      </c>
      <c r="AI90" s="2">
        <f t="shared" si="36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912</v>
      </c>
      <c r="O91" s="31">
        <v>1</v>
      </c>
      <c r="P91" s="31"/>
      <c r="Q91" s="30"/>
      <c r="R91" s="2"/>
      <c r="S91" s="2">
        <f t="shared" si="21"/>
        <v>0</v>
      </c>
      <c r="T91" s="2">
        <f t="shared" si="22"/>
        <v>0</v>
      </c>
      <c r="U91" s="2">
        <f t="shared" si="23"/>
        <v>0</v>
      </c>
      <c r="V91" s="2">
        <f t="shared" si="24"/>
        <v>0</v>
      </c>
      <c r="W91" s="2">
        <f t="shared" si="25"/>
        <v>0</v>
      </c>
      <c r="X91" s="2">
        <f t="shared" si="26"/>
        <v>1</v>
      </c>
      <c r="Y91" s="2">
        <f t="shared" si="27"/>
        <v>0</v>
      </c>
      <c r="Z91" s="2">
        <f t="shared" si="28"/>
        <v>0</v>
      </c>
      <c r="AA91" s="2">
        <f t="shared" si="29"/>
        <v>0</v>
      </c>
      <c r="AB91" s="2">
        <f t="shared" si="30"/>
        <v>0</v>
      </c>
      <c r="AC91" s="2"/>
      <c r="AD91" s="2">
        <f t="shared" si="31"/>
        <v>0</v>
      </c>
      <c r="AE91" s="2">
        <f t="shared" si="32"/>
        <v>1</v>
      </c>
      <c r="AF91" s="2">
        <f t="shared" si="33"/>
        <v>0</v>
      </c>
      <c r="AG91" s="2">
        <f t="shared" si="34"/>
        <v>1</v>
      </c>
      <c r="AH91" s="2">
        <f t="shared" si="35"/>
        <v>0</v>
      </c>
      <c r="AI91" s="2">
        <f t="shared" si="36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912</v>
      </c>
      <c r="O92" s="31">
        <v>1</v>
      </c>
      <c r="P92" s="31"/>
      <c r="Q92" s="30"/>
      <c r="R92" s="2"/>
      <c r="S92" s="2">
        <f t="shared" si="21"/>
        <v>0</v>
      </c>
      <c r="T92" s="2">
        <f t="shared" si="22"/>
        <v>0</v>
      </c>
      <c r="U92" s="2">
        <f t="shared" si="23"/>
        <v>0</v>
      </c>
      <c r="V92" s="2">
        <f t="shared" si="24"/>
        <v>0</v>
      </c>
      <c r="W92" s="2">
        <f t="shared" si="25"/>
        <v>0</v>
      </c>
      <c r="X92" s="2">
        <f t="shared" si="26"/>
        <v>0</v>
      </c>
      <c r="Y92" s="2">
        <f t="shared" si="27"/>
        <v>0</v>
      </c>
      <c r="Z92" s="2">
        <f t="shared" si="28"/>
        <v>0</v>
      </c>
      <c r="AA92" s="2">
        <f t="shared" si="29"/>
        <v>0</v>
      </c>
      <c r="AB92" s="2">
        <f t="shared" si="30"/>
        <v>1</v>
      </c>
      <c r="AC92" s="2"/>
      <c r="AD92" s="2">
        <f t="shared" si="31"/>
        <v>0</v>
      </c>
      <c r="AE92" s="2">
        <f t="shared" si="32"/>
        <v>1</v>
      </c>
      <c r="AF92" s="2">
        <f t="shared" si="33"/>
        <v>0</v>
      </c>
      <c r="AG92" s="2">
        <f t="shared" si="34"/>
        <v>0</v>
      </c>
      <c r="AH92" s="2">
        <f t="shared" si="35"/>
        <v>0</v>
      </c>
      <c r="AI92" s="2">
        <f t="shared" si="36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912</v>
      </c>
      <c r="O93" s="31">
        <v>1</v>
      </c>
      <c r="P93" s="31"/>
      <c r="Q93" s="30"/>
      <c r="R93" s="2"/>
      <c r="S93" s="2">
        <f t="shared" si="21"/>
        <v>0</v>
      </c>
      <c r="T93" s="2">
        <f t="shared" si="22"/>
        <v>0</v>
      </c>
      <c r="U93" s="2">
        <f t="shared" si="23"/>
        <v>0</v>
      </c>
      <c r="V93" s="2">
        <f t="shared" si="24"/>
        <v>0</v>
      </c>
      <c r="W93" s="2">
        <f t="shared" si="25"/>
        <v>0</v>
      </c>
      <c r="X93" s="2">
        <f t="shared" si="26"/>
        <v>1</v>
      </c>
      <c r="Y93" s="2">
        <f t="shared" si="27"/>
        <v>0</v>
      </c>
      <c r="Z93" s="2">
        <f t="shared" si="28"/>
        <v>0</v>
      </c>
      <c r="AA93" s="2">
        <f t="shared" si="29"/>
        <v>0</v>
      </c>
      <c r="AB93" s="2">
        <f t="shared" si="30"/>
        <v>0</v>
      </c>
      <c r="AC93" s="2"/>
      <c r="AD93" s="2">
        <f t="shared" si="31"/>
        <v>0</v>
      </c>
      <c r="AE93" s="2">
        <f t="shared" si="32"/>
        <v>1</v>
      </c>
      <c r="AF93" s="2">
        <f t="shared" si="33"/>
        <v>0</v>
      </c>
      <c r="AG93" s="2">
        <f t="shared" si="34"/>
        <v>0</v>
      </c>
      <c r="AH93" s="2">
        <f t="shared" si="35"/>
        <v>0</v>
      </c>
      <c r="AI93" s="2">
        <f t="shared" si="36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671</v>
      </c>
      <c r="G94" s="30" t="s">
        <v>673</v>
      </c>
      <c r="H94" s="30" t="s">
        <v>165</v>
      </c>
      <c r="I94" s="29" t="s">
        <v>672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912</v>
      </c>
      <c r="O94" s="31">
        <v>1</v>
      </c>
      <c r="P94" s="31"/>
      <c r="Q94" s="30"/>
      <c r="R94" s="2"/>
      <c r="S94" s="2">
        <f t="shared" si="21"/>
        <v>0</v>
      </c>
      <c r="T94" s="2">
        <f t="shared" si="22"/>
        <v>0</v>
      </c>
      <c r="U94" s="2">
        <f t="shared" si="23"/>
        <v>0</v>
      </c>
      <c r="V94" s="2">
        <f t="shared" si="24"/>
        <v>0</v>
      </c>
      <c r="W94" s="2">
        <f t="shared" si="25"/>
        <v>0</v>
      </c>
      <c r="X94" s="2">
        <f t="shared" si="26"/>
        <v>0</v>
      </c>
      <c r="Y94" s="2">
        <f t="shared" si="27"/>
        <v>0</v>
      </c>
      <c r="Z94" s="2">
        <f t="shared" si="28"/>
        <v>0</v>
      </c>
      <c r="AA94" s="2">
        <f t="shared" si="29"/>
        <v>0</v>
      </c>
      <c r="AB94" s="2">
        <f t="shared" si="30"/>
        <v>0</v>
      </c>
      <c r="AC94" s="2"/>
      <c r="AD94" s="2">
        <f t="shared" si="31"/>
        <v>0</v>
      </c>
      <c r="AE94" s="2">
        <f t="shared" si="32"/>
        <v>1</v>
      </c>
      <c r="AF94" s="2">
        <f t="shared" si="33"/>
        <v>0</v>
      </c>
      <c r="AG94" s="2">
        <f t="shared" si="34"/>
        <v>0</v>
      </c>
      <c r="AH94" s="2">
        <f t="shared" si="35"/>
        <v>0</v>
      </c>
      <c r="AI94" s="2">
        <f t="shared" si="36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912</v>
      </c>
      <c r="O95" s="31">
        <v>1</v>
      </c>
      <c r="P95" s="31"/>
      <c r="Q95" s="30"/>
      <c r="R95" s="2"/>
      <c r="S95" s="2">
        <f t="shared" si="21"/>
        <v>0</v>
      </c>
      <c r="T95" s="2">
        <f t="shared" si="22"/>
        <v>0</v>
      </c>
      <c r="U95" s="2">
        <f t="shared" si="23"/>
        <v>0</v>
      </c>
      <c r="V95" s="2">
        <f t="shared" si="24"/>
        <v>0</v>
      </c>
      <c r="W95" s="2">
        <f t="shared" si="25"/>
        <v>0</v>
      </c>
      <c r="X95" s="2">
        <f t="shared" si="26"/>
        <v>0</v>
      </c>
      <c r="Y95" s="2">
        <f t="shared" si="27"/>
        <v>0</v>
      </c>
      <c r="Z95" s="2">
        <f t="shared" si="28"/>
        <v>1</v>
      </c>
      <c r="AA95" s="2">
        <f t="shared" si="29"/>
        <v>0</v>
      </c>
      <c r="AB95" s="2">
        <f t="shared" si="30"/>
        <v>0</v>
      </c>
      <c r="AC95" s="2"/>
      <c r="AD95" s="2">
        <f t="shared" si="31"/>
        <v>0</v>
      </c>
      <c r="AE95" s="2">
        <f t="shared" si="32"/>
        <v>1</v>
      </c>
      <c r="AF95" s="2">
        <f t="shared" si="33"/>
        <v>0</v>
      </c>
      <c r="AG95" s="2">
        <f t="shared" si="34"/>
        <v>0</v>
      </c>
      <c r="AH95" s="2">
        <f t="shared" si="35"/>
        <v>0</v>
      </c>
      <c r="AI95" s="2">
        <f t="shared" si="36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912</v>
      </c>
      <c r="O96" s="31">
        <v>1</v>
      </c>
      <c r="P96" s="31"/>
      <c r="Q96" s="30"/>
      <c r="R96" s="2"/>
      <c r="S96" s="2">
        <f t="shared" si="21"/>
        <v>0</v>
      </c>
      <c r="T96" s="2">
        <f t="shared" si="22"/>
        <v>0</v>
      </c>
      <c r="U96" s="2">
        <f t="shared" si="23"/>
        <v>0</v>
      </c>
      <c r="V96" s="2">
        <f t="shared" si="24"/>
        <v>0</v>
      </c>
      <c r="W96" s="2">
        <f t="shared" si="25"/>
        <v>0</v>
      </c>
      <c r="X96" s="2">
        <f t="shared" si="26"/>
        <v>0</v>
      </c>
      <c r="Y96" s="2">
        <f t="shared" si="27"/>
        <v>0</v>
      </c>
      <c r="Z96" s="2">
        <f t="shared" si="28"/>
        <v>0</v>
      </c>
      <c r="AA96" s="2">
        <f t="shared" si="29"/>
        <v>0</v>
      </c>
      <c r="AB96" s="2">
        <f t="shared" si="30"/>
        <v>0</v>
      </c>
      <c r="AC96" s="2"/>
      <c r="AD96" s="2">
        <f t="shared" si="31"/>
        <v>0</v>
      </c>
      <c r="AE96" s="2">
        <f t="shared" si="32"/>
        <v>1</v>
      </c>
      <c r="AF96" s="2">
        <f t="shared" si="33"/>
        <v>0</v>
      </c>
      <c r="AG96" s="2">
        <f t="shared" si="34"/>
        <v>0</v>
      </c>
      <c r="AH96" s="2">
        <f t="shared" si="35"/>
        <v>0</v>
      </c>
      <c r="AI96" s="2">
        <f t="shared" si="36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893</v>
      </c>
      <c r="O97" s="31">
        <v>1</v>
      </c>
      <c r="P97" s="31">
        <v>1</v>
      </c>
      <c r="Q97" s="30"/>
      <c r="S97" s="2">
        <f t="shared" si="21"/>
        <v>1</v>
      </c>
      <c r="T97" s="2">
        <f t="shared" si="22"/>
        <v>0</v>
      </c>
      <c r="U97" s="2">
        <f t="shared" si="23"/>
        <v>0</v>
      </c>
      <c r="V97" s="2">
        <f t="shared" si="24"/>
        <v>0</v>
      </c>
      <c r="W97" s="2">
        <f t="shared" si="25"/>
        <v>0</v>
      </c>
      <c r="X97" s="2">
        <f t="shared" si="26"/>
        <v>0</v>
      </c>
      <c r="Y97" s="2">
        <f t="shared" si="27"/>
        <v>0</v>
      </c>
      <c r="Z97" s="2">
        <f t="shared" si="28"/>
        <v>0</v>
      </c>
      <c r="AA97" s="2">
        <f t="shared" si="29"/>
        <v>0</v>
      </c>
      <c r="AB97" s="2">
        <f t="shared" si="30"/>
        <v>0</v>
      </c>
      <c r="AD97" s="2">
        <f t="shared" si="31"/>
        <v>1</v>
      </c>
      <c r="AE97" s="2">
        <f t="shared" si="32"/>
        <v>0</v>
      </c>
      <c r="AF97" s="2">
        <f t="shared" si="33"/>
        <v>1</v>
      </c>
      <c r="AG97" s="2">
        <f t="shared" si="34"/>
        <v>0</v>
      </c>
      <c r="AH97" s="2">
        <f t="shared" si="35"/>
        <v>1</v>
      </c>
      <c r="AI97" s="2">
        <f t="shared" si="36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908</v>
      </c>
      <c r="O98" s="31">
        <v>1</v>
      </c>
      <c r="P98" s="31"/>
      <c r="Q98" s="30"/>
      <c r="S98" s="2">
        <f t="shared" si="21"/>
        <v>0</v>
      </c>
      <c r="T98" s="2">
        <f t="shared" si="22"/>
        <v>0</v>
      </c>
      <c r="U98" s="2">
        <f t="shared" si="23"/>
        <v>1</v>
      </c>
      <c r="V98" s="2">
        <f t="shared" si="24"/>
        <v>0</v>
      </c>
      <c r="W98" s="2">
        <f t="shared" si="25"/>
        <v>0</v>
      </c>
      <c r="X98" s="2">
        <f t="shared" si="26"/>
        <v>0</v>
      </c>
      <c r="Y98" s="2">
        <f t="shared" si="27"/>
        <v>0</v>
      </c>
      <c r="Z98" s="2">
        <f t="shared" si="28"/>
        <v>0</v>
      </c>
      <c r="AA98" s="2">
        <f t="shared" si="29"/>
        <v>0</v>
      </c>
      <c r="AB98" s="2">
        <f t="shared" si="30"/>
        <v>0</v>
      </c>
      <c r="AD98" s="2">
        <f t="shared" si="31"/>
        <v>0</v>
      </c>
      <c r="AE98" s="2">
        <f t="shared" si="32"/>
        <v>1</v>
      </c>
      <c r="AF98" s="2">
        <f t="shared" si="33"/>
        <v>0</v>
      </c>
      <c r="AG98" s="2">
        <f t="shared" si="34"/>
        <v>1</v>
      </c>
      <c r="AH98" s="2">
        <f t="shared" si="35"/>
        <v>0</v>
      </c>
      <c r="AI98" s="2">
        <f t="shared" si="36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669</v>
      </c>
      <c r="G99" s="30" t="s">
        <v>96</v>
      </c>
      <c r="H99" s="30" t="s">
        <v>165</v>
      </c>
      <c r="I99" s="29" t="s">
        <v>839</v>
      </c>
      <c r="J99" s="29">
        <v>1</v>
      </c>
      <c r="K99" s="29" t="s">
        <v>320</v>
      </c>
      <c r="L99" s="29" t="s">
        <v>343</v>
      </c>
      <c r="M99" s="30" t="s">
        <v>750</v>
      </c>
      <c r="N99" s="30" t="s">
        <v>901</v>
      </c>
      <c r="O99" s="31">
        <v>1</v>
      </c>
      <c r="P99" s="31"/>
      <c r="Q99" s="30"/>
      <c r="S99" s="2">
        <f t="shared" si="21"/>
        <v>1</v>
      </c>
      <c r="T99" s="2">
        <f t="shared" si="22"/>
        <v>0</v>
      </c>
      <c r="U99" s="2">
        <f t="shared" si="23"/>
        <v>0</v>
      </c>
      <c r="V99" s="2">
        <f t="shared" si="24"/>
        <v>0</v>
      </c>
      <c r="W99" s="2">
        <f t="shared" si="25"/>
        <v>0</v>
      </c>
      <c r="X99" s="2">
        <f t="shared" si="26"/>
        <v>0</v>
      </c>
      <c r="Y99" s="2">
        <f t="shared" si="27"/>
        <v>0</v>
      </c>
      <c r="Z99" s="2">
        <f t="shared" si="28"/>
        <v>0</v>
      </c>
      <c r="AA99" s="2">
        <f t="shared" si="29"/>
        <v>0</v>
      </c>
      <c r="AB99" s="2">
        <f t="shared" si="30"/>
        <v>0</v>
      </c>
      <c r="AD99" s="2">
        <f t="shared" si="31"/>
        <v>0</v>
      </c>
      <c r="AE99" s="2">
        <f t="shared" si="32"/>
        <v>1</v>
      </c>
      <c r="AF99" s="2">
        <f t="shared" si="33"/>
        <v>0</v>
      </c>
      <c r="AG99" s="2">
        <f t="shared" si="34"/>
        <v>1</v>
      </c>
      <c r="AH99" s="2">
        <f t="shared" si="35"/>
        <v>0</v>
      </c>
      <c r="AI99" s="2">
        <f t="shared" si="36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750</v>
      </c>
      <c r="N100" s="30" t="s">
        <v>901</v>
      </c>
      <c r="O100" s="31">
        <v>1</v>
      </c>
      <c r="P100" s="31"/>
      <c r="Q100" s="30"/>
      <c r="S100" s="2">
        <f t="shared" si="21"/>
        <v>1</v>
      </c>
      <c r="T100" s="2">
        <f t="shared" si="22"/>
        <v>0</v>
      </c>
      <c r="U100" s="2">
        <f t="shared" si="23"/>
        <v>0</v>
      </c>
      <c r="V100" s="2">
        <f t="shared" si="24"/>
        <v>0</v>
      </c>
      <c r="W100" s="2">
        <f t="shared" si="25"/>
        <v>0</v>
      </c>
      <c r="X100" s="2">
        <f t="shared" si="26"/>
        <v>0</v>
      </c>
      <c r="Y100" s="2">
        <f t="shared" si="27"/>
        <v>0</v>
      </c>
      <c r="Z100" s="2">
        <f t="shared" si="28"/>
        <v>0</v>
      </c>
      <c r="AA100" s="2">
        <f t="shared" si="29"/>
        <v>0</v>
      </c>
      <c r="AB100" s="2">
        <f t="shared" si="30"/>
        <v>0</v>
      </c>
      <c r="AD100" s="2">
        <f t="shared" si="31"/>
        <v>0</v>
      </c>
      <c r="AE100" s="2">
        <f t="shared" si="32"/>
        <v>1</v>
      </c>
      <c r="AF100" s="2">
        <f t="shared" si="33"/>
        <v>0</v>
      </c>
      <c r="AG100" s="2">
        <f t="shared" si="34"/>
        <v>0</v>
      </c>
      <c r="AH100" s="2">
        <f t="shared" si="35"/>
        <v>0</v>
      </c>
      <c r="AI100" s="2">
        <f t="shared" si="36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750</v>
      </c>
      <c r="N101" s="30" t="s">
        <v>901</v>
      </c>
      <c r="O101" s="31">
        <v>1</v>
      </c>
      <c r="P101" s="31"/>
      <c r="Q101" s="30"/>
      <c r="S101" s="2">
        <f t="shared" si="21"/>
        <v>0</v>
      </c>
      <c r="T101" s="2">
        <f t="shared" si="22"/>
        <v>1</v>
      </c>
      <c r="U101" s="2">
        <f t="shared" si="23"/>
        <v>0</v>
      </c>
      <c r="V101" s="2">
        <f t="shared" si="24"/>
        <v>0</v>
      </c>
      <c r="W101" s="2">
        <f t="shared" si="25"/>
        <v>0</v>
      </c>
      <c r="X101" s="2">
        <f t="shared" si="26"/>
        <v>0</v>
      </c>
      <c r="Y101" s="2">
        <f t="shared" si="27"/>
        <v>0</v>
      </c>
      <c r="Z101" s="2">
        <f t="shared" si="28"/>
        <v>0</v>
      </c>
      <c r="AA101" s="2">
        <f t="shared" si="29"/>
        <v>0</v>
      </c>
      <c r="AB101" s="2">
        <f t="shared" si="30"/>
        <v>0</v>
      </c>
      <c r="AD101" s="2">
        <f t="shared" si="31"/>
        <v>0</v>
      </c>
      <c r="AE101" s="2">
        <f t="shared" si="32"/>
        <v>1</v>
      </c>
      <c r="AF101" s="2">
        <f t="shared" si="33"/>
        <v>0</v>
      </c>
      <c r="AG101" s="2">
        <f t="shared" si="34"/>
        <v>0</v>
      </c>
      <c r="AH101" s="2">
        <f t="shared" si="35"/>
        <v>0</v>
      </c>
      <c r="AI101" s="2">
        <f t="shared" si="36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657</v>
      </c>
      <c r="G102" s="30" t="s">
        <v>96</v>
      </c>
      <c r="H102" s="30" t="s">
        <v>165</v>
      </c>
      <c r="I102" s="29" t="s">
        <v>658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893</v>
      </c>
      <c r="O102" s="31">
        <v>1</v>
      </c>
      <c r="P102" s="31">
        <v>1</v>
      </c>
      <c r="Q102" s="30"/>
      <c r="S102" s="2">
        <f t="shared" si="21"/>
        <v>0</v>
      </c>
      <c r="T102" s="2">
        <f t="shared" si="22"/>
        <v>0</v>
      </c>
      <c r="U102" s="2">
        <f t="shared" si="23"/>
        <v>1</v>
      </c>
      <c r="V102" s="2">
        <f t="shared" si="24"/>
        <v>0</v>
      </c>
      <c r="W102" s="2">
        <f t="shared" si="25"/>
        <v>0</v>
      </c>
      <c r="X102" s="2">
        <f t="shared" si="26"/>
        <v>0</v>
      </c>
      <c r="Y102" s="2">
        <f t="shared" si="27"/>
        <v>0</v>
      </c>
      <c r="Z102" s="2">
        <f t="shared" si="28"/>
        <v>0</v>
      </c>
      <c r="AA102" s="2">
        <f t="shared" si="29"/>
        <v>0</v>
      </c>
      <c r="AB102" s="2">
        <f t="shared" si="30"/>
        <v>0</v>
      </c>
      <c r="AD102" s="2">
        <f t="shared" si="31"/>
        <v>1</v>
      </c>
      <c r="AE102" s="2">
        <f t="shared" si="32"/>
        <v>0</v>
      </c>
      <c r="AF102" s="2">
        <f t="shared" si="33"/>
        <v>1</v>
      </c>
      <c r="AG102" s="2">
        <f t="shared" si="34"/>
        <v>0</v>
      </c>
      <c r="AH102" s="2">
        <f t="shared" si="35"/>
        <v>1</v>
      </c>
      <c r="AI102" s="2">
        <f t="shared" si="36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893</v>
      </c>
      <c r="O103" s="31">
        <v>1</v>
      </c>
      <c r="P103" s="31">
        <v>1</v>
      </c>
      <c r="Q103" s="30"/>
      <c r="S103" s="2">
        <f t="shared" si="21"/>
        <v>0</v>
      </c>
      <c r="T103" s="2">
        <f t="shared" si="22"/>
        <v>1</v>
      </c>
      <c r="U103" s="2">
        <f t="shared" si="23"/>
        <v>0</v>
      </c>
      <c r="V103" s="2">
        <f t="shared" si="24"/>
        <v>0</v>
      </c>
      <c r="W103" s="2">
        <f t="shared" si="25"/>
        <v>0</v>
      </c>
      <c r="X103" s="2">
        <f t="shared" si="26"/>
        <v>0</v>
      </c>
      <c r="Y103" s="2">
        <f t="shared" si="27"/>
        <v>0</v>
      </c>
      <c r="Z103" s="2">
        <f t="shared" si="28"/>
        <v>0</v>
      </c>
      <c r="AA103" s="2">
        <f t="shared" si="29"/>
        <v>0</v>
      </c>
      <c r="AB103" s="2">
        <f t="shared" si="30"/>
        <v>0</v>
      </c>
      <c r="AD103" s="2">
        <f t="shared" si="31"/>
        <v>1</v>
      </c>
      <c r="AE103" s="2">
        <f t="shared" si="32"/>
        <v>0</v>
      </c>
      <c r="AF103" s="2">
        <f t="shared" si="33"/>
        <v>0</v>
      </c>
      <c r="AG103" s="2">
        <f t="shared" si="34"/>
        <v>0</v>
      </c>
      <c r="AH103" s="2">
        <f t="shared" si="35"/>
        <v>0</v>
      </c>
      <c r="AI103" s="2">
        <f t="shared" si="36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835</v>
      </c>
      <c r="G104" s="30" t="s">
        <v>124</v>
      </c>
      <c r="H104" s="30" t="s">
        <v>165</v>
      </c>
      <c r="I104" s="29" t="s">
        <v>849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893</v>
      </c>
      <c r="O104" s="31">
        <v>1</v>
      </c>
      <c r="P104" s="31">
        <v>1</v>
      </c>
      <c r="Q104" s="30"/>
      <c r="S104" s="2">
        <f t="shared" si="21"/>
        <v>0</v>
      </c>
      <c r="T104" s="2">
        <f t="shared" si="22"/>
        <v>0</v>
      </c>
      <c r="U104" s="2">
        <f t="shared" si="23"/>
        <v>0</v>
      </c>
      <c r="V104" s="2">
        <f t="shared" si="24"/>
        <v>0</v>
      </c>
      <c r="W104" s="2">
        <f t="shared" si="25"/>
        <v>0</v>
      </c>
      <c r="X104" s="2">
        <f t="shared" si="26"/>
        <v>0</v>
      </c>
      <c r="Y104" s="2">
        <f t="shared" si="27"/>
        <v>0</v>
      </c>
      <c r="Z104" s="2">
        <f t="shared" si="28"/>
        <v>0</v>
      </c>
      <c r="AA104" s="2">
        <f t="shared" si="29"/>
        <v>0</v>
      </c>
      <c r="AB104" s="2">
        <f t="shared" si="30"/>
        <v>0</v>
      </c>
      <c r="AD104" s="2">
        <f t="shared" si="31"/>
        <v>1</v>
      </c>
      <c r="AE104" s="2">
        <f t="shared" si="32"/>
        <v>0</v>
      </c>
      <c r="AF104" s="2">
        <f t="shared" si="33"/>
        <v>0</v>
      </c>
      <c r="AG104" s="2">
        <f t="shared" si="34"/>
        <v>0</v>
      </c>
      <c r="AH104" s="2">
        <f t="shared" si="35"/>
        <v>0</v>
      </c>
      <c r="AI104" s="2">
        <f t="shared" si="36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836</v>
      </c>
      <c r="G105" s="30" t="s">
        <v>103</v>
      </c>
      <c r="H105" s="30" t="s">
        <v>165</v>
      </c>
      <c r="I105" s="29" t="s">
        <v>850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893</v>
      </c>
      <c r="O105" s="31">
        <v>1</v>
      </c>
      <c r="P105" s="31">
        <v>1</v>
      </c>
      <c r="Q105" s="30"/>
      <c r="S105" s="2">
        <f t="shared" si="21"/>
        <v>0</v>
      </c>
      <c r="T105" s="2">
        <f t="shared" si="22"/>
        <v>1</v>
      </c>
      <c r="U105" s="2">
        <f t="shared" si="23"/>
        <v>0</v>
      </c>
      <c r="V105" s="2">
        <f t="shared" si="24"/>
        <v>0</v>
      </c>
      <c r="W105" s="2">
        <f t="shared" si="25"/>
        <v>0</v>
      </c>
      <c r="X105" s="2">
        <f t="shared" si="26"/>
        <v>0</v>
      </c>
      <c r="Y105" s="2">
        <f t="shared" si="27"/>
        <v>0</v>
      </c>
      <c r="Z105" s="2">
        <f t="shared" si="28"/>
        <v>0</v>
      </c>
      <c r="AA105" s="2">
        <f t="shared" si="29"/>
        <v>0</v>
      </c>
      <c r="AB105" s="2">
        <f t="shared" si="30"/>
        <v>0</v>
      </c>
      <c r="AD105" s="2">
        <f t="shared" si="31"/>
        <v>1</v>
      </c>
      <c r="AE105" s="2">
        <f t="shared" si="32"/>
        <v>0</v>
      </c>
      <c r="AF105" s="2">
        <f t="shared" si="33"/>
        <v>0</v>
      </c>
      <c r="AG105" s="2">
        <f t="shared" si="34"/>
        <v>0</v>
      </c>
      <c r="AH105" s="2">
        <f t="shared" si="35"/>
        <v>0</v>
      </c>
      <c r="AI105" s="2">
        <f t="shared" si="36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929</v>
      </c>
      <c r="O106" s="34"/>
      <c r="P106" s="34"/>
      <c r="Q106" s="33"/>
      <c r="S106" s="2">
        <f t="shared" si="21"/>
        <v>0</v>
      </c>
      <c r="T106" s="2">
        <f t="shared" si="22"/>
        <v>1</v>
      </c>
      <c r="U106" s="2">
        <f t="shared" si="23"/>
        <v>0</v>
      </c>
      <c r="V106" s="2">
        <f t="shared" si="24"/>
        <v>0</v>
      </c>
      <c r="W106" s="2">
        <f t="shared" si="25"/>
        <v>0</v>
      </c>
      <c r="X106" s="2">
        <f t="shared" si="26"/>
        <v>0</v>
      </c>
      <c r="Y106" s="2">
        <f t="shared" si="27"/>
        <v>0</v>
      </c>
      <c r="Z106" s="2">
        <f t="shared" si="28"/>
        <v>0</v>
      </c>
      <c r="AA106" s="2">
        <f t="shared" si="29"/>
        <v>0</v>
      </c>
      <c r="AB106" s="2">
        <f t="shared" si="30"/>
        <v>0</v>
      </c>
      <c r="AD106" s="2">
        <f t="shared" si="31"/>
        <v>0</v>
      </c>
      <c r="AE106" s="2">
        <f t="shared" si="32"/>
        <v>0</v>
      </c>
      <c r="AF106" s="2">
        <f t="shared" si="33"/>
        <v>0</v>
      </c>
      <c r="AG106" s="2">
        <f t="shared" si="34"/>
        <v>0</v>
      </c>
      <c r="AH106" s="2">
        <f t="shared" si="35"/>
        <v>0</v>
      </c>
      <c r="AI106" s="2">
        <f t="shared" si="36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929</v>
      </c>
      <c r="O107" s="34"/>
      <c r="P107" s="34"/>
      <c r="Q107" s="33"/>
      <c r="S107" s="2">
        <f t="shared" si="21"/>
        <v>0</v>
      </c>
      <c r="T107" s="2">
        <f t="shared" si="22"/>
        <v>0</v>
      </c>
      <c r="U107" s="2">
        <f t="shared" si="23"/>
        <v>0</v>
      </c>
      <c r="V107" s="2">
        <f t="shared" si="24"/>
        <v>0</v>
      </c>
      <c r="W107" s="2">
        <f t="shared" si="25"/>
        <v>0</v>
      </c>
      <c r="X107" s="2">
        <f t="shared" si="26"/>
        <v>0</v>
      </c>
      <c r="Y107" s="2">
        <f t="shared" si="27"/>
        <v>0</v>
      </c>
      <c r="Z107" s="2">
        <f t="shared" si="28"/>
        <v>0</v>
      </c>
      <c r="AA107" s="2">
        <f t="shared" si="29"/>
        <v>0</v>
      </c>
      <c r="AB107" s="2">
        <f t="shared" si="30"/>
        <v>0</v>
      </c>
      <c r="AD107" s="2">
        <f t="shared" si="31"/>
        <v>0</v>
      </c>
      <c r="AE107" s="2">
        <f t="shared" si="32"/>
        <v>0</v>
      </c>
      <c r="AF107" s="2">
        <f t="shared" si="33"/>
        <v>0</v>
      </c>
      <c r="AG107" s="2">
        <f t="shared" si="34"/>
        <v>0</v>
      </c>
      <c r="AH107" s="2">
        <f t="shared" si="35"/>
        <v>0</v>
      </c>
      <c r="AI107" s="2">
        <f t="shared" si="36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946</v>
      </c>
      <c r="E108" s="30" t="s">
        <v>32</v>
      </c>
      <c r="F108" s="30" t="s">
        <v>947</v>
      </c>
      <c r="G108" s="30"/>
      <c r="H108" s="30" t="s">
        <v>165</v>
      </c>
      <c r="I108" s="29" t="s">
        <v>948</v>
      </c>
      <c r="J108" s="29"/>
      <c r="K108" s="29" t="s">
        <v>378</v>
      </c>
      <c r="L108" s="29">
        <v>30</v>
      </c>
      <c r="M108" s="30" t="s">
        <v>949</v>
      </c>
      <c r="N108" s="30" t="s">
        <v>893</v>
      </c>
      <c r="O108" s="31">
        <v>1</v>
      </c>
      <c r="P108" s="31">
        <v>1</v>
      </c>
      <c r="Q108" s="30"/>
      <c r="S108" s="2">
        <f t="shared" si="21"/>
        <v>0</v>
      </c>
      <c r="T108" s="2">
        <f t="shared" si="22"/>
        <v>0</v>
      </c>
      <c r="U108" s="2">
        <f t="shared" si="23"/>
        <v>0</v>
      </c>
      <c r="V108" s="2">
        <f t="shared" si="24"/>
        <v>0</v>
      </c>
      <c r="W108" s="2">
        <f t="shared" si="25"/>
        <v>0</v>
      </c>
      <c r="X108" s="2">
        <f t="shared" si="26"/>
        <v>0</v>
      </c>
      <c r="Y108" s="2">
        <f t="shared" si="27"/>
        <v>0</v>
      </c>
      <c r="Z108" s="2">
        <f t="shared" si="28"/>
        <v>0</v>
      </c>
      <c r="AA108" s="2">
        <f t="shared" si="29"/>
        <v>0</v>
      </c>
      <c r="AB108" s="2">
        <f t="shared" si="30"/>
        <v>0</v>
      </c>
      <c r="AD108" s="2">
        <f t="shared" si="31"/>
        <v>1</v>
      </c>
      <c r="AE108" s="2">
        <f t="shared" si="32"/>
        <v>0</v>
      </c>
      <c r="AF108" s="2">
        <f t="shared" si="33"/>
        <v>1</v>
      </c>
      <c r="AG108" s="2">
        <f t="shared" si="34"/>
        <v>0</v>
      </c>
      <c r="AH108" s="2">
        <f t="shared" si="35"/>
        <v>1</v>
      </c>
      <c r="AI108" s="2">
        <f t="shared" si="36"/>
        <v>0</v>
      </c>
    </row>
    <row r="109" spans="1:35" ht="14.25" customHeight="1" x14ac:dyDescent="0.25">
      <c r="A109" s="32">
        <v>0</v>
      </c>
      <c r="B109" s="32">
        <v>1</v>
      </c>
      <c r="C109" s="32">
        <v>7</v>
      </c>
      <c r="D109" s="33" t="s">
        <v>961</v>
      </c>
      <c r="E109" s="33" t="s">
        <v>32</v>
      </c>
      <c r="F109" s="33" t="s">
        <v>962</v>
      </c>
      <c r="G109" s="33" t="s">
        <v>130</v>
      </c>
      <c r="H109" s="33" t="s">
        <v>165</v>
      </c>
      <c r="I109" s="32" t="s">
        <v>963</v>
      </c>
      <c r="J109" s="32">
        <v>10</v>
      </c>
      <c r="K109" s="32" t="s">
        <v>378</v>
      </c>
      <c r="L109" s="32">
        <v>40</v>
      </c>
      <c r="M109" s="33" t="s">
        <v>1003</v>
      </c>
      <c r="N109" s="33" t="s">
        <v>909</v>
      </c>
      <c r="O109" s="34"/>
      <c r="P109" s="34"/>
      <c r="Q109" s="33"/>
      <c r="S109" s="2">
        <f t="shared" si="21"/>
        <v>0</v>
      </c>
      <c r="T109" s="2">
        <f t="shared" si="22"/>
        <v>0</v>
      </c>
      <c r="U109" s="2">
        <f t="shared" si="23"/>
        <v>0</v>
      </c>
      <c r="V109" s="2">
        <f t="shared" si="24"/>
        <v>0</v>
      </c>
      <c r="W109" s="2">
        <f t="shared" si="25"/>
        <v>0</v>
      </c>
      <c r="X109" s="2">
        <f t="shared" si="26"/>
        <v>0</v>
      </c>
      <c r="Y109" s="2">
        <f t="shared" si="27"/>
        <v>0</v>
      </c>
      <c r="Z109" s="2">
        <f t="shared" si="28"/>
        <v>0</v>
      </c>
      <c r="AA109" s="2">
        <f t="shared" si="29"/>
        <v>0</v>
      </c>
      <c r="AB109" s="2">
        <f t="shared" si="30"/>
        <v>1</v>
      </c>
      <c r="AD109" s="2">
        <f t="shared" si="31"/>
        <v>0</v>
      </c>
      <c r="AE109" s="2">
        <f t="shared" si="32"/>
        <v>0</v>
      </c>
      <c r="AF109" s="2">
        <f t="shared" si="33"/>
        <v>0</v>
      </c>
      <c r="AG109" s="2">
        <f t="shared" si="34"/>
        <v>0</v>
      </c>
      <c r="AH109" s="2">
        <f t="shared" si="35"/>
        <v>0</v>
      </c>
      <c r="AI109" s="2">
        <f t="shared" si="36"/>
        <v>1</v>
      </c>
    </row>
    <row r="110" spans="1:35" ht="14.25" customHeight="1" x14ac:dyDescent="0.25">
      <c r="A110" s="32">
        <v>0</v>
      </c>
      <c r="B110" s="32">
        <v>1</v>
      </c>
      <c r="C110" s="32">
        <v>7</v>
      </c>
      <c r="D110" s="33" t="s">
        <v>647</v>
      </c>
      <c r="E110" s="33" t="s">
        <v>32</v>
      </c>
      <c r="F110" s="33" t="s">
        <v>649</v>
      </c>
      <c r="G110" s="33" t="s">
        <v>117</v>
      </c>
      <c r="H110" s="33" t="s">
        <v>165</v>
      </c>
      <c r="I110" s="32" t="s">
        <v>694</v>
      </c>
      <c r="J110" s="32">
        <v>1</v>
      </c>
      <c r="K110" s="32" t="s">
        <v>320</v>
      </c>
      <c r="L110" s="32" t="s">
        <v>335</v>
      </c>
      <c r="M110" s="33" t="s">
        <v>648</v>
      </c>
      <c r="N110" s="33" t="s">
        <v>895</v>
      </c>
      <c r="O110" s="34"/>
      <c r="P110" s="34"/>
      <c r="Q110" s="33"/>
      <c r="S110" s="2">
        <f t="shared" si="21"/>
        <v>1</v>
      </c>
      <c r="T110" s="2">
        <f t="shared" si="22"/>
        <v>0</v>
      </c>
      <c r="U110" s="2">
        <f t="shared" si="23"/>
        <v>0</v>
      </c>
      <c r="V110" s="2">
        <f t="shared" si="24"/>
        <v>0</v>
      </c>
      <c r="W110" s="2">
        <f t="shared" si="25"/>
        <v>0</v>
      </c>
      <c r="X110" s="2">
        <f t="shared" si="26"/>
        <v>0</v>
      </c>
      <c r="Y110" s="2">
        <f t="shared" si="27"/>
        <v>0</v>
      </c>
      <c r="Z110" s="2">
        <f t="shared" si="28"/>
        <v>0</v>
      </c>
      <c r="AA110" s="2">
        <f t="shared" si="29"/>
        <v>0</v>
      </c>
      <c r="AB110" s="2">
        <f t="shared" si="30"/>
        <v>0</v>
      </c>
      <c r="AD110" s="2">
        <f t="shared" si="31"/>
        <v>0</v>
      </c>
      <c r="AE110" s="2">
        <f t="shared" si="32"/>
        <v>0</v>
      </c>
      <c r="AF110" s="2">
        <f t="shared" si="33"/>
        <v>0</v>
      </c>
      <c r="AG110" s="2">
        <f t="shared" si="34"/>
        <v>0</v>
      </c>
      <c r="AH110" s="2">
        <f t="shared" si="35"/>
        <v>0</v>
      </c>
      <c r="AI110" s="2">
        <f t="shared" si="36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913</v>
      </c>
      <c r="O111" s="31">
        <v>1</v>
      </c>
      <c r="P111" s="31"/>
      <c r="Q111" s="30"/>
      <c r="S111" s="2">
        <f t="shared" si="21"/>
        <v>0</v>
      </c>
      <c r="T111" s="2">
        <f t="shared" si="22"/>
        <v>0</v>
      </c>
      <c r="U111" s="2">
        <f t="shared" si="23"/>
        <v>0</v>
      </c>
      <c r="V111" s="2">
        <f t="shared" si="24"/>
        <v>0</v>
      </c>
      <c r="W111" s="2">
        <f t="shared" si="25"/>
        <v>0</v>
      </c>
      <c r="X111" s="2">
        <f t="shared" si="26"/>
        <v>0</v>
      </c>
      <c r="Y111" s="2">
        <f t="shared" si="27"/>
        <v>0</v>
      </c>
      <c r="Z111" s="2">
        <f t="shared" si="28"/>
        <v>0</v>
      </c>
      <c r="AA111" s="2">
        <f t="shared" si="29"/>
        <v>0</v>
      </c>
      <c r="AB111" s="2">
        <f t="shared" si="30"/>
        <v>0</v>
      </c>
      <c r="AD111" s="2">
        <f t="shared" si="31"/>
        <v>0</v>
      </c>
      <c r="AE111" s="2">
        <f t="shared" si="32"/>
        <v>1</v>
      </c>
      <c r="AF111" s="2">
        <f t="shared" si="33"/>
        <v>0</v>
      </c>
      <c r="AG111" s="2">
        <f t="shared" si="34"/>
        <v>1</v>
      </c>
      <c r="AH111" s="2">
        <f t="shared" si="35"/>
        <v>0</v>
      </c>
      <c r="AI111" s="2">
        <f t="shared" si="36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662</v>
      </c>
      <c r="G112" s="30" t="s">
        <v>40</v>
      </c>
      <c r="H112" s="30" t="s">
        <v>165</v>
      </c>
      <c r="I112" s="29" t="s">
        <v>695</v>
      </c>
      <c r="J112" s="29"/>
      <c r="K112" s="29" t="s">
        <v>320</v>
      </c>
      <c r="L112" s="29">
        <v>30</v>
      </c>
      <c r="M112" s="30" t="s">
        <v>298</v>
      </c>
      <c r="N112" s="30" t="s">
        <v>913</v>
      </c>
      <c r="O112" s="31">
        <v>1</v>
      </c>
      <c r="P112" s="31"/>
      <c r="Q112" s="30"/>
      <c r="S112" s="2">
        <f t="shared" si="21"/>
        <v>0</v>
      </c>
      <c r="T112" s="2">
        <f t="shared" si="22"/>
        <v>0</v>
      </c>
      <c r="U112" s="2">
        <f t="shared" si="23"/>
        <v>0</v>
      </c>
      <c r="V112" s="2">
        <f t="shared" si="24"/>
        <v>0</v>
      </c>
      <c r="W112" s="2">
        <f t="shared" si="25"/>
        <v>0</v>
      </c>
      <c r="X112" s="2">
        <f t="shared" si="26"/>
        <v>0</v>
      </c>
      <c r="Y112" s="2">
        <f t="shared" si="27"/>
        <v>0</v>
      </c>
      <c r="Z112" s="2">
        <f t="shared" si="28"/>
        <v>0</v>
      </c>
      <c r="AA112" s="2">
        <f t="shared" si="29"/>
        <v>0</v>
      </c>
      <c r="AB112" s="2">
        <f t="shared" si="30"/>
        <v>0</v>
      </c>
      <c r="AD112" s="2">
        <f t="shared" si="31"/>
        <v>0</v>
      </c>
      <c r="AE112" s="2">
        <f t="shared" si="32"/>
        <v>1</v>
      </c>
      <c r="AF112" s="2">
        <f t="shared" si="33"/>
        <v>0</v>
      </c>
      <c r="AG112" s="2">
        <f t="shared" si="34"/>
        <v>0</v>
      </c>
      <c r="AH112" s="2">
        <f t="shared" si="35"/>
        <v>0</v>
      </c>
      <c r="AI112" s="2">
        <f t="shared" si="36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964</v>
      </c>
      <c r="E113" s="21" t="s">
        <v>32</v>
      </c>
      <c r="F113" s="21" t="s">
        <v>965</v>
      </c>
      <c r="G113" s="21" t="s">
        <v>403</v>
      </c>
      <c r="H113" s="21" t="s">
        <v>165</v>
      </c>
      <c r="I113" s="20" t="s">
        <v>966</v>
      </c>
      <c r="J113" s="20"/>
      <c r="K113" s="20" t="s">
        <v>378</v>
      </c>
      <c r="L113" s="20">
        <v>50</v>
      </c>
      <c r="M113" s="21" t="s">
        <v>967</v>
      </c>
      <c r="N113" s="21"/>
      <c r="O113" s="7"/>
      <c r="P113" s="7"/>
      <c r="Q113" s="21"/>
      <c r="S113" s="2">
        <f t="shared" si="21"/>
        <v>0</v>
      </c>
      <c r="T113" s="2">
        <f t="shared" si="22"/>
        <v>0</v>
      </c>
      <c r="U113" s="2">
        <f t="shared" si="23"/>
        <v>0</v>
      </c>
      <c r="V113" s="2">
        <f t="shared" si="24"/>
        <v>0</v>
      </c>
      <c r="W113" s="2">
        <f t="shared" si="25"/>
        <v>0</v>
      </c>
      <c r="X113" s="2">
        <f t="shared" si="26"/>
        <v>0</v>
      </c>
      <c r="Y113" s="2">
        <f t="shared" si="27"/>
        <v>0</v>
      </c>
      <c r="Z113" s="2">
        <f t="shared" si="28"/>
        <v>0</v>
      </c>
      <c r="AA113" s="2">
        <f t="shared" si="29"/>
        <v>0</v>
      </c>
      <c r="AB113" s="2">
        <f t="shared" si="30"/>
        <v>0</v>
      </c>
      <c r="AD113" s="2">
        <f t="shared" si="31"/>
        <v>0</v>
      </c>
      <c r="AE113" s="2">
        <f t="shared" si="32"/>
        <v>0</v>
      </c>
      <c r="AF113" s="2">
        <f t="shared" si="33"/>
        <v>0</v>
      </c>
      <c r="AG113" s="2">
        <f t="shared" si="34"/>
        <v>0</v>
      </c>
      <c r="AH113" s="2">
        <f t="shared" si="35"/>
        <v>0</v>
      </c>
      <c r="AI113" s="2">
        <f t="shared" si="36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670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893</v>
      </c>
      <c r="O114" s="31">
        <v>1</v>
      </c>
      <c r="P114" s="31">
        <v>1</v>
      </c>
      <c r="Q114" s="30"/>
      <c r="S114" s="2">
        <f t="shared" si="21"/>
        <v>0</v>
      </c>
      <c r="T114" s="2">
        <f t="shared" si="22"/>
        <v>0</v>
      </c>
      <c r="U114" s="2">
        <f t="shared" si="23"/>
        <v>0</v>
      </c>
      <c r="V114" s="2">
        <f t="shared" si="24"/>
        <v>0</v>
      </c>
      <c r="W114" s="2">
        <f t="shared" si="25"/>
        <v>0</v>
      </c>
      <c r="X114" s="2">
        <f t="shared" si="26"/>
        <v>0</v>
      </c>
      <c r="Y114" s="2">
        <f t="shared" si="27"/>
        <v>0</v>
      </c>
      <c r="Z114" s="2">
        <f t="shared" si="28"/>
        <v>0</v>
      </c>
      <c r="AA114" s="2">
        <f t="shared" si="29"/>
        <v>0</v>
      </c>
      <c r="AB114" s="2">
        <f t="shared" si="30"/>
        <v>0</v>
      </c>
      <c r="AD114" s="2">
        <f t="shared" si="31"/>
        <v>1</v>
      </c>
      <c r="AE114" s="2">
        <f t="shared" si="32"/>
        <v>0</v>
      </c>
      <c r="AF114" s="2">
        <f t="shared" si="33"/>
        <v>1</v>
      </c>
      <c r="AG114" s="2">
        <f t="shared" si="34"/>
        <v>0</v>
      </c>
      <c r="AH114" s="2">
        <f t="shared" si="35"/>
        <v>1</v>
      </c>
      <c r="AI114" s="2">
        <f t="shared" si="36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893</v>
      </c>
      <c r="O115" s="31">
        <v>1</v>
      </c>
      <c r="P115" s="31">
        <v>1</v>
      </c>
      <c r="Q115" s="30"/>
      <c r="S115" s="2">
        <f t="shared" si="21"/>
        <v>1</v>
      </c>
      <c r="T115" s="2">
        <f t="shared" si="22"/>
        <v>0</v>
      </c>
      <c r="U115" s="2">
        <f t="shared" si="23"/>
        <v>0</v>
      </c>
      <c r="V115" s="2">
        <f t="shared" si="24"/>
        <v>0</v>
      </c>
      <c r="W115" s="2">
        <f t="shared" si="25"/>
        <v>0</v>
      </c>
      <c r="X115" s="2">
        <f t="shared" si="26"/>
        <v>0</v>
      </c>
      <c r="Y115" s="2">
        <f t="shared" si="27"/>
        <v>0</v>
      </c>
      <c r="Z115" s="2">
        <f t="shared" si="28"/>
        <v>0</v>
      </c>
      <c r="AA115" s="2">
        <f t="shared" si="29"/>
        <v>0</v>
      </c>
      <c r="AB115" s="2">
        <f t="shared" si="30"/>
        <v>0</v>
      </c>
      <c r="AD115" s="2">
        <f t="shared" si="31"/>
        <v>1</v>
      </c>
      <c r="AE115" s="2">
        <f t="shared" si="32"/>
        <v>0</v>
      </c>
      <c r="AF115" s="2">
        <f t="shared" si="33"/>
        <v>0</v>
      </c>
      <c r="AG115" s="2">
        <f t="shared" si="34"/>
        <v>0</v>
      </c>
      <c r="AH115" s="2">
        <f t="shared" si="35"/>
        <v>0</v>
      </c>
      <c r="AI115" s="2">
        <f t="shared" si="36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990</v>
      </c>
      <c r="E116" s="30" t="s">
        <v>44</v>
      </c>
      <c r="F116" s="30" t="s">
        <v>991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893</v>
      </c>
      <c r="O116" s="31">
        <v>1</v>
      </c>
      <c r="P116" s="31">
        <v>1</v>
      </c>
      <c r="Q116" s="30" t="s">
        <v>992</v>
      </c>
      <c r="S116" s="2">
        <f t="shared" si="21"/>
        <v>1</v>
      </c>
      <c r="T116" s="2">
        <f t="shared" si="22"/>
        <v>0</v>
      </c>
      <c r="U116" s="2">
        <f t="shared" si="23"/>
        <v>0</v>
      </c>
      <c r="V116" s="2">
        <f t="shared" si="24"/>
        <v>0</v>
      </c>
      <c r="W116" s="2">
        <f t="shared" si="25"/>
        <v>0</v>
      </c>
      <c r="X116" s="2">
        <f t="shared" si="26"/>
        <v>0</v>
      </c>
      <c r="Y116" s="2">
        <f t="shared" si="27"/>
        <v>0</v>
      </c>
      <c r="Z116" s="2">
        <f t="shared" si="28"/>
        <v>0</v>
      </c>
      <c r="AA116" s="2">
        <f t="shared" si="29"/>
        <v>0</v>
      </c>
      <c r="AB116" s="2">
        <f t="shared" si="30"/>
        <v>0</v>
      </c>
      <c r="AD116" s="2">
        <f t="shared" si="31"/>
        <v>1</v>
      </c>
      <c r="AE116" s="2">
        <f t="shared" si="32"/>
        <v>0</v>
      </c>
      <c r="AF116" s="2">
        <f t="shared" si="33"/>
        <v>1</v>
      </c>
      <c r="AG116" s="2">
        <f t="shared" si="34"/>
        <v>0</v>
      </c>
      <c r="AH116" s="2">
        <f t="shared" si="35"/>
        <v>1</v>
      </c>
      <c r="AI116" s="2">
        <f t="shared" si="36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793</v>
      </c>
      <c r="E117" s="21" t="s">
        <v>470</v>
      </c>
      <c r="F117" s="21" t="s">
        <v>794</v>
      </c>
      <c r="G117" s="21" t="s">
        <v>114</v>
      </c>
      <c r="H117" s="21" t="s">
        <v>165</v>
      </c>
      <c r="I117" s="20" t="s">
        <v>795</v>
      </c>
      <c r="J117" s="20">
        <v>99</v>
      </c>
      <c r="K117" s="20" t="s">
        <v>378</v>
      </c>
      <c r="L117" s="20">
        <v>6</v>
      </c>
      <c r="M117" s="21" t="s">
        <v>942</v>
      </c>
      <c r="N117" s="21"/>
      <c r="O117" s="7"/>
      <c r="P117" s="7"/>
      <c r="Q117" s="21"/>
      <c r="S117" s="2">
        <f t="shared" si="21"/>
        <v>0</v>
      </c>
      <c r="T117" s="2">
        <f t="shared" si="22"/>
        <v>0</v>
      </c>
      <c r="U117" s="2">
        <f t="shared" si="23"/>
        <v>0</v>
      </c>
      <c r="V117" s="2">
        <f t="shared" si="24"/>
        <v>0</v>
      </c>
      <c r="W117" s="2">
        <f t="shared" si="25"/>
        <v>0</v>
      </c>
      <c r="X117" s="2">
        <f t="shared" si="26"/>
        <v>0</v>
      </c>
      <c r="Y117" s="2">
        <f t="shared" si="27"/>
        <v>0</v>
      </c>
      <c r="Z117" s="2">
        <f t="shared" si="28"/>
        <v>0</v>
      </c>
      <c r="AA117" s="2">
        <f t="shared" si="29"/>
        <v>0</v>
      </c>
      <c r="AB117" s="2">
        <f t="shared" si="30"/>
        <v>0</v>
      </c>
      <c r="AD117" s="2">
        <f t="shared" si="31"/>
        <v>0</v>
      </c>
      <c r="AE117" s="2">
        <f t="shared" si="32"/>
        <v>0</v>
      </c>
      <c r="AF117" s="2">
        <f t="shared" si="33"/>
        <v>0</v>
      </c>
      <c r="AG117" s="2">
        <f t="shared" si="34"/>
        <v>0</v>
      </c>
      <c r="AH117" s="2">
        <f t="shared" si="35"/>
        <v>0</v>
      </c>
      <c r="AI117" s="2">
        <f t="shared" si="36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788</v>
      </c>
      <c r="E118" s="30" t="s">
        <v>470</v>
      </c>
      <c r="F118" s="30" t="s">
        <v>789</v>
      </c>
      <c r="G118" s="30" t="s">
        <v>103</v>
      </c>
      <c r="H118" s="30" t="s">
        <v>165</v>
      </c>
      <c r="I118" s="29" t="s">
        <v>790</v>
      </c>
      <c r="J118" s="29">
        <v>2</v>
      </c>
      <c r="K118" s="29" t="s">
        <v>321</v>
      </c>
      <c r="L118" s="29">
        <v>15</v>
      </c>
      <c r="M118" s="30" t="s">
        <v>862</v>
      </c>
      <c r="N118" s="30" t="s">
        <v>893</v>
      </c>
      <c r="O118" s="31">
        <v>1</v>
      </c>
      <c r="P118" s="31">
        <v>1</v>
      </c>
      <c r="Q118" s="30"/>
      <c r="S118" s="2">
        <f t="shared" si="21"/>
        <v>0</v>
      </c>
      <c r="T118" s="2">
        <f t="shared" si="22"/>
        <v>1</v>
      </c>
      <c r="U118" s="2">
        <f t="shared" si="23"/>
        <v>0</v>
      </c>
      <c r="V118" s="2">
        <f t="shared" si="24"/>
        <v>0</v>
      </c>
      <c r="W118" s="2">
        <f t="shared" si="25"/>
        <v>0</v>
      </c>
      <c r="X118" s="2">
        <f t="shared" si="26"/>
        <v>0</v>
      </c>
      <c r="Y118" s="2">
        <f t="shared" si="27"/>
        <v>0</v>
      </c>
      <c r="Z118" s="2">
        <f t="shared" si="28"/>
        <v>0</v>
      </c>
      <c r="AA118" s="2">
        <f t="shared" si="29"/>
        <v>0</v>
      </c>
      <c r="AB118" s="2">
        <f t="shared" si="30"/>
        <v>0</v>
      </c>
      <c r="AD118" s="2">
        <f t="shared" si="31"/>
        <v>1</v>
      </c>
      <c r="AE118" s="2">
        <f t="shared" si="32"/>
        <v>0</v>
      </c>
      <c r="AF118" s="2">
        <f t="shared" si="33"/>
        <v>1</v>
      </c>
      <c r="AG118" s="2">
        <f t="shared" si="34"/>
        <v>0</v>
      </c>
      <c r="AH118" s="2">
        <f t="shared" si="35"/>
        <v>1</v>
      </c>
      <c r="AI118" s="2">
        <f t="shared" si="36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862</v>
      </c>
      <c r="N119" s="30" t="s">
        <v>893</v>
      </c>
      <c r="O119" s="31">
        <v>1</v>
      </c>
      <c r="P119" s="31">
        <v>1</v>
      </c>
      <c r="Q119" s="30"/>
      <c r="S119" s="2">
        <f t="shared" si="21"/>
        <v>0</v>
      </c>
      <c r="T119" s="2">
        <f t="shared" si="22"/>
        <v>0</v>
      </c>
      <c r="U119" s="2">
        <f t="shared" si="23"/>
        <v>0</v>
      </c>
      <c r="V119" s="2">
        <f t="shared" si="24"/>
        <v>0</v>
      </c>
      <c r="W119" s="2">
        <f t="shared" si="25"/>
        <v>0</v>
      </c>
      <c r="X119" s="2">
        <f t="shared" si="26"/>
        <v>0</v>
      </c>
      <c r="Y119" s="2">
        <f t="shared" si="27"/>
        <v>0</v>
      </c>
      <c r="Z119" s="2">
        <f t="shared" si="28"/>
        <v>0</v>
      </c>
      <c r="AA119" s="2">
        <f t="shared" si="29"/>
        <v>0</v>
      </c>
      <c r="AB119" s="2">
        <f t="shared" si="30"/>
        <v>0</v>
      </c>
      <c r="AD119" s="2">
        <f t="shared" si="31"/>
        <v>1</v>
      </c>
      <c r="AE119" s="2">
        <f t="shared" si="32"/>
        <v>0</v>
      </c>
      <c r="AF119" s="2">
        <f t="shared" si="33"/>
        <v>1</v>
      </c>
      <c r="AG119" s="2">
        <f t="shared" si="34"/>
        <v>0</v>
      </c>
      <c r="AH119" s="2">
        <f t="shared" si="35"/>
        <v>1</v>
      </c>
      <c r="AI119" s="2">
        <f t="shared" si="36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863</v>
      </c>
      <c r="N120" s="30" t="s">
        <v>893</v>
      </c>
      <c r="O120" s="31">
        <v>1</v>
      </c>
      <c r="P120" s="31">
        <v>1</v>
      </c>
      <c r="Q120" s="30"/>
      <c r="S120" s="2">
        <f t="shared" si="21"/>
        <v>0</v>
      </c>
      <c r="T120" s="2">
        <f t="shared" si="22"/>
        <v>1</v>
      </c>
      <c r="U120" s="2">
        <f t="shared" si="23"/>
        <v>0</v>
      </c>
      <c r="V120" s="2">
        <f t="shared" si="24"/>
        <v>0</v>
      </c>
      <c r="W120" s="2">
        <f t="shared" si="25"/>
        <v>0</v>
      </c>
      <c r="X120" s="2">
        <f t="shared" si="26"/>
        <v>0</v>
      </c>
      <c r="Y120" s="2">
        <f t="shared" si="27"/>
        <v>0</v>
      </c>
      <c r="Z120" s="2">
        <f t="shared" si="28"/>
        <v>0</v>
      </c>
      <c r="AA120" s="2">
        <f t="shared" si="29"/>
        <v>0</v>
      </c>
      <c r="AB120" s="2">
        <f t="shared" si="30"/>
        <v>0</v>
      </c>
      <c r="AD120" s="2">
        <f t="shared" si="31"/>
        <v>1</v>
      </c>
      <c r="AE120" s="2">
        <f t="shared" si="32"/>
        <v>0</v>
      </c>
      <c r="AF120" s="2">
        <f t="shared" si="33"/>
        <v>0</v>
      </c>
      <c r="AG120" s="2">
        <f t="shared" si="34"/>
        <v>0</v>
      </c>
      <c r="AH120" s="2">
        <f t="shared" si="35"/>
        <v>0</v>
      </c>
      <c r="AI120" s="2">
        <f t="shared" si="36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864</v>
      </c>
      <c r="N121" s="30" t="s">
        <v>893</v>
      </c>
      <c r="O121" s="31">
        <v>1</v>
      </c>
      <c r="P121" s="31">
        <v>1</v>
      </c>
      <c r="Q121" s="30"/>
      <c r="S121" s="2">
        <f t="shared" si="21"/>
        <v>0</v>
      </c>
      <c r="T121" s="2">
        <f t="shared" si="22"/>
        <v>0</v>
      </c>
      <c r="U121" s="2">
        <f t="shared" si="23"/>
        <v>0</v>
      </c>
      <c r="V121" s="2">
        <f t="shared" si="24"/>
        <v>0</v>
      </c>
      <c r="W121" s="2">
        <f t="shared" si="25"/>
        <v>0</v>
      </c>
      <c r="X121" s="2">
        <f t="shared" si="26"/>
        <v>0</v>
      </c>
      <c r="Y121" s="2">
        <f t="shared" si="27"/>
        <v>0</v>
      </c>
      <c r="Z121" s="2">
        <f t="shared" si="28"/>
        <v>0</v>
      </c>
      <c r="AA121" s="2">
        <f t="shared" si="29"/>
        <v>0</v>
      </c>
      <c r="AB121" s="2">
        <f t="shared" si="30"/>
        <v>0</v>
      </c>
      <c r="AD121" s="2">
        <f t="shared" si="31"/>
        <v>1</v>
      </c>
      <c r="AE121" s="2">
        <f t="shared" si="32"/>
        <v>0</v>
      </c>
      <c r="AF121" s="2">
        <f t="shared" si="33"/>
        <v>0</v>
      </c>
      <c r="AG121" s="2">
        <f t="shared" si="34"/>
        <v>0</v>
      </c>
      <c r="AH121" s="2">
        <f t="shared" si="35"/>
        <v>0</v>
      </c>
      <c r="AI121" s="2">
        <f t="shared" si="36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776</v>
      </c>
      <c r="G122" s="30" t="s">
        <v>777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865</v>
      </c>
      <c r="N122" s="30" t="s">
        <v>893</v>
      </c>
      <c r="O122" s="31">
        <v>1</v>
      </c>
      <c r="P122" s="31">
        <v>1</v>
      </c>
      <c r="Q122" s="30"/>
      <c r="S122" s="2">
        <f t="shared" si="21"/>
        <v>0</v>
      </c>
      <c r="T122" s="2">
        <f t="shared" si="22"/>
        <v>0</v>
      </c>
      <c r="U122" s="2">
        <f t="shared" si="23"/>
        <v>0</v>
      </c>
      <c r="V122" s="2">
        <f t="shared" si="24"/>
        <v>0</v>
      </c>
      <c r="W122" s="2">
        <f t="shared" si="25"/>
        <v>0</v>
      </c>
      <c r="X122" s="2">
        <f t="shared" si="26"/>
        <v>0</v>
      </c>
      <c r="Y122" s="2">
        <f t="shared" si="27"/>
        <v>0</v>
      </c>
      <c r="Z122" s="2">
        <f t="shared" si="28"/>
        <v>0</v>
      </c>
      <c r="AA122" s="2">
        <f t="shared" si="29"/>
        <v>0</v>
      </c>
      <c r="AB122" s="2">
        <f t="shared" si="30"/>
        <v>0</v>
      </c>
      <c r="AD122" s="2">
        <f t="shared" si="31"/>
        <v>1</v>
      </c>
      <c r="AE122" s="2">
        <f t="shared" si="32"/>
        <v>0</v>
      </c>
      <c r="AF122" s="2">
        <f t="shared" si="33"/>
        <v>0</v>
      </c>
      <c r="AG122" s="2">
        <f t="shared" si="34"/>
        <v>0</v>
      </c>
      <c r="AH122" s="2">
        <f t="shared" si="35"/>
        <v>0</v>
      </c>
      <c r="AI122" s="2">
        <f t="shared" si="36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778</v>
      </c>
      <c r="G123" s="30" t="s">
        <v>818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866</v>
      </c>
      <c r="N123" s="30" t="s">
        <v>893</v>
      </c>
      <c r="O123" s="31">
        <v>1</v>
      </c>
      <c r="P123" s="31">
        <v>1</v>
      </c>
      <c r="Q123" s="30"/>
      <c r="S123" s="2">
        <f t="shared" si="21"/>
        <v>0</v>
      </c>
      <c r="T123" s="2">
        <f t="shared" si="22"/>
        <v>0</v>
      </c>
      <c r="U123" s="2">
        <f t="shared" si="23"/>
        <v>1</v>
      </c>
      <c r="V123" s="2">
        <f t="shared" si="24"/>
        <v>0</v>
      </c>
      <c r="W123" s="2">
        <f t="shared" si="25"/>
        <v>0</v>
      </c>
      <c r="X123" s="2">
        <f t="shared" si="26"/>
        <v>0</v>
      </c>
      <c r="Y123" s="2">
        <f t="shared" si="27"/>
        <v>0</v>
      </c>
      <c r="Z123" s="2">
        <f t="shared" si="28"/>
        <v>0</v>
      </c>
      <c r="AA123" s="2">
        <f t="shared" si="29"/>
        <v>0</v>
      </c>
      <c r="AB123" s="2">
        <f t="shared" si="30"/>
        <v>0</v>
      </c>
      <c r="AD123" s="2">
        <f t="shared" si="31"/>
        <v>1</v>
      </c>
      <c r="AE123" s="2">
        <f t="shared" si="32"/>
        <v>0</v>
      </c>
      <c r="AF123" s="2">
        <f t="shared" si="33"/>
        <v>0</v>
      </c>
      <c r="AG123" s="2">
        <f t="shared" si="34"/>
        <v>0</v>
      </c>
      <c r="AH123" s="2">
        <f t="shared" si="35"/>
        <v>0</v>
      </c>
      <c r="AI123" s="2">
        <f t="shared" si="36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663</v>
      </c>
      <c r="E124" s="30" t="s">
        <v>35</v>
      </c>
      <c r="F124" s="30" t="s">
        <v>635</v>
      </c>
      <c r="G124" s="30" t="s">
        <v>688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899</v>
      </c>
      <c r="O124" s="31">
        <v>1</v>
      </c>
      <c r="P124" s="31"/>
      <c r="Q124" s="30"/>
      <c r="S124" s="2">
        <f t="shared" si="21"/>
        <v>0</v>
      </c>
      <c r="T124" s="2">
        <f t="shared" si="22"/>
        <v>0</v>
      </c>
      <c r="U124" s="2">
        <f t="shared" si="23"/>
        <v>0</v>
      </c>
      <c r="V124" s="2">
        <f t="shared" si="24"/>
        <v>0</v>
      </c>
      <c r="W124" s="2">
        <f t="shared" si="25"/>
        <v>0</v>
      </c>
      <c r="X124" s="2">
        <f t="shared" si="26"/>
        <v>0</v>
      </c>
      <c r="Y124" s="2">
        <f t="shared" si="27"/>
        <v>0</v>
      </c>
      <c r="Z124" s="2">
        <f t="shared" si="28"/>
        <v>0</v>
      </c>
      <c r="AA124" s="2">
        <f t="shared" si="29"/>
        <v>0</v>
      </c>
      <c r="AB124" s="2">
        <f t="shared" si="30"/>
        <v>0</v>
      </c>
      <c r="AD124" s="2">
        <f t="shared" si="31"/>
        <v>0</v>
      </c>
      <c r="AE124" s="2">
        <f t="shared" si="32"/>
        <v>1</v>
      </c>
      <c r="AF124" s="2">
        <f t="shared" si="33"/>
        <v>0</v>
      </c>
      <c r="AG124" s="2">
        <f t="shared" si="34"/>
        <v>1</v>
      </c>
      <c r="AH124" s="2">
        <f t="shared" si="35"/>
        <v>0</v>
      </c>
      <c r="AI124" s="2">
        <f t="shared" si="36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936</v>
      </c>
      <c r="E125" s="30" t="s">
        <v>470</v>
      </c>
      <c r="F125" s="30" t="s">
        <v>937</v>
      </c>
      <c r="G125" s="30" t="s">
        <v>38</v>
      </c>
      <c r="H125" s="30" t="s">
        <v>165</v>
      </c>
      <c r="I125" s="29" t="s">
        <v>938</v>
      </c>
      <c r="J125" s="29">
        <v>1</v>
      </c>
      <c r="K125" s="29" t="s">
        <v>378</v>
      </c>
      <c r="L125" s="29"/>
      <c r="M125" s="30"/>
      <c r="N125" s="30" t="s">
        <v>893</v>
      </c>
      <c r="O125" s="31">
        <v>1</v>
      </c>
      <c r="P125" s="31">
        <v>1</v>
      </c>
      <c r="Q125" s="30"/>
      <c r="S125" s="2">
        <f t="shared" si="21"/>
        <v>1</v>
      </c>
      <c r="T125" s="2">
        <f t="shared" si="22"/>
        <v>0</v>
      </c>
      <c r="U125" s="2">
        <f t="shared" si="23"/>
        <v>0</v>
      </c>
      <c r="V125" s="2">
        <f t="shared" si="24"/>
        <v>0</v>
      </c>
      <c r="W125" s="2">
        <f t="shared" si="25"/>
        <v>0</v>
      </c>
      <c r="X125" s="2">
        <f t="shared" si="26"/>
        <v>0</v>
      </c>
      <c r="Y125" s="2">
        <f t="shared" si="27"/>
        <v>0</v>
      </c>
      <c r="Z125" s="2">
        <f t="shared" si="28"/>
        <v>0</v>
      </c>
      <c r="AA125" s="2">
        <f t="shared" si="29"/>
        <v>0</v>
      </c>
      <c r="AB125" s="2">
        <f t="shared" si="30"/>
        <v>0</v>
      </c>
      <c r="AD125" s="2">
        <f t="shared" si="31"/>
        <v>1</v>
      </c>
      <c r="AE125" s="2">
        <f t="shared" si="32"/>
        <v>0</v>
      </c>
      <c r="AF125" s="2">
        <f t="shared" si="33"/>
        <v>1</v>
      </c>
      <c r="AG125" s="2">
        <f t="shared" si="34"/>
        <v>0</v>
      </c>
      <c r="AH125" s="2">
        <f t="shared" si="35"/>
        <v>1</v>
      </c>
      <c r="AI125" s="2">
        <f t="shared" si="36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759</v>
      </c>
      <c r="E126" s="30" t="s">
        <v>470</v>
      </c>
      <c r="F126" s="30" t="s">
        <v>760</v>
      </c>
      <c r="G126" s="30" t="s">
        <v>819</v>
      </c>
      <c r="H126" s="30" t="s">
        <v>165</v>
      </c>
      <c r="I126" s="29" t="s">
        <v>761</v>
      </c>
      <c r="J126" s="29">
        <v>99</v>
      </c>
      <c r="K126" s="29" t="s">
        <v>320</v>
      </c>
      <c r="L126" s="29"/>
      <c r="M126" s="30" t="s">
        <v>707</v>
      </c>
      <c r="N126" s="30" t="s">
        <v>893</v>
      </c>
      <c r="O126" s="31">
        <v>1</v>
      </c>
      <c r="P126" s="31">
        <v>1</v>
      </c>
      <c r="Q126" s="30"/>
      <c r="S126" s="2">
        <f t="shared" si="21"/>
        <v>0</v>
      </c>
      <c r="T126" s="2">
        <f t="shared" si="22"/>
        <v>0</v>
      </c>
      <c r="U126" s="2">
        <f t="shared" si="23"/>
        <v>0</v>
      </c>
      <c r="V126" s="2">
        <f t="shared" si="24"/>
        <v>0</v>
      </c>
      <c r="W126" s="2">
        <f t="shared" si="25"/>
        <v>0</v>
      </c>
      <c r="X126" s="2">
        <f t="shared" si="26"/>
        <v>0</v>
      </c>
      <c r="Y126" s="2">
        <f t="shared" si="27"/>
        <v>0</v>
      </c>
      <c r="Z126" s="2">
        <f t="shared" si="28"/>
        <v>0</v>
      </c>
      <c r="AA126" s="2">
        <f t="shared" si="29"/>
        <v>0</v>
      </c>
      <c r="AB126" s="2">
        <f t="shared" si="30"/>
        <v>0</v>
      </c>
      <c r="AD126" s="2">
        <f t="shared" si="31"/>
        <v>1</v>
      </c>
      <c r="AE126" s="2">
        <f t="shared" si="32"/>
        <v>0</v>
      </c>
      <c r="AF126" s="2">
        <f t="shared" si="33"/>
        <v>1</v>
      </c>
      <c r="AG126" s="2">
        <f t="shared" si="34"/>
        <v>0</v>
      </c>
      <c r="AH126" s="2">
        <f t="shared" si="35"/>
        <v>1</v>
      </c>
      <c r="AI126" s="2">
        <f t="shared" si="36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680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893</v>
      </c>
      <c r="O127" s="31">
        <v>1</v>
      </c>
      <c r="P127" s="31">
        <v>1</v>
      </c>
      <c r="Q127" s="30"/>
      <c r="S127" s="2">
        <f t="shared" si="21"/>
        <v>0</v>
      </c>
      <c r="T127" s="2">
        <f t="shared" si="22"/>
        <v>0</v>
      </c>
      <c r="U127" s="2">
        <f t="shared" si="23"/>
        <v>1</v>
      </c>
      <c r="V127" s="2">
        <f t="shared" si="24"/>
        <v>0</v>
      </c>
      <c r="W127" s="2">
        <f t="shared" si="25"/>
        <v>0</v>
      </c>
      <c r="X127" s="2">
        <f t="shared" si="26"/>
        <v>0</v>
      </c>
      <c r="Y127" s="2">
        <f t="shared" si="27"/>
        <v>0</v>
      </c>
      <c r="Z127" s="2">
        <f t="shared" si="28"/>
        <v>0</v>
      </c>
      <c r="AA127" s="2">
        <f t="shared" si="29"/>
        <v>0</v>
      </c>
      <c r="AB127" s="2">
        <f t="shared" si="30"/>
        <v>0</v>
      </c>
      <c r="AD127" s="2">
        <f t="shared" si="31"/>
        <v>1</v>
      </c>
      <c r="AE127" s="2">
        <f t="shared" si="32"/>
        <v>0</v>
      </c>
      <c r="AF127" s="2">
        <f t="shared" si="33"/>
        <v>1</v>
      </c>
      <c r="AG127" s="2">
        <f t="shared" si="34"/>
        <v>0</v>
      </c>
      <c r="AH127" s="2">
        <f t="shared" si="35"/>
        <v>1</v>
      </c>
      <c r="AI127" s="2">
        <f t="shared" si="36"/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651</v>
      </c>
      <c r="G128" s="30" t="s">
        <v>92</v>
      </c>
      <c r="H128" s="30" t="s">
        <v>165</v>
      </c>
      <c r="I128" s="29" t="s">
        <v>652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893</v>
      </c>
      <c r="O128" s="31">
        <v>1</v>
      </c>
      <c r="P128" s="31">
        <v>1</v>
      </c>
      <c r="Q128" s="30"/>
      <c r="S128" s="2">
        <f t="shared" si="21"/>
        <v>0</v>
      </c>
      <c r="T128" s="2">
        <f t="shared" si="22"/>
        <v>1</v>
      </c>
      <c r="U128" s="2">
        <f t="shared" si="23"/>
        <v>0</v>
      </c>
      <c r="V128" s="2">
        <f t="shared" si="24"/>
        <v>0</v>
      </c>
      <c r="W128" s="2">
        <f t="shared" si="25"/>
        <v>0</v>
      </c>
      <c r="X128" s="2">
        <f t="shared" si="26"/>
        <v>0</v>
      </c>
      <c r="Y128" s="2">
        <f t="shared" si="27"/>
        <v>0</v>
      </c>
      <c r="Z128" s="2">
        <f t="shared" si="28"/>
        <v>0</v>
      </c>
      <c r="AA128" s="2">
        <f t="shared" si="29"/>
        <v>0</v>
      </c>
      <c r="AB128" s="2">
        <f t="shared" si="30"/>
        <v>0</v>
      </c>
      <c r="AD128" s="2">
        <f t="shared" si="31"/>
        <v>1</v>
      </c>
      <c r="AE128" s="2">
        <f t="shared" si="32"/>
        <v>0</v>
      </c>
      <c r="AF128" s="2">
        <f t="shared" si="33"/>
        <v>0</v>
      </c>
      <c r="AG128" s="2">
        <f t="shared" si="34"/>
        <v>0</v>
      </c>
      <c r="AH128" s="2">
        <f t="shared" si="35"/>
        <v>0</v>
      </c>
      <c r="AI128" s="2">
        <f t="shared" si="36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650</v>
      </c>
      <c r="G129" s="30" t="s">
        <v>40</v>
      </c>
      <c r="H129" s="30" t="s">
        <v>165</v>
      </c>
      <c r="I129" s="29" t="s">
        <v>653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893</v>
      </c>
      <c r="O129" s="31">
        <v>1</v>
      </c>
      <c r="P129" s="31">
        <v>1</v>
      </c>
      <c r="Q129" s="30"/>
      <c r="R129" s="2"/>
      <c r="S129" s="2">
        <f t="shared" si="21"/>
        <v>0</v>
      </c>
      <c r="T129" s="2">
        <f t="shared" si="22"/>
        <v>0</v>
      </c>
      <c r="U129" s="2">
        <f t="shared" si="23"/>
        <v>0</v>
      </c>
      <c r="V129" s="2">
        <f t="shared" si="24"/>
        <v>1</v>
      </c>
      <c r="W129" s="2">
        <f t="shared" si="25"/>
        <v>0</v>
      </c>
      <c r="X129" s="2">
        <f t="shared" si="26"/>
        <v>0</v>
      </c>
      <c r="Y129" s="2">
        <f t="shared" si="27"/>
        <v>0</v>
      </c>
      <c r="Z129" s="2">
        <f t="shared" si="28"/>
        <v>0</v>
      </c>
      <c r="AA129" s="2">
        <f t="shared" si="29"/>
        <v>0</v>
      </c>
      <c r="AB129" s="2">
        <f t="shared" si="30"/>
        <v>0</v>
      </c>
      <c r="AC129" s="2"/>
      <c r="AD129" s="2">
        <f t="shared" si="31"/>
        <v>1</v>
      </c>
      <c r="AE129" s="2">
        <f t="shared" si="32"/>
        <v>0</v>
      </c>
      <c r="AF129" s="2">
        <f t="shared" si="33"/>
        <v>0</v>
      </c>
      <c r="AG129" s="2">
        <f t="shared" si="34"/>
        <v>0</v>
      </c>
      <c r="AH129" s="2">
        <f t="shared" si="35"/>
        <v>0</v>
      </c>
      <c r="AI129" s="2">
        <f t="shared" si="36"/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973</v>
      </c>
      <c r="E130" s="30" t="s">
        <v>470</v>
      </c>
      <c r="F130" s="30" t="s">
        <v>974</v>
      </c>
      <c r="G130" s="30"/>
      <c r="H130" s="30" t="s">
        <v>165</v>
      </c>
      <c r="I130" s="29" t="s">
        <v>975</v>
      </c>
      <c r="J130" s="29"/>
      <c r="K130" s="29" t="s">
        <v>378</v>
      </c>
      <c r="L130" s="29"/>
      <c r="M130" s="30"/>
      <c r="N130" s="30" t="s">
        <v>893</v>
      </c>
      <c r="O130" s="31">
        <v>1</v>
      </c>
      <c r="P130" s="31">
        <v>1</v>
      </c>
      <c r="Q130" s="30"/>
      <c r="R130" s="2"/>
      <c r="S130" s="2">
        <f t="shared" si="21"/>
        <v>0</v>
      </c>
      <c r="T130" s="2">
        <f t="shared" si="22"/>
        <v>0</v>
      </c>
      <c r="U130" s="2">
        <f t="shared" si="23"/>
        <v>0</v>
      </c>
      <c r="V130" s="2">
        <f t="shared" si="24"/>
        <v>0</v>
      </c>
      <c r="W130" s="2">
        <f t="shared" si="25"/>
        <v>0</v>
      </c>
      <c r="X130" s="2">
        <f t="shared" si="26"/>
        <v>0</v>
      </c>
      <c r="Y130" s="2">
        <f t="shared" si="27"/>
        <v>0</v>
      </c>
      <c r="Z130" s="2">
        <f t="shared" si="28"/>
        <v>0</v>
      </c>
      <c r="AA130" s="2">
        <f t="shared" si="29"/>
        <v>0</v>
      </c>
      <c r="AB130" s="2">
        <f t="shared" si="30"/>
        <v>0</v>
      </c>
      <c r="AC130" s="2"/>
      <c r="AD130" s="2">
        <f t="shared" si="31"/>
        <v>1</v>
      </c>
      <c r="AE130" s="2">
        <f t="shared" si="32"/>
        <v>0</v>
      </c>
      <c r="AF130" s="2">
        <f t="shared" si="33"/>
        <v>1</v>
      </c>
      <c r="AG130" s="2">
        <f t="shared" si="34"/>
        <v>0</v>
      </c>
      <c r="AH130" s="2">
        <f t="shared" si="35"/>
        <v>1</v>
      </c>
      <c r="AI130" s="2">
        <f t="shared" si="36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930</v>
      </c>
      <c r="O131" s="31">
        <v>1</v>
      </c>
      <c r="P131" s="31"/>
      <c r="Q131" s="30"/>
      <c r="R131" s="20"/>
      <c r="S131" s="2">
        <f t="shared" si="21"/>
        <v>0</v>
      </c>
      <c r="T131" s="2">
        <f t="shared" si="22"/>
        <v>0</v>
      </c>
      <c r="U131" s="2">
        <f t="shared" si="23"/>
        <v>0</v>
      </c>
      <c r="V131" s="2">
        <f t="shared" si="24"/>
        <v>0</v>
      </c>
      <c r="W131" s="2">
        <f t="shared" si="25"/>
        <v>0</v>
      </c>
      <c r="X131" s="2">
        <f t="shared" si="26"/>
        <v>0</v>
      </c>
      <c r="Y131" s="2">
        <f t="shared" si="27"/>
        <v>0</v>
      </c>
      <c r="Z131" s="2">
        <f t="shared" si="28"/>
        <v>0</v>
      </c>
      <c r="AA131" s="2">
        <f t="shared" si="29"/>
        <v>0</v>
      </c>
      <c r="AB131" s="2">
        <f t="shared" si="30"/>
        <v>0</v>
      </c>
      <c r="AC131" s="2"/>
      <c r="AD131" s="2">
        <f t="shared" si="31"/>
        <v>0</v>
      </c>
      <c r="AE131" s="2">
        <f t="shared" si="32"/>
        <v>1</v>
      </c>
      <c r="AF131" s="2">
        <f t="shared" si="33"/>
        <v>0</v>
      </c>
      <c r="AG131" s="2">
        <f t="shared" si="34"/>
        <v>1</v>
      </c>
      <c r="AH131" s="2">
        <f t="shared" si="35"/>
        <v>0</v>
      </c>
      <c r="AI131" s="2">
        <f t="shared" si="36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21"/>
        <v>0</v>
      </c>
      <c r="T132" s="2">
        <f t="shared" si="22"/>
        <v>0</v>
      </c>
      <c r="U132" s="2">
        <f t="shared" si="23"/>
        <v>0</v>
      </c>
      <c r="V132" s="2">
        <f t="shared" si="24"/>
        <v>1</v>
      </c>
      <c r="W132" s="2">
        <f t="shared" si="25"/>
        <v>0</v>
      </c>
      <c r="X132" s="2">
        <f t="shared" si="26"/>
        <v>0</v>
      </c>
      <c r="Y132" s="2">
        <f t="shared" si="27"/>
        <v>0</v>
      </c>
      <c r="Z132" s="2">
        <f t="shared" si="28"/>
        <v>0</v>
      </c>
      <c r="AA132" s="2">
        <f t="shared" si="29"/>
        <v>0</v>
      </c>
      <c r="AB132" s="2">
        <f t="shared" si="30"/>
        <v>0</v>
      </c>
      <c r="AC132" s="2"/>
      <c r="AD132" s="2">
        <f t="shared" si="31"/>
        <v>0</v>
      </c>
      <c r="AE132" s="2">
        <f t="shared" si="32"/>
        <v>0</v>
      </c>
      <c r="AF132" s="2">
        <f t="shared" si="33"/>
        <v>0</v>
      </c>
      <c r="AG132" s="2">
        <f t="shared" si="34"/>
        <v>0</v>
      </c>
      <c r="AH132" s="2">
        <f t="shared" si="35"/>
        <v>0</v>
      </c>
      <c r="AI132" s="2">
        <f t="shared" si="36"/>
        <v>1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939</v>
      </c>
      <c r="E133" s="30" t="s">
        <v>940</v>
      </c>
      <c r="F133" s="30" t="s">
        <v>941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893</v>
      </c>
      <c r="O133" s="31">
        <v>1</v>
      </c>
      <c r="P133" s="31">
        <v>1</v>
      </c>
      <c r="Q133" s="30"/>
      <c r="R133" s="2"/>
      <c r="S133" s="2">
        <f t="shared" si="21"/>
        <v>0</v>
      </c>
      <c r="T133" s="2">
        <f t="shared" si="22"/>
        <v>0</v>
      </c>
      <c r="U133" s="2">
        <f t="shared" si="23"/>
        <v>0</v>
      </c>
      <c r="V133" s="2">
        <f t="shared" si="24"/>
        <v>0</v>
      </c>
      <c r="W133" s="2">
        <f t="shared" si="25"/>
        <v>0</v>
      </c>
      <c r="X133" s="2">
        <f t="shared" si="26"/>
        <v>0</v>
      </c>
      <c r="Y133" s="2">
        <f t="shared" si="27"/>
        <v>0</v>
      </c>
      <c r="Z133" s="2">
        <f t="shared" si="28"/>
        <v>0</v>
      </c>
      <c r="AA133" s="2">
        <f t="shared" si="29"/>
        <v>0</v>
      </c>
      <c r="AB133" s="2">
        <f t="shared" si="30"/>
        <v>0</v>
      </c>
      <c r="AC133" s="2"/>
      <c r="AD133" s="2">
        <f t="shared" si="31"/>
        <v>1</v>
      </c>
      <c r="AE133" s="2">
        <f t="shared" si="32"/>
        <v>0</v>
      </c>
      <c r="AF133" s="2">
        <f t="shared" si="33"/>
        <v>1</v>
      </c>
      <c r="AG133" s="2">
        <f t="shared" si="34"/>
        <v>0</v>
      </c>
      <c r="AH133" s="2">
        <f t="shared" si="35"/>
        <v>1</v>
      </c>
      <c r="AI133" s="2">
        <f t="shared" si="36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914</v>
      </c>
      <c r="E134" s="30" t="s">
        <v>35</v>
      </c>
      <c r="F134" s="30" t="s">
        <v>915</v>
      </c>
      <c r="G134" s="30"/>
      <c r="H134" s="30" t="s">
        <v>165</v>
      </c>
      <c r="I134" s="29" t="s">
        <v>916</v>
      </c>
      <c r="J134" s="29">
        <v>99</v>
      </c>
      <c r="K134" s="29" t="s">
        <v>378</v>
      </c>
      <c r="L134" s="29"/>
      <c r="M134" s="30"/>
      <c r="N134" s="30" t="s">
        <v>893</v>
      </c>
      <c r="O134" s="31">
        <v>1</v>
      </c>
      <c r="P134" s="31">
        <v>1</v>
      </c>
      <c r="Q134" s="30"/>
      <c r="R134" s="2"/>
      <c r="S134" s="2">
        <f t="shared" si="21"/>
        <v>0</v>
      </c>
      <c r="T134" s="2">
        <f t="shared" si="22"/>
        <v>0</v>
      </c>
      <c r="U134" s="2">
        <f t="shared" si="23"/>
        <v>0</v>
      </c>
      <c r="V134" s="2">
        <f t="shared" si="24"/>
        <v>0</v>
      </c>
      <c r="W134" s="2">
        <f t="shared" si="25"/>
        <v>0</v>
      </c>
      <c r="X134" s="2">
        <f t="shared" si="26"/>
        <v>0</v>
      </c>
      <c r="Y134" s="2">
        <f t="shared" si="27"/>
        <v>0</v>
      </c>
      <c r="Z134" s="2">
        <f t="shared" si="28"/>
        <v>0</v>
      </c>
      <c r="AA134" s="2">
        <f t="shared" si="29"/>
        <v>0</v>
      </c>
      <c r="AB134" s="2">
        <f t="shared" si="30"/>
        <v>0</v>
      </c>
      <c r="AC134" s="2"/>
      <c r="AD134" s="2">
        <f t="shared" si="31"/>
        <v>1</v>
      </c>
      <c r="AE134" s="2">
        <f t="shared" si="32"/>
        <v>0</v>
      </c>
      <c r="AF134" s="2">
        <f t="shared" si="33"/>
        <v>1</v>
      </c>
      <c r="AG134" s="2">
        <f t="shared" si="34"/>
        <v>0</v>
      </c>
      <c r="AH134" s="2">
        <f t="shared" si="35"/>
        <v>1</v>
      </c>
      <c r="AI134" s="2">
        <f t="shared" si="36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862</v>
      </c>
      <c r="N135" s="30" t="s">
        <v>893</v>
      </c>
      <c r="O135" s="31">
        <v>1</v>
      </c>
      <c r="P135" s="31">
        <v>1</v>
      </c>
      <c r="Q135" s="30"/>
      <c r="R135" s="2"/>
      <c r="S135" s="2">
        <f t="shared" si="21"/>
        <v>0</v>
      </c>
      <c r="T135" s="2">
        <f t="shared" si="22"/>
        <v>0</v>
      </c>
      <c r="U135" s="2">
        <f t="shared" si="23"/>
        <v>0</v>
      </c>
      <c r="V135" s="2">
        <f t="shared" si="24"/>
        <v>0</v>
      </c>
      <c r="W135" s="2">
        <f t="shared" si="25"/>
        <v>0</v>
      </c>
      <c r="X135" s="2">
        <f t="shared" si="26"/>
        <v>0</v>
      </c>
      <c r="Y135" s="2">
        <f t="shared" si="27"/>
        <v>0</v>
      </c>
      <c r="Z135" s="2">
        <f t="shared" si="28"/>
        <v>0</v>
      </c>
      <c r="AA135" s="2">
        <f t="shared" si="29"/>
        <v>0</v>
      </c>
      <c r="AB135" s="2">
        <f t="shared" si="30"/>
        <v>0</v>
      </c>
      <c r="AC135" s="2"/>
      <c r="AD135" s="2">
        <f t="shared" si="31"/>
        <v>1</v>
      </c>
      <c r="AE135" s="2">
        <f t="shared" si="32"/>
        <v>0</v>
      </c>
      <c r="AF135" s="2">
        <f t="shared" si="33"/>
        <v>1</v>
      </c>
      <c r="AG135" s="2">
        <f t="shared" si="34"/>
        <v>0</v>
      </c>
      <c r="AH135" s="2">
        <f t="shared" si="35"/>
        <v>1</v>
      </c>
      <c r="AI135" s="2">
        <f t="shared" si="36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823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893</v>
      </c>
      <c r="O136" s="31">
        <v>1</v>
      </c>
      <c r="P136" s="31">
        <v>1</v>
      </c>
      <c r="Q136" s="30"/>
      <c r="R136" s="2"/>
      <c r="S136" s="2">
        <f t="shared" si="21"/>
        <v>0</v>
      </c>
      <c r="T136" s="2">
        <f t="shared" si="22"/>
        <v>0</v>
      </c>
      <c r="U136" s="2">
        <f t="shared" si="23"/>
        <v>0</v>
      </c>
      <c r="V136" s="2">
        <f t="shared" si="24"/>
        <v>0</v>
      </c>
      <c r="W136" s="2">
        <f t="shared" si="25"/>
        <v>0</v>
      </c>
      <c r="X136" s="2">
        <f t="shared" si="26"/>
        <v>0</v>
      </c>
      <c r="Y136" s="2">
        <f t="shared" si="27"/>
        <v>0</v>
      </c>
      <c r="Z136" s="2">
        <f t="shared" si="28"/>
        <v>0</v>
      </c>
      <c r="AA136" s="2">
        <f t="shared" si="29"/>
        <v>0</v>
      </c>
      <c r="AB136" s="2">
        <f t="shared" si="30"/>
        <v>1</v>
      </c>
      <c r="AC136" s="2"/>
      <c r="AD136" s="2">
        <f t="shared" si="31"/>
        <v>1</v>
      </c>
      <c r="AE136" s="2">
        <f t="shared" si="32"/>
        <v>0</v>
      </c>
      <c r="AF136" s="2">
        <f t="shared" si="33"/>
        <v>1</v>
      </c>
      <c r="AG136" s="2">
        <f t="shared" si="34"/>
        <v>0</v>
      </c>
      <c r="AH136" s="2">
        <f t="shared" si="35"/>
        <v>1</v>
      </c>
      <c r="AI136" s="2">
        <f t="shared" si="36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867</v>
      </c>
      <c r="N137" s="30" t="s">
        <v>899</v>
      </c>
      <c r="O137" s="31">
        <v>1</v>
      </c>
      <c r="P137" s="31"/>
      <c r="Q137" s="30"/>
      <c r="R137" s="2"/>
      <c r="S137" s="2">
        <f t="shared" si="21"/>
        <v>0</v>
      </c>
      <c r="T137" s="2">
        <f t="shared" si="22"/>
        <v>0</v>
      </c>
      <c r="U137" s="2">
        <f t="shared" si="23"/>
        <v>0</v>
      </c>
      <c r="V137" s="2">
        <f t="shared" si="24"/>
        <v>0</v>
      </c>
      <c r="W137" s="2">
        <f t="shared" si="25"/>
        <v>0</v>
      </c>
      <c r="X137" s="2">
        <f t="shared" si="26"/>
        <v>0</v>
      </c>
      <c r="Y137" s="2">
        <f t="shared" si="27"/>
        <v>0</v>
      </c>
      <c r="Z137" s="2">
        <f t="shared" si="28"/>
        <v>0</v>
      </c>
      <c r="AA137" s="2">
        <f t="shared" si="29"/>
        <v>1</v>
      </c>
      <c r="AB137" s="2">
        <f t="shared" si="30"/>
        <v>0</v>
      </c>
      <c r="AC137" s="2"/>
      <c r="AD137" s="2">
        <f t="shared" si="31"/>
        <v>0</v>
      </c>
      <c r="AE137" s="2">
        <f t="shared" si="32"/>
        <v>1</v>
      </c>
      <c r="AF137" s="2">
        <f t="shared" si="33"/>
        <v>0</v>
      </c>
      <c r="AG137" s="2">
        <f t="shared" si="34"/>
        <v>1</v>
      </c>
      <c r="AH137" s="2">
        <f t="shared" si="35"/>
        <v>0</v>
      </c>
      <c r="AI137" s="2">
        <f t="shared" si="36"/>
        <v>1</v>
      </c>
    </row>
    <row r="138" spans="1:16384" s="3" customFormat="1" ht="14.25" customHeight="1" x14ac:dyDescent="0.25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868</v>
      </c>
      <c r="N138" s="30" t="s">
        <v>899</v>
      </c>
      <c r="O138" s="31">
        <v>1</v>
      </c>
      <c r="P138" s="31"/>
      <c r="Q138" s="30"/>
      <c r="R138" s="2"/>
      <c r="S138" s="2">
        <f t="shared" si="21"/>
        <v>0</v>
      </c>
      <c r="T138" s="2">
        <f t="shared" si="22"/>
        <v>0</v>
      </c>
      <c r="U138" s="2">
        <f t="shared" si="23"/>
        <v>0</v>
      </c>
      <c r="V138" s="2">
        <f t="shared" si="24"/>
        <v>0</v>
      </c>
      <c r="W138" s="2">
        <f t="shared" si="25"/>
        <v>0</v>
      </c>
      <c r="X138" s="2">
        <f t="shared" si="26"/>
        <v>0</v>
      </c>
      <c r="Y138" s="2">
        <f t="shared" si="27"/>
        <v>0</v>
      </c>
      <c r="Z138" s="2">
        <f t="shared" si="28"/>
        <v>0</v>
      </c>
      <c r="AA138" s="2">
        <f t="shared" si="29"/>
        <v>0</v>
      </c>
      <c r="AB138" s="2">
        <f t="shared" si="30"/>
        <v>0</v>
      </c>
      <c r="AC138" s="2"/>
      <c r="AD138" s="2">
        <f t="shared" si="31"/>
        <v>0</v>
      </c>
      <c r="AE138" s="2">
        <f t="shared" si="32"/>
        <v>1</v>
      </c>
      <c r="AF138" s="2">
        <f t="shared" si="33"/>
        <v>0</v>
      </c>
      <c r="AG138" s="2">
        <f t="shared" si="34"/>
        <v>0</v>
      </c>
      <c r="AH138" s="2">
        <f t="shared" si="35"/>
        <v>0</v>
      </c>
      <c r="AI138" s="2">
        <f t="shared" si="36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893</v>
      </c>
      <c r="O139" s="31">
        <v>1</v>
      </c>
      <c r="P139" s="31">
        <v>1</v>
      </c>
      <c r="Q139" s="30"/>
      <c r="R139" s="2"/>
      <c r="S139" s="2">
        <f t="shared" ref="S139:S202" si="37">IF(J139=$S$7,1,0)</f>
        <v>0</v>
      </c>
      <c r="T139" s="2">
        <f t="shared" ref="T139:T202" si="38">IF(J139=$T$7,1,0)</f>
        <v>0</v>
      </c>
      <c r="U139" s="2">
        <f t="shared" ref="U139:U202" si="39">IF(J139=$U$7,1,0)</f>
        <v>0</v>
      </c>
      <c r="V139" s="2">
        <f t="shared" ref="V139:V202" si="40">IF(J139=$V$7,1,0)</f>
        <v>0</v>
      </c>
      <c r="W139" s="2">
        <f t="shared" ref="W139:W202" si="41">IF(J139=$W$7,1,0)</f>
        <v>0</v>
      </c>
      <c r="X139" s="2">
        <f t="shared" ref="X139:X202" si="42">IF(J139=$X$7,1,0)</f>
        <v>0</v>
      </c>
      <c r="Y139" s="2">
        <f t="shared" ref="Y139:Y202" si="43">IF(J139=$Y$7,1,0)</f>
        <v>0</v>
      </c>
      <c r="Z139" s="2">
        <f t="shared" ref="Z139:Z202" si="44">IF(J139=$Z$7,1,0)</f>
        <v>1</v>
      </c>
      <c r="AA139" s="2">
        <f t="shared" ref="AA139:AA202" si="45">IF(J139=$AA$7,1,0)</f>
        <v>0</v>
      </c>
      <c r="AB139" s="2">
        <f t="shared" ref="AB139:AB202" si="46">IF(J139=$AB$7,1,0)</f>
        <v>0</v>
      </c>
      <c r="AC139" s="2"/>
      <c r="AD139" s="2">
        <f t="shared" ref="AD139:AD202" si="47">+O139*P139</f>
        <v>1</v>
      </c>
      <c r="AE139" s="2">
        <f t="shared" ref="AE139:AE202" si="48">O139*(1-P139)</f>
        <v>0</v>
      </c>
      <c r="AF139" s="2">
        <f t="shared" ref="AF139:AF202" si="49">+O139*P139*(1-A139)</f>
        <v>1</v>
      </c>
      <c r="AG139" s="2">
        <f t="shared" ref="AG139:AG202" si="50">O139*(1-P139)*(1-A139)</f>
        <v>0</v>
      </c>
      <c r="AH139" s="2">
        <f t="shared" ref="AH139:AH202" si="51">+P139*(1-A139)</f>
        <v>1</v>
      </c>
      <c r="AI139" s="2">
        <f t="shared" ref="AI139:AI202" si="52">+(1-A139)*(1-P139)</f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893</v>
      </c>
      <c r="O140" s="31">
        <v>1</v>
      </c>
      <c r="P140" s="31">
        <v>1</v>
      </c>
      <c r="Q140" s="30"/>
      <c r="R140" s="2"/>
      <c r="S140" s="2">
        <f t="shared" si="37"/>
        <v>1</v>
      </c>
      <c r="T140" s="2">
        <f t="shared" si="38"/>
        <v>0</v>
      </c>
      <c r="U140" s="2">
        <f t="shared" si="39"/>
        <v>0</v>
      </c>
      <c r="V140" s="2">
        <f t="shared" si="40"/>
        <v>0</v>
      </c>
      <c r="W140" s="2">
        <f t="shared" si="41"/>
        <v>0</v>
      </c>
      <c r="X140" s="2">
        <f t="shared" si="42"/>
        <v>0</v>
      </c>
      <c r="Y140" s="2">
        <f t="shared" si="43"/>
        <v>0</v>
      </c>
      <c r="Z140" s="2">
        <f t="shared" si="44"/>
        <v>0</v>
      </c>
      <c r="AA140" s="2">
        <f t="shared" si="45"/>
        <v>0</v>
      </c>
      <c r="AB140" s="2">
        <f t="shared" si="46"/>
        <v>0</v>
      </c>
      <c r="AC140" s="2"/>
      <c r="AD140" s="2">
        <f t="shared" si="47"/>
        <v>1</v>
      </c>
      <c r="AE140" s="2">
        <f t="shared" si="48"/>
        <v>0</v>
      </c>
      <c r="AF140" s="2">
        <f t="shared" si="49"/>
        <v>1</v>
      </c>
      <c r="AG140" s="2">
        <f t="shared" si="50"/>
        <v>0</v>
      </c>
      <c r="AH140" s="2">
        <f t="shared" si="51"/>
        <v>1</v>
      </c>
      <c r="AI140" s="2">
        <f t="shared" si="52"/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893</v>
      </c>
      <c r="O141" s="31">
        <v>1</v>
      </c>
      <c r="P141" s="31">
        <v>1</v>
      </c>
      <c r="Q141" s="30"/>
      <c r="R141" s="2"/>
      <c r="S141" s="2">
        <f t="shared" si="37"/>
        <v>0</v>
      </c>
      <c r="T141" s="2">
        <f t="shared" si="38"/>
        <v>0</v>
      </c>
      <c r="U141" s="2">
        <f t="shared" si="39"/>
        <v>1</v>
      </c>
      <c r="V141" s="2">
        <f t="shared" si="40"/>
        <v>0</v>
      </c>
      <c r="W141" s="2">
        <f t="shared" si="41"/>
        <v>0</v>
      </c>
      <c r="X141" s="2">
        <f t="shared" si="42"/>
        <v>0</v>
      </c>
      <c r="Y141" s="2">
        <f t="shared" si="43"/>
        <v>0</v>
      </c>
      <c r="Z141" s="2">
        <f t="shared" si="44"/>
        <v>0</v>
      </c>
      <c r="AA141" s="2">
        <f t="shared" si="45"/>
        <v>0</v>
      </c>
      <c r="AB141" s="2">
        <f t="shared" si="46"/>
        <v>0</v>
      </c>
      <c r="AC141" s="2"/>
      <c r="AD141" s="2">
        <f t="shared" si="47"/>
        <v>1</v>
      </c>
      <c r="AE141" s="2">
        <f t="shared" si="48"/>
        <v>0</v>
      </c>
      <c r="AF141" s="2">
        <f t="shared" si="49"/>
        <v>1</v>
      </c>
      <c r="AG141" s="2">
        <f t="shared" si="50"/>
        <v>0</v>
      </c>
      <c r="AH141" s="2">
        <f t="shared" si="51"/>
        <v>1</v>
      </c>
      <c r="AI141" s="2">
        <f t="shared" si="52"/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827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913</v>
      </c>
      <c r="O142" s="31">
        <v>1</v>
      </c>
      <c r="P142" s="31"/>
      <c r="Q142" s="30"/>
      <c r="R142" s="2"/>
      <c r="S142" s="2">
        <f t="shared" si="37"/>
        <v>0</v>
      </c>
      <c r="T142" s="2">
        <f t="shared" si="38"/>
        <v>0</v>
      </c>
      <c r="U142" s="2">
        <f t="shared" si="39"/>
        <v>0</v>
      </c>
      <c r="V142" s="2">
        <f t="shared" si="40"/>
        <v>0</v>
      </c>
      <c r="W142" s="2">
        <f t="shared" si="41"/>
        <v>0</v>
      </c>
      <c r="X142" s="2">
        <f t="shared" si="42"/>
        <v>0</v>
      </c>
      <c r="Y142" s="2">
        <f t="shared" si="43"/>
        <v>0</v>
      </c>
      <c r="Z142" s="2">
        <f t="shared" si="44"/>
        <v>1</v>
      </c>
      <c r="AA142" s="2">
        <f t="shared" si="45"/>
        <v>0</v>
      </c>
      <c r="AB142" s="2">
        <f t="shared" si="46"/>
        <v>0</v>
      </c>
      <c r="AC142" s="2"/>
      <c r="AD142" s="2">
        <f t="shared" si="47"/>
        <v>0</v>
      </c>
      <c r="AE142" s="2">
        <f t="shared" si="48"/>
        <v>1</v>
      </c>
      <c r="AF142" s="2">
        <f t="shared" si="49"/>
        <v>0</v>
      </c>
      <c r="AG142" s="2">
        <f t="shared" si="50"/>
        <v>1</v>
      </c>
      <c r="AH142" s="2">
        <f t="shared" si="51"/>
        <v>0</v>
      </c>
      <c r="AI142" s="2">
        <f t="shared" si="52"/>
        <v>1</v>
      </c>
    </row>
    <row r="143" spans="1:16384" s="3" customFormat="1" ht="14.25" customHeight="1" x14ac:dyDescent="0.25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913</v>
      </c>
      <c r="O143" s="31">
        <v>1</v>
      </c>
      <c r="P143" s="31"/>
      <c r="Q143" s="30"/>
      <c r="R143" s="2"/>
      <c r="S143" s="2">
        <f t="shared" si="37"/>
        <v>0</v>
      </c>
      <c r="T143" s="2">
        <f t="shared" si="38"/>
        <v>0</v>
      </c>
      <c r="U143" s="2">
        <f t="shared" si="39"/>
        <v>1</v>
      </c>
      <c r="V143" s="2">
        <f t="shared" si="40"/>
        <v>0</v>
      </c>
      <c r="W143" s="2">
        <f t="shared" si="41"/>
        <v>0</v>
      </c>
      <c r="X143" s="2">
        <f t="shared" si="42"/>
        <v>0</v>
      </c>
      <c r="Y143" s="2">
        <f t="shared" si="43"/>
        <v>0</v>
      </c>
      <c r="Z143" s="2">
        <f t="shared" si="44"/>
        <v>0</v>
      </c>
      <c r="AA143" s="2">
        <f t="shared" si="45"/>
        <v>0</v>
      </c>
      <c r="AB143" s="2">
        <f t="shared" si="46"/>
        <v>0</v>
      </c>
      <c r="AC143" s="2"/>
      <c r="AD143" s="2">
        <f t="shared" si="47"/>
        <v>0</v>
      </c>
      <c r="AE143" s="2">
        <f t="shared" si="48"/>
        <v>1</v>
      </c>
      <c r="AF143" s="2">
        <f t="shared" si="49"/>
        <v>0</v>
      </c>
      <c r="AG143" s="2">
        <f t="shared" si="50"/>
        <v>0</v>
      </c>
      <c r="AH143" s="2">
        <f t="shared" si="51"/>
        <v>0</v>
      </c>
      <c r="AI143" s="2">
        <f t="shared" si="52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921</v>
      </c>
      <c r="E144" s="30" t="s">
        <v>35</v>
      </c>
      <c r="F144" s="30" t="s">
        <v>922</v>
      </c>
      <c r="G144" s="30" t="s">
        <v>132</v>
      </c>
      <c r="H144" s="30" t="s">
        <v>165</v>
      </c>
      <c r="I144" s="29" t="s">
        <v>923</v>
      </c>
      <c r="J144" s="29">
        <v>99</v>
      </c>
      <c r="K144" s="29" t="s">
        <v>378</v>
      </c>
      <c r="L144" s="29"/>
      <c r="M144" s="30"/>
      <c r="N144" s="30" t="s">
        <v>893</v>
      </c>
      <c r="O144" s="31">
        <v>1</v>
      </c>
      <c r="P144" s="31">
        <v>1</v>
      </c>
      <c r="Q144" s="30"/>
      <c r="R144" s="2"/>
      <c r="S144" s="2">
        <f t="shared" si="37"/>
        <v>0</v>
      </c>
      <c r="T144" s="2">
        <f t="shared" si="38"/>
        <v>0</v>
      </c>
      <c r="U144" s="2">
        <f t="shared" si="39"/>
        <v>0</v>
      </c>
      <c r="V144" s="2">
        <f t="shared" si="40"/>
        <v>0</v>
      </c>
      <c r="W144" s="2">
        <f t="shared" si="41"/>
        <v>0</v>
      </c>
      <c r="X144" s="2">
        <f t="shared" si="42"/>
        <v>0</v>
      </c>
      <c r="Y144" s="2">
        <f t="shared" si="43"/>
        <v>0</v>
      </c>
      <c r="Z144" s="2">
        <f t="shared" si="44"/>
        <v>0</v>
      </c>
      <c r="AA144" s="2">
        <f t="shared" si="45"/>
        <v>0</v>
      </c>
      <c r="AB144" s="2">
        <f t="shared" si="46"/>
        <v>0</v>
      </c>
      <c r="AC144" s="2"/>
      <c r="AD144" s="2">
        <f t="shared" si="47"/>
        <v>1</v>
      </c>
      <c r="AE144" s="2">
        <f t="shared" si="48"/>
        <v>0</v>
      </c>
      <c r="AF144" s="2">
        <f t="shared" si="49"/>
        <v>1</v>
      </c>
      <c r="AG144" s="2">
        <f t="shared" si="50"/>
        <v>0</v>
      </c>
      <c r="AH144" s="2">
        <f t="shared" si="51"/>
        <v>1</v>
      </c>
      <c r="AI144" s="2">
        <f t="shared" si="52"/>
        <v>0</v>
      </c>
    </row>
    <row r="145" spans="1:16384" s="3" customFormat="1" ht="14.25" customHeight="1" x14ac:dyDescent="0.25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893</v>
      </c>
      <c r="O145" s="31">
        <v>1</v>
      </c>
      <c r="P145" s="31">
        <v>1</v>
      </c>
      <c r="Q145" s="30"/>
      <c r="R145" s="2"/>
      <c r="S145" s="2">
        <f t="shared" si="37"/>
        <v>0</v>
      </c>
      <c r="T145" s="2">
        <f t="shared" si="38"/>
        <v>0</v>
      </c>
      <c r="U145" s="2">
        <f t="shared" si="39"/>
        <v>0</v>
      </c>
      <c r="V145" s="2">
        <f t="shared" si="40"/>
        <v>0</v>
      </c>
      <c r="W145" s="2">
        <f t="shared" si="41"/>
        <v>0</v>
      </c>
      <c r="X145" s="2">
        <f t="shared" si="42"/>
        <v>0</v>
      </c>
      <c r="Y145" s="2">
        <f t="shared" si="43"/>
        <v>0</v>
      </c>
      <c r="Z145" s="2">
        <f t="shared" si="44"/>
        <v>0</v>
      </c>
      <c r="AA145" s="2">
        <f t="shared" si="45"/>
        <v>0</v>
      </c>
      <c r="AB145" s="2">
        <f t="shared" si="46"/>
        <v>0</v>
      </c>
      <c r="AC145" s="2"/>
      <c r="AD145" s="2">
        <f t="shared" si="47"/>
        <v>1</v>
      </c>
      <c r="AE145" s="2">
        <f t="shared" si="48"/>
        <v>0</v>
      </c>
      <c r="AF145" s="2">
        <f t="shared" si="49"/>
        <v>1</v>
      </c>
      <c r="AG145" s="2">
        <f t="shared" si="50"/>
        <v>0</v>
      </c>
      <c r="AH145" s="2">
        <f t="shared" si="51"/>
        <v>1</v>
      </c>
      <c r="AI145" s="2">
        <f t="shared" si="52"/>
        <v>0</v>
      </c>
    </row>
    <row r="146" spans="1:16384" s="3" customFormat="1" ht="14.25" customHeight="1" x14ac:dyDescent="0.25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830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899</v>
      </c>
      <c r="O146" s="31">
        <v>1</v>
      </c>
      <c r="P146" s="31"/>
      <c r="Q146" s="30" t="s">
        <v>957</v>
      </c>
      <c r="R146" s="2"/>
      <c r="S146" s="2">
        <f t="shared" si="37"/>
        <v>0</v>
      </c>
      <c r="T146" s="2">
        <f t="shared" si="38"/>
        <v>0</v>
      </c>
      <c r="U146" s="2">
        <f t="shared" si="39"/>
        <v>0</v>
      </c>
      <c r="V146" s="2">
        <f t="shared" si="40"/>
        <v>0</v>
      </c>
      <c r="W146" s="2">
        <f t="shared" si="41"/>
        <v>0</v>
      </c>
      <c r="X146" s="2">
        <f t="shared" si="42"/>
        <v>0</v>
      </c>
      <c r="Y146" s="2">
        <f t="shared" si="43"/>
        <v>0</v>
      </c>
      <c r="Z146" s="2">
        <f t="shared" si="44"/>
        <v>0</v>
      </c>
      <c r="AA146" s="2">
        <f t="shared" si="45"/>
        <v>0</v>
      </c>
      <c r="AB146" s="2">
        <f t="shared" si="46"/>
        <v>0</v>
      </c>
      <c r="AC146" s="2"/>
      <c r="AD146" s="2">
        <f t="shared" si="47"/>
        <v>0</v>
      </c>
      <c r="AE146" s="2">
        <f t="shared" si="48"/>
        <v>1</v>
      </c>
      <c r="AF146" s="2">
        <f t="shared" si="49"/>
        <v>0</v>
      </c>
      <c r="AG146" s="2">
        <f t="shared" si="50"/>
        <v>1</v>
      </c>
      <c r="AH146" s="2">
        <f t="shared" si="51"/>
        <v>0</v>
      </c>
      <c r="AI146" s="2">
        <f t="shared" si="52"/>
        <v>1</v>
      </c>
    </row>
    <row r="147" spans="1:16384" s="3" customFormat="1" ht="14.25" customHeight="1" x14ac:dyDescent="0.25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899</v>
      </c>
      <c r="O147" s="31">
        <v>1</v>
      </c>
      <c r="P147" s="31"/>
      <c r="Q147" s="30"/>
      <c r="R147" s="2"/>
      <c r="S147" s="2">
        <f t="shared" si="37"/>
        <v>0</v>
      </c>
      <c r="T147" s="2">
        <f t="shared" si="38"/>
        <v>0</v>
      </c>
      <c r="U147" s="2">
        <f t="shared" si="39"/>
        <v>0</v>
      </c>
      <c r="V147" s="2">
        <f t="shared" si="40"/>
        <v>0</v>
      </c>
      <c r="W147" s="2">
        <f t="shared" si="41"/>
        <v>0</v>
      </c>
      <c r="X147" s="2">
        <f t="shared" si="42"/>
        <v>0</v>
      </c>
      <c r="Y147" s="2">
        <f t="shared" si="43"/>
        <v>0</v>
      </c>
      <c r="Z147" s="2">
        <f t="shared" si="44"/>
        <v>0</v>
      </c>
      <c r="AA147" s="2">
        <f t="shared" si="45"/>
        <v>0</v>
      </c>
      <c r="AB147" s="2">
        <f t="shared" si="46"/>
        <v>1</v>
      </c>
      <c r="AC147" s="2"/>
      <c r="AD147" s="2">
        <f t="shared" si="47"/>
        <v>0</v>
      </c>
      <c r="AE147" s="2">
        <f t="shared" si="48"/>
        <v>1</v>
      </c>
      <c r="AF147" s="2">
        <f t="shared" si="49"/>
        <v>0</v>
      </c>
      <c r="AG147" s="2">
        <f t="shared" si="50"/>
        <v>1</v>
      </c>
      <c r="AH147" s="2">
        <f t="shared" si="51"/>
        <v>0</v>
      </c>
      <c r="AI147" s="2">
        <f t="shared" si="52"/>
        <v>1</v>
      </c>
    </row>
    <row r="148" spans="1:16384" s="3" customFormat="1" ht="14.25" customHeight="1" x14ac:dyDescent="0.25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899</v>
      </c>
      <c r="O148" s="31">
        <v>1</v>
      </c>
      <c r="P148" s="31"/>
      <c r="Q148" s="30"/>
      <c r="R148" s="2"/>
      <c r="S148" s="2">
        <f t="shared" si="37"/>
        <v>0</v>
      </c>
      <c r="T148" s="2">
        <f t="shared" si="38"/>
        <v>0</v>
      </c>
      <c r="U148" s="2">
        <f t="shared" si="39"/>
        <v>0</v>
      </c>
      <c r="V148" s="2">
        <f t="shared" si="40"/>
        <v>0</v>
      </c>
      <c r="W148" s="2">
        <f t="shared" si="41"/>
        <v>0</v>
      </c>
      <c r="X148" s="2">
        <f t="shared" si="42"/>
        <v>0</v>
      </c>
      <c r="Y148" s="2">
        <f t="shared" si="43"/>
        <v>0</v>
      </c>
      <c r="Z148" s="2">
        <f t="shared" si="44"/>
        <v>0</v>
      </c>
      <c r="AA148" s="2">
        <f t="shared" si="45"/>
        <v>0</v>
      </c>
      <c r="AB148" s="2">
        <f t="shared" si="46"/>
        <v>0</v>
      </c>
      <c r="AC148" s="2"/>
      <c r="AD148" s="2">
        <f t="shared" si="47"/>
        <v>0</v>
      </c>
      <c r="AE148" s="2">
        <f t="shared" si="48"/>
        <v>1</v>
      </c>
      <c r="AF148" s="2">
        <f t="shared" si="49"/>
        <v>0</v>
      </c>
      <c r="AG148" s="2">
        <f t="shared" si="50"/>
        <v>1</v>
      </c>
      <c r="AH148" s="2">
        <f t="shared" si="51"/>
        <v>0</v>
      </c>
      <c r="AI148" s="2">
        <f t="shared" si="52"/>
        <v>1</v>
      </c>
    </row>
    <row r="149" spans="1:16384" s="3" customFormat="1" ht="14.25" customHeight="1" x14ac:dyDescent="0.25">
      <c r="A149" s="20">
        <v>0</v>
      </c>
      <c r="B149" s="20">
        <v>2</v>
      </c>
      <c r="C149" s="20">
        <v>2</v>
      </c>
      <c r="D149" s="21" t="s">
        <v>722</v>
      </c>
      <c r="E149" s="21" t="s">
        <v>816</v>
      </c>
      <c r="F149" s="21" t="s">
        <v>723</v>
      </c>
      <c r="G149" s="21" t="s">
        <v>96</v>
      </c>
      <c r="H149" s="21" t="s">
        <v>165</v>
      </c>
      <c r="I149" s="20" t="s">
        <v>724</v>
      </c>
      <c r="J149" s="20">
        <v>3</v>
      </c>
      <c r="K149" s="20" t="s">
        <v>319</v>
      </c>
      <c r="L149" s="20">
        <v>35</v>
      </c>
      <c r="M149" s="21" t="s">
        <v>883</v>
      </c>
      <c r="N149" s="21"/>
      <c r="O149" s="7"/>
      <c r="P149" s="7"/>
      <c r="Q149" s="21"/>
      <c r="R149" s="2"/>
      <c r="S149" s="2">
        <f t="shared" si="37"/>
        <v>0</v>
      </c>
      <c r="T149" s="2">
        <f t="shared" si="38"/>
        <v>0</v>
      </c>
      <c r="U149" s="2">
        <f t="shared" si="39"/>
        <v>1</v>
      </c>
      <c r="V149" s="2">
        <f t="shared" si="40"/>
        <v>0</v>
      </c>
      <c r="W149" s="2">
        <f t="shared" si="41"/>
        <v>0</v>
      </c>
      <c r="X149" s="2">
        <f t="shared" si="42"/>
        <v>0</v>
      </c>
      <c r="Y149" s="2">
        <f t="shared" si="43"/>
        <v>0</v>
      </c>
      <c r="Z149" s="2">
        <f t="shared" si="44"/>
        <v>0</v>
      </c>
      <c r="AA149" s="2">
        <f t="shared" si="45"/>
        <v>0</v>
      </c>
      <c r="AB149" s="2">
        <f t="shared" si="46"/>
        <v>0</v>
      </c>
      <c r="AC149" s="2"/>
      <c r="AD149" s="2">
        <f t="shared" si="47"/>
        <v>0</v>
      </c>
      <c r="AE149" s="2">
        <f t="shared" si="48"/>
        <v>0</v>
      </c>
      <c r="AF149" s="2">
        <f t="shared" si="49"/>
        <v>0</v>
      </c>
      <c r="AG149" s="2">
        <f t="shared" si="50"/>
        <v>0</v>
      </c>
      <c r="AH149" s="2">
        <f t="shared" si="51"/>
        <v>0</v>
      </c>
      <c r="AI149" s="2">
        <f t="shared" si="52"/>
        <v>1</v>
      </c>
    </row>
    <row r="150" spans="1:16384" s="3" customFormat="1" ht="14.25" customHeight="1" x14ac:dyDescent="0.25">
      <c r="A150" s="29">
        <v>0</v>
      </c>
      <c r="B150" s="29">
        <v>2</v>
      </c>
      <c r="C150" s="29">
        <v>2</v>
      </c>
      <c r="D150" s="30" t="s">
        <v>503</v>
      </c>
      <c r="E150" s="30" t="s">
        <v>675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884</v>
      </c>
      <c r="N150" s="30" t="s">
        <v>899</v>
      </c>
      <c r="O150" s="31">
        <v>1</v>
      </c>
      <c r="P150" s="31"/>
      <c r="Q150" s="30"/>
      <c r="R150" s="2"/>
      <c r="S150" s="2">
        <f t="shared" si="37"/>
        <v>1</v>
      </c>
      <c r="T150" s="2">
        <f t="shared" si="38"/>
        <v>0</v>
      </c>
      <c r="U150" s="2">
        <f t="shared" si="39"/>
        <v>0</v>
      </c>
      <c r="V150" s="2">
        <f t="shared" si="40"/>
        <v>0</v>
      </c>
      <c r="W150" s="2">
        <f t="shared" si="41"/>
        <v>0</v>
      </c>
      <c r="X150" s="2">
        <f t="shared" si="42"/>
        <v>0</v>
      </c>
      <c r="Y150" s="2">
        <f t="shared" si="43"/>
        <v>0</v>
      </c>
      <c r="Z150" s="2">
        <f t="shared" si="44"/>
        <v>0</v>
      </c>
      <c r="AA150" s="2">
        <f t="shared" si="45"/>
        <v>0</v>
      </c>
      <c r="AB150" s="2">
        <f t="shared" si="46"/>
        <v>0</v>
      </c>
      <c r="AC150" s="2"/>
      <c r="AD150" s="2">
        <f t="shared" si="47"/>
        <v>0</v>
      </c>
      <c r="AE150" s="2">
        <f t="shared" si="48"/>
        <v>1</v>
      </c>
      <c r="AF150" s="2">
        <f t="shared" si="49"/>
        <v>0</v>
      </c>
      <c r="AG150" s="2">
        <f t="shared" si="50"/>
        <v>1</v>
      </c>
      <c r="AH150" s="2">
        <f t="shared" si="51"/>
        <v>0</v>
      </c>
      <c r="AI150" s="2">
        <f t="shared" si="52"/>
        <v>1</v>
      </c>
    </row>
    <row r="151" spans="1:16384" s="3" customFormat="1" ht="14.25" customHeight="1" x14ac:dyDescent="0.25">
      <c r="A151" s="32">
        <v>0</v>
      </c>
      <c r="B151" s="32">
        <v>2</v>
      </c>
      <c r="C151" s="32">
        <v>2</v>
      </c>
      <c r="D151" s="33" t="s">
        <v>796</v>
      </c>
      <c r="E151" s="33"/>
      <c r="F151" s="33" t="s">
        <v>797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798</v>
      </c>
      <c r="N151" s="33" t="s">
        <v>929</v>
      </c>
      <c r="O151" s="34"/>
      <c r="P151" s="34"/>
      <c r="Q151" s="33"/>
      <c r="R151" s="2"/>
      <c r="S151" s="2">
        <f t="shared" si="37"/>
        <v>1</v>
      </c>
      <c r="T151" s="2">
        <f t="shared" si="38"/>
        <v>0</v>
      </c>
      <c r="U151" s="2">
        <f t="shared" si="39"/>
        <v>0</v>
      </c>
      <c r="V151" s="2">
        <f t="shared" si="40"/>
        <v>0</v>
      </c>
      <c r="W151" s="2">
        <f t="shared" si="41"/>
        <v>0</v>
      </c>
      <c r="X151" s="2">
        <f t="shared" si="42"/>
        <v>0</v>
      </c>
      <c r="Y151" s="2">
        <f t="shared" si="43"/>
        <v>0</v>
      </c>
      <c r="Z151" s="2">
        <f t="shared" si="44"/>
        <v>0</v>
      </c>
      <c r="AA151" s="2">
        <f t="shared" si="45"/>
        <v>0</v>
      </c>
      <c r="AB151" s="2">
        <f t="shared" si="46"/>
        <v>0</v>
      </c>
      <c r="AC151" s="2"/>
      <c r="AD151" s="2">
        <f t="shared" si="47"/>
        <v>0</v>
      </c>
      <c r="AE151" s="2">
        <f t="shared" si="48"/>
        <v>0</v>
      </c>
      <c r="AF151" s="2">
        <f t="shared" si="49"/>
        <v>0</v>
      </c>
      <c r="AG151" s="2">
        <f t="shared" si="50"/>
        <v>0</v>
      </c>
      <c r="AH151" s="2">
        <f t="shared" si="51"/>
        <v>0</v>
      </c>
      <c r="AI151" s="2">
        <f t="shared" si="52"/>
        <v>1</v>
      </c>
    </row>
    <row r="152" spans="1:16384" s="3" customFormat="1" ht="14.25" customHeight="1" x14ac:dyDescent="0.25">
      <c r="A152" s="29">
        <v>0</v>
      </c>
      <c r="B152" s="29">
        <v>2</v>
      </c>
      <c r="C152" s="29">
        <v>2</v>
      </c>
      <c r="D152" s="30" t="s">
        <v>726</v>
      </c>
      <c r="E152" s="30" t="s">
        <v>30</v>
      </c>
      <c r="F152" s="30" t="s">
        <v>787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727</v>
      </c>
      <c r="N152" s="30" t="s">
        <v>899</v>
      </c>
      <c r="O152" s="31">
        <v>1</v>
      </c>
      <c r="P152" s="31"/>
      <c r="Q152" s="30"/>
      <c r="R152" s="2"/>
      <c r="S152" s="2">
        <f t="shared" si="37"/>
        <v>0</v>
      </c>
      <c r="T152" s="2">
        <f t="shared" si="38"/>
        <v>0</v>
      </c>
      <c r="U152" s="2">
        <f t="shared" si="39"/>
        <v>0</v>
      </c>
      <c r="V152" s="2">
        <f t="shared" si="40"/>
        <v>0</v>
      </c>
      <c r="W152" s="2">
        <f t="shared" si="41"/>
        <v>0</v>
      </c>
      <c r="X152" s="2">
        <f t="shared" si="42"/>
        <v>0</v>
      </c>
      <c r="Y152" s="2">
        <f t="shared" si="43"/>
        <v>0</v>
      </c>
      <c r="Z152" s="2">
        <f t="shared" si="44"/>
        <v>0</v>
      </c>
      <c r="AA152" s="2">
        <f t="shared" si="45"/>
        <v>0</v>
      </c>
      <c r="AB152" s="2">
        <f t="shared" si="46"/>
        <v>0</v>
      </c>
      <c r="AC152" s="2"/>
      <c r="AD152" s="2">
        <f t="shared" si="47"/>
        <v>0</v>
      </c>
      <c r="AE152" s="2">
        <f t="shared" si="48"/>
        <v>1</v>
      </c>
      <c r="AF152" s="2">
        <f t="shared" si="49"/>
        <v>0</v>
      </c>
      <c r="AG152" s="2">
        <f t="shared" si="50"/>
        <v>1</v>
      </c>
      <c r="AH152" s="2">
        <f t="shared" si="51"/>
        <v>0</v>
      </c>
      <c r="AI152" s="2">
        <f t="shared" si="52"/>
        <v>1</v>
      </c>
    </row>
    <row r="153" spans="1:16384" s="3" customFormat="1" ht="14.25" customHeight="1" x14ac:dyDescent="0.25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893</v>
      </c>
      <c r="O153" s="31">
        <v>1</v>
      </c>
      <c r="P153" s="31">
        <v>1</v>
      </c>
      <c r="Q153" s="30"/>
      <c r="R153" s="2"/>
      <c r="S153" s="2">
        <f t="shared" si="37"/>
        <v>0</v>
      </c>
      <c r="T153" s="2">
        <f t="shared" si="38"/>
        <v>0</v>
      </c>
      <c r="U153" s="2">
        <f t="shared" si="39"/>
        <v>0</v>
      </c>
      <c r="V153" s="2">
        <f t="shared" si="40"/>
        <v>0</v>
      </c>
      <c r="W153" s="2">
        <f t="shared" si="41"/>
        <v>0</v>
      </c>
      <c r="X153" s="2">
        <f t="shared" si="42"/>
        <v>0</v>
      </c>
      <c r="Y153" s="2">
        <f t="shared" si="43"/>
        <v>0</v>
      </c>
      <c r="Z153" s="2">
        <f t="shared" si="44"/>
        <v>0</v>
      </c>
      <c r="AA153" s="2">
        <f t="shared" si="45"/>
        <v>0</v>
      </c>
      <c r="AB153" s="2">
        <f t="shared" si="46"/>
        <v>0</v>
      </c>
      <c r="AC153" s="2"/>
      <c r="AD153" s="2">
        <f t="shared" si="47"/>
        <v>1</v>
      </c>
      <c r="AE153" s="2">
        <f t="shared" si="48"/>
        <v>0</v>
      </c>
      <c r="AF153" s="2">
        <f t="shared" si="49"/>
        <v>1</v>
      </c>
      <c r="AG153" s="2">
        <f t="shared" si="50"/>
        <v>0</v>
      </c>
      <c r="AH153" s="2">
        <f t="shared" si="51"/>
        <v>1</v>
      </c>
      <c r="AI153" s="2">
        <f t="shared" si="52"/>
        <v>0</v>
      </c>
    </row>
    <row r="154" spans="1:16384" s="3" customFormat="1" ht="14.25" customHeight="1" x14ac:dyDescent="0.25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780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893</v>
      </c>
      <c r="O154" s="31">
        <v>1</v>
      </c>
      <c r="P154" s="31">
        <v>1</v>
      </c>
      <c r="Q154" s="30"/>
      <c r="R154" s="2"/>
      <c r="S154" s="2">
        <f t="shared" si="37"/>
        <v>0</v>
      </c>
      <c r="T154" s="2">
        <f t="shared" si="38"/>
        <v>0</v>
      </c>
      <c r="U154" s="2">
        <f t="shared" si="39"/>
        <v>0</v>
      </c>
      <c r="V154" s="2">
        <f t="shared" si="40"/>
        <v>0</v>
      </c>
      <c r="W154" s="2">
        <f t="shared" si="41"/>
        <v>0</v>
      </c>
      <c r="X154" s="2">
        <f t="shared" si="42"/>
        <v>0</v>
      </c>
      <c r="Y154" s="2">
        <f t="shared" si="43"/>
        <v>0</v>
      </c>
      <c r="Z154" s="2">
        <f t="shared" si="44"/>
        <v>0</v>
      </c>
      <c r="AA154" s="2">
        <f t="shared" si="45"/>
        <v>0</v>
      </c>
      <c r="AB154" s="2">
        <f t="shared" si="46"/>
        <v>0</v>
      </c>
      <c r="AC154" s="2"/>
      <c r="AD154" s="2">
        <f t="shared" si="47"/>
        <v>1</v>
      </c>
      <c r="AE154" s="2">
        <f t="shared" si="48"/>
        <v>0</v>
      </c>
      <c r="AF154" s="2">
        <f t="shared" si="49"/>
        <v>0</v>
      </c>
      <c r="AG154" s="2">
        <f t="shared" si="50"/>
        <v>0</v>
      </c>
      <c r="AH154" s="2">
        <f t="shared" si="51"/>
        <v>0</v>
      </c>
      <c r="AI154" s="2">
        <f t="shared" si="52"/>
        <v>0</v>
      </c>
    </row>
    <row r="155" spans="1:16384" s="3" customFormat="1" ht="14.25" customHeight="1" x14ac:dyDescent="0.25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911</v>
      </c>
      <c r="O155" s="31">
        <v>1</v>
      </c>
      <c r="P155" s="31"/>
      <c r="Q155" s="30"/>
      <c r="R155" s="2"/>
      <c r="S155" s="2">
        <f t="shared" si="37"/>
        <v>0</v>
      </c>
      <c r="T155" s="2">
        <f t="shared" si="38"/>
        <v>0</v>
      </c>
      <c r="U155" s="2">
        <f t="shared" si="39"/>
        <v>0</v>
      </c>
      <c r="V155" s="2">
        <f t="shared" si="40"/>
        <v>1</v>
      </c>
      <c r="W155" s="2">
        <f t="shared" si="41"/>
        <v>0</v>
      </c>
      <c r="X155" s="2">
        <f t="shared" si="42"/>
        <v>0</v>
      </c>
      <c r="Y155" s="2">
        <f t="shared" si="43"/>
        <v>0</v>
      </c>
      <c r="Z155" s="2">
        <f t="shared" si="44"/>
        <v>0</v>
      </c>
      <c r="AA155" s="2">
        <f t="shared" si="45"/>
        <v>0</v>
      </c>
      <c r="AB155" s="2">
        <f t="shared" si="46"/>
        <v>0</v>
      </c>
      <c r="AC155" s="2"/>
      <c r="AD155" s="2">
        <f t="shared" si="47"/>
        <v>0</v>
      </c>
      <c r="AE155" s="2">
        <f t="shared" si="48"/>
        <v>1</v>
      </c>
      <c r="AF155" s="2">
        <f t="shared" si="49"/>
        <v>0</v>
      </c>
      <c r="AG155" s="2">
        <f t="shared" si="50"/>
        <v>1</v>
      </c>
      <c r="AH155" s="2">
        <f t="shared" si="51"/>
        <v>0</v>
      </c>
      <c r="AI155" s="2">
        <f t="shared" si="52"/>
        <v>1</v>
      </c>
    </row>
    <row r="156" spans="1:16384" s="3" customFormat="1" ht="14.25" customHeight="1" x14ac:dyDescent="0.25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725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911</v>
      </c>
      <c r="O156" s="31">
        <v>1</v>
      </c>
      <c r="P156" s="31"/>
      <c r="Q156" s="30"/>
      <c r="R156" s="2"/>
      <c r="S156" s="2">
        <f t="shared" si="37"/>
        <v>0</v>
      </c>
      <c r="T156" s="2">
        <f t="shared" si="38"/>
        <v>0</v>
      </c>
      <c r="U156" s="2">
        <f t="shared" si="39"/>
        <v>0</v>
      </c>
      <c r="V156" s="2">
        <f t="shared" si="40"/>
        <v>0</v>
      </c>
      <c r="W156" s="2">
        <f t="shared" si="41"/>
        <v>0</v>
      </c>
      <c r="X156" s="2">
        <f t="shared" si="42"/>
        <v>0</v>
      </c>
      <c r="Y156" s="2">
        <f t="shared" si="43"/>
        <v>0</v>
      </c>
      <c r="Z156" s="2">
        <f t="shared" si="44"/>
        <v>0</v>
      </c>
      <c r="AA156" s="2">
        <f t="shared" si="45"/>
        <v>0</v>
      </c>
      <c r="AB156" s="2">
        <f t="shared" si="46"/>
        <v>0</v>
      </c>
      <c r="AC156" s="2"/>
      <c r="AD156" s="2">
        <f t="shared" si="47"/>
        <v>0</v>
      </c>
      <c r="AE156" s="2">
        <f t="shared" si="48"/>
        <v>1</v>
      </c>
      <c r="AF156" s="2">
        <f t="shared" si="49"/>
        <v>0</v>
      </c>
      <c r="AG156" s="2">
        <f t="shared" si="50"/>
        <v>0</v>
      </c>
      <c r="AH156" s="2">
        <f t="shared" si="51"/>
        <v>0</v>
      </c>
      <c r="AI156" s="2">
        <f t="shared" si="52"/>
        <v>0</v>
      </c>
    </row>
    <row r="157" spans="1:16384" s="3" customFormat="1" ht="14.25" customHeight="1" x14ac:dyDescent="0.25">
      <c r="A157" s="29">
        <v>0</v>
      </c>
      <c r="B157" s="29">
        <v>2</v>
      </c>
      <c r="C157" s="29">
        <v>2</v>
      </c>
      <c r="D157" s="30" t="s">
        <v>682</v>
      </c>
      <c r="E157" s="30" t="s">
        <v>677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744</v>
      </c>
      <c r="N157" s="30" t="s">
        <v>901</v>
      </c>
      <c r="O157" s="31">
        <v>1</v>
      </c>
      <c r="P157" s="31"/>
      <c r="Q157" s="30"/>
      <c r="R157" s="2"/>
      <c r="S157" s="2">
        <f t="shared" si="37"/>
        <v>0</v>
      </c>
      <c r="T157" s="2">
        <f t="shared" si="38"/>
        <v>0</v>
      </c>
      <c r="U157" s="2">
        <f t="shared" si="39"/>
        <v>0</v>
      </c>
      <c r="V157" s="2">
        <f t="shared" si="40"/>
        <v>0</v>
      </c>
      <c r="W157" s="2">
        <f t="shared" si="41"/>
        <v>0</v>
      </c>
      <c r="X157" s="2">
        <f t="shared" si="42"/>
        <v>1</v>
      </c>
      <c r="Y157" s="2">
        <f t="shared" si="43"/>
        <v>0</v>
      </c>
      <c r="Z157" s="2">
        <f t="shared" si="44"/>
        <v>0</v>
      </c>
      <c r="AA157" s="2">
        <f t="shared" si="45"/>
        <v>0</v>
      </c>
      <c r="AB157" s="2">
        <f t="shared" si="46"/>
        <v>0</v>
      </c>
      <c r="AC157" s="2"/>
      <c r="AD157" s="2">
        <f t="shared" si="47"/>
        <v>0</v>
      </c>
      <c r="AE157" s="2">
        <f t="shared" si="48"/>
        <v>1</v>
      </c>
      <c r="AF157" s="2">
        <f t="shared" si="49"/>
        <v>0</v>
      </c>
      <c r="AG157" s="2">
        <f t="shared" si="50"/>
        <v>1</v>
      </c>
      <c r="AH157" s="2">
        <f t="shared" si="51"/>
        <v>0</v>
      </c>
      <c r="AI157" s="2">
        <f t="shared" si="52"/>
        <v>1</v>
      </c>
    </row>
    <row r="158" spans="1:16384" s="3" customFormat="1" ht="14.25" customHeight="1" x14ac:dyDescent="0.25">
      <c r="A158" s="32">
        <v>0</v>
      </c>
      <c r="B158" s="32">
        <v>2</v>
      </c>
      <c r="C158" s="32">
        <v>2</v>
      </c>
      <c r="D158" s="33" t="s">
        <v>437</v>
      </c>
      <c r="E158" s="33" t="s">
        <v>30</v>
      </c>
      <c r="F158" s="33" t="s">
        <v>953</v>
      </c>
      <c r="G158" s="33" t="s">
        <v>580</v>
      </c>
      <c r="H158" s="33" t="s">
        <v>165</v>
      </c>
      <c r="I158" s="32" t="s">
        <v>594</v>
      </c>
      <c r="J158" s="32">
        <v>99</v>
      </c>
      <c r="K158" s="32" t="s">
        <v>378</v>
      </c>
      <c r="L158" s="32">
        <v>35</v>
      </c>
      <c r="M158" s="33" t="s">
        <v>600</v>
      </c>
      <c r="N158" s="33" t="s">
        <v>928</v>
      </c>
      <c r="O158" s="34"/>
      <c r="P158" s="34"/>
      <c r="Q158" s="33"/>
      <c r="R158" s="2"/>
      <c r="S158" s="2">
        <f t="shared" si="37"/>
        <v>0</v>
      </c>
      <c r="T158" s="2">
        <f t="shared" si="38"/>
        <v>0</v>
      </c>
      <c r="U158" s="2">
        <f t="shared" si="39"/>
        <v>0</v>
      </c>
      <c r="V158" s="2">
        <f t="shared" si="40"/>
        <v>0</v>
      </c>
      <c r="W158" s="2">
        <f t="shared" si="41"/>
        <v>0</v>
      </c>
      <c r="X158" s="2">
        <f t="shared" si="42"/>
        <v>0</v>
      </c>
      <c r="Y158" s="2">
        <f t="shared" si="43"/>
        <v>0</v>
      </c>
      <c r="Z158" s="2">
        <f t="shared" si="44"/>
        <v>0</v>
      </c>
      <c r="AA158" s="2">
        <f t="shared" si="45"/>
        <v>0</v>
      </c>
      <c r="AB158" s="2">
        <f t="shared" si="46"/>
        <v>0</v>
      </c>
      <c r="AC158" s="2"/>
      <c r="AD158" s="2">
        <f t="shared" si="47"/>
        <v>0</v>
      </c>
      <c r="AE158" s="2">
        <f t="shared" si="48"/>
        <v>0</v>
      </c>
      <c r="AF158" s="2">
        <f t="shared" si="49"/>
        <v>0</v>
      </c>
      <c r="AG158" s="2">
        <f t="shared" si="50"/>
        <v>0</v>
      </c>
      <c r="AH158" s="2">
        <f t="shared" si="51"/>
        <v>0</v>
      </c>
      <c r="AI158" s="2">
        <f t="shared" si="52"/>
        <v>1</v>
      </c>
    </row>
    <row r="159" spans="1:16384" s="3" customFormat="1" ht="14.25" customHeight="1" x14ac:dyDescent="0.25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893</v>
      </c>
      <c r="O159" s="31">
        <v>1</v>
      </c>
      <c r="P159" s="31">
        <v>1</v>
      </c>
      <c r="Q159" s="30"/>
      <c r="R159" s="2"/>
      <c r="S159" s="2">
        <f t="shared" si="37"/>
        <v>0</v>
      </c>
      <c r="T159" s="2">
        <f t="shared" si="38"/>
        <v>0</v>
      </c>
      <c r="U159" s="2">
        <f t="shared" si="39"/>
        <v>0</v>
      </c>
      <c r="V159" s="2">
        <f t="shared" si="40"/>
        <v>0</v>
      </c>
      <c r="W159" s="2">
        <f t="shared" si="41"/>
        <v>0</v>
      </c>
      <c r="X159" s="2">
        <f t="shared" si="42"/>
        <v>0</v>
      </c>
      <c r="Y159" s="2">
        <f t="shared" si="43"/>
        <v>0</v>
      </c>
      <c r="Z159" s="2">
        <f t="shared" si="44"/>
        <v>0</v>
      </c>
      <c r="AA159" s="2">
        <f t="shared" si="45"/>
        <v>0</v>
      </c>
      <c r="AB159" s="2">
        <f t="shared" si="46"/>
        <v>0</v>
      </c>
      <c r="AC159" s="2"/>
      <c r="AD159" s="2">
        <f t="shared" si="47"/>
        <v>1</v>
      </c>
      <c r="AE159" s="2">
        <f t="shared" si="48"/>
        <v>0</v>
      </c>
      <c r="AF159" s="2">
        <f t="shared" si="49"/>
        <v>1</v>
      </c>
      <c r="AG159" s="2">
        <f t="shared" si="50"/>
        <v>0</v>
      </c>
      <c r="AH159" s="2">
        <f t="shared" si="51"/>
        <v>1</v>
      </c>
      <c r="AI159" s="2">
        <f t="shared" si="52"/>
        <v>0</v>
      </c>
    </row>
    <row r="160" spans="1:16384" s="3" customFormat="1" ht="14.25" customHeight="1" x14ac:dyDescent="0.25">
      <c r="A160" s="26">
        <v>0</v>
      </c>
      <c r="B160" s="26">
        <v>2</v>
      </c>
      <c r="C160" s="26">
        <v>2</v>
      </c>
      <c r="D160" s="27" t="s">
        <v>968</v>
      </c>
      <c r="E160" s="27" t="s">
        <v>969</v>
      </c>
      <c r="F160" s="27" t="s">
        <v>970</v>
      </c>
      <c r="G160" s="27" t="s">
        <v>971</v>
      </c>
      <c r="H160" s="27" t="s">
        <v>165</v>
      </c>
      <c r="I160" s="26" t="s">
        <v>972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37"/>
        <v>0</v>
      </c>
      <c r="T160" s="2">
        <f t="shared" si="38"/>
        <v>0</v>
      </c>
      <c r="U160" s="2">
        <f t="shared" si="39"/>
        <v>0</v>
      </c>
      <c r="V160" s="2">
        <f t="shared" si="40"/>
        <v>0</v>
      </c>
      <c r="W160" s="2">
        <f t="shared" si="41"/>
        <v>0</v>
      </c>
      <c r="X160" s="2">
        <f t="shared" si="42"/>
        <v>0</v>
      </c>
      <c r="Y160" s="2">
        <f t="shared" si="43"/>
        <v>0</v>
      </c>
      <c r="Z160" s="2">
        <f t="shared" si="44"/>
        <v>0</v>
      </c>
      <c r="AA160" s="2">
        <f t="shared" si="45"/>
        <v>0</v>
      </c>
      <c r="AB160" s="2">
        <f t="shared" si="46"/>
        <v>0</v>
      </c>
      <c r="AC160" s="2"/>
      <c r="AD160" s="2">
        <f t="shared" si="47"/>
        <v>0</v>
      </c>
      <c r="AE160" s="2">
        <f t="shared" si="48"/>
        <v>0</v>
      </c>
      <c r="AF160" s="2">
        <f t="shared" si="49"/>
        <v>0</v>
      </c>
      <c r="AG160" s="2">
        <f t="shared" si="50"/>
        <v>0</v>
      </c>
      <c r="AH160" s="2">
        <f t="shared" si="51"/>
        <v>1</v>
      </c>
      <c r="AI160" s="2">
        <f t="shared" si="52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996</v>
      </c>
      <c r="E161" s="30" t="s">
        <v>993</v>
      </c>
      <c r="F161" s="30" t="s">
        <v>994</v>
      </c>
      <c r="G161" s="30" t="s">
        <v>137</v>
      </c>
      <c r="H161" s="30" t="s">
        <v>165</v>
      </c>
      <c r="I161" s="29" t="s">
        <v>995</v>
      </c>
      <c r="J161" s="29">
        <v>1</v>
      </c>
      <c r="K161" s="29" t="s">
        <v>378</v>
      </c>
      <c r="L161" s="29"/>
      <c r="M161" s="30"/>
      <c r="N161" s="30" t="s">
        <v>893</v>
      </c>
      <c r="O161" s="31">
        <v>1</v>
      </c>
      <c r="P161" s="31">
        <v>1</v>
      </c>
      <c r="Q161" s="30" t="s">
        <v>997</v>
      </c>
      <c r="R161" s="2"/>
      <c r="S161" s="2">
        <f t="shared" si="37"/>
        <v>1</v>
      </c>
      <c r="T161" s="2">
        <f t="shared" si="38"/>
        <v>0</v>
      </c>
      <c r="U161" s="2">
        <f t="shared" si="39"/>
        <v>0</v>
      </c>
      <c r="V161" s="2">
        <f t="shared" si="40"/>
        <v>0</v>
      </c>
      <c r="W161" s="2">
        <f t="shared" si="41"/>
        <v>0</v>
      </c>
      <c r="X161" s="2">
        <f t="shared" si="42"/>
        <v>0</v>
      </c>
      <c r="Y161" s="2">
        <f t="shared" si="43"/>
        <v>0</v>
      </c>
      <c r="Z161" s="2">
        <f t="shared" si="44"/>
        <v>0</v>
      </c>
      <c r="AA161" s="2">
        <f t="shared" si="45"/>
        <v>0</v>
      </c>
      <c r="AB161" s="2">
        <f t="shared" si="46"/>
        <v>0</v>
      </c>
      <c r="AC161" s="2"/>
      <c r="AD161" s="2">
        <f t="shared" si="47"/>
        <v>1</v>
      </c>
      <c r="AE161" s="2">
        <f t="shared" si="48"/>
        <v>0</v>
      </c>
      <c r="AF161" s="2">
        <f t="shared" si="49"/>
        <v>1</v>
      </c>
      <c r="AG161" s="2">
        <f t="shared" si="50"/>
        <v>0</v>
      </c>
      <c r="AH161" s="2">
        <f t="shared" si="51"/>
        <v>1</v>
      </c>
      <c r="AI161" s="2">
        <f t="shared" si="52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943</v>
      </c>
      <c r="E162" s="30" t="s">
        <v>470</v>
      </c>
      <c r="F162" s="30" t="s">
        <v>944</v>
      </c>
      <c r="G162" s="30" t="s">
        <v>96</v>
      </c>
      <c r="H162" s="30" t="s">
        <v>165</v>
      </c>
      <c r="I162" s="29" t="s">
        <v>945</v>
      </c>
      <c r="J162" s="29"/>
      <c r="K162" s="29" t="s">
        <v>378</v>
      </c>
      <c r="L162" s="29"/>
      <c r="M162" s="30"/>
      <c r="N162" s="30" t="s">
        <v>893</v>
      </c>
      <c r="O162" s="31">
        <v>1</v>
      </c>
      <c r="P162" s="31">
        <v>1</v>
      </c>
      <c r="Q162" s="30" t="s">
        <v>999</v>
      </c>
      <c r="R162" s="20"/>
      <c r="S162" s="2">
        <f t="shared" si="37"/>
        <v>0</v>
      </c>
      <c r="T162" s="2">
        <f t="shared" si="38"/>
        <v>0</v>
      </c>
      <c r="U162" s="2">
        <f t="shared" si="39"/>
        <v>0</v>
      </c>
      <c r="V162" s="2">
        <f t="shared" si="40"/>
        <v>0</v>
      </c>
      <c r="W162" s="2">
        <f t="shared" si="41"/>
        <v>0</v>
      </c>
      <c r="X162" s="2">
        <f t="shared" si="42"/>
        <v>0</v>
      </c>
      <c r="Y162" s="2">
        <f t="shared" si="43"/>
        <v>0</v>
      </c>
      <c r="Z162" s="2">
        <f t="shared" si="44"/>
        <v>0</v>
      </c>
      <c r="AA162" s="2">
        <f t="shared" si="45"/>
        <v>0</v>
      </c>
      <c r="AB162" s="2">
        <f t="shared" si="46"/>
        <v>0</v>
      </c>
      <c r="AC162" s="2"/>
      <c r="AD162" s="2">
        <f t="shared" si="47"/>
        <v>1</v>
      </c>
      <c r="AE162" s="2">
        <f t="shared" si="48"/>
        <v>0</v>
      </c>
      <c r="AF162" s="2">
        <f t="shared" si="49"/>
        <v>1</v>
      </c>
      <c r="AG162" s="2">
        <f t="shared" si="50"/>
        <v>0</v>
      </c>
      <c r="AH162" s="2">
        <f t="shared" si="51"/>
        <v>1</v>
      </c>
      <c r="AI162" s="2">
        <f t="shared" si="52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712</v>
      </c>
      <c r="E163" s="30" t="s">
        <v>30</v>
      </c>
      <c r="F163" s="30" t="s">
        <v>714</v>
      </c>
      <c r="G163" s="30" t="s">
        <v>715</v>
      </c>
      <c r="H163" s="30" t="s">
        <v>165</v>
      </c>
      <c r="I163" s="29" t="s">
        <v>716</v>
      </c>
      <c r="J163" s="29">
        <v>99</v>
      </c>
      <c r="K163" s="29" t="s">
        <v>320</v>
      </c>
      <c r="L163" s="29">
        <v>55</v>
      </c>
      <c r="M163" s="30" t="s">
        <v>1000</v>
      </c>
      <c r="N163" s="30" t="s">
        <v>913</v>
      </c>
      <c r="O163" s="31">
        <v>1</v>
      </c>
      <c r="P163" s="31"/>
      <c r="Q163" s="30" t="s">
        <v>998</v>
      </c>
      <c r="R163" s="2"/>
      <c r="S163" s="2">
        <f t="shared" si="37"/>
        <v>0</v>
      </c>
      <c r="T163" s="2">
        <f t="shared" si="38"/>
        <v>0</v>
      </c>
      <c r="U163" s="2">
        <f t="shared" si="39"/>
        <v>0</v>
      </c>
      <c r="V163" s="2">
        <f t="shared" si="40"/>
        <v>0</v>
      </c>
      <c r="W163" s="2">
        <f t="shared" si="41"/>
        <v>0</v>
      </c>
      <c r="X163" s="2">
        <f t="shared" si="42"/>
        <v>0</v>
      </c>
      <c r="Y163" s="2">
        <f t="shared" si="43"/>
        <v>0</v>
      </c>
      <c r="Z163" s="2">
        <f t="shared" si="44"/>
        <v>0</v>
      </c>
      <c r="AA163" s="2">
        <f t="shared" si="45"/>
        <v>0</v>
      </c>
      <c r="AB163" s="2">
        <f t="shared" si="46"/>
        <v>0</v>
      </c>
      <c r="AC163" s="2"/>
      <c r="AD163" s="2">
        <f t="shared" si="47"/>
        <v>0</v>
      </c>
      <c r="AE163" s="2">
        <f t="shared" si="48"/>
        <v>1</v>
      </c>
      <c r="AF163" s="2">
        <f t="shared" si="49"/>
        <v>0</v>
      </c>
      <c r="AG163" s="2">
        <f t="shared" si="50"/>
        <v>1</v>
      </c>
      <c r="AH163" s="2">
        <f t="shared" si="51"/>
        <v>0</v>
      </c>
      <c r="AI163" s="2">
        <f t="shared" si="52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885</v>
      </c>
      <c r="N164" s="30" t="s">
        <v>907</v>
      </c>
      <c r="O164" s="31">
        <v>1</v>
      </c>
      <c r="P164" s="31"/>
      <c r="Q164" s="30"/>
      <c r="R164" s="2"/>
      <c r="S164" s="2">
        <f t="shared" si="37"/>
        <v>0</v>
      </c>
      <c r="T164" s="2">
        <f t="shared" si="38"/>
        <v>0</v>
      </c>
      <c r="U164" s="2">
        <f t="shared" si="39"/>
        <v>0</v>
      </c>
      <c r="V164" s="2">
        <f t="shared" si="40"/>
        <v>0</v>
      </c>
      <c r="W164" s="2">
        <f t="shared" si="41"/>
        <v>0</v>
      </c>
      <c r="X164" s="2">
        <f t="shared" si="42"/>
        <v>0</v>
      </c>
      <c r="Y164" s="2">
        <f t="shared" si="43"/>
        <v>0</v>
      </c>
      <c r="Z164" s="2">
        <f t="shared" si="44"/>
        <v>1</v>
      </c>
      <c r="AA164" s="2">
        <f t="shared" si="45"/>
        <v>0</v>
      </c>
      <c r="AB164" s="2">
        <f t="shared" si="46"/>
        <v>0</v>
      </c>
      <c r="AC164" s="2"/>
      <c r="AD164" s="2">
        <f t="shared" si="47"/>
        <v>0</v>
      </c>
      <c r="AE164" s="2">
        <f t="shared" si="48"/>
        <v>1</v>
      </c>
      <c r="AF164" s="2">
        <f t="shared" si="49"/>
        <v>0</v>
      </c>
      <c r="AG164" s="2">
        <f t="shared" si="50"/>
        <v>1</v>
      </c>
      <c r="AH164" s="2">
        <f t="shared" si="51"/>
        <v>0</v>
      </c>
      <c r="AI164" s="2">
        <f t="shared" si="52"/>
        <v>1</v>
      </c>
    </row>
    <row r="165" spans="1:16384" s="3" customFormat="1" ht="14.25" customHeight="1" x14ac:dyDescent="0.25">
      <c r="A165" s="32">
        <v>0</v>
      </c>
      <c r="B165" s="32">
        <v>2</v>
      </c>
      <c r="C165" s="32">
        <v>2</v>
      </c>
      <c r="D165" s="33" t="s">
        <v>813</v>
      </c>
      <c r="E165" s="33" t="s">
        <v>456</v>
      </c>
      <c r="F165" s="33" t="s">
        <v>792</v>
      </c>
      <c r="G165" s="33" t="s">
        <v>673</v>
      </c>
      <c r="H165" s="33" t="s">
        <v>165</v>
      </c>
      <c r="I165" s="32" t="s">
        <v>791</v>
      </c>
      <c r="J165" s="32">
        <v>99</v>
      </c>
      <c r="K165" s="32" t="s">
        <v>319</v>
      </c>
      <c r="L165" s="32">
        <v>20</v>
      </c>
      <c r="M165" s="33" t="s">
        <v>898</v>
      </c>
      <c r="N165" s="33" t="s">
        <v>900</v>
      </c>
      <c r="O165" s="34"/>
      <c r="P165" s="34"/>
      <c r="Q165" s="33"/>
      <c r="R165" s="2"/>
      <c r="S165" s="2">
        <f t="shared" si="37"/>
        <v>0</v>
      </c>
      <c r="T165" s="2">
        <f t="shared" si="38"/>
        <v>0</v>
      </c>
      <c r="U165" s="2">
        <f t="shared" si="39"/>
        <v>0</v>
      </c>
      <c r="V165" s="2">
        <f t="shared" si="40"/>
        <v>0</v>
      </c>
      <c r="W165" s="2">
        <f t="shared" si="41"/>
        <v>0</v>
      </c>
      <c r="X165" s="2">
        <f t="shared" si="42"/>
        <v>0</v>
      </c>
      <c r="Y165" s="2">
        <f t="shared" si="43"/>
        <v>0</v>
      </c>
      <c r="Z165" s="2">
        <f t="shared" si="44"/>
        <v>0</v>
      </c>
      <c r="AA165" s="2">
        <f t="shared" si="45"/>
        <v>0</v>
      </c>
      <c r="AB165" s="2">
        <f t="shared" si="46"/>
        <v>0</v>
      </c>
      <c r="AC165" s="2"/>
      <c r="AD165" s="2">
        <f t="shared" si="47"/>
        <v>0</v>
      </c>
      <c r="AE165" s="2">
        <f t="shared" si="48"/>
        <v>0</v>
      </c>
      <c r="AF165" s="2">
        <f t="shared" si="49"/>
        <v>0</v>
      </c>
      <c r="AG165" s="2">
        <f t="shared" si="50"/>
        <v>0</v>
      </c>
      <c r="AH165" s="2">
        <f t="shared" si="51"/>
        <v>0</v>
      </c>
      <c r="AI165" s="2">
        <f t="shared" si="52"/>
        <v>1</v>
      </c>
    </row>
    <row r="166" spans="1:16384" s="3" customFormat="1" ht="14.25" customHeight="1" x14ac:dyDescent="0.25">
      <c r="A166" s="32">
        <v>0</v>
      </c>
      <c r="B166" s="32">
        <v>2</v>
      </c>
      <c r="C166" s="32">
        <v>2</v>
      </c>
      <c r="D166" s="33" t="s">
        <v>720</v>
      </c>
      <c r="E166" s="33" t="s">
        <v>817</v>
      </c>
      <c r="F166" s="33" t="s">
        <v>831</v>
      </c>
      <c r="G166" s="33" t="s">
        <v>137</v>
      </c>
      <c r="H166" s="33" t="s">
        <v>165</v>
      </c>
      <c r="I166" s="32" t="s">
        <v>721</v>
      </c>
      <c r="J166" s="32">
        <v>1</v>
      </c>
      <c r="K166" s="32" t="s">
        <v>318</v>
      </c>
      <c r="L166" s="32">
        <v>40</v>
      </c>
      <c r="M166" s="33" t="s">
        <v>886</v>
      </c>
      <c r="N166" s="33" t="s">
        <v>895</v>
      </c>
      <c r="O166" s="34"/>
      <c r="P166" s="34"/>
      <c r="Q166" s="33"/>
      <c r="R166" s="2"/>
      <c r="S166" s="2">
        <f t="shared" si="37"/>
        <v>1</v>
      </c>
      <c r="T166" s="2">
        <f t="shared" si="38"/>
        <v>0</v>
      </c>
      <c r="U166" s="2">
        <f t="shared" si="39"/>
        <v>0</v>
      </c>
      <c r="V166" s="2">
        <f t="shared" si="40"/>
        <v>0</v>
      </c>
      <c r="W166" s="2">
        <f t="shared" si="41"/>
        <v>0</v>
      </c>
      <c r="X166" s="2">
        <f t="shared" si="42"/>
        <v>0</v>
      </c>
      <c r="Y166" s="2">
        <f t="shared" si="43"/>
        <v>0</v>
      </c>
      <c r="Z166" s="2">
        <f t="shared" si="44"/>
        <v>0</v>
      </c>
      <c r="AA166" s="2">
        <f t="shared" si="45"/>
        <v>0</v>
      </c>
      <c r="AB166" s="2">
        <f t="shared" si="46"/>
        <v>0</v>
      </c>
      <c r="AC166" s="2"/>
      <c r="AD166" s="2">
        <f t="shared" si="47"/>
        <v>0</v>
      </c>
      <c r="AE166" s="2">
        <f t="shared" si="48"/>
        <v>0</v>
      </c>
      <c r="AF166" s="2">
        <f t="shared" si="49"/>
        <v>0</v>
      </c>
      <c r="AG166" s="2">
        <f t="shared" si="50"/>
        <v>0</v>
      </c>
      <c r="AH166" s="2">
        <f t="shared" si="51"/>
        <v>0</v>
      </c>
      <c r="AI166" s="2">
        <f t="shared" si="52"/>
        <v>1</v>
      </c>
    </row>
    <row r="167" spans="1:16384" s="3" customFormat="1" ht="14.25" customHeight="1" x14ac:dyDescent="0.25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37"/>
        <v>1</v>
      </c>
      <c r="T167" s="2">
        <f t="shared" si="38"/>
        <v>0</v>
      </c>
      <c r="U167" s="2">
        <f t="shared" si="39"/>
        <v>0</v>
      </c>
      <c r="V167" s="2">
        <f t="shared" si="40"/>
        <v>0</v>
      </c>
      <c r="W167" s="2">
        <f t="shared" si="41"/>
        <v>0</v>
      </c>
      <c r="X167" s="2">
        <f t="shared" si="42"/>
        <v>0</v>
      </c>
      <c r="Y167" s="2">
        <f t="shared" si="43"/>
        <v>0</v>
      </c>
      <c r="Z167" s="2">
        <f t="shared" si="44"/>
        <v>0</v>
      </c>
      <c r="AA167" s="2">
        <f t="shared" si="45"/>
        <v>0</v>
      </c>
      <c r="AB167" s="2">
        <f t="shared" si="46"/>
        <v>0</v>
      </c>
      <c r="AC167" s="2"/>
      <c r="AD167" s="2">
        <f t="shared" si="47"/>
        <v>0</v>
      </c>
      <c r="AE167" s="2">
        <f t="shared" si="48"/>
        <v>0</v>
      </c>
      <c r="AF167" s="2">
        <f t="shared" si="49"/>
        <v>0</v>
      </c>
      <c r="AG167" s="2">
        <f t="shared" si="50"/>
        <v>0</v>
      </c>
      <c r="AH167" s="2">
        <f t="shared" si="51"/>
        <v>1</v>
      </c>
      <c r="AI167" s="2">
        <f t="shared" si="52"/>
        <v>0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893</v>
      </c>
      <c r="O168" s="31">
        <v>1</v>
      </c>
      <c r="P168" s="31">
        <v>1</v>
      </c>
      <c r="Q168" s="30"/>
      <c r="R168" s="2"/>
      <c r="S168" s="2">
        <f t="shared" si="37"/>
        <v>0</v>
      </c>
      <c r="T168" s="2">
        <f t="shared" si="38"/>
        <v>0</v>
      </c>
      <c r="U168" s="2">
        <f t="shared" si="39"/>
        <v>0</v>
      </c>
      <c r="V168" s="2">
        <f t="shared" si="40"/>
        <v>0</v>
      </c>
      <c r="W168" s="2">
        <f t="shared" si="41"/>
        <v>0</v>
      </c>
      <c r="X168" s="2">
        <f t="shared" si="42"/>
        <v>0</v>
      </c>
      <c r="Y168" s="2">
        <f t="shared" si="43"/>
        <v>0</v>
      </c>
      <c r="Z168" s="2">
        <f t="shared" si="44"/>
        <v>0</v>
      </c>
      <c r="AA168" s="2">
        <f t="shared" si="45"/>
        <v>0</v>
      </c>
      <c r="AB168" s="2">
        <f t="shared" si="46"/>
        <v>0</v>
      </c>
      <c r="AC168" s="2"/>
      <c r="AD168" s="2">
        <f t="shared" si="47"/>
        <v>1</v>
      </c>
      <c r="AE168" s="2">
        <f t="shared" si="48"/>
        <v>0</v>
      </c>
      <c r="AF168" s="2">
        <f t="shared" si="49"/>
        <v>1</v>
      </c>
      <c r="AG168" s="2">
        <f t="shared" si="50"/>
        <v>0</v>
      </c>
      <c r="AH168" s="2">
        <f t="shared" si="51"/>
        <v>1</v>
      </c>
      <c r="AI168" s="2">
        <f t="shared" si="52"/>
        <v>0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3</v>
      </c>
      <c r="D169" s="30" t="s">
        <v>799</v>
      </c>
      <c r="E169" s="30" t="s">
        <v>573</v>
      </c>
      <c r="F169" s="30" t="s">
        <v>955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893</v>
      </c>
      <c r="O169" s="31">
        <v>1</v>
      </c>
      <c r="P169" s="31">
        <v>1</v>
      </c>
      <c r="Q169" s="30"/>
      <c r="R169" s="2"/>
      <c r="S169" s="2">
        <f t="shared" si="37"/>
        <v>1</v>
      </c>
      <c r="T169" s="2">
        <f t="shared" si="38"/>
        <v>0</v>
      </c>
      <c r="U169" s="2">
        <f t="shared" si="39"/>
        <v>0</v>
      </c>
      <c r="V169" s="2">
        <f t="shared" si="40"/>
        <v>0</v>
      </c>
      <c r="W169" s="2">
        <f t="shared" si="41"/>
        <v>0</v>
      </c>
      <c r="X169" s="2">
        <f t="shared" si="42"/>
        <v>0</v>
      </c>
      <c r="Y169" s="2">
        <f t="shared" si="43"/>
        <v>0</v>
      </c>
      <c r="Z169" s="2">
        <f t="shared" si="44"/>
        <v>0</v>
      </c>
      <c r="AA169" s="2">
        <f t="shared" si="45"/>
        <v>0</v>
      </c>
      <c r="AB169" s="2">
        <f t="shared" si="46"/>
        <v>0</v>
      </c>
      <c r="AC169" s="2"/>
      <c r="AD169" s="2">
        <f t="shared" si="47"/>
        <v>1</v>
      </c>
      <c r="AE169" s="2">
        <f t="shared" si="48"/>
        <v>0</v>
      </c>
      <c r="AF169" s="2">
        <f t="shared" si="49"/>
        <v>1</v>
      </c>
      <c r="AG169" s="2">
        <f t="shared" si="50"/>
        <v>0</v>
      </c>
      <c r="AH169" s="2">
        <f t="shared" si="51"/>
        <v>1</v>
      </c>
      <c r="AI169" s="2">
        <f t="shared" si="52"/>
        <v>0</v>
      </c>
    </row>
    <row r="170" spans="1:16384" s="3" customFormat="1" ht="14.25" customHeight="1" x14ac:dyDescent="0.25">
      <c r="A170" s="29">
        <v>1</v>
      </c>
      <c r="B170" s="29">
        <v>2</v>
      </c>
      <c r="C170" s="29">
        <v>3</v>
      </c>
      <c r="D170" s="30" t="s">
        <v>799</v>
      </c>
      <c r="E170" s="30" t="s">
        <v>573</v>
      </c>
      <c r="F170" s="30" t="s">
        <v>822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893</v>
      </c>
      <c r="O170" s="31">
        <v>1</v>
      </c>
      <c r="P170" s="31">
        <v>1</v>
      </c>
      <c r="Q170" s="30"/>
      <c r="R170" s="2"/>
      <c r="S170" s="2">
        <f t="shared" si="37"/>
        <v>1</v>
      </c>
      <c r="T170" s="2">
        <f t="shared" si="38"/>
        <v>0</v>
      </c>
      <c r="U170" s="2">
        <f t="shared" si="39"/>
        <v>0</v>
      </c>
      <c r="V170" s="2">
        <f t="shared" si="40"/>
        <v>0</v>
      </c>
      <c r="W170" s="2">
        <f t="shared" si="41"/>
        <v>0</v>
      </c>
      <c r="X170" s="2">
        <f t="shared" si="42"/>
        <v>0</v>
      </c>
      <c r="Y170" s="2">
        <f t="shared" si="43"/>
        <v>0</v>
      </c>
      <c r="Z170" s="2">
        <f t="shared" si="44"/>
        <v>0</v>
      </c>
      <c r="AA170" s="2">
        <f t="shared" si="45"/>
        <v>0</v>
      </c>
      <c r="AB170" s="2">
        <f t="shared" si="46"/>
        <v>0</v>
      </c>
      <c r="AC170" s="2"/>
      <c r="AD170" s="2">
        <f t="shared" si="47"/>
        <v>1</v>
      </c>
      <c r="AE170" s="2">
        <f t="shared" si="48"/>
        <v>0</v>
      </c>
      <c r="AF170" s="2">
        <f t="shared" si="49"/>
        <v>0</v>
      </c>
      <c r="AG170" s="2">
        <f t="shared" si="50"/>
        <v>0</v>
      </c>
      <c r="AH170" s="2">
        <f t="shared" si="51"/>
        <v>0</v>
      </c>
      <c r="AI170" s="2">
        <f t="shared" si="52"/>
        <v>0</v>
      </c>
    </row>
    <row r="171" spans="1:16384" s="3" customFormat="1" ht="14.25" customHeight="1" x14ac:dyDescent="0.25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37"/>
        <v>0</v>
      </c>
      <c r="T171" s="2">
        <f t="shared" si="38"/>
        <v>0</v>
      </c>
      <c r="U171" s="2">
        <f t="shared" si="39"/>
        <v>0</v>
      </c>
      <c r="V171" s="2">
        <f t="shared" si="40"/>
        <v>0</v>
      </c>
      <c r="W171" s="2">
        <f t="shared" si="41"/>
        <v>0</v>
      </c>
      <c r="X171" s="2">
        <f t="shared" si="42"/>
        <v>0</v>
      </c>
      <c r="Y171" s="2">
        <f t="shared" si="43"/>
        <v>0</v>
      </c>
      <c r="Z171" s="2">
        <f t="shared" si="44"/>
        <v>0</v>
      </c>
      <c r="AA171" s="2">
        <f t="shared" si="45"/>
        <v>0</v>
      </c>
      <c r="AB171" s="2">
        <f t="shared" si="46"/>
        <v>0</v>
      </c>
      <c r="AC171" s="2"/>
      <c r="AD171" s="2">
        <f t="shared" si="47"/>
        <v>0</v>
      </c>
      <c r="AE171" s="2">
        <f t="shared" si="48"/>
        <v>0</v>
      </c>
      <c r="AF171" s="2">
        <f t="shared" si="49"/>
        <v>0</v>
      </c>
      <c r="AG171" s="2">
        <f t="shared" si="50"/>
        <v>0</v>
      </c>
      <c r="AH171" s="2">
        <f t="shared" si="51"/>
        <v>0</v>
      </c>
      <c r="AI171" s="2">
        <f t="shared" si="52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893</v>
      </c>
      <c r="O172" s="31">
        <v>1</v>
      </c>
      <c r="P172" s="31">
        <v>1</v>
      </c>
      <c r="Q172" s="30"/>
      <c r="R172" s="2"/>
      <c r="S172" s="2">
        <f t="shared" si="37"/>
        <v>0</v>
      </c>
      <c r="T172" s="2">
        <f t="shared" si="38"/>
        <v>0</v>
      </c>
      <c r="U172" s="2">
        <f t="shared" si="39"/>
        <v>1</v>
      </c>
      <c r="V172" s="2">
        <f t="shared" si="40"/>
        <v>0</v>
      </c>
      <c r="W172" s="2">
        <f t="shared" si="41"/>
        <v>0</v>
      </c>
      <c r="X172" s="2">
        <f t="shared" si="42"/>
        <v>0</v>
      </c>
      <c r="Y172" s="2">
        <f t="shared" si="43"/>
        <v>0</v>
      </c>
      <c r="Z172" s="2">
        <f t="shared" si="44"/>
        <v>0</v>
      </c>
      <c r="AA172" s="2">
        <f t="shared" si="45"/>
        <v>0</v>
      </c>
      <c r="AB172" s="2">
        <f t="shared" si="46"/>
        <v>0</v>
      </c>
      <c r="AC172" s="2"/>
      <c r="AD172" s="2">
        <f t="shared" si="47"/>
        <v>1</v>
      </c>
      <c r="AE172" s="2">
        <f t="shared" si="48"/>
        <v>0</v>
      </c>
      <c r="AF172" s="2">
        <f t="shared" si="49"/>
        <v>1</v>
      </c>
      <c r="AG172" s="2">
        <f t="shared" si="50"/>
        <v>0</v>
      </c>
      <c r="AH172" s="2">
        <f t="shared" si="51"/>
        <v>1</v>
      </c>
      <c r="AI172" s="2">
        <f t="shared" si="52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931</v>
      </c>
      <c r="E173" s="30"/>
      <c r="F173" s="30" t="s">
        <v>932</v>
      </c>
      <c r="G173" s="30"/>
      <c r="H173" s="30" t="s">
        <v>165</v>
      </c>
      <c r="I173" s="29" t="s">
        <v>933</v>
      </c>
      <c r="J173" s="29"/>
      <c r="K173" s="29" t="s">
        <v>378</v>
      </c>
      <c r="L173" s="29"/>
      <c r="M173" s="30"/>
      <c r="N173" s="30" t="s">
        <v>893</v>
      </c>
      <c r="O173" s="31">
        <v>1</v>
      </c>
      <c r="P173" s="31">
        <v>1</v>
      </c>
      <c r="Q173" s="30"/>
      <c r="R173" s="2"/>
      <c r="S173" s="2">
        <f t="shared" si="37"/>
        <v>0</v>
      </c>
      <c r="T173" s="2">
        <f t="shared" si="38"/>
        <v>0</v>
      </c>
      <c r="U173" s="2">
        <f t="shared" si="39"/>
        <v>0</v>
      </c>
      <c r="V173" s="2">
        <f t="shared" si="40"/>
        <v>0</v>
      </c>
      <c r="W173" s="2">
        <f t="shared" si="41"/>
        <v>0</v>
      </c>
      <c r="X173" s="2">
        <f t="shared" si="42"/>
        <v>0</v>
      </c>
      <c r="Y173" s="2">
        <f t="shared" si="43"/>
        <v>0</v>
      </c>
      <c r="Z173" s="2">
        <f t="shared" si="44"/>
        <v>0</v>
      </c>
      <c r="AA173" s="2">
        <f t="shared" si="45"/>
        <v>0</v>
      </c>
      <c r="AB173" s="2">
        <f t="shared" si="46"/>
        <v>0</v>
      </c>
      <c r="AC173" s="2"/>
      <c r="AD173" s="2">
        <f t="shared" si="47"/>
        <v>1</v>
      </c>
      <c r="AE173" s="2">
        <f t="shared" si="48"/>
        <v>0</v>
      </c>
      <c r="AF173" s="2">
        <f t="shared" si="49"/>
        <v>1</v>
      </c>
      <c r="AG173" s="2">
        <f t="shared" si="50"/>
        <v>0</v>
      </c>
      <c r="AH173" s="2">
        <f t="shared" si="51"/>
        <v>1</v>
      </c>
      <c r="AI173" s="2">
        <f t="shared" si="52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654</v>
      </c>
      <c r="E174" s="21" t="s">
        <v>37</v>
      </c>
      <c r="F174" s="21" t="s">
        <v>655</v>
      </c>
      <c r="G174" s="21" t="s">
        <v>117</v>
      </c>
      <c r="H174" s="21" t="s">
        <v>165</v>
      </c>
      <c r="I174" s="20" t="s">
        <v>656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37"/>
        <v>1</v>
      </c>
      <c r="T174" s="2">
        <f t="shared" si="38"/>
        <v>0</v>
      </c>
      <c r="U174" s="2">
        <f t="shared" si="39"/>
        <v>0</v>
      </c>
      <c r="V174" s="2">
        <f t="shared" si="40"/>
        <v>0</v>
      </c>
      <c r="W174" s="2">
        <f t="shared" si="41"/>
        <v>0</v>
      </c>
      <c r="X174" s="2">
        <f t="shared" si="42"/>
        <v>0</v>
      </c>
      <c r="Y174" s="2">
        <f t="shared" si="43"/>
        <v>0</v>
      </c>
      <c r="Z174" s="2">
        <f t="shared" si="44"/>
        <v>0</v>
      </c>
      <c r="AA174" s="2">
        <f t="shared" si="45"/>
        <v>0</v>
      </c>
      <c r="AB174" s="2">
        <f t="shared" si="46"/>
        <v>0</v>
      </c>
      <c r="AC174" s="2"/>
      <c r="AD174" s="2">
        <f t="shared" si="47"/>
        <v>0</v>
      </c>
      <c r="AE174" s="2">
        <f t="shared" si="48"/>
        <v>0</v>
      </c>
      <c r="AF174" s="2">
        <f t="shared" si="49"/>
        <v>0</v>
      </c>
      <c r="AG174" s="2">
        <f t="shared" si="50"/>
        <v>0</v>
      </c>
      <c r="AH174" s="2">
        <f t="shared" si="51"/>
        <v>0</v>
      </c>
      <c r="AI174" s="2">
        <f t="shared" si="52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926</v>
      </c>
      <c r="N175" s="30" t="s">
        <v>935</v>
      </c>
      <c r="O175" s="31">
        <v>1</v>
      </c>
      <c r="P175" s="31"/>
      <c r="Q175" s="30"/>
      <c r="R175" s="2"/>
      <c r="S175" s="2">
        <f t="shared" si="37"/>
        <v>0</v>
      </c>
      <c r="T175" s="2">
        <f t="shared" si="38"/>
        <v>0</v>
      </c>
      <c r="U175" s="2">
        <f t="shared" si="39"/>
        <v>0</v>
      </c>
      <c r="V175" s="2">
        <f t="shared" si="40"/>
        <v>0</v>
      </c>
      <c r="W175" s="2">
        <f t="shared" si="41"/>
        <v>0</v>
      </c>
      <c r="X175" s="2">
        <f t="shared" si="42"/>
        <v>0</v>
      </c>
      <c r="Y175" s="2">
        <f t="shared" si="43"/>
        <v>0</v>
      </c>
      <c r="Z175" s="2">
        <f t="shared" si="44"/>
        <v>0</v>
      </c>
      <c r="AA175" s="2">
        <f t="shared" si="45"/>
        <v>0</v>
      </c>
      <c r="AB175" s="2">
        <f t="shared" si="46"/>
        <v>0</v>
      </c>
      <c r="AC175" s="2"/>
      <c r="AD175" s="2">
        <f t="shared" si="47"/>
        <v>0</v>
      </c>
      <c r="AE175" s="2">
        <f t="shared" si="48"/>
        <v>1</v>
      </c>
      <c r="AF175" s="2">
        <f t="shared" si="49"/>
        <v>0</v>
      </c>
      <c r="AG175" s="2">
        <f t="shared" si="50"/>
        <v>1</v>
      </c>
      <c r="AH175" s="2">
        <f t="shared" si="51"/>
        <v>0</v>
      </c>
      <c r="AI175" s="2">
        <f t="shared" si="52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853</v>
      </c>
      <c r="M176" s="30" t="s">
        <v>745</v>
      </c>
      <c r="N176" s="30" t="s">
        <v>930</v>
      </c>
      <c r="O176" s="31">
        <v>1</v>
      </c>
      <c r="P176" s="31"/>
      <c r="Q176" s="30"/>
      <c r="R176" s="2"/>
      <c r="S176" s="2">
        <f t="shared" si="37"/>
        <v>0</v>
      </c>
      <c r="T176" s="2">
        <f t="shared" si="38"/>
        <v>0</v>
      </c>
      <c r="U176" s="2">
        <f t="shared" si="39"/>
        <v>0</v>
      </c>
      <c r="V176" s="2">
        <f t="shared" si="40"/>
        <v>1</v>
      </c>
      <c r="W176" s="2">
        <f t="shared" si="41"/>
        <v>0</v>
      </c>
      <c r="X176" s="2">
        <f t="shared" si="42"/>
        <v>0</v>
      </c>
      <c r="Y176" s="2">
        <f t="shared" si="43"/>
        <v>0</v>
      </c>
      <c r="Z176" s="2">
        <f t="shared" si="44"/>
        <v>0</v>
      </c>
      <c r="AA176" s="2">
        <f t="shared" si="45"/>
        <v>0</v>
      </c>
      <c r="AB176" s="2">
        <f t="shared" si="46"/>
        <v>0</v>
      </c>
      <c r="AC176" s="2"/>
      <c r="AD176" s="2">
        <f t="shared" si="47"/>
        <v>0</v>
      </c>
      <c r="AE176" s="2">
        <f t="shared" si="48"/>
        <v>1</v>
      </c>
      <c r="AF176" s="2">
        <f t="shared" si="49"/>
        <v>0</v>
      </c>
      <c r="AG176" s="2">
        <f t="shared" si="50"/>
        <v>1</v>
      </c>
      <c r="AH176" s="2">
        <f t="shared" si="51"/>
        <v>0</v>
      </c>
      <c r="AI176" s="2">
        <f t="shared" si="52"/>
        <v>1</v>
      </c>
    </row>
    <row r="177" spans="1:35" ht="14.25" customHeight="1" x14ac:dyDescent="0.25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895</v>
      </c>
      <c r="O177" s="34"/>
      <c r="P177" s="34"/>
      <c r="Q177" s="33"/>
      <c r="S177" s="2">
        <f t="shared" si="37"/>
        <v>0</v>
      </c>
      <c r="T177" s="2">
        <f t="shared" si="38"/>
        <v>0</v>
      </c>
      <c r="U177" s="2">
        <f t="shared" si="39"/>
        <v>0</v>
      </c>
      <c r="V177" s="2">
        <f t="shared" si="40"/>
        <v>0</v>
      </c>
      <c r="W177" s="2">
        <f t="shared" si="41"/>
        <v>0</v>
      </c>
      <c r="X177" s="2">
        <f t="shared" si="42"/>
        <v>0</v>
      </c>
      <c r="Y177" s="2">
        <f t="shared" si="43"/>
        <v>0</v>
      </c>
      <c r="Z177" s="2">
        <f t="shared" si="44"/>
        <v>0</v>
      </c>
      <c r="AA177" s="2">
        <f t="shared" si="45"/>
        <v>0</v>
      </c>
      <c r="AB177" s="2">
        <f t="shared" si="46"/>
        <v>0</v>
      </c>
      <c r="AD177" s="2">
        <f t="shared" si="47"/>
        <v>0</v>
      </c>
      <c r="AE177" s="2">
        <f t="shared" si="48"/>
        <v>0</v>
      </c>
      <c r="AF177" s="2">
        <f t="shared" si="49"/>
        <v>0</v>
      </c>
      <c r="AG177" s="2">
        <f t="shared" si="50"/>
        <v>0</v>
      </c>
      <c r="AH177" s="2">
        <f t="shared" si="51"/>
        <v>0</v>
      </c>
      <c r="AI177" s="2">
        <f t="shared" si="52"/>
        <v>1</v>
      </c>
    </row>
    <row r="178" spans="1:35" ht="14.25" customHeight="1" x14ac:dyDescent="0.25">
      <c r="A178" s="32">
        <v>0</v>
      </c>
      <c r="B178" s="32">
        <v>2</v>
      </c>
      <c r="C178" s="32">
        <v>4</v>
      </c>
      <c r="D178" s="33" t="s">
        <v>81</v>
      </c>
      <c r="E178" s="33" t="s">
        <v>36</v>
      </c>
      <c r="F178" s="33" t="s">
        <v>367</v>
      </c>
      <c r="G178" s="33" t="s">
        <v>642</v>
      </c>
      <c r="H178" s="33" t="s">
        <v>165</v>
      </c>
      <c r="I178" s="32" t="s">
        <v>204</v>
      </c>
      <c r="J178" s="32">
        <v>4</v>
      </c>
      <c r="K178" s="32" t="s">
        <v>318</v>
      </c>
      <c r="L178" s="32" t="s">
        <v>854</v>
      </c>
      <c r="M178" s="33" t="s">
        <v>746</v>
      </c>
      <c r="N178" s="33" t="s">
        <v>929</v>
      </c>
      <c r="O178" s="34"/>
      <c r="P178" s="34"/>
      <c r="Q178" s="33"/>
      <c r="S178" s="2">
        <f t="shared" si="37"/>
        <v>0</v>
      </c>
      <c r="T178" s="2">
        <f t="shared" si="38"/>
        <v>0</v>
      </c>
      <c r="U178" s="2">
        <f t="shared" si="39"/>
        <v>0</v>
      </c>
      <c r="V178" s="2">
        <f t="shared" si="40"/>
        <v>1</v>
      </c>
      <c r="W178" s="2">
        <f t="shared" si="41"/>
        <v>0</v>
      </c>
      <c r="X178" s="2">
        <f t="shared" si="42"/>
        <v>0</v>
      </c>
      <c r="Y178" s="2">
        <f t="shared" si="43"/>
        <v>0</v>
      </c>
      <c r="Z178" s="2">
        <f t="shared" si="44"/>
        <v>0</v>
      </c>
      <c r="AA178" s="2">
        <f t="shared" si="45"/>
        <v>0</v>
      </c>
      <c r="AB178" s="2">
        <f t="shared" si="46"/>
        <v>0</v>
      </c>
      <c r="AD178" s="2">
        <f t="shared" si="47"/>
        <v>0</v>
      </c>
      <c r="AE178" s="2">
        <f t="shared" si="48"/>
        <v>0</v>
      </c>
      <c r="AF178" s="2">
        <f t="shared" si="49"/>
        <v>0</v>
      </c>
      <c r="AG178" s="2">
        <f t="shared" si="50"/>
        <v>0</v>
      </c>
      <c r="AH178" s="2">
        <f t="shared" si="51"/>
        <v>0</v>
      </c>
      <c r="AI178" s="2">
        <f t="shared" si="52"/>
        <v>1</v>
      </c>
    </row>
    <row r="179" spans="1:35" ht="14.25" customHeight="1" x14ac:dyDescent="0.25">
      <c r="A179" s="32">
        <v>1</v>
      </c>
      <c r="B179" s="32">
        <v>2</v>
      </c>
      <c r="C179" s="32">
        <v>4</v>
      </c>
      <c r="D179" s="33" t="s">
        <v>81</v>
      </c>
      <c r="E179" s="33" t="s">
        <v>36</v>
      </c>
      <c r="F179" s="33" t="s">
        <v>164</v>
      </c>
      <c r="G179" s="33" t="s">
        <v>130</v>
      </c>
      <c r="H179" s="33" t="s">
        <v>165</v>
      </c>
      <c r="I179" s="32" t="s">
        <v>204</v>
      </c>
      <c r="J179" s="32">
        <v>10</v>
      </c>
      <c r="K179" s="32" t="s">
        <v>318</v>
      </c>
      <c r="L179" s="32" t="s">
        <v>854</v>
      </c>
      <c r="M179" s="33" t="s">
        <v>746</v>
      </c>
      <c r="N179" s="33" t="s">
        <v>929</v>
      </c>
      <c r="O179" s="34"/>
      <c r="P179" s="34"/>
      <c r="Q179" s="33"/>
      <c r="S179" s="2">
        <f t="shared" si="37"/>
        <v>0</v>
      </c>
      <c r="T179" s="2">
        <f t="shared" si="38"/>
        <v>0</v>
      </c>
      <c r="U179" s="2">
        <f t="shared" si="39"/>
        <v>0</v>
      </c>
      <c r="V179" s="2">
        <f t="shared" si="40"/>
        <v>0</v>
      </c>
      <c r="W179" s="2">
        <f t="shared" si="41"/>
        <v>0</v>
      </c>
      <c r="X179" s="2">
        <f t="shared" si="42"/>
        <v>0</v>
      </c>
      <c r="Y179" s="2">
        <f t="shared" si="43"/>
        <v>0</v>
      </c>
      <c r="Z179" s="2">
        <f t="shared" si="44"/>
        <v>0</v>
      </c>
      <c r="AA179" s="2">
        <f t="shared" si="45"/>
        <v>0</v>
      </c>
      <c r="AB179" s="2">
        <f t="shared" si="46"/>
        <v>1</v>
      </c>
      <c r="AD179" s="2">
        <f t="shared" si="47"/>
        <v>0</v>
      </c>
      <c r="AE179" s="2">
        <f t="shared" si="48"/>
        <v>0</v>
      </c>
      <c r="AF179" s="2">
        <f t="shared" si="49"/>
        <v>0</v>
      </c>
      <c r="AG179" s="2">
        <f t="shared" si="50"/>
        <v>0</v>
      </c>
      <c r="AH179" s="2">
        <f t="shared" si="51"/>
        <v>0</v>
      </c>
      <c r="AI179" s="2">
        <f t="shared" si="52"/>
        <v>0</v>
      </c>
    </row>
    <row r="180" spans="1:35" ht="14.25" customHeight="1" x14ac:dyDescent="0.25">
      <c r="A180" s="32">
        <v>1</v>
      </c>
      <c r="B180" s="32">
        <v>2</v>
      </c>
      <c r="C180" s="32">
        <v>4</v>
      </c>
      <c r="D180" s="33" t="s">
        <v>81</v>
      </c>
      <c r="E180" s="33" t="s">
        <v>36</v>
      </c>
      <c r="F180" s="33" t="s">
        <v>800</v>
      </c>
      <c r="G180" s="33" t="s">
        <v>107</v>
      </c>
      <c r="H180" s="33" t="s">
        <v>165</v>
      </c>
      <c r="I180" s="32" t="s">
        <v>801</v>
      </c>
      <c r="J180" s="32">
        <v>99</v>
      </c>
      <c r="K180" s="32" t="s">
        <v>318</v>
      </c>
      <c r="L180" s="32" t="s">
        <v>854</v>
      </c>
      <c r="M180" s="33" t="s">
        <v>746</v>
      </c>
      <c r="N180" s="33" t="s">
        <v>929</v>
      </c>
      <c r="O180" s="34"/>
      <c r="P180" s="34"/>
      <c r="Q180" s="33"/>
      <c r="S180" s="2">
        <f t="shared" si="37"/>
        <v>0</v>
      </c>
      <c r="T180" s="2">
        <f t="shared" si="38"/>
        <v>0</v>
      </c>
      <c r="U180" s="2">
        <f t="shared" si="39"/>
        <v>0</v>
      </c>
      <c r="V180" s="2">
        <f t="shared" si="40"/>
        <v>0</v>
      </c>
      <c r="W180" s="2">
        <f t="shared" si="41"/>
        <v>0</v>
      </c>
      <c r="X180" s="2">
        <f t="shared" si="42"/>
        <v>0</v>
      </c>
      <c r="Y180" s="2">
        <f t="shared" si="43"/>
        <v>0</v>
      </c>
      <c r="Z180" s="2">
        <f t="shared" si="44"/>
        <v>0</v>
      </c>
      <c r="AA180" s="2">
        <f t="shared" si="45"/>
        <v>0</v>
      </c>
      <c r="AB180" s="2">
        <f t="shared" si="46"/>
        <v>0</v>
      </c>
      <c r="AD180" s="2">
        <f t="shared" si="47"/>
        <v>0</v>
      </c>
      <c r="AE180" s="2">
        <f t="shared" si="48"/>
        <v>0</v>
      </c>
      <c r="AF180" s="2">
        <f t="shared" si="49"/>
        <v>0</v>
      </c>
      <c r="AG180" s="2">
        <f t="shared" si="50"/>
        <v>0</v>
      </c>
      <c r="AH180" s="2">
        <f t="shared" si="51"/>
        <v>0</v>
      </c>
      <c r="AI180" s="2">
        <f t="shared" si="52"/>
        <v>0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976</v>
      </c>
      <c r="E181" s="21" t="s">
        <v>977</v>
      </c>
      <c r="F181" s="21" t="s">
        <v>978</v>
      </c>
      <c r="G181" s="21" t="s">
        <v>979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980</v>
      </c>
      <c r="N181" s="21"/>
      <c r="O181" s="20"/>
      <c r="P181" s="20"/>
      <c r="Q181" s="21"/>
      <c r="S181" s="2">
        <f t="shared" si="37"/>
        <v>0</v>
      </c>
      <c r="T181" s="2">
        <f t="shared" si="38"/>
        <v>0</v>
      </c>
      <c r="U181" s="2">
        <f t="shared" si="39"/>
        <v>0</v>
      </c>
      <c r="V181" s="2">
        <f t="shared" si="40"/>
        <v>0</v>
      </c>
      <c r="W181" s="2">
        <f t="shared" si="41"/>
        <v>0</v>
      </c>
      <c r="X181" s="2">
        <f t="shared" si="42"/>
        <v>0</v>
      </c>
      <c r="Y181" s="2">
        <f t="shared" si="43"/>
        <v>0</v>
      </c>
      <c r="Z181" s="2">
        <f t="shared" si="44"/>
        <v>0</v>
      </c>
      <c r="AA181" s="2">
        <f t="shared" si="45"/>
        <v>0</v>
      </c>
      <c r="AB181" s="2">
        <f t="shared" si="46"/>
        <v>0</v>
      </c>
      <c r="AD181" s="2">
        <f t="shared" si="47"/>
        <v>0</v>
      </c>
      <c r="AE181" s="2">
        <f t="shared" si="48"/>
        <v>0</v>
      </c>
      <c r="AF181" s="2">
        <f t="shared" si="49"/>
        <v>0</v>
      </c>
      <c r="AG181" s="2">
        <f t="shared" si="50"/>
        <v>0</v>
      </c>
      <c r="AH181" s="2">
        <f t="shared" si="51"/>
        <v>0</v>
      </c>
      <c r="AI181" s="2">
        <f t="shared" si="52"/>
        <v>1</v>
      </c>
    </row>
    <row r="182" spans="1:35" ht="14.25" customHeight="1" x14ac:dyDescent="0.25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903</v>
      </c>
      <c r="N182" s="21"/>
      <c r="O182" s="7"/>
      <c r="P182" s="7"/>
      <c r="Q182" s="21"/>
      <c r="S182" s="2">
        <f t="shared" si="37"/>
        <v>0</v>
      </c>
      <c r="T182" s="2">
        <f t="shared" si="38"/>
        <v>0</v>
      </c>
      <c r="U182" s="2">
        <f t="shared" si="39"/>
        <v>0</v>
      </c>
      <c r="V182" s="2">
        <f t="shared" si="40"/>
        <v>0</v>
      </c>
      <c r="W182" s="2">
        <f t="shared" si="41"/>
        <v>0</v>
      </c>
      <c r="X182" s="2">
        <f t="shared" si="42"/>
        <v>1</v>
      </c>
      <c r="Y182" s="2">
        <f t="shared" si="43"/>
        <v>0</v>
      </c>
      <c r="Z182" s="2">
        <f t="shared" si="44"/>
        <v>0</v>
      </c>
      <c r="AA182" s="2">
        <f t="shared" si="45"/>
        <v>0</v>
      </c>
      <c r="AB182" s="2">
        <f t="shared" si="46"/>
        <v>0</v>
      </c>
      <c r="AD182" s="2">
        <f t="shared" si="47"/>
        <v>0</v>
      </c>
      <c r="AE182" s="2">
        <f t="shared" si="48"/>
        <v>0</v>
      </c>
      <c r="AF182" s="2">
        <f t="shared" si="49"/>
        <v>0</v>
      </c>
      <c r="AG182" s="2">
        <f t="shared" si="50"/>
        <v>0</v>
      </c>
      <c r="AH182" s="2">
        <f t="shared" si="51"/>
        <v>0</v>
      </c>
      <c r="AI182" s="2">
        <f t="shared" si="52"/>
        <v>1</v>
      </c>
    </row>
    <row r="183" spans="1:35" ht="14.25" customHeight="1" x14ac:dyDescent="0.25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699</v>
      </c>
      <c r="N183" s="30" t="s">
        <v>935</v>
      </c>
      <c r="O183" s="31">
        <v>1</v>
      </c>
      <c r="P183" s="31"/>
      <c r="Q183" s="30"/>
      <c r="S183" s="2">
        <f t="shared" si="37"/>
        <v>0</v>
      </c>
      <c r="T183" s="2">
        <f t="shared" si="38"/>
        <v>0</v>
      </c>
      <c r="U183" s="2">
        <f t="shared" si="39"/>
        <v>0</v>
      </c>
      <c r="V183" s="2">
        <f t="shared" si="40"/>
        <v>0</v>
      </c>
      <c r="W183" s="2">
        <f t="shared" si="41"/>
        <v>0</v>
      </c>
      <c r="X183" s="2">
        <f t="shared" si="42"/>
        <v>1</v>
      </c>
      <c r="Y183" s="2">
        <f t="shared" si="43"/>
        <v>0</v>
      </c>
      <c r="Z183" s="2">
        <f t="shared" si="44"/>
        <v>0</v>
      </c>
      <c r="AA183" s="2">
        <f t="shared" si="45"/>
        <v>0</v>
      </c>
      <c r="AB183" s="2">
        <f t="shared" si="46"/>
        <v>0</v>
      </c>
      <c r="AD183" s="2">
        <f t="shared" si="47"/>
        <v>0</v>
      </c>
      <c r="AE183" s="2">
        <f t="shared" si="48"/>
        <v>1</v>
      </c>
      <c r="AF183" s="2">
        <f t="shared" si="49"/>
        <v>0</v>
      </c>
      <c r="AG183" s="2">
        <f t="shared" si="50"/>
        <v>1</v>
      </c>
      <c r="AH183" s="2">
        <f t="shared" si="51"/>
        <v>0</v>
      </c>
      <c r="AI183" s="2">
        <f t="shared" si="52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811</v>
      </c>
      <c r="E184" s="21" t="s">
        <v>29</v>
      </c>
      <c r="F184" s="21" t="s">
        <v>824</v>
      </c>
      <c r="G184" s="21" t="s">
        <v>825</v>
      </c>
      <c r="H184" s="21" t="s">
        <v>165</v>
      </c>
      <c r="I184" s="20" t="s">
        <v>844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37"/>
        <v>0</v>
      </c>
      <c r="T184" s="2">
        <f t="shared" si="38"/>
        <v>0</v>
      </c>
      <c r="U184" s="2">
        <f t="shared" si="39"/>
        <v>0</v>
      </c>
      <c r="V184" s="2">
        <f t="shared" si="40"/>
        <v>0</v>
      </c>
      <c r="W184" s="2">
        <f t="shared" si="41"/>
        <v>0</v>
      </c>
      <c r="X184" s="2">
        <f t="shared" si="42"/>
        <v>0</v>
      </c>
      <c r="Y184" s="2">
        <f t="shared" si="43"/>
        <v>0</v>
      </c>
      <c r="Z184" s="2">
        <f t="shared" si="44"/>
        <v>0</v>
      </c>
      <c r="AA184" s="2">
        <f t="shared" si="45"/>
        <v>0</v>
      </c>
      <c r="AB184" s="2">
        <f t="shared" si="46"/>
        <v>0</v>
      </c>
      <c r="AD184" s="2">
        <f t="shared" si="47"/>
        <v>0</v>
      </c>
      <c r="AE184" s="2">
        <f t="shared" si="48"/>
        <v>0</v>
      </c>
      <c r="AF184" s="2">
        <f t="shared" si="49"/>
        <v>0</v>
      </c>
      <c r="AG184" s="2">
        <f t="shared" si="50"/>
        <v>0</v>
      </c>
      <c r="AH184" s="2">
        <f t="shared" si="51"/>
        <v>0</v>
      </c>
      <c r="AI184" s="2">
        <f t="shared" si="52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si="37"/>
        <v>0</v>
      </c>
      <c r="T185" s="2">
        <f t="shared" si="38"/>
        <v>0</v>
      </c>
      <c r="U185" s="2">
        <f t="shared" si="39"/>
        <v>0</v>
      </c>
      <c r="V185" s="2">
        <f t="shared" si="40"/>
        <v>0</v>
      </c>
      <c r="W185" s="2">
        <f t="shared" si="41"/>
        <v>0</v>
      </c>
      <c r="X185" s="2">
        <f t="shared" si="42"/>
        <v>0</v>
      </c>
      <c r="Y185" s="2">
        <f t="shared" si="43"/>
        <v>1</v>
      </c>
      <c r="Z185" s="2">
        <f t="shared" si="44"/>
        <v>0</v>
      </c>
      <c r="AA185" s="2">
        <f t="shared" si="45"/>
        <v>0</v>
      </c>
      <c r="AB185" s="2">
        <f t="shared" si="46"/>
        <v>0</v>
      </c>
      <c r="AD185" s="2">
        <f t="shared" si="47"/>
        <v>0</v>
      </c>
      <c r="AE185" s="2">
        <f t="shared" si="48"/>
        <v>0</v>
      </c>
      <c r="AF185" s="2">
        <f t="shared" si="49"/>
        <v>0</v>
      </c>
      <c r="AG185" s="2">
        <f t="shared" si="50"/>
        <v>0</v>
      </c>
      <c r="AH185" s="2">
        <f t="shared" si="51"/>
        <v>0</v>
      </c>
      <c r="AI185" s="2">
        <f t="shared" si="52"/>
        <v>1</v>
      </c>
    </row>
    <row r="186" spans="1:35" ht="14.25" customHeight="1" x14ac:dyDescent="0.25">
      <c r="A186" s="32">
        <v>0</v>
      </c>
      <c r="B186" s="32">
        <v>2</v>
      </c>
      <c r="C186" s="32">
        <v>4</v>
      </c>
      <c r="D186" s="33" t="s">
        <v>684</v>
      </c>
      <c r="E186" s="33" t="s">
        <v>678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786</v>
      </c>
      <c r="N186" s="33" t="s">
        <v>929</v>
      </c>
      <c r="O186" s="34"/>
      <c r="P186" s="34"/>
      <c r="Q186" s="33"/>
      <c r="S186" s="2">
        <f t="shared" si="37"/>
        <v>0</v>
      </c>
      <c r="T186" s="2">
        <f t="shared" si="38"/>
        <v>0</v>
      </c>
      <c r="U186" s="2">
        <f t="shared" si="39"/>
        <v>0</v>
      </c>
      <c r="V186" s="2">
        <f t="shared" si="40"/>
        <v>0</v>
      </c>
      <c r="W186" s="2">
        <f t="shared" si="41"/>
        <v>0</v>
      </c>
      <c r="X186" s="2">
        <f t="shared" si="42"/>
        <v>0</v>
      </c>
      <c r="Y186" s="2">
        <f t="shared" si="43"/>
        <v>0</v>
      </c>
      <c r="Z186" s="2">
        <f t="shared" si="44"/>
        <v>0</v>
      </c>
      <c r="AA186" s="2">
        <f t="shared" si="45"/>
        <v>0</v>
      </c>
      <c r="AB186" s="2">
        <f t="shared" si="46"/>
        <v>0</v>
      </c>
      <c r="AD186" s="2">
        <f t="shared" si="47"/>
        <v>0</v>
      </c>
      <c r="AE186" s="2">
        <f t="shared" si="48"/>
        <v>0</v>
      </c>
      <c r="AF186" s="2">
        <f t="shared" si="49"/>
        <v>0</v>
      </c>
      <c r="AG186" s="2">
        <f t="shared" si="50"/>
        <v>0</v>
      </c>
      <c r="AH186" s="2">
        <f t="shared" si="51"/>
        <v>0</v>
      </c>
      <c r="AI186" s="2">
        <f t="shared" si="52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766</v>
      </c>
      <c r="E187" s="30" t="s">
        <v>767</v>
      </c>
      <c r="F187" s="30" t="s">
        <v>768</v>
      </c>
      <c r="G187" s="30"/>
      <c r="H187" s="30" t="s">
        <v>165</v>
      </c>
      <c r="I187" s="29" t="s">
        <v>769</v>
      </c>
      <c r="J187" s="29">
        <v>99</v>
      </c>
      <c r="K187" s="29" t="s">
        <v>378</v>
      </c>
      <c r="L187" s="29">
        <v>35</v>
      </c>
      <c r="M187" s="30" t="s">
        <v>950</v>
      </c>
      <c r="N187" s="30" t="s">
        <v>899</v>
      </c>
      <c r="O187" s="31">
        <v>1</v>
      </c>
      <c r="P187" s="31"/>
      <c r="Q187" s="30"/>
      <c r="S187" s="2">
        <f t="shared" si="37"/>
        <v>0</v>
      </c>
      <c r="T187" s="2">
        <f t="shared" si="38"/>
        <v>0</v>
      </c>
      <c r="U187" s="2">
        <f t="shared" si="39"/>
        <v>0</v>
      </c>
      <c r="V187" s="2">
        <f t="shared" si="40"/>
        <v>0</v>
      </c>
      <c r="W187" s="2">
        <f t="shared" si="41"/>
        <v>0</v>
      </c>
      <c r="X187" s="2">
        <f t="shared" si="42"/>
        <v>0</v>
      </c>
      <c r="Y187" s="2">
        <f t="shared" si="43"/>
        <v>0</v>
      </c>
      <c r="Z187" s="2">
        <f t="shared" si="44"/>
        <v>0</v>
      </c>
      <c r="AA187" s="2">
        <f t="shared" si="45"/>
        <v>0</v>
      </c>
      <c r="AB187" s="2">
        <f t="shared" si="46"/>
        <v>0</v>
      </c>
      <c r="AD187" s="2">
        <f t="shared" si="47"/>
        <v>0</v>
      </c>
      <c r="AE187" s="2">
        <f t="shared" si="48"/>
        <v>1</v>
      </c>
      <c r="AF187" s="2">
        <f t="shared" si="49"/>
        <v>0</v>
      </c>
      <c r="AG187" s="2">
        <f t="shared" si="50"/>
        <v>1</v>
      </c>
      <c r="AH187" s="2">
        <f t="shared" si="51"/>
        <v>0</v>
      </c>
      <c r="AI187" s="2">
        <f t="shared" si="52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</v>
      </c>
      <c r="E188" s="30" t="s">
        <v>89</v>
      </c>
      <c r="F188" s="30" t="s">
        <v>144</v>
      </c>
      <c r="G188" s="30" t="s">
        <v>129</v>
      </c>
      <c r="H188" s="30" t="s">
        <v>165</v>
      </c>
      <c r="I188" s="29" t="s">
        <v>190</v>
      </c>
      <c r="J188" s="29">
        <v>99</v>
      </c>
      <c r="K188" s="29" t="s">
        <v>321</v>
      </c>
      <c r="L188" s="29">
        <v>25</v>
      </c>
      <c r="M188" s="30" t="s">
        <v>1001</v>
      </c>
      <c r="N188" s="30" t="s">
        <v>899</v>
      </c>
      <c r="O188" s="31">
        <v>1</v>
      </c>
      <c r="P188" s="31"/>
      <c r="Q188" s="30"/>
      <c r="S188" s="2">
        <f t="shared" si="37"/>
        <v>0</v>
      </c>
      <c r="T188" s="2">
        <f t="shared" si="38"/>
        <v>0</v>
      </c>
      <c r="U188" s="2">
        <f t="shared" si="39"/>
        <v>0</v>
      </c>
      <c r="V188" s="2">
        <f t="shared" si="40"/>
        <v>0</v>
      </c>
      <c r="W188" s="2">
        <f t="shared" si="41"/>
        <v>0</v>
      </c>
      <c r="X188" s="2">
        <f t="shared" si="42"/>
        <v>0</v>
      </c>
      <c r="Y188" s="2">
        <f t="shared" si="43"/>
        <v>0</v>
      </c>
      <c r="Z188" s="2">
        <f t="shared" si="44"/>
        <v>0</v>
      </c>
      <c r="AA188" s="2">
        <f t="shared" si="45"/>
        <v>0</v>
      </c>
      <c r="AB188" s="2">
        <f t="shared" si="46"/>
        <v>0</v>
      </c>
      <c r="AD188" s="2">
        <f t="shared" si="47"/>
        <v>0</v>
      </c>
      <c r="AE188" s="2">
        <f t="shared" si="48"/>
        <v>1</v>
      </c>
      <c r="AF188" s="2">
        <f t="shared" si="49"/>
        <v>0</v>
      </c>
      <c r="AG188" s="2">
        <f t="shared" si="50"/>
        <v>1</v>
      </c>
      <c r="AH188" s="2">
        <f t="shared" si="51"/>
        <v>0</v>
      </c>
      <c r="AI188" s="2">
        <f t="shared" si="52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426</v>
      </c>
      <c r="E189" s="30" t="s">
        <v>234</v>
      </c>
      <c r="F189" s="30" t="s">
        <v>427</v>
      </c>
      <c r="G189" s="30" t="s">
        <v>96</v>
      </c>
      <c r="H189" s="30" t="s">
        <v>165</v>
      </c>
      <c r="I189" s="29" t="s">
        <v>428</v>
      </c>
      <c r="J189" s="29">
        <v>3</v>
      </c>
      <c r="K189" s="29" t="s">
        <v>318</v>
      </c>
      <c r="L189" s="29" t="s">
        <v>339</v>
      </c>
      <c r="M189" s="30" t="s">
        <v>747</v>
      </c>
      <c r="N189" s="30" t="s">
        <v>912</v>
      </c>
      <c r="O189" s="31">
        <v>1</v>
      </c>
      <c r="P189" s="31"/>
      <c r="Q189" s="30"/>
      <c r="S189" s="2">
        <f t="shared" si="37"/>
        <v>0</v>
      </c>
      <c r="T189" s="2">
        <f t="shared" si="38"/>
        <v>0</v>
      </c>
      <c r="U189" s="2">
        <f t="shared" si="39"/>
        <v>1</v>
      </c>
      <c r="V189" s="2">
        <f t="shared" si="40"/>
        <v>0</v>
      </c>
      <c r="W189" s="2">
        <f t="shared" si="41"/>
        <v>0</v>
      </c>
      <c r="X189" s="2">
        <f t="shared" si="42"/>
        <v>0</v>
      </c>
      <c r="Y189" s="2">
        <f t="shared" si="43"/>
        <v>0</v>
      </c>
      <c r="Z189" s="2">
        <f t="shared" si="44"/>
        <v>0</v>
      </c>
      <c r="AA189" s="2">
        <f t="shared" si="45"/>
        <v>0</v>
      </c>
      <c r="AB189" s="2">
        <f t="shared" si="46"/>
        <v>0</v>
      </c>
      <c r="AD189" s="2">
        <f t="shared" si="47"/>
        <v>0</v>
      </c>
      <c r="AE189" s="2">
        <f t="shared" si="48"/>
        <v>1</v>
      </c>
      <c r="AF189" s="2">
        <f t="shared" si="49"/>
        <v>0</v>
      </c>
      <c r="AG189" s="2">
        <f t="shared" si="50"/>
        <v>1</v>
      </c>
      <c r="AH189" s="2">
        <f t="shared" si="51"/>
        <v>0</v>
      </c>
      <c r="AI189" s="2">
        <f t="shared" si="52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214</v>
      </c>
      <c r="E190" s="30" t="s">
        <v>36</v>
      </c>
      <c r="F190" s="30" t="s">
        <v>213</v>
      </c>
      <c r="G190" s="30" t="s">
        <v>97</v>
      </c>
      <c r="H190" s="30" t="s">
        <v>165</v>
      </c>
      <c r="I190" s="29" t="s">
        <v>212</v>
      </c>
      <c r="J190" s="29">
        <v>99</v>
      </c>
      <c r="K190" s="29" t="s">
        <v>378</v>
      </c>
      <c r="L190" s="29">
        <v>25</v>
      </c>
      <c r="M190" s="30" t="s">
        <v>927</v>
      </c>
      <c r="N190" s="30" t="s">
        <v>935</v>
      </c>
      <c r="O190" s="31">
        <v>1</v>
      </c>
      <c r="P190" s="31"/>
      <c r="Q190" s="30"/>
      <c r="S190" s="2">
        <f t="shared" si="37"/>
        <v>0</v>
      </c>
      <c r="T190" s="2">
        <f t="shared" si="38"/>
        <v>0</v>
      </c>
      <c r="U190" s="2">
        <f t="shared" si="39"/>
        <v>0</v>
      </c>
      <c r="V190" s="2">
        <f t="shared" si="40"/>
        <v>0</v>
      </c>
      <c r="W190" s="2">
        <f t="shared" si="41"/>
        <v>0</v>
      </c>
      <c r="X190" s="2">
        <f t="shared" si="42"/>
        <v>0</v>
      </c>
      <c r="Y190" s="2">
        <f t="shared" si="43"/>
        <v>0</v>
      </c>
      <c r="Z190" s="2">
        <f t="shared" si="44"/>
        <v>0</v>
      </c>
      <c r="AA190" s="2">
        <f t="shared" si="45"/>
        <v>0</v>
      </c>
      <c r="AB190" s="2">
        <f t="shared" si="46"/>
        <v>0</v>
      </c>
      <c r="AD190" s="2">
        <f t="shared" si="47"/>
        <v>0</v>
      </c>
      <c r="AE190" s="2">
        <f t="shared" si="48"/>
        <v>1</v>
      </c>
      <c r="AF190" s="2">
        <f t="shared" si="49"/>
        <v>0</v>
      </c>
      <c r="AG190" s="2">
        <f t="shared" si="50"/>
        <v>1</v>
      </c>
      <c r="AH190" s="2">
        <f t="shared" si="51"/>
        <v>0</v>
      </c>
      <c r="AI190" s="2">
        <f t="shared" si="52"/>
        <v>1</v>
      </c>
    </row>
    <row r="191" spans="1:35" ht="14.25" customHeight="1" x14ac:dyDescent="0.25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929</v>
      </c>
      <c r="O191" s="34"/>
      <c r="P191" s="34"/>
      <c r="Q191" s="33"/>
      <c r="S191" s="2">
        <f t="shared" si="37"/>
        <v>0</v>
      </c>
      <c r="T191" s="2">
        <f t="shared" si="38"/>
        <v>0</v>
      </c>
      <c r="U191" s="2">
        <f t="shared" si="39"/>
        <v>0</v>
      </c>
      <c r="V191" s="2">
        <f t="shared" si="40"/>
        <v>0</v>
      </c>
      <c r="W191" s="2">
        <f t="shared" si="41"/>
        <v>0</v>
      </c>
      <c r="X191" s="2">
        <f t="shared" si="42"/>
        <v>0</v>
      </c>
      <c r="Y191" s="2">
        <f t="shared" si="43"/>
        <v>0</v>
      </c>
      <c r="Z191" s="2">
        <f t="shared" si="44"/>
        <v>0</v>
      </c>
      <c r="AA191" s="2">
        <f t="shared" si="45"/>
        <v>0</v>
      </c>
      <c r="AB191" s="2">
        <f t="shared" si="46"/>
        <v>0</v>
      </c>
      <c r="AD191" s="2">
        <f t="shared" si="47"/>
        <v>0</v>
      </c>
      <c r="AE191" s="2">
        <f t="shared" si="48"/>
        <v>0</v>
      </c>
      <c r="AF191" s="2">
        <f t="shared" si="49"/>
        <v>0</v>
      </c>
      <c r="AG191" s="2">
        <f t="shared" si="50"/>
        <v>0</v>
      </c>
      <c r="AH191" s="2">
        <f t="shared" si="51"/>
        <v>0</v>
      </c>
      <c r="AI191" s="2">
        <f t="shared" si="52"/>
        <v>1</v>
      </c>
    </row>
    <row r="192" spans="1:35" ht="14.25" customHeight="1" x14ac:dyDescent="0.25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929</v>
      </c>
      <c r="O192" s="34"/>
      <c r="P192" s="34"/>
      <c r="Q192" s="33"/>
      <c r="S192" s="2">
        <f t="shared" si="37"/>
        <v>0</v>
      </c>
      <c r="T192" s="2">
        <f t="shared" si="38"/>
        <v>0</v>
      </c>
      <c r="U192" s="2">
        <f t="shared" si="39"/>
        <v>0</v>
      </c>
      <c r="V192" s="2">
        <f t="shared" si="40"/>
        <v>0</v>
      </c>
      <c r="W192" s="2">
        <f t="shared" si="41"/>
        <v>0</v>
      </c>
      <c r="X192" s="2">
        <f t="shared" si="42"/>
        <v>0</v>
      </c>
      <c r="Y192" s="2">
        <f t="shared" si="43"/>
        <v>0</v>
      </c>
      <c r="Z192" s="2">
        <f t="shared" si="44"/>
        <v>0</v>
      </c>
      <c r="AA192" s="2">
        <f t="shared" si="45"/>
        <v>0</v>
      </c>
      <c r="AB192" s="2">
        <f t="shared" si="46"/>
        <v>0</v>
      </c>
      <c r="AD192" s="2">
        <f t="shared" si="47"/>
        <v>0</v>
      </c>
      <c r="AE192" s="2">
        <f t="shared" si="48"/>
        <v>0</v>
      </c>
      <c r="AF192" s="2">
        <f t="shared" si="49"/>
        <v>0</v>
      </c>
      <c r="AG192" s="2">
        <f t="shared" si="50"/>
        <v>0</v>
      </c>
      <c r="AH192" s="2">
        <f t="shared" si="51"/>
        <v>0</v>
      </c>
      <c r="AI192" s="2">
        <f t="shared" si="52"/>
        <v>1</v>
      </c>
    </row>
    <row r="193" spans="1:35" ht="14.25" customHeight="1" x14ac:dyDescent="0.25">
      <c r="A193" s="29">
        <v>0</v>
      </c>
      <c r="B193" s="29">
        <v>2</v>
      </c>
      <c r="C193" s="29">
        <v>5</v>
      </c>
      <c r="D193" s="30" t="s">
        <v>762</v>
      </c>
      <c r="E193" s="30" t="s">
        <v>263</v>
      </c>
      <c r="F193" s="30" t="s">
        <v>763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698</v>
      </c>
      <c r="L193" s="29">
        <v>45</v>
      </c>
      <c r="M193" s="30" t="s">
        <v>1002</v>
      </c>
      <c r="N193" s="30" t="s">
        <v>906</v>
      </c>
      <c r="O193" s="31">
        <v>1</v>
      </c>
      <c r="P193" s="31"/>
      <c r="Q193" s="30"/>
      <c r="S193" s="2">
        <f t="shared" si="37"/>
        <v>0</v>
      </c>
      <c r="T193" s="2">
        <f t="shared" si="38"/>
        <v>0</v>
      </c>
      <c r="U193" s="2">
        <f t="shared" si="39"/>
        <v>0</v>
      </c>
      <c r="V193" s="2">
        <f t="shared" si="40"/>
        <v>0</v>
      </c>
      <c r="W193" s="2">
        <f t="shared" si="41"/>
        <v>0</v>
      </c>
      <c r="X193" s="2">
        <f t="shared" si="42"/>
        <v>0</v>
      </c>
      <c r="Y193" s="2">
        <f t="shared" si="43"/>
        <v>0</v>
      </c>
      <c r="Z193" s="2">
        <f t="shared" si="44"/>
        <v>0</v>
      </c>
      <c r="AA193" s="2">
        <f t="shared" si="45"/>
        <v>0</v>
      </c>
      <c r="AB193" s="2">
        <f t="shared" si="46"/>
        <v>0</v>
      </c>
      <c r="AD193" s="2">
        <f t="shared" si="47"/>
        <v>0</v>
      </c>
      <c r="AE193" s="2">
        <f t="shared" si="48"/>
        <v>1</v>
      </c>
      <c r="AF193" s="2">
        <f t="shared" si="49"/>
        <v>0</v>
      </c>
      <c r="AG193" s="2">
        <f t="shared" si="50"/>
        <v>1</v>
      </c>
      <c r="AH193" s="2">
        <f t="shared" si="51"/>
        <v>0</v>
      </c>
      <c r="AI193" s="2">
        <f t="shared" si="52"/>
        <v>1</v>
      </c>
    </row>
    <row r="194" spans="1:35" ht="14.25" customHeight="1" x14ac:dyDescent="0.25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751</v>
      </c>
      <c r="N194" s="30" t="s">
        <v>899</v>
      </c>
      <c r="O194" s="31">
        <v>1</v>
      </c>
      <c r="P194" s="31"/>
      <c r="Q194" s="30"/>
      <c r="S194" s="2">
        <f t="shared" si="37"/>
        <v>0</v>
      </c>
      <c r="T194" s="2">
        <f t="shared" si="38"/>
        <v>0</v>
      </c>
      <c r="U194" s="2">
        <f t="shared" si="39"/>
        <v>1</v>
      </c>
      <c r="V194" s="2">
        <f t="shared" si="40"/>
        <v>0</v>
      </c>
      <c r="W194" s="2">
        <f t="shared" si="41"/>
        <v>0</v>
      </c>
      <c r="X194" s="2">
        <f t="shared" si="42"/>
        <v>0</v>
      </c>
      <c r="Y194" s="2">
        <f t="shared" si="43"/>
        <v>0</v>
      </c>
      <c r="Z194" s="2">
        <f t="shared" si="44"/>
        <v>0</v>
      </c>
      <c r="AA194" s="2">
        <f t="shared" si="45"/>
        <v>0</v>
      </c>
      <c r="AB194" s="2">
        <f t="shared" si="46"/>
        <v>0</v>
      </c>
      <c r="AD194" s="2">
        <f t="shared" si="47"/>
        <v>0</v>
      </c>
      <c r="AE194" s="2">
        <f t="shared" si="48"/>
        <v>1</v>
      </c>
      <c r="AF194" s="2">
        <f t="shared" si="49"/>
        <v>0</v>
      </c>
      <c r="AG194" s="2">
        <f t="shared" si="50"/>
        <v>1</v>
      </c>
      <c r="AH194" s="2">
        <f t="shared" si="51"/>
        <v>0</v>
      </c>
      <c r="AI194" s="2">
        <f t="shared" si="52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959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913</v>
      </c>
      <c r="O195" s="31">
        <v>1</v>
      </c>
      <c r="P195" s="31"/>
      <c r="Q195" s="30" t="s">
        <v>960</v>
      </c>
      <c r="S195" s="2">
        <f t="shared" si="37"/>
        <v>0</v>
      </c>
      <c r="T195" s="2">
        <f t="shared" si="38"/>
        <v>0</v>
      </c>
      <c r="U195" s="2">
        <f t="shared" si="39"/>
        <v>0</v>
      </c>
      <c r="V195" s="2">
        <f t="shared" si="40"/>
        <v>0</v>
      </c>
      <c r="W195" s="2">
        <f t="shared" si="41"/>
        <v>0</v>
      </c>
      <c r="X195" s="2">
        <f t="shared" si="42"/>
        <v>0</v>
      </c>
      <c r="Y195" s="2">
        <f t="shared" si="43"/>
        <v>0</v>
      </c>
      <c r="Z195" s="2">
        <f t="shared" si="44"/>
        <v>0</v>
      </c>
      <c r="AA195" s="2">
        <f t="shared" si="45"/>
        <v>0</v>
      </c>
      <c r="AB195" s="2">
        <f t="shared" si="46"/>
        <v>0</v>
      </c>
      <c r="AD195" s="2">
        <f t="shared" si="47"/>
        <v>0</v>
      </c>
      <c r="AE195" s="2">
        <f t="shared" si="48"/>
        <v>1</v>
      </c>
      <c r="AF195" s="2">
        <f t="shared" si="49"/>
        <v>0</v>
      </c>
      <c r="AG195" s="2">
        <f t="shared" si="50"/>
        <v>1</v>
      </c>
      <c r="AH195" s="2">
        <f t="shared" si="51"/>
        <v>0</v>
      </c>
      <c r="AI195" s="2">
        <f t="shared" si="52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37"/>
        <v>0</v>
      </c>
      <c r="T196" s="2">
        <f t="shared" si="38"/>
        <v>0</v>
      </c>
      <c r="U196" s="2">
        <f t="shared" si="39"/>
        <v>0</v>
      </c>
      <c r="V196" s="2">
        <f t="shared" si="40"/>
        <v>0</v>
      </c>
      <c r="W196" s="2">
        <f t="shared" si="41"/>
        <v>0</v>
      </c>
      <c r="X196" s="2">
        <f t="shared" si="42"/>
        <v>0</v>
      </c>
      <c r="Y196" s="2">
        <f t="shared" si="43"/>
        <v>0</v>
      </c>
      <c r="Z196" s="2">
        <f t="shared" si="44"/>
        <v>0</v>
      </c>
      <c r="AA196" s="2">
        <f t="shared" si="45"/>
        <v>0</v>
      </c>
      <c r="AB196" s="2">
        <f t="shared" si="46"/>
        <v>1</v>
      </c>
      <c r="AD196" s="2">
        <f t="shared" si="47"/>
        <v>0</v>
      </c>
      <c r="AE196" s="2">
        <f t="shared" si="48"/>
        <v>0</v>
      </c>
      <c r="AF196" s="2">
        <f t="shared" si="49"/>
        <v>0</v>
      </c>
      <c r="AG196" s="2">
        <f t="shared" si="50"/>
        <v>0</v>
      </c>
      <c r="AH196" s="2">
        <f t="shared" si="51"/>
        <v>0</v>
      </c>
      <c r="AI196" s="2">
        <f t="shared" si="52"/>
        <v>1</v>
      </c>
    </row>
    <row r="197" spans="1:35" ht="14.25" customHeight="1" x14ac:dyDescent="0.25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828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784</v>
      </c>
      <c r="N197" s="33" t="s">
        <v>900</v>
      </c>
      <c r="O197" s="34"/>
      <c r="P197" s="34"/>
      <c r="Q197" s="33"/>
      <c r="S197" s="2">
        <f t="shared" si="37"/>
        <v>0</v>
      </c>
      <c r="T197" s="2">
        <f t="shared" si="38"/>
        <v>0</v>
      </c>
      <c r="U197" s="2">
        <f t="shared" si="39"/>
        <v>0</v>
      </c>
      <c r="V197" s="2">
        <f t="shared" si="40"/>
        <v>0</v>
      </c>
      <c r="W197" s="2">
        <f t="shared" si="41"/>
        <v>0</v>
      </c>
      <c r="X197" s="2">
        <f t="shared" si="42"/>
        <v>0</v>
      </c>
      <c r="Y197" s="2">
        <f t="shared" si="43"/>
        <v>0</v>
      </c>
      <c r="Z197" s="2">
        <f t="shared" si="44"/>
        <v>0</v>
      </c>
      <c r="AA197" s="2">
        <f t="shared" si="45"/>
        <v>0</v>
      </c>
      <c r="AB197" s="2">
        <f t="shared" si="46"/>
        <v>0</v>
      </c>
      <c r="AD197" s="2">
        <f t="shared" si="47"/>
        <v>0</v>
      </c>
      <c r="AE197" s="2">
        <f t="shared" si="48"/>
        <v>0</v>
      </c>
      <c r="AF197" s="2">
        <f t="shared" si="49"/>
        <v>0</v>
      </c>
      <c r="AG197" s="2">
        <f t="shared" si="50"/>
        <v>0</v>
      </c>
      <c r="AH197" s="2">
        <f t="shared" si="51"/>
        <v>0</v>
      </c>
      <c r="AI197" s="2">
        <f t="shared" si="52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812</v>
      </c>
      <c r="E198" s="30" t="s">
        <v>29</v>
      </c>
      <c r="F198" s="30" t="s">
        <v>644</v>
      </c>
      <c r="G198" s="30" t="s">
        <v>516</v>
      </c>
      <c r="H198" s="30" t="s">
        <v>165</v>
      </c>
      <c r="I198" s="29" t="s">
        <v>645</v>
      </c>
      <c r="J198" s="29">
        <v>99</v>
      </c>
      <c r="K198" s="29" t="s">
        <v>320</v>
      </c>
      <c r="L198" s="29" t="s">
        <v>346</v>
      </c>
      <c r="M198" s="30" t="s">
        <v>643</v>
      </c>
      <c r="N198" s="30" t="s">
        <v>913</v>
      </c>
      <c r="O198" s="31">
        <v>1</v>
      </c>
      <c r="P198" s="31"/>
      <c r="Q198" s="30"/>
      <c r="S198" s="2">
        <f t="shared" si="37"/>
        <v>0</v>
      </c>
      <c r="T198" s="2">
        <f t="shared" si="38"/>
        <v>0</v>
      </c>
      <c r="U198" s="2">
        <f t="shared" si="39"/>
        <v>0</v>
      </c>
      <c r="V198" s="2">
        <f t="shared" si="40"/>
        <v>0</v>
      </c>
      <c r="W198" s="2">
        <f t="shared" si="41"/>
        <v>0</v>
      </c>
      <c r="X198" s="2">
        <f t="shared" si="42"/>
        <v>0</v>
      </c>
      <c r="Y198" s="2">
        <f t="shared" si="43"/>
        <v>0</v>
      </c>
      <c r="Z198" s="2">
        <f t="shared" si="44"/>
        <v>0</v>
      </c>
      <c r="AA198" s="2">
        <f t="shared" si="45"/>
        <v>0</v>
      </c>
      <c r="AB198" s="2">
        <f t="shared" si="46"/>
        <v>0</v>
      </c>
      <c r="AD198" s="2">
        <f t="shared" si="47"/>
        <v>0</v>
      </c>
      <c r="AE198" s="2">
        <f t="shared" si="48"/>
        <v>1</v>
      </c>
      <c r="AF198" s="2">
        <f t="shared" si="49"/>
        <v>0</v>
      </c>
      <c r="AG198" s="2">
        <f t="shared" si="50"/>
        <v>1</v>
      </c>
      <c r="AH198" s="2">
        <f t="shared" si="51"/>
        <v>0</v>
      </c>
      <c r="AI198" s="2">
        <f t="shared" si="52"/>
        <v>1</v>
      </c>
    </row>
    <row r="199" spans="1:35" ht="14.25" customHeight="1" x14ac:dyDescent="0.25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821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929</v>
      </c>
      <c r="O199" s="34"/>
      <c r="P199" s="34"/>
      <c r="Q199" s="33"/>
      <c r="S199" s="2">
        <f t="shared" si="37"/>
        <v>1</v>
      </c>
      <c r="T199" s="2">
        <f t="shared" si="38"/>
        <v>0</v>
      </c>
      <c r="U199" s="2">
        <f t="shared" si="39"/>
        <v>0</v>
      </c>
      <c r="V199" s="2">
        <f t="shared" si="40"/>
        <v>0</v>
      </c>
      <c r="W199" s="2">
        <f t="shared" si="41"/>
        <v>0</v>
      </c>
      <c r="X199" s="2">
        <f t="shared" si="42"/>
        <v>0</v>
      </c>
      <c r="Y199" s="2">
        <f t="shared" si="43"/>
        <v>0</v>
      </c>
      <c r="Z199" s="2">
        <f t="shared" si="44"/>
        <v>0</v>
      </c>
      <c r="AA199" s="2">
        <f t="shared" si="45"/>
        <v>0</v>
      </c>
      <c r="AB199" s="2">
        <f t="shared" si="46"/>
        <v>0</v>
      </c>
      <c r="AD199" s="2">
        <f t="shared" si="47"/>
        <v>0</v>
      </c>
      <c r="AE199" s="2">
        <f t="shared" si="48"/>
        <v>0</v>
      </c>
      <c r="AF199" s="2">
        <f t="shared" si="49"/>
        <v>0</v>
      </c>
      <c r="AG199" s="2">
        <f t="shared" si="50"/>
        <v>0</v>
      </c>
      <c r="AH199" s="2">
        <f t="shared" si="51"/>
        <v>0</v>
      </c>
      <c r="AI199" s="2">
        <f t="shared" si="52"/>
        <v>1</v>
      </c>
    </row>
    <row r="200" spans="1:35" ht="14.25" customHeight="1" x14ac:dyDescent="0.25">
      <c r="A200" s="29">
        <v>0</v>
      </c>
      <c r="B200" s="29">
        <v>2</v>
      </c>
      <c r="C200" s="29">
        <v>6</v>
      </c>
      <c r="D200" s="30" t="s">
        <v>52</v>
      </c>
      <c r="E200" s="30" t="s">
        <v>34</v>
      </c>
      <c r="F200" s="30" t="s">
        <v>105</v>
      </c>
      <c r="G200" s="30" t="s">
        <v>39</v>
      </c>
      <c r="H200" s="30" t="s">
        <v>165</v>
      </c>
      <c r="I200" s="29" t="s">
        <v>847</v>
      </c>
      <c r="J200" s="29">
        <v>8</v>
      </c>
      <c r="K200" s="29" t="s">
        <v>318</v>
      </c>
      <c r="L200" s="29" t="s">
        <v>339</v>
      </c>
      <c r="M200" s="30" t="s">
        <v>272</v>
      </c>
      <c r="N200" s="30" t="s">
        <v>912</v>
      </c>
      <c r="O200" s="31">
        <v>1</v>
      </c>
      <c r="P200" s="31"/>
      <c r="Q200" s="30"/>
      <c r="S200" s="2">
        <f t="shared" si="37"/>
        <v>0</v>
      </c>
      <c r="T200" s="2">
        <f t="shared" si="38"/>
        <v>0</v>
      </c>
      <c r="U200" s="2">
        <f t="shared" si="39"/>
        <v>0</v>
      </c>
      <c r="V200" s="2">
        <f t="shared" si="40"/>
        <v>0</v>
      </c>
      <c r="W200" s="2">
        <f t="shared" si="41"/>
        <v>0</v>
      </c>
      <c r="X200" s="2">
        <f t="shared" si="42"/>
        <v>0</v>
      </c>
      <c r="Y200" s="2">
        <f t="shared" si="43"/>
        <v>0</v>
      </c>
      <c r="Z200" s="2">
        <f t="shared" si="44"/>
        <v>1</v>
      </c>
      <c r="AA200" s="2">
        <f t="shared" si="45"/>
        <v>0</v>
      </c>
      <c r="AB200" s="2">
        <f t="shared" si="46"/>
        <v>0</v>
      </c>
      <c r="AD200" s="2">
        <f t="shared" si="47"/>
        <v>0</v>
      </c>
      <c r="AE200" s="2">
        <f t="shared" si="48"/>
        <v>1</v>
      </c>
      <c r="AF200" s="2">
        <f t="shared" si="49"/>
        <v>0</v>
      </c>
      <c r="AG200" s="2">
        <f t="shared" si="50"/>
        <v>1</v>
      </c>
      <c r="AH200" s="2">
        <f t="shared" si="51"/>
        <v>0</v>
      </c>
      <c r="AI200" s="2">
        <f t="shared" si="52"/>
        <v>1</v>
      </c>
    </row>
    <row r="201" spans="1:35" ht="14.25" customHeight="1" x14ac:dyDescent="0.25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954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935</v>
      </c>
      <c r="O201" s="31">
        <v>1</v>
      </c>
      <c r="P201" s="31"/>
      <c r="Q201" s="30"/>
      <c r="S201" s="2">
        <f t="shared" si="37"/>
        <v>0</v>
      </c>
      <c r="T201" s="2">
        <f t="shared" si="38"/>
        <v>0</v>
      </c>
      <c r="U201" s="2">
        <f t="shared" si="39"/>
        <v>0</v>
      </c>
      <c r="V201" s="2">
        <f t="shared" si="40"/>
        <v>0</v>
      </c>
      <c r="W201" s="2">
        <f t="shared" si="41"/>
        <v>0</v>
      </c>
      <c r="X201" s="2">
        <f t="shared" si="42"/>
        <v>1</v>
      </c>
      <c r="Y201" s="2">
        <f t="shared" si="43"/>
        <v>0</v>
      </c>
      <c r="Z201" s="2">
        <f t="shared" si="44"/>
        <v>0</v>
      </c>
      <c r="AA201" s="2">
        <f t="shared" si="45"/>
        <v>0</v>
      </c>
      <c r="AB201" s="2">
        <f t="shared" si="46"/>
        <v>0</v>
      </c>
      <c r="AD201" s="2">
        <f t="shared" si="47"/>
        <v>0</v>
      </c>
      <c r="AE201" s="2">
        <f t="shared" si="48"/>
        <v>1</v>
      </c>
      <c r="AF201" s="2">
        <f t="shared" si="49"/>
        <v>0</v>
      </c>
      <c r="AG201" s="2">
        <f t="shared" si="50"/>
        <v>1</v>
      </c>
      <c r="AH201" s="2">
        <f t="shared" si="51"/>
        <v>0</v>
      </c>
      <c r="AI201" s="2">
        <f t="shared" si="52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748</v>
      </c>
      <c r="N202" s="30" t="s">
        <v>912</v>
      </c>
      <c r="O202" s="31">
        <v>1</v>
      </c>
      <c r="P202" s="31"/>
      <c r="Q202" s="30"/>
      <c r="S202" s="2">
        <f t="shared" si="37"/>
        <v>0</v>
      </c>
      <c r="T202" s="2">
        <f t="shared" si="38"/>
        <v>0</v>
      </c>
      <c r="U202" s="2">
        <f t="shared" si="39"/>
        <v>0</v>
      </c>
      <c r="V202" s="2">
        <f t="shared" si="40"/>
        <v>0</v>
      </c>
      <c r="W202" s="2">
        <f t="shared" si="41"/>
        <v>1</v>
      </c>
      <c r="X202" s="2">
        <f t="shared" si="42"/>
        <v>0</v>
      </c>
      <c r="Y202" s="2">
        <f t="shared" si="43"/>
        <v>0</v>
      </c>
      <c r="Z202" s="2">
        <f t="shared" si="44"/>
        <v>0</v>
      </c>
      <c r="AA202" s="2">
        <f t="shared" si="45"/>
        <v>0</v>
      </c>
      <c r="AB202" s="2">
        <f t="shared" si="46"/>
        <v>0</v>
      </c>
      <c r="AD202" s="2">
        <f t="shared" si="47"/>
        <v>0</v>
      </c>
      <c r="AE202" s="2">
        <f t="shared" si="48"/>
        <v>1</v>
      </c>
      <c r="AF202" s="2">
        <f t="shared" si="49"/>
        <v>0</v>
      </c>
      <c r="AG202" s="2">
        <f t="shared" si="50"/>
        <v>1</v>
      </c>
      <c r="AH202" s="2">
        <f t="shared" si="51"/>
        <v>0</v>
      </c>
      <c r="AI202" s="2">
        <f t="shared" si="52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935</v>
      </c>
      <c r="O203" s="31">
        <v>1</v>
      </c>
      <c r="P203" s="31"/>
      <c r="Q203" s="30"/>
      <c r="S203" s="2">
        <f t="shared" ref="S203:S237" si="53">IF(J203=$S$7,1,0)</f>
        <v>0</v>
      </c>
      <c r="T203" s="2">
        <f t="shared" ref="T203:T237" si="54">IF(J203=$T$7,1,0)</f>
        <v>0</v>
      </c>
      <c r="U203" s="2">
        <f t="shared" ref="U203:U237" si="55">IF(J203=$U$7,1,0)</f>
        <v>0</v>
      </c>
      <c r="V203" s="2">
        <f t="shared" ref="V203:V237" si="56">IF(J203=$V$7,1,0)</f>
        <v>0</v>
      </c>
      <c r="W203" s="2">
        <f t="shared" ref="W203:W237" si="57">IF(J203=$W$7,1,0)</f>
        <v>0</v>
      </c>
      <c r="X203" s="2">
        <f t="shared" ref="X203:X237" si="58">IF(J203=$X$7,1,0)</f>
        <v>1</v>
      </c>
      <c r="Y203" s="2">
        <f t="shared" ref="Y203:Y237" si="59">IF(J203=$Y$7,1,0)</f>
        <v>0</v>
      </c>
      <c r="Z203" s="2">
        <f t="shared" ref="Z203:Z237" si="60">IF(J203=$Z$7,1,0)</f>
        <v>0</v>
      </c>
      <c r="AA203" s="2">
        <f t="shared" ref="AA203:AA237" si="61">IF(J203=$AA$7,1,0)</f>
        <v>0</v>
      </c>
      <c r="AB203" s="2">
        <f t="shared" ref="AB203:AB237" si="62">IF(J203=$AB$7,1,0)</f>
        <v>0</v>
      </c>
      <c r="AD203" s="2">
        <f t="shared" ref="AD203:AD237" si="63">+O203*P203</f>
        <v>0</v>
      </c>
      <c r="AE203" s="2">
        <f t="shared" ref="AE203:AE237" si="64">O203*(1-P203)</f>
        <v>1</v>
      </c>
      <c r="AF203" s="2">
        <f t="shared" ref="AF203:AF237" si="65">+O203*P203*(1-A203)</f>
        <v>0</v>
      </c>
      <c r="AG203" s="2">
        <f t="shared" ref="AG203:AG237" si="66">O203*(1-P203)*(1-A203)</f>
        <v>1</v>
      </c>
      <c r="AH203" s="2">
        <f t="shared" ref="AH203:AH237" si="67">+P203*(1-A203)</f>
        <v>0</v>
      </c>
      <c r="AI203" s="2">
        <f t="shared" ref="AI203:AI237" si="68">+(1-A203)*(1-P203)</f>
        <v>1</v>
      </c>
    </row>
    <row r="204" spans="1:35" ht="14.25" customHeight="1" x14ac:dyDescent="0.25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896</v>
      </c>
      <c r="O204" s="34"/>
      <c r="P204" s="34"/>
      <c r="Q204" s="33"/>
      <c r="S204" s="2">
        <f t="shared" si="53"/>
        <v>0</v>
      </c>
      <c r="T204" s="2">
        <f t="shared" si="54"/>
        <v>0</v>
      </c>
      <c r="U204" s="2">
        <f t="shared" si="55"/>
        <v>0</v>
      </c>
      <c r="V204" s="2">
        <f t="shared" si="56"/>
        <v>0</v>
      </c>
      <c r="W204" s="2">
        <f t="shared" si="57"/>
        <v>0</v>
      </c>
      <c r="X204" s="2">
        <f t="shared" si="58"/>
        <v>0</v>
      </c>
      <c r="Y204" s="2">
        <f t="shared" si="59"/>
        <v>0</v>
      </c>
      <c r="Z204" s="2">
        <f t="shared" si="60"/>
        <v>0</v>
      </c>
      <c r="AA204" s="2">
        <f t="shared" si="61"/>
        <v>0</v>
      </c>
      <c r="AB204" s="2">
        <f t="shared" si="62"/>
        <v>0</v>
      </c>
      <c r="AD204" s="2">
        <f t="shared" si="63"/>
        <v>0</v>
      </c>
      <c r="AE204" s="2">
        <f t="shared" si="64"/>
        <v>0</v>
      </c>
      <c r="AF204" s="2">
        <f t="shared" si="65"/>
        <v>0</v>
      </c>
      <c r="AG204" s="2">
        <f t="shared" si="66"/>
        <v>0</v>
      </c>
      <c r="AH204" s="2">
        <f t="shared" si="67"/>
        <v>0</v>
      </c>
      <c r="AI204" s="2">
        <f t="shared" si="68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951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907</v>
      </c>
      <c r="O205" s="31">
        <v>1</v>
      </c>
      <c r="P205" s="31"/>
      <c r="Q205" s="30"/>
      <c r="S205" s="2">
        <f t="shared" si="53"/>
        <v>0</v>
      </c>
      <c r="T205" s="2">
        <f t="shared" si="54"/>
        <v>1</v>
      </c>
      <c r="U205" s="2">
        <f t="shared" si="55"/>
        <v>0</v>
      </c>
      <c r="V205" s="2">
        <f t="shared" si="56"/>
        <v>0</v>
      </c>
      <c r="W205" s="2">
        <f t="shared" si="57"/>
        <v>0</v>
      </c>
      <c r="X205" s="2">
        <f t="shared" si="58"/>
        <v>0</v>
      </c>
      <c r="Y205" s="2">
        <f t="shared" si="59"/>
        <v>0</v>
      </c>
      <c r="Z205" s="2">
        <f t="shared" si="60"/>
        <v>0</v>
      </c>
      <c r="AA205" s="2">
        <f t="shared" si="61"/>
        <v>0</v>
      </c>
      <c r="AB205" s="2">
        <f t="shared" si="62"/>
        <v>0</v>
      </c>
      <c r="AD205" s="2">
        <f t="shared" si="63"/>
        <v>0</v>
      </c>
      <c r="AE205" s="2">
        <f t="shared" si="64"/>
        <v>1</v>
      </c>
      <c r="AF205" s="2">
        <f t="shared" si="65"/>
        <v>0</v>
      </c>
      <c r="AG205" s="2">
        <f t="shared" si="66"/>
        <v>1</v>
      </c>
      <c r="AH205" s="2">
        <f t="shared" si="67"/>
        <v>0</v>
      </c>
      <c r="AI205" s="2">
        <f t="shared" si="68"/>
        <v>1</v>
      </c>
    </row>
    <row r="206" spans="1:35" ht="14.25" customHeight="1" x14ac:dyDescent="0.25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952</v>
      </c>
      <c r="G206" s="30" t="s">
        <v>103</v>
      </c>
      <c r="H206" s="30" t="s">
        <v>165</v>
      </c>
      <c r="I206" s="29" t="s">
        <v>846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907</v>
      </c>
      <c r="O206" s="31">
        <v>1</v>
      </c>
      <c r="P206" s="31"/>
      <c r="Q206" s="30"/>
      <c r="S206" s="2">
        <f t="shared" si="53"/>
        <v>0</v>
      </c>
      <c r="T206" s="2">
        <f t="shared" si="54"/>
        <v>0</v>
      </c>
      <c r="U206" s="2">
        <f t="shared" si="55"/>
        <v>0</v>
      </c>
      <c r="V206" s="2">
        <f t="shared" si="56"/>
        <v>0</v>
      </c>
      <c r="W206" s="2">
        <f t="shared" si="57"/>
        <v>0</v>
      </c>
      <c r="X206" s="2">
        <f t="shared" si="58"/>
        <v>1</v>
      </c>
      <c r="Y206" s="2">
        <f t="shared" si="59"/>
        <v>0</v>
      </c>
      <c r="Z206" s="2">
        <f t="shared" si="60"/>
        <v>0</v>
      </c>
      <c r="AA206" s="2">
        <f t="shared" si="61"/>
        <v>0</v>
      </c>
      <c r="AB206" s="2">
        <f t="shared" si="62"/>
        <v>0</v>
      </c>
      <c r="AD206" s="2">
        <f t="shared" si="63"/>
        <v>0</v>
      </c>
      <c r="AE206" s="2">
        <f t="shared" si="64"/>
        <v>1</v>
      </c>
      <c r="AF206" s="2">
        <f t="shared" si="65"/>
        <v>0</v>
      </c>
      <c r="AG206" s="2">
        <f t="shared" si="66"/>
        <v>0</v>
      </c>
      <c r="AH206" s="2">
        <f t="shared" si="67"/>
        <v>0</v>
      </c>
      <c r="AI206" s="2">
        <f t="shared" si="68"/>
        <v>0</v>
      </c>
    </row>
    <row r="207" spans="1:35" ht="14.25" customHeight="1" x14ac:dyDescent="0.25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893</v>
      </c>
      <c r="O207" s="31">
        <v>1</v>
      </c>
      <c r="P207" s="31">
        <v>1</v>
      </c>
      <c r="Q207" s="30"/>
      <c r="S207" s="2">
        <f t="shared" si="53"/>
        <v>0</v>
      </c>
      <c r="T207" s="2">
        <f t="shared" si="54"/>
        <v>0</v>
      </c>
      <c r="U207" s="2">
        <f t="shared" si="55"/>
        <v>0</v>
      </c>
      <c r="V207" s="2">
        <f t="shared" si="56"/>
        <v>0</v>
      </c>
      <c r="W207" s="2">
        <f t="shared" si="57"/>
        <v>0</v>
      </c>
      <c r="X207" s="2">
        <f t="shared" si="58"/>
        <v>0</v>
      </c>
      <c r="Y207" s="2">
        <f t="shared" si="59"/>
        <v>0</v>
      </c>
      <c r="Z207" s="2">
        <f t="shared" si="60"/>
        <v>0</v>
      </c>
      <c r="AA207" s="2">
        <f t="shared" si="61"/>
        <v>1</v>
      </c>
      <c r="AB207" s="2">
        <f t="shared" si="62"/>
        <v>0</v>
      </c>
      <c r="AD207" s="2">
        <f t="shared" si="63"/>
        <v>1</v>
      </c>
      <c r="AE207" s="2">
        <f t="shared" si="64"/>
        <v>0</v>
      </c>
      <c r="AF207" s="2">
        <f t="shared" si="65"/>
        <v>1</v>
      </c>
      <c r="AG207" s="2">
        <f t="shared" si="66"/>
        <v>0</v>
      </c>
      <c r="AH207" s="2">
        <f t="shared" si="67"/>
        <v>1</v>
      </c>
      <c r="AI207" s="2">
        <f t="shared" si="68"/>
        <v>0</v>
      </c>
    </row>
    <row r="208" spans="1:35" ht="14.25" customHeight="1" x14ac:dyDescent="0.25">
      <c r="A208" s="29">
        <v>0</v>
      </c>
      <c r="B208" s="29">
        <v>2</v>
      </c>
      <c r="C208" s="29">
        <v>7</v>
      </c>
      <c r="D208" s="30" t="s">
        <v>924</v>
      </c>
      <c r="E208" s="30" t="s">
        <v>918</v>
      </c>
      <c r="F208" s="30" t="s">
        <v>922</v>
      </c>
      <c r="G208" s="30" t="s">
        <v>132</v>
      </c>
      <c r="H208" s="30" t="s">
        <v>165</v>
      </c>
      <c r="I208" s="29" t="s">
        <v>925</v>
      </c>
      <c r="J208" s="29">
        <v>99</v>
      </c>
      <c r="K208" s="29" t="s">
        <v>378</v>
      </c>
      <c r="L208" s="29"/>
      <c r="M208" s="30"/>
      <c r="N208" s="30" t="s">
        <v>893</v>
      </c>
      <c r="O208" s="31">
        <v>1</v>
      </c>
      <c r="P208" s="31">
        <v>1</v>
      </c>
      <c r="Q208" s="30"/>
      <c r="S208" s="2">
        <f t="shared" si="53"/>
        <v>0</v>
      </c>
      <c r="T208" s="2">
        <f t="shared" si="54"/>
        <v>0</v>
      </c>
      <c r="U208" s="2">
        <f t="shared" si="55"/>
        <v>0</v>
      </c>
      <c r="V208" s="2">
        <f t="shared" si="56"/>
        <v>0</v>
      </c>
      <c r="W208" s="2">
        <f t="shared" si="57"/>
        <v>0</v>
      </c>
      <c r="X208" s="2">
        <f t="shared" si="58"/>
        <v>0</v>
      </c>
      <c r="Y208" s="2">
        <f t="shared" si="59"/>
        <v>0</v>
      </c>
      <c r="Z208" s="2">
        <f t="shared" si="60"/>
        <v>0</v>
      </c>
      <c r="AA208" s="2">
        <f t="shared" si="61"/>
        <v>0</v>
      </c>
      <c r="AB208" s="2">
        <f t="shared" si="62"/>
        <v>0</v>
      </c>
      <c r="AD208" s="2">
        <f t="shared" si="63"/>
        <v>1</v>
      </c>
      <c r="AE208" s="2">
        <f t="shared" si="64"/>
        <v>0</v>
      </c>
      <c r="AF208" s="2">
        <f t="shared" si="65"/>
        <v>1</v>
      </c>
      <c r="AG208" s="2">
        <f t="shared" si="66"/>
        <v>0</v>
      </c>
      <c r="AH208" s="2">
        <f t="shared" si="67"/>
        <v>1</v>
      </c>
      <c r="AI208" s="2">
        <f t="shared" si="68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899</v>
      </c>
      <c r="O209" s="31">
        <v>1</v>
      </c>
      <c r="P209" s="31"/>
      <c r="Q209" s="30"/>
      <c r="S209" s="2">
        <f t="shared" si="53"/>
        <v>0</v>
      </c>
      <c r="T209" s="2">
        <f t="shared" si="54"/>
        <v>0</v>
      </c>
      <c r="U209" s="2">
        <f t="shared" si="55"/>
        <v>0</v>
      </c>
      <c r="V209" s="2">
        <f t="shared" si="56"/>
        <v>0</v>
      </c>
      <c r="W209" s="2">
        <f t="shared" si="57"/>
        <v>0</v>
      </c>
      <c r="X209" s="2">
        <f t="shared" si="58"/>
        <v>0</v>
      </c>
      <c r="Y209" s="2">
        <f t="shared" si="59"/>
        <v>1</v>
      </c>
      <c r="Z209" s="2">
        <f t="shared" si="60"/>
        <v>0</v>
      </c>
      <c r="AA209" s="2">
        <f t="shared" si="61"/>
        <v>0</v>
      </c>
      <c r="AB209" s="2">
        <f t="shared" si="62"/>
        <v>0</v>
      </c>
      <c r="AD209" s="2">
        <f t="shared" si="63"/>
        <v>0</v>
      </c>
      <c r="AE209" s="2">
        <f t="shared" si="64"/>
        <v>1</v>
      </c>
      <c r="AF209" s="2">
        <f t="shared" si="65"/>
        <v>0</v>
      </c>
      <c r="AG209" s="2">
        <f t="shared" si="66"/>
        <v>1</v>
      </c>
      <c r="AH209" s="2">
        <f t="shared" si="67"/>
        <v>0</v>
      </c>
      <c r="AI209" s="2">
        <f t="shared" si="68"/>
        <v>1</v>
      </c>
    </row>
    <row r="210" spans="1:35" ht="14.25" customHeight="1" x14ac:dyDescent="0.25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929</v>
      </c>
      <c r="O210" s="34"/>
      <c r="P210" s="34"/>
      <c r="Q210" s="33"/>
      <c r="S210" s="2">
        <f t="shared" si="53"/>
        <v>1</v>
      </c>
      <c r="T210" s="2">
        <f t="shared" si="54"/>
        <v>0</v>
      </c>
      <c r="U210" s="2">
        <f t="shared" si="55"/>
        <v>0</v>
      </c>
      <c r="V210" s="2">
        <f t="shared" si="56"/>
        <v>0</v>
      </c>
      <c r="W210" s="2">
        <f t="shared" si="57"/>
        <v>0</v>
      </c>
      <c r="X210" s="2">
        <f t="shared" si="58"/>
        <v>0</v>
      </c>
      <c r="Y210" s="2">
        <f t="shared" si="59"/>
        <v>0</v>
      </c>
      <c r="Z210" s="2">
        <f t="shared" si="60"/>
        <v>0</v>
      </c>
      <c r="AA210" s="2">
        <f t="shared" si="61"/>
        <v>0</v>
      </c>
      <c r="AB210" s="2">
        <f t="shared" si="62"/>
        <v>0</v>
      </c>
      <c r="AD210" s="2">
        <f t="shared" si="63"/>
        <v>0</v>
      </c>
      <c r="AE210" s="2">
        <f t="shared" si="64"/>
        <v>0</v>
      </c>
      <c r="AF210" s="2">
        <f t="shared" si="65"/>
        <v>0</v>
      </c>
      <c r="AG210" s="2">
        <f t="shared" si="66"/>
        <v>0</v>
      </c>
      <c r="AH210" s="2">
        <f t="shared" si="67"/>
        <v>0</v>
      </c>
      <c r="AI210" s="2">
        <f t="shared" si="68"/>
        <v>1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893</v>
      </c>
      <c r="O211" s="31">
        <v>1</v>
      </c>
      <c r="P211" s="31">
        <v>1</v>
      </c>
      <c r="Q211" s="30"/>
      <c r="S211" s="2">
        <f t="shared" si="53"/>
        <v>0</v>
      </c>
      <c r="T211" s="2">
        <f t="shared" si="54"/>
        <v>0</v>
      </c>
      <c r="U211" s="2">
        <f t="shared" si="55"/>
        <v>0</v>
      </c>
      <c r="V211" s="2">
        <f t="shared" si="56"/>
        <v>0</v>
      </c>
      <c r="W211" s="2">
        <f t="shared" si="57"/>
        <v>0</v>
      </c>
      <c r="X211" s="2">
        <f t="shared" si="58"/>
        <v>1</v>
      </c>
      <c r="Y211" s="2">
        <f t="shared" si="59"/>
        <v>0</v>
      </c>
      <c r="Z211" s="2">
        <f t="shared" si="60"/>
        <v>0</v>
      </c>
      <c r="AA211" s="2">
        <f t="shared" si="61"/>
        <v>0</v>
      </c>
      <c r="AB211" s="2">
        <f t="shared" si="62"/>
        <v>0</v>
      </c>
      <c r="AD211" s="2">
        <f t="shared" si="63"/>
        <v>1</v>
      </c>
      <c r="AE211" s="2">
        <f t="shared" si="64"/>
        <v>0</v>
      </c>
      <c r="AF211" s="2">
        <f t="shared" si="65"/>
        <v>1</v>
      </c>
      <c r="AG211" s="2">
        <f t="shared" si="66"/>
        <v>0</v>
      </c>
      <c r="AH211" s="2">
        <f t="shared" si="67"/>
        <v>1</v>
      </c>
      <c r="AI211" s="2">
        <f t="shared" si="68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893</v>
      </c>
      <c r="O212" s="31">
        <v>1</v>
      </c>
      <c r="P212" s="31">
        <v>1</v>
      </c>
      <c r="Q212" s="30"/>
      <c r="S212" s="2">
        <f t="shared" si="53"/>
        <v>0</v>
      </c>
      <c r="T212" s="2">
        <f t="shared" si="54"/>
        <v>0</v>
      </c>
      <c r="U212" s="2">
        <f t="shared" si="55"/>
        <v>0</v>
      </c>
      <c r="V212" s="2">
        <f t="shared" si="56"/>
        <v>0</v>
      </c>
      <c r="W212" s="2">
        <f t="shared" si="57"/>
        <v>0</v>
      </c>
      <c r="X212" s="2">
        <f t="shared" si="58"/>
        <v>0</v>
      </c>
      <c r="Y212" s="2">
        <f t="shared" si="59"/>
        <v>0</v>
      </c>
      <c r="Z212" s="2">
        <f t="shared" si="60"/>
        <v>0</v>
      </c>
      <c r="AA212" s="2">
        <f t="shared" si="61"/>
        <v>0</v>
      </c>
      <c r="AB212" s="2">
        <f t="shared" si="62"/>
        <v>0</v>
      </c>
      <c r="AD212" s="2">
        <f t="shared" si="63"/>
        <v>1</v>
      </c>
      <c r="AE212" s="2">
        <f t="shared" si="64"/>
        <v>0</v>
      </c>
      <c r="AF212" s="2">
        <f t="shared" si="65"/>
        <v>1</v>
      </c>
      <c r="AG212" s="2">
        <f t="shared" si="66"/>
        <v>0</v>
      </c>
      <c r="AH212" s="2">
        <f t="shared" si="67"/>
        <v>1</v>
      </c>
      <c r="AI212" s="2">
        <f t="shared" si="68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930</v>
      </c>
      <c r="O213" s="31">
        <v>1</v>
      </c>
      <c r="P213" s="31"/>
      <c r="Q213" s="30"/>
      <c r="S213" s="2">
        <f t="shared" si="53"/>
        <v>0</v>
      </c>
      <c r="T213" s="2">
        <f t="shared" si="54"/>
        <v>0</v>
      </c>
      <c r="U213" s="2">
        <f t="shared" si="55"/>
        <v>0</v>
      </c>
      <c r="V213" s="2">
        <f t="shared" si="56"/>
        <v>0</v>
      </c>
      <c r="W213" s="2">
        <f t="shared" si="57"/>
        <v>0</v>
      </c>
      <c r="X213" s="2">
        <f t="shared" si="58"/>
        <v>0</v>
      </c>
      <c r="Y213" s="2">
        <f t="shared" si="59"/>
        <v>0</v>
      </c>
      <c r="Z213" s="2">
        <f t="shared" si="60"/>
        <v>0</v>
      </c>
      <c r="AA213" s="2">
        <f t="shared" si="61"/>
        <v>0</v>
      </c>
      <c r="AB213" s="2">
        <f t="shared" si="62"/>
        <v>0</v>
      </c>
      <c r="AD213" s="2">
        <f t="shared" si="63"/>
        <v>0</v>
      </c>
      <c r="AE213" s="2">
        <f t="shared" si="64"/>
        <v>1</v>
      </c>
      <c r="AF213" s="2">
        <f t="shared" si="65"/>
        <v>0</v>
      </c>
      <c r="AG213" s="2">
        <f t="shared" si="66"/>
        <v>1</v>
      </c>
      <c r="AH213" s="2">
        <f t="shared" si="67"/>
        <v>0</v>
      </c>
      <c r="AI213" s="2">
        <f t="shared" si="68"/>
        <v>1</v>
      </c>
    </row>
    <row r="214" spans="1:35" ht="14.25" customHeight="1" x14ac:dyDescent="0.25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930</v>
      </c>
      <c r="O214" s="31">
        <v>1</v>
      </c>
      <c r="P214" s="31"/>
      <c r="Q214" s="30"/>
      <c r="S214" s="2">
        <f t="shared" si="53"/>
        <v>0</v>
      </c>
      <c r="T214" s="2">
        <f t="shared" si="54"/>
        <v>0</v>
      </c>
      <c r="U214" s="2">
        <f t="shared" si="55"/>
        <v>0</v>
      </c>
      <c r="V214" s="2">
        <f t="shared" si="56"/>
        <v>0</v>
      </c>
      <c r="W214" s="2">
        <f t="shared" si="57"/>
        <v>0</v>
      </c>
      <c r="X214" s="2">
        <f t="shared" si="58"/>
        <v>0</v>
      </c>
      <c r="Y214" s="2">
        <f t="shared" si="59"/>
        <v>0</v>
      </c>
      <c r="Z214" s="2">
        <f t="shared" si="60"/>
        <v>0</v>
      </c>
      <c r="AA214" s="2">
        <f t="shared" si="61"/>
        <v>0</v>
      </c>
      <c r="AB214" s="2">
        <f t="shared" si="62"/>
        <v>0</v>
      </c>
      <c r="AD214" s="2">
        <f t="shared" si="63"/>
        <v>0</v>
      </c>
      <c r="AE214" s="2">
        <f t="shared" si="64"/>
        <v>1</v>
      </c>
      <c r="AF214" s="2">
        <f t="shared" si="65"/>
        <v>0</v>
      </c>
      <c r="AG214" s="2">
        <f t="shared" si="66"/>
        <v>0</v>
      </c>
      <c r="AH214" s="2">
        <f t="shared" si="67"/>
        <v>0</v>
      </c>
      <c r="AI214" s="2">
        <f t="shared" si="68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930</v>
      </c>
      <c r="O215" s="31">
        <v>1</v>
      </c>
      <c r="P215" s="31"/>
      <c r="Q215" s="30"/>
      <c r="S215" s="2">
        <f t="shared" si="53"/>
        <v>0</v>
      </c>
      <c r="T215" s="2">
        <f t="shared" si="54"/>
        <v>0</v>
      </c>
      <c r="U215" s="2">
        <f t="shared" si="55"/>
        <v>1</v>
      </c>
      <c r="V215" s="2">
        <f t="shared" si="56"/>
        <v>0</v>
      </c>
      <c r="W215" s="2">
        <f t="shared" si="57"/>
        <v>0</v>
      </c>
      <c r="X215" s="2">
        <f t="shared" si="58"/>
        <v>0</v>
      </c>
      <c r="Y215" s="2">
        <f t="shared" si="59"/>
        <v>0</v>
      </c>
      <c r="Z215" s="2">
        <f t="shared" si="60"/>
        <v>0</v>
      </c>
      <c r="AA215" s="2">
        <f t="shared" si="61"/>
        <v>0</v>
      </c>
      <c r="AB215" s="2">
        <f t="shared" si="62"/>
        <v>0</v>
      </c>
      <c r="AD215" s="2">
        <f t="shared" si="63"/>
        <v>0</v>
      </c>
      <c r="AE215" s="2">
        <f t="shared" si="64"/>
        <v>1</v>
      </c>
      <c r="AF215" s="2">
        <f t="shared" si="65"/>
        <v>0</v>
      </c>
      <c r="AG215" s="2">
        <f t="shared" si="66"/>
        <v>1</v>
      </c>
      <c r="AH215" s="2">
        <f t="shared" si="67"/>
        <v>0</v>
      </c>
      <c r="AI215" s="2">
        <f t="shared" si="68"/>
        <v>1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820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935</v>
      </c>
      <c r="O216" s="31">
        <v>1</v>
      </c>
      <c r="P216" s="31"/>
      <c r="Q216" s="30"/>
      <c r="S216" s="2">
        <f t="shared" si="53"/>
        <v>0</v>
      </c>
      <c r="T216" s="2">
        <f t="shared" si="54"/>
        <v>0</v>
      </c>
      <c r="U216" s="2">
        <f t="shared" si="55"/>
        <v>0</v>
      </c>
      <c r="V216" s="2">
        <f t="shared" si="56"/>
        <v>0</v>
      </c>
      <c r="W216" s="2">
        <f t="shared" si="57"/>
        <v>0</v>
      </c>
      <c r="X216" s="2">
        <f t="shared" si="58"/>
        <v>0</v>
      </c>
      <c r="Y216" s="2">
        <f t="shared" si="59"/>
        <v>0</v>
      </c>
      <c r="Z216" s="2">
        <f t="shared" si="60"/>
        <v>0</v>
      </c>
      <c r="AA216" s="2">
        <f t="shared" si="61"/>
        <v>0</v>
      </c>
      <c r="AB216" s="2">
        <f t="shared" si="62"/>
        <v>0</v>
      </c>
      <c r="AD216" s="2">
        <f t="shared" si="63"/>
        <v>0</v>
      </c>
      <c r="AE216" s="2">
        <f t="shared" si="64"/>
        <v>1</v>
      </c>
      <c r="AF216" s="2">
        <f t="shared" si="65"/>
        <v>0</v>
      </c>
      <c r="AG216" s="2">
        <f t="shared" si="66"/>
        <v>1</v>
      </c>
      <c r="AH216" s="2">
        <f t="shared" si="67"/>
        <v>0</v>
      </c>
      <c r="AI216" s="2">
        <f t="shared" si="68"/>
        <v>1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906</v>
      </c>
      <c r="O217" s="31">
        <v>1</v>
      </c>
      <c r="P217" s="31"/>
      <c r="Q217" s="30"/>
      <c r="S217" s="2">
        <f t="shared" si="53"/>
        <v>0</v>
      </c>
      <c r="T217" s="2">
        <f t="shared" si="54"/>
        <v>0</v>
      </c>
      <c r="U217" s="2">
        <f t="shared" si="55"/>
        <v>0</v>
      </c>
      <c r="V217" s="2">
        <f t="shared" si="56"/>
        <v>0</v>
      </c>
      <c r="W217" s="2">
        <f t="shared" si="57"/>
        <v>0</v>
      </c>
      <c r="X217" s="2">
        <f t="shared" si="58"/>
        <v>1</v>
      </c>
      <c r="Y217" s="2">
        <f t="shared" si="59"/>
        <v>0</v>
      </c>
      <c r="Z217" s="2">
        <f t="shared" si="60"/>
        <v>0</v>
      </c>
      <c r="AA217" s="2">
        <f t="shared" si="61"/>
        <v>0</v>
      </c>
      <c r="AB217" s="2">
        <f t="shared" si="62"/>
        <v>0</v>
      </c>
      <c r="AD217" s="2">
        <f t="shared" si="63"/>
        <v>0</v>
      </c>
      <c r="AE217" s="2">
        <f t="shared" si="64"/>
        <v>1</v>
      </c>
      <c r="AF217" s="2">
        <f t="shared" si="65"/>
        <v>0</v>
      </c>
      <c r="AG217" s="2">
        <f t="shared" si="66"/>
        <v>1</v>
      </c>
      <c r="AH217" s="2">
        <f t="shared" si="67"/>
        <v>0</v>
      </c>
      <c r="AI217" s="2">
        <f t="shared" si="68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906</v>
      </c>
      <c r="O218" s="31">
        <v>1</v>
      </c>
      <c r="P218" s="31"/>
      <c r="Q218" s="30"/>
      <c r="S218" s="2">
        <f t="shared" si="53"/>
        <v>0</v>
      </c>
      <c r="T218" s="2">
        <f t="shared" si="54"/>
        <v>0</v>
      </c>
      <c r="U218" s="2">
        <f t="shared" si="55"/>
        <v>0</v>
      </c>
      <c r="V218" s="2">
        <f t="shared" si="56"/>
        <v>1</v>
      </c>
      <c r="W218" s="2">
        <f t="shared" si="57"/>
        <v>0</v>
      </c>
      <c r="X218" s="2">
        <f t="shared" si="58"/>
        <v>0</v>
      </c>
      <c r="Y218" s="2">
        <f t="shared" si="59"/>
        <v>0</v>
      </c>
      <c r="Z218" s="2">
        <f t="shared" si="60"/>
        <v>0</v>
      </c>
      <c r="AA218" s="2">
        <f t="shared" si="61"/>
        <v>0</v>
      </c>
      <c r="AB218" s="2">
        <f t="shared" si="62"/>
        <v>0</v>
      </c>
      <c r="AD218" s="2">
        <f t="shared" si="63"/>
        <v>0</v>
      </c>
      <c r="AE218" s="2">
        <f t="shared" si="64"/>
        <v>1</v>
      </c>
      <c r="AF218" s="2">
        <f t="shared" si="65"/>
        <v>0</v>
      </c>
      <c r="AG218" s="2">
        <f t="shared" si="66"/>
        <v>0</v>
      </c>
      <c r="AH218" s="2">
        <f t="shared" si="67"/>
        <v>0</v>
      </c>
      <c r="AI218" s="2">
        <f t="shared" si="68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899</v>
      </c>
      <c r="O219" s="31">
        <v>1</v>
      </c>
      <c r="P219" s="31"/>
      <c r="Q219" s="30"/>
      <c r="S219" s="2">
        <f t="shared" si="53"/>
        <v>0</v>
      </c>
      <c r="T219" s="2">
        <f t="shared" si="54"/>
        <v>0</v>
      </c>
      <c r="U219" s="2">
        <f t="shared" si="55"/>
        <v>0</v>
      </c>
      <c r="V219" s="2">
        <f t="shared" si="56"/>
        <v>0</v>
      </c>
      <c r="W219" s="2">
        <f t="shared" si="57"/>
        <v>0</v>
      </c>
      <c r="X219" s="2">
        <f t="shared" si="58"/>
        <v>0</v>
      </c>
      <c r="Y219" s="2">
        <f t="shared" si="59"/>
        <v>0</v>
      </c>
      <c r="Z219" s="2">
        <f t="shared" si="60"/>
        <v>0</v>
      </c>
      <c r="AA219" s="2">
        <f t="shared" si="61"/>
        <v>0</v>
      </c>
      <c r="AB219" s="2">
        <f t="shared" si="62"/>
        <v>0</v>
      </c>
      <c r="AD219" s="2">
        <f t="shared" si="63"/>
        <v>0</v>
      </c>
      <c r="AE219" s="2">
        <f t="shared" si="64"/>
        <v>1</v>
      </c>
      <c r="AF219" s="2">
        <f t="shared" si="65"/>
        <v>0</v>
      </c>
      <c r="AG219" s="2">
        <f t="shared" si="66"/>
        <v>1</v>
      </c>
      <c r="AH219" s="2">
        <f t="shared" si="67"/>
        <v>0</v>
      </c>
      <c r="AI219" s="2">
        <f t="shared" si="68"/>
        <v>1</v>
      </c>
    </row>
    <row r="220" spans="1:35" ht="14.25" customHeight="1" x14ac:dyDescent="0.25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842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929</v>
      </c>
      <c r="O220" s="34"/>
      <c r="P220" s="34"/>
      <c r="Q220" s="33"/>
      <c r="S220" s="2">
        <f t="shared" si="53"/>
        <v>0</v>
      </c>
      <c r="T220" s="2">
        <f t="shared" si="54"/>
        <v>0</v>
      </c>
      <c r="U220" s="2">
        <f t="shared" si="55"/>
        <v>1</v>
      </c>
      <c r="V220" s="2">
        <f t="shared" si="56"/>
        <v>0</v>
      </c>
      <c r="W220" s="2">
        <f t="shared" si="57"/>
        <v>0</v>
      </c>
      <c r="X220" s="2">
        <f t="shared" si="58"/>
        <v>0</v>
      </c>
      <c r="Y220" s="2">
        <f t="shared" si="59"/>
        <v>0</v>
      </c>
      <c r="Z220" s="2">
        <f t="shared" si="60"/>
        <v>0</v>
      </c>
      <c r="AA220" s="2">
        <f t="shared" si="61"/>
        <v>0</v>
      </c>
      <c r="AB220" s="2">
        <f t="shared" si="62"/>
        <v>0</v>
      </c>
      <c r="AD220" s="2">
        <f t="shared" si="63"/>
        <v>0</v>
      </c>
      <c r="AE220" s="2">
        <f t="shared" si="64"/>
        <v>0</v>
      </c>
      <c r="AF220" s="2">
        <f t="shared" si="65"/>
        <v>0</v>
      </c>
      <c r="AG220" s="2">
        <f t="shared" si="66"/>
        <v>0</v>
      </c>
      <c r="AH220" s="2">
        <f t="shared" si="67"/>
        <v>0</v>
      </c>
      <c r="AI220" s="2">
        <f t="shared" si="68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843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935</v>
      </c>
      <c r="O221" s="31">
        <v>1</v>
      </c>
      <c r="P221" s="31"/>
      <c r="Q221" s="30"/>
      <c r="S221" s="2">
        <f t="shared" si="53"/>
        <v>0</v>
      </c>
      <c r="T221" s="2">
        <f t="shared" si="54"/>
        <v>0</v>
      </c>
      <c r="U221" s="2">
        <f t="shared" si="55"/>
        <v>0</v>
      </c>
      <c r="V221" s="2">
        <f t="shared" si="56"/>
        <v>0</v>
      </c>
      <c r="W221" s="2">
        <f t="shared" si="57"/>
        <v>0</v>
      </c>
      <c r="X221" s="2">
        <f t="shared" si="58"/>
        <v>1</v>
      </c>
      <c r="Y221" s="2">
        <f t="shared" si="59"/>
        <v>0</v>
      </c>
      <c r="Z221" s="2">
        <f t="shared" si="60"/>
        <v>0</v>
      </c>
      <c r="AA221" s="2">
        <f t="shared" si="61"/>
        <v>0</v>
      </c>
      <c r="AB221" s="2">
        <f t="shared" si="62"/>
        <v>0</v>
      </c>
      <c r="AD221" s="2">
        <f t="shared" si="63"/>
        <v>0</v>
      </c>
      <c r="AE221" s="2">
        <f t="shared" si="64"/>
        <v>1</v>
      </c>
      <c r="AF221" s="2">
        <f t="shared" si="65"/>
        <v>0</v>
      </c>
      <c r="AG221" s="2">
        <f t="shared" si="66"/>
        <v>1</v>
      </c>
      <c r="AH221" s="2">
        <f t="shared" si="67"/>
        <v>0</v>
      </c>
      <c r="AI221" s="2">
        <f t="shared" si="68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929</v>
      </c>
      <c r="O222" s="34"/>
      <c r="P222" s="34"/>
      <c r="Q222" s="33"/>
      <c r="S222" s="2">
        <f t="shared" si="53"/>
        <v>0</v>
      </c>
      <c r="T222" s="2">
        <f t="shared" si="54"/>
        <v>0</v>
      </c>
      <c r="U222" s="2">
        <f t="shared" si="55"/>
        <v>0</v>
      </c>
      <c r="V222" s="2">
        <f t="shared" si="56"/>
        <v>0</v>
      </c>
      <c r="W222" s="2">
        <f t="shared" si="57"/>
        <v>0</v>
      </c>
      <c r="X222" s="2">
        <f t="shared" si="58"/>
        <v>1</v>
      </c>
      <c r="Y222" s="2">
        <f t="shared" si="59"/>
        <v>0</v>
      </c>
      <c r="Z222" s="2">
        <f t="shared" si="60"/>
        <v>0</v>
      </c>
      <c r="AA222" s="2">
        <f t="shared" si="61"/>
        <v>0</v>
      </c>
      <c r="AB222" s="2">
        <f t="shared" si="62"/>
        <v>0</v>
      </c>
      <c r="AD222" s="2">
        <f t="shared" si="63"/>
        <v>0</v>
      </c>
      <c r="AE222" s="2">
        <f t="shared" si="64"/>
        <v>0</v>
      </c>
      <c r="AF222" s="2">
        <f t="shared" si="65"/>
        <v>0</v>
      </c>
      <c r="AG222" s="2">
        <f t="shared" si="66"/>
        <v>0</v>
      </c>
      <c r="AH222" s="2">
        <f t="shared" si="67"/>
        <v>0</v>
      </c>
      <c r="AI222" s="2">
        <f t="shared" si="68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935</v>
      </c>
      <c r="O223" s="31">
        <v>1</v>
      </c>
      <c r="P223" s="31"/>
      <c r="Q223" s="30"/>
      <c r="S223" s="2">
        <f t="shared" si="53"/>
        <v>0</v>
      </c>
      <c r="T223" s="2">
        <f t="shared" si="54"/>
        <v>0</v>
      </c>
      <c r="U223" s="2">
        <f t="shared" si="55"/>
        <v>0</v>
      </c>
      <c r="V223" s="2">
        <f t="shared" si="56"/>
        <v>0</v>
      </c>
      <c r="W223" s="2">
        <f t="shared" si="57"/>
        <v>0</v>
      </c>
      <c r="X223" s="2">
        <f t="shared" si="58"/>
        <v>0</v>
      </c>
      <c r="Y223" s="2">
        <f t="shared" si="59"/>
        <v>0</v>
      </c>
      <c r="Z223" s="2">
        <f t="shared" si="60"/>
        <v>0</v>
      </c>
      <c r="AA223" s="2">
        <f t="shared" si="61"/>
        <v>0</v>
      </c>
      <c r="AB223" s="2">
        <f t="shared" si="62"/>
        <v>0</v>
      </c>
      <c r="AD223" s="2">
        <f t="shared" si="63"/>
        <v>0</v>
      </c>
      <c r="AE223" s="2">
        <f t="shared" si="64"/>
        <v>1</v>
      </c>
      <c r="AF223" s="2">
        <f t="shared" si="65"/>
        <v>0</v>
      </c>
      <c r="AG223" s="2">
        <f t="shared" si="66"/>
        <v>1</v>
      </c>
      <c r="AH223" s="2">
        <f t="shared" si="67"/>
        <v>0</v>
      </c>
      <c r="AI223" s="2">
        <f t="shared" si="68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913</v>
      </c>
      <c r="O224" s="31">
        <v>1</v>
      </c>
      <c r="P224" s="31"/>
      <c r="Q224" s="30"/>
      <c r="S224" s="2">
        <f t="shared" si="53"/>
        <v>0</v>
      </c>
      <c r="T224" s="2">
        <f t="shared" si="54"/>
        <v>0</v>
      </c>
      <c r="U224" s="2">
        <f t="shared" si="55"/>
        <v>1</v>
      </c>
      <c r="V224" s="2">
        <f t="shared" si="56"/>
        <v>0</v>
      </c>
      <c r="W224" s="2">
        <f t="shared" si="57"/>
        <v>0</v>
      </c>
      <c r="X224" s="2">
        <f t="shared" si="58"/>
        <v>0</v>
      </c>
      <c r="Y224" s="2">
        <f t="shared" si="59"/>
        <v>0</v>
      </c>
      <c r="Z224" s="2">
        <f t="shared" si="60"/>
        <v>0</v>
      </c>
      <c r="AA224" s="2">
        <f t="shared" si="61"/>
        <v>0</v>
      </c>
      <c r="AB224" s="2">
        <f t="shared" si="62"/>
        <v>0</v>
      </c>
      <c r="AD224" s="2">
        <f t="shared" si="63"/>
        <v>0</v>
      </c>
      <c r="AE224" s="2">
        <f t="shared" si="64"/>
        <v>1</v>
      </c>
      <c r="AF224" s="2">
        <f t="shared" si="65"/>
        <v>0</v>
      </c>
      <c r="AG224" s="2">
        <f t="shared" si="66"/>
        <v>1</v>
      </c>
      <c r="AH224" s="2">
        <f t="shared" si="67"/>
        <v>0</v>
      </c>
      <c r="AI224" s="2">
        <f t="shared" si="68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917</v>
      </c>
      <c r="E225" s="30" t="s">
        <v>918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893</v>
      </c>
      <c r="O225" s="31">
        <v>1</v>
      </c>
      <c r="P225" s="31">
        <v>1</v>
      </c>
      <c r="Q225" s="30"/>
      <c r="S225" s="2">
        <f t="shared" si="53"/>
        <v>0</v>
      </c>
      <c r="T225" s="2">
        <f t="shared" si="54"/>
        <v>0</v>
      </c>
      <c r="U225" s="2">
        <f t="shared" si="55"/>
        <v>0</v>
      </c>
      <c r="V225" s="2">
        <f t="shared" si="56"/>
        <v>0</v>
      </c>
      <c r="W225" s="2">
        <f t="shared" si="57"/>
        <v>0</v>
      </c>
      <c r="X225" s="2">
        <f t="shared" si="58"/>
        <v>1</v>
      </c>
      <c r="Y225" s="2">
        <f t="shared" si="59"/>
        <v>0</v>
      </c>
      <c r="Z225" s="2">
        <f t="shared" si="60"/>
        <v>0</v>
      </c>
      <c r="AA225" s="2">
        <f t="shared" si="61"/>
        <v>0</v>
      </c>
      <c r="AB225" s="2">
        <f t="shared" si="62"/>
        <v>0</v>
      </c>
      <c r="AD225" s="2">
        <f t="shared" si="63"/>
        <v>1</v>
      </c>
      <c r="AE225" s="2">
        <f t="shared" si="64"/>
        <v>0</v>
      </c>
      <c r="AF225" s="2">
        <f t="shared" si="65"/>
        <v>1</v>
      </c>
      <c r="AG225" s="2">
        <f t="shared" si="66"/>
        <v>0</v>
      </c>
      <c r="AH225" s="2">
        <f t="shared" si="67"/>
        <v>1</v>
      </c>
      <c r="AI225" s="2">
        <f t="shared" si="68"/>
        <v>0</v>
      </c>
    </row>
    <row r="226" spans="1:35" ht="14.25" customHeight="1" x14ac:dyDescent="0.25">
      <c r="A226" s="29">
        <v>1</v>
      </c>
      <c r="B226" s="29">
        <v>2</v>
      </c>
      <c r="C226" s="29">
        <v>7</v>
      </c>
      <c r="D226" s="30" t="s">
        <v>917</v>
      </c>
      <c r="E226" s="30" t="s">
        <v>918</v>
      </c>
      <c r="F226" s="30" t="s">
        <v>919</v>
      </c>
      <c r="G226" s="30" t="s">
        <v>920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893</v>
      </c>
      <c r="O226" s="31">
        <v>1</v>
      </c>
      <c r="P226" s="31">
        <v>1</v>
      </c>
      <c r="Q226" s="30"/>
      <c r="S226" s="2">
        <f t="shared" si="53"/>
        <v>0</v>
      </c>
      <c r="T226" s="2">
        <f t="shared" si="54"/>
        <v>0</v>
      </c>
      <c r="U226" s="2">
        <f t="shared" si="55"/>
        <v>0</v>
      </c>
      <c r="V226" s="2">
        <f t="shared" si="56"/>
        <v>0</v>
      </c>
      <c r="W226" s="2">
        <f t="shared" si="57"/>
        <v>0</v>
      </c>
      <c r="X226" s="2">
        <f t="shared" si="58"/>
        <v>0</v>
      </c>
      <c r="Y226" s="2">
        <f t="shared" si="59"/>
        <v>0</v>
      </c>
      <c r="Z226" s="2">
        <f t="shared" si="60"/>
        <v>0</v>
      </c>
      <c r="AA226" s="2">
        <f t="shared" si="61"/>
        <v>0</v>
      </c>
      <c r="AB226" s="2">
        <f t="shared" si="62"/>
        <v>0</v>
      </c>
      <c r="AD226" s="2">
        <f t="shared" si="63"/>
        <v>1</v>
      </c>
      <c r="AE226" s="2">
        <f t="shared" si="64"/>
        <v>0</v>
      </c>
      <c r="AF226" s="2">
        <f t="shared" si="65"/>
        <v>0</v>
      </c>
      <c r="AG226" s="2">
        <f t="shared" si="66"/>
        <v>0</v>
      </c>
      <c r="AH226" s="2">
        <f t="shared" si="67"/>
        <v>0</v>
      </c>
      <c r="AI226" s="2">
        <f t="shared" si="68"/>
        <v>0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913</v>
      </c>
      <c r="O227" s="31">
        <v>1</v>
      </c>
      <c r="P227" s="31"/>
      <c r="Q227" s="30"/>
      <c r="S227" s="2">
        <f t="shared" si="53"/>
        <v>0</v>
      </c>
      <c r="T227" s="2">
        <f t="shared" si="54"/>
        <v>0</v>
      </c>
      <c r="U227" s="2">
        <f t="shared" si="55"/>
        <v>0</v>
      </c>
      <c r="V227" s="2">
        <f t="shared" si="56"/>
        <v>0</v>
      </c>
      <c r="W227" s="2">
        <f t="shared" si="57"/>
        <v>0</v>
      </c>
      <c r="X227" s="2">
        <f t="shared" si="58"/>
        <v>0</v>
      </c>
      <c r="Y227" s="2">
        <f t="shared" si="59"/>
        <v>0</v>
      </c>
      <c r="Z227" s="2">
        <f t="shared" si="60"/>
        <v>0</v>
      </c>
      <c r="AA227" s="2">
        <f t="shared" si="61"/>
        <v>1</v>
      </c>
      <c r="AB227" s="2">
        <f t="shared" si="62"/>
        <v>0</v>
      </c>
      <c r="AD227" s="2">
        <f t="shared" si="63"/>
        <v>0</v>
      </c>
      <c r="AE227" s="2">
        <f t="shared" si="64"/>
        <v>1</v>
      </c>
      <c r="AF227" s="2">
        <f t="shared" si="65"/>
        <v>0</v>
      </c>
      <c r="AG227" s="2">
        <f t="shared" si="66"/>
        <v>1</v>
      </c>
      <c r="AH227" s="2">
        <f t="shared" si="67"/>
        <v>0</v>
      </c>
      <c r="AI227" s="2">
        <f t="shared" si="68"/>
        <v>1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913</v>
      </c>
      <c r="O228" s="31">
        <v>1</v>
      </c>
      <c r="P228" s="31"/>
      <c r="Q228" s="30" t="s">
        <v>958</v>
      </c>
      <c r="S228" s="2">
        <f t="shared" si="53"/>
        <v>0</v>
      </c>
      <c r="T228" s="2">
        <f t="shared" si="54"/>
        <v>0</v>
      </c>
      <c r="U228" s="2">
        <f t="shared" si="55"/>
        <v>0</v>
      </c>
      <c r="V228" s="2">
        <f t="shared" si="56"/>
        <v>0</v>
      </c>
      <c r="W228" s="2">
        <f t="shared" si="57"/>
        <v>0</v>
      </c>
      <c r="X228" s="2">
        <f t="shared" si="58"/>
        <v>0</v>
      </c>
      <c r="Y228" s="2">
        <f t="shared" si="59"/>
        <v>0</v>
      </c>
      <c r="Z228" s="2">
        <f t="shared" si="60"/>
        <v>0</v>
      </c>
      <c r="AA228" s="2">
        <f t="shared" si="61"/>
        <v>1</v>
      </c>
      <c r="AB228" s="2">
        <f t="shared" si="62"/>
        <v>0</v>
      </c>
      <c r="AD228" s="2">
        <f t="shared" si="63"/>
        <v>0</v>
      </c>
      <c r="AE228" s="2">
        <f t="shared" si="64"/>
        <v>1</v>
      </c>
      <c r="AF228" s="2">
        <f t="shared" si="65"/>
        <v>0</v>
      </c>
      <c r="AG228" s="2">
        <f t="shared" si="66"/>
        <v>0</v>
      </c>
      <c r="AH228" s="2">
        <f t="shared" si="67"/>
        <v>0</v>
      </c>
      <c r="AI228" s="2">
        <f t="shared" si="68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935</v>
      </c>
      <c r="O229" s="31">
        <v>1</v>
      </c>
      <c r="P229" s="31"/>
      <c r="Q229" s="30"/>
      <c r="S229" s="2">
        <f t="shared" si="53"/>
        <v>0</v>
      </c>
      <c r="T229" s="2">
        <f t="shared" si="54"/>
        <v>0</v>
      </c>
      <c r="U229" s="2">
        <f t="shared" si="55"/>
        <v>0</v>
      </c>
      <c r="V229" s="2">
        <f t="shared" si="56"/>
        <v>0</v>
      </c>
      <c r="W229" s="2">
        <f t="shared" si="57"/>
        <v>0</v>
      </c>
      <c r="X229" s="2">
        <f t="shared" si="58"/>
        <v>1</v>
      </c>
      <c r="Y229" s="2">
        <f t="shared" si="59"/>
        <v>0</v>
      </c>
      <c r="Z229" s="2">
        <f t="shared" si="60"/>
        <v>0</v>
      </c>
      <c r="AA229" s="2">
        <f t="shared" si="61"/>
        <v>0</v>
      </c>
      <c r="AB229" s="2">
        <f t="shared" si="62"/>
        <v>0</v>
      </c>
      <c r="AD229" s="2">
        <f t="shared" si="63"/>
        <v>0</v>
      </c>
      <c r="AE229" s="2">
        <f t="shared" si="64"/>
        <v>1</v>
      </c>
      <c r="AF229" s="2">
        <f t="shared" si="65"/>
        <v>0</v>
      </c>
      <c r="AG229" s="2">
        <f t="shared" si="66"/>
        <v>1</v>
      </c>
      <c r="AH229" s="2">
        <f t="shared" si="67"/>
        <v>0</v>
      </c>
      <c r="AI229" s="2">
        <f t="shared" si="68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935</v>
      </c>
      <c r="O230" s="31">
        <v>1</v>
      </c>
      <c r="P230" s="31"/>
      <c r="Q230" s="30"/>
      <c r="S230" s="2">
        <f t="shared" si="53"/>
        <v>0</v>
      </c>
      <c r="T230" s="2">
        <f t="shared" si="54"/>
        <v>0</v>
      </c>
      <c r="U230" s="2">
        <f t="shared" si="55"/>
        <v>0</v>
      </c>
      <c r="V230" s="2">
        <f t="shared" si="56"/>
        <v>0</v>
      </c>
      <c r="W230" s="2">
        <f t="shared" si="57"/>
        <v>0</v>
      </c>
      <c r="X230" s="2">
        <f t="shared" si="58"/>
        <v>0</v>
      </c>
      <c r="Y230" s="2">
        <f t="shared" si="59"/>
        <v>1</v>
      </c>
      <c r="Z230" s="2">
        <f t="shared" si="60"/>
        <v>0</v>
      </c>
      <c r="AA230" s="2">
        <f t="shared" si="61"/>
        <v>0</v>
      </c>
      <c r="AB230" s="2">
        <f t="shared" si="62"/>
        <v>0</v>
      </c>
      <c r="AD230" s="2">
        <f t="shared" si="63"/>
        <v>0</v>
      </c>
      <c r="AE230" s="2">
        <f t="shared" si="64"/>
        <v>1</v>
      </c>
      <c r="AF230" s="2">
        <f t="shared" si="65"/>
        <v>0</v>
      </c>
      <c r="AG230" s="2">
        <f t="shared" si="66"/>
        <v>0</v>
      </c>
      <c r="AH230" s="2">
        <f t="shared" si="67"/>
        <v>0</v>
      </c>
      <c r="AI230" s="2">
        <f t="shared" si="68"/>
        <v>0</v>
      </c>
    </row>
    <row r="231" spans="1:35" ht="14.25" customHeight="1" x14ac:dyDescent="0.25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935</v>
      </c>
      <c r="O231" s="31">
        <v>1</v>
      </c>
      <c r="P231" s="31"/>
      <c r="Q231" s="30"/>
      <c r="S231" s="2">
        <f t="shared" si="53"/>
        <v>0</v>
      </c>
      <c r="T231" s="2">
        <f t="shared" si="54"/>
        <v>0</v>
      </c>
      <c r="U231" s="2">
        <f t="shared" si="55"/>
        <v>0</v>
      </c>
      <c r="V231" s="2">
        <f t="shared" si="56"/>
        <v>0</v>
      </c>
      <c r="W231" s="2">
        <f t="shared" si="57"/>
        <v>0</v>
      </c>
      <c r="X231" s="2">
        <f t="shared" si="58"/>
        <v>0</v>
      </c>
      <c r="Y231" s="2">
        <f t="shared" si="59"/>
        <v>0</v>
      </c>
      <c r="Z231" s="2">
        <f t="shared" si="60"/>
        <v>0</v>
      </c>
      <c r="AA231" s="2">
        <f t="shared" si="61"/>
        <v>0</v>
      </c>
      <c r="AB231" s="2">
        <f t="shared" si="62"/>
        <v>0</v>
      </c>
      <c r="AD231" s="2">
        <f t="shared" si="63"/>
        <v>0</v>
      </c>
      <c r="AE231" s="2">
        <f t="shared" si="64"/>
        <v>1</v>
      </c>
      <c r="AF231" s="2">
        <f t="shared" si="65"/>
        <v>0</v>
      </c>
      <c r="AG231" s="2">
        <f t="shared" si="66"/>
        <v>0</v>
      </c>
      <c r="AH231" s="2">
        <f t="shared" si="67"/>
        <v>0</v>
      </c>
      <c r="AI231" s="2">
        <f t="shared" si="68"/>
        <v>0</v>
      </c>
    </row>
    <row r="232" spans="1:35" ht="14.25" customHeight="1" x14ac:dyDescent="0.25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911</v>
      </c>
      <c r="O232" s="31">
        <v>1</v>
      </c>
      <c r="P232" s="31"/>
      <c r="Q232" s="30"/>
      <c r="S232" s="2">
        <f t="shared" si="53"/>
        <v>0</v>
      </c>
      <c r="T232" s="2">
        <f t="shared" si="54"/>
        <v>0</v>
      </c>
      <c r="U232" s="2">
        <f t="shared" si="55"/>
        <v>0</v>
      </c>
      <c r="V232" s="2">
        <f t="shared" si="56"/>
        <v>0</v>
      </c>
      <c r="W232" s="2">
        <f t="shared" si="57"/>
        <v>0</v>
      </c>
      <c r="X232" s="2">
        <f t="shared" si="58"/>
        <v>0</v>
      </c>
      <c r="Y232" s="2">
        <f t="shared" si="59"/>
        <v>0</v>
      </c>
      <c r="Z232" s="2">
        <f t="shared" si="60"/>
        <v>0</v>
      </c>
      <c r="AA232" s="2">
        <f t="shared" si="61"/>
        <v>0</v>
      </c>
      <c r="AB232" s="2">
        <f t="shared" si="62"/>
        <v>0</v>
      </c>
      <c r="AD232" s="2">
        <f t="shared" si="63"/>
        <v>0</v>
      </c>
      <c r="AE232" s="2">
        <f t="shared" si="64"/>
        <v>1</v>
      </c>
      <c r="AF232" s="2">
        <f t="shared" si="65"/>
        <v>0</v>
      </c>
      <c r="AG232" s="2">
        <f t="shared" si="66"/>
        <v>1</v>
      </c>
      <c r="AH232" s="2">
        <f t="shared" si="67"/>
        <v>0</v>
      </c>
      <c r="AI232" s="2">
        <f t="shared" si="68"/>
        <v>1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911</v>
      </c>
      <c r="O233" s="31">
        <v>1</v>
      </c>
      <c r="P233" s="31"/>
      <c r="Q233" s="30"/>
      <c r="S233" s="2">
        <f t="shared" si="53"/>
        <v>0</v>
      </c>
      <c r="T233" s="2">
        <f t="shared" si="54"/>
        <v>0</v>
      </c>
      <c r="U233" s="2">
        <f t="shared" si="55"/>
        <v>0</v>
      </c>
      <c r="V233" s="2">
        <f t="shared" si="56"/>
        <v>0</v>
      </c>
      <c r="W233" s="2">
        <f t="shared" si="57"/>
        <v>0</v>
      </c>
      <c r="X233" s="2">
        <f t="shared" si="58"/>
        <v>0</v>
      </c>
      <c r="Y233" s="2">
        <f t="shared" si="59"/>
        <v>0</v>
      </c>
      <c r="Z233" s="2">
        <f t="shared" si="60"/>
        <v>0</v>
      </c>
      <c r="AA233" s="2">
        <f t="shared" si="61"/>
        <v>0</v>
      </c>
      <c r="AB233" s="2">
        <f t="shared" si="62"/>
        <v>0</v>
      </c>
      <c r="AD233" s="2">
        <f t="shared" si="63"/>
        <v>0</v>
      </c>
      <c r="AE233" s="2">
        <f t="shared" si="64"/>
        <v>1</v>
      </c>
      <c r="AF233" s="2">
        <f t="shared" si="65"/>
        <v>0</v>
      </c>
      <c r="AG233" s="2">
        <f t="shared" si="66"/>
        <v>0</v>
      </c>
      <c r="AH233" s="2">
        <f t="shared" si="67"/>
        <v>0</v>
      </c>
      <c r="AI233" s="2">
        <f t="shared" si="68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913</v>
      </c>
      <c r="O234" s="31">
        <v>1</v>
      </c>
      <c r="P234" s="31"/>
      <c r="Q234" s="30"/>
      <c r="S234" s="2">
        <f t="shared" si="53"/>
        <v>0</v>
      </c>
      <c r="T234" s="2">
        <f t="shared" si="54"/>
        <v>0</v>
      </c>
      <c r="U234" s="2">
        <f t="shared" si="55"/>
        <v>0</v>
      </c>
      <c r="V234" s="2">
        <f t="shared" si="56"/>
        <v>0</v>
      </c>
      <c r="W234" s="2">
        <f t="shared" si="57"/>
        <v>1</v>
      </c>
      <c r="X234" s="2">
        <f t="shared" si="58"/>
        <v>0</v>
      </c>
      <c r="Y234" s="2">
        <f t="shared" si="59"/>
        <v>0</v>
      </c>
      <c r="Z234" s="2">
        <f t="shared" si="60"/>
        <v>0</v>
      </c>
      <c r="AA234" s="2">
        <f t="shared" si="61"/>
        <v>0</v>
      </c>
      <c r="AB234" s="2">
        <f t="shared" si="62"/>
        <v>0</v>
      </c>
      <c r="AD234" s="2">
        <f t="shared" si="63"/>
        <v>0</v>
      </c>
      <c r="AE234" s="2">
        <f t="shared" si="64"/>
        <v>1</v>
      </c>
      <c r="AF234" s="2">
        <f t="shared" si="65"/>
        <v>0</v>
      </c>
      <c r="AG234" s="2">
        <f t="shared" si="66"/>
        <v>1</v>
      </c>
      <c r="AH234" s="2">
        <f t="shared" si="67"/>
        <v>0</v>
      </c>
      <c r="AI234" s="2">
        <f t="shared" si="68"/>
        <v>1</v>
      </c>
    </row>
    <row r="235" spans="1:35" ht="14.25" customHeight="1" x14ac:dyDescent="0.25">
      <c r="A235" s="29">
        <v>0</v>
      </c>
      <c r="B235" s="29">
        <v>2</v>
      </c>
      <c r="C235" s="29">
        <v>7</v>
      </c>
      <c r="D235" s="30" t="s">
        <v>59</v>
      </c>
      <c r="E235" s="30" t="s">
        <v>87</v>
      </c>
      <c r="F235" s="30" t="s">
        <v>351</v>
      </c>
      <c r="G235" s="30" t="s">
        <v>103</v>
      </c>
      <c r="H235" s="30" t="s">
        <v>165</v>
      </c>
      <c r="I235" s="29" t="s">
        <v>350</v>
      </c>
      <c r="J235" s="29">
        <v>6</v>
      </c>
      <c r="K235" s="29" t="s">
        <v>320</v>
      </c>
      <c r="L235" s="29" t="s">
        <v>336</v>
      </c>
      <c r="M235" s="30" t="s">
        <v>275</v>
      </c>
      <c r="N235" s="30" t="s">
        <v>901</v>
      </c>
      <c r="O235" s="31">
        <v>1</v>
      </c>
      <c r="P235" s="31"/>
      <c r="Q235" s="30"/>
      <c r="S235" s="2">
        <f t="shared" si="53"/>
        <v>0</v>
      </c>
      <c r="T235" s="2">
        <f t="shared" si="54"/>
        <v>0</v>
      </c>
      <c r="U235" s="2">
        <f t="shared" si="55"/>
        <v>0</v>
      </c>
      <c r="V235" s="2">
        <f t="shared" si="56"/>
        <v>0</v>
      </c>
      <c r="W235" s="2">
        <f t="shared" si="57"/>
        <v>0</v>
      </c>
      <c r="X235" s="2">
        <f t="shared" si="58"/>
        <v>1</v>
      </c>
      <c r="Y235" s="2">
        <f t="shared" si="59"/>
        <v>0</v>
      </c>
      <c r="Z235" s="2">
        <f t="shared" si="60"/>
        <v>0</v>
      </c>
      <c r="AA235" s="2">
        <f t="shared" si="61"/>
        <v>0</v>
      </c>
      <c r="AB235" s="2">
        <f t="shared" si="62"/>
        <v>0</v>
      </c>
      <c r="AD235" s="2">
        <f t="shared" si="63"/>
        <v>0</v>
      </c>
      <c r="AE235" s="2">
        <f t="shared" si="64"/>
        <v>1</v>
      </c>
      <c r="AF235" s="2">
        <f t="shared" si="65"/>
        <v>0</v>
      </c>
      <c r="AG235" s="2">
        <f t="shared" si="66"/>
        <v>1</v>
      </c>
      <c r="AH235" s="2">
        <f t="shared" si="67"/>
        <v>0</v>
      </c>
      <c r="AI235" s="2">
        <f t="shared" si="68"/>
        <v>1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59</v>
      </c>
      <c r="E236" s="30" t="s">
        <v>87</v>
      </c>
      <c r="F236" s="30" t="s">
        <v>123</v>
      </c>
      <c r="G236" s="30" t="s">
        <v>124</v>
      </c>
      <c r="H236" s="30" t="s">
        <v>165</v>
      </c>
      <c r="I236" s="29" t="s">
        <v>180</v>
      </c>
      <c r="J236" s="29">
        <v>7</v>
      </c>
      <c r="K236" s="29" t="s">
        <v>320</v>
      </c>
      <c r="L236" s="29" t="s">
        <v>336</v>
      </c>
      <c r="M236" s="30" t="s">
        <v>275</v>
      </c>
      <c r="N236" s="30" t="s">
        <v>901</v>
      </c>
      <c r="O236" s="31">
        <v>1</v>
      </c>
      <c r="P236" s="31"/>
      <c r="Q236" s="30"/>
      <c r="S236" s="2">
        <f t="shared" si="53"/>
        <v>0</v>
      </c>
      <c r="T236" s="2">
        <f t="shared" si="54"/>
        <v>0</v>
      </c>
      <c r="U236" s="2">
        <f t="shared" si="55"/>
        <v>0</v>
      </c>
      <c r="V236" s="2">
        <f t="shared" si="56"/>
        <v>0</v>
      </c>
      <c r="W236" s="2">
        <f t="shared" si="57"/>
        <v>0</v>
      </c>
      <c r="X236" s="2">
        <f t="shared" si="58"/>
        <v>0</v>
      </c>
      <c r="Y236" s="2">
        <f t="shared" si="59"/>
        <v>1</v>
      </c>
      <c r="Z236" s="2">
        <f t="shared" si="60"/>
        <v>0</v>
      </c>
      <c r="AA236" s="2">
        <f t="shared" si="61"/>
        <v>0</v>
      </c>
      <c r="AB236" s="2">
        <f t="shared" si="62"/>
        <v>0</v>
      </c>
      <c r="AD236" s="2">
        <f t="shared" si="63"/>
        <v>0</v>
      </c>
      <c r="AE236" s="2">
        <f t="shared" si="64"/>
        <v>1</v>
      </c>
      <c r="AF236" s="2">
        <f t="shared" si="65"/>
        <v>0</v>
      </c>
      <c r="AG236" s="2">
        <f t="shared" si="66"/>
        <v>0</v>
      </c>
      <c r="AH236" s="2">
        <f t="shared" si="67"/>
        <v>0</v>
      </c>
      <c r="AI236" s="2">
        <f t="shared" si="68"/>
        <v>0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59</v>
      </c>
      <c r="E237" s="30" t="s">
        <v>87</v>
      </c>
      <c r="F237" s="30" t="s">
        <v>348</v>
      </c>
      <c r="G237" s="30" t="s">
        <v>93</v>
      </c>
      <c r="H237" s="30" t="s">
        <v>165</v>
      </c>
      <c r="I237" s="29" t="s">
        <v>349</v>
      </c>
      <c r="J237" s="29">
        <v>8</v>
      </c>
      <c r="K237" s="29" t="s">
        <v>320</v>
      </c>
      <c r="L237" s="29" t="s">
        <v>336</v>
      </c>
      <c r="M237" s="30" t="s">
        <v>275</v>
      </c>
      <c r="N237" s="30" t="s">
        <v>901</v>
      </c>
      <c r="O237" s="31">
        <v>1</v>
      </c>
      <c r="P237" s="31"/>
      <c r="Q237" s="30"/>
      <c r="S237" s="2">
        <f t="shared" si="53"/>
        <v>0</v>
      </c>
      <c r="T237" s="2">
        <f t="shared" si="54"/>
        <v>0</v>
      </c>
      <c r="U237" s="2">
        <f t="shared" si="55"/>
        <v>0</v>
      </c>
      <c r="V237" s="2">
        <f t="shared" si="56"/>
        <v>0</v>
      </c>
      <c r="W237" s="2">
        <f t="shared" si="57"/>
        <v>0</v>
      </c>
      <c r="X237" s="2">
        <f t="shared" si="58"/>
        <v>0</v>
      </c>
      <c r="Y237" s="2">
        <f t="shared" si="59"/>
        <v>0</v>
      </c>
      <c r="Z237" s="2">
        <f t="shared" si="60"/>
        <v>1</v>
      </c>
      <c r="AA237" s="2">
        <f t="shared" si="61"/>
        <v>0</v>
      </c>
      <c r="AB237" s="2">
        <f t="shared" si="62"/>
        <v>0</v>
      </c>
      <c r="AD237" s="2">
        <f t="shared" si="63"/>
        <v>0</v>
      </c>
      <c r="AE237" s="2">
        <f t="shared" si="64"/>
        <v>1</v>
      </c>
      <c r="AF237" s="2">
        <f t="shared" si="65"/>
        <v>0</v>
      </c>
      <c r="AG237" s="2">
        <f t="shared" si="66"/>
        <v>0</v>
      </c>
      <c r="AH237" s="2">
        <f t="shared" si="67"/>
        <v>0</v>
      </c>
      <c r="AI237" s="2">
        <f t="shared" si="68"/>
        <v>0</v>
      </c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s="3" customFormat="1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</row>
    <row r="241" spans="1:35" s="3" customFormat="1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</row>
    <row r="242" spans="1:35" s="3" customFormat="1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</row>
    <row r="243" spans="1:35" s="3" customFormat="1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</row>
    <row r="244" spans="1:35" s="3" customFormat="1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</row>
    <row r="245" spans="1:35" s="3" customFormat="1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</row>
    <row r="246" spans="1:35" s="3" customFormat="1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</row>
    <row r="247" spans="1:35" s="3" customFormat="1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</row>
    <row r="248" spans="1:35" s="3" customFormat="1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</row>
    <row r="249" spans="1:35" s="3" customFormat="1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</row>
    <row r="250" spans="1:35" s="3" customFormat="1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</row>
    <row r="251" spans="1:35" s="3" customFormat="1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</row>
    <row r="252" spans="1:35" s="3" customFormat="1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</row>
    <row r="253" spans="1:35" s="3" customFormat="1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</row>
    <row r="254" spans="1:35" s="3" customFormat="1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</row>
    <row r="255" spans="1:35" s="3" customFormat="1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</row>
    <row r="256" spans="1:35" s="3" customFormat="1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</row>
    <row r="257" spans="1:35" s="3" customFormat="1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</row>
    <row r="258" spans="1:35" s="3" customFormat="1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</row>
    <row r="259" spans="1:35" s="3" customFormat="1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</row>
    <row r="260" spans="1:35" s="3" customFormat="1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</row>
    <row r="261" spans="1:35" s="3" customFormat="1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</row>
    <row r="262" spans="1:35" s="3" customFormat="1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</row>
    <row r="263" spans="1:35" s="3" customFormat="1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</row>
    <row r="264" spans="1:35" s="3" customFormat="1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</row>
    <row r="265" spans="1:35" s="3" customFormat="1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</row>
    <row r="266" spans="1:35" s="3" customFormat="1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</row>
    <row r="267" spans="1:35" s="3" customFormat="1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</row>
    <row r="268" spans="1:35" s="3" customFormat="1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</row>
    <row r="269" spans="1:35" s="3" customFormat="1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</row>
    <row r="270" spans="1:35" s="3" customFormat="1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</row>
    <row r="271" spans="1:35" s="3" customFormat="1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</row>
    <row r="272" spans="1:35" s="3" customFormat="1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</row>
    <row r="273" spans="1:35" s="3" customFormat="1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</row>
    <row r="274" spans="1:35" s="3" customFormat="1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</row>
    <row r="275" spans="1:35" s="3" customFormat="1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</row>
    <row r="276" spans="1:35" s="3" customFormat="1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</row>
    <row r="277" spans="1:35" s="3" customFormat="1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</row>
    <row r="278" spans="1:35" s="3" customFormat="1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</row>
    <row r="279" spans="1:35" s="3" customFormat="1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</row>
    <row r="280" spans="1:35" s="3" customFormat="1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</row>
    <row r="281" spans="1:35" s="3" customFormat="1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</row>
    <row r="282" spans="1:35" s="3" customFormat="1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</row>
    <row r="283" spans="1:35" s="3" customFormat="1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</row>
    <row r="284" spans="1:35" s="3" customFormat="1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</row>
    <row r="285" spans="1:35" s="3" customFormat="1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</row>
    <row r="286" spans="1:35" s="3" customFormat="1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</row>
    <row r="287" spans="1:35" s="3" customFormat="1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</row>
    <row r="288" spans="1:35" s="3" customFormat="1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</row>
    <row r="289" spans="1:35" s="3" customFormat="1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</row>
    <row r="290" spans="1:35" s="3" customFormat="1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</row>
    <row r="291" spans="1:35" s="3" customFormat="1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</row>
    <row r="292" spans="1:35" s="3" customFormat="1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</row>
    <row r="293" spans="1:35" s="3" customFormat="1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</row>
    <row r="294" spans="1:35" s="3" customFormat="1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</row>
    <row r="295" spans="1:35" s="3" customFormat="1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</row>
    <row r="296" spans="1:35" s="3" customFormat="1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</row>
    <row r="297" spans="1:35" s="3" customFormat="1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</row>
    <row r="298" spans="1:35" s="3" customFormat="1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</row>
    <row r="299" spans="1:35" s="3" customFormat="1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</row>
    <row r="300" spans="1:35" s="3" customFormat="1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</row>
    <row r="301" spans="1:35" s="3" customFormat="1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</row>
    <row r="302" spans="1:35" s="3" customFormat="1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</row>
    <row r="303" spans="1:35" s="3" customFormat="1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</row>
    <row r="304" spans="1:35" s="3" customFormat="1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</row>
    <row r="305" spans="1:35" s="3" customFormat="1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</row>
    <row r="306" spans="1:35" s="3" customFormat="1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</row>
    <row r="307" spans="1:35" s="3" customFormat="1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</row>
    <row r="308" spans="1:35" s="3" customFormat="1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</row>
    <row r="309" spans="1:35" s="3" customFormat="1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</row>
    <row r="310" spans="1:35" s="3" customFormat="1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</row>
    <row r="311" spans="1:35" s="3" customFormat="1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</row>
    <row r="312" spans="1:35" s="3" customFormat="1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</row>
    <row r="313" spans="1:35" s="3" customFormat="1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</row>
    <row r="314" spans="1:35" s="3" customFormat="1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</row>
    <row r="315" spans="1:35" s="3" customFormat="1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</row>
    <row r="316" spans="1:35" s="3" customFormat="1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</row>
    <row r="317" spans="1:35" s="3" customFormat="1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</row>
    <row r="318" spans="1:35" s="3" customFormat="1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</row>
    <row r="319" spans="1:35" s="3" customFormat="1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</row>
    <row r="320" spans="1:35" s="3" customFormat="1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</row>
    <row r="321" spans="1:35" s="3" customFormat="1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</row>
    <row r="322" spans="1:35" s="3" customFormat="1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</row>
    <row r="323" spans="1:35" s="3" customFormat="1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</row>
    <row r="324" spans="1:35" s="3" customFormat="1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</row>
    <row r="325" spans="1:35" s="3" customFormat="1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</row>
    <row r="326" spans="1:35" s="3" customFormat="1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</row>
    <row r="327" spans="1:35" s="3" customFormat="1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</row>
    <row r="328" spans="1:35" s="3" customFormat="1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</row>
    <row r="329" spans="1:35" s="3" customFormat="1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</row>
    <row r="330" spans="1:35" s="3" customFormat="1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</row>
    <row r="331" spans="1:35" s="3" customFormat="1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</row>
    <row r="332" spans="1:35" s="3" customFormat="1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</row>
    <row r="333" spans="1:35" s="3" customFormat="1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</row>
    <row r="334" spans="1:35" s="3" customFormat="1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</row>
    <row r="335" spans="1:35" s="3" customFormat="1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</row>
    <row r="336" spans="1:35" s="3" customFormat="1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</row>
    <row r="337" spans="1:35" s="3" customFormat="1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</row>
    <row r="338" spans="1:35" s="3" customFormat="1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</row>
    <row r="339" spans="1:35" s="3" customFormat="1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</row>
    <row r="340" spans="1:35" s="3" customFormat="1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</row>
    <row r="341" spans="1:35" s="3" customFormat="1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</row>
    <row r="342" spans="1:35" s="3" customFormat="1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</row>
    <row r="343" spans="1:35" s="3" customFormat="1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</row>
    <row r="344" spans="1:35" s="3" customFormat="1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</row>
    <row r="345" spans="1:35" s="3" customFormat="1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</row>
    <row r="346" spans="1:35" s="3" customFormat="1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</row>
    <row r="347" spans="1:35" s="3" customFormat="1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</row>
    <row r="348" spans="1:35" s="3" customFormat="1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</row>
    <row r="349" spans="1:35" s="3" customFormat="1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</row>
    <row r="350" spans="1:35" s="3" customFormat="1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</row>
    <row r="351" spans="1:35" s="3" customFormat="1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</row>
    <row r="352" spans="1:35" s="3" customFormat="1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</row>
    <row r="353" spans="1:35" s="3" customFormat="1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</row>
    <row r="354" spans="1:35" s="3" customFormat="1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</row>
    <row r="355" spans="1:35" s="3" customFormat="1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</row>
    <row r="356" spans="1:35" s="3" customFormat="1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</row>
    <row r="357" spans="1:35" s="3" customFormat="1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</row>
    <row r="358" spans="1:35" s="3" customFormat="1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</row>
    <row r="359" spans="1:35" s="3" customFormat="1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</row>
    <row r="360" spans="1:35" s="3" customFormat="1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</row>
    <row r="361" spans="1:35" s="3" customFormat="1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</row>
    <row r="362" spans="1:35" s="3" customFormat="1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</row>
    <row r="363" spans="1:35" s="3" customFormat="1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</row>
    <row r="364" spans="1:35" s="3" customFormat="1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</row>
    <row r="365" spans="1:35" s="3" customFormat="1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</row>
    <row r="366" spans="1:35" s="3" customFormat="1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</row>
    <row r="367" spans="1:35" s="3" customFormat="1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</row>
    <row r="368" spans="1:35" s="3" customFormat="1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</row>
    <row r="369" spans="1:35" s="3" customFormat="1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</row>
    <row r="370" spans="1:35" s="3" customFormat="1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</row>
    <row r="371" spans="1:35" s="3" customFormat="1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</row>
    <row r="372" spans="1:35" s="3" customFormat="1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</row>
    <row r="373" spans="1:35" s="3" customFormat="1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</row>
    <row r="374" spans="1:35" s="3" customFormat="1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</row>
    <row r="375" spans="1:35" s="3" customFormat="1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</row>
    <row r="376" spans="1:35" s="3" customFormat="1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</row>
    <row r="377" spans="1:35" s="3" customFormat="1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</row>
    <row r="378" spans="1:35" s="3" customFormat="1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</row>
    <row r="379" spans="1:35" s="3" customFormat="1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</row>
    <row r="380" spans="1:35" s="3" customFormat="1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</row>
    <row r="381" spans="1:35" s="3" customFormat="1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</row>
    <row r="382" spans="1:35" s="3" customFormat="1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</row>
    <row r="383" spans="1:35" s="3" customFormat="1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</row>
    <row r="384" spans="1:35" s="3" customFormat="1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</row>
    <row r="385" spans="1:35" s="3" customFormat="1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</row>
    <row r="386" spans="1:35" s="3" customFormat="1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</row>
    <row r="387" spans="1:35" s="3" customFormat="1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</row>
    <row r="388" spans="1:35" s="3" customFormat="1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</row>
    <row r="389" spans="1:35" s="3" customFormat="1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</row>
    <row r="390" spans="1:35" s="3" customFormat="1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</row>
    <row r="391" spans="1:35" s="3" customFormat="1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</row>
    <row r="392" spans="1:35" s="3" customFormat="1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</row>
    <row r="393" spans="1:35" s="3" customFormat="1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</row>
    <row r="394" spans="1:35" s="3" customFormat="1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</row>
    <row r="395" spans="1:35" s="3" customFormat="1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</row>
    <row r="396" spans="1:35" s="3" customFormat="1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</row>
    <row r="397" spans="1:35" s="3" customFormat="1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</row>
    <row r="398" spans="1:35" s="3" customFormat="1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</row>
    <row r="399" spans="1:35" s="3" customFormat="1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</row>
    <row r="400" spans="1:35" s="3" customFormat="1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</row>
    <row r="401" spans="1:35" s="3" customFormat="1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</row>
    <row r="402" spans="1:35" s="3" customFormat="1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</row>
    <row r="403" spans="1:35" s="3" customFormat="1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</row>
    <row r="404" spans="1:35" s="3" customFormat="1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</row>
    <row r="405" spans="1:35" s="3" customFormat="1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</row>
    <row r="406" spans="1:35" s="3" customFormat="1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</row>
    <row r="407" spans="1:35" s="3" customFormat="1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</row>
    <row r="408" spans="1:35" s="3" customFormat="1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</row>
    <row r="409" spans="1:35" s="3" customFormat="1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</row>
    <row r="410" spans="1:35" s="3" customFormat="1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</row>
    <row r="411" spans="1:35" s="3" customFormat="1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</row>
    <row r="412" spans="1:35" s="3" customFormat="1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</row>
    <row r="413" spans="1:35" s="3" customFormat="1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</row>
    <row r="414" spans="1:35" s="3" customFormat="1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</row>
    <row r="415" spans="1:35" s="3" customFormat="1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</row>
    <row r="416" spans="1:35" s="3" customFormat="1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</row>
    <row r="417" spans="1:35" s="3" customFormat="1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</row>
    <row r="418" spans="1:35" s="3" customFormat="1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</row>
    <row r="419" spans="1:35" s="3" customFormat="1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</row>
    <row r="420" spans="1:35" s="3" customFormat="1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</row>
    <row r="421" spans="1:35" s="3" customFormat="1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</row>
    <row r="422" spans="1:35" s="3" customFormat="1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</row>
    <row r="423" spans="1:35" s="3" customFormat="1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</row>
    <row r="424" spans="1:35" s="3" customFormat="1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</row>
    <row r="425" spans="1:35" s="3" customFormat="1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</row>
    <row r="426" spans="1:35" s="3" customFormat="1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</row>
    <row r="427" spans="1:35" s="3" customFormat="1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</row>
    <row r="428" spans="1:35" s="3" customFormat="1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</row>
    <row r="429" spans="1:35" s="3" customFormat="1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</row>
    <row r="430" spans="1:35" s="3" customFormat="1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</row>
    <row r="431" spans="1:35" s="3" customFormat="1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</row>
    <row r="432" spans="1:35" s="3" customFormat="1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</row>
    <row r="433" spans="1:35" s="3" customFormat="1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</row>
    <row r="434" spans="1:35" s="3" customFormat="1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</row>
    <row r="435" spans="1:35" s="3" customFormat="1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</row>
    <row r="436" spans="1:35" s="3" customFormat="1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</row>
    <row r="437" spans="1:35" s="3" customFormat="1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</row>
    <row r="438" spans="1:35" s="3" customFormat="1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</row>
    <row r="439" spans="1:35" s="3" customFormat="1" ht="14.25" customHeight="1" x14ac:dyDescent="0.2">
      <c r="A439" s="2"/>
      <c r="B439" s="2"/>
      <c r="C439" s="2"/>
      <c r="E439" s="2"/>
      <c r="G439" s="2"/>
      <c r="H439" s="2"/>
      <c r="I439" s="2"/>
      <c r="J439" s="2"/>
      <c r="K439" s="2"/>
      <c r="L439" s="14"/>
      <c r="M439" s="15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2026-09-12T13:06:31Z</dcterms:modified>
</cp:coreProperties>
</file>